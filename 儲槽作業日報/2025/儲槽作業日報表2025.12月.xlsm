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4.xml" ContentType="application/vnd.openxmlformats-officedocument.drawing+xml"/>
  <Override PartName="/xl/ctrlProps/ctrlProp23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5\"/>
    </mc:Choice>
  </mc:AlternateContent>
  <bookViews>
    <workbookView xWindow="0" yWindow="0" windowWidth="21600" windowHeight="8256" firstSheet="11" activeTab="24"/>
  </bookViews>
  <sheets>
    <sheet name="新增" sheetId="1727" r:id="rId1"/>
    <sheet name="密度" sheetId="13" r:id="rId2"/>
    <sheet name="11.28" sheetId="2035" r:id="rId3"/>
    <sheet name="12.1" sheetId="2036" r:id="rId4"/>
    <sheet name="12.2" sheetId="2037" r:id="rId5"/>
    <sheet name="12.3" sheetId="2038" r:id="rId6"/>
    <sheet name="12.4" sheetId="2039" r:id="rId7"/>
    <sheet name="12.5" sheetId="2040" r:id="rId8"/>
    <sheet name="12.8" sheetId="2041" r:id="rId9"/>
    <sheet name="12.9" sheetId="2042" r:id="rId10"/>
    <sheet name="12.10" sheetId="2043" r:id="rId11"/>
    <sheet name="12.11" sheetId="2044" r:id="rId12"/>
    <sheet name="12.12" sheetId="2045" r:id="rId13"/>
    <sheet name="12.15" sheetId="2046" r:id="rId14"/>
    <sheet name="12.16" sheetId="2047" r:id="rId15"/>
    <sheet name="12.17" sheetId="2048" r:id="rId16"/>
    <sheet name="12.18" sheetId="2049" r:id="rId17"/>
    <sheet name="12.19" sheetId="2050" r:id="rId18"/>
    <sheet name="12.22" sheetId="2051" r:id="rId19"/>
    <sheet name="12.23" sheetId="2052" r:id="rId20"/>
    <sheet name="12.24" sheetId="2053" r:id="rId21"/>
    <sheet name="12.26" sheetId="2054" r:id="rId22"/>
    <sheet name="12.29" sheetId="2055" r:id="rId23"/>
    <sheet name="12.30" sheetId="2056" r:id="rId24"/>
    <sheet name="12.31" sheetId="2057" r:id="rId25"/>
  </sheets>
  <definedNames>
    <definedName name="_xlnm.Print_Area" localSheetId="2">'11.28'!$B$1:$AE$36</definedName>
    <definedName name="_xlnm.Print_Area" localSheetId="3">'12.1'!$B$1:$AE$36</definedName>
    <definedName name="_xlnm.Print_Area" localSheetId="10">'12.10'!$B$1:$AE$36</definedName>
    <definedName name="_xlnm.Print_Area" localSheetId="11">'12.11'!$B$1:$AE$36</definedName>
    <definedName name="_xlnm.Print_Area" localSheetId="12">'12.12'!$B$1:$AE$36</definedName>
    <definedName name="_xlnm.Print_Area" localSheetId="13">'12.15'!$B$1:$AE$36</definedName>
    <definedName name="_xlnm.Print_Area" localSheetId="14">'12.16'!$B$1:$AE$36</definedName>
    <definedName name="_xlnm.Print_Area" localSheetId="15">'12.17'!$B$1:$AE$36</definedName>
    <definedName name="_xlnm.Print_Area" localSheetId="16">'12.18'!$B$1:$AE$36</definedName>
    <definedName name="_xlnm.Print_Area" localSheetId="17">'12.19'!$B$1:$AE$36</definedName>
    <definedName name="_xlnm.Print_Area" localSheetId="4">'12.2'!$B$1:$AE$36</definedName>
    <definedName name="_xlnm.Print_Area" localSheetId="18">'12.22'!$B$1:$AE$36</definedName>
    <definedName name="_xlnm.Print_Area" localSheetId="19">'12.23'!$B$1:$AE$36</definedName>
    <definedName name="_xlnm.Print_Area" localSheetId="20">'12.24'!$B$1:$AE$36</definedName>
    <definedName name="_xlnm.Print_Area" localSheetId="21">'12.26'!$B$1:$AE$36</definedName>
    <definedName name="_xlnm.Print_Area" localSheetId="22">'12.29'!$B$1:$AE$36</definedName>
    <definedName name="_xlnm.Print_Area" localSheetId="5">'12.3'!$B$1:$AE$36</definedName>
    <definedName name="_xlnm.Print_Area" localSheetId="23">'12.30'!$B$1:$AE$36</definedName>
    <definedName name="_xlnm.Print_Area" localSheetId="24">'12.31'!$B$1:$AE$36</definedName>
    <definedName name="_xlnm.Print_Area" localSheetId="6">'12.4'!$B$1:$AE$36</definedName>
    <definedName name="_xlnm.Print_Area" localSheetId="7">'12.5'!$B$1:$AE$36</definedName>
    <definedName name="_xlnm.Print_Area" localSheetId="8">'12.8'!$B$1:$AE$36</definedName>
    <definedName name="_xlnm.Print_Area" localSheetId="9">'12.9'!$B$1:$AE$36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2" hidden="1">'11.28'!$B$3:$AE$36</definedName>
    <definedName name="Z_512059F6_F0DC_4056_8FD0_37088AB81F9E_.wvu.PrintArea" localSheetId="3" hidden="1">'12.1'!$B$3:$AE$36</definedName>
    <definedName name="Z_512059F6_F0DC_4056_8FD0_37088AB81F9E_.wvu.PrintArea" localSheetId="10" hidden="1">'12.10'!$B$3:$AE$36</definedName>
    <definedName name="Z_512059F6_F0DC_4056_8FD0_37088AB81F9E_.wvu.PrintArea" localSheetId="11" hidden="1">'12.11'!$B$3:$AE$36</definedName>
    <definedName name="Z_512059F6_F0DC_4056_8FD0_37088AB81F9E_.wvu.PrintArea" localSheetId="12" hidden="1">'12.12'!$B$3:$AE$36</definedName>
    <definedName name="Z_512059F6_F0DC_4056_8FD0_37088AB81F9E_.wvu.PrintArea" localSheetId="13" hidden="1">'12.15'!$B$3:$AE$36</definedName>
    <definedName name="Z_512059F6_F0DC_4056_8FD0_37088AB81F9E_.wvu.PrintArea" localSheetId="14" hidden="1">'12.16'!$B$3:$AE$36</definedName>
    <definedName name="Z_512059F6_F0DC_4056_8FD0_37088AB81F9E_.wvu.PrintArea" localSheetId="15" hidden="1">'12.17'!$B$3:$AE$36</definedName>
    <definedName name="Z_512059F6_F0DC_4056_8FD0_37088AB81F9E_.wvu.PrintArea" localSheetId="16" hidden="1">'12.18'!$B$3:$AE$36</definedName>
    <definedName name="Z_512059F6_F0DC_4056_8FD0_37088AB81F9E_.wvu.PrintArea" localSheetId="17" hidden="1">'12.19'!$B$3:$AE$36</definedName>
    <definedName name="Z_512059F6_F0DC_4056_8FD0_37088AB81F9E_.wvu.PrintArea" localSheetId="4" hidden="1">'12.2'!$B$3:$AE$36</definedName>
    <definedName name="Z_512059F6_F0DC_4056_8FD0_37088AB81F9E_.wvu.PrintArea" localSheetId="18" hidden="1">'12.22'!$B$3:$AE$36</definedName>
    <definedName name="Z_512059F6_F0DC_4056_8FD0_37088AB81F9E_.wvu.PrintArea" localSheetId="19" hidden="1">'12.23'!$B$3:$AE$36</definedName>
    <definedName name="Z_512059F6_F0DC_4056_8FD0_37088AB81F9E_.wvu.PrintArea" localSheetId="20" hidden="1">'12.24'!$B$3:$AE$36</definedName>
    <definedName name="Z_512059F6_F0DC_4056_8FD0_37088AB81F9E_.wvu.PrintArea" localSheetId="21" hidden="1">'12.26'!$B$3:$AE$36</definedName>
    <definedName name="Z_512059F6_F0DC_4056_8FD0_37088AB81F9E_.wvu.PrintArea" localSheetId="22" hidden="1">'12.29'!$B$3:$AE$36</definedName>
    <definedName name="Z_512059F6_F0DC_4056_8FD0_37088AB81F9E_.wvu.PrintArea" localSheetId="5" hidden="1">'12.3'!$B$3:$AE$36</definedName>
    <definedName name="Z_512059F6_F0DC_4056_8FD0_37088AB81F9E_.wvu.PrintArea" localSheetId="23" hidden="1">'12.30'!$B$3:$AE$36</definedName>
    <definedName name="Z_512059F6_F0DC_4056_8FD0_37088AB81F9E_.wvu.PrintArea" localSheetId="24" hidden="1">'12.31'!$B$3:$AE$36</definedName>
    <definedName name="Z_512059F6_F0DC_4056_8FD0_37088AB81F9E_.wvu.PrintArea" localSheetId="6" hidden="1">'12.4'!$B$3:$AE$36</definedName>
    <definedName name="Z_512059F6_F0DC_4056_8FD0_37088AB81F9E_.wvu.PrintArea" localSheetId="7" hidden="1">'12.5'!$B$3:$AE$36</definedName>
    <definedName name="Z_512059F6_F0DC_4056_8FD0_37088AB81F9E_.wvu.PrintArea" localSheetId="8" hidden="1">'12.8'!$B$3:$AE$36</definedName>
    <definedName name="Z_512059F6_F0DC_4056_8FD0_37088AB81F9E_.wvu.PrintArea" localSheetId="9" hidden="1">'12.9'!$B$3:$AE$36</definedName>
    <definedName name="Z_68643476_8805_447E_8170_A582EA1D0343_.wvu.PrintArea" localSheetId="2" hidden="1">'11.28'!$B$3:$AE$36</definedName>
    <definedName name="Z_68643476_8805_447E_8170_A582EA1D0343_.wvu.PrintArea" localSheetId="3" hidden="1">'12.1'!$B$3:$AE$36</definedName>
    <definedName name="Z_68643476_8805_447E_8170_A582EA1D0343_.wvu.PrintArea" localSheetId="10" hidden="1">'12.10'!$B$3:$AE$36</definedName>
    <definedName name="Z_68643476_8805_447E_8170_A582EA1D0343_.wvu.PrintArea" localSheetId="11" hidden="1">'12.11'!$B$3:$AE$36</definedName>
    <definedName name="Z_68643476_8805_447E_8170_A582EA1D0343_.wvu.PrintArea" localSheetId="12" hidden="1">'12.12'!$B$3:$AE$36</definedName>
    <definedName name="Z_68643476_8805_447E_8170_A582EA1D0343_.wvu.PrintArea" localSheetId="13" hidden="1">'12.15'!$B$3:$AE$36</definedName>
    <definedName name="Z_68643476_8805_447E_8170_A582EA1D0343_.wvu.PrintArea" localSheetId="14" hidden="1">'12.16'!$B$3:$AE$36</definedName>
    <definedName name="Z_68643476_8805_447E_8170_A582EA1D0343_.wvu.PrintArea" localSheetId="15" hidden="1">'12.17'!$B$3:$AE$36</definedName>
    <definedName name="Z_68643476_8805_447E_8170_A582EA1D0343_.wvu.PrintArea" localSheetId="16" hidden="1">'12.18'!$B$3:$AE$36</definedName>
    <definedName name="Z_68643476_8805_447E_8170_A582EA1D0343_.wvu.PrintArea" localSheetId="17" hidden="1">'12.19'!$B$3:$AE$36</definedName>
    <definedName name="Z_68643476_8805_447E_8170_A582EA1D0343_.wvu.PrintArea" localSheetId="4" hidden="1">'12.2'!$B$3:$AE$36</definedName>
    <definedName name="Z_68643476_8805_447E_8170_A582EA1D0343_.wvu.PrintArea" localSheetId="18" hidden="1">'12.22'!$B$3:$AE$36</definedName>
    <definedName name="Z_68643476_8805_447E_8170_A582EA1D0343_.wvu.PrintArea" localSheetId="19" hidden="1">'12.23'!$B$3:$AE$36</definedName>
    <definedName name="Z_68643476_8805_447E_8170_A582EA1D0343_.wvu.PrintArea" localSheetId="20" hidden="1">'12.24'!$B$3:$AE$36</definedName>
    <definedName name="Z_68643476_8805_447E_8170_A582EA1D0343_.wvu.PrintArea" localSheetId="21" hidden="1">'12.26'!$B$3:$AE$36</definedName>
    <definedName name="Z_68643476_8805_447E_8170_A582EA1D0343_.wvu.PrintArea" localSheetId="22" hidden="1">'12.29'!$B$3:$AE$36</definedName>
    <definedName name="Z_68643476_8805_447E_8170_A582EA1D0343_.wvu.PrintArea" localSheetId="5" hidden="1">'12.3'!$B$3:$AE$36</definedName>
    <definedName name="Z_68643476_8805_447E_8170_A582EA1D0343_.wvu.PrintArea" localSheetId="23" hidden="1">'12.30'!$B$3:$AE$36</definedName>
    <definedName name="Z_68643476_8805_447E_8170_A582EA1D0343_.wvu.PrintArea" localSheetId="24" hidden="1">'12.31'!$B$3:$AE$36</definedName>
    <definedName name="Z_68643476_8805_447E_8170_A582EA1D0343_.wvu.PrintArea" localSheetId="6" hidden="1">'12.4'!$B$3:$AE$36</definedName>
    <definedName name="Z_68643476_8805_447E_8170_A582EA1D0343_.wvu.PrintArea" localSheetId="7" hidden="1">'12.5'!$B$3:$AE$36</definedName>
    <definedName name="Z_68643476_8805_447E_8170_A582EA1D0343_.wvu.PrintArea" localSheetId="8" hidden="1">'12.8'!$B$3:$AE$36</definedName>
    <definedName name="Z_68643476_8805_447E_8170_A582EA1D0343_.wvu.PrintArea" localSheetId="9" hidden="1">'12.9'!$B$3:$AE$36</definedName>
    <definedName name="Z_8E5926ED_4EBD_4129_B8FF_799CC47580D7_.wvu.PrintArea" localSheetId="2" hidden="1">'11.28'!$B$3:$AE$36</definedName>
    <definedName name="Z_8E5926ED_4EBD_4129_B8FF_799CC47580D7_.wvu.PrintArea" localSheetId="3" hidden="1">'12.1'!$B$3:$AE$36</definedName>
    <definedName name="Z_8E5926ED_4EBD_4129_B8FF_799CC47580D7_.wvu.PrintArea" localSheetId="10" hidden="1">'12.10'!$B$3:$AE$36</definedName>
    <definedName name="Z_8E5926ED_4EBD_4129_B8FF_799CC47580D7_.wvu.PrintArea" localSheetId="11" hidden="1">'12.11'!$B$3:$AE$36</definedName>
    <definedName name="Z_8E5926ED_4EBD_4129_B8FF_799CC47580D7_.wvu.PrintArea" localSheetId="12" hidden="1">'12.12'!$B$3:$AE$36</definedName>
    <definedName name="Z_8E5926ED_4EBD_4129_B8FF_799CC47580D7_.wvu.PrintArea" localSheetId="13" hidden="1">'12.15'!$B$3:$AE$36</definedName>
    <definedName name="Z_8E5926ED_4EBD_4129_B8FF_799CC47580D7_.wvu.PrintArea" localSheetId="14" hidden="1">'12.16'!$B$3:$AE$36</definedName>
    <definedName name="Z_8E5926ED_4EBD_4129_B8FF_799CC47580D7_.wvu.PrintArea" localSheetId="15" hidden="1">'12.17'!$B$3:$AE$36</definedName>
    <definedName name="Z_8E5926ED_4EBD_4129_B8FF_799CC47580D7_.wvu.PrintArea" localSheetId="16" hidden="1">'12.18'!$B$3:$AE$36</definedName>
    <definedName name="Z_8E5926ED_4EBD_4129_B8FF_799CC47580D7_.wvu.PrintArea" localSheetId="17" hidden="1">'12.19'!$B$3:$AE$36</definedName>
    <definedName name="Z_8E5926ED_4EBD_4129_B8FF_799CC47580D7_.wvu.PrintArea" localSheetId="4" hidden="1">'12.2'!$B$3:$AE$36</definedName>
    <definedName name="Z_8E5926ED_4EBD_4129_B8FF_799CC47580D7_.wvu.PrintArea" localSheetId="18" hidden="1">'12.22'!$B$3:$AE$36</definedName>
    <definedName name="Z_8E5926ED_4EBD_4129_B8FF_799CC47580D7_.wvu.PrintArea" localSheetId="19" hidden="1">'12.23'!$B$3:$AE$36</definedName>
    <definedName name="Z_8E5926ED_4EBD_4129_B8FF_799CC47580D7_.wvu.PrintArea" localSheetId="20" hidden="1">'12.24'!$B$3:$AE$36</definedName>
    <definedName name="Z_8E5926ED_4EBD_4129_B8FF_799CC47580D7_.wvu.PrintArea" localSheetId="21" hidden="1">'12.26'!$B$3:$AE$36</definedName>
    <definedName name="Z_8E5926ED_4EBD_4129_B8FF_799CC47580D7_.wvu.PrintArea" localSheetId="22" hidden="1">'12.29'!$B$3:$AE$36</definedName>
    <definedName name="Z_8E5926ED_4EBD_4129_B8FF_799CC47580D7_.wvu.PrintArea" localSheetId="5" hidden="1">'12.3'!$B$3:$AE$36</definedName>
    <definedName name="Z_8E5926ED_4EBD_4129_B8FF_799CC47580D7_.wvu.PrintArea" localSheetId="23" hidden="1">'12.30'!$B$3:$AE$36</definedName>
    <definedName name="Z_8E5926ED_4EBD_4129_B8FF_799CC47580D7_.wvu.PrintArea" localSheetId="24" hidden="1">'12.31'!$B$3:$AE$36</definedName>
    <definedName name="Z_8E5926ED_4EBD_4129_B8FF_799CC47580D7_.wvu.PrintArea" localSheetId="6" hidden="1">'12.4'!$B$3:$AE$36</definedName>
    <definedName name="Z_8E5926ED_4EBD_4129_B8FF_799CC47580D7_.wvu.PrintArea" localSheetId="7" hidden="1">'12.5'!$B$3:$AE$36</definedName>
    <definedName name="Z_8E5926ED_4EBD_4129_B8FF_799CC47580D7_.wvu.PrintArea" localSheetId="8" hidden="1">'12.8'!$B$3:$AE$36</definedName>
    <definedName name="Z_8E5926ED_4EBD_4129_B8FF_799CC47580D7_.wvu.PrintArea" localSheetId="9" hidden="1">'12.9'!$B$3:$AE$36</definedName>
    <definedName name="Z_8FA8B620_C56C_11DB_A857_00055D5FD5FF_.wvu.PrintArea" localSheetId="2" hidden="1">'11.28'!$B$3:$AE$36</definedName>
    <definedName name="Z_8FA8B620_C56C_11DB_A857_00055D5FD5FF_.wvu.PrintArea" localSheetId="3" hidden="1">'12.1'!$B$3:$AE$36</definedName>
    <definedName name="Z_8FA8B620_C56C_11DB_A857_00055D5FD5FF_.wvu.PrintArea" localSheetId="10" hidden="1">'12.10'!$B$3:$AE$36</definedName>
    <definedName name="Z_8FA8B620_C56C_11DB_A857_00055D5FD5FF_.wvu.PrintArea" localSheetId="11" hidden="1">'12.11'!$B$3:$AE$36</definedName>
    <definedName name="Z_8FA8B620_C56C_11DB_A857_00055D5FD5FF_.wvu.PrintArea" localSheetId="12" hidden="1">'12.12'!$B$3:$AE$36</definedName>
    <definedName name="Z_8FA8B620_C56C_11DB_A857_00055D5FD5FF_.wvu.PrintArea" localSheetId="13" hidden="1">'12.15'!$B$3:$AE$36</definedName>
    <definedName name="Z_8FA8B620_C56C_11DB_A857_00055D5FD5FF_.wvu.PrintArea" localSheetId="14" hidden="1">'12.16'!$B$3:$AE$36</definedName>
    <definedName name="Z_8FA8B620_C56C_11DB_A857_00055D5FD5FF_.wvu.PrintArea" localSheetId="15" hidden="1">'12.17'!$B$3:$AE$36</definedName>
    <definedName name="Z_8FA8B620_C56C_11DB_A857_00055D5FD5FF_.wvu.PrintArea" localSheetId="16" hidden="1">'12.18'!$B$3:$AE$36</definedName>
    <definedName name="Z_8FA8B620_C56C_11DB_A857_00055D5FD5FF_.wvu.PrintArea" localSheetId="17" hidden="1">'12.19'!$B$3:$AE$36</definedName>
    <definedName name="Z_8FA8B620_C56C_11DB_A857_00055D5FD5FF_.wvu.PrintArea" localSheetId="4" hidden="1">'12.2'!$B$3:$AE$36</definedName>
    <definedName name="Z_8FA8B620_C56C_11DB_A857_00055D5FD5FF_.wvu.PrintArea" localSheetId="18" hidden="1">'12.22'!$B$3:$AE$36</definedName>
    <definedName name="Z_8FA8B620_C56C_11DB_A857_00055D5FD5FF_.wvu.PrintArea" localSheetId="19" hidden="1">'12.23'!$B$3:$AE$36</definedName>
    <definedName name="Z_8FA8B620_C56C_11DB_A857_00055D5FD5FF_.wvu.PrintArea" localSheetId="20" hidden="1">'12.24'!$B$3:$AE$36</definedName>
    <definedName name="Z_8FA8B620_C56C_11DB_A857_00055D5FD5FF_.wvu.PrintArea" localSheetId="21" hidden="1">'12.26'!$B$3:$AE$36</definedName>
    <definedName name="Z_8FA8B620_C56C_11DB_A857_00055D5FD5FF_.wvu.PrintArea" localSheetId="22" hidden="1">'12.29'!$B$3:$AE$36</definedName>
    <definedName name="Z_8FA8B620_C56C_11DB_A857_00055D5FD5FF_.wvu.PrintArea" localSheetId="5" hidden="1">'12.3'!$B$3:$AE$36</definedName>
    <definedName name="Z_8FA8B620_C56C_11DB_A857_00055D5FD5FF_.wvu.PrintArea" localSheetId="23" hidden="1">'12.30'!$B$3:$AE$36</definedName>
    <definedName name="Z_8FA8B620_C56C_11DB_A857_00055D5FD5FF_.wvu.PrintArea" localSheetId="24" hidden="1">'12.31'!$B$3:$AE$36</definedName>
    <definedName name="Z_8FA8B620_C56C_11DB_A857_00055D5FD5FF_.wvu.PrintArea" localSheetId="6" hidden="1">'12.4'!$B$3:$AE$36</definedName>
    <definedName name="Z_8FA8B620_C56C_11DB_A857_00055D5FD5FF_.wvu.PrintArea" localSheetId="7" hidden="1">'12.5'!$B$3:$AE$36</definedName>
    <definedName name="Z_8FA8B620_C56C_11DB_A857_00055D5FD5FF_.wvu.PrintArea" localSheetId="8" hidden="1">'12.8'!$B$3:$AE$36</definedName>
    <definedName name="Z_8FA8B620_C56C_11DB_A857_00055D5FD5FF_.wvu.PrintArea" localSheetId="9" hidden="1">'12.9'!$B$3:$AE$36</definedName>
    <definedName name="Z_A3DB5619_047E_4CE2_8C39_700CFD25F2CB_.wvu.PrintArea" localSheetId="2" hidden="1">'11.28'!$B$3:$AE$36</definedName>
    <definedName name="Z_A3DB5619_047E_4CE2_8C39_700CFD25F2CB_.wvu.PrintArea" localSheetId="3" hidden="1">'12.1'!$B$3:$AE$36</definedName>
    <definedName name="Z_A3DB5619_047E_4CE2_8C39_700CFD25F2CB_.wvu.PrintArea" localSheetId="10" hidden="1">'12.10'!$B$3:$AE$36</definedName>
    <definedName name="Z_A3DB5619_047E_4CE2_8C39_700CFD25F2CB_.wvu.PrintArea" localSheetId="11" hidden="1">'12.11'!$B$3:$AE$36</definedName>
    <definedName name="Z_A3DB5619_047E_4CE2_8C39_700CFD25F2CB_.wvu.PrintArea" localSheetId="12" hidden="1">'12.12'!$B$3:$AE$36</definedName>
    <definedName name="Z_A3DB5619_047E_4CE2_8C39_700CFD25F2CB_.wvu.PrintArea" localSheetId="13" hidden="1">'12.15'!$B$3:$AE$36</definedName>
    <definedName name="Z_A3DB5619_047E_4CE2_8C39_700CFD25F2CB_.wvu.PrintArea" localSheetId="14" hidden="1">'12.16'!$B$3:$AE$36</definedName>
    <definedName name="Z_A3DB5619_047E_4CE2_8C39_700CFD25F2CB_.wvu.PrintArea" localSheetId="15" hidden="1">'12.17'!$B$3:$AE$36</definedName>
    <definedName name="Z_A3DB5619_047E_4CE2_8C39_700CFD25F2CB_.wvu.PrintArea" localSheetId="16" hidden="1">'12.18'!$B$3:$AE$36</definedName>
    <definedName name="Z_A3DB5619_047E_4CE2_8C39_700CFD25F2CB_.wvu.PrintArea" localSheetId="17" hidden="1">'12.19'!$B$3:$AE$36</definedName>
    <definedName name="Z_A3DB5619_047E_4CE2_8C39_700CFD25F2CB_.wvu.PrintArea" localSheetId="4" hidden="1">'12.2'!$B$3:$AE$36</definedName>
    <definedName name="Z_A3DB5619_047E_4CE2_8C39_700CFD25F2CB_.wvu.PrintArea" localSheetId="18" hidden="1">'12.22'!$B$3:$AE$36</definedName>
    <definedName name="Z_A3DB5619_047E_4CE2_8C39_700CFD25F2CB_.wvu.PrintArea" localSheetId="19" hidden="1">'12.23'!$B$3:$AE$36</definedName>
    <definedName name="Z_A3DB5619_047E_4CE2_8C39_700CFD25F2CB_.wvu.PrintArea" localSheetId="20" hidden="1">'12.24'!$B$3:$AE$36</definedName>
    <definedName name="Z_A3DB5619_047E_4CE2_8C39_700CFD25F2CB_.wvu.PrintArea" localSheetId="21" hidden="1">'12.26'!$B$3:$AE$36</definedName>
    <definedName name="Z_A3DB5619_047E_4CE2_8C39_700CFD25F2CB_.wvu.PrintArea" localSheetId="22" hidden="1">'12.29'!$B$3:$AE$36</definedName>
    <definedName name="Z_A3DB5619_047E_4CE2_8C39_700CFD25F2CB_.wvu.PrintArea" localSheetId="5" hidden="1">'12.3'!$B$3:$AE$36</definedName>
    <definedName name="Z_A3DB5619_047E_4CE2_8C39_700CFD25F2CB_.wvu.PrintArea" localSheetId="23" hidden="1">'12.30'!$B$3:$AE$36</definedName>
    <definedName name="Z_A3DB5619_047E_4CE2_8C39_700CFD25F2CB_.wvu.PrintArea" localSheetId="24" hidden="1">'12.31'!$B$3:$AE$36</definedName>
    <definedName name="Z_A3DB5619_047E_4CE2_8C39_700CFD25F2CB_.wvu.PrintArea" localSheetId="6" hidden="1">'12.4'!$B$3:$AE$36</definedName>
    <definedName name="Z_A3DB5619_047E_4CE2_8C39_700CFD25F2CB_.wvu.PrintArea" localSheetId="7" hidden="1">'12.5'!$B$3:$AE$36</definedName>
    <definedName name="Z_A3DB5619_047E_4CE2_8C39_700CFD25F2CB_.wvu.PrintArea" localSheetId="8" hidden="1">'12.8'!$B$3:$AE$36</definedName>
    <definedName name="Z_A3DB5619_047E_4CE2_8C39_700CFD25F2CB_.wvu.PrintArea" localSheetId="9" hidden="1">'12.9'!$B$3:$AE$36</definedName>
    <definedName name="Z_D903F940_B812_11DB_B168_0010B575B8B2_.wvu.PrintArea" localSheetId="2" hidden="1">'11.28'!$B$3:$AE$36</definedName>
    <definedName name="Z_D903F940_B812_11DB_B168_0010B575B8B2_.wvu.PrintArea" localSheetId="3" hidden="1">'12.1'!$B$3:$AE$36</definedName>
    <definedName name="Z_D903F940_B812_11DB_B168_0010B575B8B2_.wvu.PrintArea" localSheetId="10" hidden="1">'12.10'!$B$3:$AE$36</definedName>
    <definedName name="Z_D903F940_B812_11DB_B168_0010B575B8B2_.wvu.PrintArea" localSheetId="11" hidden="1">'12.11'!$B$3:$AE$36</definedName>
    <definedName name="Z_D903F940_B812_11DB_B168_0010B575B8B2_.wvu.PrintArea" localSheetId="12" hidden="1">'12.12'!$B$3:$AE$36</definedName>
    <definedName name="Z_D903F940_B812_11DB_B168_0010B575B8B2_.wvu.PrintArea" localSheetId="13" hidden="1">'12.15'!$B$3:$AE$36</definedName>
    <definedName name="Z_D903F940_B812_11DB_B168_0010B575B8B2_.wvu.PrintArea" localSheetId="14" hidden="1">'12.16'!$B$3:$AE$36</definedName>
    <definedName name="Z_D903F940_B812_11DB_B168_0010B575B8B2_.wvu.PrintArea" localSheetId="15" hidden="1">'12.17'!$B$3:$AE$36</definedName>
    <definedName name="Z_D903F940_B812_11DB_B168_0010B575B8B2_.wvu.PrintArea" localSheetId="16" hidden="1">'12.18'!$B$3:$AE$36</definedName>
    <definedName name="Z_D903F940_B812_11DB_B168_0010B575B8B2_.wvu.PrintArea" localSheetId="17" hidden="1">'12.19'!$B$3:$AE$36</definedName>
    <definedName name="Z_D903F940_B812_11DB_B168_0010B575B8B2_.wvu.PrintArea" localSheetId="4" hidden="1">'12.2'!$B$3:$AE$36</definedName>
    <definedName name="Z_D903F940_B812_11DB_B168_0010B575B8B2_.wvu.PrintArea" localSheetId="18" hidden="1">'12.22'!$B$3:$AE$36</definedName>
    <definedName name="Z_D903F940_B812_11DB_B168_0010B575B8B2_.wvu.PrintArea" localSheetId="19" hidden="1">'12.23'!$B$3:$AE$36</definedName>
    <definedName name="Z_D903F940_B812_11DB_B168_0010B575B8B2_.wvu.PrintArea" localSheetId="20" hidden="1">'12.24'!$B$3:$AE$36</definedName>
    <definedName name="Z_D903F940_B812_11DB_B168_0010B575B8B2_.wvu.PrintArea" localSheetId="21" hidden="1">'12.26'!$B$3:$AE$36</definedName>
    <definedName name="Z_D903F940_B812_11DB_B168_0010B575B8B2_.wvu.PrintArea" localSheetId="22" hidden="1">'12.29'!$B$3:$AE$36</definedName>
    <definedName name="Z_D903F940_B812_11DB_B168_0010B575B8B2_.wvu.PrintArea" localSheetId="5" hidden="1">'12.3'!$B$3:$AE$36</definedName>
    <definedName name="Z_D903F940_B812_11DB_B168_0010B575B8B2_.wvu.PrintArea" localSheetId="23" hidden="1">'12.30'!$B$3:$AE$36</definedName>
    <definedName name="Z_D903F940_B812_11DB_B168_0010B575B8B2_.wvu.PrintArea" localSheetId="24" hidden="1">'12.31'!$B$3:$AE$36</definedName>
    <definedName name="Z_D903F940_B812_11DB_B168_0010B575B8B2_.wvu.PrintArea" localSheetId="6" hidden="1">'12.4'!$B$3:$AE$36</definedName>
    <definedName name="Z_D903F940_B812_11DB_B168_0010B575B8B2_.wvu.PrintArea" localSheetId="7" hidden="1">'12.5'!$B$3:$AE$36</definedName>
    <definedName name="Z_D903F940_B812_11DB_B168_0010B575B8B2_.wvu.PrintArea" localSheetId="8" hidden="1">'12.8'!$B$3:$AE$36</definedName>
    <definedName name="Z_D903F940_B812_11DB_B168_0010B575B8B2_.wvu.PrintArea" localSheetId="9" hidden="1">'12.9'!$B$3:$AE$36</definedName>
    <definedName name="取樣回收每月庫存表" localSheetId="2" hidden="1">'11.28'!#REF!</definedName>
    <definedName name="取樣回收每月庫存表" localSheetId="3" hidden="1">'12.1'!#REF!</definedName>
    <definedName name="取樣回收每月庫存表" localSheetId="10" hidden="1">'12.10'!#REF!</definedName>
    <definedName name="取樣回收每月庫存表" localSheetId="11" hidden="1">'12.11'!#REF!</definedName>
    <definedName name="取樣回收每月庫存表" localSheetId="12" hidden="1">'12.12'!#REF!</definedName>
    <definedName name="取樣回收每月庫存表" localSheetId="13" hidden="1">'12.15'!#REF!</definedName>
    <definedName name="取樣回收每月庫存表" localSheetId="14" hidden="1">'12.16'!#REF!</definedName>
    <definedName name="取樣回收每月庫存表" localSheetId="15" hidden="1">'12.17'!#REF!</definedName>
    <definedName name="取樣回收每月庫存表" localSheetId="16" hidden="1">'12.18'!#REF!</definedName>
    <definedName name="取樣回收每月庫存表" localSheetId="17" hidden="1">'12.19'!#REF!</definedName>
    <definedName name="取樣回收每月庫存表" localSheetId="4" hidden="1">'12.2'!#REF!</definedName>
    <definedName name="取樣回收每月庫存表" localSheetId="18" hidden="1">'12.22'!#REF!</definedName>
    <definedName name="取樣回收每月庫存表" localSheetId="19" hidden="1">'12.23'!#REF!</definedName>
    <definedName name="取樣回收每月庫存表" localSheetId="20" hidden="1">'12.24'!#REF!</definedName>
    <definedName name="取樣回收每月庫存表" localSheetId="21" hidden="1">'12.26'!#REF!</definedName>
    <definedName name="取樣回收每月庫存表" localSheetId="22" hidden="1">'12.29'!#REF!</definedName>
    <definedName name="取樣回收每月庫存表" localSheetId="5" hidden="1">'12.3'!#REF!</definedName>
    <definedName name="取樣回收每月庫存表" localSheetId="23" hidden="1">'12.30'!#REF!</definedName>
    <definedName name="取樣回收每月庫存表" localSheetId="24" hidden="1">'12.31'!#REF!</definedName>
    <definedName name="取樣回收每月庫存表" localSheetId="6" hidden="1">'12.4'!#REF!</definedName>
    <definedName name="取樣回收每月庫存表" localSheetId="7" hidden="1">'12.5'!#REF!</definedName>
    <definedName name="取樣回收每月庫存表" localSheetId="8" hidden="1">'12.8'!#REF!</definedName>
    <definedName name="取樣回收每月庫存表" localSheetId="9" hidden="1">'12.9'!#REF!</definedName>
    <definedName name="取樣回收每月庫存表_0620更新" localSheetId="2" hidden="1">'11.28'!$AG$13:$BH$189</definedName>
    <definedName name="取樣回收每月庫存表_0620更新" localSheetId="3" hidden="1">'12.1'!$AG$13:$BH$189</definedName>
    <definedName name="取樣回收每月庫存表_0620更新" localSheetId="10" hidden="1">'12.10'!$AG$13:$BH$189</definedName>
    <definedName name="取樣回收每月庫存表_0620更新" localSheetId="11" hidden="1">'12.11'!$AG$13:$BH$189</definedName>
    <definedName name="取樣回收每月庫存表_0620更新" localSheetId="12" hidden="1">'12.12'!$AG$13:$BH$189</definedName>
    <definedName name="取樣回收每月庫存表_0620更新" localSheetId="13" hidden="1">'12.15'!$AG$13:$BH$189</definedName>
    <definedName name="取樣回收每月庫存表_0620更新" localSheetId="14" hidden="1">'12.16'!$AG$13:$BH$189</definedName>
    <definedName name="取樣回收每月庫存表_0620更新" localSheetId="15" hidden="1">'12.17'!$AG$13:$BH$189</definedName>
    <definedName name="取樣回收每月庫存表_0620更新" localSheetId="16" hidden="1">'12.18'!$AG$13:$BH$189</definedName>
    <definedName name="取樣回收每月庫存表_0620更新" localSheetId="17" hidden="1">'12.19'!$AG$13:$BH$189</definedName>
    <definedName name="取樣回收每月庫存表_0620更新" localSheetId="4" hidden="1">'12.2'!$AG$13:$BH$189</definedName>
    <definedName name="取樣回收每月庫存表_0620更新" localSheetId="18" hidden="1">'12.22'!$AG$13:$BH$189</definedName>
    <definedName name="取樣回收每月庫存表_0620更新" localSheetId="19" hidden="1">'12.23'!$AG$13:$BH$189</definedName>
    <definedName name="取樣回收每月庫存表_0620更新" localSheetId="20" hidden="1">'12.24'!$AG$13:$BH$189</definedName>
    <definedName name="取樣回收每月庫存表_0620更新" localSheetId="21" hidden="1">'12.26'!$AG$13:$BH$189</definedName>
    <definedName name="取樣回收每月庫存表_0620更新" localSheetId="22" hidden="1">'12.29'!$AG$13:$BH$189</definedName>
    <definedName name="取樣回收每月庫存表_0620更新" localSheetId="5" hidden="1">'12.3'!$AG$13:$BH$189</definedName>
    <definedName name="取樣回收每月庫存表_0620更新" localSheetId="23" hidden="1">'12.30'!$AG$13:$BH$189</definedName>
    <definedName name="取樣回收每月庫存表_0620更新" localSheetId="24" hidden="1">'12.31'!$AG$13:$BH$189</definedName>
    <definedName name="取樣回收每月庫存表_0620更新" localSheetId="6" hidden="1">'12.4'!$AG$13:$BH$189</definedName>
    <definedName name="取樣回收每月庫存表_0620更新" localSheetId="7" hidden="1">'12.5'!$AG$13:$BH$189</definedName>
    <definedName name="取樣回收每月庫存表_0620更新" localSheetId="8" hidden="1">'12.8'!$AG$13:$BH$189</definedName>
    <definedName name="取樣回收每月庫存表_0620更新" localSheetId="9" hidden="1">'12.9'!$AG$13:$BH$189</definedName>
    <definedName name="複本_14_取樣回收每月庫存表" localSheetId="2" hidden="1">'11.28'!#REF!</definedName>
    <definedName name="複本_14_取樣回收每月庫存表" localSheetId="3" hidden="1">'12.1'!#REF!</definedName>
    <definedName name="複本_14_取樣回收每月庫存表" localSheetId="10" hidden="1">'12.10'!#REF!</definedName>
    <definedName name="複本_14_取樣回收每月庫存表" localSheetId="11" hidden="1">'12.11'!#REF!</definedName>
    <definedName name="複本_14_取樣回收每月庫存表" localSheetId="12" hidden="1">'12.12'!#REF!</definedName>
    <definedName name="複本_14_取樣回收每月庫存表" localSheetId="13" hidden="1">'12.15'!#REF!</definedName>
    <definedName name="複本_14_取樣回收每月庫存表" localSheetId="14" hidden="1">'12.16'!#REF!</definedName>
    <definedName name="複本_14_取樣回收每月庫存表" localSheetId="15" hidden="1">'12.17'!#REF!</definedName>
    <definedName name="複本_14_取樣回收每月庫存表" localSheetId="16" hidden="1">'12.18'!#REF!</definedName>
    <definedName name="複本_14_取樣回收每月庫存表" localSheetId="17" hidden="1">'12.19'!#REF!</definedName>
    <definedName name="複本_14_取樣回收每月庫存表" localSheetId="4" hidden="1">'12.2'!#REF!</definedName>
    <definedName name="複本_14_取樣回收每月庫存表" localSheetId="18" hidden="1">'12.22'!#REF!</definedName>
    <definedName name="複本_14_取樣回收每月庫存表" localSheetId="19" hidden="1">'12.23'!#REF!</definedName>
    <definedName name="複本_14_取樣回收每月庫存表" localSheetId="20" hidden="1">'12.24'!#REF!</definedName>
    <definedName name="複本_14_取樣回收每月庫存表" localSheetId="21" hidden="1">'12.26'!#REF!</definedName>
    <definedName name="複本_14_取樣回收每月庫存表" localSheetId="22" hidden="1">'12.29'!#REF!</definedName>
    <definedName name="複本_14_取樣回收每月庫存表" localSheetId="5" hidden="1">'12.3'!#REF!</definedName>
    <definedName name="複本_14_取樣回收每月庫存表" localSheetId="23" hidden="1">'12.30'!#REF!</definedName>
    <definedName name="複本_14_取樣回收每月庫存表" localSheetId="24" hidden="1">'12.31'!#REF!</definedName>
    <definedName name="複本_14_取樣回收每月庫存表" localSheetId="6" hidden="1">'12.4'!#REF!</definedName>
    <definedName name="複本_14_取樣回收每月庫存表" localSheetId="7" hidden="1">'12.5'!#REF!</definedName>
    <definedName name="複本_14_取樣回收每月庫存表" localSheetId="8" hidden="1">'12.8'!#REF!</definedName>
    <definedName name="複本_14_取樣回收每月庫存表" localSheetId="9" hidden="1">'12.9'!#REF!</definedName>
  </definedNames>
  <calcPr calcId="162913"/>
</workbook>
</file>

<file path=xl/calcChain.xml><?xml version="1.0" encoding="utf-8"?>
<calcChain xmlns="http://schemas.openxmlformats.org/spreadsheetml/2006/main">
  <c r="AA33" i="2057" l="1"/>
  <c r="X33" i="2057"/>
  <c r="U33" i="2057"/>
  <c r="R33" i="2057"/>
  <c r="F33" i="2057"/>
  <c r="Y28" i="2057"/>
  <c r="X28" i="2057"/>
  <c r="S33" i="2057" s="1"/>
  <c r="W28" i="2057"/>
  <c r="V28" i="2057"/>
  <c r="U28" i="2057"/>
  <c r="T28" i="2057"/>
  <c r="S28" i="2057"/>
  <c r="R28" i="2057"/>
  <c r="Q28" i="2057"/>
  <c r="P28" i="2057"/>
  <c r="O28" i="2057"/>
  <c r="N28" i="2057"/>
  <c r="M28" i="2057"/>
  <c r="L28" i="2057"/>
  <c r="K28" i="2057"/>
  <c r="J28" i="2057"/>
  <c r="I28" i="2057"/>
  <c r="H28" i="2057"/>
  <c r="G28" i="2057"/>
  <c r="F28" i="2057"/>
  <c r="E28" i="2057"/>
  <c r="D28" i="2057"/>
  <c r="Y25" i="2057"/>
  <c r="X25" i="2057"/>
  <c r="W25" i="2057"/>
  <c r="V25" i="2057"/>
  <c r="U25" i="2057"/>
  <c r="T25" i="2057"/>
  <c r="S25" i="2057"/>
  <c r="R25" i="2057"/>
  <c r="Q25" i="2057"/>
  <c r="P25" i="2057"/>
  <c r="O25" i="2057"/>
  <c r="N25" i="2057"/>
  <c r="M25" i="2057"/>
  <c r="L25" i="2057"/>
  <c r="K25" i="2057"/>
  <c r="J25" i="2057"/>
  <c r="I25" i="2057"/>
  <c r="H25" i="2057"/>
  <c r="G25" i="2057"/>
  <c r="F25" i="2057"/>
  <c r="E25" i="2057"/>
  <c r="D25" i="2057"/>
  <c r="AE19" i="2057"/>
  <c r="AD19" i="2057"/>
  <c r="AC19" i="2057"/>
  <c r="AB19" i="2057"/>
  <c r="AA19" i="2057"/>
  <c r="Z19" i="2057"/>
  <c r="Y19" i="2057"/>
  <c r="X19" i="2057"/>
  <c r="T33" i="2057" s="1"/>
  <c r="W19" i="2057"/>
  <c r="V19" i="2057"/>
  <c r="U19" i="2057"/>
  <c r="T19" i="2057"/>
  <c r="S19" i="2057"/>
  <c r="R19" i="2057"/>
  <c r="Q19" i="2057"/>
  <c r="P19" i="2057"/>
  <c r="O19" i="2057"/>
  <c r="N19" i="2057"/>
  <c r="G33" i="2057" s="1"/>
  <c r="M19" i="2057"/>
  <c r="H33" i="2057" s="1"/>
  <c r="L19" i="2057"/>
  <c r="P33" i="2057" s="1"/>
  <c r="K19" i="2057"/>
  <c r="L33" i="2057" s="1"/>
  <c r="J19" i="2057"/>
  <c r="I19" i="2057"/>
  <c r="AB33" i="2057" s="1"/>
  <c r="H19" i="2057"/>
  <c r="G19" i="2057"/>
  <c r="O33" i="2057" s="1"/>
  <c r="F19" i="2057"/>
  <c r="E19" i="2057"/>
  <c r="D19" i="2057"/>
  <c r="AE16" i="2057"/>
  <c r="AD16" i="2057"/>
  <c r="AC16" i="2057"/>
  <c r="AB16" i="2057"/>
  <c r="AA16" i="2057"/>
  <c r="Z16" i="2057"/>
  <c r="X16" i="2057"/>
  <c r="W16" i="2057"/>
  <c r="V16" i="2057"/>
  <c r="U16" i="2057"/>
  <c r="T16" i="2057"/>
  <c r="S16" i="2057"/>
  <c r="R16" i="2057"/>
  <c r="Q16" i="2057"/>
  <c r="P16" i="2057"/>
  <c r="O16" i="2057"/>
  <c r="N16" i="2057"/>
  <c r="M16" i="2057"/>
  <c r="L16" i="2057"/>
  <c r="K16" i="2057"/>
  <c r="J16" i="2057"/>
  <c r="I16" i="2057"/>
  <c r="H16" i="2057"/>
  <c r="G16" i="2057"/>
  <c r="F16" i="2057"/>
  <c r="E16" i="2057"/>
  <c r="D16" i="2057"/>
  <c r="AE10" i="2057"/>
  <c r="AD10" i="2057"/>
  <c r="AC10" i="2057"/>
  <c r="AB10" i="2057"/>
  <c r="AA10" i="2057"/>
  <c r="Z10" i="2057"/>
  <c r="Y10" i="2057"/>
  <c r="X10" i="2057"/>
  <c r="W10" i="2057"/>
  <c r="V10" i="2057"/>
  <c r="U10" i="2057"/>
  <c r="T10" i="2057"/>
  <c r="S10" i="2057"/>
  <c r="R10" i="2057"/>
  <c r="Q10" i="2057"/>
  <c r="P10" i="2057"/>
  <c r="O10" i="2057"/>
  <c r="N10" i="2057"/>
  <c r="M10" i="2057"/>
  <c r="L10" i="2057"/>
  <c r="K10" i="2057"/>
  <c r="J10" i="2057"/>
  <c r="Q33" i="2057" s="1"/>
  <c r="I10" i="2057"/>
  <c r="H10" i="2057"/>
  <c r="G10" i="2057"/>
  <c r="F10" i="2057"/>
  <c r="E10" i="2057"/>
  <c r="D10" i="2057"/>
  <c r="AE7" i="2057"/>
  <c r="AD7" i="2057"/>
  <c r="AC7" i="2057"/>
  <c r="AB7" i="2057"/>
  <c r="AA7" i="2057"/>
  <c r="Z7" i="2057"/>
  <c r="Y7" i="2057"/>
  <c r="X7" i="2057"/>
  <c r="W7" i="2057"/>
  <c r="V7" i="2057"/>
  <c r="U7" i="2057"/>
  <c r="T7" i="2057"/>
  <c r="S7" i="2057"/>
  <c r="R7" i="2057"/>
  <c r="Q7" i="2057"/>
  <c r="P7" i="2057"/>
  <c r="O7" i="2057"/>
  <c r="N7" i="2057"/>
  <c r="M7" i="2057"/>
  <c r="L7" i="2057"/>
  <c r="K7" i="2057"/>
  <c r="J7" i="2057"/>
  <c r="I7" i="2057"/>
  <c r="H7" i="2057"/>
  <c r="G7" i="2057"/>
  <c r="F7" i="2057"/>
  <c r="E7" i="2057"/>
  <c r="D7" i="2057"/>
  <c r="Z33" i="2057" l="1"/>
  <c r="J33" i="2057"/>
  <c r="W33" i="2057"/>
  <c r="AC33" i="2057"/>
  <c r="D33" i="2057"/>
  <c r="Y33" i="2057"/>
  <c r="N33" i="2057"/>
  <c r="K33" i="2057"/>
  <c r="E33" i="2057"/>
  <c r="M33" i="2057"/>
  <c r="V33" i="2057"/>
  <c r="AA33" i="2056"/>
  <c r="X33" i="2056"/>
  <c r="U33" i="2056"/>
  <c r="R33" i="2056"/>
  <c r="O33" i="2056"/>
  <c r="L33" i="2056"/>
  <c r="F33" i="2056"/>
  <c r="Y28" i="2056"/>
  <c r="X28" i="2056"/>
  <c r="W28" i="2056"/>
  <c r="V28" i="2056"/>
  <c r="U28" i="2056"/>
  <c r="T28" i="2056"/>
  <c r="S28" i="2056"/>
  <c r="R28" i="2056"/>
  <c r="Q28" i="2056"/>
  <c r="P28" i="2056"/>
  <c r="O28" i="2056"/>
  <c r="N28" i="2056"/>
  <c r="M28" i="2056"/>
  <c r="L28" i="2056"/>
  <c r="K28" i="2056"/>
  <c r="J28" i="2056"/>
  <c r="I28" i="2056"/>
  <c r="H28" i="2056"/>
  <c r="G28" i="2056"/>
  <c r="F28" i="2056"/>
  <c r="E28" i="2056"/>
  <c r="D28" i="2056"/>
  <c r="Y25" i="2056"/>
  <c r="X25" i="2056"/>
  <c r="W25" i="2056"/>
  <c r="V25" i="2056"/>
  <c r="U25" i="2056"/>
  <c r="T25" i="2056"/>
  <c r="S25" i="2056"/>
  <c r="R25" i="2056"/>
  <c r="Q25" i="2056"/>
  <c r="P25" i="2056"/>
  <c r="O25" i="2056"/>
  <c r="N25" i="2056"/>
  <c r="M25" i="2056"/>
  <c r="L25" i="2056"/>
  <c r="K25" i="2056"/>
  <c r="J25" i="2056"/>
  <c r="I25" i="2056"/>
  <c r="H25" i="2056"/>
  <c r="G25" i="2056"/>
  <c r="F25" i="2056"/>
  <c r="E25" i="2056"/>
  <c r="D25" i="2056"/>
  <c r="AE19" i="2056"/>
  <c r="AD19" i="2056"/>
  <c r="AC19" i="2056"/>
  <c r="AB19" i="2056"/>
  <c r="AA19" i="2056"/>
  <c r="Z19" i="2056"/>
  <c r="Y19" i="2056"/>
  <c r="X19" i="2056"/>
  <c r="T33" i="2056" s="1"/>
  <c r="W19" i="2056"/>
  <c r="V19" i="2056"/>
  <c r="U19" i="2056"/>
  <c r="T19" i="2056"/>
  <c r="S19" i="2056"/>
  <c r="R19" i="2056"/>
  <c r="Q19" i="2056"/>
  <c r="P19" i="2056"/>
  <c r="O19" i="2056"/>
  <c r="N19" i="2056"/>
  <c r="H33" i="2056" s="1"/>
  <c r="M19" i="2056"/>
  <c r="L19" i="2056"/>
  <c r="P33" i="2056" s="1"/>
  <c r="K19" i="2056"/>
  <c r="J19" i="2056"/>
  <c r="I19" i="2056"/>
  <c r="AB33" i="2056" s="1"/>
  <c r="H19" i="2056"/>
  <c r="G19" i="2056"/>
  <c r="F19" i="2056"/>
  <c r="E19" i="2056"/>
  <c r="D19" i="2056"/>
  <c r="AE16" i="2056"/>
  <c r="AD16" i="2056"/>
  <c r="AC16" i="2056"/>
  <c r="AB16" i="2056"/>
  <c r="AA16" i="2056"/>
  <c r="Z16" i="2056"/>
  <c r="X16" i="2056"/>
  <c r="W16" i="2056"/>
  <c r="V16" i="2056"/>
  <c r="U16" i="2056"/>
  <c r="T16" i="2056"/>
  <c r="S16" i="2056"/>
  <c r="R16" i="2056"/>
  <c r="Q16" i="2056"/>
  <c r="P16" i="2056"/>
  <c r="O16" i="2056"/>
  <c r="N16" i="2056"/>
  <c r="M16" i="2056"/>
  <c r="L16" i="2056"/>
  <c r="K16" i="2056"/>
  <c r="J16" i="2056"/>
  <c r="I16" i="2056"/>
  <c r="H16" i="2056"/>
  <c r="G16" i="2056"/>
  <c r="F16" i="2056"/>
  <c r="E16" i="2056"/>
  <c r="D16" i="2056"/>
  <c r="AE10" i="2056"/>
  <c r="AD10" i="2056"/>
  <c r="AC33" i="2056" s="1"/>
  <c r="AC10" i="2056"/>
  <c r="AB10" i="2056"/>
  <c r="AA10" i="2056"/>
  <c r="Z10" i="2056"/>
  <c r="Y10" i="2056"/>
  <c r="X10" i="2056"/>
  <c r="W10" i="2056"/>
  <c r="V10" i="2056"/>
  <c r="U10" i="2056"/>
  <c r="T10" i="2056"/>
  <c r="S10" i="2056"/>
  <c r="R10" i="2056"/>
  <c r="Q10" i="2056"/>
  <c r="P10" i="2056"/>
  <c r="O10" i="2056"/>
  <c r="N10" i="2056"/>
  <c r="M10" i="2056"/>
  <c r="L10" i="2056"/>
  <c r="K10" i="2056"/>
  <c r="J10" i="2056"/>
  <c r="I10" i="2056"/>
  <c r="E33" i="2056" s="1"/>
  <c r="H10" i="2056"/>
  <c r="G10" i="2056"/>
  <c r="F10" i="2056"/>
  <c r="J33" i="2056" s="1"/>
  <c r="E10" i="2056"/>
  <c r="S33" i="2056" s="1"/>
  <c r="D10" i="2056"/>
  <c r="AE7" i="2056"/>
  <c r="AD7" i="2056"/>
  <c r="AC7" i="2056"/>
  <c r="AB7" i="2056"/>
  <c r="AA7" i="2056"/>
  <c r="Z7" i="2056"/>
  <c r="Y7" i="2056"/>
  <c r="X7" i="2056"/>
  <c r="W7" i="2056"/>
  <c r="V7" i="2056"/>
  <c r="U7" i="2056"/>
  <c r="T7" i="2056"/>
  <c r="S7" i="2056"/>
  <c r="R7" i="2056"/>
  <c r="Q7" i="2056"/>
  <c r="P7" i="2056"/>
  <c r="O7" i="2056"/>
  <c r="N7" i="2056"/>
  <c r="M7" i="2056"/>
  <c r="L7" i="2056"/>
  <c r="K7" i="2056"/>
  <c r="J7" i="2056"/>
  <c r="I7" i="2056"/>
  <c r="H7" i="2056"/>
  <c r="G7" i="2056"/>
  <c r="F7" i="2056"/>
  <c r="E7" i="2056"/>
  <c r="D7" i="2056"/>
  <c r="K33" i="2056" l="1"/>
  <c r="W33" i="2056"/>
  <c r="D33" i="2056"/>
  <c r="Z33" i="2056"/>
  <c r="Y33" i="2056"/>
  <c r="N33" i="2056"/>
  <c r="Q33" i="2056"/>
  <c r="M33" i="2056"/>
  <c r="V33" i="2056"/>
  <c r="AA33" i="2055"/>
  <c r="X33" i="2055"/>
  <c r="U33" i="2055"/>
  <c r="R33" i="2055"/>
  <c r="O33" i="2055"/>
  <c r="L33" i="2055"/>
  <c r="J33" i="2055"/>
  <c r="F33" i="2055"/>
  <c r="Y28" i="2055"/>
  <c r="X28" i="2055"/>
  <c r="W28" i="2055"/>
  <c r="V28" i="2055"/>
  <c r="U28" i="2055"/>
  <c r="T28" i="2055"/>
  <c r="S28" i="2055"/>
  <c r="R28" i="2055"/>
  <c r="Q28" i="2055"/>
  <c r="P28" i="2055"/>
  <c r="O28" i="2055"/>
  <c r="N28" i="2055"/>
  <c r="M28" i="2055"/>
  <c r="L28" i="2055"/>
  <c r="K28" i="2055"/>
  <c r="J28" i="2055"/>
  <c r="I28" i="2055"/>
  <c r="H28" i="2055"/>
  <c r="G28" i="2055"/>
  <c r="F28" i="2055"/>
  <c r="E28" i="2055"/>
  <c r="D28" i="2055"/>
  <c r="Y25" i="2055"/>
  <c r="X25" i="2055"/>
  <c r="W25" i="2055"/>
  <c r="V25" i="2055"/>
  <c r="U25" i="2055"/>
  <c r="T25" i="2055"/>
  <c r="S25" i="2055"/>
  <c r="R25" i="2055"/>
  <c r="Q25" i="2055"/>
  <c r="P25" i="2055"/>
  <c r="O25" i="2055"/>
  <c r="N25" i="2055"/>
  <c r="M25" i="2055"/>
  <c r="L25" i="2055"/>
  <c r="K25" i="2055"/>
  <c r="J25" i="2055"/>
  <c r="I25" i="2055"/>
  <c r="H25" i="2055"/>
  <c r="G25" i="2055"/>
  <c r="F25" i="2055"/>
  <c r="E25" i="2055"/>
  <c r="D25" i="2055"/>
  <c r="AE19" i="2055"/>
  <c r="AD19" i="2055"/>
  <c r="AC19" i="2055"/>
  <c r="AB19" i="2055"/>
  <c r="AA19" i="2055"/>
  <c r="Z19" i="2055"/>
  <c r="Y19" i="2055"/>
  <c r="X19" i="2055"/>
  <c r="T33" i="2055" s="1"/>
  <c r="W19" i="2055"/>
  <c r="V19" i="2055"/>
  <c r="U19" i="2055"/>
  <c r="T19" i="2055"/>
  <c r="S19" i="2055"/>
  <c r="R19" i="2055"/>
  <c r="Q19" i="2055"/>
  <c r="P19" i="2055"/>
  <c r="O19" i="2055"/>
  <c r="N19" i="2055"/>
  <c r="H33" i="2055" s="1"/>
  <c r="M19" i="2055"/>
  <c r="L19" i="2055"/>
  <c r="P33" i="2055" s="1"/>
  <c r="K19" i="2055"/>
  <c r="J19" i="2055"/>
  <c r="I19" i="2055"/>
  <c r="AB33" i="2055" s="1"/>
  <c r="H19" i="2055"/>
  <c r="G19" i="2055"/>
  <c r="F19" i="2055"/>
  <c r="E19" i="2055"/>
  <c r="D19" i="2055"/>
  <c r="AE16" i="2055"/>
  <c r="AD16" i="2055"/>
  <c r="AC16" i="2055"/>
  <c r="AB16" i="2055"/>
  <c r="AA16" i="2055"/>
  <c r="Z16" i="2055"/>
  <c r="X16" i="2055"/>
  <c r="W16" i="2055"/>
  <c r="V16" i="2055"/>
  <c r="U16" i="2055"/>
  <c r="T16" i="2055"/>
  <c r="S16" i="2055"/>
  <c r="R16" i="2055"/>
  <c r="Q16" i="2055"/>
  <c r="P16" i="2055"/>
  <c r="O16" i="2055"/>
  <c r="N16" i="2055"/>
  <c r="M16" i="2055"/>
  <c r="L16" i="2055"/>
  <c r="K16" i="2055"/>
  <c r="J16" i="2055"/>
  <c r="I16" i="2055"/>
  <c r="H16" i="2055"/>
  <c r="G16" i="2055"/>
  <c r="F16" i="2055"/>
  <c r="E16" i="2055"/>
  <c r="D16" i="2055"/>
  <c r="AE10" i="2055"/>
  <c r="AD10" i="2055"/>
  <c r="AC33" i="2055" s="1"/>
  <c r="AC10" i="2055"/>
  <c r="AB10" i="2055"/>
  <c r="AA10" i="2055"/>
  <c r="Z10" i="2055"/>
  <c r="Y10" i="2055"/>
  <c r="X10" i="2055"/>
  <c r="W10" i="2055"/>
  <c r="V10" i="2055"/>
  <c r="U10" i="2055"/>
  <c r="T10" i="2055"/>
  <c r="S10" i="2055"/>
  <c r="R10" i="2055"/>
  <c r="Q10" i="2055"/>
  <c r="P10" i="2055"/>
  <c r="O10" i="2055"/>
  <c r="N10" i="2055"/>
  <c r="M10" i="2055"/>
  <c r="E33" i="2055" s="1"/>
  <c r="L10" i="2055"/>
  <c r="K10" i="2055"/>
  <c r="J10" i="2055"/>
  <c r="I10" i="2055"/>
  <c r="H10" i="2055"/>
  <c r="G10" i="2055"/>
  <c r="F10" i="2055"/>
  <c r="E10" i="2055"/>
  <c r="S33" i="2055" s="1"/>
  <c r="D10" i="2055"/>
  <c r="AE7" i="2055"/>
  <c r="AD7" i="2055"/>
  <c r="AC7" i="2055"/>
  <c r="AB7" i="2055"/>
  <c r="AA7" i="2055"/>
  <c r="Z7" i="2055"/>
  <c r="Y7" i="2055"/>
  <c r="X7" i="2055"/>
  <c r="W7" i="2055"/>
  <c r="V7" i="2055"/>
  <c r="U7" i="2055"/>
  <c r="T7" i="2055"/>
  <c r="S7" i="2055"/>
  <c r="R7" i="2055"/>
  <c r="Q7" i="2055"/>
  <c r="P7" i="2055"/>
  <c r="O7" i="2055"/>
  <c r="N7" i="2055"/>
  <c r="M7" i="2055"/>
  <c r="L7" i="2055"/>
  <c r="K7" i="2055"/>
  <c r="J7" i="2055"/>
  <c r="I7" i="2055"/>
  <c r="H7" i="2055"/>
  <c r="G7" i="2055"/>
  <c r="F7" i="2055"/>
  <c r="E7" i="2055"/>
  <c r="D7" i="2055"/>
  <c r="V33" i="2055" l="1"/>
  <c r="K33" i="2055"/>
  <c r="W33" i="2055"/>
  <c r="Z33" i="2055"/>
  <c r="D33" i="2055"/>
  <c r="Y33" i="2055"/>
  <c r="Q33" i="2055"/>
  <c r="N33" i="2055"/>
  <c r="M33" i="2055"/>
  <c r="AA33" i="2054"/>
  <c r="X33" i="2054"/>
  <c r="U33" i="2054"/>
  <c r="R33" i="2054"/>
  <c r="O33" i="2054"/>
  <c r="N33" i="2054"/>
  <c r="L33" i="2054"/>
  <c r="F33" i="2054"/>
  <c r="Y28" i="2054"/>
  <c r="X28" i="2054"/>
  <c r="W28" i="2054"/>
  <c r="V28" i="2054"/>
  <c r="U28" i="2054"/>
  <c r="T28" i="2054"/>
  <c r="S28" i="2054"/>
  <c r="R28" i="2054"/>
  <c r="Q28" i="2054"/>
  <c r="P28" i="2054"/>
  <c r="O28" i="2054"/>
  <c r="N28" i="2054"/>
  <c r="M28" i="2054"/>
  <c r="L28" i="2054"/>
  <c r="K28" i="2054"/>
  <c r="J28" i="2054"/>
  <c r="I28" i="2054"/>
  <c r="H28" i="2054"/>
  <c r="G28" i="2054"/>
  <c r="F28" i="2054"/>
  <c r="E28" i="2054"/>
  <c r="D28" i="2054"/>
  <c r="Y25" i="2054"/>
  <c r="X25" i="2054"/>
  <c r="W25" i="2054"/>
  <c r="V25" i="2054"/>
  <c r="U25" i="2054"/>
  <c r="T25" i="2054"/>
  <c r="S25" i="2054"/>
  <c r="R25" i="2054"/>
  <c r="Q25" i="2054"/>
  <c r="P25" i="2054"/>
  <c r="O25" i="2054"/>
  <c r="N25" i="2054"/>
  <c r="M25" i="2054"/>
  <c r="L25" i="2054"/>
  <c r="K25" i="2054"/>
  <c r="J25" i="2054"/>
  <c r="I25" i="2054"/>
  <c r="H25" i="2054"/>
  <c r="G25" i="2054"/>
  <c r="F25" i="2054"/>
  <c r="E25" i="2054"/>
  <c r="D25" i="2054"/>
  <c r="AE19" i="2054"/>
  <c r="AD19" i="2054"/>
  <c r="AC19" i="2054"/>
  <c r="AB19" i="2054"/>
  <c r="AA19" i="2054"/>
  <c r="Z19" i="2054"/>
  <c r="Y19" i="2054"/>
  <c r="X19" i="2054"/>
  <c r="T33" i="2054" s="1"/>
  <c r="W19" i="2054"/>
  <c r="V19" i="2054"/>
  <c r="U19" i="2054"/>
  <c r="T19" i="2054"/>
  <c r="S19" i="2054"/>
  <c r="R19" i="2054"/>
  <c r="Q19" i="2054"/>
  <c r="P19" i="2054"/>
  <c r="O19" i="2054"/>
  <c r="N19" i="2054"/>
  <c r="H33" i="2054" s="1"/>
  <c r="M19" i="2054"/>
  <c r="L19" i="2054"/>
  <c r="P33" i="2054" s="1"/>
  <c r="K19" i="2054"/>
  <c r="J19" i="2054"/>
  <c r="I19" i="2054"/>
  <c r="AB33" i="2054" s="1"/>
  <c r="H19" i="2054"/>
  <c r="G19" i="2054"/>
  <c r="F19" i="2054"/>
  <c r="E19" i="2054"/>
  <c r="D19" i="2054"/>
  <c r="AE16" i="2054"/>
  <c r="AD16" i="2054"/>
  <c r="AC16" i="2054"/>
  <c r="AB16" i="2054"/>
  <c r="AA16" i="2054"/>
  <c r="Z16" i="2054"/>
  <c r="X16" i="2054"/>
  <c r="W16" i="2054"/>
  <c r="V16" i="2054"/>
  <c r="U16" i="2054"/>
  <c r="T16" i="2054"/>
  <c r="S16" i="2054"/>
  <c r="R16" i="2054"/>
  <c r="Q16" i="2054"/>
  <c r="P16" i="2054"/>
  <c r="O16" i="2054"/>
  <c r="N16" i="2054"/>
  <c r="M16" i="2054"/>
  <c r="L16" i="2054"/>
  <c r="K16" i="2054"/>
  <c r="J16" i="2054"/>
  <c r="I16" i="2054"/>
  <c r="H16" i="2054"/>
  <c r="G16" i="2054"/>
  <c r="F16" i="2054"/>
  <c r="E16" i="2054"/>
  <c r="D16" i="2054"/>
  <c r="AE10" i="2054"/>
  <c r="AD10" i="2054"/>
  <c r="AC33" i="2054" s="1"/>
  <c r="AC10" i="2054"/>
  <c r="AB10" i="2054"/>
  <c r="AA10" i="2054"/>
  <c r="Z10" i="2054"/>
  <c r="Y10" i="2054"/>
  <c r="X10" i="2054"/>
  <c r="W10" i="2054"/>
  <c r="V10" i="2054"/>
  <c r="U10" i="2054"/>
  <c r="T10" i="2054"/>
  <c r="S10" i="2054"/>
  <c r="R10" i="2054"/>
  <c r="Q10" i="2054"/>
  <c r="P10" i="2054"/>
  <c r="O10" i="2054"/>
  <c r="N10" i="2054"/>
  <c r="Q33" i="2054" s="1"/>
  <c r="M10" i="2054"/>
  <c r="L10" i="2054"/>
  <c r="K10" i="2054"/>
  <c r="J10" i="2054"/>
  <c r="I10" i="2054"/>
  <c r="H10" i="2054"/>
  <c r="G10" i="2054"/>
  <c r="F10" i="2054"/>
  <c r="E10" i="2054"/>
  <c r="S33" i="2054" s="1"/>
  <c r="D10" i="2054"/>
  <c r="AE7" i="2054"/>
  <c r="AD7" i="2054"/>
  <c r="AC7" i="2054"/>
  <c r="AB7" i="2054"/>
  <c r="AA7" i="2054"/>
  <c r="Z7" i="2054"/>
  <c r="Y7" i="2054"/>
  <c r="X7" i="2054"/>
  <c r="W7" i="2054"/>
  <c r="V7" i="2054"/>
  <c r="U7" i="2054"/>
  <c r="T7" i="2054"/>
  <c r="S7" i="2054"/>
  <c r="R7" i="2054"/>
  <c r="Q7" i="2054"/>
  <c r="P7" i="2054"/>
  <c r="O7" i="2054"/>
  <c r="N7" i="2054"/>
  <c r="M7" i="2054"/>
  <c r="L7" i="2054"/>
  <c r="K7" i="2054"/>
  <c r="J7" i="2054"/>
  <c r="I7" i="2054"/>
  <c r="H7" i="2054"/>
  <c r="G7" i="2054"/>
  <c r="F7" i="2054"/>
  <c r="E7" i="2054"/>
  <c r="D7" i="2054"/>
  <c r="M33" i="2054" l="1"/>
  <c r="J33" i="2054"/>
  <c r="W33" i="2054"/>
  <c r="D33" i="2054"/>
  <c r="Z33" i="2054"/>
  <c r="Y33" i="2054"/>
  <c r="K33" i="2054"/>
  <c r="E33" i="2054"/>
  <c r="V33" i="2054"/>
  <c r="AA33" i="2053"/>
  <c r="X33" i="2053"/>
  <c r="U33" i="2053"/>
  <c r="R33" i="2053"/>
  <c r="O33" i="2053"/>
  <c r="L33" i="2053"/>
  <c r="F33" i="2053"/>
  <c r="Y28" i="2053"/>
  <c r="X28" i="2053"/>
  <c r="W28" i="2053"/>
  <c r="V28" i="2053"/>
  <c r="U28" i="2053"/>
  <c r="T28" i="2053"/>
  <c r="S28" i="2053"/>
  <c r="R28" i="2053"/>
  <c r="Q28" i="2053"/>
  <c r="P28" i="2053"/>
  <c r="O28" i="2053"/>
  <c r="N28" i="2053"/>
  <c r="M28" i="2053"/>
  <c r="L28" i="2053"/>
  <c r="K28" i="2053"/>
  <c r="J28" i="2053"/>
  <c r="I28" i="2053"/>
  <c r="H28" i="2053"/>
  <c r="G28" i="2053"/>
  <c r="F28" i="2053"/>
  <c r="E28" i="2053"/>
  <c r="D28" i="2053"/>
  <c r="Y25" i="2053"/>
  <c r="X25" i="2053"/>
  <c r="W25" i="2053"/>
  <c r="V25" i="2053"/>
  <c r="U25" i="2053"/>
  <c r="T25" i="2053"/>
  <c r="S25" i="2053"/>
  <c r="R25" i="2053"/>
  <c r="Q25" i="2053"/>
  <c r="P25" i="2053"/>
  <c r="O25" i="2053"/>
  <c r="N25" i="2053"/>
  <c r="M25" i="2053"/>
  <c r="L25" i="2053"/>
  <c r="K25" i="2053"/>
  <c r="J25" i="2053"/>
  <c r="I25" i="2053"/>
  <c r="H25" i="2053"/>
  <c r="G25" i="2053"/>
  <c r="F25" i="2053"/>
  <c r="E25" i="2053"/>
  <c r="D25" i="2053"/>
  <c r="AE19" i="2053"/>
  <c r="AD19" i="2053"/>
  <c r="AC19" i="2053"/>
  <c r="AB19" i="2053"/>
  <c r="AA19" i="2053"/>
  <c r="Z19" i="2053"/>
  <c r="Y19" i="2053"/>
  <c r="X19" i="2053"/>
  <c r="T33" i="2053" s="1"/>
  <c r="W19" i="2053"/>
  <c r="V19" i="2053"/>
  <c r="U19" i="2053"/>
  <c r="T19" i="2053"/>
  <c r="S19" i="2053"/>
  <c r="R19" i="2053"/>
  <c r="Q19" i="2053"/>
  <c r="P19" i="2053"/>
  <c r="O19" i="2053"/>
  <c r="N19" i="2053"/>
  <c r="H33" i="2053" s="1"/>
  <c r="M19" i="2053"/>
  <c r="L19" i="2053"/>
  <c r="P33" i="2053" s="1"/>
  <c r="K19" i="2053"/>
  <c r="J19" i="2053"/>
  <c r="I19" i="2053"/>
  <c r="AB33" i="2053" s="1"/>
  <c r="H19" i="2053"/>
  <c r="G19" i="2053"/>
  <c r="F19" i="2053"/>
  <c r="E19" i="2053"/>
  <c r="D19" i="2053"/>
  <c r="AE16" i="2053"/>
  <c r="AD16" i="2053"/>
  <c r="AC16" i="2053"/>
  <c r="AB16" i="2053"/>
  <c r="AA16" i="2053"/>
  <c r="Z16" i="2053"/>
  <c r="X16" i="2053"/>
  <c r="W16" i="2053"/>
  <c r="V16" i="2053"/>
  <c r="U16" i="2053"/>
  <c r="T16" i="2053"/>
  <c r="S16" i="2053"/>
  <c r="R16" i="2053"/>
  <c r="Q16" i="2053"/>
  <c r="P16" i="2053"/>
  <c r="O16" i="2053"/>
  <c r="N16" i="2053"/>
  <c r="M16" i="2053"/>
  <c r="L16" i="2053"/>
  <c r="K16" i="2053"/>
  <c r="J16" i="2053"/>
  <c r="I16" i="2053"/>
  <c r="H16" i="2053"/>
  <c r="G16" i="2053"/>
  <c r="F16" i="2053"/>
  <c r="E16" i="2053"/>
  <c r="D16" i="2053"/>
  <c r="AE10" i="2053"/>
  <c r="AD10" i="2053"/>
  <c r="AC33" i="2053" s="1"/>
  <c r="AC10" i="2053"/>
  <c r="AB10" i="2053"/>
  <c r="AA10" i="2053"/>
  <c r="Z10" i="2053"/>
  <c r="Y10" i="2053"/>
  <c r="X10" i="2053"/>
  <c r="W10" i="2053"/>
  <c r="V10" i="2053"/>
  <c r="U10" i="2053"/>
  <c r="T10" i="2053"/>
  <c r="S10" i="2053"/>
  <c r="R10" i="2053"/>
  <c r="Q10" i="2053"/>
  <c r="P10" i="2053"/>
  <c r="O10" i="2053"/>
  <c r="N10" i="2053"/>
  <c r="M10" i="2053"/>
  <c r="L10" i="2053"/>
  <c r="N33" i="2053" s="1"/>
  <c r="K10" i="2053"/>
  <c r="J10" i="2053"/>
  <c r="I10" i="2053"/>
  <c r="H10" i="2053"/>
  <c r="G10" i="2053"/>
  <c r="F10" i="2053"/>
  <c r="E10" i="2053"/>
  <c r="S33" i="2053" s="1"/>
  <c r="D10" i="2053"/>
  <c r="AE7" i="2053"/>
  <c r="AD7" i="2053"/>
  <c r="AC7" i="2053"/>
  <c r="AB7" i="2053"/>
  <c r="AA7" i="2053"/>
  <c r="Z7" i="2053"/>
  <c r="Y7" i="2053"/>
  <c r="X7" i="2053"/>
  <c r="W7" i="2053"/>
  <c r="V7" i="2053"/>
  <c r="U7" i="2053"/>
  <c r="T7" i="2053"/>
  <c r="S7" i="2053"/>
  <c r="R7" i="2053"/>
  <c r="Q7" i="2053"/>
  <c r="P7" i="2053"/>
  <c r="O7" i="2053"/>
  <c r="N7" i="2053"/>
  <c r="M7" i="2053"/>
  <c r="L7" i="2053"/>
  <c r="K7" i="2053"/>
  <c r="J7" i="2053"/>
  <c r="I7" i="2053"/>
  <c r="H7" i="2053"/>
  <c r="G7" i="2053"/>
  <c r="F7" i="2053"/>
  <c r="E7" i="2053"/>
  <c r="D7" i="2053"/>
  <c r="J33" i="2053" l="1"/>
  <c r="K33" i="2053"/>
  <c r="W33" i="2053"/>
  <c r="Z33" i="2053"/>
  <c r="D33" i="2053"/>
  <c r="Y33" i="2053"/>
  <c r="Q33" i="2053"/>
  <c r="E33" i="2053"/>
  <c r="M33" i="2053"/>
  <c r="V33" i="2053"/>
  <c r="AA33" i="2052"/>
  <c r="X33" i="2052"/>
  <c r="U33" i="2052"/>
  <c r="R33" i="2052"/>
  <c r="O33" i="2052"/>
  <c r="L33" i="2052"/>
  <c r="F33" i="2052"/>
  <c r="Y28" i="2052"/>
  <c r="X28" i="2052"/>
  <c r="W28" i="2052"/>
  <c r="V28" i="2052"/>
  <c r="U28" i="2052"/>
  <c r="T28" i="2052"/>
  <c r="S28" i="2052"/>
  <c r="R28" i="2052"/>
  <c r="Q28" i="2052"/>
  <c r="P28" i="2052"/>
  <c r="O28" i="2052"/>
  <c r="N28" i="2052"/>
  <c r="M28" i="2052"/>
  <c r="L28" i="2052"/>
  <c r="K28" i="2052"/>
  <c r="J28" i="2052"/>
  <c r="I28" i="2052"/>
  <c r="H28" i="2052"/>
  <c r="G28" i="2052"/>
  <c r="F28" i="2052"/>
  <c r="E28" i="2052"/>
  <c r="D28" i="2052"/>
  <c r="Y25" i="2052"/>
  <c r="X25" i="2052"/>
  <c r="W25" i="2052"/>
  <c r="V25" i="2052"/>
  <c r="U25" i="2052"/>
  <c r="T25" i="2052"/>
  <c r="S25" i="2052"/>
  <c r="R25" i="2052"/>
  <c r="Q25" i="2052"/>
  <c r="P25" i="2052"/>
  <c r="O25" i="2052"/>
  <c r="N25" i="2052"/>
  <c r="M25" i="2052"/>
  <c r="L25" i="2052"/>
  <c r="K25" i="2052"/>
  <c r="J25" i="2052"/>
  <c r="I25" i="2052"/>
  <c r="H25" i="2052"/>
  <c r="G25" i="2052"/>
  <c r="F25" i="2052"/>
  <c r="E25" i="2052"/>
  <c r="D25" i="2052"/>
  <c r="AE19" i="2052"/>
  <c r="AD19" i="2052"/>
  <c r="AC19" i="2052"/>
  <c r="AB19" i="2052"/>
  <c r="AA19" i="2052"/>
  <c r="Z19" i="2052"/>
  <c r="Y19" i="2052"/>
  <c r="X19" i="2052"/>
  <c r="T33" i="2052" s="1"/>
  <c r="W19" i="2052"/>
  <c r="V19" i="2052"/>
  <c r="U19" i="2052"/>
  <c r="T19" i="2052"/>
  <c r="S19" i="2052"/>
  <c r="R19" i="2052"/>
  <c r="Q19" i="2052"/>
  <c r="P19" i="2052"/>
  <c r="O19" i="2052"/>
  <c r="N19" i="2052"/>
  <c r="H33" i="2052" s="1"/>
  <c r="M19" i="2052"/>
  <c r="L19" i="2052"/>
  <c r="P33" i="2052" s="1"/>
  <c r="K19" i="2052"/>
  <c r="J19" i="2052"/>
  <c r="I19" i="2052"/>
  <c r="AB33" i="2052" s="1"/>
  <c r="H19" i="2052"/>
  <c r="G19" i="2052"/>
  <c r="F19" i="2052"/>
  <c r="E19" i="2052"/>
  <c r="D19" i="2052"/>
  <c r="AE16" i="2052"/>
  <c r="AD16" i="2052"/>
  <c r="AC16" i="2052"/>
  <c r="AB16" i="2052"/>
  <c r="AA16" i="2052"/>
  <c r="Z16" i="2052"/>
  <c r="X16" i="2052"/>
  <c r="W16" i="2052"/>
  <c r="V16" i="2052"/>
  <c r="U16" i="2052"/>
  <c r="T16" i="2052"/>
  <c r="S16" i="2052"/>
  <c r="R16" i="2052"/>
  <c r="Q16" i="2052"/>
  <c r="P16" i="2052"/>
  <c r="O16" i="2052"/>
  <c r="N16" i="2052"/>
  <c r="M16" i="2052"/>
  <c r="L16" i="2052"/>
  <c r="K16" i="2052"/>
  <c r="J16" i="2052"/>
  <c r="I16" i="2052"/>
  <c r="H16" i="2052"/>
  <c r="G16" i="2052"/>
  <c r="F16" i="2052"/>
  <c r="E16" i="2052"/>
  <c r="D16" i="2052"/>
  <c r="AE10" i="2052"/>
  <c r="AD10" i="2052"/>
  <c r="AC33" i="2052" s="1"/>
  <c r="AC10" i="2052"/>
  <c r="AB10" i="2052"/>
  <c r="AA10" i="2052"/>
  <c r="Z10" i="2052"/>
  <c r="Y10" i="2052"/>
  <c r="X10" i="2052"/>
  <c r="W10" i="2052"/>
  <c r="V10" i="2052"/>
  <c r="U10" i="2052"/>
  <c r="T10" i="2052"/>
  <c r="S10" i="2052"/>
  <c r="R10" i="2052"/>
  <c r="Q10" i="2052"/>
  <c r="P10" i="2052"/>
  <c r="O10" i="2052"/>
  <c r="N10" i="2052"/>
  <c r="M10" i="2052"/>
  <c r="L10" i="2052"/>
  <c r="N33" i="2052" s="1"/>
  <c r="K10" i="2052"/>
  <c r="J10" i="2052"/>
  <c r="I10" i="2052"/>
  <c r="H10" i="2052"/>
  <c r="G10" i="2052"/>
  <c r="F10" i="2052"/>
  <c r="J33" i="2052" s="1"/>
  <c r="E10" i="2052"/>
  <c r="S33" i="2052" s="1"/>
  <c r="D10" i="2052"/>
  <c r="AE7" i="2052"/>
  <c r="AD7" i="2052"/>
  <c r="AC7" i="2052"/>
  <c r="AB7" i="2052"/>
  <c r="AA7" i="2052"/>
  <c r="Z7" i="2052"/>
  <c r="Y7" i="2052"/>
  <c r="X7" i="2052"/>
  <c r="W7" i="2052"/>
  <c r="V7" i="2052"/>
  <c r="U7" i="2052"/>
  <c r="T7" i="2052"/>
  <c r="S7" i="2052"/>
  <c r="R7" i="2052"/>
  <c r="Q7" i="2052"/>
  <c r="P7" i="2052"/>
  <c r="O7" i="2052"/>
  <c r="N7" i="2052"/>
  <c r="M7" i="2052"/>
  <c r="L7" i="2052"/>
  <c r="K7" i="2052"/>
  <c r="J7" i="2052"/>
  <c r="I7" i="2052"/>
  <c r="H7" i="2052"/>
  <c r="G7" i="2052"/>
  <c r="F7" i="2052"/>
  <c r="E7" i="2052"/>
  <c r="D7" i="2052"/>
  <c r="K33" i="2052" l="1"/>
  <c r="W33" i="2052"/>
  <c r="D33" i="2052"/>
  <c r="Z33" i="2052"/>
  <c r="Y33" i="2052"/>
  <c r="Q33" i="2052"/>
  <c r="E33" i="2052"/>
  <c r="M33" i="2052"/>
  <c r="V33" i="2052"/>
  <c r="AA33" i="2051" l="1"/>
  <c r="X33" i="2051"/>
  <c r="U33" i="2051"/>
  <c r="R33" i="2051"/>
  <c r="P33" i="2051"/>
  <c r="O33" i="2051"/>
  <c r="L33" i="2051"/>
  <c r="F33" i="2051"/>
  <c r="Y28" i="2051"/>
  <c r="X28" i="2051"/>
  <c r="W28" i="2051"/>
  <c r="V28" i="2051"/>
  <c r="U28" i="2051"/>
  <c r="T28" i="2051"/>
  <c r="S28" i="2051"/>
  <c r="R28" i="2051"/>
  <c r="Q28" i="2051"/>
  <c r="P28" i="2051"/>
  <c r="O28" i="2051"/>
  <c r="N28" i="2051"/>
  <c r="M28" i="2051"/>
  <c r="L28" i="2051"/>
  <c r="K28" i="2051"/>
  <c r="J28" i="2051"/>
  <c r="I28" i="2051"/>
  <c r="H28" i="2051"/>
  <c r="G28" i="2051"/>
  <c r="F28" i="2051"/>
  <c r="E28" i="2051"/>
  <c r="D28" i="2051"/>
  <c r="Y25" i="2051"/>
  <c r="X25" i="2051"/>
  <c r="W25" i="2051"/>
  <c r="V25" i="2051"/>
  <c r="U25" i="2051"/>
  <c r="T25" i="2051"/>
  <c r="S25" i="2051"/>
  <c r="R25" i="2051"/>
  <c r="Q25" i="2051"/>
  <c r="P25" i="2051"/>
  <c r="O25" i="2051"/>
  <c r="N25" i="2051"/>
  <c r="M25" i="2051"/>
  <c r="L25" i="2051"/>
  <c r="K25" i="2051"/>
  <c r="J25" i="2051"/>
  <c r="I25" i="2051"/>
  <c r="H25" i="2051"/>
  <c r="G25" i="2051"/>
  <c r="F25" i="2051"/>
  <c r="E25" i="2051"/>
  <c r="D25" i="2051"/>
  <c r="AE19" i="2051"/>
  <c r="AD19" i="2051"/>
  <c r="AC19" i="2051"/>
  <c r="AB19" i="2051"/>
  <c r="AA19" i="2051"/>
  <c r="Z19" i="2051"/>
  <c r="Y19" i="2051"/>
  <c r="X19" i="2051"/>
  <c r="T33" i="2051" s="1"/>
  <c r="W19" i="2051"/>
  <c r="V19" i="2051"/>
  <c r="U19" i="2051"/>
  <c r="T19" i="2051"/>
  <c r="S19" i="2051"/>
  <c r="R19" i="2051"/>
  <c r="Q19" i="2051"/>
  <c r="P19" i="2051"/>
  <c r="O19" i="2051"/>
  <c r="N19" i="2051"/>
  <c r="H33" i="2051" s="1"/>
  <c r="M19" i="2051"/>
  <c r="L19" i="2051"/>
  <c r="K19" i="2051"/>
  <c r="J19" i="2051"/>
  <c r="I19" i="2051"/>
  <c r="AB33" i="2051" s="1"/>
  <c r="H19" i="2051"/>
  <c r="G19" i="2051"/>
  <c r="F19" i="2051"/>
  <c r="E19" i="2051"/>
  <c r="D19" i="2051"/>
  <c r="AE16" i="2051"/>
  <c r="AD16" i="2051"/>
  <c r="AC16" i="2051"/>
  <c r="AB16" i="2051"/>
  <c r="AA16" i="2051"/>
  <c r="Z16" i="2051"/>
  <c r="X16" i="2051"/>
  <c r="W16" i="2051"/>
  <c r="V16" i="2051"/>
  <c r="U16" i="2051"/>
  <c r="T16" i="2051"/>
  <c r="S16" i="2051"/>
  <c r="R16" i="2051"/>
  <c r="Q16" i="2051"/>
  <c r="P16" i="2051"/>
  <c r="O16" i="2051"/>
  <c r="N16" i="2051"/>
  <c r="M16" i="2051"/>
  <c r="L16" i="2051"/>
  <c r="K16" i="2051"/>
  <c r="J16" i="2051"/>
  <c r="I16" i="2051"/>
  <c r="H16" i="2051"/>
  <c r="G16" i="2051"/>
  <c r="F16" i="2051"/>
  <c r="E16" i="2051"/>
  <c r="D16" i="2051"/>
  <c r="AE10" i="2051"/>
  <c r="AD10" i="2051"/>
  <c r="AC33" i="2051" s="1"/>
  <c r="AC10" i="2051"/>
  <c r="AB10" i="2051"/>
  <c r="AA10" i="2051"/>
  <c r="Z10" i="2051"/>
  <c r="Y10" i="2051"/>
  <c r="X10" i="2051"/>
  <c r="W10" i="2051"/>
  <c r="V10" i="2051"/>
  <c r="U10" i="2051"/>
  <c r="T10" i="2051"/>
  <c r="S10" i="2051"/>
  <c r="R10" i="2051"/>
  <c r="Q10" i="2051"/>
  <c r="P10" i="2051"/>
  <c r="O10" i="2051"/>
  <c r="N10" i="2051"/>
  <c r="M10" i="2051"/>
  <c r="E33" i="2051" s="1"/>
  <c r="L10" i="2051"/>
  <c r="K10" i="2051"/>
  <c r="J10" i="2051"/>
  <c r="I10" i="2051"/>
  <c r="H10" i="2051"/>
  <c r="G10" i="2051"/>
  <c r="F10" i="2051"/>
  <c r="E10" i="2051"/>
  <c r="D10" i="2051"/>
  <c r="AE7" i="2051"/>
  <c r="AD7" i="2051"/>
  <c r="AC7" i="2051"/>
  <c r="AB7" i="2051"/>
  <c r="AA7" i="2051"/>
  <c r="Z7" i="2051"/>
  <c r="Y7" i="2051"/>
  <c r="X7" i="2051"/>
  <c r="W7" i="2051"/>
  <c r="V7" i="2051"/>
  <c r="U7" i="2051"/>
  <c r="T7" i="2051"/>
  <c r="S7" i="2051"/>
  <c r="R7" i="2051"/>
  <c r="Q7" i="2051"/>
  <c r="P7" i="2051"/>
  <c r="O7" i="2051"/>
  <c r="N7" i="2051"/>
  <c r="M7" i="2051"/>
  <c r="L7" i="2051"/>
  <c r="K7" i="2051"/>
  <c r="J7" i="2051"/>
  <c r="I7" i="2051"/>
  <c r="H7" i="2051"/>
  <c r="G7" i="2051"/>
  <c r="F7" i="2051"/>
  <c r="E7" i="2051"/>
  <c r="D7" i="2051"/>
  <c r="S33" i="2051" l="1"/>
  <c r="J33" i="2051"/>
  <c r="V33" i="2051"/>
  <c r="K33" i="2051"/>
  <c r="W33" i="2051"/>
  <c r="D33" i="2051"/>
  <c r="Y33" i="2051"/>
  <c r="N33" i="2051"/>
  <c r="Q33" i="2051"/>
  <c r="M33" i="2051"/>
  <c r="Z33" i="2051"/>
  <c r="AA33" i="2050"/>
  <c r="X33" i="2050"/>
  <c r="U33" i="2050"/>
  <c r="R33" i="2050"/>
  <c r="P33" i="2050"/>
  <c r="O33" i="2050"/>
  <c r="L33" i="2050"/>
  <c r="F33" i="2050"/>
  <c r="Y28" i="2050"/>
  <c r="X28" i="2050"/>
  <c r="W28" i="2050"/>
  <c r="V28" i="2050"/>
  <c r="U28" i="2050"/>
  <c r="T28" i="2050"/>
  <c r="S28" i="2050"/>
  <c r="R28" i="2050"/>
  <c r="Q28" i="2050"/>
  <c r="P28" i="2050"/>
  <c r="O28" i="2050"/>
  <c r="N28" i="2050"/>
  <c r="M28" i="2050"/>
  <c r="L28" i="2050"/>
  <c r="K28" i="2050"/>
  <c r="J28" i="2050"/>
  <c r="I28" i="2050"/>
  <c r="H28" i="2050"/>
  <c r="G28" i="2050"/>
  <c r="F28" i="2050"/>
  <c r="E28" i="2050"/>
  <c r="D28" i="2050"/>
  <c r="Y25" i="2050"/>
  <c r="X25" i="2050"/>
  <c r="W25" i="2050"/>
  <c r="V25" i="2050"/>
  <c r="U25" i="2050"/>
  <c r="T25" i="2050"/>
  <c r="S25" i="2050"/>
  <c r="R25" i="2050"/>
  <c r="Q25" i="2050"/>
  <c r="P25" i="2050"/>
  <c r="O25" i="2050"/>
  <c r="N25" i="2050"/>
  <c r="M25" i="2050"/>
  <c r="L25" i="2050"/>
  <c r="K25" i="2050"/>
  <c r="J25" i="2050"/>
  <c r="I25" i="2050"/>
  <c r="H25" i="2050"/>
  <c r="G25" i="2050"/>
  <c r="F25" i="2050"/>
  <c r="E25" i="2050"/>
  <c r="D25" i="2050"/>
  <c r="AE19" i="2050"/>
  <c r="AD19" i="2050"/>
  <c r="AC19" i="2050"/>
  <c r="AB19" i="2050"/>
  <c r="AA19" i="2050"/>
  <c r="Z19" i="2050"/>
  <c r="Y19" i="2050"/>
  <c r="X19" i="2050"/>
  <c r="T33" i="2050" s="1"/>
  <c r="W19" i="2050"/>
  <c r="V19" i="2050"/>
  <c r="U19" i="2050"/>
  <c r="T19" i="2050"/>
  <c r="S19" i="2050"/>
  <c r="R19" i="2050"/>
  <c r="Q19" i="2050"/>
  <c r="P19" i="2050"/>
  <c r="O19" i="2050"/>
  <c r="N19" i="2050"/>
  <c r="H33" i="2050" s="1"/>
  <c r="M19" i="2050"/>
  <c r="L19" i="2050"/>
  <c r="K19" i="2050"/>
  <c r="J19" i="2050"/>
  <c r="I19" i="2050"/>
  <c r="AB33" i="2050" s="1"/>
  <c r="H19" i="2050"/>
  <c r="G19" i="2050"/>
  <c r="F19" i="2050"/>
  <c r="E19" i="2050"/>
  <c r="D19" i="2050"/>
  <c r="AE16" i="2050"/>
  <c r="AD16" i="2050"/>
  <c r="AC16" i="2050"/>
  <c r="AB16" i="2050"/>
  <c r="AA16" i="2050"/>
  <c r="Z16" i="2050"/>
  <c r="X16" i="2050"/>
  <c r="W16" i="2050"/>
  <c r="V16" i="2050"/>
  <c r="U16" i="2050"/>
  <c r="T16" i="2050"/>
  <c r="S16" i="2050"/>
  <c r="R16" i="2050"/>
  <c r="Q16" i="2050"/>
  <c r="P16" i="2050"/>
  <c r="O16" i="2050"/>
  <c r="N16" i="2050"/>
  <c r="M16" i="2050"/>
  <c r="L16" i="2050"/>
  <c r="K16" i="2050"/>
  <c r="J16" i="2050"/>
  <c r="I16" i="2050"/>
  <c r="H16" i="2050"/>
  <c r="G16" i="2050"/>
  <c r="F16" i="2050"/>
  <c r="E16" i="2050"/>
  <c r="D16" i="2050"/>
  <c r="AE10" i="2050"/>
  <c r="AD10" i="2050"/>
  <c r="AC33" i="2050" s="1"/>
  <c r="AC10" i="2050"/>
  <c r="AB10" i="2050"/>
  <c r="AA10" i="2050"/>
  <c r="Z10" i="2050"/>
  <c r="Y10" i="2050"/>
  <c r="X10" i="2050"/>
  <c r="W10" i="2050"/>
  <c r="V10" i="2050"/>
  <c r="U10" i="2050"/>
  <c r="T10" i="2050"/>
  <c r="S10" i="2050"/>
  <c r="R10" i="2050"/>
  <c r="Q10" i="2050"/>
  <c r="P10" i="2050"/>
  <c r="O10" i="2050"/>
  <c r="N10" i="2050"/>
  <c r="M10" i="2050"/>
  <c r="E33" i="2050" s="1"/>
  <c r="L10" i="2050"/>
  <c r="N33" i="2050" s="1"/>
  <c r="K10" i="2050"/>
  <c r="J10" i="2050"/>
  <c r="I10" i="2050"/>
  <c r="H10" i="2050"/>
  <c r="G10" i="2050"/>
  <c r="F10" i="2050"/>
  <c r="J33" i="2050" s="1"/>
  <c r="E10" i="2050"/>
  <c r="S33" i="2050" s="1"/>
  <c r="D10" i="2050"/>
  <c r="AE7" i="2050"/>
  <c r="AD7" i="2050"/>
  <c r="AC7" i="2050"/>
  <c r="AB7" i="2050"/>
  <c r="AA7" i="2050"/>
  <c r="Z7" i="2050"/>
  <c r="Y7" i="2050"/>
  <c r="X7" i="2050"/>
  <c r="W7" i="2050"/>
  <c r="V7" i="2050"/>
  <c r="U7" i="2050"/>
  <c r="T7" i="2050"/>
  <c r="S7" i="2050"/>
  <c r="R7" i="2050"/>
  <c r="Q7" i="2050"/>
  <c r="P7" i="2050"/>
  <c r="O7" i="2050"/>
  <c r="N7" i="2050"/>
  <c r="M7" i="2050"/>
  <c r="L7" i="2050"/>
  <c r="K7" i="2050"/>
  <c r="J7" i="2050"/>
  <c r="I7" i="2050"/>
  <c r="H7" i="2050"/>
  <c r="G7" i="2050"/>
  <c r="F7" i="2050"/>
  <c r="E7" i="2050"/>
  <c r="D7" i="2050"/>
  <c r="V33" i="2050" l="1"/>
  <c r="W33" i="2050"/>
  <c r="Z33" i="2050"/>
  <c r="D33" i="2050"/>
  <c r="Y33" i="2050"/>
  <c r="K33" i="2050"/>
  <c r="Q33" i="2050"/>
  <c r="M33" i="2050"/>
  <c r="AA33" i="2049"/>
  <c r="X33" i="2049"/>
  <c r="U33" i="2049"/>
  <c r="R33" i="2049"/>
  <c r="O33" i="2049"/>
  <c r="L33" i="2049"/>
  <c r="F33" i="2049"/>
  <c r="Y28" i="2049"/>
  <c r="X28" i="2049"/>
  <c r="W28" i="2049"/>
  <c r="V28" i="2049"/>
  <c r="U28" i="2049"/>
  <c r="T28" i="2049"/>
  <c r="S28" i="2049"/>
  <c r="R28" i="2049"/>
  <c r="Q28" i="2049"/>
  <c r="P28" i="2049"/>
  <c r="O28" i="2049"/>
  <c r="N28" i="2049"/>
  <c r="M28" i="2049"/>
  <c r="L28" i="2049"/>
  <c r="K28" i="2049"/>
  <c r="J28" i="2049"/>
  <c r="I28" i="2049"/>
  <c r="H28" i="2049"/>
  <c r="G28" i="2049"/>
  <c r="F28" i="2049"/>
  <c r="E28" i="2049"/>
  <c r="D28" i="2049"/>
  <c r="Y25" i="2049"/>
  <c r="X25" i="2049"/>
  <c r="W25" i="2049"/>
  <c r="V25" i="2049"/>
  <c r="U25" i="2049"/>
  <c r="T25" i="2049"/>
  <c r="S25" i="2049"/>
  <c r="R25" i="2049"/>
  <c r="Q25" i="2049"/>
  <c r="P25" i="2049"/>
  <c r="O25" i="2049"/>
  <c r="N25" i="2049"/>
  <c r="M25" i="2049"/>
  <c r="L25" i="2049"/>
  <c r="K25" i="2049"/>
  <c r="J25" i="2049"/>
  <c r="I25" i="2049"/>
  <c r="H25" i="2049"/>
  <c r="G25" i="2049"/>
  <c r="F25" i="2049"/>
  <c r="E25" i="2049"/>
  <c r="D25" i="2049"/>
  <c r="AE19" i="2049"/>
  <c r="AD19" i="2049"/>
  <c r="AC19" i="2049"/>
  <c r="AB19" i="2049"/>
  <c r="AA19" i="2049"/>
  <c r="Z19" i="2049"/>
  <c r="Y19" i="2049"/>
  <c r="X19" i="2049"/>
  <c r="T33" i="2049" s="1"/>
  <c r="W19" i="2049"/>
  <c r="V19" i="2049"/>
  <c r="U19" i="2049"/>
  <c r="T19" i="2049"/>
  <c r="S19" i="2049"/>
  <c r="R19" i="2049"/>
  <c r="Q19" i="2049"/>
  <c r="P19" i="2049"/>
  <c r="O19" i="2049"/>
  <c r="N19" i="2049"/>
  <c r="H33" i="2049" s="1"/>
  <c r="M19" i="2049"/>
  <c r="L19" i="2049"/>
  <c r="P33" i="2049" s="1"/>
  <c r="K19" i="2049"/>
  <c r="J19" i="2049"/>
  <c r="I19" i="2049"/>
  <c r="AB33" i="2049" s="1"/>
  <c r="H19" i="2049"/>
  <c r="G19" i="2049"/>
  <c r="F19" i="2049"/>
  <c r="E19" i="2049"/>
  <c r="D19" i="2049"/>
  <c r="AE16" i="2049"/>
  <c r="AD16" i="2049"/>
  <c r="AC16" i="2049"/>
  <c r="AB16" i="2049"/>
  <c r="AA16" i="2049"/>
  <c r="Z16" i="2049"/>
  <c r="X16" i="2049"/>
  <c r="W16" i="2049"/>
  <c r="V16" i="2049"/>
  <c r="U16" i="2049"/>
  <c r="T16" i="2049"/>
  <c r="S16" i="2049"/>
  <c r="R16" i="2049"/>
  <c r="Q16" i="2049"/>
  <c r="P16" i="2049"/>
  <c r="O16" i="2049"/>
  <c r="N16" i="2049"/>
  <c r="M16" i="2049"/>
  <c r="L16" i="2049"/>
  <c r="K16" i="2049"/>
  <c r="J16" i="2049"/>
  <c r="I16" i="2049"/>
  <c r="H16" i="2049"/>
  <c r="G16" i="2049"/>
  <c r="F16" i="2049"/>
  <c r="E16" i="2049"/>
  <c r="D16" i="2049"/>
  <c r="AE10" i="2049"/>
  <c r="AD10" i="2049"/>
  <c r="AC33" i="2049" s="1"/>
  <c r="AC10" i="2049"/>
  <c r="AB10" i="2049"/>
  <c r="AA10" i="2049"/>
  <c r="Z10" i="2049"/>
  <c r="Y10" i="2049"/>
  <c r="X10" i="2049"/>
  <c r="W10" i="2049"/>
  <c r="V10" i="2049"/>
  <c r="U10" i="2049"/>
  <c r="T10" i="2049"/>
  <c r="S10" i="2049"/>
  <c r="R10" i="2049"/>
  <c r="Q10" i="2049"/>
  <c r="P10" i="2049"/>
  <c r="O10" i="2049"/>
  <c r="N10" i="2049"/>
  <c r="M10" i="2049"/>
  <c r="E33" i="2049" s="1"/>
  <c r="L10" i="2049"/>
  <c r="K10" i="2049"/>
  <c r="J10" i="2049"/>
  <c r="Q33" i="2049" s="1"/>
  <c r="I10" i="2049"/>
  <c r="H10" i="2049"/>
  <c r="G10" i="2049"/>
  <c r="F10" i="2049"/>
  <c r="J33" i="2049" s="1"/>
  <c r="E10" i="2049"/>
  <c r="S33" i="2049" s="1"/>
  <c r="D10" i="2049"/>
  <c r="AE7" i="2049"/>
  <c r="AD7" i="2049"/>
  <c r="AC7" i="2049"/>
  <c r="AB7" i="2049"/>
  <c r="AA7" i="2049"/>
  <c r="Z7" i="2049"/>
  <c r="Y7" i="2049"/>
  <c r="X7" i="2049"/>
  <c r="W7" i="2049"/>
  <c r="V7" i="2049"/>
  <c r="U7" i="2049"/>
  <c r="T7" i="2049"/>
  <c r="S7" i="2049"/>
  <c r="R7" i="2049"/>
  <c r="Q7" i="2049"/>
  <c r="P7" i="2049"/>
  <c r="O7" i="2049"/>
  <c r="N7" i="2049"/>
  <c r="M7" i="2049"/>
  <c r="L7" i="2049"/>
  <c r="K7" i="2049"/>
  <c r="J7" i="2049"/>
  <c r="I7" i="2049"/>
  <c r="H7" i="2049"/>
  <c r="G7" i="2049"/>
  <c r="F7" i="2049"/>
  <c r="E7" i="2049"/>
  <c r="D7" i="2049"/>
  <c r="W33" i="2049" l="1"/>
  <c r="D33" i="2049"/>
  <c r="Z33" i="2049"/>
  <c r="Y33" i="2049"/>
  <c r="N33" i="2049"/>
  <c r="K33" i="2049"/>
  <c r="M33" i="2049"/>
  <c r="V33" i="2049"/>
  <c r="AA33" i="2048" l="1"/>
  <c r="X33" i="2048"/>
  <c r="U33" i="2048"/>
  <c r="R33" i="2048"/>
  <c r="O33" i="2048"/>
  <c r="L33" i="2048"/>
  <c r="F33" i="2048"/>
  <c r="Y28" i="2048"/>
  <c r="X28" i="2048"/>
  <c r="W28" i="2048"/>
  <c r="V28" i="2048"/>
  <c r="U28" i="2048"/>
  <c r="T28" i="2048"/>
  <c r="S28" i="2048"/>
  <c r="R28" i="2048"/>
  <c r="Q28" i="2048"/>
  <c r="P28" i="2048"/>
  <c r="O28" i="2048"/>
  <c r="N28" i="2048"/>
  <c r="M28" i="2048"/>
  <c r="L28" i="2048"/>
  <c r="K28" i="2048"/>
  <c r="J28" i="2048"/>
  <c r="I28" i="2048"/>
  <c r="H28" i="2048"/>
  <c r="G28" i="2048"/>
  <c r="F28" i="2048"/>
  <c r="E28" i="2048"/>
  <c r="D28" i="2048"/>
  <c r="Y25" i="2048"/>
  <c r="X25" i="2048"/>
  <c r="W25" i="2048"/>
  <c r="V25" i="2048"/>
  <c r="U25" i="2048"/>
  <c r="T25" i="2048"/>
  <c r="S25" i="2048"/>
  <c r="R25" i="2048"/>
  <c r="Q25" i="2048"/>
  <c r="P25" i="2048"/>
  <c r="O25" i="2048"/>
  <c r="N25" i="2048"/>
  <c r="M25" i="2048"/>
  <c r="L25" i="2048"/>
  <c r="K25" i="2048"/>
  <c r="J25" i="2048"/>
  <c r="I25" i="2048"/>
  <c r="H25" i="2048"/>
  <c r="G25" i="2048"/>
  <c r="F25" i="2048"/>
  <c r="E25" i="2048"/>
  <c r="D25" i="2048"/>
  <c r="AE19" i="2048"/>
  <c r="AD19" i="2048"/>
  <c r="AC19" i="2048"/>
  <c r="AB19" i="2048"/>
  <c r="AA19" i="2048"/>
  <c r="Z19" i="2048"/>
  <c r="Y19" i="2048"/>
  <c r="X19" i="2048"/>
  <c r="T33" i="2048" s="1"/>
  <c r="W19" i="2048"/>
  <c r="V19" i="2048"/>
  <c r="U19" i="2048"/>
  <c r="T19" i="2048"/>
  <c r="S19" i="2048"/>
  <c r="R19" i="2048"/>
  <c r="Q19" i="2048"/>
  <c r="P19" i="2048"/>
  <c r="O19" i="2048"/>
  <c r="N19" i="2048"/>
  <c r="H33" i="2048" s="1"/>
  <c r="M19" i="2048"/>
  <c r="L19" i="2048"/>
  <c r="P33" i="2048" s="1"/>
  <c r="K19" i="2048"/>
  <c r="J19" i="2048"/>
  <c r="I19" i="2048"/>
  <c r="AB33" i="2048" s="1"/>
  <c r="H19" i="2048"/>
  <c r="G19" i="2048"/>
  <c r="F19" i="2048"/>
  <c r="E19" i="2048"/>
  <c r="D19" i="2048"/>
  <c r="AE16" i="2048"/>
  <c r="AD16" i="2048"/>
  <c r="AC16" i="2048"/>
  <c r="AB16" i="2048"/>
  <c r="AA16" i="2048"/>
  <c r="Z16" i="2048"/>
  <c r="X16" i="2048"/>
  <c r="W16" i="2048"/>
  <c r="V16" i="2048"/>
  <c r="U16" i="2048"/>
  <c r="T16" i="2048"/>
  <c r="S16" i="2048"/>
  <c r="R16" i="2048"/>
  <c r="Q16" i="2048"/>
  <c r="P16" i="2048"/>
  <c r="O16" i="2048"/>
  <c r="N16" i="2048"/>
  <c r="M16" i="2048"/>
  <c r="L16" i="2048"/>
  <c r="K16" i="2048"/>
  <c r="J16" i="2048"/>
  <c r="I16" i="2048"/>
  <c r="H16" i="2048"/>
  <c r="G16" i="2048"/>
  <c r="F16" i="2048"/>
  <c r="E16" i="2048"/>
  <c r="D16" i="2048"/>
  <c r="AE10" i="2048"/>
  <c r="AD10" i="2048"/>
  <c r="AC33" i="2048" s="1"/>
  <c r="AC10" i="2048"/>
  <c r="AB10" i="2048"/>
  <c r="AA10" i="2048"/>
  <c r="Z10" i="2048"/>
  <c r="Y10" i="2048"/>
  <c r="X10" i="2048"/>
  <c r="W10" i="2048"/>
  <c r="V10" i="2048"/>
  <c r="U10" i="2048"/>
  <c r="T10" i="2048"/>
  <c r="S10" i="2048"/>
  <c r="R10" i="2048"/>
  <c r="Q10" i="2048"/>
  <c r="P10" i="2048"/>
  <c r="O10" i="2048"/>
  <c r="N10" i="2048"/>
  <c r="M10" i="2048"/>
  <c r="E33" i="2048" s="1"/>
  <c r="L10" i="2048"/>
  <c r="K10" i="2048"/>
  <c r="J10" i="2048"/>
  <c r="I10" i="2048"/>
  <c r="H10" i="2048"/>
  <c r="G10" i="2048"/>
  <c r="F10" i="2048"/>
  <c r="E10" i="2048"/>
  <c r="D10" i="2048"/>
  <c r="AE7" i="2048"/>
  <c r="AD7" i="2048"/>
  <c r="AC7" i="2048"/>
  <c r="AB7" i="2048"/>
  <c r="AA7" i="2048"/>
  <c r="Z7" i="2048"/>
  <c r="Y7" i="2048"/>
  <c r="X7" i="2048"/>
  <c r="W7" i="2048"/>
  <c r="V7" i="2048"/>
  <c r="U7" i="2048"/>
  <c r="T7" i="2048"/>
  <c r="S7" i="2048"/>
  <c r="R7" i="2048"/>
  <c r="Q7" i="2048"/>
  <c r="P7" i="2048"/>
  <c r="O7" i="2048"/>
  <c r="N7" i="2048"/>
  <c r="M7" i="2048"/>
  <c r="L7" i="2048"/>
  <c r="K7" i="2048"/>
  <c r="J7" i="2048"/>
  <c r="I7" i="2048"/>
  <c r="H7" i="2048"/>
  <c r="G7" i="2048"/>
  <c r="F7" i="2048"/>
  <c r="E7" i="2048"/>
  <c r="D7" i="2048"/>
  <c r="S33" i="2048" l="1"/>
  <c r="J33" i="2048"/>
  <c r="K33" i="2048"/>
  <c r="W33" i="2048"/>
  <c r="Z33" i="2048"/>
  <c r="D33" i="2048"/>
  <c r="Y33" i="2048"/>
  <c r="Q33" i="2048"/>
  <c r="N33" i="2048"/>
  <c r="M33" i="2048"/>
  <c r="V33" i="2048"/>
  <c r="AA33" i="2047"/>
  <c r="X33" i="2047"/>
  <c r="U33" i="2047"/>
  <c r="R33" i="2047"/>
  <c r="O33" i="2047"/>
  <c r="L33" i="2047"/>
  <c r="F33" i="2047"/>
  <c r="Y28" i="2047"/>
  <c r="X28" i="2047"/>
  <c r="W28" i="2047"/>
  <c r="V28" i="2047"/>
  <c r="U28" i="2047"/>
  <c r="T28" i="2047"/>
  <c r="S28" i="2047"/>
  <c r="R28" i="2047"/>
  <c r="Q28" i="2047"/>
  <c r="P28" i="2047"/>
  <c r="O28" i="2047"/>
  <c r="N28" i="2047"/>
  <c r="M28" i="2047"/>
  <c r="L28" i="2047"/>
  <c r="K28" i="2047"/>
  <c r="J28" i="2047"/>
  <c r="I28" i="2047"/>
  <c r="H28" i="2047"/>
  <c r="G28" i="2047"/>
  <c r="F28" i="2047"/>
  <c r="E28" i="2047"/>
  <c r="D28" i="2047"/>
  <c r="Y25" i="2047"/>
  <c r="X25" i="2047"/>
  <c r="W25" i="2047"/>
  <c r="V25" i="2047"/>
  <c r="U25" i="2047"/>
  <c r="T25" i="2047"/>
  <c r="S25" i="2047"/>
  <c r="R25" i="2047"/>
  <c r="Q25" i="2047"/>
  <c r="P25" i="2047"/>
  <c r="O25" i="2047"/>
  <c r="N25" i="2047"/>
  <c r="M25" i="2047"/>
  <c r="L25" i="2047"/>
  <c r="K25" i="2047"/>
  <c r="J25" i="2047"/>
  <c r="I25" i="2047"/>
  <c r="H25" i="2047"/>
  <c r="G25" i="2047"/>
  <c r="F25" i="2047"/>
  <c r="E25" i="2047"/>
  <c r="D25" i="2047"/>
  <c r="AE19" i="2047"/>
  <c r="AD19" i="2047"/>
  <c r="AC19" i="2047"/>
  <c r="AB19" i="2047"/>
  <c r="AA19" i="2047"/>
  <c r="Z19" i="2047"/>
  <c r="Y19" i="2047"/>
  <c r="X19" i="2047"/>
  <c r="T33" i="2047" s="1"/>
  <c r="W19" i="2047"/>
  <c r="V19" i="2047"/>
  <c r="U19" i="2047"/>
  <c r="T19" i="2047"/>
  <c r="S19" i="2047"/>
  <c r="R19" i="2047"/>
  <c r="Q19" i="2047"/>
  <c r="P19" i="2047"/>
  <c r="O19" i="2047"/>
  <c r="N19" i="2047"/>
  <c r="H33" i="2047" s="1"/>
  <c r="M19" i="2047"/>
  <c r="L19" i="2047"/>
  <c r="P33" i="2047" s="1"/>
  <c r="K19" i="2047"/>
  <c r="J19" i="2047"/>
  <c r="I19" i="2047"/>
  <c r="AB33" i="2047" s="1"/>
  <c r="H19" i="2047"/>
  <c r="G19" i="2047"/>
  <c r="F19" i="2047"/>
  <c r="E19" i="2047"/>
  <c r="D19" i="2047"/>
  <c r="AE16" i="2047"/>
  <c r="AD16" i="2047"/>
  <c r="AC16" i="2047"/>
  <c r="AB16" i="2047"/>
  <c r="AA16" i="2047"/>
  <c r="Z16" i="2047"/>
  <c r="X16" i="2047"/>
  <c r="W16" i="2047"/>
  <c r="V16" i="2047"/>
  <c r="U16" i="2047"/>
  <c r="T16" i="2047"/>
  <c r="S16" i="2047"/>
  <c r="R16" i="2047"/>
  <c r="Q16" i="2047"/>
  <c r="P16" i="2047"/>
  <c r="O16" i="2047"/>
  <c r="N16" i="2047"/>
  <c r="M16" i="2047"/>
  <c r="L16" i="2047"/>
  <c r="K16" i="2047"/>
  <c r="J16" i="2047"/>
  <c r="I16" i="2047"/>
  <c r="H16" i="2047"/>
  <c r="G16" i="2047"/>
  <c r="F16" i="2047"/>
  <c r="E16" i="2047"/>
  <c r="D16" i="2047"/>
  <c r="AE10" i="2047"/>
  <c r="AD10" i="2047"/>
  <c r="AC33" i="2047" s="1"/>
  <c r="AC10" i="2047"/>
  <c r="AB10" i="2047"/>
  <c r="AA10" i="2047"/>
  <c r="Z10" i="2047"/>
  <c r="Y10" i="2047"/>
  <c r="X10" i="2047"/>
  <c r="W10" i="2047"/>
  <c r="V10" i="2047"/>
  <c r="U10" i="2047"/>
  <c r="T10" i="2047"/>
  <c r="S10" i="2047"/>
  <c r="R10" i="2047"/>
  <c r="Q10" i="2047"/>
  <c r="P10" i="2047"/>
  <c r="O10" i="2047"/>
  <c r="N10" i="2047"/>
  <c r="M10" i="2047"/>
  <c r="L10" i="2047"/>
  <c r="K10" i="2047"/>
  <c r="J10" i="2047"/>
  <c r="Q33" i="2047" s="1"/>
  <c r="I10" i="2047"/>
  <c r="H10" i="2047"/>
  <c r="G10" i="2047"/>
  <c r="F10" i="2047"/>
  <c r="J33" i="2047" s="1"/>
  <c r="E10" i="2047"/>
  <c r="D10" i="2047"/>
  <c r="AE7" i="2047"/>
  <c r="AD7" i="2047"/>
  <c r="AC7" i="2047"/>
  <c r="AB7" i="2047"/>
  <c r="AA7" i="2047"/>
  <c r="Z7" i="2047"/>
  <c r="Y7" i="2047"/>
  <c r="X7" i="2047"/>
  <c r="W7" i="2047"/>
  <c r="V7" i="2047"/>
  <c r="U7" i="2047"/>
  <c r="T7" i="2047"/>
  <c r="S7" i="2047"/>
  <c r="R7" i="2047"/>
  <c r="Q7" i="2047"/>
  <c r="P7" i="2047"/>
  <c r="O7" i="2047"/>
  <c r="N7" i="2047"/>
  <c r="M7" i="2047"/>
  <c r="L7" i="2047"/>
  <c r="K7" i="2047"/>
  <c r="J7" i="2047"/>
  <c r="I7" i="2047"/>
  <c r="H7" i="2047"/>
  <c r="G7" i="2047"/>
  <c r="F7" i="2047"/>
  <c r="E7" i="2047"/>
  <c r="D7" i="2047"/>
  <c r="S33" i="2047" l="1"/>
  <c r="W33" i="2047"/>
  <c r="V33" i="2047"/>
  <c r="D33" i="2047"/>
  <c r="Z33" i="2047"/>
  <c r="Y33" i="2047"/>
  <c r="E33" i="2047"/>
  <c r="N33" i="2047"/>
  <c r="K33" i="2047"/>
  <c r="M33" i="2047"/>
  <c r="AA33" i="2046"/>
  <c r="X33" i="2046"/>
  <c r="U33" i="2046"/>
  <c r="R33" i="2046"/>
  <c r="O33" i="2046"/>
  <c r="L33" i="2046"/>
  <c r="F33" i="2046"/>
  <c r="Y28" i="2046"/>
  <c r="X28" i="2046"/>
  <c r="W28" i="2046"/>
  <c r="V28" i="2046"/>
  <c r="U28" i="2046"/>
  <c r="T28" i="2046"/>
  <c r="S28" i="2046"/>
  <c r="R28" i="2046"/>
  <c r="Q28" i="2046"/>
  <c r="P28" i="2046"/>
  <c r="O28" i="2046"/>
  <c r="N28" i="2046"/>
  <c r="M28" i="2046"/>
  <c r="L28" i="2046"/>
  <c r="K28" i="2046"/>
  <c r="J28" i="2046"/>
  <c r="I28" i="2046"/>
  <c r="H28" i="2046"/>
  <c r="G28" i="2046"/>
  <c r="F28" i="2046"/>
  <c r="E28" i="2046"/>
  <c r="D28" i="2046"/>
  <c r="Y25" i="2046"/>
  <c r="X25" i="2046"/>
  <c r="W25" i="2046"/>
  <c r="V25" i="2046"/>
  <c r="U25" i="2046"/>
  <c r="T25" i="2046"/>
  <c r="S25" i="2046"/>
  <c r="R25" i="2046"/>
  <c r="Q25" i="2046"/>
  <c r="P25" i="2046"/>
  <c r="O25" i="2046"/>
  <c r="N25" i="2046"/>
  <c r="M25" i="2046"/>
  <c r="L25" i="2046"/>
  <c r="K25" i="2046"/>
  <c r="J25" i="2046"/>
  <c r="I25" i="2046"/>
  <c r="H25" i="2046"/>
  <c r="G25" i="2046"/>
  <c r="F25" i="2046"/>
  <c r="E25" i="2046"/>
  <c r="D25" i="2046"/>
  <c r="AE19" i="2046"/>
  <c r="AD19" i="2046"/>
  <c r="AC19" i="2046"/>
  <c r="AB19" i="2046"/>
  <c r="AA19" i="2046"/>
  <c r="Z19" i="2046"/>
  <c r="Y19" i="2046"/>
  <c r="X19" i="2046"/>
  <c r="T33" i="2046" s="1"/>
  <c r="W19" i="2046"/>
  <c r="V19" i="2046"/>
  <c r="U19" i="2046"/>
  <c r="T19" i="2046"/>
  <c r="S19" i="2046"/>
  <c r="R19" i="2046"/>
  <c r="Q19" i="2046"/>
  <c r="P19" i="2046"/>
  <c r="O19" i="2046"/>
  <c r="N19" i="2046"/>
  <c r="H33" i="2046" s="1"/>
  <c r="M19" i="2046"/>
  <c r="L19" i="2046"/>
  <c r="P33" i="2046" s="1"/>
  <c r="K19" i="2046"/>
  <c r="J19" i="2046"/>
  <c r="I19" i="2046"/>
  <c r="AB33" i="2046" s="1"/>
  <c r="H19" i="2046"/>
  <c r="G19" i="2046"/>
  <c r="F19" i="2046"/>
  <c r="E19" i="2046"/>
  <c r="D19" i="2046"/>
  <c r="AE16" i="2046"/>
  <c r="AD16" i="2046"/>
  <c r="AC16" i="2046"/>
  <c r="AB16" i="2046"/>
  <c r="AA16" i="2046"/>
  <c r="Z16" i="2046"/>
  <c r="X16" i="2046"/>
  <c r="W16" i="2046"/>
  <c r="V16" i="2046"/>
  <c r="U16" i="2046"/>
  <c r="T16" i="2046"/>
  <c r="S16" i="2046"/>
  <c r="R16" i="2046"/>
  <c r="Q16" i="2046"/>
  <c r="P16" i="2046"/>
  <c r="O16" i="2046"/>
  <c r="N16" i="2046"/>
  <c r="M16" i="2046"/>
  <c r="L16" i="2046"/>
  <c r="K16" i="2046"/>
  <c r="J16" i="2046"/>
  <c r="I16" i="2046"/>
  <c r="H16" i="2046"/>
  <c r="G16" i="2046"/>
  <c r="F16" i="2046"/>
  <c r="E16" i="2046"/>
  <c r="D16" i="2046"/>
  <c r="AE10" i="2046"/>
  <c r="AD10" i="2046"/>
  <c r="AC33" i="2046" s="1"/>
  <c r="AC10" i="2046"/>
  <c r="AB10" i="2046"/>
  <c r="AA10" i="2046"/>
  <c r="Z10" i="2046"/>
  <c r="Y10" i="2046"/>
  <c r="X10" i="2046"/>
  <c r="W10" i="2046"/>
  <c r="V10" i="2046"/>
  <c r="U10" i="2046"/>
  <c r="T10" i="2046"/>
  <c r="S10" i="2046"/>
  <c r="R10" i="2046"/>
  <c r="Q10" i="2046"/>
  <c r="P10" i="2046"/>
  <c r="O10" i="2046"/>
  <c r="N10" i="2046"/>
  <c r="M10" i="2046"/>
  <c r="E33" i="2046" s="1"/>
  <c r="L10" i="2046"/>
  <c r="K10" i="2046"/>
  <c r="J10" i="2046"/>
  <c r="Q33" i="2046" s="1"/>
  <c r="I10" i="2046"/>
  <c r="H10" i="2046"/>
  <c r="G10" i="2046"/>
  <c r="F10" i="2046"/>
  <c r="E10" i="2046"/>
  <c r="D10" i="2046"/>
  <c r="AE7" i="2046"/>
  <c r="AD7" i="2046"/>
  <c r="AC7" i="2046"/>
  <c r="AB7" i="2046"/>
  <c r="AA7" i="2046"/>
  <c r="Z7" i="2046"/>
  <c r="Y7" i="2046"/>
  <c r="X7" i="2046"/>
  <c r="W7" i="2046"/>
  <c r="V7" i="2046"/>
  <c r="U7" i="2046"/>
  <c r="T7" i="2046"/>
  <c r="S7" i="2046"/>
  <c r="R7" i="2046"/>
  <c r="Q7" i="2046"/>
  <c r="P7" i="2046"/>
  <c r="O7" i="2046"/>
  <c r="N7" i="2046"/>
  <c r="M7" i="2046"/>
  <c r="L7" i="2046"/>
  <c r="K7" i="2046"/>
  <c r="J7" i="2046"/>
  <c r="I7" i="2046"/>
  <c r="H7" i="2046"/>
  <c r="G7" i="2046"/>
  <c r="F7" i="2046"/>
  <c r="E7" i="2046"/>
  <c r="D7" i="2046"/>
  <c r="S33" i="2046" l="1"/>
  <c r="J33" i="2046"/>
  <c r="K33" i="2046"/>
  <c r="W33" i="2046"/>
  <c r="V33" i="2046"/>
  <c r="D33" i="2046"/>
  <c r="Z33" i="2046"/>
  <c r="Y33" i="2046"/>
  <c r="N33" i="2046"/>
  <c r="M33" i="2046"/>
  <c r="AA33" i="2045"/>
  <c r="X33" i="2045"/>
  <c r="U33" i="2045"/>
  <c r="R33" i="2045"/>
  <c r="O33" i="2045"/>
  <c r="L33" i="2045"/>
  <c r="F33" i="2045"/>
  <c r="Y28" i="2045"/>
  <c r="X28" i="2045"/>
  <c r="W28" i="2045"/>
  <c r="V28" i="2045"/>
  <c r="U28" i="2045"/>
  <c r="T28" i="2045"/>
  <c r="S28" i="2045"/>
  <c r="R28" i="2045"/>
  <c r="Q28" i="2045"/>
  <c r="P28" i="2045"/>
  <c r="O28" i="2045"/>
  <c r="N28" i="2045"/>
  <c r="M28" i="2045"/>
  <c r="L28" i="2045"/>
  <c r="K28" i="2045"/>
  <c r="J28" i="2045"/>
  <c r="I28" i="2045"/>
  <c r="H28" i="2045"/>
  <c r="G28" i="2045"/>
  <c r="F28" i="2045"/>
  <c r="E28" i="2045"/>
  <c r="D28" i="2045"/>
  <c r="Y25" i="2045"/>
  <c r="X25" i="2045"/>
  <c r="W25" i="2045"/>
  <c r="V25" i="2045"/>
  <c r="U25" i="2045"/>
  <c r="T25" i="2045"/>
  <c r="S25" i="2045"/>
  <c r="R25" i="2045"/>
  <c r="Q25" i="2045"/>
  <c r="P25" i="2045"/>
  <c r="O25" i="2045"/>
  <c r="N25" i="2045"/>
  <c r="M25" i="2045"/>
  <c r="L25" i="2045"/>
  <c r="K25" i="2045"/>
  <c r="J25" i="2045"/>
  <c r="I25" i="2045"/>
  <c r="H25" i="2045"/>
  <c r="G25" i="2045"/>
  <c r="F25" i="2045"/>
  <c r="E25" i="2045"/>
  <c r="D25" i="2045"/>
  <c r="AE19" i="2045"/>
  <c r="AD19" i="2045"/>
  <c r="AC19" i="2045"/>
  <c r="AB19" i="2045"/>
  <c r="AA19" i="2045"/>
  <c r="Z19" i="2045"/>
  <c r="Y19" i="2045"/>
  <c r="X19" i="2045"/>
  <c r="T33" i="2045" s="1"/>
  <c r="W19" i="2045"/>
  <c r="V19" i="2045"/>
  <c r="U19" i="2045"/>
  <c r="T19" i="2045"/>
  <c r="S19" i="2045"/>
  <c r="R19" i="2045"/>
  <c r="Q19" i="2045"/>
  <c r="P19" i="2045"/>
  <c r="O19" i="2045"/>
  <c r="N19" i="2045"/>
  <c r="H33" i="2045" s="1"/>
  <c r="M19" i="2045"/>
  <c r="L19" i="2045"/>
  <c r="P33" i="2045" s="1"/>
  <c r="K19" i="2045"/>
  <c r="J19" i="2045"/>
  <c r="I19" i="2045"/>
  <c r="AB33" i="2045" s="1"/>
  <c r="H19" i="2045"/>
  <c r="G19" i="2045"/>
  <c r="F19" i="2045"/>
  <c r="E19" i="2045"/>
  <c r="D19" i="2045"/>
  <c r="AE16" i="2045"/>
  <c r="AD16" i="2045"/>
  <c r="AC16" i="2045"/>
  <c r="AB16" i="2045"/>
  <c r="AA16" i="2045"/>
  <c r="Z16" i="2045"/>
  <c r="X16" i="2045"/>
  <c r="W16" i="2045"/>
  <c r="V16" i="2045"/>
  <c r="U16" i="2045"/>
  <c r="T16" i="2045"/>
  <c r="S16" i="2045"/>
  <c r="R16" i="2045"/>
  <c r="Q16" i="2045"/>
  <c r="P16" i="2045"/>
  <c r="O16" i="2045"/>
  <c r="N16" i="2045"/>
  <c r="M16" i="2045"/>
  <c r="L16" i="2045"/>
  <c r="K16" i="2045"/>
  <c r="J16" i="2045"/>
  <c r="I16" i="2045"/>
  <c r="H16" i="2045"/>
  <c r="G16" i="2045"/>
  <c r="F16" i="2045"/>
  <c r="E16" i="2045"/>
  <c r="D16" i="2045"/>
  <c r="AE10" i="2045"/>
  <c r="AD10" i="2045"/>
  <c r="AC33" i="2045" s="1"/>
  <c r="AC10" i="2045"/>
  <c r="AB10" i="2045"/>
  <c r="AA10" i="2045"/>
  <c r="Z10" i="2045"/>
  <c r="Y10" i="2045"/>
  <c r="X10" i="2045"/>
  <c r="W10" i="2045"/>
  <c r="V10" i="2045"/>
  <c r="U10" i="2045"/>
  <c r="T10" i="2045"/>
  <c r="S10" i="2045"/>
  <c r="R10" i="2045"/>
  <c r="Q10" i="2045"/>
  <c r="P10" i="2045"/>
  <c r="O10" i="2045"/>
  <c r="N10" i="2045"/>
  <c r="M10" i="2045"/>
  <c r="E33" i="2045" s="1"/>
  <c r="L10" i="2045"/>
  <c r="K10" i="2045"/>
  <c r="J10" i="2045"/>
  <c r="I10" i="2045"/>
  <c r="H10" i="2045"/>
  <c r="G10" i="2045"/>
  <c r="F10" i="2045"/>
  <c r="J33" i="2045" s="1"/>
  <c r="E10" i="2045"/>
  <c r="D10" i="2045"/>
  <c r="AE7" i="2045"/>
  <c r="AD7" i="2045"/>
  <c r="AC7" i="2045"/>
  <c r="AB7" i="2045"/>
  <c r="AA7" i="2045"/>
  <c r="Z7" i="2045"/>
  <c r="Y7" i="2045"/>
  <c r="X7" i="2045"/>
  <c r="W7" i="2045"/>
  <c r="V7" i="2045"/>
  <c r="U7" i="2045"/>
  <c r="T7" i="2045"/>
  <c r="S7" i="2045"/>
  <c r="R7" i="2045"/>
  <c r="Q7" i="2045"/>
  <c r="P7" i="2045"/>
  <c r="O7" i="2045"/>
  <c r="N7" i="2045"/>
  <c r="M7" i="2045"/>
  <c r="L7" i="2045"/>
  <c r="K7" i="2045"/>
  <c r="J7" i="2045"/>
  <c r="I7" i="2045"/>
  <c r="H7" i="2045"/>
  <c r="G7" i="2045"/>
  <c r="F7" i="2045"/>
  <c r="E7" i="2045"/>
  <c r="D7" i="2045"/>
  <c r="N33" i="2045" l="1"/>
  <c r="W33" i="2045"/>
  <c r="Z33" i="2045"/>
  <c r="V33" i="2045"/>
  <c r="D33" i="2045"/>
  <c r="Y33" i="2045"/>
  <c r="Q33" i="2045"/>
  <c r="K33" i="2045"/>
  <c r="M33" i="2045"/>
  <c r="S33" i="2045"/>
  <c r="L25" i="2044"/>
  <c r="L25" i="2043"/>
  <c r="L25" i="2042"/>
  <c r="L25" i="2041"/>
  <c r="AA33" i="2044" l="1"/>
  <c r="X33" i="2044"/>
  <c r="U33" i="2044"/>
  <c r="R33" i="2044"/>
  <c r="O33" i="2044"/>
  <c r="L33" i="2044"/>
  <c r="F33" i="2044"/>
  <c r="Y28" i="2044"/>
  <c r="X28" i="2044"/>
  <c r="W28" i="2044"/>
  <c r="V28" i="2044"/>
  <c r="U28" i="2044"/>
  <c r="T28" i="2044"/>
  <c r="S28" i="2044"/>
  <c r="R28" i="2044"/>
  <c r="Q28" i="2044"/>
  <c r="P28" i="2044"/>
  <c r="O28" i="2044"/>
  <c r="N28" i="2044"/>
  <c r="M28" i="2044"/>
  <c r="L28" i="2044"/>
  <c r="K28" i="2044"/>
  <c r="J28" i="2044"/>
  <c r="I28" i="2044"/>
  <c r="H28" i="2044"/>
  <c r="G28" i="2044"/>
  <c r="F28" i="2044"/>
  <c r="E28" i="2044"/>
  <c r="D28" i="2044"/>
  <c r="Y25" i="2044"/>
  <c r="X25" i="2044"/>
  <c r="W25" i="2044"/>
  <c r="V25" i="2044"/>
  <c r="U25" i="2044"/>
  <c r="T25" i="2044"/>
  <c r="S25" i="2044"/>
  <c r="R25" i="2044"/>
  <c r="Q25" i="2044"/>
  <c r="P25" i="2044"/>
  <c r="O25" i="2044"/>
  <c r="N25" i="2044"/>
  <c r="M25" i="2044"/>
  <c r="K25" i="2044"/>
  <c r="J25" i="2044"/>
  <c r="I25" i="2044"/>
  <c r="H25" i="2044"/>
  <c r="G25" i="2044"/>
  <c r="F25" i="2044"/>
  <c r="E25" i="2044"/>
  <c r="D25" i="2044"/>
  <c r="AE19" i="2044"/>
  <c r="AD19" i="2044"/>
  <c r="AC19" i="2044"/>
  <c r="AB19" i="2044"/>
  <c r="AA19" i="2044"/>
  <c r="Z19" i="2044"/>
  <c r="Y19" i="2044"/>
  <c r="X19" i="2044"/>
  <c r="T33" i="2044" s="1"/>
  <c r="W19" i="2044"/>
  <c r="V19" i="2044"/>
  <c r="U19" i="2044"/>
  <c r="T19" i="2044"/>
  <c r="S19" i="2044"/>
  <c r="R19" i="2044"/>
  <c r="Q19" i="2044"/>
  <c r="P19" i="2044"/>
  <c r="O19" i="2044"/>
  <c r="N19" i="2044"/>
  <c r="H33" i="2044" s="1"/>
  <c r="M19" i="2044"/>
  <c r="L19" i="2044"/>
  <c r="P33" i="2044" s="1"/>
  <c r="K19" i="2044"/>
  <c r="J19" i="2044"/>
  <c r="I19" i="2044"/>
  <c r="AB33" i="2044" s="1"/>
  <c r="H19" i="2044"/>
  <c r="G19" i="2044"/>
  <c r="F19" i="2044"/>
  <c r="E19" i="2044"/>
  <c r="D19" i="2044"/>
  <c r="AE16" i="2044"/>
  <c r="AD16" i="2044"/>
  <c r="AC16" i="2044"/>
  <c r="AB16" i="2044"/>
  <c r="AA16" i="2044"/>
  <c r="Z16" i="2044"/>
  <c r="X16" i="2044"/>
  <c r="W16" i="2044"/>
  <c r="V16" i="2044"/>
  <c r="U16" i="2044"/>
  <c r="T16" i="2044"/>
  <c r="S16" i="2044"/>
  <c r="R16" i="2044"/>
  <c r="Q16" i="2044"/>
  <c r="P16" i="2044"/>
  <c r="O16" i="2044"/>
  <c r="N16" i="2044"/>
  <c r="M16" i="2044"/>
  <c r="L16" i="2044"/>
  <c r="K16" i="2044"/>
  <c r="J16" i="2044"/>
  <c r="I16" i="2044"/>
  <c r="H16" i="2044"/>
  <c r="G16" i="2044"/>
  <c r="F16" i="2044"/>
  <c r="E16" i="2044"/>
  <c r="D16" i="2044"/>
  <c r="AE10" i="2044"/>
  <c r="AD10" i="2044"/>
  <c r="AC33" i="2044" s="1"/>
  <c r="AC10" i="2044"/>
  <c r="AB10" i="2044"/>
  <c r="AA10" i="2044"/>
  <c r="Z10" i="2044"/>
  <c r="Y10" i="2044"/>
  <c r="X10" i="2044"/>
  <c r="W10" i="2044"/>
  <c r="V10" i="2044"/>
  <c r="U10" i="2044"/>
  <c r="T10" i="2044"/>
  <c r="S10" i="2044"/>
  <c r="R10" i="2044"/>
  <c r="Q10" i="2044"/>
  <c r="P10" i="2044"/>
  <c r="O10" i="2044"/>
  <c r="N10" i="2044"/>
  <c r="M10" i="2044"/>
  <c r="E33" i="2044" s="1"/>
  <c r="L10" i="2044"/>
  <c r="K10" i="2044"/>
  <c r="J10" i="2044"/>
  <c r="I10" i="2044"/>
  <c r="H10" i="2044"/>
  <c r="G10" i="2044"/>
  <c r="F10" i="2044"/>
  <c r="E10" i="2044"/>
  <c r="D10" i="2044"/>
  <c r="AE7" i="2044"/>
  <c r="AD7" i="2044"/>
  <c r="AC7" i="2044"/>
  <c r="AB7" i="2044"/>
  <c r="AA7" i="2044"/>
  <c r="Z7" i="2044"/>
  <c r="Y7" i="2044"/>
  <c r="X7" i="2044"/>
  <c r="W7" i="2044"/>
  <c r="V7" i="2044"/>
  <c r="U7" i="2044"/>
  <c r="T7" i="2044"/>
  <c r="S7" i="2044"/>
  <c r="R7" i="2044"/>
  <c r="Q7" i="2044"/>
  <c r="P7" i="2044"/>
  <c r="O7" i="2044"/>
  <c r="N7" i="2044"/>
  <c r="M7" i="2044"/>
  <c r="L7" i="2044"/>
  <c r="K7" i="2044"/>
  <c r="J7" i="2044"/>
  <c r="I7" i="2044"/>
  <c r="H7" i="2044"/>
  <c r="G7" i="2044"/>
  <c r="F7" i="2044"/>
  <c r="E7" i="2044"/>
  <c r="D7" i="2044"/>
  <c r="S33" i="2044" l="1"/>
  <c r="J33" i="2044"/>
  <c r="W33" i="2044"/>
  <c r="D33" i="2044"/>
  <c r="Z33" i="2044"/>
  <c r="Y33" i="2044"/>
  <c r="N33" i="2044"/>
  <c r="Q33" i="2044"/>
  <c r="K33" i="2044"/>
  <c r="M33" i="2044"/>
  <c r="V33" i="2044"/>
  <c r="AA33" i="2043"/>
  <c r="X33" i="2043"/>
  <c r="U33" i="2043"/>
  <c r="R33" i="2043"/>
  <c r="O33" i="2043"/>
  <c r="L33" i="2043"/>
  <c r="F33" i="2043"/>
  <c r="Y28" i="2043"/>
  <c r="X28" i="2043"/>
  <c r="W28" i="2043"/>
  <c r="V28" i="2043"/>
  <c r="U28" i="2043"/>
  <c r="T28" i="2043"/>
  <c r="S28" i="2043"/>
  <c r="R28" i="2043"/>
  <c r="Q28" i="2043"/>
  <c r="P28" i="2043"/>
  <c r="O28" i="2043"/>
  <c r="N28" i="2043"/>
  <c r="M28" i="2043"/>
  <c r="L28" i="2043"/>
  <c r="K28" i="2043"/>
  <c r="J28" i="2043"/>
  <c r="I28" i="2043"/>
  <c r="H28" i="2043"/>
  <c r="G28" i="2043"/>
  <c r="F28" i="2043"/>
  <c r="E28" i="2043"/>
  <c r="D28" i="2043"/>
  <c r="Y25" i="2043"/>
  <c r="X25" i="2043"/>
  <c r="W25" i="2043"/>
  <c r="V25" i="2043"/>
  <c r="U25" i="2043"/>
  <c r="T25" i="2043"/>
  <c r="S25" i="2043"/>
  <c r="R25" i="2043"/>
  <c r="Q25" i="2043"/>
  <c r="P25" i="2043"/>
  <c r="O25" i="2043"/>
  <c r="N25" i="2043"/>
  <c r="M25" i="2043"/>
  <c r="K25" i="2043"/>
  <c r="J25" i="2043"/>
  <c r="I25" i="2043"/>
  <c r="H25" i="2043"/>
  <c r="G25" i="2043"/>
  <c r="F25" i="2043"/>
  <c r="E25" i="2043"/>
  <c r="D25" i="2043"/>
  <c r="AE19" i="2043"/>
  <c r="AD19" i="2043"/>
  <c r="AC19" i="2043"/>
  <c r="AB19" i="2043"/>
  <c r="AA19" i="2043"/>
  <c r="Z19" i="2043"/>
  <c r="Y19" i="2043"/>
  <c r="X19" i="2043"/>
  <c r="T33" i="2043" s="1"/>
  <c r="W19" i="2043"/>
  <c r="V19" i="2043"/>
  <c r="U19" i="2043"/>
  <c r="T19" i="2043"/>
  <c r="S19" i="2043"/>
  <c r="R19" i="2043"/>
  <c r="Q19" i="2043"/>
  <c r="P19" i="2043"/>
  <c r="O19" i="2043"/>
  <c r="N19" i="2043"/>
  <c r="H33" i="2043" s="1"/>
  <c r="M19" i="2043"/>
  <c r="L19" i="2043"/>
  <c r="P33" i="2043" s="1"/>
  <c r="K19" i="2043"/>
  <c r="J19" i="2043"/>
  <c r="I19" i="2043"/>
  <c r="AB33" i="2043" s="1"/>
  <c r="H19" i="2043"/>
  <c r="G19" i="2043"/>
  <c r="F19" i="2043"/>
  <c r="E19" i="2043"/>
  <c r="D19" i="2043"/>
  <c r="AE16" i="2043"/>
  <c r="AD16" i="2043"/>
  <c r="AC16" i="2043"/>
  <c r="AB16" i="2043"/>
  <c r="AA16" i="2043"/>
  <c r="Z16" i="2043"/>
  <c r="X16" i="2043"/>
  <c r="W16" i="2043"/>
  <c r="V16" i="2043"/>
  <c r="U16" i="2043"/>
  <c r="T16" i="2043"/>
  <c r="S16" i="2043"/>
  <c r="R16" i="2043"/>
  <c r="Q16" i="2043"/>
  <c r="P16" i="2043"/>
  <c r="O16" i="2043"/>
  <c r="N16" i="2043"/>
  <c r="M16" i="2043"/>
  <c r="L16" i="2043"/>
  <c r="K16" i="2043"/>
  <c r="J16" i="2043"/>
  <c r="I16" i="2043"/>
  <c r="H16" i="2043"/>
  <c r="G16" i="2043"/>
  <c r="F16" i="2043"/>
  <c r="E16" i="2043"/>
  <c r="D16" i="2043"/>
  <c r="AE10" i="2043"/>
  <c r="AD10" i="2043"/>
  <c r="AC33" i="2043" s="1"/>
  <c r="AC10" i="2043"/>
  <c r="AB10" i="2043"/>
  <c r="AA10" i="2043"/>
  <c r="Z10" i="2043"/>
  <c r="Y10" i="2043"/>
  <c r="X10" i="2043"/>
  <c r="W10" i="2043"/>
  <c r="V10" i="2043"/>
  <c r="U10" i="2043"/>
  <c r="T10" i="2043"/>
  <c r="S10" i="2043"/>
  <c r="R10" i="2043"/>
  <c r="Q10" i="2043"/>
  <c r="P10" i="2043"/>
  <c r="O10" i="2043"/>
  <c r="N10" i="2043"/>
  <c r="M10" i="2043"/>
  <c r="E33" i="2043" s="1"/>
  <c r="L10" i="2043"/>
  <c r="K10" i="2043"/>
  <c r="J10" i="2043"/>
  <c r="I10" i="2043"/>
  <c r="H10" i="2043"/>
  <c r="G10" i="2043"/>
  <c r="F10" i="2043"/>
  <c r="E10" i="2043"/>
  <c r="D10" i="2043"/>
  <c r="AE7" i="2043"/>
  <c r="AD7" i="2043"/>
  <c r="AC7" i="2043"/>
  <c r="AB7" i="2043"/>
  <c r="AA7" i="2043"/>
  <c r="Z7" i="2043"/>
  <c r="Y7" i="2043"/>
  <c r="X7" i="2043"/>
  <c r="W7" i="2043"/>
  <c r="V7" i="2043"/>
  <c r="U7" i="2043"/>
  <c r="T7" i="2043"/>
  <c r="S7" i="2043"/>
  <c r="R7" i="2043"/>
  <c r="Q7" i="2043"/>
  <c r="P7" i="2043"/>
  <c r="O7" i="2043"/>
  <c r="N7" i="2043"/>
  <c r="M7" i="2043"/>
  <c r="L7" i="2043"/>
  <c r="K7" i="2043"/>
  <c r="J7" i="2043"/>
  <c r="I7" i="2043"/>
  <c r="H7" i="2043"/>
  <c r="G7" i="2043"/>
  <c r="F7" i="2043"/>
  <c r="E7" i="2043"/>
  <c r="D7" i="2043"/>
  <c r="S33" i="2043" l="1"/>
  <c r="J33" i="2043"/>
  <c r="V33" i="2043"/>
  <c r="K33" i="2043"/>
  <c r="W33" i="2043"/>
  <c r="D33" i="2043"/>
  <c r="Z33" i="2043"/>
  <c r="Y33" i="2043"/>
  <c r="N33" i="2043"/>
  <c r="Q33" i="2043"/>
  <c r="M33" i="2043"/>
  <c r="AA33" i="2042"/>
  <c r="X33" i="2042"/>
  <c r="U33" i="2042"/>
  <c r="R33" i="2042"/>
  <c r="O33" i="2042"/>
  <c r="L33" i="2042"/>
  <c r="F33" i="2042"/>
  <c r="Y28" i="2042"/>
  <c r="X28" i="2042"/>
  <c r="W28" i="2042"/>
  <c r="V28" i="2042"/>
  <c r="U28" i="2042"/>
  <c r="T28" i="2042"/>
  <c r="S28" i="2042"/>
  <c r="R28" i="2042"/>
  <c r="Q28" i="2042"/>
  <c r="P28" i="2042"/>
  <c r="O28" i="2042"/>
  <c r="N28" i="2042"/>
  <c r="M28" i="2042"/>
  <c r="L28" i="2042"/>
  <c r="K28" i="2042"/>
  <c r="J28" i="2042"/>
  <c r="I28" i="2042"/>
  <c r="H28" i="2042"/>
  <c r="G28" i="2042"/>
  <c r="F28" i="2042"/>
  <c r="E28" i="2042"/>
  <c r="D28" i="2042"/>
  <c r="Y25" i="2042"/>
  <c r="X25" i="2042"/>
  <c r="W25" i="2042"/>
  <c r="V25" i="2042"/>
  <c r="U25" i="2042"/>
  <c r="T25" i="2042"/>
  <c r="S25" i="2042"/>
  <c r="R25" i="2042"/>
  <c r="Q25" i="2042"/>
  <c r="P25" i="2042"/>
  <c r="O25" i="2042"/>
  <c r="N25" i="2042"/>
  <c r="M25" i="2042"/>
  <c r="K25" i="2042"/>
  <c r="J25" i="2042"/>
  <c r="I25" i="2042"/>
  <c r="H25" i="2042"/>
  <c r="G25" i="2042"/>
  <c r="F25" i="2042"/>
  <c r="E25" i="2042"/>
  <c r="D25" i="2042"/>
  <c r="AE19" i="2042"/>
  <c r="AD19" i="2042"/>
  <c r="AC19" i="2042"/>
  <c r="AB19" i="2042"/>
  <c r="AA19" i="2042"/>
  <c r="Z19" i="2042"/>
  <c r="Y19" i="2042"/>
  <c r="X19" i="2042"/>
  <c r="T33" i="2042" s="1"/>
  <c r="W19" i="2042"/>
  <c r="V19" i="2042"/>
  <c r="U19" i="2042"/>
  <c r="T19" i="2042"/>
  <c r="S19" i="2042"/>
  <c r="R19" i="2042"/>
  <c r="Q19" i="2042"/>
  <c r="P19" i="2042"/>
  <c r="O19" i="2042"/>
  <c r="N19" i="2042"/>
  <c r="H33" i="2042" s="1"/>
  <c r="M19" i="2042"/>
  <c r="L19" i="2042"/>
  <c r="P33" i="2042" s="1"/>
  <c r="K19" i="2042"/>
  <c r="J19" i="2042"/>
  <c r="I19" i="2042"/>
  <c r="AB33" i="2042" s="1"/>
  <c r="H19" i="2042"/>
  <c r="G19" i="2042"/>
  <c r="F19" i="2042"/>
  <c r="E19" i="2042"/>
  <c r="D19" i="2042"/>
  <c r="AE16" i="2042"/>
  <c r="AD16" i="2042"/>
  <c r="AC16" i="2042"/>
  <c r="AB16" i="2042"/>
  <c r="AA16" i="2042"/>
  <c r="Z16" i="2042"/>
  <c r="X16" i="2042"/>
  <c r="W16" i="2042"/>
  <c r="V16" i="2042"/>
  <c r="U16" i="2042"/>
  <c r="T16" i="2042"/>
  <c r="S16" i="2042"/>
  <c r="R16" i="2042"/>
  <c r="Q16" i="2042"/>
  <c r="P16" i="2042"/>
  <c r="O16" i="2042"/>
  <c r="N16" i="2042"/>
  <c r="M16" i="2042"/>
  <c r="L16" i="2042"/>
  <c r="K16" i="2042"/>
  <c r="J16" i="2042"/>
  <c r="I16" i="2042"/>
  <c r="H16" i="2042"/>
  <c r="G16" i="2042"/>
  <c r="F16" i="2042"/>
  <c r="E16" i="2042"/>
  <c r="D16" i="2042"/>
  <c r="AE10" i="2042"/>
  <c r="AD10" i="2042"/>
  <c r="AC33" i="2042" s="1"/>
  <c r="AC10" i="2042"/>
  <c r="AB10" i="2042"/>
  <c r="AA10" i="2042"/>
  <c r="Z10" i="2042"/>
  <c r="Y10" i="2042"/>
  <c r="X10" i="2042"/>
  <c r="W10" i="2042"/>
  <c r="V10" i="2042"/>
  <c r="U10" i="2042"/>
  <c r="T10" i="2042"/>
  <c r="S10" i="2042"/>
  <c r="R10" i="2042"/>
  <c r="Q10" i="2042"/>
  <c r="P10" i="2042"/>
  <c r="O10" i="2042"/>
  <c r="N10" i="2042"/>
  <c r="M10" i="2042"/>
  <c r="L10" i="2042"/>
  <c r="N33" i="2042" s="1"/>
  <c r="K10" i="2042"/>
  <c r="J10" i="2042"/>
  <c r="I10" i="2042"/>
  <c r="H10" i="2042"/>
  <c r="G10" i="2042"/>
  <c r="F10" i="2042"/>
  <c r="J33" i="2042" s="1"/>
  <c r="E10" i="2042"/>
  <c r="S33" i="2042" s="1"/>
  <c r="D10" i="2042"/>
  <c r="AE7" i="2042"/>
  <c r="AD7" i="2042"/>
  <c r="AC7" i="2042"/>
  <c r="AB7" i="2042"/>
  <c r="AA7" i="2042"/>
  <c r="Z7" i="2042"/>
  <c r="Y7" i="2042"/>
  <c r="X7" i="2042"/>
  <c r="W7" i="2042"/>
  <c r="V7" i="2042"/>
  <c r="U7" i="2042"/>
  <c r="T7" i="2042"/>
  <c r="S7" i="2042"/>
  <c r="R7" i="2042"/>
  <c r="Q7" i="2042"/>
  <c r="P7" i="2042"/>
  <c r="O7" i="2042"/>
  <c r="N7" i="2042"/>
  <c r="M7" i="2042"/>
  <c r="L7" i="2042"/>
  <c r="K7" i="2042"/>
  <c r="J7" i="2042"/>
  <c r="I7" i="2042"/>
  <c r="H7" i="2042"/>
  <c r="G7" i="2042"/>
  <c r="F7" i="2042"/>
  <c r="E7" i="2042"/>
  <c r="D7" i="2042"/>
  <c r="K33" i="2042" l="1"/>
  <c r="W33" i="2042"/>
  <c r="Z33" i="2042"/>
  <c r="D33" i="2042"/>
  <c r="Y33" i="2042"/>
  <c r="Q33" i="2042"/>
  <c r="E33" i="2042"/>
  <c r="M33" i="2042"/>
  <c r="V33" i="2042"/>
  <c r="AA33" i="2041" l="1"/>
  <c r="X33" i="2041"/>
  <c r="U33" i="2041"/>
  <c r="R33" i="2041"/>
  <c r="O33" i="2041"/>
  <c r="L33" i="2041"/>
  <c r="F33" i="2041"/>
  <c r="Y28" i="2041"/>
  <c r="X28" i="2041"/>
  <c r="W28" i="2041"/>
  <c r="V28" i="2041"/>
  <c r="U28" i="2041"/>
  <c r="T28" i="2041"/>
  <c r="S28" i="2041"/>
  <c r="R28" i="2041"/>
  <c r="Q28" i="2041"/>
  <c r="P28" i="2041"/>
  <c r="O28" i="2041"/>
  <c r="N28" i="2041"/>
  <c r="M28" i="2041"/>
  <c r="L28" i="2041"/>
  <c r="K28" i="2041"/>
  <c r="J28" i="2041"/>
  <c r="I28" i="2041"/>
  <c r="H28" i="2041"/>
  <c r="G28" i="2041"/>
  <c r="F28" i="2041"/>
  <c r="E28" i="2041"/>
  <c r="D28" i="2041"/>
  <c r="Y25" i="2041"/>
  <c r="X25" i="2041"/>
  <c r="W25" i="2041"/>
  <c r="V25" i="2041"/>
  <c r="U25" i="2041"/>
  <c r="T25" i="2041"/>
  <c r="S25" i="2041"/>
  <c r="R25" i="2041"/>
  <c r="Q25" i="2041"/>
  <c r="P25" i="2041"/>
  <c r="O25" i="2041"/>
  <c r="N25" i="2041"/>
  <c r="M25" i="2041"/>
  <c r="K25" i="2041"/>
  <c r="J25" i="2041"/>
  <c r="I25" i="2041"/>
  <c r="H25" i="2041"/>
  <c r="G25" i="2041"/>
  <c r="F25" i="2041"/>
  <c r="E25" i="2041"/>
  <c r="D25" i="2041"/>
  <c r="AE19" i="2041"/>
  <c r="AD19" i="2041"/>
  <c r="AC19" i="2041"/>
  <c r="AB19" i="2041"/>
  <c r="AA19" i="2041"/>
  <c r="Z19" i="2041"/>
  <c r="Y19" i="2041"/>
  <c r="X19" i="2041"/>
  <c r="T33" i="2041" s="1"/>
  <c r="W19" i="2041"/>
  <c r="V19" i="2041"/>
  <c r="U19" i="2041"/>
  <c r="T19" i="2041"/>
  <c r="S19" i="2041"/>
  <c r="R19" i="2041"/>
  <c r="Q19" i="2041"/>
  <c r="P19" i="2041"/>
  <c r="O19" i="2041"/>
  <c r="N19" i="2041"/>
  <c r="H33" i="2041" s="1"/>
  <c r="M19" i="2041"/>
  <c r="L19" i="2041"/>
  <c r="P33" i="2041" s="1"/>
  <c r="K19" i="2041"/>
  <c r="J19" i="2041"/>
  <c r="I19" i="2041"/>
  <c r="AB33" i="2041" s="1"/>
  <c r="H19" i="2041"/>
  <c r="G19" i="2041"/>
  <c r="F19" i="2041"/>
  <c r="E19" i="2041"/>
  <c r="D19" i="2041"/>
  <c r="AE16" i="2041"/>
  <c r="AD16" i="2041"/>
  <c r="AC16" i="2041"/>
  <c r="AB16" i="2041"/>
  <c r="AA16" i="2041"/>
  <c r="Z16" i="2041"/>
  <c r="X16" i="2041"/>
  <c r="W16" i="2041"/>
  <c r="V16" i="2041"/>
  <c r="U16" i="2041"/>
  <c r="T16" i="2041"/>
  <c r="S16" i="2041"/>
  <c r="R16" i="2041"/>
  <c r="Q16" i="2041"/>
  <c r="P16" i="2041"/>
  <c r="O16" i="2041"/>
  <c r="N16" i="2041"/>
  <c r="M16" i="2041"/>
  <c r="L16" i="2041"/>
  <c r="K16" i="2041"/>
  <c r="J16" i="2041"/>
  <c r="I16" i="2041"/>
  <c r="H16" i="2041"/>
  <c r="G16" i="2041"/>
  <c r="F16" i="2041"/>
  <c r="E16" i="2041"/>
  <c r="D16" i="2041"/>
  <c r="AE10" i="2041"/>
  <c r="AD10" i="2041"/>
  <c r="AC33" i="2041" s="1"/>
  <c r="AC10" i="2041"/>
  <c r="AB10" i="2041"/>
  <c r="AA10" i="2041"/>
  <c r="Z10" i="2041"/>
  <c r="Y10" i="2041"/>
  <c r="X10" i="2041"/>
  <c r="W10" i="2041"/>
  <c r="V10" i="2041"/>
  <c r="U10" i="2041"/>
  <c r="T10" i="2041"/>
  <c r="S10" i="2041"/>
  <c r="R10" i="2041"/>
  <c r="Q10" i="2041"/>
  <c r="P10" i="2041"/>
  <c r="O10" i="2041"/>
  <c r="N10" i="2041"/>
  <c r="M10" i="2041"/>
  <c r="E33" i="2041" s="1"/>
  <c r="L10" i="2041"/>
  <c r="K10" i="2041"/>
  <c r="J10" i="2041"/>
  <c r="I10" i="2041"/>
  <c r="H10" i="2041"/>
  <c r="G10" i="2041"/>
  <c r="F10" i="2041"/>
  <c r="J33" i="2041" s="1"/>
  <c r="E10" i="2041"/>
  <c r="D10" i="2041"/>
  <c r="AE7" i="2041"/>
  <c r="AD7" i="2041"/>
  <c r="AC7" i="2041"/>
  <c r="AB7" i="2041"/>
  <c r="AA7" i="2041"/>
  <c r="Z7" i="2041"/>
  <c r="Y7" i="2041"/>
  <c r="X7" i="2041"/>
  <c r="W7" i="2041"/>
  <c r="V7" i="2041"/>
  <c r="U7" i="2041"/>
  <c r="T7" i="2041"/>
  <c r="S7" i="2041"/>
  <c r="R7" i="2041"/>
  <c r="Q7" i="2041"/>
  <c r="P7" i="2041"/>
  <c r="O7" i="2041"/>
  <c r="N7" i="2041"/>
  <c r="M7" i="2041"/>
  <c r="L7" i="2041"/>
  <c r="K7" i="2041"/>
  <c r="J7" i="2041"/>
  <c r="I7" i="2041"/>
  <c r="H7" i="2041"/>
  <c r="G7" i="2041"/>
  <c r="F7" i="2041"/>
  <c r="E7" i="2041"/>
  <c r="D7" i="2041"/>
  <c r="S33" i="2041" l="1"/>
  <c r="N33" i="2041"/>
  <c r="W33" i="2041"/>
  <c r="V33" i="2041"/>
  <c r="D33" i="2041"/>
  <c r="Z33" i="2041"/>
  <c r="Y33" i="2041"/>
  <c r="K33" i="2041"/>
  <c r="Q33" i="2041"/>
  <c r="M33" i="2041"/>
  <c r="AA33" i="2040"/>
  <c r="X33" i="2040"/>
  <c r="U33" i="2040"/>
  <c r="R33" i="2040"/>
  <c r="O33" i="2040"/>
  <c r="L33" i="2040"/>
  <c r="F33" i="2040"/>
  <c r="Y28" i="2040"/>
  <c r="X28" i="2040"/>
  <c r="W28" i="2040"/>
  <c r="V28" i="2040"/>
  <c r="U28" i="2040"/>
  <c r="T28" i="2040"/>
  <c r="S28" i="2040"/>
  <c r="R28" i="2040"/>
  <c r="Q28" i="2040"/>
  <c r="P28" i="2040"/>
  <c r="O28" i="2040"/>
  <c r="N28" i="2040"/>
  <c r="M28" i="2040"/>
  <c r="L28" i="2040"/>
  <c r="K28" i="2040"/>
  <c r="J28" i="2040"/>
  <c r="I28" i="2040"/>
  <c r="H28" i="2040"/>
  <c r="G28" i="2040"/>
  <c r="F28" i="2040"/>
  <c r="E28" i="2040"/>
  <c r="D28" i="2040"/>
  <c r="Y25" i="2040"/>
  <c r="X25" i="2040"/>
  <c r="W25" i="2040"/>
  <c r="V25" i="2040"/>
  <c r="U25" i="2040"/>
  <c r="T25" i="2040"/>
  <c r="S25" i="2040"/>
  <c r="R25" i="2040"/>
  <c r="Q25" i="2040"/>
  <c r="P25" i="2040"/>
  <c r="O25" i="2040"/>
  <c r="N25" i="2040"/>
  <c r="M25" i="2040"/>
  <c r="L25" i="2040"/>
  <c r="K25" i="2040"/>
  <c r="J25" i="2040"/>
  <c r="I25" i="2040"/>
  <c r="H25" i="2040"/>
  <c r="G25" i="2040"/>
  <c r="F25" i="2040"/>
  <c r="E25" i="2040"/>
  <c r="D25" i="2040"/>
  <c r="AE19" i="2040"/>
  <c r="AD19" i="2040"/>
  <c r="AC19" i="2040"/>
  <c r="AB19" i="2040"/>
  <c r="AA19" i="2040"/>
  <c r="Z19" i="2040"/>
  <c r="Y19" i="2040"/>
  <c r="X19" i="2040"/>
  <c r="T33" i="2040" s="1"/>
  <c r="W19" i="2040"/>
  <c r="V19" i="2040"/>
  <c r="U19" i="2040"/>
  <c r="T19" i="2040"/>
  <c r="S19" i="2040"/>
  <c r="R19" i="2040"/>
  <c r="Q19" i="2040"/>
  <c r="P19" i="2040"/>
  <c r="O19" i="2040"/>
  <c r="N19" i="2040"/>
  <c r="H33" i="2040" s="1"/>
  <c r="M19" i="2040"/>
  <c r="L19" i="2040"/>
  <c r="P33" i="2040" s="1"/>
  <c r="K19" i="2040"/>
  <c r="J19" i="2040"/>
  <c r="I19" i="2040"/>
  <c r="AB33" i="2040" s="1"/>
  <c r="H19" i="2040"/>
  <c r="G19" i="2040"/>
  <c r="F19" i="2040"/>
  <c r="E19" i="2040"/>
  <c r="D19" i="2040"/>
  <c r="AE16" i="2040"/>
  <c r="AD16" i="2040"/>
  <c r="AC16" i="2040"/>
  <c r="AB16" i="2040"/>
  <c r="AA16" i="2040"/>
  <c r="Z16" i="2040"/>
  <c r="X16" i="2040"/>
  <c r="W16" i="2040"/>
  <c r="V16" i="2040"/>
  <c r="U16" i="2040"/>
  <c r="T16" i="2040"/>
  <c r="S16" i="2040"/>
  <c r="R16" i="2040"/>
  <c r="Q16" i="2040"/>
  <c r="P16" i="2040"/>
  <c r="O16" i="2040"/>
  <c r="N16" i="2040"/>
  <c r="M16" i="2040"/>
  <c r="L16" i="2040"/>
  <c r="K16" i="2040"/>
  <c r="J16" i="2040"/>
  <c r="I16" i="2040"/>
  <c r="H16" i="2040"/>
  <c r="G16" i="2040"/>
  <c r="F16" i="2040"/>
  <c r="E16" i="2040"/>
  <c r="D16" i="2040"/>
  <c r="AE10" i="2040"/>
  <c r="AD10" i="2040"/>
  <c r="AC33" i="2040" s="1"/>
  <c r="AC10" i="2040"/>
  <c r="AB10" i="2040"/>
  <c r="AA10" i="2040"/>
  <c r="Z10" i="2040"/>
  <c r="Y10" i="2040"/>
  <c r="X10" i="2040"/>
  <c r="W10" i="2040"/>
  <c r="V10" i="2040"/>
  <c r="U10" i="2040"/>
  <c r="T10" i="2040"/>
  <c r="S10" i="2040"/>
  <c r="R10" i="2040"/>
  <c r="Q10" i="2040"/>
  <c r="P10" i="2040"/>
  <c r="O10" i="2040"/>
  <c r="N10" i="2040"/>
  <c r="Q33" i="2040" s="1"/>
  <c r="M10" i="2040"/>
  <c r="E33" i="2040" s="1"/>
  <c r="L10" i="2040"/>
  <c r="K10" i="2040"/>
  <c r="J10" i="2040"/>
  <c r="I10" i="2040"/>
  <c r="H10" i="2040"/>
  <c r="G10" i="2040"/>
  <c r="F10" i="2040"/>
  <c r="J33" i="2040" s="1"/>
  <c r="E10" i="2040"/>
  <c r="S33" i="2040" s="1"/>
  <c r="D10" i="2040"/>
  <c r="AE7" i="2040"/>
  <c r="AD7" i="2040"/>
  <c r="AC7" i="2040"/>
  <c r="AB7" i="2040"/>
  <c r="AA7" i="2040"/>
  <c r="Z7" i="2040"/>
  <c r="Y7" i="2040"/>
  <c r="X7" i="2040"/>
  <c r="W7" i="2040"/>
  <c r="V7" i="2040"/>
  <c r="U7" i="2040"/>
  <c r="T7" i="2040"/>
  <c r="S7" i="2040"/>
  <c r="R7" i="2040"/>
  <c r="Q7" i="2040"/>
  <c r="P7" i="2040"/>
  <c r="O7" i="2040"/>
  <c r="N7" i="2040"/>
  <c r="M7" i="2040"/>
  <c r="L7" i="2040"/>
  <c r="K7" i="2040"/>
  <c r="J7" i="2040"/>
  <c r="I7" i="2040"/>
  <c r="H7" i="2040"/>
  <c r="G7" i="2040"/>
  <c r="F7" i="2040"/>
  <c r="E7" i="2040"/>
  <c r="D7" i="2040"/>
  <c r="W33" i="2040" l="1"/>
  <c r="D33" i="2040"/>
  <c r="Z33" i="2040"/>
  <c r="Y33" i="2040"/>
  <c r="N33" i="2040"/>
  <c r="K33" i="2040"/>
  <c r="M33" i="2040"/>
  <c r="V33" i="2040"/>
  <c r="AA33" i="2039"/>
  <c r="X33" i="2039"/>
  <c r="U33" i="2039"/>
  <c r="R33" i="2039"/>
  <c r="O33" i="2039"/>
  <c r="L33" i="2039"/>
  <c r="F33" i="2039"/>
  <c r="Y28" i="2039"/>
  <c r="X28" i="2039"/>
  <c r="W28" i="2039"/>
  <c r="V28" i="2039"/>
  <c r="U28" i="2039"/>
  <c r="T28" i="2039"/>
  <c r="S28" i="2039"/>
  <c r="R28" i="2039"/>
  <c r="Q28" i="2039"/>
  <c r="P28" i="2039"/>
  <c r="O28" i="2039"/>
  <c r="N28" i="2039"/>
  <c r="M28" i="2039"/>
  <c r="L28" i="2039"/>
  <c r="K28" i="2039"/>
  <c r="J28" i="2039"/>
  <c r="I28" i="2039"/>
  <c r="H28" i="2039"/>
  <c r="G28" i="2039"/>
  <c r="F28" i="2039"/>
  <c r="E28" i="2039"/>
  <c r="D28" i="2039"/>
  <c r="Y25" i="2039"/>
  <c r="X25" i="2039"/>
  <c r="W25" i="2039"/>
  <c r="V25" i="2039"/>
  <c r="U25" i="2039"/>
  <c r="T25" i="2039"/>
  <c r="S25" i="2039"/>
  <c r="R25" i="2039"/>
  <c r="Q25" i="2039"/>
  <c r="P25" i="2039"/>
  <c r="O25" i="2039"/>
  <c r="N25" i="2039"/>
  <c r="M25" i="2039"/>
  <c r="L25" i="2039"/>
  <c r="K25" i="2039"/>
  <c r="J25" i="2039"/>
  <c r="I25" i="2039"/>
  <c r="H25" i="2039"/>
  <c r="G25" i="2039"/>
  <c r="F25" i="2039"/>
  <c r="E25" i="2039"/>
  <c r="D25" i="2039"/>
  <c r="AE19" i="2039"/>
  <c r="AD19" i="2039"/>
  <c r="AC19" i="2039"/>
  <c r="AB19" i="2039"/>
  <c r="AA19" i="2039"/>
  <c r="Z19" i="2039"/>
  <c r="Y19" i="2039"/>
  <c r="X19" i="2039"/>
  <c r="T33" i="2039" s="1"/>
  <c r="W19" i="2039"/>
  <c r="V19" i="2039"/>
  <c r="U19" i="2039"/>
  <c r="T19" i="2039"/>
  <c r="S19" i="2039"/>
  <c r="R19" i="2039"/>
  <c r="Q19" i="2039"/>
  <c r="P19" i="2039"/>
  <c r="O19" i="2039"/>
  <c r="N19" i="2039"/>
  <c r="H33" i="2039" s="1"/>
  <c r="M19" i="2039"/>
  <c r="L19" i="2039"/>
  <c r="P33" i="2039" s="1"/>
  <c r="K19" i="2039"/>
  <c r="J19" i="2039"/>
  <c r="I19" i="2039"/>
  <c r="AB33" i="2039" s="1"/>
  <c r="H19" i="2039"/>
  <c r="G19" i="2039"/>
  <c r="F19" i="2039"/>
  <c r="E19" i="2039"/>
  <c r="D19" i="2039"/>
  <c r="AE16" i="2039"/>
  <c r="AD16" i="2039"/>
  <c r="AC16" i="2039"/>
  <c r="AB16" i="2039"/>
  <c r="AA16" i="2039"/>
  <c r="Z16" i="2039"/>
  <c r="X16" i="2039"/>
  <c r="W16" i="2039"/>
  <c r="V16" i="2039"/>
  <c r="U16" i="2039"/>
  <c r="T16" i="2039"/>
  <c r="S16" i="2039"/>
  <c r="R16" i="2039"/>
  <c r="Q16" i="2039"/>
  <c r="P16" i="2039"/>
  <c r="O16" i="2039"/>
  <c r="N16" i="2039"/>
  <c r="M16" i="2039"/>
  <c r="L16" i="2039"/>
  <c r="K16" i="2039"/>
  <c r="J16" i="2039"/>
  <c r="I16" i="2039"/>
  <c r="H16" i="2039"/>
  <c r="G16" i="2039"/>
  <c r="F16" i="2039"/>
  <c r="E16" i="2039"/>
  <c r="D16" i="2039"/>
  <c r="AE10" i="2039"/>
  <c r="AD10" i="2039"/>
  <c r="AC33" i="2039" s="1"/>
  <c r="AC10" i="2039"/>
  <c r="AB10" i="2039"/>
  <c r="AA10" i="2039"/>
  <c r="Z10" i="2039"/>
  <c r="Y10" i="2039"/>
  <c r="X10" i="2039"/>
  <c r="W10" i="2039"/>
  <c r="V10" i="2039"/>
  <c r="U10" i="2039"/>
  <c r="T10" i="2039"/>
  <c r="S10" i="2039"/>
  <c r="R10" i="2039"/>
  <c r="Q10" i="2039"/>
  <c r="P10" i="2039"/>
  <c r="O10" i="2039"/>
  <c r="N10" i="2039"/>
  <c r="Q33" i="2039" s="1"/>
  <c r="M10" i="2039"/>
  <c r="E33" i="2039" s="1"/>
  <c r="L10" i="2039"/>
  <c r="N33" i="2039" s="1"/>
  <c r="K10" i="2039"/>
  <c r="J10" i="2039"/>
  <c r="I10" i="2039"/>
  <c r="H10" i="2039"/>
  <c r="G10" i="2039"/>
  <c r="F10" i="2039"/>
  <c r="J33" i="2039" s="1"/>
  <c r="E10" i="2039"/>
  <c r="S33" i="2039" s="1"/>
  <c r="D10" i="2039"/>
  <c r="AE7" i="2039"/>
  <c r="AD7" i="2039"/>
  <c r="AC7" i="2039"/>
  <c r="AB7" i="2039"/>
  <c r="AA7" i="2039"/>
  <c r="Z7" i="2039"/>
  <c r="Y7" i="2039"/>
  <c r="X7" i="2039"/>
  <c r="W7" i="2039"/>
  <c r="V7" i="2039"/>
  <c r="U7" i="2039"/>
  <c r="T7" i="2039"/>
  <c r="S7" i="2039"/>
  <c r="R7" i="2039"/>
  <c r="Q7" i="2039"/>
  <c r="P7" i="2039"/>
  <c r="O7" i="2039"/>
  <c r="N7" i="2039"/>
  <c r="M7" i="2039"/>
  <c r="L7" i="2039"/>
  <c r="K7" i="2039"/>
  <c r="J7" i="2039"/>
  <c r="I7" i="2039"/>
  <c r="H7" i="2039"/>
  <c r="G7" i="2039"/>
  <c r="F7" i="2039"/>
  <c r="E7" i="2039"/>
  <c r="D7" i="2039"/>
  <c r="W33" i="2039" l="1"/>
  <c r="V33" i="2039"/>
  <c r="D33" i="2039"/>
  <c r="Z33" i="2039"/>
  <c r="Y33" i="2039"/>
  <c r="K33" i="2039"/>
  <c r="M33" i="2039"/>
  <c r="AA33" i="2038"/>
  <c r="X33" i="2038"/>
  <c r="U33" i="2038"/>
  <c r="R33" i="2038"/>
  <c r="O33" i="2038"/>
  <c r="N33" i="2038"/>
  <c r="L33" i="2038"/>
  <c r="F33" i="2038"/>
  <c r="Y28" i="2038"/>
  <c r="X28" i="2038"/>
  <c r="W28" i="2038"/>
  <c r="V28" i="2038"/>
  <c r="U28" i="2038"/>
  <c r="T28" i="2038"/>
  <c r="S28" i="2038"/>
  <c r="R28" i="2038"/>
  <c r="Q28" i="2038"/>
  <c r="P28" i="2038"/>
  <c r="O28" i="2038"/>
  <c r="N28" i="2038"/>
  <c r="M28" i="2038"/>
  <c r="L28" i="2038"/>
  <c r="K28" i="2038"/>
  <c r="J28" i="2038"/>
  <c r="I28" i="2038"/>
  <c r="H28" i="2038"/>
  <c r="G28" i="2038"/>
  <c r="F28" i="2038"/>
  <c r="E28" i="2038"/>
  <c r="D28" i="2038"/>
  <c r="Y25" i="2038"/>
  <c r="X25" i="2038"/>
  <c r="W25" i="2038"/>
  <c r="V25" i="2038"/>
  <c r="U25" i="2038"/>
  <c r="T25" i="2038"/>
  <c r="S25" i="2038"/>
  <c r="R25" i="2038"/>
  <c r="Q25" i="2038"/>
  <c r="P25" i="2038"/>
  <c r="O25" i="2038"/>
  <c r="N25" i="2038"/>
  <c r="M25" i="2038"/>
  <c r="L25" i="2038"/>
  <c r="K25" i="2038"/>
  <c r="J25" i="2038"/>
  <c r="I25" i="2038"/>
  <c r="H25" i="2038"/>
  <c r="G25" i="2038"/>
  <c r="F25" i="2038"/>
  <c r="E25" i="2038"/>
  <c r="D25" i="2038"/>
  <c r="AE19" i="2038"/>
  <c r="AD19" i="2038"/>
  <c r="AC19" i="2038"/>
  <c r="AB19" i="2038"/>
  <c r="AA19" i="2038"/>
  <c r="Z19" i="2038"/>
  <c r="Y19" i="2038"/>
  <c r="X19" i="2038"/>
  <c r="T33" i="2038" s="1"/>
  <c r="W19" i="2038"/>
  <c r="V19" i="2038"/>
  <c r="U19" i="2038"/>
  <c r="T19" i="2038"/>
  <c r="S19" i="2038"/>
  <c r="R19" i="2038"/>
  <c r="Q19" i="2038"/>
  <c r="P19" i="2038"/>
  <c r="O19" i="2038"/>
  <c r="N19" i="2038"/>
  <c r="H33" i="2038" s="1"/>
  <c r="M19" i="2038"/>
  <c r="L19" i="2038"/>
  <c r="P33" i="2038" s="1"/>
  <c r="K19" i="2038"/>
  <c r="J19" i="2038"/>
  <c r="I19" i="2038"/>
  <c r="AB33" i="2038" s="1"/>
  <c r="H19" i="2038"/>
  <c r="G19" i="2038"/>
  <c r="F19" i="2038"/>
  <c r="E19" i="2038"/>
  <c r="D19" i="2038"/>
  <c r="AE16" i="2038"/>
  <c r="AD16" i="2038"/>
  <c r="AC16" i="2038"/>
  <c r="AB16" i="2038"/>
  <c r="AA16" i="2038"/>
  <c r="Z16" i="2038"/>
  <c r="X16" i="2038"/>
  <c r="W16" i="2038"/>
  <c r="V16" i="2038"/>
  <c r="U16" i="2038"/>
  <c r="T16" i="2038"/>
  <c r="S16" i="2038"/>
  <c r="R16" i="2038"/>
  <c r="Q16" i="2038"/>
  <c r="P16" i="2038"/>
  <c r="O16" i="2038"/>
  <c r="N16" i="2038"/>
  <c r="M16" i="2038"/>
  <c r="L16" i="2038"/>
  <c r="K16" i="2038"/>
  <c r="J16" i="2038"/>
  <c r="I16" i="2038"/>
  <c r="H16" i="2038"/>
  <c r="G16" i="2038"/>
  <c r="F16" i="2038"/>
  <c r="E16" i="2038"/>
  <c r="D16" i="2038"/>
  <c r="AE10" i="2038"/>
  <c r="AD10" i="2038"/>
  <c r="AC33" i="2038" s="1"/>
  <c r="AC10" i="2038"/>
  <c r="AB10" i="2038"/>
  <c r="AA10" i="2038"/>
  <c r="Z10" i="2038"/>
  <c r="Y10" i="2038"/>
  <c r="X10" i="2038"/>
  <c r="W10" i="2038"/>
  <c r="V10" i="2038"/>
  <c r="U10" i="2038"/>
  <c r="T10" i="2038"/>
  <c r="S10" i="2038"/>
  <c r="R10" i="2038"/>
  <c r="Q10" i="2038"/>
  <c r="P10" i="2038"/>
  <c r="O10" i="2038"/>
  <c r="N10" i="2038"/>
  <c r="M10" i="2038"/>
  <c r="L10" i="2038"/>
  <c r="K10" i="2038"/>
  <c r="J10" i="2038"/>
  <c r="I10" i="2038"/>
  <c r="H10" i="2038"/>
  <c r="G10" i="2038"/>
  <c r="F10" i="2038"/>
  <c r="E10" i="2038"/>
  <c r="S33" i="2038" s="1"/>
  <c r="D10" i="2038"/>
  <c r="AE7" i="2038"/>
  <c r="AD7" i="2038"/>
  <c r="AC7" i="2038"/>
  <c r="AB7" i="2038"/>
  <c r="AA7" i="2038"/>
  <c r="Z7" i="2038"/>
  <c r="Y7" i="2038"/>
  <c r="X7" i="2038"/>
  <c r="W7" i="2038"/>
  <c r="V7" i="2038"/>
  <c r="U7" i="2038"/>
  <c r="T7" i="2038"/>
  <c r="S7" i="2038"/>
  <c r="R7" i="2038"/>
  <c r="Q7" i="2038"/>
  <c r="P7" i="2038"/>
  <c r="O7" i="2038"/>
  <c r="N7" i="2038"/>
  <c r="M7" i="2038"/>
  <c r="L7" i="2038"/>
  <c r="K7" i="2038"/>
  <c r="J7" i="2038"/>
  <c r="I7" i="2038"/>
  <c r="H7" i="2038"/>
  <c r="G7" i="2038"/>
  <c r="F7" i="2038"/>
  <c r="E7" i="2038"/>
  <c r="D7" i="2038"/>
  <c r="J33" i="2038" l="1"/>
  <c r="K33" i="2038"/>
  <c r="W33" i="2038"/>
  <c r="D33" i="2038"/>
  <c r="Z33" i="2038"/>
  <c r="Y33" i="2038"/>
  <c r="Q33" i="2038"/>
  <c r="E33" i="2038"/>
  <c r="M33" i="2038"/>
  <c r="V33" i="2038"/>
  <c r="AA33" i="2037"/>
  <c r="X33" i="2037"/>
  <c r="U33" i="2037"/>
  <c r="R33" i="2037"/>
  <c r="O33" i="2037"/>
  <c r="L33" i="2037"/>
  <c r="F33" i="2037"/>
  <c r="Y28" i="2037"/>
  <c r="X28" i="2037"/>
  <c r="W28" i="2037"/>
  <c r="V28" i="2037"/>
  <c r="U28" i="2037"/>
  <c r="T28" i="2037"/>
  <c r="S28" i="2037"/>
  <c r="R28" i="2037"/>
  <c r="Q28" i="2037"/>
  <c r="P28" i="2037"/>
  <c r="O28" i="2037"/>
  <c r="N28" i="2037"/>
  <c r="M28" i="2037"/>
  <c r="L28" i="2037"/>
  <c r="K28" i="2037"/>
  <c r="J28" i="2037"/>
  <c r="I28" i="2037"/>
  <c r="H28" i="2037"/>
  <c r="G28" i="2037"/>
  <c r="F28" i="2037"/>
  <c r="E28" i="2037"/>
  <c r="D28" i="2037"/>
  <c r="Y25" i="2037"/>
  <c r="X25" i="2037"/>
  <c r="W25" i="2037"/>
  <c r="V25" i="2037"/>
  <c r="U25" i="2037"/>
  <c r="T25" i="2037"/>
  <c r="S25" i="2037"/>
  <c r="R25" i="2037"/>
  <c r="Q25" i="2037"/>
  <c r="P25" i="2037"/>
  <c r="O25" i="2037"/>
  <c r="N25" i="2037"/>
  <c r="M25" i="2037"/>
  <c r="L25" i="2037"/>
  <c r="K25" i="2037"/>
  <c r="J25" i="2037"/>
  <c r="I25" i="2037"/>
  <c r="H25" i="2037"/>
  <c r="G25" i="2037"/>
  <c r="F25" i="2037"/>
  <c r="E25" i="2037"/>
  <c r="D25" i="2037"/>
  <c r="AE19" i="2037"/>
  <c r="AD19" i="2037"/>
  <c r="AC19" i="2037"/>
  <c r="AB19" i="2037"/>
  <c r="AA19" i="2037"/>
  <c r="Z19" i="2037"/>
  <c r="Y19" i="2037"/>
  <c r="X19" i="2037"/>
  <c r="T33" i="2037" s="1"/>
  <c r="W19" i="2037"/>
  <c r="V19" i="2037"/>
  <c r="U19" i="2037"/>
  <c r="T19" i="2037"/>
  <c r="S19" i="2037"/>
  <c r="R19" i="2037"/>
  <c r="Q19" i="2037"/>
  <c r="P19" i="2037"/>
  <c r="O19" i="2037"/>
  <c r="N19" i="2037"/>
  <c r="H33" i="2037" s="1"/>
  <c r="M19" i="2037"/>
  <c r="L19" i="2037"/>
  <c r="P33" i="2037" s="1"/>
  <c r="K19" i="2037"/>
  <c r="J19" i="2037"/>
  <c r="I19" i="2037"/>
  <c r="AB33" i="2037" s="1"/>
  <c r="H19" i="2037"/>
  <c r="G19" i="2037"/>
  <c r="F19" i="2037"/>
  <c r="E19" i="2037"/>
  <c r="D19" i="2037"/>
  <c r="AE16" i="2037"/>
  <c r="AD16" i="2037"/>
  <c r="AC16" i="2037"/>
  <c r="AB16" i="2037"/>
  <c r="AA16" i="2037"/>
  <c r="Z16" i="2037"/>
  <c r="X16" i="2037"/>
  <c r="W16" i="2037"/>
  <c r="V16" i="2037"/>
  <c r="U16" i="2037"/>
  <c r="T16" i="2037"/>
  <c r="S16" i="2037"/>
  <c r="R16" i="2037"/>
  <c r="Q16" i="2037"/>
  <c r="P16" i="2037"/>
  <c r="O16" i="2037"/>
  <c r="N16" i="2037"/>
  <c r="M16" i="2037"/>
  <c r="L16" i="2037"/>
  <c r="K16" i="2037"/>
  <c r="J16" i="2037"/>
  <c r="I16" i="2037"/>
  <c r="H16" i="2037"/>
  <c r="G16" i="2037"/>
  <c r="F16" i="2037"/>
  <c r="E16" i="2037"/>
  <c r="D16" i="2037"/>
  <c r="AE10" i="2037"/>
  <c r="AD10" i="2037"/>
  <c r="AC33" i="2037" s="1"/>
  <c r="AC10" i="2037"/>
  <c r="AB10" i="2037"/>
  <c r="AA10" i="2037"/>
  <c r="D33" i="2037" s="1"/>
  <c r="Z10" i="2037"/>
  <c r="Y10" i="2037"/>
  <c r="X10" i="2037"/>
  <c r="W10" i="2037"/>
  <c r="V10" i="2037"/>
  <c r="U10" i="2037"/>
  <c r="T10" i="2037"/>
  <c r="S10" i="2037"/>
  <c r="R10" i="2037"/>
  <c r="Q10" i="2037"/>
  <c r="P10" i="2037"/>
  <c r="O10" i="2037"/>
  <c r="N10" i="2037"/>
  <c r="M10" i="2037"/>
  <c r="E33" i="2037" s="1"/>
  <c r="L10" i="2037"/>
  <c r="N33" i="2037" s="1"/>
  <c r="K10" i="2037"/>
  <c r="J10" i="2037"/>
  <c r="Q33" i="2037" s="1"/>
  <c r="I10" i="2037"/>
  <c r="H10" i="2037"/>
  <c r="G10" i="2037"/>
  <c r="F10" i="2037"/>
  <c r="E10" i="2037"/>
  <c r="S33" i="2037" s="1"/>
  <c r="D10" i="2037"/>
  <c r="AE7" i="2037"/>
  <c r="AD7" i="2037"/>
  <c r="AC7" i="2037"/>
  <c r="AB7" i="2037"/>
  <c r="AA7" i="2037"/>
  <c r="Z7" i="2037"/>
  <c r="Y7" i="2037"/>
  <c r="X7" i="2037"/>
  <c r="W7" i="2037"/>
  <c r="V7" i="2037"/>
  <c r="U7" i="2037"/>
  <c r="T7" i="2037"/>
  <c r="S7" i="2037"/>
  <c r="R7" i="2037"/>
  <c r="Q7" i="2037"/>
  <c r="P7" i="2037"/>
  <c r="O7" i="2037"/>
  <c r="N7" i="2037"/>
  <c r="M7" i="2037"/>
  <c r="L7" i="2037"/>
  <c r="K7" i="2037"/>
  <c r="J7" i="2037"/>
  <c r="I7" i="2037"/>
  <c r="H7" i="2037"/>
  <c r="G7" i="2037"/>
  <c r="F7" i="2037"/>
  <c r="E7" i="2037"/>
  <c r="D7" i="2037"/>
  <c r="J33" i="2037" l="1"/>
  <c r="W33" i="2037"/>
  <c r="V33" i="2037"/>
  <c r="Z33" i="2037"/>
  <c r="Y33" i="2037"/>
  <c r="K33" i="2037"/>
  <c r="M33" i="2037"/>
  <c r="AA33" i="2036"/>
  <c r="X33" i="2036"/>
  <c r="U33" i="2036"/>
  <c r="R33" i="2036"/>
  <c r="O33" i="2036"/>
  <c r="L33" i="2036"/>
  <c r="F33" i="2036"/>
  <c r="Y28" i="2036"/>
  <c r="X28" i="2036"/>
  <c r="W28" i="2036"/>
  <c r="V28" i="2036"/>
  <c r="U28" i="2036"/>
  <c r="T28" i="2036"/>
  <c r="S28" i="2036"/>
  <c r="R28" i="2036"/>
  <c r="Q28" i="2036"/>
  <c r="P28" i="2036"/>
  <c r="O28" i="2036"/>
  <c r="N28" i="2036"/>
  <c r="M28" i="2036"/>
  <c r="L28" i="2036"/>
  <c r="K28" i="2036"/>
  <c r="J28" i="2036"/>
  <c r="I28" i="2036"/>
  <c r="H28" i="2036"/>
  <c r="G28" i="2036"/>
  <c r="F28" i="2036"/>
  <c r="E28" i="2036"/>
  <c r="D28" i="2036"/>
  <c r="Y25" i="2036"/>
  <c r="X25" i="2036"/>
  <c r="W25" i="2036"/>
  <c r="V25" i="2036"/>
  <c r="U25" i="2036"/>
  <c r="T25" i="2036"/>
  <c r="S25" i="2036"/>
  <c r="R25" i="2036"/>
  <c r="Q25" i="2036"/>
  <c r="P25" i="2036"/>
  <c r="O25" i="2036"/>
  <c r="N25" i="2036"/>
  <c r="M25" i="2036"/>
  <c r="L25" i="2036"/>
  <c r="K25" i="2036"/>
  <c r="J25" i="2036"/>
  <c r="I25" i="2036"/>
  <c r="H25" i="2036"/>
  <c r="G25" i="2036"/>
  <c r="F25" i="2036"/>
  <c r="E25" i="2036"/>
  <c r="D25" i="2036"/>
  <c r="AE19" i="2036"/>
  <c r="AD19" i="2036"/>
  <c r="AC19" i="2036"/>
  <c r="AB19" i="2036"/>
  <c r="AA19" i="2036"/>
  <c r="Z19" i="2036"/>
  <c r="Y19" i="2036"/>
  <c r="X19" i="2036"/>
  <c r="T33" i="2036" s="1"/>
  <c r="W19" i="2036"/>
  <c r="V19" i="2036"/>
  <c r="U19" i="2036"/>
  <c r="T19" i="2036"/>
  <c r="S19" i="2036"/>
  <c r="R19" i="2036"/>
  <c r="Q19" i="2036"/>
  <c r="P19" i="2036"/>
  <c r="O19" i="2036"/>
  <c r="N19" i="2036"/>
  <c r="H33" i="2036" s="1"/>
  <c r="M19" i="2036"/>
  <c r="L19" i="2036"/>
  <c r="P33" i="2036" s="1"/>
  <c r="K19" i="2036"/>
  <c r="J19" i="2036"/>
  <c r="I19" i="2036"/>
  <c r="AB33" i="2036" s="1"/>
  <c r="H19" i="2036"/>
  <c r="G19" i="2036"/>
  <c r="F19" i="2036"/>
  <c r="E19" i="2036"/>
  <c r="D19" i="2036"/>
  <c r="AE16" i="2036"/>
  <c r="AD16" i="2036"/>
  <c r="AC16" i="2036"/>
  <c r="AB16" i="2036"/>
  <c r="AA16" i="2036"/>
  <c r="Z16" i="2036"/>
  <c r="X16" i="2036"/>
  <c r="W16" i="2036"/>
  <c r="V16" i="2036"/>
  <c r="U16" i="2036"/>
  <c r="T16" i="2036"/>
  <c r="S16" i="2036"/>
  <c r="R16" i="2036"/>
  <c r="Q16" i="2036"/>
  <c r="P16" i="2036"/>
  <c r="O16" i="2036"/>
  <c r="N16" i="2036"/>
  <c r="M16" i="2036"/>
  <c r="L16" i="2036"/>
  <c r="K16" i="2036"/>
  <c r="J16" i="2036"/>
  <c r="I16" i="2036"/>
  <c r="H16" i="2036"/>
  <c r="G16" i="2036"/>
  <c r="F16" i="2036"/>
  <c r="E16" i="2036"/>
  <c r="D16" i="2036"/>
  <c r="AE10" i="2036"/>
  <c r="AD10" i="2036"/>
  <c r="AC33" i="2036" s="1"/>
  <c r="AC10" i="2036"/>
  <c r="AB10" i="2036"/>
  <c r="AA10" i="2036"/>
  <c r="Z10" i="2036"/>
  <c r="Y10" i="2036"/>
  <c r="X10" i="2036"/>
  <c r="W10" i="2036"/>
  <c r="V10" i="2036"/>
  <c r="U10" i="2036"/>
  <c r="T10" i="2036"/>
  <c r="S10" i="2036"/>
  <c r="R10" i="2036"/>
  <c r="Q10" i="2036"/>
  <c r="P10" i="2036"/>
  <c r="O10" i="2036"/>
  <c r="N10" i="2036"/>
  <c r="M10" i="2036"/>
  <c r="L10" i="2036"/>
  <c r="K10" i="2036"/>
  <c r="J10" i="2036"/>
  <c r="I10" i="2036"/>
  <c r="H10" i="2036"/>
  <c r="G10" i="2036"/>
  <c r="F10" i="2036"/>
  <c r="E10" i="2036"/>
  <c r="D10" i="2036"/>
  <c r="AE7" i="2036"/>
  <c r="AD7" i="2036"/>
  <c r="AC7" i="2036"/>
  <c r="AB7" i="2036"/>
  <c r="AA7" i="2036"/>
  <c r="Z7" i="2036"/>
  <c r="Y7" i="2036"/>
  <c r="X7" i="2036"/>
  <c r="W7" i="2036"/>
  <c r="V7" i="2036"/>
  <c r="U7" i="2036"/>
  <c r="T7" i="2036"/>
  <c r="S7" i="2036"/>
  <c r="R7" i="2036"/>
  <c r="Q7" i="2036"/>
  <c r="P7" i="2036"/>
  <c r="O7" i="2036"/>
  <c r="N7" i="2036"/>
  <c r="M7" i="2036"/>
  <c r="L7" i="2036"/>
  <c r="K7" i="2036"/>
  <c r="J7" i="2036"/>
  <c r="I7" i="2036"/>
  <c r="H7" i="2036"/>
  <c r="G7" i="2036"/>
  <c r="F7" i="2036"/>
  <c r="E7" i="2036"/>
  <c r="D7" i="2036"/>
  <c r="S33" i="2036" l="1"/>
  <c r="J33" i="2036"/>
  <c r="N33" i="2036"/>
  <c r="K33" i="2036"/>
  <c r="W33" i="2036"/>
  <c r="Z33" i="2036"/>
  <c r="D33" i="2036"/>
  <c r="Y33" i="2036"/>
  <c r="Q33" i="2036"/>
  <c r="E33" i="2036"/>
  <c r="M33" i="2036"/>
  <c r="V33" i="2036"/>
  <c r="AA33" i="2035"/>
  <c r="X33" i="2035"/>
  <c r="U33" i="2035"/>
  <c r="R33" i="2035"/>
  <c r="O33" i="2035"/>
  <c r="L33" i="2035"/>
  <c r="F33" i="2035"/>
  <c r="Y28" i="2035"/>
  <c r="X28" i="2035"/>
  <c r="W28" i="2035"/>
  <c r="V28" i="2035"/>
  <c r="U28" i="2035"/>
  <c r="T28" i="2035"/>
  <c r="S28" i="2035"/>
  <c r="R28" i="2035"/>
  <c r="Q28" i="2035"/>
  <c r="P28" i="2035"/>
  <c r="O28" i="2035"/>
  <c r="N28" i="2035"/>
  <c r="M28" i="2035"/>
  <c r="L28" i="2035"/>
  <c r="K28" i="2035"/>
  <c r="J28" i="2035"/>
  <c r="I28" i="2035"/>
  <c r="H28" i="2035"/>
  <c r="G28" i="2035"/>
  <c r="F28" i="2035"/>
  <c r="E28" i="2035"/>
  <c r="D28" i="2035"/>
  <c r="Y25" i="2035"/>
  <c r="X25" i="2035"/>
  <c r="W25" i="2035"/>
  <c r="V25" i="2035"/>
  <c r="U25" i="2035"/>
  <c r="T25" i="2035"/>
  <c r="S25" i="2035"/>
  <c r="R25" i="2035"/>
  <c r="Q25" i="2035"/>
  <c r="P25" i="2035"/>
  <c r="O25" i="2035"/>
  <c r="N25" i="2035"/>
  <c r="M25" i="2035"/>
  <c r="L25" i="2035"/>
  <c r="K25" i="2035"/>
  <c r="J25" i="2035"/>
  <c r="I25" i="2035"/>
  <c r="H25" i="2035"/>
  <c r="G25" i="2035"/>
  <c r="F25" i="2035"/>
  <c r="E25" i="2035"/>
  <c r="D25" i="2035"/>
  <c r="AE19" i="2035"/>
  <c r="AD19" i="2035"/>
  <c r="AC19" i="2035"/>
  <c r="AB19" i="2035"/>
  <c r="AA19" i="2035"/>
  <c r="Z19" i="2035"/>
  <c r="Y19" i="2035"/>
  <c r="X19" i="2035"/>
  <c r="T33" i="2035" s="1"/>
  <c r="W19" i="2035"/>
  <c r="V19" i="2035"/>
  <c r="U19" i="2035"/>
  <c r="T19" i="2035"/>
  <c r="S19" i="2035"/>
  <c r="R19" i="2035"/>
  <c r="Q19" i="2035"/>
  <c r="P19" i="2035"/>
  <c r="O19" i="2035"/>
  <c r="N19" i="2035"/>
  <c r="H33" i="2035" s="1"/>
  <c r="M19" i="2035"/>
  <c r="L19" i="2035"/>
  <c r="P33" i="2035" s="1"/>
  <c r="K19" i="2035"/>
  <c r="J19" i="2035"/>
  <c r="I19" i="2035"/>
  <c r="AB33" i="2035" s="1"/>
  <c r="H19" i="2035"/>
  <c r="G19" i="2035"/>
  <c r="F19" i="2035"/>
  <c r="E19" i="2035"/>
  <c r="D19" i="2035"/>
  <c r="AE16" i="2035"/>
  <c r="AD16" i="2035"/>
  <c r="AC16" i="2035"/>
  <c r="AB16" i="2035"/>
  <c r="AA16" i="2035"/>
  <c r="Z16" i="2035"/>
  <c r="X16" i="2035"/>
  <c r="W16" i="2035"/>
  <c r="V16" i="2035"/>
  <c r="U16" i="2035"/>
  <c r="T16" i="2035"/>
  <c r="S16" i="2035"/>
  <c r="R16" i="2035"/>
  <c r="Q16" i="2035"/>
  <c r="P16" i="2035"/>
  <c r="O16" i="2035"/>
  <c r="N16" i="2035"/>
  <c r="M16" i="2035"/>
  <c r="L16" i="2035"/>
  <c r="K16" i="2035"/>
  <c r="J16" i="2035"/>
  <c r="I16" i="2035"/>
  <c r="H16" i="2035"/>
  <c r="G16" i="2035"/>
  <c r="F16" i="2035"/>
  <c r="E16" i="2035"/>
  <c r="D16" i="2035"/>
  <c r="AE10" i="2035"/>
  <c r="AD10" i="2035"/>
  <c r="AC33" i="2035" s="1"/>
  <c r="AC10" i="2035"/>
  <c r="AB10" i="2035"/>
  <c r="AA10" i="2035"/>
  <c r="Z10" i="2035"/>
  <c r="Y10" i="2035"/>
  <c r="X10" i="2035"/>
  <c r="W10" i="2035"/>
  <c r="V10" i="2035"/>
  <c r="U10" i="2035"/>
  <c r="T10" i="2035"/>
  <c r="S10" i="2035"/>
  <c r="R10" i="2035"/>
  <c r="Q10" i="2035"/>
  <c r="P10" i="2035"/>
  <c r="O10" i="2035"/>
  <c r="N10" i="2035"/>
  <c r="M10" i="2035"/>
  <c r="L10" i="2035"/>
  <c r="N33" i="2035" s="1"/>
  <c r="K10" i="2035"/>
  <c r="J10" i="2035"/>
  <c r="I10" i="2035"/>
  <c r="H10" i="2035"/>
  <c r="G10" i="2035"/>
  <c r="F10" i="2035"/>
  <c r="J33" i="2035" s="1"/>
  <c r="E10" i="2035"/>
  <c r="S33" i="2035" s="1"/>
  <c r="D10" i="2035"/>
  <c r="AE7" i="2035"/>
  <c r="AD7" i="2035"/>
  <c r="AC7" i="2035"/>
  <c r="AB7" i="2035"/>
  <c r="AA7" i="2035"/>
  <c r="Z7" i="2035"/>
  <c r="Y7" i="2035"/>
  <c r="X7" i="2035"/>
  <c r="W7" i="2035"/>
  <c r="V7" i="2035"/>
  <c r="U7" i="2035"/>
  <c r="T7" i="2035"/>
  <c r="S7" i="2035"/>
  <c r="R7" i="2035"/>
  <c r="Q7" i="2035"/>
  <c r="P7" i="2035"/>
  <c r="O7" i="2035"/>
  <c r="N7" i="2035"/>
  <c r="M7" i="2035"/>
  <c r="L7" i="2035"/>
  <c r="K7" i="2035"/>
  <c r="J7" i="2035"/>
  <c r="I7" i="2035"/>
  <c r="H7" i="2035"/>
  <c r="G7" i="2035"/>
  <c r="F7" i="2035"/>
  <c r="E7" i="2035"/>
  <c r="D7" i="2035"/>
  <c r="K33" i="2035" l="1"/>
  <c r="W33" i="2035"/>
  <c r="Z33" i="2035"/>
  <c r="D33" i="2035"/>
  <c r="Y33" i="2035"/>
  <c r="Q33" i="2035"/>
  <c r="E33" i="2035"/>
  <c r="M33" i="2035"/>
  <c r="V33" i="2035"/>
  <c r="S35" i="13" l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<sst xmlns="http://schemas.openxmlformats.org/spreadsheetml/2006/main" count="32012" uniqueCount="649">
  <si>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</si>
  <si>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</si>
  <si>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</si>
  <si>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</si>
  <si>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</si>
  <si>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</si>
  <si>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</si>
  <si>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</si>
  <si>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</si>
  <si>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</si>
  <si>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</si>
  <si>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</si>
  <si>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</si>
  <si>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</si>
  <si>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</si>
  <si>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</si>
  <si>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</si>
  <si>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</si>
  <si>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</si>
  <si>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</si>
  <si>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</si>
  <si>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</si>
  <si>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</si>
  <si>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</si>
  <si>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</si>
  <si>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</si>
  <si>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</si>
  <si>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</si>
  <si>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</si>
  <si>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</si>
  <si>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</si>
  <si>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</si>
  <si>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</si>
  <si>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</si>
  <si>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</si>
  <si>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</si>
  <si>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</si>
  <si>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</si>
  <si>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</si>
  <si>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</si>
  <si>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</si>
  <si>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</si>
  <si>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</si>
  <si>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</si>
  <si>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</si>
  <si>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</si>
  <si>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</si>
  <si>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</si>
  <si>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</si>
  <si>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</si>
  <si>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</si>
  <si>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</si>
  <si>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</si>
  <si>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</si>
  <si>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</si>
  <si>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</si>
  <si>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</si>
  <si>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</si>
  <si>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</si>
  <si>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</si>
  <si>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</si>
  <si>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</si>
  <si>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</si>
  <si>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</si>
  <si>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</si>
  <si>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</si>
  <si>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</si>
  <si>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</si>
  <si>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</si>
  <si>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</si>
  <si>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</si>
  <si>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</si>
  <si>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</si>
  <si>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</si>
  <si>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</si>
  <si>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</si>
  <si>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</si>
  <si>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</si>
  <si>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</si>
  <si>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</si>
  <si>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</si>
  <si>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</si>
  <si>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</si>
  <si>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</si>
  <si>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</si>
  <si>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</si>
  <si>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</si>
  <si>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</si>
  <si>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</si>
  <si>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</si>
  <si>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</si>
  <si>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</si>
  <si>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</si>
  <si>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</si>
  <si>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</si>
  <si>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</si>
  <si>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</si>
  <si>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</si>
  <si>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</si>
  <si>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</si>
  <si>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</si>
  <si>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</si>
  <si>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</si>
  <si>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</si>
  <si>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</si>
  <si>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</si>
  <si>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</si>
  <si>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</si>
  <si>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</si>
  <si>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</si>
  <si>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</si>
  <si>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</si>
  <si>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</si>
  <si>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</si>
  <si>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</si>
  <si>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</si>
  <si>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</si>
  <si>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</si>
  <si>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</si>
  <si>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</si>
  <si>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</si>
  <si>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</si>
  <si>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</si>
  <si>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</si>
  <si>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</si>
  <si>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</si>
  <si>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</si>
  <si>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</si>
  <si>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</si>
  <si>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</si>
  <si>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</si>
  <si>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</si>
  <si>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</si>
  <si>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</si>
  <si>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</si>
  <si>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</si>
  <si>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</si>
  <si>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</si>
  <si>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</si>
  <si>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</si>
  <si>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</si>
  <si>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</si>
  <si>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</si>
  <si>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</si>
  <si>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</si>
  <si>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</si>
  <si>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</si>
  <si>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</si>
  <si>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</si>
  <si>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</si>
  <si>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</si>
  <si>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</si>
  <si>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</si>
  <si>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</si>
  <si>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</si>
  <si>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</si>
  <si>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</si>
  <si>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</si>
  <si>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</si>
  <si>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</si>
  <si>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</si>
  <si>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</si>
  <si>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</si>
  <si>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</si>
  <si>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</si>
  <si>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</si>
  <si>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</si>
  <si>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</si>
  <si>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</si>
  <si>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</si>
  <si>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</si>
  <si>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</si>
  <si>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</si>
  <si>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</si>
  <si>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</si>
  <si>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</si>
  <si>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</si>
  <si>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</si>
  <si>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</si>
  <si>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</si>
  <si>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</si>
  <si>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</si>
  <si>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</si>
  <si>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</si>
  <si>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</si>
  <si>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</si>
  <si>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</si>
  <si>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</si>
  <si>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</si>
  <si>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</si>
  <si>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</si>
  <si>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</si>
  <si>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</si>
  <si>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</si>
  <si>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</si>
  <si>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</si>
  <si>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</si>
  <si>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</si>
  <si>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</si>
  <si>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</si>
  <si>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</si>
  <si>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</si>
  <si>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</si>
  <si>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</si>
  <si>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</si>
  <si>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</si>
  <si>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</si>
  <si>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</si>
  <si>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</si>
  <si>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</si>
  <si>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</si>
  <si>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</si>
  <si>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</si>
  <si>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</si>
  <si>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</si>
  <si>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</si>
  <si>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</si>
  <si>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</si>
  <si>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</si>
  <si>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</si>
  <si>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</si>
  <si>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</si>
  <si>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</si>
  <si>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</si>
  <si>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</si>
  <si>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</si>
  <si>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</si>
  <si>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</si>
  <si>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</si>
  <si>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</si>
  <si>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</si>
  <si>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</si>
  <si>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</si>
  <si>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</si>
  <si>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</si>
  <si>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</si>
  <si>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</si>
  <si>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</si>
  <si>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</si>
  <si>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</si>
  <si>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</si>
  <si>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</si>
  <si>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</si>
  <si>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</si>
  <si>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</si>
  <si>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</si>
  <si>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</si>
  <si>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</si>
  <si>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</si>
  <si>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</si>
  <si>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</si>
  <si>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</si>
  <si>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</si>
  <si>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</si>
  <si>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</si>
  <si>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</si>
  <si>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</si>
  <si>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</si>
  <si>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</si>
  <si>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</si>
  <si>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</si>
  <si>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</si>
  <si>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</si>
  <si>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</si>
  <si>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</si>
  <si>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</si>
  <si>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</si>
  <si>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</si>
  <si>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</si>
  <si>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</si>
  <si>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</si>
  <si>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</si>
  <si>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</si>
  <si>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</si>
  <si>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</si>
  <si>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</si>
  <si>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</si>
  <si>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</si>
  <si>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</si>
  <si>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</si>
  <si>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</si>
  <si>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</si>
  <si>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</si>
  <si>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</si>
  <si>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</si>
  <si>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</si>
  <si>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</si>
  <si>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</si>
  <si>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</si>
  <si>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</si>
  <si>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</si>
  <si>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</si>
  <si>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</si>
  <si>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</si>
  <si>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</si>
  <si>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</si>
  <si>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</si>
  <si>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</si>
  <si>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</si>
  <si>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</si>
  <si>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</si>
  <si>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</si>
  <si>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</si>
  <si>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</si>
  <si>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</si>
  <si>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</si>
  <si>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</si>
  <si>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</si>
  <si>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</si>
  <si>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</si>
  <si>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</si>
  <si>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</si>
  <si>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</si>
  <si>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</si>
  <si>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</si>
  <si>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</si>
  <si>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</si>
  <si>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</si>
  <si>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</si>
  <si>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</si>
  <si>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</si>
  <si>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</si>
  <si>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</si>
  <si>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</si>
  <si>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</si>
  <si>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</si>
  <si>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</si>
  <si>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</si>
  <si>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</si>
  <si>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</si>
  <si>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</si>
  <si>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</si>
  <si>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</si>
  <si>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</si>
  <si>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</si>
  <si>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</si>
  <si>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</si>
  <si>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</si>
  <si>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</si>
  <si>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</si>
  <si>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</si>
  <si>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</si>
  <si>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</si>
  <si>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</si>
  <si>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</si>
  <si>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</si>
  <si>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</si>
  <si>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</si>
  <si>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</si>
  <si>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</si>
  <si>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</si>
  <si>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</si>
  <si>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</si>
  <si>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</si>
  <si>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</si>
  <si>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</si>
  <si>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</si>
  <si>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</si>
  <si>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</si>
  <si>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</si>
  <si>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</si>
  <si>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</si>
  <si>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</si>
  <si>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</si>
  <si>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</si>
  <si>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</si>
  <si>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</si>
  <si>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</si>
  <si>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</si>
  <si>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</si>
  <si>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</si>
  <si>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</si>
  <si>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</si>
  <si>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</si>
  <si>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</si>
  <si>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</si>
  <si>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</si>
  <si>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</si>
  <si>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</si>
  <si>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</si>
  <si>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</si>
  <si>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</si>
  <si>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</si>
  <si>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</si>
  <si>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</si>
  <si>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</si>
  <si>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</si>
  <si>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</si>
  <si>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</si>
  <si>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</si>
  <si>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</si>
  <si>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</si>
  <si>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</si>
  <si>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</si>
  <si>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</si>
  <si>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</si>
  <si>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</si>
  <si>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</si>
  <si>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</si>
  <si>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</si>
  <si>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</si>
  <si>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</si>
  <si>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</si>
  <si>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</si>
  <si>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</si>
  <si>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</si>
  <si>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</si>
  <si>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</si>
  <si>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</si>
  <si>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</si>
  <si>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</si>
  <si>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</si>
  <si>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</si>
  <si>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</si>
  <si>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</si>
  <si>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</si>
  <si>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</si>
  <si>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</si>
  <si>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</si>
  <si>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</si>
  <si>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</si>
  <si>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</si>
  <si>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</si>
  <si>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</si>
  <si>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</si>
  <si>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</si>
  <si>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</si>
  <si>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</si>
  <si>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</si>
  <si>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</si>
  <si>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</si>
  <si>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</si>
  <si>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</si>
  <si>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</si>
  <si>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</si>
  <si>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</si>
  <si>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</si>
  <si>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</si>
  <si>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</si>
  <si>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</si>
  <si>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</si>
  <si>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</si>
  <si>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</si>
  <si>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</si>
  <si>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</si>
  <si>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</si>
  <si>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</si>
  <si>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</si>
  <si>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</si>
  <si>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</si>
  <si>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</si>
  <si>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</si>
  <si>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</si>
  <si>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</si>
  <si>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</si>
  <si>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</si>
  <si>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</si>
  <si>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</si>
  <si>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</si>
  <si>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</si>
  <si>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</si>
  <si>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</si>
  <si>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</si>
  <si>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</si>
  <si>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</si>
  <si>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</si>
  <si>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</si>
  <si>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</si>
  <si>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</si>
  <si>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</si>
  <si>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</si>
  <si>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</si>
  <si>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</si>
  <si>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</si>
  <si>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</si>
  <si>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</si>
  <si>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</si>
  <si>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</si>
  <si>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</si>
  <si>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</si>
  <si>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</si>
  <si>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</si>
  <si>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</si>
  <si>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</si>
  <si>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</si>
  <si>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</si>
  <si>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</si>
  <si>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</si>
  <si>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</si>
  <si>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</si>
  <si>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</si>
  <si>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</si>
  <si>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</si>
  <si>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</si>
  <si>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</si>
  <si>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</si>
  <si>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</si>
  <si>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</si>
  <si>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</si>
  <si>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</si>
  <si>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</si>
  <si>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</si>
  <si>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</si>
  <si>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</si>
  <si>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</si>
  <si>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</si>
  <si>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</si>
  <si>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</si>
  <si>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</si>
  <si>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</si>
  <si>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</si>
  <si>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</si>
  <si>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</si>
  <si>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</si>
  <si>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</si>
  <si>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</si>
  <si>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</si>
  <si>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</si>
  <si>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</si>
  <si>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</si>
  <si>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</si>
  <si>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</si>
  <si>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</si>
  <si>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</si>
  <si>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</si>
  <si>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</si>
  <si>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</si>
  <si>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</si>
  <si>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</si>
  <si>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</si>
  <si>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</si>
  <si>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</si>
  <si>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</si>
  <si>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</si>
  <si>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</si>
  <si>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</si>
  <si>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</si>
  <si>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</si>
  <si>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</si>
  <si>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</si>
  <si>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</si>
  <si>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</si>
  <si>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</si>
  <si>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</si>
  <si>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</si>
  <si>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</si>
  <si>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</si>
  <si>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</si>
  <si>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</si>
  <si>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</si>
  <si>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</si>
  <si>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</si>
  <si>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</si>
  <si>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</si>
  <si>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</si>
  <si>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</si>
  <si>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</si>
  <si>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</si>
  <si>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</si>
  <si>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</si>
  <si>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</si>
  <si>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</si>
  <si>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</si>
  <si>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</si>
  <si>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</si>
  <si>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</si>
  <si>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</si>
  <si>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</si>
  <si>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</si>
  <si>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</si>
  <si>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</si>
  <si>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</si>
  <si>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</si>
  <si>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</si>
  <si>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</si>
  <si>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</si>
  <si>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</si>
  <si>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</si>
  <si>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</si>
  <si>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</si>
  <si>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</si>
  <si>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</si>
  <si>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</si>
  <si>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</si>
  <si>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</si>
  <si>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</si>
  <si>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</si>
  <si>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</si>
  <si>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</si>
  <si>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</si>
  <si>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</si>
  <si>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</si>
  <si>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</si>
  <si>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</si>
  <si>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</si>
  <si>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</si>
  <si>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</si>
  <si>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</si>
  <si>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</si>
  <si>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</si>
  <si>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</si>
  <si>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</si>
  <si>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</si>
  <si>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</si>
  <si>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</si>
  <si>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</si>
  <si>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</si>
  <si>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</si>
  <si>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</si>
  <si>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</si>
  <si>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</si>
  <si>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</si>
  <si>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</si>
  <si>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</si>
  <si>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</si>
  <si>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</si>
  <si>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</si>
  <si>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</si>
  <si>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</si>
  <si>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</si>
  <si>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</si>
  <si>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</si>
  <si>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</si>
  <si>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</si>
  <si>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</si>
  <si>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</si>
  <si>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</si>
  <si>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</si>
  <si>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</si>
  <si>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</si>
  <si>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IPA-1</t>
  </si>
  <si>
    <t>IPA</t>
    <phoneticPr fontId="2" type="noConversion"/>
  </si>
  <si>
    <t>EBR-P1</t>
    <phoneticPr fontId="2" type="noConversion"/>
  </si>
  <si>
    <t>C50110-INV-01(01)</t>
    <phoneticPr fontId="3" type="noConversion"/>
  </si>
  <si>
    <t>IPA-1</t>
    <phoneticPr fontId="3" type="noConversion"/>
  </si>
  <si>
    <t>DPM-1</t>
    <phoneticPr fontId="3" type="noConversion"/>
  </si>
  <si>
    <t>CPNE3</t>
    <phoneticPr fontId="2" type="noConversion"/>
  </si>
  <si>
    <t>EBR-P4</t>
    <phoneticPr fontId="3" type="noConversion"/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</si>
  <si>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</si>
  <si>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22
蒸氣壓力 ______ (最低氣溫低於16度開啟)</t>
    <phoneticPr fontId="3" type="noConversion"/>
  </si>
  <si>
    <t>林東和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</si>
  <si>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23
蒸氣壓力 ______ (最低氣溫低於16度開啟)</t>
    <phoneticPr fontId="3" type="noConversion"/>
  </si>
  <si>
    <t>洪源松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</si>
  <si>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20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</si>
  <si>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19
蒸氣壓力 ______ (最低氣溫低於16度開啟)</t>
    <phoneticPr fontId="3" type="noConversion"/>
  </si>
  <si>
    <t xml:space="preserve"> 液位</t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</si>
  <si>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18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</si>
  <si>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16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</si>
  <si>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14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</si>
</sst>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5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0"/>
      <color theme="7" tint="-0.499984740745262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22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51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2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34" fillId="0" borderId="0" xfId="1" applyFont="1"/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9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85953" name="Button 1" hidden="1">
              <a:extLst>
                <a:ext uri="{63B3BB69-23CF-44E3-9099-C40C66FF867C}">
                  <a14:compatExt spid="_x0000_s268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86977" name="Button 1" hidden="1">
              <a:extLst>
                <a:ext uri="{63B3BB69-23CF-44E3-9099-C40C66FF867C}">
                  <a14:compatExt spid="_x0000_s268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89025" name="Button 1" hidden="1">
              <a:extLst>
                <a:ext uri="{63B3BB69-23CF-44E3-9099-C40C66FF867C}">
                  <a14:compatExt spid="_x0000_s268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91073" name="Button 1" hidden="1">
              <a:extLst>
                <a:ext uri="{63B3BB69-23CF-44E3-9099-C40C66FF867C}">
                  <a14:compatExt spid="_x0000_s269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92097" name="Button 1" hidden="1">
              <a:extLst>
                <a:ext uri="{63B3BB69-23CF-44E3-9099-C40C66FF867C}">
                  <a14:compatExt spid="_x0000_s269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93121" name="Button 1" hidden="1">
              <a:extLst>
                <a:ext uri="{63B3BB69-23CF-44E3-9099-C40C66FF867C}">
                  <a14:compatExt spid="_x0000_s269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94145" name="Button 1" hidden="1">
              <a:extLst>
                <a:ext uri="{63B3BB69-23CF-44E3-9099-C40C66FF867C}">
                  <a14:compatExt spid="_x0000_s269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95169" name="Button 1" hidden="1">
              <a:extLst>
                <a:ext uri="{63B3BB69-23CF-44E3-9099-C40C66FF867C}">
                  <a14:compatExt spid="_x0000_s269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96193" name="Button 1" hidden="1">
              <a:extLst>
                <a:ext uri="{63B3BB69-23CF-44E3-9099-C40C66FF867C}">
                  <a14:compatExt spid="_x0000_s269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97217" name="Button 1" hidden="1">
              <a:extLst>
                <a:ext uri="{63B3BB69-23CF-44E3-9099-C40C66FF867C}">
                  <a14:compatExt spid="_x0000_s269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99265" name="Button 1" hidden="1">
              <a:extLst>
                <a:ext uri="{63B3BB69-23CF-44E3-9099-C40C66FF867C}">
                  <a14:compatExt spid="_x0000_s269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01313" name="Button 1" hidden="1">
              <a:extLst>
                <a:ext uri="{63B3BB69-23CF-44E3-9099-C40C66FF867C}">
                  <a14:compatExt spid="_x0000_s270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03361" name="Button 1" hidden="1">
              <a:extLst>
                <a:ext uri="{63B3BB69-23CF-44E3-9099-C40C66FF867C}">
                  <a14:compatExt spid="_x0000_s270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05409" name="Button 1" hidden="1">
              <a:extLst>
                <a:ext uri="{63B3BB69-23CF-44E3-9099-C40C66FF867C}">
                  <a14:compatExt spid="_x0000_s2705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06433" name="Button 1" hidden="1">
              <a:extLst>
                <a:ext uri="{63B3BB69-23CF-44E3-9099-C40C66FF867C}">
                  <a14:compatExt spid="_x0000_s270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08481" name="Button 1" hidden="1">
              <a:extLst>
                <a:ext uri="{63B3BB69-23CF-44E3-9099-C40C66FF867C}">
                  <a14:compatExt spid="_x0000_s2708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09505" name="Button 1" hidden="1">
              <a:extLst>
                <a:ext uri="{63B3BB69-23CF-44E3-9099-C40C66FF867C}">
                  <a14:compatExt spid="_x0000_s270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10529" name="Button 1" hidden="1">
              <a:extLst>
                <a:ext uri="{63B3BB69-23CF-44E3-9099-C40C66FF867C}">
                  <a14:compatExt spid="_x0000_s271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11553" name="Button 1" hidden="1">
              <a:extLst>
                <a:ext uri="{63B3BB69-23CF-44E3-9099-C40C66FF867C}">
                  <a14:compatExt spid="_x0000_s27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12577" name="Button 1" hidden="1">
              <a:extLst>
                <a:ext uri="{63B3BB69-23CF-44E3-9099-C40C66FF867C}">
                  <a14:compatExt spid="_x0000_s271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13601" name="Button 1" hidden="1">
              <a:extLst>
                <a:ext uri="{63B3BB69-23CF-44E3-9099-C40C66FF867C}">
                  <a14:compatExt spid="_x0000_s2713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14625" name="Button 1" hidden="1">
              <a:extLst>
                <a:ext uri="{63B3BB69-23CF-44E3-9099-C40C66FF867C}">
                  <a14:compatExt spid="_x0000_s2714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16673" name="Button 1" hidden="1">
              <a:extLst>
                <a:ext uri="{63B3BB69-23CF-44E3-9099-C40C66FF867C}">
                  <a14:compatExt spid="_x0000_s2716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3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table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2850" dataDxfId="2849" headerRowCellStyle="一般 2" dataCellStyle="一般 2">
  <autoFilter ref="AG13:BH189"/>
  <tableColumns count="28">
    <tableColumn id="1" uniqueName="1" name="請直接以10進位，謝謝" queryTableFieldId="1" dataDxfId="2848" dataCellStyle="一般 2"/>
    <tableColumn id="2" uniqueName="2" name="F2" queryTableFieldId="2" dataDxfId="2847" dataCellStyle="一般 2"/>
    <tableColumn id="3" uniqueName="3" name="F3" queryTableFieldId="3" dataDxfId="2846" dataCellStyle="一般 2"/>
    <tableColumn id="4" uniqueName="4" name="F4" queryTableFieldId="4" dataDxfId="2845" dataCellStyle="一般 2"/>
    <tableColumn id="5" uniqueName="5" name="F5" queryTableFieldId="5" dataDxfId="2844" dataCellStyle="一般 2"/>
    <tableColumn id="6" uniqueName="6" name="F6" queryTableFieldId="6" dataDxfId="2843" dataCellStyle="一般 2"/>
    <tableColumn id="7" uniqueName="7" name="F7" queryTableFieldId="7" dataDxfId="2842" dataCellStyle="一般 2"/>
    <tableColumn id="8" uniqueName="8" name="F8" queryTableFieldId="8" dataDxfId="2841" dataCellStyle="一般 2"/>
    <tableColumn id="9" uniqueName="9" name="F9" queryTableFieldId="9" dataDxfId="2840" dataCellStyle="一般 2"/>
    <tableColumn id="10" uniqueName="10" name="F10" queryTableFieldId="10" dataDxfId="2839" dataCellStyle="一般 2"/>
    <tableColumn id="11" uniqueName="11" name="F11" queryTableFieldId="11" dataDxfId="2838" dataCellStyle="一般 2"/>
    <tableColumn id="12" uniqueName="12" name="F12" queryTableFieldId="12" dataDxfId="2837" dataCellStyle="一般 2"/>
    <tableColumn id="13" uniqueName="13" name="F13" queryTableFieldId="13" dataDxfId="2836" dataCellStyle="一般 2"/>
    <tableColumn id="14" uniqueName="14" name="F14" queryTableFieldId="14" dataDxfId="2835" dataCellStyle="一般 2"/>
    <tableColumn id="15" uniqueName="15" name="F15" queryTableFieldId="15" dataDxfId="2834" dataCellStyle="一般 2"/>
    <tableColumn id="16" uniqueName="16" name="F16" queryTableFieldId="16" dataDxfId="2833" dataCellStyle="一般 2"/>
    <tableColumn id="17" uniqueName="17" name="F17" queryTableFieldId="17" dataDxfId="2832" dataCellStyle="一般 2"/>
    <tableColumn id="18" uniqueName="18" name="F18" queryTableFieldId="18" dataDxfId="2831" dataCellStyle="一般 2"/>
    <tableColumn id="19" uniqueName="19" name="F19" queryTableFieldId="19" dataDxfId="2830" dataCellStyle="一般 2"/>
    <tableColumn id="20" uniqueName="20" name="F20" queryTableFieldId="20" dataDxfId="2829" dataCellStyle="一般 2"/>
    <tableColumn id="21" uniqueName="21" name="F21" queryTableFieldId="21" dataDxfId="2828" dataCellStyle="一般 2"/>
    <tableColumn id="22" uniqueName="22" name="2024/6/24 14:52" queryTableFieldId="22" dataDxfId="2827" dataCellStyle="一般 2"/>
    <tableColumn id="23" uniqueName="23" name="F23" queryTableFieldId="23" dataDxfId="2826" dataCellStyle="一般 2"/>
    <tableColumn id="24" uniqueName="24" name="F24" queryTableFieldId="24" dataDxfId="2825" dataCellStyle="一般 2"/>
    <tableColumn id="25" uniqueName="25" name="F25" queryTableFieldId="25" dataDxfId="2824" dataCellStyle="一般 2"/>
    <tableColumn id="26" uniqueName="26" name="F26" queryTableFieldId="26" dataDxfId="2823" dataCellStyle="一般 2"/>
    <tableColumn id="27" uniqueName="27" name="F27" queryTableFieldId="27" dataDxfId="2822" dataCellStyle="一般 2"/>
    <tableColumn id="28" uniqueName="28" name="F28" queryTableFieldId="28" dataDxfId="2821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722" dataDxfId="2721" headerRowCellStyle="一般 2" dataCellStyle="一般 2">
  <autoFilter ref="AG13:BH189"/>
  <tableColumns count="28">
    <tableColumn id="1" uniqueName="1" name="請直接以10進位，謝謝" queryTableFieldId="1" dataDxfId="2720" dataCellStyle="一般 2"/>
    <tableColumn id="2" uniqueName="2" name="F2" queryTableFieldId="2" dataDxfId="2719" dataCellStyle="一般 2"/>
    <tableColumn id="3" uniqueName="3" name="F3" queryTableFieldId="3" dataDxfId="2718" dataCellStyle="一般 2"/>
    <tableColumn id="4" uniqueName="4" name="F4" queryTableFieldId="4" dataDxfId="2717" dataCellStyle="一般 2"/>
    <tableColumn id="5" uniqueName="5" name="F5" queryTableFieldId="5" dataDxfId="2716" dataCellStyle="一般 2"/>
    <tableColumn id="6" uniqueName="6" name="F6" queryTableFieldId="6" dataDxfId="2715" dataCellStyle="一般 2"/>
    <tableColumn id="7" uniqueName="7" name="F7" queryTableFieldId="7" dataDxfId="2714" dataCellStyle="一般 2"/>
    <tableColumn id="8" uniqueName="8" name="F8" queryTableFieldId="8" dataDxfId="2713" dataCellStyle="一般 2"/>
    <tableColumn id="9" uniqueName="9" name="F9" queryTableFieldId="9" dataDxfId="2712" dataCellStyle="一般 2"/>
    <tableColumn id="10" uniqueName="10" name="F10" queryTableFieldId="10" dataDxfId="2711" dataCellStyle="一般 2"/>
    <tableColumn id="11" uniqueName="11" name="F11" queryTableFieldId="11" dataDxfId="2710" dataCellStyle="一般 2"/>
    <tableColumn id="12" uniqueName="12" name="F12" queryTableFieldId="12" dataDxfId="2709" dataCellStyle="一般 2"/>
    <tableColumn id="13" uniqueName="13" name="F13" queryTableFieldId="13" dataDxfId="2708" dataCellStyle="一般 2"/>
    <tableColumn id="14" uniqueName="14" name="F14" queryTableFieldId="14" dataDxfId="2707" dataCellStyle="一般 2"/>
    <tableColumn id="15" uniqueName="15" name="F15" queryTableFieldId="15" dataDxfId="2706" dataCellStyle="一般 2"/>
    <tableColumn id="16" uniqueName="16" name="F16" queryTableFieldId="16" dataDxfId="2705" dataCellStyle="一般 2"/>
    <tableColumn id="17" uniqueName="17" name="F17" queryTableFieldId="17" dataDxfId="2704" dataCellStyle="一般 2"/>
    <tableColumn id="18" uniqueName="18" name="F18" queryTableFieldId="18" dataDxfId="2703" dataCellStyle="一般 2"/>
    <tableColumn id="19" uniqueName="19" name="F19" queryTableFieldId="19" dataDxfId="2702" dataCellStyle="一般 2"/>
    <tableColumn id="20" uniqueName="20" name="F20" queryTableFieldId="20" dataDxfId="2701" dataCellStyle="一般 2"/>
    <tableColumn id="21" uniqueName="21" name="F21" queryTableFieldId="21" dataDxfId="2700" dataCellStyle="一般 2"/>
    <tableColumn id="22" uniqueName="22" name="2024/6/24 14:52" queryTableFieldId="22" dataDxfId="2699" dataCellStyle="一般 2"/>
    <tableColumn id="23" uniqueName="23" name="F23" queryTableFieldId="23" dataDxfId="2698" dataCellStyle="一般 2"/>
    <tableColumn id="24" uniqueName="24" name="F24" queryTableFieldId="24" dataDxfId="2697" dataCellStyle="一般 2"/>
    <tableColumn id="25" uniqueName="25" name="F25" queryTableFieldId="25" dataDxfId="2696" dataCellStyle="一般 2"/>
    <tableColumn id="26" uniqueName="26" name="F26" queryTableFieldId="26" dataDxfId="2695" dataCellStyle="一般 2"/>
    <tableColumn id="27" uniqueName="27" name="F27" queryTableFieldId="27" dataDxfId="2694" dataCellStyle="一般 2"/>
    <tableColumn id="28" uniqueName="28" name="F28" queryTableFieldId="28" dataDxfId="2693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2594" dataDxfId="2593" headerRowCellStyle="一般 2" dataCellStyle="一般 2">
  <autoFilter ref="AG13:BH189"/>
  <tableColumns count="28">
    <tableColumn id="1" uniqueName="1" name="請直接以10進位，謝謝" queryTableFieldId="1" dataDxfId="2592" dataCellStyle="一般 2"/>
    <tableColumn id="2" uniqueName="2" name="F2" queryTableFieldId="2" dataDxfId="2591" dataCellStyle="一般 2"/>
    <tableColumn id="3" uniqueName="3" name="F3" queryTableFieldId="3" dataDxfId="2590" dataCellStyle="一般 2"/>
    <tableColumn id="4" uniqueName="4" name="F4" queryTableFieldId="4" dataDxfId="2589" dataCellStyle="一般 2"/>
    <tableColumn id="5" uniqueName="5" name="F5" queryTableFieldId="5" dataDxfId="2588" dataCellStyle="一般 2"/>
    <tableColumn id="6" uniqueName="6" name="F6" queryTableFieldId="6" dataDxfId="2587" dataCellStyle="一般 2"/>
    <tableColumn id="7" uniqueName="7" name="F7" queryTableFieldId="7" dataDxfId="2586" dataCellStyle="一般 2"/>
    <tableColumn id="8" uniqueName="8" name="F8" queryTableFieldId="8" dataDxfId="2585" dataCellStyle="一般 2"/>
    <tableColumn id="9" uniqueName="9" name="F9" queryTableFieldId="9" dataDxfId="2584" dataCellStyle="一般 2"/>
    <tableColumn id="10" uniqueName="10" name="F10" queryTableFieldId="10" dataDxfId="2583" dataCellStyle="一般 2"/>
    <tableColumn id="11" uniqueName="11" name="F11" queryTableFieldId="11" dataDxfId="2582" dataCellStyle="一般 2"/>
    <tableColumn id="12" uniqueName="12" name="F12" queryTableFieldId="12" dataDxfId="2581" dataCellStyle="一般 2"/>
    <tableColumn id="13" uniqueName="13" name="F13" queryTableFieldId="13" dataDxfId="2580" dataCellStyle="一般 2"/>
    <tableColumn id="14" uniqueName="14" name="F14" queryTableFieldId="14" dataDxfId="2579" dataCellStyle="一般 2"/>
    <tableColumn id="15" uniqueName="15" name="F15" queryTableFieldId="15" dataDxfId="2578" dataCellStyle="一般 2"/>
    <tableColumn id="16" uniqueName="16" name="F16" queryTableFieldId="16" dataDxfId="2577" dataCellStyle="一般 2"/>
    <tableColumn id="17" uniqueName="17" name="F17" queryTableFieldId="17" dataDxfId="2576" dataCellStyle="一般 2"/>
    <tableColumn id="18" uniqueName="18" name="F18" queryTableFieldId="18" dataDxfId="2575" dataCellStyle="一般 2"/>
    <tableColumn id="19" uniqueName="19" name="F19" queryTableFieldId="19" dataDxfId="2574" dataCellStyle="一般 2"/>
    <tableColumn id="20" uniqueName="20" name="F20" queryTableFieldId="20" dataDxfId="2573" dataCellStyle="一般 2"/>
    <tableColumn id="21" uniqueName="21" name="F21" queryTableFieldId="21" dataDxfId="2572" dataCellStyle="一般 2"/>
    <tableColumn id="22" uniqueName="22" name="2024/6/24 14:52" queryTableFieldId="22" dataDxfId="2571" dataCellStyle="一般 2"/>
    <tableColumn id="23" uniqueName="23" name="F23" queryTableFieldId="23" dataDxfId="2570" dataCellStyle="一般 2"/>
    <tableColumn id="24" uniqueName="24" name="F24" queryTableFieldId="24" dataDxfId="2569" dataCellStyle="一般 2"/>
    <tableColumn id="25" uniqueName="25" name="F25" queryTableFieldId="25" dataDxfId="2568" dataCellStyle="一般 2"/>
    <tableColumn id="26" uniqueName="26" name="F26" queryTableFieldId="26" dataDxfId="2567" dataCellStyle="一般 2"/>
    <tableColumn id="27" uniqueName="27" name="F27" queryTableFieldId="27" dataDxfId="2566" dataCellStyle="一般 2"/>
    <tableColumn id="28" uniqueName="28" name="F28" queryTableFieldId="28" dataDxfId="2565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2466" dataDxfId="2465" headerRowCellStyle="一般 2" dataCellStyle="一般 2">
  <autoFilter ref="AG13:BH189"/>
  <tableColumns count="28">
    <tableColumn id="1" uniqueName="1" name="請直接以10進位，謝謝" queryTableFieldId="1" dataDxfId="2464" dataCellStyle="一般 2"/>
    <tableColumn id="2" uniqueName="2" name="F2" queryTableFieldId="2" dataDxfId="2463" dataCellStyle="一般 2"/>
    <tableColumn id="3" uniqueName="3" name="F3" queryTableFieldId="3" dataDxfId="2462" dataCellStyle="一般 2"/>
    <tableColumn id="4" uniqueName="4" name="F4" queryTableFieldId="4" dataDxfId="2461" dataCellStyle="一般 2"/>
    <tableColumn id="5" uniqueName="5" name="F5" queryTableFieldId="5" dataDxfId="2460" dataCellStyle="一般 2"/>
    <tableColumn id="6" uniqueName="6" name="F6" queryTableFieldId="6" dataDxfId="2459" dataCellStyle="一般 2"/>
    <tableColumn id="7" uniqueName="7" name="F7" queryTableFieldId="7" dataDxfId="2458" dataCellStyle="一般 2"/>
    <tableColumn id="8" uniqueName="8" name="F8" queryTableFieldId="8" dataDxfId="2457" dataCellStyle="一般 2"/>
    <tableColumn id="9" uniqueName="9" name="F9" queryTableFieldId="9" dataDxfId="2456" dataCellStyle="一般 2"/>
    <tableColumn id="10" uniqueName="10" name="F10" queryTableFieldId="10" dataDxfId="2455" dataCellStyle="一般 2"/>
    <tableColumn id="11" uniqueName="11" name="F11" queryTableFieldId="11" dataDxfId="2454" dataCellStyle="一般 2"/>
    <tableColumn id="12" uniqueName="12" name="F12" queryTableFieldId="12" dataDxfId="2453" dataCellStyle="一般 2"/>
    <tableColumn id="13" uniqueName="13" name="F13" queryTableFieldId="13" dataDxfId="2452" dataCellStyle="一般 2"/>
    <tableColumn id="14" uniqueName="14" name="F14" queryTableFieldId="14" dataDxfId="2451" dataCellStyle="一般 2"/>
    <tableColumn id="15" uniqueName="15" name="F15" queryTableFieldId="15" dataDxfId="2450" dataCellStyle="一般 2"/>
    <tableColumn id="16" uniqueName="16" name="F16" queryTableFieldId="16" dataDxfId="2449" dataCellStyle="一般 2"/>
    <tableColumn id="17" uniqueName="17" name="F17" queryTableFieldId="17" dataDxfId="2448" dataCellStyle="一般 2"/>
    <tableColumn id="18" uniqueName="18" name="F18" queryTableFieldId="18" dataDxfId="2447" dataCellStyle="一般 2"/>
    <tableColumn id="19" uniqueName="19" name="F19" queryTableFieldId="19" dataDxfId="2446" dataCellStyle="一般 2"/>
    <tableColumn id="20" uniqueName="20" name="F20" queryTableFieldId="20" dataDxfId="2445" dataCellStyle="一般 2"/>
    <tableColumn id="21" uniqueName="21" name="F21" queryTableFieldId="21" dataDxfId="2444" dataCellStyle="一般 2"/>
    <tableColumn id="22" uniqueName="22" name="2024/6/24 14:52" queryTableFieldId="22" dataDxfId="2443" dataCellStyle="一般 2"/>
    <tableColumn id="23" uniqueName="23" name="F23" queryTableFieldId="23" dataDxfId="2442" dataCellStyle="一般 2"/>
    <tableColumn id="24" uniqueName="24" name="F24" queryTableFieldId="24" dataDxfId="2441" dataCellStyle="一般 2"/>
    <tableColumn id="25" uniqueName="25" name="F25" queryTableFieldId="25" dataDxfId="2440" dataCellStyle="一般 2"/>
    <tableColumn id="26" uniqueName="26" name="F26" queryTableFieldId="26" dataDxfId="2439" dataCellStyle="一般 2"/>
    <tableColumn id="27" uniqueName="27" name="F27" queryTableFieldId="27" dataDxfId="2438" dataCellStyle="一般 2"/>
    <tableColumn id="28" uniqueName="28" name="F28" queryTableFieldId="28" dataDxfId="2437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2338" dataDxfId="2337" headerRowCellStyle="一般 2" dataCellStyle="一般 2">
  <autoFilter ref="AG13:BH189"/>
  <tableColumns count="28">
    <tableColumn id="1" uniqueName="1" name="請直接以10進位，謝謝" queryTableFieldId="1" dataDxfId="2336" dataCellStyle="一般 2"/>
    <tableColumn id="2" uniqueName="2" name="F2" queryTableFieldId="2" dataDxfId="2335" dataCellStyle="一般 2"/>
    <tableColumn id="3" uniqueName="3" name="F3" queryTableFieldId="3" dataDxfId="2334" dataCellStyle="一般 2"/>
    <tableColumn id="4" uniqueName="4" name="F4" queryTableFieldId="4" dataDxfId="2333" dataCellStyle="一般 2"/>
    <tableColumn id="5" uniqueName="5" name="F5" queryTableFieldId="5" dataDxfId="2332" dataCellStyle="一般 2"/>
    <tableColumn id="6" uniqueName="6" name="F6" queryTableFieldId="6" dataDxfId="2331" dataCellStyle="一般 2"/>
    <tableColumn id="7" uniqueName="7" name="F7" queryTableFieldId="7" dataDxfId="2330" dataCellStyle="一般 2"/>
    <tableColumn id="8" uniqueName="8" name="F8" queryTableFieldId="8" dataDxfId="2329" dataCellStyle="一般 2"/>
    <tableColumn id="9" uniqueName="9" name="F9" queryTableFieldId="9" dataDxfId="2328" dataCellStyle="一般 2"/>
    <tableColumn id="10" uniqueName="10" name="F10" queryTableFieldId="10" dataDxfId="2327" dataCellStyle="一般 2"/>
    <tableColumn id="11" uniqueName="11" name="F11" queryTableFieldId="11" dataDxfId="2326" dataCellStyle="一般 2"/>
    <tableColumn id="12" uniqueName="12" name="F12" queryTableFieldId="12" dataDxfId="2325" dataCellStyle="一般 2"/>
    <tableColumn id="13" uniqueName="13" name="F13" queryTableFieldId="13" dataDxfId="2324" dataCellStyle="一般 2"/>
    <tableColumn id="14" uniqueName="14" name="F14" queryTableFieldId="14" dataDxfId="2323" dataCellStyle="一般 2"/>
    <tableColumn id="15" uniqueName="15" name="F15" queryTableFieldId="15" dataDxfId="2322" dataCellStyle="一般 2"/>
    <tableColumn id="16" uniqueName="16" name="F16" queryTableFieldId="16" dataDxfId="2321" dataCellStyle="一般 2"/>
    <tableColumn id="17" uniqueName="17" name="F17" queryTableFieldId="17" dataDxfId="2320" dataCellStyle="一般 2"/>
    <tableColumn id="18" uniqueName="18" name="F18" queryTableFieldId="18" dataDxfId="2319" dataCellStyle="一般 2"/>
    <tableColumn id="19" uniqueName="19" name="F19" queryTableFieldId="19" dataDxfId="2318" dataCellStyle="一般 2"/>
    <tableColumn id="20" uniqueName="20" name="F20" queryTableFieldId="20" dataDxfId="2317" dataCellStyle="一般 2"/>
    <tableColumn id="21" uniqueName="21" name="F21" queryTableFieldId="21" dataDxfId="2316" dataCellStyle="一般 2"/>
    <tableColumn id="22" uniqueName="22" name="2024/6/24 14:52" queryTableFieldId="22" dataDxfId="2315" dataCellStyle="一般 2"/>
    <tableColumn id="23" uniqueName="23" name="F23" queryTableFieldId="23" dataDxfId="2314" dataCellStyle="一般 2"/>
    <tableColumn id="24" uniqueName="24" name="F24" queryTableFieldId="24" dataDxfId="2313" dataCellStyle="一般 2"/>
    <tableColumn id="25" uniqueName="25" name="F25" queryTableFieldId="25" dataDxfId="2312" dataCellStyle="一般 2"/>
    <tableColumn id="26" uniqueName="26" name="F26" queryTableFieldId="26" dataDxfId="2311" dataCellStyle="一般 2"/>
    <tableColumn id="27" uniqueName="27" name="F27" queryTableFieldId="27" dataDxfId="2310" dataCellStyle="一般 2"/>
    <tableColumn id="28" uniqueName="28" name="F28" queryTableFieldId="28" dataDxfId="2309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ref="AG13:BH189" tableType="queryTable" totalsRowShown="0" headerRowDxfId="2210" dataDxfId="2209" headerRowCellStyle="一般 2" dataCellStyle="一般 2">
  <autoFilter ref="AG13:BH189"/>
  <tableColumns count="28">
    <tableColumn id="1" uniqueName="1" name="請直接以10進位，謝謝" queryTableFieldId="1" dataDxfId="2208" dataCellStyle="一般 2"/>
    <tableColumn id="2" uniqueName="2" name="F2" queryTableFieldId="2" dataDxfId="2207" dataCellStyle="一般 2"/>
    <tableColumn id="3" uniqueName="3" name="F3" queryTableFieldId="3" dataDxfId="2206" dataCellStyle="一般 2"/>
    <tableColumn id="4" uniqueName="4" name="F4" queryTableFieldId="4" dataDxfId="2205" dataCellStyle="一般 2"/>
    <tableColumn id="5" uniqueName="5" name="F5" queryTableFieldId="5" dataDxfId="2204" dataCellStyle="一般 2"/>
    <tableColumn id="6" uniqueName="6" name="F6" queryTableFieldId="6" dataDxfId="2203" dataCellStyle="一般 2"/>
    <tableColumn id="7" uniqueName="7" name="F7" queryTableFieldId="7" dataDxfId="2202" dataCellStyle="一般 2"/>
    <tableColumn id="8" uniqueName="8" name="F8" queryTableFieldId="8" dataDxfId="2201" dataCellStyle="一般 2"/>
    <tableColumn id="9" uniqueName="9" name="F9" queryTableFieldId="9" dataDxfId="2200" dataCellStyle="一般 2"/>
    <tableColumn id="10" uniqueName="10" name="F10" queryTableFieldId="10" dataDxfId="2199" dataCellStyle="一般 2"/>
    <tableColumn id="11" uniqueName="11" name="F11" queryTableFieldId="11" dataDxfId="2198" dataCellStyle="一般 2"/>
    <tableColumn id="12" uniqueName="12" name="F12" queryTableFieldId="12" dataDxfId="2197" dataCellStyle="一般 2"/>
    <tableColumn id="13" uniqueName="13" name="F13" queryTableFieldId="13" dataDxfId="2196" dataCellStyle="一般 2"/>
    <tableColumn id="14" uniqueName="14" name="F14" queryTableFieldId="14" dataDxfId="2195" dataCellStyle="一般 2"/>
    <tableColumn id="15" uniqueName="15" name="F15" queryTableFieldId="15" dataDxfId="2194" dataCellStyle="一般 2"/>
    <tableColumn id="16" uniqueName="16" name="F16" queryTableFieldId="16" dataDxfId="2193" dataCellStyle="一般 2"/>
    <tableColumn id="17" uniqueName="17" name="F17" queryTableFieldId="17" dataDxfId="2192" dataCellStyle="一般 2"/>
    <tableColumn id="18" uniqueName="18" name="F18" queryTableFieldId="18" dataDxfId="2191" dataCellStyle="一般 2"/>
    <tableColumn id="19" uniqueName="19" name="F19" queryTableFieldId="19" dataDxfId="2190" dataCellStyle="一般 2"/>
    <tableColumn id="20" uniqueName="20" name="F20" queryTableFieldId="20" dataDxfId="2189" dataCellStyle="一般 2"/>
    <tableColumn id="21" uniqueName="21" name="F21" queryTableFieldId="21" dataDxfId="2188" dataCellStyle="一般 2"/>
    <tableColumn id="22" uniqueName="22" name="2024/6/24 14:52" queryTableFieldId="22" dataDxfId="2187" dataCellStyle="一般 2"/>
    <tableColumn id="23" uniqueName="23" name="F23" queryTableFieldId="23" dataDxfId="2186" dataCellStyle="一般 2"/>
    <tableColumn id="24" uniqueName="24" name="F24" queryTableFieldId="24" dataDxfId="2185" dataCellStyle="一般 2"/>
    <tableColumn id="25" uniqueName="25" name="F25" queryTableFieldId="25" dataDxfId="2184" dataCellStyle="一般 2"/>
    <tableColumn id="26" uniqueName="26" name="F26" queryTableFieldId="26" dataDxfId="2183" dataCellStyle="一般 2"/>
    <tableColumn id="27" uniqueName="27" name="F27" queryTableFieldId="27" dataDxfId="2182" dataCellStyle="一般 2"/>
    <tableColumn id="28" uniqueName="28" name="F28" queryTableFieldId="28" dataDxfId="2181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ref="AG13:BH189" tableType="queryTable" totalsRowShown="0" headerRowDxfId="2082" dataDxfId="2081" headerRowCellStyle="一般 2" dataCellStyle="一般 2">
  <autoFilter ref="AG13:BH189"/>
  <tableColumns count="28">
    <tableColumn id="1" uniqueName="1" name="請直接以10進位，謝謝" queryTableFieldId="1" dataDxfId="2080" dataCellStyle="一般 2"/>
    <tableColumn id="2" uniqueName="2" name="F2" queryTableFieldId="2" dataDxfId="2079" dataCellStyle="一般 2"/>
    <tableColumn id="3" uniqueName="3" name="F3" queryTableFieldId="3" dataDxfId="2078" dataCellStyle="一般 2"/>
    <tableColumn id="4" uniqueName="4" name="F4" queryTableFieldId="4" dataDxfId="2077" dataCellStyle="一般 2"/>
    <tableColumn id="5" uniqueName="5" name="F5" queryTableFieldId="5" dataDxfId="2076" dataCellStyle="一般 2"/>
    <tableColumn id="6" uniqueName="6" name="F6" queryTableFieldId="6" dataDxfId="2075" dataCellStyle="一般 2"/>
    <tableColumn id="7" uniqueName="7" name="F7" queryTableFieldId="7" dataDxfId="2074" dataCellStyle="一般 2"/>
    <tableColumn id="8" uniqueName="8" name="F8" queryTableFieldId="8" dataDxfId="2073" dataCellStyle="一般 2"/>
    <tableColumn id="9" uniqueName="9" name="F9" queryTableFieldId="9" dataDxfId="2072" dataCellStyle="一般 2"/>
    <tableColumn id="10" uniqueName="10" name="F10" queryTableFieldId="10" dataDxfId="2071" dataCellStyle="一般 2"/>
    <tableColumn id="11" uniqueName="11" name="F11" queryTableFieldId="11" dataDxfId="2070" dataCellStyle="一般 2"/>
    <tableColumn id="12" uniqueName="12" name="F12" queryTableFieldId="12" dataDxfId="2069" dataCellStyle="一般 2"/>
    <tableColumn id="13" uniqueName="13" name="F13" queryTableFieldId="13" dataDxfId="2068" dataCellStyle="一般 2"/>
    <tableColumn id="14" uniqueName="14" name="F14" queryTableFieldId="14" dataDxfId="2067" dataCellStyle="一般 2"/>
    <tableColumn id="15" uniqueName="15" name="F15" queryTableFieldId="15" dataDxfId="2066" dataCellStyle="一般 2"/>
    <tableColumn id="16" uniqueName="16" name="F16" queryTableFieldId="16" dataDxfId="2065" dataCellStyle="一般 2"/>
    <tableColumn id="17" uniqueName="17" name="F17" queryTableFieldId="17" dataDxfId="2064" dataCellStyle="一般 2"/>
    <tableColumn id="18" uniqueName="18" name="F18" queryTableFieldId="18" dataDxfId="2063" dataCellStyle="一般 2"/>
    <tableColumn id="19" uniqueName="19" name="F19" queryTableFieldId="19" dataDxfId="2062" dataCellStyle="一般 2"/>
    <tableColumn id="20" uniqueName="20" name="F20" queryTableFieldId="20" dataDxfId="2061" dataCellStyle="一般 2"/>
    <tableColumn id="21" uniqueName="21" name="F21" queryTableFieldId="21" dataDxfId="2060" dataCellStyle="一般 2"/>
    <tableColumn id="22" uniqueName="22" name="2024/6/24 14:52" queryTableFieldId="22" dataDxfId="2059" dataCellStyle="一般 2"/>
    <tableColumn id="23" uniqueName="23" name="F23" queryTableFieldId="23" dataDxfId="2058" dataCellStyle="一般 2"/>
    <tableColumn id="24" uniqueName="24" name="F24" queryTableFieldId="24" dataDxfId="2057" dataCellStyle="一般 2"/>
    <tableColumn id="25" uniqueName="25" name="F25" queryTableFieldId="25" dataDxfId="2056" dataCellStyle="一般 2"/>
    <tableColumn id="26" uniqueName="26" name="F26" queryTableFieldId="26" dataDxfId="2055" dataCellStyle="一般 2"/>
    <tableColumn id="27" uniqueName="27" name="F27" queryTableFieldId="27" dataDxfId="2054" dataCellStyle="一般 2"/>
    <tableColumn id="28" uniqueName="28" name="F28" queryTableFieldId="28" dataDxfId="2053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ref="AG13:BH189" tableType="queryTable" totalsRowShown="0" headerRowDxfId="1954" dataDxfId="1953" headerRowCellStyle="一般 2" dataCellStyle="一般 2">
  <autoFilter ref="AG13:BH189"/>
  <tableColumns count="28">
    <tableColumn id="1" uniqueName="1" name="請直接以10進位，謝謝" queryTableFieldId="1" dataDxfId="1952" dataCellStyle="一般 2"/>
    <tableColumn id="2" uniqueName="2" name="F2" queryTableFieldId="2" dataDxfId="1951" dataCellStyle="一般 2"/>
    <tableColumn id="3" uniqueName="3" name="F3" queryTableFieldId="3" dataDxfId="1950" dataCellStyle="一般 2"/>
    <tableColumn id="4" uniqueName="4" name="F4" queryTableFieldId="4" dataDxfId="1949" dataCellStyle="一般 2"/>
    <tableColumn id="5" uniqueName="5" name="F5" queryTableFieldId="5" dataDxfId="1948" dataCellStyle="一般 2"/>
    <tableColumn id="6" uniqueName="6" name="F6" queryTableFieldId="6" dataDxfId="1947" dataCellStyle="一般 2"/>
    <tableColumn id="7" uniqueName="7" name="F7" queryTableFieldId="7" dataDxfId="1946" dataCellStyle="一般 2"/>
    <tableColumn id="8" uniqueName="8" name="F8" queryTableFieldId="8" dataDxfId="1945" dataCellStyle="一般 2"/>
    <tableColumn id="9" uniqueName="9" name="F9" queryTableFieldId="9" dataDxfId="1944" dataCellStyle="一般 2"/>
    <tableColumn id="10" uniqueName="10" name="F10" queryTableFieldId="10" dataDxfId="1943" dataCellStyle="一般 2"/>
    <tableColumn id="11" uniqueName="11" name="F11" queryTableFieldId="11" dataDxfId="1942" dataCellStyle="一般 2"/>
    <tableColumn id="12" uniqueName="12" name="F12" queryTableFieldId="12" dataDxfId="1941" dataCellStyle="一般 2"/>
    <tableColumn id="13" uniqueName="13" name="F13" queryTableFieldId="13" dataDxfId="1940" dataCellStyle="一般 2"/>
    <tableColumn id="14" uniqueName="14" name="F14" queryTableFieldId="14" dataDxfId="1939" dataCellStyle="一般 2"/>
    <tableColumn id="15" uniqueName="15" name="F15" queryTableFieldId="15" dataDxfId="1938" dataCellStyle="一般 2"/>
    <tableColumn id="16" uniqueName="16" name="F16" queryTableFieldId="16" dataDxfId="1937" dataCellStyle="一般 2"/>
    <tableColumn id="17" uniqueName="17" name="F17" queryTableFieldId="17" dataDxfId="1936" dataCellStyle="一般 2"/>
    <tableColumn id="18" uniqueName="18" name="F18" queryTableFieldId="18" dataDxfId="1935" dataCellStyle="一般 2"/>
    <tableColumn id="19" uniqueName="19" name="F19" queryTableFieldId="19" dataDxfId="1934" dataCellStyle="一般 2"/>
    <tableColumn id="20" uniqueName="20" name="F20" queryTableFieldId="20" dataDxfId="1933" dataCellStyle="一般 2"/>
    <tableColumn id="21" uniqueName="21" name="F21" queryTableFieldId="21" dataDxfId="1932" dataCellStyle="一般 2"/>
    <tableColumn id="22" uniqueName="22" name="2024/6/24 14:52" queryTableFieldId="22" dataDxfId="1931" dataCellStyle="一般 2"/>
    <tableColumn id="23" uniqueName="23" name="F23" queryTableFieldId="23" dataDxfId="1930" dataCellStyle="一般 2"/>
    <tableColumn id="24" uniqueName="24" name="F24" queryTableFieldId="24" dataDxfId="1929" dataCellStyle="一般 2"/>
    <tableColumn id="25" uniqueName="25" name="F25" queryTableFieldId="25" dataDxfId="1928" dataCellStyle="一般 2"/>
    <tableColumn id="26" uniqueName="26" name="F26" queryTableFieldId="26" dataDxfId="1927" dataCellStyle="一般 2"/>
    <tableColumn id="27" uniqueName="27" name="F27" queryTableFieldId="27" dataDxfId="1926" dataCellStyle="一般 2"/>
    <tableColumn id="28" uniqueName="28" name="F28" queryTableFieldId="28" dataDxfId="1925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ref="AG13:BH189" tableType="queryTable" totalsRowShown="0" headerRowDxfId="1826" dataDxfId="1825" headerRowCellStyle="一般 2" dataCellStyle="一般 2">
  <autoFilter ref="AG13:BH189"/>
  <tableColumns count="28">
    <tableColumn id="1" uniqueName="1" name="請直接以10進位，謝謝" queryTableFieldId="1" dataDxfId="1824" dataCellStyle="一般 2"/>
    <tableColumn id="2" uniqueName="2" name="F2" queryTableFieldId="2" dataDxfId="1823" dataCellStyle="一般 2"/>
    <tableColumn id="3" uniqueName="3" name="F3" queryTableFieldId="3" dataDxfId="1822" dataCellStyle="一般 2"/>
    <tableColumn id="4" uniqueName="4" name="F4" queryTableFieldId="4" dataDxfId="1821" dataCellStyle="一般 2"/>
    <tableColumn id="5" uniqueName="5" name="F5" queryTableFieldId="5" dataDxfId="1820" dataCellStyle="一般 2"/>
    <tableColumn id="6" uniqueName="6" name="F6" queryTableFieldId="6" dataDxfId="1819" dataCellStyle="一般 2"/>
    <tableColumn id="7" uniqueName="7" name="F7" queryTableFieldId="7" dataDxfId="1818" dataCellStyle="一般 2"/>
    <tableColumn id="8" uniqueName="8" name="F8" queryTableFieldId="8" dataDxfId="1817" dataCellStyle="一般 2"/>
    <tableColumn id="9" uniqueName="9" name="F9" queryTableFieldId="9" dataDxfId="1816" dataCellStyle="一般 2"/>
    <tableColumn id="10" uniqueName="10" name="F10" queryTableFieldId="10" dataDxfId="1815" dataCellStyle="一般 2"/>
    <tableColumn id="11" uniqueName="11" name="F11" queryTableFieldId="11" dataDxfId="1814" dataCellStyle="一般 2"/>
    <tableColumn id="12" uniqueName="12" name="F12" queryTableFieldId="12" dataDxfId="1813" dataCellStyle="一般 2"/>
    <tableColumn id="13" uniqueName="13" name="F13" queryTableFieldId="13" dataDxfId="1812" dataCellStyle="一般 2"/>
    <tableColumn id="14" uniqueName="14" name="F14" queryTableFieldId="14" dataDxfId="1811" dataCellStyle="一般 2"/>
    <tableColumn id="15" uniqueName="15" name="F15" queryTableFieldId="15" dataDxfId="1810" dataCellStyle="一般 2"/>
    <tableColumn id="16" uniqueName="16" name="F16" queryTableFieldId="16" dataDxfId="1809" dataCellStyle="一般 2"/>
    <tableColumn id="17" uniqueName="17" name="F17" queryTableFieldId="17" dataDxfId="1808" dataCellStyle="一般 2"/>
    <tableColumn id="18" uniqueName="18" name="F18" queryTableFieldId="18" dataDxfId="1807" dataCellStyle="一般 2"/>
    <tableColumn id="19" uniqueName="19" name="F19" queryTableFieldId="19" dataDxfId="1806" dataCellStyle="一般 2"/>
    <tableColumn id="20" uniqueName="20" name="F20" queryTableFieldId="20" dataDxfId="1805" dataCellStyle="一般 2"/>
    <tableColumn id="21" uniqueName="21" name="F21" queryTableFieldId="21" dataDxfId="1804" dataCellStyle="一般 2"/>
    <tableColumn id="22" uniqueName="22" name="2024/6/24 14:52" queryTableFieldId="22" dataDxfId="1803" dataCellStyle="一般 2"/>
    <tableColumn id="23" uniqueName="23" name="F23" queryTableFieldId="23" dataDxfId="1802" dataCellStyle="一般 2"/>
    <tableColumn id="24" uniqueName="24" name="F24" queryTableFieldId="24" dataDxfId="1801" dataCellStyle="一般 2"/>
    <tableColumn id="25" uniqueName="25" name="F25" queryTableFieldId="25" dataDxfId="1800" dataCellStyle="一般 2"/>
    <tableColumn id="26" uniqueName="26" name="F26" queryTableFieldId="26" dataDxfId="1799" dataCellStyle="一般 2"/>
    <tableColumn id="27" uniqueName="27" name="F27" queryTableFieldId="27" dataDxfId="1798" dataCellStyle="一般 2"/>
    <tableColumn id="28" uniqueName="28" name="F28" queryTableFieldId="28" dataDxfId="1797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698" dataDxfId="1697" headerRowCellStyle="一般 2" dataCellStyle="一般 2">
  <autoFilter ref="AG13:BH189"/>
  <tableColumns count="28">
    <tableColumn id="1" uniqueName="1" name="請直接以10進位，謝謝" queryTableFieldId="1" dataDxfId="1696" dataCellStyle="一般 2"/>
    <tableColumn id="2" uniqueName="2" name="F2" queryTableFieldId="2" dataDxfId="1695" dataCellStyle="一般 2"/>
    <tableColumn id="3" uniqueName="3" name="F3" queryTableFieldId="3" dataDxfId="1694" dataCellStyle="一般 2"/>
    <tableColumn id="4" uniqueName="4" name="F4" queryTableFieldId="4" dataDxfId="1693" dataCellStyle="一般 2"/>
    <tableColumn id="5" uniqueName="5" name="F5" queryTableFieldId="5" dataDxfId="1692" dataCellStyle="一般 2"/>
    <tableColumn id="6" uniqueName="6" name="F6" queryTableFieldId="6" dataDxfId="1691" dataCellStyle="一般 2"/>
    <tableColumn id="7" uniqueName="7" name="F7" queryTableFieldId="7" dataDxfId="1690" dataCellStyle="一般 2"/>
    <tableColumn id="8" uniqueName="8" name="F8" queryTableFieldId="8" dataDxfId="1689" dataCellStyle="一般 2"/>
    <tableColumn id="9" uniqueName="9" name="F9" queryTableFieldId="9" dataDxfId="1688" dataCellStyle="一般 2"/>
    <tableColumn id="10" uniqueName="10" name="F10" queryTableFieldId="10" dataDxfId="1687" dataCellStyle="一般 2"/>
    <tableColumn id="11" uniqueName="11" name="F11" queryTableFieldId="11" dataDxfId="1686" dataCellStyle="一般 2"/>
    <tableColumn id="12" uniqueName="12" name="F12" queryTableFieldId="12" dataDxfId="1685" dataCellStyle="一般 2"/>
    <tableColumn id="13" uniqueName="13" name="F13" queryTableFieldId="13" dataDxfId="1684" dataCellStyle="一般 2"/>
    <tableColumn id="14" uniqueName="14" name="F14" queryTableFieldId="14" dataDxfId="1683" dataCellStyle="一般 2"/>
    <tableColumn id="15" uniqueName="15" name="F15" queryTableFieldId="15" dataDxfId="1682" dataCellStyle="一般 2"/>
    <tableColumn id="16" uniqueName="16" name="F16" queryTableFieldId="16" dataDxfId="1681" dataCellStyle="一般 2"/>
    <tableColumn id="17" uniqueName="17" name="F17" queryTableFieldId="17" dataDxfId="1680" dataCellStyle="一般 2"/>
    <tableColumn id="18" uniqueName="18" name="F18" queryTableFieldId="18" dataDxfId="1679" dataCellStyle="一般 2"/>
    <tableColumn id="19" uniqueName="19" name="F19" queryTableFieldId="19" dataDxfId="1678" dataCellStyle="一般 2"/>
    <tableColumn id="20" uniqueName="20" name="F20" queryTableFieldId="20" dataDxfId="1677" dataCellStyle="一般 2"/>
    <tableColumn id="21" uniqueName="21" name="F21" queryTableFieldId="21" dataDxfId="1676" dataCellStyle="一般 2"/>
    <tableColumn id="22" uniqueName="22" name="2024/6/24 14:52" queryTableFieldId="22" dataDxfId="1675" dataCellStyle="一般 2"/>
    <tableColumn id="23" uniqueName="23" name="F23" queryTableFieldId="23" dataDxfId="1674" dataCellStyle="一般 2"/>
    <tableColumn id="24" uniqueName="24" name="F24" queryTableFieldId="24" dataDxfId="1673" dataCellStyle="一般 2"/>
    <tableColumn id="25" uniqueName="25" name="F25" queryTableFieldId="25" dataDxfId="1672" dataCellStyle="一般 2"/>
    <tableColumn id="26" uniqueName="26" name="F26" queryTableFieldId="26" dataDxfId="1671" dataCellStyle="一般 2"/>
    <tableColumn id="27" uniqueName="27" name="F27" queryTableFieldId="27" dataDxfId="1670" dataCellStyle="一般 2"/>
    <tableColumn id="28" uniqueName="28" name="F28" queryTableFieldId="28" dataDxfId="1669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570" dataDxfId="1569" headerRowCellStyle="一般 2" dataCellStyle="一般 2">
  <autoFilter ref="AG13:BH189"/>
  <tableColumns count="28">
    <tableColumn id="1" uniqueName="1" name="請直接以10進位，謝謝" queryTableFieldId="1" dataDxfId="1568" dataCellStyle="一般 2"/>
    <tableColumn id="2" uniqueName="2" name="F2" queryTableFieldId="2" dataDxfId="1567" dataCellStyle="一般 2"/>
    <tableColumn id="3" uniqueName="3" name="F3" queryTableFieldId="3" dataDxfId="1566" dataCellStyle="一般 2"/>
    <tableColumn id="4" uniqueName="4" name="F4" queryTableFieldId="4" dataDxfId="1565" dataCellStyle="一般 2"/>
    <tableColumn id="5" uniqueName="5" name="F5" queryTableFieldId="5" dataDxfId="1564" dataCellStyle="一般 2"/>
    <tableColumn id="6" uniqueName="6" name="F6" queryTableFieldId="6" dataDxfId="1563" dataCellStyle="一般 2"/>
    <tableColumn id="7" uniqueName="7" name="F7" queryTableFieldId="7" dataDxfId="1562" dataCellStyle="一般 2"/>
    <tableColumn id="8" uniqueName="8" name="F8" queryTableFieldId="8" dataDxfId="1561" dataCellStyle="一般 2"/>
    <tableColumn id="9" uniqueName="9" name="F9" queryTableFieldId="9" dataDxfId="1560" dataCellStyle="一般 2"/>
    <tableColumn id="10" uniqueName="10" name="F10" queryTableFieldId="10" dataDxfId="1559" dataCellStyle="一般 2"/>
    <tableColumn id="11" uniqueName="11" name="F11" queryTableFieldId="11" dataDxfId="1558" dataCellStyle="一般 2"/>
    <tableColumn id="12" uniqueName="12" name="F12" queryTableFieldId="12" dataDxfId="1557" dataCellStyle="一般 2"/>
    <tableColumn id="13" uniqueName="13" name="F13" queryTableFieldId="13" dataDxfId="1556" dataCellStyle="一般 2"/>
    <tableColumn id="14" uniqueName="14" name="F14" queryTableFieldId="14" dataDxfId="1555" dataCellStyle="一般 2"/>
    <tableColumn id="15" uniqueName="15" name="F15" queryTableFieldId="15" dataDxfId="1554" dataCellStyle="一般 2"/>
    <tableColumn id="16" uniqueName="16" name="F16" queryTableFieldId="16" dataDxfId="1553" dataCellStyle="一般 2"/>
    <tableColumn id="17" uniqueName="17" name="F17" queryTableFieldId="17" dataDxfId="1552" dataCellStyle="一般 2"/>
    <tableColumn id="18" uniqueName="18" name="F18" queryTableFieldId="18" dataDxfId="1551" dataCellStyle="一般 2"/>
    <tableColumn id="19" uniqueName="19" name="F19" queryTableFieldId="19" dataDxfId="1550" dataCellStyle="一般 2"/>
    <tableColumn id="20" uniqueName="20" name="F20" queryTableFieldId="20" dataDxfId="1549" dataCellStyle="一般 2"/>
    <tableColumn id="21" uniqueName="21" name="F21" queryTableFieldId="21" dataDxfId="1548" dataCellStyle="一般 2"/>
    <tableColumn id="22" uniqueName="22" name="2024/6/24 14:52" queryTableFieldId="22" dataDxfId="1547" dataCellStyle="一般 2"/>
    <tableColumn id="23" uniqueName="23" name="F23" queryTableFieldId="23" dataDxfId="1546" dataCellStyle="一般 2"/>
    <tableColumn id="24" uniqueName="24" name="F24" queryTableFieldId="24" dataDxfId="1545" dataCellStyle="一般 2"/>
    <tableColumn id="25" uniqueName="25" name="F25" queryTableFieldId="25" dataDxfId="1544" dataCellStyle="一般 2"/>
    <tableColumn id="26" uniqueName="26" name="F26" queryTableFieldId="26" dataDxfId="1543" dataCellStyle="一般 2"/>
    <tableColumn id="27" uniqueName="27" name="F27" queryTableFieldId="27" dataDxfId="1542" dataCellStyle="一般 2"/>
    <tableColumn id="28" uniqueName="28" name="F28" queryTableFieldId="28" dataDxfId="1541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442" dataDxfId="1441" headerRowCellStyle="一般 2" dataCellStyle="一般 2">
  <autoFilter ref="AG13:BH189"/>
  <tableColumns count="28">
    <tableColumn id="1" uniqueName="1" name="請直接以10進位，謝謝" queryTableFieldId="1" dataDxfId="1440" dataCellStyle="一般 2"/>
    <tableColumn id="2" uniqueName="2" name="F2" queryTableFieldId="2" dataDxfId="1439" dataCellStyle="一般 2"/>
    <tableColumn id="3" uniqueName="3" name="F3" queryTableFieldId="3" dataDxfId="1438" dataCellStyle="一般 2"/>
    <tableColumn id="4" uniqueName="4" name="F4" queryTableFieldId="4" dataDxfId="1437" dataCellStyle="一般 2"/>
    <tableColumn id="5" uniqueName="5" name="F5" queryTableFieldId="5" dataDxfId="1436" dataCellStyle="一般 2"/>
    <tableColumn id="6" uniqueName="6" name="F6" queryTableFieldId="6" dataDxfId="1435" dataCellStyle="一般 2"/>
    <tableColumn id="7" uniqueName="7" name="F7" queryTableFieldId="7" dataDxfId="1434" dataCellStyle="一般 2"/>
    <tableColumn id="8" uniqueName="8" name="F8" queryTableFieldId="8" dataDxfId="1433" dataCellStyle="一般 2"/>
    <tableColumn id="9" uniqueName="9" name="F9" queryTableFieldId="9" dataDxfId="1432" dataCellStyle="一般 2"/>
    <tableColumn id="10" uniqueName="10" name="F10" queryTableFieldId="10" dataDxfId="1431" dataCellStyle="一般 2"/>
    <tableColumn id="11" uniqueName="11" name="F11" queryTableFieldId="11" dataDxfId="1430" dataCellStyle="一般 2"/>
    <tableColumn id="12" uniqueName="12" name="F12" queryTableFieldId="12" dataDxfId="1429" dataCellStyle="一般 2"/>
    <tableColumn id="13" uniqueName="13" name="F13" queryTableFieldId="13" dataDxfId="1428" dataCellStyle="一般 2"/>
    <tableColumn id="14" uniqueName="14" name="F14" queryTableFieldId="14" dataDxfId="1427" dataCellStyle="一般 2"/>
    <tableColumn id="15" uniqueName="15" name="F15" queryTableFieldId="15" dataDxfId="1426" dataCellStyle="一般 2"/>
    <tableColumn id="16" uniqueName="16" name="F16" queryTableFieldId="16" dataDxfId="1425" dataCellStyle="一般 2"/>
    <tableColumn id="17" uniqueName="17" name="F17" queryTableFieldId="17" dataDxfId="1424" dataCellStyle="一般 2"/>
    <tableColumn id="18" uniqueName="18" name="F18" queryTableFieldId="18" dataDxfId="1423" dataCellStyle="一般 2"/>
    <tableColumn id="19" uniqueName="19" name="F19" queryTableFieldId="19" dataDxfId="1422" dataCellStyle="一般 2"/>
    <tableColumn id="20" uniqueName="20" name="F20" queryTableFieldId="20" dataDxfId="1421" dataCellStyle="一般 2"/>
    <tableColumn id="21" uniqueName="21" name="F21" queryTableFieldId="21" dataDxfId="1420" dataCellStyle="一般 2"/>
    <tableColumn id="22" uniqueName="22" name="2024/6/24 14:52" queryTableFieldId="22" dataDxfId="1419" dataCellStyle="一般 2"/>
    <tableColumn id="23" uniqueName="23" name="F23" queryTableFieldId="23" dataDxfId="1418" dataCellStyle="一般 2"/>
    <tableColumn id="24" uniqueName="24" name="F24" queryTableFieldId="24" dataDxfId="1417" dataCellStyle="一般 2"/>
    <tableColumn id="25" uniqueName="25" name="F25" queryTableFieldId="25" dataDxfId="1416" dataCellStyle="一般 2"/>
    <tableColumn id="26" uniqueName="26" name="F26" queryTableFieldId="26" dataDxfId="1415" dataCellStyle="一般 2"/>
    <tableColumn id="27" uniqueName="27" name="F27" queryTableFieldId="27" dataDxfId="1414" dataCellStyle="一般 2"/>
    <tableColumn id="28" uniqueName="28" name="F28" queryTableFieldId="28" dataDxfId="1413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314" dataDxfId="1313" headerRowCellStyle="一般 2" dataCellStyle="一般 2">
  <autoFilter ref="AG13:BH189"/>
  <tableColumns count="28">
    <tableColumn id="1" uniqueName="1" name="請直接以10進位，謝謝" queryTableFieldId="1" dataDxfId="1312" dataCellStyle="一般 2"/>
    <tableColumn id="2" uniqueName="2" name="F2" queryTableFieldId="2" dataDxfId="1311" dataCellStyle="一般 2"/>
    <tableColumn id="3" uniqueName="3" name="F3" queryTableFieldId="3" dataDxfId="1310" dataCellStyle="一般 2"/>
    <tableColumn id="4" uniqueName="4" name="F4" queryTableFieldId="4" dataDxfId="1309" dataCellStyle="一般 2"/>
    <tableColumn id="5" uniqueName="5" name="F5" queryTableFieldId="5" dataDxfId="1308" dataCellStyle="一般 2"/>
    <tableColumn id="6" uniqueName="6" name="F6" queryTableFieldId="6" dataDxfId="1307" dataCellStyle="一般 2"/>
    <tableColumn id="7" uniqueName="7" name="F7" queryTableFieldId="7" dataDxfId="1306" dataCellStyle="一般 2"/>
    <tableColumn id="8" uniqueName="8" name="F8" queryTableFieldId="8" dataDxfId="1305" dataCellStyle="一般 2"/>
    <tableColumn id="9" uniqueName="9" name="F9" queryTableFieldId="9" dataDxfId="1304" dataCellStyle="一般 2"/>
    <tableColumn id="10" uniqueName="10" name="F10" queryTableFieldId="10" dataDxfId="1303" dataCellStyle="一般 2"/>
    <tableColumn id="11" uniqueName="11" name="F11" queryTableFieldId="11" dataDxfId="1302" dataCellStyle="一般 2"/>
    <tableColumn id="12" uniqueName="12" name="F12" queryTableFieldId="12" dataDxfId="1301" dataCellStyle="一般 2"/>
    <tableColumn id="13" uniqueName="13" name="F13" queryTableFieldId="13" dataDxfId="1300" dataCellStyle="一般 2"/>
    <tableColumn id="14" uniqueName="14" name="F14" queryTableFieldId="14" dataDxfId="1299" dataCellStyle="一般 2"/>
    <tableColumn id="15" uniqueName="15" name="F15" queryTableFieldId="15" dataDxfId="1298" dataCellStyle="一般 2"/>
    <tableColumn id="16" uniqueName="16" name="F16" queryTableFieldId="16" dataDxfId="1297" dataCellStyle="一般 2"/>
    <tableColumn id="17" uniqueName="17" name="F17" queryTableFieldId="17" dataDxfId="1296" dataCellStyle="一般 2"/>
    <tableColumn id="18" uniqueName="18" name="F18" queryTableFieldId="18" dataDxfId="1295" dataCellStyle="一般 2"/>
    <tableColumn id="19" uniqueName="19" name="F19" queryTableFieldId="19" dataDxfId="1294" dataCellStyle="一般 2"/>
    <tableColumn id="20" uniqueName="20" name="F20" queryTableFieldId="20" dataDxfId="1293" dataCellStyle="一般 2"/>
    <tableColumn id="21" uniqueName="21" name="F21" queryTableFieldId="21" dataDxfId="1292" dataCellStyle="一般 2"/>
    <tableColumn id="22" uniqueName="22" name="2024/6/24 14:52" queryTableFieldId="22" dataDxfId="1291" dataCellStyle="一般 2"/>
    <tableColumn id="23" uniqueName="23" name="F23" queryTableFieldId="23" dataDxfId="1290" dataCellStyle="一般 2"/>
    <tableColumn id="24" uniqueName="24" name="F24" queryTableFieldId="24" dataDxfId="1289" dataCellStyle="一般 2"/>
    <tableColumn id="25" uniqueName="25" name="F25" queryTableFieldId="25" dataDxfId="1288" dataCellStyle="一般 2"/>
    <tableColumn id="26" uniqueName="26" name="F26" queryTableFieldId="26" dataDxfId="1287" dataCellStyle="一般 2"/>
    <tableColumn id="27" uniqueName="27" name="F27" queryTableFieldId="27" dataDxfId="1286" dataCellStyle="一般 2"/>
    <tableColumn id="28" uniqueName="28" name="F28" queryTableFieldId="28" dataDxfId="1285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186" dataDxfId="1185" headerRowCellStyle="一般 2" dataCellStyle="一般 2">
  <autoFilter ref="AG13:BH189"/>
  <tableColumns count="28">
    <tableColumn id="1" uniqueName="1" name="請直接以10進位，謝謝" queryTableFieldId="1" dataDxfId="1184" dataCellStyle="一般 2"/>
    <tableColumn id="2" uniqueName="2" name="F2" queryTableFieldId="2" dataDxfId="1183" dataCellStyle="一般 2"/>
    <tableColumn id="3" uniqueName="3" name="F3" queryTableFieldId="3" dataDxfId="1182" dataCellStyle="一般 2"/>
    <tableColumn id="4" uniqueName="4" name="F4" queryTableFieldId="4" dataDxfId="1181" dataCellStyle="一般 2"/>
    <tableColumn id="5" uniqueName="5" name="F5" queryTableFieldId="5" dataDxfId="1180" dataCellStyle="一般 2"/>
    <tableColumn id="6" uniqueName="6" name="F6" queryTableFieldId="6" dataDxfId="1179" dataCellStyle="一般 2"/>
    <tableColumn id="7" uniqueName="7" name="F7" queryTableFieldId="7" dataDxfId="1178" dataCellStyle="一般 2"/>
    <tableColumn id="8" uniqueName="8" name="F8" queryTableFieldId="8" dataDxfId="1177" dataCellStyle="一般 2"/>
    <tableColumn id="9" uniqueName="9" name="F9" queryTableFieldId="9" dataDxfId="1176" dataCellStyle="一般 2"/>
    <tableColumn id="10" uniqueName="10" name="F10" queryTableFieldId="10" dataDxfId="1175" dataCellStyle="一般 2"/>
    <tableColumn id="11" uniqueName="11" name="F11" queryTableFieldId="11" dataDxfId="1174" dataCellStyle="一般 2"/>
    <tableColumn id="12" uniqueName="12" name="F12" queryTableFieldId="12" dataDxfId="1173" dataCellStyle="一般 2"/>
    <tableColumn id="13" uniqueName="13" name="F13" queryTableFieldId="13" dataDxfId="1172" dataCellStyle="一般 2"/>
    <tableColumn id="14" uniqueName="14" name="F14" queryTableFieldId="14" dataDxfId="1171" dataCellStyle="一般 2"/>
    <tableColumn id="15" uniqueName="15" name="F15" queryTableFieldId="15" dataDxfId="1170" dataCellStyle="一般 2"/>
    <tableColumn id="16" uniqueName="16" name="F16" queryTableFieldId="16" dataDxfId="1169" dataCellStyle="一般 2"/>
    <tableColumn id="17" uniqueName="17" name="F17" queryTableFieldId="17" dataDxfId="1168" dataCellStyle="一般 2"/>
    <tableColumn id="18" uniqueName="18" name="F18" queryTableFieldId="18" dataDxfId="1167" dataCellStyle="一般 2"/>
    <tableColumn id="19" uniqueName="19" name="F19" queryTableFieldId="19" dataDxfId="1166" dataCellStyle="一般 2"/>
    <tableColumn id="20" uniqueName="20" name="F20" queryTableFieldId="20" dataDxfId="1165" dataCellStyle="一般 2"/>
    <tableColumn id="21" uniqueName="21" name="F21" queryTableFieldId="21" dataDxfId="1164" dataCellStyle="一般 2"/>
    <tableColumn id="22" uniqueName="22" name="2024/6/24 14:52" queryTableFieldId="22" dataDxfId="1163" dataCellStyle="一般 2"/>
    <tableColumn id="23" uniqueName="23" name="F23" queryTableFieldId="23" dataDxfId="1162" dataCellStyle="一般 2"/>
    <tableColumn id="24" uniqueName="24" name="F24" queryTableFieldId="24" dataDxfId="1161" dataCellStyle="一般 2"/>
    <tableColumn id="25" uniqueName="25" name="F25" queryTableFieldId="25" dataDxfId="1160" dataCellStyle="一般 2"/>
    <tableColumn id="26" uniqueName="26" name="F26" queryTableFieldId="26" dataDxfId="1159" dataCellStyle="一般 2"/>
    <tableColumn id="27" uniqueName="27" name="F27" queryTableFieldId="27" dataDxfId="1158" dataCellStyle="一般 2"/>
    <tableColumn id="28" uniqueName="28" name="F28" queryTableFieldId="28" dataDxfId="1157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058" dataDxfId="1057" headerRowCellStyle="一般 2" dataCellStyle="一般 2">
  <autoFilter ref="AG13:BH189"/>
  <tableColumns count="28">
    <tableColumn id="1" uniqueName="1" name="請直接以10進位，謝謝" queryTableFieldId="1" dataDxfId="1056" dataCellStyle="一般 2"/>
    <tableColumn id="2" uniqueName="2" name="F2" queryTableFieldId="2" dataDxfId="1055" dataCellStyle="一般 2"/>
    <tableColumn id="3" uniqueName="3" name="F3" queryTableFieldId="3" dataDxfId="1054" dataCellStyle="一般 2"/>
    <tableColumn id="4" uniqueName="4" name="F4" queryTableFieldId="4" dataDxfId="1053" dataCellStyle="一般 2"/>
    <tableColumn id="5" uniqueName="5" name="F5" queryTableFieldId="5" dataDxfId="1052" dataCellStyle="一般 2"/>
    <tableColumn id="6" uniqueName="6" name="F6" queryTableFieldId="6" dataDxfId="1051" dataCellStyle="一般 2"/>
    <tableColumn id="7" uniqueName="7" name="F7" queryTableFieldId="7" dataDxfId="1050" dataCellStyle="一般 2"/>
    <tableColumn id="8" uniqueName="8" name="F8" queryTableFieldId="8" dataDxfId="1049" dataCellStyle="一般 2"/>
    <tableColumn id="9" uniqueName="9" name="F9" queryTableFieldId="9" dataDxfId="1048" dataCellStyle="一般 2"/>
    <tableColumn id="10" uniqueName="10" name="F10" queryTableFieldId="10" dataDxfId="1047" dataCellStyle="一般 2"/>
    <tableColumn id="11" uniqueName="11" name="F11" queryTableFieldId="11" dataDxfId="1046" dataCellStyle="一般 2"/>
    <tableColumn id="12" uniqueName="12" name="F12" queryTableFieldId="12" dataDxfId="1045" dataCellStyle="一般 2"/>
    <tableColumn id="13" uniqueName="13" name="F13" queryTableFieldId="13" dataDxfId="1044" dataCellStyle="一般 2"/>
    <tableColumn id="14" uniqueName="14" name="F14" queryTableFieldId="14" dataDxfId="1043" dataCellStyle="一般 2"/>
    <tableColumn id="15" uniqueName="15" name="F15" queryTableFieldId="15" dataDxfId="1042" dataCellStyle="一般 2"/>
    <tableColumn id="16" uniqueName="16" name="F16" queryTableFieldId="16" dataDxfId="1041" dataCellStyle="一般 2"/>
    <tableColumn id="17" uniqueName="17" name="F17" queryTableFieldId="17" dataDxfId="1040" dataCellStyle="一般 2"/>
    <tableColumn id="18" uniqueName="18" name="F18" queryTableFieldId="18" dataDxfId="1039" dataCellStyle="一般 2"/>
    <tableColumn id="19" uniqueName="19" name="F19" queryTableFieldId="19" dataDxfId="1038" dataCellStyle="一般 2"/>
    <tableColumn id="20" uniqueName="20" name="F20" queryTableFieldId="20" dataDxfId="1037" dataCellStyle="一般 2"/>
    <tableColumn id="21" uniqueName="21" name="F21" queryTableFieldId="21" dataDxfId="1036" dataCellStyle="一般 2"/>
    <tableColumn id="22" uniqueName="22" name="2024/6/24 14:52" queryTableFieldId="22" dataDxfId="1035" dataCellStyle="一般 2"/>
    <tableColumn id="23" uniqueName="23" name="F23" queryTableFieldId="23" dataDxfId="1034" dataCellStyle="一般 2"/>
    <tableColumn id="24" uniqueName="24" name="F24" queryTableFieldId="24" dataDxfId="1033" dataCellStyle="一般 2"/>
    <tableColumn id="25" uniqueName="25" name="F25" queryTableFieldId="25" dataDxfId="1032" dataCellStyle="一般 2"/>
    <tableColumn id="26" uniqueName="26" name="F26" queryTableFieldId="26" dataDxfId="1031" dataCellStyle="一般 2"/>
    <tableColumn id="27" uniqueName="27" name="F27" queryTableFieldId="27" dataDxfId="1030" dataCellStyle="一般 2"/>
    <tableColumn id="28" uniqueName="28" name="F28" queryTableFieldId="28" dataDxfId="1029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930" dataDxfId="929" headerRowCellStyle="一般 2" dataCellStyle="一般 2">
  <autoFilter ref="AG13:BH189"/>
  <tableColumns count="28">
    <tableColumn id="1" uniqueName="1" name="請直接以10進位，謝謝" queryTableFieldId="1" dataDxfId="928" dataCellStyle="一般 2"/>
    <tableColumn id="2" uniqueName="2" name="F2" queryTableFieldId="2" dataDxfId="927" dataCellStyle="一般 2"/>
    <tableColumn id="3" uniqueName="3" name="F3" queryTableFieldId="3" dataDxfId="926" dataCellStyle="一般 2"/>
    <tableColumn id="4" uniqueName="4" name="F4" queryTableFieldId="4" dataDxfId="925" dataCellStyle="一般 2"/>
    <tableColumn id="5" uniqueName="5" name="F5" queryTableFieldId="5" dataDxfId="924" dataCellStyle="一般 2"/>
    <tableColumn id="6" uniqueName="6" name="F6" queryTableFieldId="6" dataDxfId="923" dataCellStyle="一般 2"/>
    <tableColumn id="7" uniqueName="7" name="F7" queryTableFieldId="7" dataDxfId="922" dataCellStyle="一般 2"/>
    <tableColumn id="8" uniqueName="8" name="F8" queryTableFieldId="8" dataDxfId="921" dataCellStyle="一般 2"/>
    <tableColumn id="9" uniqueName="9" name="F9" queryTableFieldId="9" dataDxfId="920" dataCellStyle="一般 2"/>
    <tableColumn id="10" uniqueName="10" name="F10" queryTableFieldId="10" dataDxfId="919" dataCellStyle="一般 2"/>
    <tableColumn id="11" uniqueName="11" name="F11" queryTableFieldId="11" dataDxfId="918" dataCellStyle="一般 2"/>
    <tableColumn id="12" uniqueName="12" name="F12" queryTableFieldId="12" dataDxfId="917" dataCellStyle="一般 2"/>
    <tableColumn id="13" uniqueName="13" name="F13" queryTableFieldId="13" dataDxfId="916" dataCellStyle="一般 2"/>
    <tableColumn id="14" uniqueName="14" name="F14" queryTableFieldId="14" dataDxfId="915" dataCellStyle="一般 2"/>
    <tableColumn id="15" uniqueName="15" name="F15" queryTableFieldId="15" dataDxfId="914" dataCellStyle="一般 2"/>
    <tableColumn id="16" uniqueName="16" name="F16" queryTableFieldId="16" dataDxfId="913" dataCellStyle="一般 2"/>
    <tableColumn id="17" uniqueName="17" name="F17" queryTableFieldId="17" dataDxfId="912" dataCellStyle="一般 2"/>
    <tableColumn id="18" uniqueName="18" name="F18" queryTableFieldId="18" dataDxfId="911" dataCellStyle="一般 2"/>
    <tableColumn id="19" uniqueName="19" name="F19" queryTableFieldId="19" dataDxfId="910" dataCellStyle="一般 2"/>
    <tableColumn id="20" uniqueName="20" name="F20" queryTableFieldId="20" dataDxfId="909" dataCellStyle="一般 2"/>
    <tableColumn id="21" uniqueName="21" name="F21" queryTableFieldId="21" dataDxfId="908" dataCellStyle="一般 2"/>
    <tableColumn id="22" uniqueName="22" name="2024/6/24 14:52" queryTableFieldId="22" dataDxfId="907" dataCellStyle="一般 2"/>
    <tableColumn id="23" uniqueName="23" name="F23" queryTableFieldId="23" dataDxfId="906" dataCellStyle="一般 2"/>
    <tableColumn id="24" uniqueName="24" name="F24" queryTableFieldId="24" dataDxfId="905" dataCellStyle="一般 2"/>
    <tableColumn id="25" uniqueName="25" name="F25" queryTableFieldId="25" dataDxfId="904" dataCellStyle="一般 2"/>
    <tableColumn id="26" uniqueName="26" name="F26" queryTableFieldId="26" dataDxfId="903" dataCellStyle="一般 2"/>
    <tableColumn id="27" uniqueName="27" name="F27" queryTableFieldId="27" dataDxfId="902" dataCellStyle="一般 2"/>
    <tableColumn id="28" uniqueName="28" name="F28" queryTableFieldId="28" dataDxfId="901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802" dataDxfId="801" headerRowCellStyle="一般 2" dataCellStyle="一般 2">
  <autoFilter ref="AG13:BH189"/>
  <tableColumns count="28">
    <tableColumn id="1" uniqueName="1" name="請直接以10進位，謝謝" queryTableFieldId="1" dataDxfId="800" dataCellStyle="一般 2"/>
    <tableColumn id="2" uniqueName="2" name="F2" queryTableFieldId="2" dataDxfId="799" dataCellStyle="一般 2"/>
    <tableColumn id="3" uniqueName="3" name="F3" queryTableFieldId="3" dataDxfId="798" dataCellStyle="一般 2"/>
    <tableColumn id="4" uniqueName="4" name="F4" queryTableFieldId="4" dataDxfId="797" dataCellStyle="一般 2"/>
    <tableColumn id="5" uniqueName="5" name="F5" queryTableFieldId="5" dataDxfId="796" dataCellStyle="一般 2"/>
    <tableColumn id="6" uniqueName="6" name="F6" queryTableFieldId="6" dataDxfId="795" dataCellStyle="一般 2"/>
    <tableColumn id="7" uniqueName="7" name="F7" queryTableFieldId="7" dataDxfId="794" dataCellStyle="一般 2"/>
    <tableColumn id="8" uniqueName="8" name="F8" queryTableFieldId="8" dataDxfId="793" dataCellStyle="一般 2"/>
    <tableColumn id="9" uniqueName="9" name="F9" queryTableFieldId="9" dataDxfId="792" dataCellStyle="一般 2"/>
    <tableColumn id="10" uniqueName="10" name="F10" queryTableFieldId="10" dataDxfId="791" dataCellStyle="一般 2"/>
    <tableColumn id="11" uniqueName="11" name="F11" queryTableFieldId="11" dataDxfId="790" dataCellStyle="一般 2"/>
    <tableColumn id="12" uniqueName="12" name="F12" queryTableFieldId="12" dataDxfId="789" dataCellStyle="一般 2"/>
    <tableColumn id="13" uniqueName="13" name="F13" queryTableFieldId="13" dataDxfId="788" dataCellStyle="一般 2"/>
    <tableColumn id="14" uniqueName="14" name="F14" queryTableFieldId="14" dataDxfId="787" dataCellStyle="一般 2"/>
    <tableColumn id="15" uniqueName="15" name="F15" queryTableFieldId="15" dataDxfId="786" dataCellStyle="一般 2"/>
    <tableColumn id="16" uniqueName="16" name="F16" queryTableFieldId="16" dataDxfId="785" dataCellStyle="一般 2"/>
    <tableColumn id="17" uniqueName="17" name="F17" queryTableFieldId="17" dataDxfId="784" dataCellStyle="一般 2"/>
    <tableColumn id="18" uniqueName="18" name="F18" queryTableFieldId="18" dataDxfId="783" dataCellStyle="一般 2"/>
    <tableColumn id="19" uniqueName="19" name="F19" queryTableFieldId="19" dataDxfId="782" dataCellStyle="一般 2"/>
    <tableColumn id="20" uniqueName="20" name="F20" queryTableFieldId="20" dataDxfId="781" dataCellStyle="一般 2"/>
    <tableColumn id="21" uniqueName="21" name="F21" queryTableFieldId="21" dataDxfId="780" dataCellStyle="一般 2"/>
    <tableColumn id="22" uniqueName="22" name="2024/6/24 14:52" queryTableFieldId="22" dataDxfId="779" dataCellStyle="一般 2"/>
    <tableColumn id="23" uniqueName="23" name="F23" queryTableFieldId="23" dataDxfId="778" dataCellStyle="一般 2"/>
    <tableColumn id="24" uniqueName="24" name="F24" queryTableFieldId="24" dataDxfId="777" dataCellStyle="一般 2"/>
    <tableColumn id="25" uniqueName="25" name="F25" queryTableFieldId="25" dataDxfId="776" dataCellStyle="一般 2"/>
    <tableColumn id="26" uniqueName="26" name="F26" queryTableFieldId="26" dataDxfId="775" dataCellStyle="一般 2"/>
    <tableColumn id="27" uniqueName="27" name="F27" queryTableFieldId="27" dataDxfId="774" dataCellStyle="一般 2"/>
    <tableColumn id="28" uniqueName="28" name="F28" queryTableFieldId="28" dataDxfId="773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674" dataDxfId="673" headerRowCellStyle="一般 2" dataCellStyle="一般 2">
  <autoFilter ref="AG13:BH189"/>
  <tableColumns count="28">
    <tableColumn id="1" uniqueName="1" name="請直接以10進位，謝謝" queryTableFieldId="1" dataDxfId="672" dataCellStyle="一般 2"/>
    <tableColumn id="2" uniqueName="2" name="F2" queryTableFieldId="2" dataDxfId="671" dataCellStyle="一般 2"/>
    <tableColumn id="3" uniqueName="3" name="F3" queryTableFieldId="3" dataDxfId="670" dataCellStyle="一般 2"/>
    <tableColumn id="4" uniqueName="4" name="F4" queryTableFieldId="4" dataDxfId="669" dataCellStyle="一般 2"/>
    <tableColumn id="5" uniqueName="5" name="F5" queryTableFieldId="5" dataDxfId="668" dataCellStyle="一般 2"/>
    <tableColumn id="6" uniqueName="6" name="F6" queryTableFieldId="6" dataDxfId="667" dataCellStyle="一般 2"/>
    <tableColumn id="7" uniqueName="7" name="F7" queryTableFieldId="7" dataDxfId="666" dataCellStyle="一般 2"/>
    <tableColumn id="8" uniqueName="8" name="F8" queryTableFieldId="8" dataDxfId="665" dataCellStyle="一般 2"/>
    <tableColumn id="9" uniqueName="9" name="F9" queryTableFieldId="9" dataDxfId="664" dataCellStyle="一般 2"/>
    <tableColumn id="10" uniqueName="10" name="F10" queryTableFieldId="10" dataDxfId="663" dataCellStyle="一般 2"/>
    <tableColumn id="11" uniqueName="11" name="F11" queryTableFieldId="11" dataDxfId="662" dataCellStyle="一般 2"/>
    <tableColumn id="12" uniqueName="12" name="F12" queryTableFieldId="12" dataDxfId="661" dataCellStyle="一般 2"/>
    <tableColumn id="13" uniqueName="13" name="F13" queryTableFieldId="13" dataDxfId="660" dataCellStyle="一般 2"/>
    <tableColumn id="14" uniqueName="14" name="F14" queryTableFieldId="14" dataDxfId="659" dataCellStyle="一般 2"/>
    <tableColumn id="15" uniqueName="15" name="F15" queryTableFieldId="15" dataDxfId="658" dataCellStyle="一般 2"/>
    <tableColumn id="16" uniqueName="16" name="F16" queryTableFieldId="16" dataDxfId="657" dataCellStyle="一般 2"/>
    <tableColumn id="17" uniqueName="17" name="F17" queryTableFieldId="17" dataDxfId="656" dataCellStyle="一般 2"/>
    <tableColumn id="18" uniqueName="18" name="F18" queryTableFieldId="18" dataDxfId="655" dataCellStyle="一般 2"/>
    <tableColumn id="19" uniqueName="19" name="F19" queryTableFieldId="19" dataDxfId="654" dataCellStyle="一般 2"/>
    <tableColumn id="20" uniqueName="20" name="F20" queryTableFieldId="20" dataDxfId="653" dataCellStyle="一般 2"/>
    <tableColumn id="21" uniqueName="21" name="F21" queryTableFieldId="21" dataDxfId="652" dataCellStyle="一般 2"/>
    <tableColumn id="22" uniqueName="22" name="2024/6/24 14:52" queryTableFieldId="22" dataDxfId="651" dataCellStyle="一般 2"/>
    <tableColumn id="23" uniqueName="23" name="F23" queryTableFieldId="23" dataDxfId="650" dataCellStyle="一般 2"/>
    <tableColumn id="24" uniqueName="24" name="F24" queryTableFieldId="24" dataDxfId="649" dataCellStyle="一般 2"/>
    <tableColumn id="25" uniqueName="25" name="F25" queryTableFieldId="25" dataDxfId="648" dataCellStyle="一般 2"/>
    <tableColumn id="26" uniqueName="26" name="F26" queryTableFieldId="26" dataDxfId="647" dataCellStyle="一般 2"/>
    <tableColumn id="27" uniqueName="27" name="F27" queryTableFieldId="27" dataDxfId="646" dataCellStyle="一般 2"/>
    <tableColumn id="28" uniqueName="28" name="F28" queryTableFieldId="28" dataDxfId="645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545" dataDxfId="544" headerRowCellStyle="一般 2" dataCellStyle="一般 2">
  <autoFilter ref="AG13:BH189"/>
  <tableColumns count="28">
    <tableColumn id="1" uniqueName="1" name="請直接以10進位，謝謝" queryTableFieldId="1" dataDxfId="543" dataCellStyle="一般 2"/>
    <tableColumn id="2" uniqueName="2" name="F2" queryTableFieldId="2" dataDxfId="542" dataCellStyle="一般 2"/>
    <tableColumn id="3" uniqueName="3" name="F3" queryTableFieldId="3" dataDxfId="541" dataCellStyle="一般 2"/>
    <tableColumn id="4" uniqueName="4" name="F4" queryTableFieldId="4" dataDxfId="540" dataCellStyle="一般 2"/>
    <tableColumn id="5" uniqueName="5" name="F5" queryTableFieldId="5" dataDxfId="539" dataCellStyle="一般 2"/>
    <tableColumn id="6" uniqueName="6" name="F6" queryTableFieldId="6" dataDxfId="538" dataCellStyle="一般 2"/>
    <tableColumn id="7" uniqueName="7" name="F7" queryTableFieldId="7" dataDxfId="537" dataCellStyle="一般 2"/>
    <tableColumn id="8" uniqueName="8" name="F8" queryTableFieldId="8" dataDxfId="536" dataCellStyle="一般 2"/>
    <tableColumn id="9" uniqueName="9" name="F9" queryTableFieldId="9" dataDxfId="535" dataCellStyle="一般 2"/>
    <tableColumn id="10" uniqueName="10" name="F10" queryTableFieldId="10" dataDxfId="534" dataCellStyle="一般 2"/>
    <tableColumn id="11" uniqueName="11" name="F11" queryTableFieldId="11" dataDxfId="533" dataCellStyle="一般 2"/>
    <tableColumn id="12" uniqueName="12" name="F12" queryTableFieldId="12" dataDxfId="532" dataCellStyle="一般 2"/>
    <tableColumn id="13" uniqueName="13" name="F13" queryTableFieldId="13" dataDxfId="531" dataCellStyle="一般 2"/>
    <tableColumn id="14" uniqueName="14" name="F14" queryTableFieldId="14" dataDxfId="530" dataCellStyle="一般 2"/>
    <tableColumn id="15" uniqueName="15" name="F15" queryTableFieldId="15" dataDxfId="529" dataCellStyle="一般 2"/>
    <tableColumn id="16" uniqueName="16" name="F16" queryTableFieldId="16" dataDxfId="528" dataCellStyle="一般 2"/>
    <tableColumn id="17" uniqueName="17" name="F17" queryTableFieldId="17" dataDxfId="527" dataCellStyle="一般 2"/>
    <tableColumn id="18" uniqueName="18" name="F18" queryTableFieldId="18" dataDxfId="526" dataCellStyle="一般 2"/>
    <tableColumn id="19" uniqueName="19" name="F19" queryTableFieldId="19" dataDxfId="525" dataCellStyle="一般 2"/>
    <tableColumn id="20" uniqueName="20" name="F20" queryTableFieldId="20" dataDxfId="524" dataCellStyle="一般 2"/>
    <tableColumn id="21" uniqueName="21" name="F21" queryTableFieldId="21" dataDxfId="523" dataCellStyle="一般 2"/>
    <tableColumn id="22" uniqueName="22" name="2024/6/24 14:52" queryTableFieldId="22" dataDxfId="522" dataCellStyle="一般 2"/>
    <tableColumn id="23" uniqueName="23" name="F23" queryTableFieldId="23" dataDxfId="521" dataCellStyle="一般 2"/>
    <tableColumn id="24" uniqueName="24" name="F24" queryTableFieldId="24" dataDxfId="520" dataCellStyle="一般 2"/>
    <tableColumn id="25" uniqueName="25" name="F25" queryTableFieldId="25" dataDxfId="519" dataCellStyle="一般 2"/>
    <tableColumn id="26" uniqueName="26" name="F26" queryTableFieldId="26" dataDxfId="518" dataCellStyle="一般 2"/>
    <tableColumn id="27" uniqueName="27" name="F27" queryTableFieldId="27" dataDxfId="517" dataCellStyle="一般 2"/>
    <tableColumn id="28" uniqueName="28" name="F28" queryTableFieldId="28" dataDxfId="516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416" dataDxfId="415" headerRowCellStyle="一般 2" dataCellStyle="一般 2">
  <autoFilter ref="AG13:BH189"/>
  <tableColumns count="28">
    <tableColumn id="1" uniqueName="1" name="請直接以10進位，謝謝" queryTableFieldId="1" dataDxfId="414" dataCellStyle="一般 2"/>
    <tableColumn id="2" uniqueName="2" name="F2" queryTableFieldId="2" dataDxfId="413" dataCellStyle="一般 2"/>
    <tableColumn id="3" uniqueName="3" name="F3" queryTableFieldId="3" dataDxfId="412" dataCellStyle="一般 2"/>
    <tableColumn id="4" uniqueName="4" name="F4" queryTableFieldId="4" dataDxfId="411" dataCellStyle="一般 2"/>
    <tableColumn id="5" uniqueName="5" name="F5" queryTableFieldId="5" dataDxfId="410" dataCellStyle="一般 2"/>
    <tableColumn id="6" uniqueName="6" name="F6" queryTableFieldId="6" dataDxfId="409" dataCellStyle="一般 2"/>
    <tableColumn id="7" uniqueName="7" name="F7" queryTableFieldId="7" dataDxfId="408" dataCellStyle="一般 2"/>
    <tableColumn id="8" uniqueName="8" name="F8" queryTableFieldId="8" dataDxfId="407" dataCellStyle="一般 2"/>
    <tableColumn id="9" uniqueName="9" name="F9" queryTableFieldId="9" dataDxfId="406" dataCellStyle="一般 2"/>
    <tableColumn id="10" uniqueName="10" name="F10" queryTableFieldId="10" dataDxfId="405" dataCellStyle="一般 2"/>
    <tableColumn id="11" uniqueName="11" name="F11" queryTableFieldId="11" dataDxfId="404" dataCellStyle="一般 2"/>
    <tableColumn id="12" uniqueName="12" name="F12" queryTableFieldId="12" dataDxfId="403" dataCellStyle="一般 2"/>
    <tableColumn id="13" uniqueName="13" name="F13" queryTableFieldId="13" dataDxfId="402" dataCellStyle="一般 2"/>
    <tableColumn id="14" uniqueName="14" name="F14" queryTableFieldId="14" dataDxfId="401" dataCellStyle="一般 2"/>
    <tableColumn id="15" uniqueName="15" name="F15" queryTableFieldId="15" dataDxfId="400" dataCellStyle="一般 2"/>
    <tableColumn id="16" uniqueName="16" name="F16" queryTableFieldId="16" dataDxfId="399" dataCellStyle="一般 2"/>
    <tableColumn id="17" uniqueName="17" name="F17" queryTableFieldId="17" dataDxfId="398" dataCellStyle="一般 2"/>
    <tableColumn id="18" uniqueName="18" name="F18" queryTableFieldId="18" dataDxfId="397" dataCellStyle="一般 2"/>
    <tableColumn id="19" uniqueName="19" name="F19" queryTableFieldId="19" dataDxfId="396" dataCellStyle="一般 2"/>
    <tableColumn id="20" uniqueName="20" name="F20" queryTableFieldId="20" dataDxfId="395" dataCellStyle="一般 2"/>
    <tableColumn id="21" uniqueName="21" name="F21" queryTableFieldId="21" dataDxfId="394" dataCellStyle="一般 2"/>
    <tableColumn id="22" uniqueName="22" name="2024/6/24 14:52" queryTableFieldId="22" dataDxfId="393" dataCellStyle="一般 2"/>
    <tableColumn id="23" uniqueName="23" name="F23" queryTableFieldId="23" dataDxfId="392" dataCellStyle="一般 2"/>
    <tableColumn id="24" uniqueName="24" name="F24" queryTableFieldId="24" dataDxfId="391" dataCellStyle="一般 2"/>
    <tableColumn id="25" uniqueName="25" name="F25" queryTableFieldId="25" dataDxfId="390" dataCellStyle="一般 2"/>
    <tableColumn id="26" uniqueName="26" name="F26" queryTableFieldId="26" dataDxfId="389" dataCellStyle="一般 2"/>
    <tableColumn id="27" uniqueName="27" name="F27" queryTableFieldId="27" dataDxfId="388" dataCellStyle="一般 2"/>
    <tableColumn id="28" uniqueName="28" name="F28" queryTableFieldId="28" dataDxfId="387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287" dataDxfId="286" headerRowCellStyle="一般 2" dataCellStyle="一般 2">
  <autoFilter ref="AG13:BH189"/>
  <tableColumns count="28">
    <tableColumn id="1" uniqueName="1" name="請直接以10進位，謝謝" queryTableFieldId="1" dataDxfId="285" dataCellStyle="一般 2"/>
    <tableColumn id="2" uniqueName="2" name="F2" queryTableFieldId="2" dataDxfId="284" dataCellStyle="一般 2"/>
    <tableColumn id="3" uniqueName="3" name="F3" queryTableFieldId="3" dataDxfId="283" dataCellStyle="一般 2"/>
    <tableColumn id="4" uniqueName="4" name="F4" queryTableFieldId="4" dataDxfId="282" dataCellStyle="一般 2"/>
    <tableColumn id="5" uniqueName="5" name="F5" queryTableFieldId="5" dataDxfId="281" dataCellStyle="一般 2"/>
    <tableColumn id="6" uniqueName="6" name="F6" queryTableFieldId="6" dataDxfId="280" dataCellStyle="一般 2"/>
    <tableColumn id="7" uniqueName="7" name="F7" queryTableFieldId="7" dataDxfId="279" dataCellStyle="一般 2"/>
    <tableColumn id="8" uniqueName="8" name="F8" queryTableFieldId="8" dataDxfId="278" dataCellStyle="一般 2"/>
    <tableColumn id="9" uniqueName="9" name="F9" queryTableFieldId="9" dataDxfId="277" dataCellStyle="一般 2"/>
    <tableColumn id="10" uniqueName="10" name="F10" queryTableFieldId="10" dataDxfId="276" dataCellStyle="一般 2"/>
    <tableColumn id="11" uniqueName="11" name="F11" queryTableFieldId="11" dataDxfId="275" dataCellStyle="一般 2"/>
    <tableColumn id="12" uniqueName="12" name="F12" queryTableFieldId="12" dataDxfId="274" dataCellStyle="一般 2"/>
    <tableColumn id="13" uniqueName="13" name="F13" queryTableFieldId="13" dataDxfId="273" dataCellStyle="一般 2"/>
    <tableColumn id="14" uniqueName="14" name="F14" queryTableFieldId="14" dataDxfId="272" dataCellStyle="一般 2"/>
    <tableColumn id="15" uniqueName="15" name="F15" queryTableFieldId="15" dataDxfId="271" dataCellStyle="一般 2"/>
    <tableColumn id="16" uniqueName="16" name="F16" queryTableFieldId="16" dataDxfId="270" dataCellStyle="一般 2"/>
    <tableColumn id="17" uniqueName="17" name="F17" queryTableFieldId="17" dataDxfId="269" dataCellStyle="一般 2"/>
    <tableColumn id="18" uniqueName="18" name="F18" queryTableFieldId="18" dataDxfId="268" dataCellStyle="一般 2"/>
    <tableColumn id="19" uniqueName="19" name="F19" queryTableFieldId="19" dataDxfId="267" dataCellStyle="一般 2"/>
    <tableColumn id="20" uniqueName="20" name="F20" queryTableFieldId="20" dataDxfId="266" dataCellStyle="一般 2"/>
    <tableColumn id="21" uniqueName="21" name="F21" queryTableFieldId="21" dataDxfId="265" dataCellStyle="一般 2"/>
    <tableColumn id="22" uniqueName="22" name="2024/6/24 14:52" queryTableFieldId="22" dataDxfId="264" dataCellStyle="一般 2"/>
    <tableColumn id="23" uniqueName="23" name="F23" queryTableFieldId="23" dataDxfId="263" dataCellStyle="一般 2"/>
    <tableColumn id="24" uniqueName="24" name="F24" queryTableFieldId="24" dataDxfId="262" dataCellStyle="一般 2"/>
    <tableColumn id="25" uniqueName="25" name="F25" queryTableFieldId="25" dataDxfId="261" dataCellStyle="一般 2"/>
    <tableColumn id="26" uniqueName="26" name="F26" queryTableFieldId="26" dataDxfId="260" dataCellStyle="一般 2"/>
    <tableColumn id="27" uniqueName="27" name="F27" queryTableFieldId="27" dataDxfId="259" dataCellStyle="一般 2"/>
    <tableColumn id="28" uniqueName="28" name="F28" queryTableFieldId="28" dataDxfId="258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ref="AG13:BH189" tableType="queryTable" totalsRowShown="0" headerRowDxfId="158" dataDxfId="157" headerRowCellStyle="一般 2" dataCellStyle="一般 2">
  <autoFilter ref="AG13:BH189"/>
  <tableColumns count="28">
    <tableColumn id="1" uniqueName="1" name="請直接以10進位，謝謝" queryTableFieldId="1" dataDxfId="156" dataCellStyle="一般 2"/>
    <tableColumn id="2" uniqueName="2" name="F2" queryTableFieldId="2" dataDxfId="155" dataCellStyle="一般 2"/>
    <tableColumn id="3" uniqueName="3" name="F3" queryTableFieldId="3" dataDxfId="154" dataCellStyle="一般 2"/>
    <tableColumn id="4" uniqueName="4" name="F4" queryTableFieldId="4" dataDxfId="153" dataCellStyle="一般 2"/>
    <tableColumn id="5" uniqueName="5" name="F5" queryTableFieldId="5" dataDxfId="152" dataCellStyle="一般 2"/>
    <tableColumn id="6" uniqueName="6" name="F6" queryTableFieldId="6" dataDxfId="151" dataCellStyle="一般 2"/>
    <tableColumn id="7" uniqueName="7" name="F7" queryTableFieldId="7" dataDxfId="150" dataCellStyle="一般 2"/>
    <tableColumn id="8" uniqueName="8" name="F8" queryTableFieldId="8" dataDxfId="149" dataCellStyle="一般 2"/>
    <tableColumn id="9" uniqueName="9" name="F9" queryTableFieldId="9" dataDxfId="148" dataCellStyle="一般 2"/>
    <tableColumn id="10" uniqueName="10" name="F10" queryTableFieldId="10" dataDxfId="147" dataCellStyle="一般 2"/>
    <tableColumn id="11" uniqueName="11" name="F11" queryTableFieldId="11" dataDxfId="146" dataCellStyle="一般 2"/>
    <tableColumn id="12" uniqueName="12" name="F12" queryTableFieldId="12" dataDxfId="145" dataCellStyle="一般 2"/>
    <tableColumn id="13" uniqueName="13" name="F13" queryTableFieldId="13" dataDxfId="144" dataCellStyle="一般 2"/>
    <tableColumn id="14" uniqueName="14" name="F14" queryTableFieldId="14" dataDxfId="143" dataCellStyle="一般 2"/>
    <tableColumn id="15" uniqueName="15" name="F15" queryTableFieldId="15" dataDxfId="142" dataCellStyle="一般 2"/>
    <tableColumn id="16" uniqueName="16" name="F16" queryTableFieldId="16" dataDxfId="141" dataCellStyle="一般 2"/>
    <tableColumn id="17" uniqueName="17" name="F17" queryTableFieldId="17" dataDxfId="140" dataCellStyle="一般 2"/>
    <tableColumn id="18" uniqueName="18" name="F18" queryTableFieldId="18" dataDxfId="139" dataCellStyle="一般 2"/>
    <tableColumn id="19" uniqueName="19" name="F19" queryTableFieldId="19" dataDxfId="138" dataCellStyle="一般 2"/>
    <tableColumn id="20" uniqueName="20" name="F20" queryTableFieldId="20" dataDxfId="137" dataCellStyle="一般 2"/>
    <tableColumn id="21" uniqueName="21" name="F21" queryTableFieldId="21" dataDxfId="136" dataCellStyle="一般 2"/>
    <tableColumn id="22" uniqueName="22" name="2024/6/24 14:52" queryTableFieldId="22" dataDxfId="135" dataCellStyle="一般 2"/>
    <tableColumn id="23" uniqueName="23" name="F23" queryTableFieldId="23" dataDxfId="134" dataCellStyle="一般 2"/>
    <tableColumn id="24" uniqueName="24" name="F24" queryTableFieldId="24" dataDxfId="133" dataCellStyle="一般 2"/>
    <tableColumn id="25" uniqueName="25" name="F25" queryTableFieldId="25" dataDxfId="132" dataCellStyle="一般 2"/>
    <tableColumn id="26" uniqueName="26" name="F26" queryTableFieldId="26" dataDxfId="131" dataCellStyle="一般 2"/>
    <tableColumn id="27" uniqueName="27" name="F27" queryTableFieldId="27" dataDxfId="130" dataCellStyle="一般 2"/>
    <tableColumn id="28" uniqueName="28" name="F28" queryTableFieldId="28" dataDxfId="129" dataCellStyle="一般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3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2" zoomScale="70" zoomScaleNormal="100" zoomScaleSheetLayoutView="70" workbookViewId="0">
      <selection activeCell="K44" sqref="K4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74" t="s">
        <v>172</v>
      </c>
      <c r="B1" s="174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6651</v>
      </c>
      <c r="C3" s="121">
        <v>19</v>
      </c>
      <c r="D3" s="122" t="s">
        <v>76</v>
      </c>
      <c r="E3" s="120">
        <v>7121</v>
      </c>
      <c r="F3" s="121">
        <v>15</v>
      </c>
      <c r="G3" s="119">
        <v>661</v>
      </c>
      <c r="H3" s="120">
        <v>0</v>
      </c>
      <c r="I3" s="123">
        <v>18</v>
      </c>
      <c r="J3" s="119">
        <v>681</v>
      </c>
      <c r="K3" s="120">
        <v>2853</v>
      </c>
      <c r="L3" s="124">
        <v>18</v>
      </c>
      <c r="M3" s="175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50</v>
      </c>
      <c r="C4" s="121">
        <v>18</v>
      </c>
      <c r="D4" s="122" t="s">
        <v>77</v>
      </c>
      <c r="E4" s="120">
        <v>4861</v>
      </c>
      <c r="F4" s="121">
        <v>19</v>
      </c>
      <c r="G4" s="119">
        <v>662</v>
      </c>
      <c r="H4" s="120">
        <v>1386</v>
      </c>
      <c r="I4" s="123">
        <v>17</v>
      </c>
      <c r="J4" s="119">
        <v>682</v>
      </c>
      <c r="K4" s="120">
        <v>1274</v>
      </c>
      <c r="L4" s="133">
        <v>19</v>
      </c>
      <c r="M4" s="176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2442</v>
      </c>
      <c r="C5" s="121">
        <v>18</v>
      </c>
      <c r="D5" s="122">
        <v>631</v>
      </c>
      <c r="E5" s="120">
        <v>2238</v>
      </c>
      <c r="F5" s="121">
        <v>18</v>
      </c>
      <c r="G5" s="119">
        <v>663</v>
      </c>
      <c r="H5" s="120">
        <v>7359</v>
      </c>
      <c r="I5" s="123">
        <v>20</v>
      </c>
      <c r="J5" s="119">
        <v>683</v>
      </c>
      <c r="K5" s="120">
        <v>1220</v>
      </c>
      <c r="L5" s="133">
        <v>18</v>
      </c>
      <c r="M5" s="176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2793</v>
      </c>
      <c r="C6" s="126">
        <v>18</v>
      </c>
      <c r="D6" s="127">
        <v>632</v>
      </c>
      <c r="E6" s="125">
        <v>2888</v>
      </c>
      <c r="F6" s="126">
        <v>17</v>
      </c>
      <c r="G6" s="127">
        <v>664</v>
      </c>
      <c r="H6" s="120">
        <v>6407</v>
      </c>
      <c r="I6" s="124">
        <v>18</v>
      </c>
      <c r="J6" s="127">
        <v>684</v>
      </c>
      <c r="K6" s="125">
        <v>1267</v>
      </c>
      <c r="L6" s="133">
        <v>17</v>
      </c>
      <c r="M6" s="176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1484</v>
      </c>
      <c r="C7" s="126">
        <v>16</v>
      </c>
      <c r="D7" s="127">
        <v>633</v>
      </c>
      <c r="E7" s="125">
        <v>3074</v>
      </c>
      <c r="F7" s="126">
        <v>13</v>
      </c>
      <c r="G7" s="127">
        <v>665</v>
      </c>
      <c r="H7" s="125">
        <v>2212</v>
      </c>
      <c r="I7" s="124">
        <v>18</v>
      </c>
      <c r="J7" s="127">
        <v>685</v>
      </c>
      <c r="K7" s="125">
        <v>2441</v>
      </c>
      <c r="L7" s="133">
        <v>17</v>
      </c>
      <c r="M7" s="176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14.11</v>
      </c>
      <c r="C8" s="134">
        <v>25</v>
      </c>
      <c r="D8" s="127">
        <v>634</v>
      </c>
      <c r="E8" s="125">
        <v>9353</v>
      </c>
      <c r="F8" s="126">
        <v>19</v>
      </c>
      <c r="G8" s="127">
        <v>666</v>
      </c>
      <c r="H8" s="125">
        <v>5371</v>
      </c>
      <c r="I8" s="124">
        <v>17</v>
      </c>
      <c r="J8" s="127">
        <v>686</v>
      </c>
      <c r="K8" s="125">
        <v>5548</v>
      </c>
      <c r="L8" s="133">
        <v>19</v>
      </c>
      <c r="M8" s="176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6.61</v>
      </c>
      <c r="C9" s="134">
        <v>25</v>
      </c>
      <c r="D9" s="127">
        <v>641</v>
      </c>
      <c r="E9" s="125">
        <v>4780</v>
      </c>
      <c r="F9" s="126">
        <v>17</v>
      </c>
      <c r="G9" s="127">
        <v>667</v>
      </c>
      <c r="H9" s="125">
        <v>-817</v>
      </c>
      <c r="I9" s="124">
        <v>19</v>
      </c>
      <c r="J9" s="127">
        <v>687</v>
      </c>
      <c r="K9" s="125">
        <v>4875</v>
      </c>
      <c r="L9" s="133">
        <v>17</v>
      </c>
      <c r="M9" s="176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7.42</v>
      </c>
      <c r="C10" s="134">
        <v>25</v>
      </c>
      <c r="D10" s="127">
        <v>642</v>
      </c>
      <c r="E10" s="125">
        <v>3695</v>
      </c>
      <c r="F10" s="126">
        <v>19</v>
      </c>
      <c r="G10" s="127">
        <v>668</v>
      </c>
      <c r="H10" s="125">
        <v>-817</v>
      </c>
      <c r="I10" s="124">
        <v>19</v>
      </c>
      <c r="J10" s="127">
        <v>688</v>
      </c>
      <c r="K10" s="125">
        <v>5598</v>
      </c>
      <c r="L10" s="133">
        <v>18</v>
      </c>
      <c r="M10" s="176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31.92</v>
      </c>
      <c r="C11" s="134">
        <v>25</v>
      </c>
      <c r="D11" s="127">
        <v>643</v>
      </c>
      <c r="E11" s="125">
        <v>3656</v>
      </c>
      <c r="F11" s="126">
        <v>19</v>
      </c>
      <c r="G11" s="127">
        <v>669</v>
      </c>
      <c r="H11" s="125">
        <v>665</v>
      </c>
      <c r="I11" s="124">
        <v>26</v>
      </c>
      <c r="J11" s="127">
        <v>689</v>
      </c>
      <c r="K11" s="125">
        <v>5723</v>
      </c>
      <c r="L11" s="133">
        <v>19</v>
      </c>
      <c r="M11" s="176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2669</v>
      </c>
      <c r="C12" s="126">
        <v>19</v>
      </c>
      <c r="D12" s="127">
        <v>645</v>
      </c>
      <c r="E12" s="125">
        <v>6061</v>
      </c>
      <c r="F12" s="126">
        <v>20</v>
      </c>
      <c r="G12" s="127">
        <v>670</v>
      </c>
      <c r="H12" s="125">
        <v>-9903</v>
      </c>
      <c r="I12" s="124">
        <v>26</v>
      </c>
      <c r="J12" s="127">
        <v>690</v>
      </c>
      <c r="K12" s="125">
        <v>653</v>
      </c>
      <c r="L12" s="124">
        <v>19</v>
      </c>
      <c r="M12" s="176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6617</v>
      </c>
      <c r="C13" s="126">
        <v>20</v>
      </c>
      <c r="D13" s="127">
        <v>651</v>
      </c>
      <c r="E13" s="125">
        <v>3114</v>
      </c>
      <c r="F13" s="126">
        <v>23</v>
      </c>
      <c r="G13" s="127">
        <v>671</v>
      </c>
      <c r="H13" s="125">
        <v>0</v>
      </c>
      <c r="I13" s="124">
        <v>19</v>
      </c>
      <c r="J13" s="127">
        <v>691</v>
      </c>
      <c r="K13" s="125">
        <v>3259</v>
      </c>
      <c r="L13" s="133">
        <v>18</v>
      </c>
      <c r="M13" s="176"/>
      <c r="N13" s="178" t="s">
        <v>171</v>
      </c>
      <c r="O13" s="179" t="s">
        <v>143</v>
      </c>
      <c r="P13" s="180">
        <v>7.0686</v>
      </c>
      <c r="Q13" s="172" t="s">
        <v>148</v>
      </c>
      <c r="S13" s="173">
        <v>7000</v>
      </c>
    </row>
    <row r="14" spans="1:24" s="53" customFormat="1" ht="22.2" customHeight="1">
      <c r="A14" s="119">
        <v>623</v>
      </c>
      <c r="B14" s="125">
        <v>3298</v>
      </c>
      <c r="C14" s="126">
        <v>23</v>
      </c>
      <c r="D14" s="127">
        <v>652</v>
      </c>
      <c r="E14" s="125">
        <v>5505</v>
      </c>
      <c r="F14" s="126">
        <v>18</v>
      </c>
      <c r="G14" s="127">
        <v>672</v>
      </c>
      <c r="H14" s="125">
        <v>12</v>
      </c>
      <c r="I14" s="124">
        <v>17</v>
      </c>
      <c r="J14" s="127">
        <v>692</v>
      </c>
      <c r="K14" s="125">
        <v>6292</v>
      </c>
      <c r="L14" s="133">
        <v>20</v>
      </c>
      <c r="M14" s="176"/>
      <c r="N14" s="178"/>
      <c r="O14" s="179"/>
      <c r="P14" s="180"/>
      <c r="Q14" s="172"/>
      <c r="S14" s="173"/>
    </row>
    <row r="15" spans="1:24" s="53" customFormat="1" ht="22.2" customHeight="1">
      <c r="A15" s="122">
        <v>624</v>
      </c>
      <c r="B15" s="125">
        <v>1228</v>
      </c>
      <c r="C15" s="126">
        <v>19</v>
      </c>
      <c r="D15" s="128">
        <v>653</v>
      </c>
      <c r="E15" s="125">
        <v>5387</v>
      </c>
      <c r="F15" s="126">
        <v>16</v>
      </c>
      <c r="G15" s="127">
        <v>673</v>
      </c>
      <c r="H15" s="125">
        <v>1530</v>
      </c>
      <c r="I15" s="124">
        <v>19</v>
      </c>
      <c r="J15" s="127">
        <v>693</v>
      </c>
      <c r="K15" s="125">
        <v>4824</v>
      </c>
      <c r="L15" s="133">
        <v>19</v>
      </c>
      <c r="M15" s="176"/>
      <c r="N15" s="178"/>
      <c r="O15" s="179"/>
      <c r="P15" s="180"/>
      <c r="Q15" s="172"/>
      <c r="R15" s="55"/>
      <c r="S15" s="140">
        <v>6000</v>
      </c>
    </row>
    <row r="16" spans="1:24" s="53" customFormat="1" ht="22.2" customHeight="1">
      <c r="A16" s="122" t="s">
        <v>80</v>
      </c>
      <c r="B16" s="125">
        <v>7164</v>
      </c>
      <c r="C16" s="126">
        <v>20</v>
      </c>
      <c r="D16" s="127">
        <v>654</v>
      </c>
      <c r="E16" s="125">
        <v>3672</v>
      </c>
      <c r="F16" s="126">
        <v>17</v>
      </c>
      <c r="G16" s="127">
        <v>674</v>
      </c>
      <c r="H16" s="125">
        <v>30</v>
      </c>
      <c r="I16" s="124">
        <v>17</v>
      </c>
      <c r="J16" s="127">
        <v>694</v>
      </c>
      <c r="K16" s="125">
        <v>160</v>
      </c>
      <c r="L16" s="133">
        <v>17</v>
      </c>
      <c r="M16" s="176"/>
      <c r="Q16" s="55"/>
      <c r="R16" s="55"/>
      <c r="S16" s="55"/>
    </row>
    <row r="17" spans="1:19" s="53" customFormat="1" ht="22.2" customHeight="1">
      <c r="A17" s="122" t="s">
        <v>26</v>
      </c>
      <c r="B17" s="125">
        <v>7118</v>
      </c>
      <c r="C17" s="126">
        <v>24</v>
      </c>
      <c r="D17" s="128">
        <v>655</v>
      </c>
      <c r="E17" s="125">
        <v>3713</v>
      </c>
      <c r="F17" s="126">
        <v>20</v>
      </c>
      <c r="G17" s="127">
        <v>675</v>
      </c>
      <c r="H17" s="125">
        <v>30.61</v>
      </c>
      <c r="I17" s="133">
        <v>25</v>
      </c>
      <c r="J17" s="127">
        <v>695</v>
      </c>
      <c r="K17" s="125">
        <v>4218</v>
      </c>
      <c r="L17" s="133">
        <v>18</v>
      </c>
      <c r="M17" s="176"/>
      <c r="Q17" s="55"/>
      <c r="R17" s="55"/>
      <c r="S17" s="55"/>
    </row>
    <row r="18" spans="1:19" s="53" customFormat="1" ht="22.2" customHeight="1">
      <c r="A18" s="122" t="s">
        <v>27</v>
      </c>
      <c r="B18" s="125">
        <v>3605</v>
      </c>
      <c r="C18" s="126">
        <v>15</v>
      </c>
      <c r="D18" s="127">
        <v>656</v>
      </c>
      <c r="E18" s="125">
        <v>2383</v>
      </c>
      <c r="F18" s="126">
        <v>18</v>
      </c>
      <c r="G18" s="127">
        <v>676</v>
      </c>
      <c r="H18" s="125">
        <v>5.62</v>
      </c>
      <c r="I18" s="133">
        <v>25</v>
      </c>
      <c r="J18" s="127">
        <v>696</v>
      </c>
      <c r="K18" s="125">
        <v>8426</v>
      </c>
      <c r="L18" s="133">
        <v>19</v>
      </c>
      <c r="M18" s="176"/>
      <c r="Q18" s="55"/>
      <c r="R18" s="55"/>
      <c r="S18" s="55"/>
    </row>
    <row r="19" spans="1:19" s="53" customFormat="1" ht="22.2" customHeight="1">
      <c r="A19" s="122" t="s">
        <v>28</v>
      </c>
      <c r="B19" s="125">
        <v>2819</v>
      </c>
      <c r="C19" s="126">
        <v>15</v>
      </c>
      <c r="D19" s="127">
        <v>657</v>
      </c>
      <c r="E19" s="125">
        <v>932</v>
      </c>
      <c r="F19" s="126">
        <v>18</v>
      </c>
      <c r="G19" s="127">
        <v>677</v>
      </c>
      <c r="H19" s="125">
        <v>3.72</v>
      </c>
      <c r="I19" s="133">
        <v>25</v>
      </c>
      <c r="J19" s="127">
        <v>697</v>
      </c>
      <c r="K19" s="125">
        <v>1397</v>
      </c>
      <c r="L19" s="133">
        <v>20</v>
      </c>
      <c r="M19" s="176"/>
      <c r="Q19" s="55"/>
      <c r="R19" s="55"/>
      <c r="S19" s="55"/>
    </row>
    <row r="20" spans="1:19" s="53" customFormat="1" ht="22.2" customHeight="1">
      <c r="A20" s="122" t="s">
        <v>29</v>
      </c>
      <c r="B20" s="125">
        <v>0</v>
      </c>
      <c r="C20" s="126">
        <v>18</v>
      </c>
      <c r="D20" s="128">
        <v>658</v>
      </c>
      <c r="E20" s="125">
        <v>5549</v>
      </c>
      <c r="F20" s="126">
        <v>20</v>
      </c>
      <c r="G20" s="127">
        <v>678</v>
      </c>
      <c r="H20" s="125">
        <v>5.01</v>
      </c>
      <c r="I20" s="133">
        <v>25</v>
      </c>
      <c r="J20" s="127">
        <v>698</v>
      </c>
      <c r="K20" s="125">
        <v>3691</v>
      </c>
      <c r="L20" s="133">
        <v>44</v>
      </c>
      <c r="M20" s="176"/>
      <c r="Q20" s="55"/>
      <c r="R20" s="55"/>
      <c r="S20" s="55"/>
    </row>
    <row r="21" spans="1:19" s="53" customFormat="1" ht="22.2" customHeight="1">
      <c r="A21" s="122" t="s">
        <v>30</v>
      </c>
      <c r="B21" s="125">
        <v>0</v>
      </c>
      <c r="C21" s="126">
        <v>20</v>
      </c>
      <c r="D21" s="127">
        <v>659</v>
      </c>
      <c r="E21" s="125">
        <v>2973</v>
      </c>
      <c r="F21" s="126">
        <v>19</v>
      </c>
      <c r="G21" s="127">
        <v>680</v>
      </c>
      <c r="H21" s="125">
        <v>576</v>
      </c>
      <c r="I21" s="133">
        <v>19</v>
      </c>
      <c r="J21" s="127">
        <v>699</v>
      </c>
      <c r="K21" s="125">
        <v>6202</v>
      </c>
      <c r="L21" s="133">
        <v>19</v>
      </c>
      <c r="M21" s="176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1318</v>
      </c>
      <c r="C22" s="130">
        <v>20</v>
      </c>
      <c r="D22" s="131">
        <v>660</v>
      </c>
      <c r="E22" s="130">
        <v>39</v>
      </c>
      <c r="F22" s="132">
        <v>20</v>
      </c>
      <c r="G22" s="131"/>
      <c r="H22" s="130"/>
      <c r="I22" s="132"/>
      <c r="J22" s="131"/>
      <c r="K22" s="130"/>
      <c r="L22" s="132"/>
      <c r="M22" s="177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74"/>
      <c r="B24" s="174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6651</v>
      </c>
      <c r="C26" s="121">
        <v>19</v>
      </c>
      <c r="D26" s="122" t="s">
        <v>76</v>
      </c>
      <c r="E26" s="120">
        <v>4667</v>
      </c>
      <c r="F26" s="121">
        <v>16</v>
      </c>
      <c r="G26" s="119">
        <v>661</v>
      </c>
      <c r="H26" s="120">
        <v>0</v>
      </c>
      <c r="I26" s="123">
        <v>25</v>
      </c>
      <c r="J26" s="119">
        <v>681</v>
      </c>
      <c r="K26" s="120">
        <v>2351</v>
      </c>
      <c r="L26" s="124">
        <v>20</v>
      </c>
      <c r="M26" s="175"/>
    </row>
    <row r="27" spans="1:19" ht="21.75" customHeight="1">
      <c r="A27" s="119">
        <v>602</v>
      </c>
      <c r="B27" s="120">
        <v>0</v>
      </c>
      <c r="C27" s="121">
        <v>20</v>
      </c>
      <c r="D27" s="122" t="s">
        <v>77</v>
      </c>
      <c r="E27" s="120">
        <v>4863</v>
      </c>
      <c r="F27" s="121">
        <v>19</v>
      </c>
      <c r="G27" s="119">
        <v>662</v>
      </c>
      <c r="H27" s="120">
        <v>54</v>
      </c>
      <c r="I27" s="123">
        <v>21</v>
      </c>
      <c r="J27" s="119">
        <v>682</v>
      </c>
      <c r="K27" s="120">
        <v>1067</v>
      </c>
      <c r="L27" s="133">
        <v>19</v>
      </c>
      <c r="M27" s="176"/>
    </row>
    <row r="28" spans="1:19" ht="21.75" customHeight="1">
      <c r="A28" s="119">
        <v>603</v>
      </c>
      <c r="B28" s="120">
        <v>2442</v>
      </c>
      <c r="C28" s="121">
        <v>17</v>
      </c>
      <c r="D28" s="122">
        <v>631</v>
      </c>
      <c r="E28" s="120">
        <v>3085</v>
      </c>
      <c r="F28" s="121">
        <v>19</v>
      </c>
      <c r="G28" s="119">
        <v>663</v>
      </c>
      <c r="H28" s="120">
        <v>7366</v>
      </c>
      <c r="I28" s="123">
        <v>23</v>
      </c>
      <c r="J28" s="119">
        <v>683</v>
      </c>
      <c r="K28" s="120">
        <v>66</v>
      </c>
      <c r="L28" s="133">
        <v>20</v>
      </c>
      <c r="M28" s="176"/>
    </row>
    <row r="29" spans="1:19" ht="21.75" customHeight="1">
      <c r="A29" s="119" t="s">
        <v>78</v>
      </c>
      <c r="B29" s="125">
        <v>2540</v>
      </c>
      <c r="C29" s="126">
        <v>19</v>
      </c>
      <c r="D29" s="127">
        <v>632</v>
      </c>
      <c r="E29" s="125">
        <v>2885</v>
      </c>
      <c r="F29" s="126">
        <v>19</v>
      </c>
      <c r="G29" s="127">
        <v>664</v>
      </c>
      <c r="H29" s="120">
        <v>6410</v>
      </c>
      <c r="I29" s="124">
        <v>19</v>
      </c>
      <c r="J29" s="127">
        <v>684</v>
      </c>
      <c r="K29" s="125">
        <v>1265</v>
      </c>
      <c r="L29" s="133">
        <v>19</v>
      </c>
      <c r="M29" s="176"/>
    </row>
    <row r="30" spans="1:19" ht="21.75" customHeight="1">
      <c r="A30" s="119" t="s">
        <v>79</v>
      </c>
      <c r="B30" s="125">
        <v>2135</v>
      </c>
      <c r="C30" s="126">
        <v>17</v>
      </c>
      <c r="D30" s="127">
        <v>633</v>
      </c>
      <c r="E30" s="125">
        <v>3073</v>
      </c>
      <c r="F30" s="126">
        <v>13</v>
      </c>
      <c r="G30" s="127">
        <v>665</v>
      </c>
      <c r="H30" s="125">
        <v>2213</v>
      </c>
      <c r="I30" s="124">
        <v>22</v>
      </c>
      <c r="J30" s="127">
        <v>685</v>
      </c>
      <c r="K30" s="125">
        <v>2440</v>
      </c>
      <c r="L30" s="133">
        <v>20</v>
      </c>
      <c r="M30" s="176"/>
    </row>
    <row r="31" spans="1:19" ht="21.75" customHeight="1">
      <c r="A31" s="119">
        <v>611</v>
      </c>
      <c r="B31" s="125">
        <v>14.11</v>
      </c>
      <c r="C31" s="134">
        <v>25</v>
      </c>
      <c r="D31" s="127">
        <v>634</v>
      </c>
      <c r="E31" s="125">
        <v>9353</v>
      </c>
      <c r="F31" s="126">
        <v>19</v>
      </c>
      <c r="G31" s="127">
        <v>666</v>
      </c>
      <c r="H31" s="125">
        <v>5373</v>
      </c>
      <c r="I31" s="124">
        <v>17</v>
      </c>
      <c r="J31" s="127">
        <v>686</v>
      </c>
      <c r="K31" s="125">
        <v>5547</v>
      </c>
      <c r="L31" s="133">
        <v>21</v>
      </c>
      <c r="M31" s="176"/>
    </row>
    <row r="32" spans="1:19" ht="21.75" customHeight="1">
      <c r="A32" s="119">
        <v>612</v>
      </c>
      <c r="B32" s="125">
        <v>6.62</v>
      </c>
      <c r="C32" s="134">
        <v>25</v>
      </c>
      <c r="D32" s="127">
        <v>641</v>
      </c>
      <c r="E32" s="125">
        <v>4780</v>
      </c>
      <c r="F32" s="126">
        <v>23</v>
      </c>
      <c r="G32" s="127">
        <v>667</v>
      </c>
      <c r="H32" s="125">
        <v>-817</v>
      </c>
      <c r="I32" s="124">
        <v>20</v>
      </c>
      <c r="J32" s="127">
        <v>687</v>
      </c>
      <c r="K32" s="125">
        <v>4876</v>
      </c>
      <c r="L32" s="133">
        <v>19</v>
      </c>
      <c r="M32" s="176"/>
    </row>
    <row r="33" spans="1:13" ht="21.75" customHeight="1">
      <c r="A33" s="119">
        <v>613</v>
      </c>
      <c r="B33" s="125">
        <v>7.42</v>
      </c>
      <c r="C33" s="134">
        <v>25</v>
      </c>
      <c r="D33" s="127">
        <v>642</v>
      </c>
      <c r="E33" s="125">
        <v>3591</v>
      </c>
      <c r="F33" s="126">
        <v>20</v>
      </c>
      <c r="G33" s="127">
        <v>668</v>
      </c>
      <c r="H33" s="125">
        <v>-817</v>
      </c>
      <c r="I33" s="124">
        <v>21</v>
      </c>
      <c r="J33" s="127">
        <v>688</v>
      </c>
      <c r="K33" s="125">
        <v>5598</v>
      </c>
      <c r="L33" s="133">
        <v>20</v>
      </c>
      <c r="M33" s="176"/>
    </row>
    <row r="34" spans="1:13" ht="21.75" customHeight="1">
      <c r="A34" s="119">
        <v>614</v>
      </c>
      <c r="B34" s="125">
        <v>27.9</v>
      </c>
      <c r="C34" s="134">
        <v>25</v>
      </c>
      <c r="D34" s="127">
        <v>643</v>
      </c>
      <c r="E34" s="125">
        <v>3312</v>
      </c>
      <c r="F34" s="126">
        <v>20</v>
      </c>
      <c r="G34" s="127">
        <v>669</v>
      </c>
      <c r="H34" s="125">
        <v>662</v>
      </c>
      <c r="I34" s="124">
        <v>25</v>
      </c>
      <c r="J34" s="127">
        <v>689</v>
      </c>
      <c r="K34" s="125">
        <v>5722</v>
      </c>
      <c r="L34" s="133">
        <v>19</v>
      </c>
      <c r="M34" s="176"/>
    </row>
    <row r="35" spans="1:13" ht="21.75" customHeight="1">
      <c r="A35" s="119">
        <v>621</v>
      </c>
      <c r="B35" s="125">
        <v>2669</v>
      </c>
      <c r="C35" s="126">
        <v>20</v>
      </c>
      <c r="D35" s="127">
        <v>645</v>
      </c>
      <c r="E35" s="125">
        <v>6062</v>
      </c>
      <c r="F35" s="126">
        <v>21</v>
      </c>
      <c r="G35" s="127">
        <v>670</v>
      </c>
      <c r="H35" s="125">
        <v>-9903</v>
      </c>
      <c r="I35" s="124">
        <v>25</v>
      </c>
      <c r="J35" s="127">
        <v>690</v>
      </c>
      <c r="K35" s="125">
        <v>650</v>
      </c>
      <c r="L35" s="124">
        <v>19</v>
      </c>
      <c r="M35" s="176"/>
    </row>
    <row r="36" spans="1:13" ht="21.75" customHeight="1">
      <c r="A36" s="119">
        <v>622</v>
      </c>
      <c r="B36" s="125">
        <v>6512</v>
      </c>
      <c r="C36" s="126">
        <v>20</v>
      </c>
      <c r="D36" s="127">
        <v>651</v>
      </c>
      <c r="E36" s="125">
        <v>3110</v>
      </c>
      <c r="F36" s="126">
        <v>25</v>
      </c>
      <c r="G36" s="127">
        <v>671</v>
      </c>
      <c r="H36" s="125">
        <v>0</v>
      </c>
      <c r="I36" s="124">
        <v>22</v>
      </c>
      <c r="J36" s="127">
        <v>691</v>
      </c>
      <c r="K36" s="125">
        <v>3622</v>
      </c>
      <c r="L36" s="133">
        <v>21</v>
      </c>
      <c r="M36" s="176"/>
    </row>
    <row r="37" spans="1:13" ht="21.75" customHeight="1">
      <c r="A37" s="119">
        <v>623</v>
      </c>
      <c r="B37" s="125">
        <v>3298</v>
      </c>
      <c r="C37" s="126">
        <v>23</v>
      </c>
      <c r="D37" s="127">
        <v>652</v>
      </c>
      <c r="E37" s="125">
        <v>3508</v>
      </c>
      <c r="F37" s="126">
        <v>20</v>
      </c>
      <c r="G37" s="127">
        <v>672</v>
      </c>
      <c r="H37" s="125">
        <v>11</v>
      </c>
      <c r="I37" s="124">
        <v>16</v>
      </c>
      <c r="J37" s="127">
        <v>692</v>
      </c>
      <c r="K37" s="125">
        <v>5758</v>
      </c>
      <c r="L37" s="133">
        <v>20</v>
      </c>
      <c r="M37" s="176"/>
    </row>
    <row r="38" spans="1:13" ht="21.75" customHeight="1">
      <c r="A38" s="122">
        <v>624</v>
      </c>
      <c r="B38" s="125">
        <v>877</v>
      </c>
      <c r="C38" s="126">
        <v>22</v>
      </c>
      <c r="D38" s="128">
        <v>653</v>
      </c>
      <c r="E38" s="125">
        <v>5388</v>
      </c>
      <c r="F38" s="126">
        <v>17</v>
      </c>
      <c r="G38" s="127">
        <v>673</v>
      </c>
      <c r="H38" s="125">
        <v>1531</v>
      </c>
      <c r="I38" s="124">
        <v>21</v>
      </c>
      <c r="J38" s="127">
        <v>693</v>
      </c>
      <c r="K38" s="125">
        <v>4823</v>
      </c>
      <c r="L38" s="133">
        <v>19</v>
      </c>
      <c r="M38" s="176"/>
    </row>
    <row r="39" spans="1:13" ht="21.75" customHeight="1">
      <c r="A39" s="122" t="s">
        <v>80</v>
      </c>
      <c r="B39" s="125">
        <v>7167</v>
      </c>
      <c r="C39" s="126">
        <v>22</v>
      </c>
      <c r="D39" s="127">
        <v>654</v>
      </c>
      <c r="E39" s="125">
        <v>3674</v>
      </c>
      <c r="F39" s="126">
        <v>20</v>
      </c>
      <c r="G39" s="127">
        <v>674</v>
      </c>
      <c r="H39" s="125">
        <v>0</v>
      </c>
      <c r="I39" s="124">
        <v>19</v>
      </c>
      <c r="J39" s="127">
        <v>694</v>
      </c>
      <c r="K39" s="125">
        <v>159</v>
      </c>
      <c r="L39" s="133">
        <v>20</v>
      </c>
      <c r="M39" s="176"/>
    </row>
    <row r="40" spans="1:13" ht="21.75" customHeight="1">
      <c r="A40" s="122" t="s">
        <v>26</v>
      </c>
      <c r="B40" s="125">
        <v>7120</v>
      </c>
      <c r="C40" s="126">
        <v>24</v>
      </c>
      <c r="D40" s="128">
        <v>655</v>
      </c>
      <c r="E40" s="125">
        <v>4990</v>
      </c>
      <c r="F40" s="126">
        <v>23</v>
      </c>
      <c r="G40" s="127">
        <v>675</v>
      </c>
      <c r="H40" s="125">
        <v>80.91</v>
      </c>
      <c r="I40" s="133">
        <v>25</v>
      </c>
      <c r="J40" s="127">
        <v>695</v>
      </c>
      <c r="K40" s="125">
        <v>4151</v>
      </c>
      <c r="L40" s="133">
        <v>20</v>
      </c>
      <c r="M40" s="176"/>
    </row>
    <row r="41" spans="1:13" ht="21.75" customHeight="1">
      <c r="A41" s="122" t="s">
        <v>27</v>
      </c>
      <c r="B41" s="125">
        <v>6185</v>
      </c>
      <c r="C41" s="126">
        <v>18</v>
      </c>
      <c r="D41" s="127">
        <v>656</v>
      </c>
      <c r="E41" s="125">
        <v>2383</v>
      </c>
      <c r="F41" s="126">
        <v>20</v>
      </c>
      <c r="G41" s="127">
        <v>676</v>
      </c>
      <c r="H41" s="125">
        <v>5.61</v>
      </c>
      <c r="I41" s="133">
        <v>25</v>
      </c>
      <c r="J41" s="127">
        <v>696</v>
      </c>
      <c r="K41" s="125">
        <v>8426</v>
      </c>
      <c r="L41" s="133">
        <v>19</v>
      </c>
      <c r="M41" s="176"/>
    </row>
    <row r="42" spans="1:13" ht="21.75" customHeight="1">
      <c r="A42" s="122" t="s">
        <v>28</v>
      </c>
      <c r="B42" s="125">
        <v>7154</v>
      </c>
      <c r="C42" s="126">
        <v>17</v>
      </c>
      <c r="D42" s="127">
        <v>657</v>
      </c>
      <c r="E42" s="125">
        <v>932</v>
      </c>
      <c r="F42" s="126">
        <v>21</v>
      </c>
      <c r="G42" s="127">
        <v>677</v>
      </c>
      <c r="H42" s="125">
        <v>3.71</v>
      </c>
      <c r="I42" s="133">
        <v>25</v>
      </c>
      <c r="J42" s="127">
        <v>697</v>
      </c>
      <c r="K42" s="125">
        <v>1173</v>
      </c>
      <c r="L42" s="133">
        <v>20</v>
      </c>
      <c r="M42" s="176"/>
    </row>
    <row r="43" spans="1:13" ht="21.75" customHeight="1">
      <c r="A43" s="122" t="s">
        <v>29</v>
      </c>
      <c r="B43" s="125">
        <v>155</v>
      </c>
      <c r="C43" s="126">
        <v>20</v>
      </c>
      <c r="D43" s="128">
        <v>658</v>
      </c>
      <c r="E43" s="125">
        <v>2591</v>
      </c>
      <c r="F43" s="126">
        <v>22</v>
      </c>
      <c r="G43" s="127">
        <v>678</v>
      </c>
      <c r="H43" s="125">
        <v>4.92</v>
      </c>
      <c r="I43" s="133">
        <v>25</v>
      </c>
      <c r="J43" s="127">
        <v>698</v>
      </c>
      <c r="K43" s="125">
        <v>3691</v>
      </c>
      <c r="L43" s="133">
        <v>43</v>
      </c>
      <c r="M43" s="176"/>
    </row>
    <row r="44" spans="1:13" ht="21.75" customHeight="1">
      <c r="A44" s="122" t="s">
        <v>30</v>
      </c>
      <c r="B44" s="125">
        <v>0</v>
      </c>
      <c r="C44" s="126">
        <v>25</v>
      </c>
      <c r="D44" s="127">
        <v>659</v>
      </c>
      <c r="E44" s="125">
        <v>2974</v>
      </c>
      <c r="F44" s="126">
        <v>20</v>
      </c>
      <c r="G44" s="127">
        <v>680</v>
      </c>
      <c r="H44" s="125">
        <v>575</v>
      </c>
      <c r="I44" s="133">
        <v>19</v>
      </c>
      <c r="J44" s="127">
        <v>699</v>
      </c>
      <c r="K44" s="125">
        <v>5141</v>
      </c>
      <c r="L44" s="133">
        <v>20</v>
      </c>
      <c r="M44" s="176"/>
    </row>
    <row r="45" spans="1:13" ht="21.75" customHeight="1" thickBot="1">
      <c r="A45" s="129" t="s">
        <v>81</v>
      </c>
      <c r="B45" s="130">
        <v>0</v>
      </c>
      <c r="C45" s="130">
        <v>23</v>
      </c>
      <c r="D45" s="131">
        <v>660</v>
      </c>
      <c r="E45" s="130">
        <v>0</v>
      </c>
      <c r="F45" s="132">
        <v>23</v>
      </c>
      <c r="G45" s="131"/>
      <c r="H45" s="130"/>
      <c r="I45" s="132"/>
      <c r="J45" s="131"/>
      <c r="K45" s="130"/>
      <c r="L45" s="132"/>
      <c r="M45" s="177"/>
    </row>
    <row r="46" spans="1:13" ht="16.2" thickTop="1"/>
    <row r="100" spans="1:1" ht="25.5" customHeight="1">
      <c r="A100" s="156" t="s">
        <v>645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31 B29:B30 B27 B38 E8 B6:B7 B4 B15">
      <formula1>B4&lt;=9100</formula1>
    </dataValidation>
    <dataValidation type="custom" errorStyle="warning" allowBlank="1" showInputMessage="1" showErrorMessage="1" error="***你在睡喔,醒醒好嗎" sqref="B31:B34 H40:H43 B8:B11 H17:H20">
      <formula1>B8&lt;=100</formula1>
    </dataValidation>
    <dataValidation type="custom" errorStyle="warning" allowBlank="1" showInputMessage="1" showErrorMessage="1" error="***你在睡喔,醒醒好嗎" sqref="E26:E27 B39:B45 E43:E45 H26:H39 E3:E4 B16:B22 E20:E22 H3:H16">
      <formula1>B3&lt;=7400</formula1>
    </dataValidation>
    <dataValidation type="custom" errorStyle="warning" allowBlank="1" showInputMessage="1" showErrorMessage="1" error="***你在睡喔,醒醒好嗎" sqref="E37:E42 E14:E19">
      <formula1>E14&lt;=5500</formula1>
    </dataValidation>
    <dataValidation type="custom" errorStyle="warning" allowBlank="1" showInputMessage="1" showErrorMessage="1" error="***你在睡喔,醒醒好嗎" sqref="H44 K35 H21 K12">
      <formula1>H12&lt;=4100</formula1>
    </dataValidation>
    <dataValidation type="custom" errorStyle="warning" allowBlank="1" showInputMessage="1" showErrorMessage="1" error="***你在睡喔,醒醒好嗎" sqref="E28:E29 B28 K37:K40 B35:B36 B26 E5:E6 B5 K14:K17 B12:B13 B3">
      <formula1>B3&lt;=7000</formula1>
    </dataValidation>
    <dataValidation type="custom" errorStyle="warning" allowBlank="1" showInputMessage="1" showErrorMessage="1" error="***你在睡喔,醒醒好嗎" sqref="K41:K44 K18:K21">
      <formula1>K18&lt;=12000</formula1>
    </dataValidation>
    <dataValidation type="custom" errorStyle="warning" allowBlank="1" showInputMessage="1" showErrorMessage="1" error="***你在睡喔,醒醒好嗎" sqref="B37 E30 E32:E33 E36 K26:K30 K32:K33 K36 B14 E7 E9:E10 E13 K3:K7 K9:K10 K13">
      <formula1>B3&lt;=5600</formula1>
    </dataValidation>
    <dataValidation type="custom" errorStyle="warning" allowBlank="1" showInputMessage="1" showErrorMessage="1" error="***你在睡喔,醒醒好嗎" sqref="K34 K31 K11 K8">
      <formula1>K8&lt;=5700</formula1>
    </dataValidation>
    <dataValidation type="custom" errorStyle="warning" allowBlank="1" showInputMessage="1" showErrorMessage="1" error="***你在睡喔,醒醒好嗎" sqref="E35 E12">
      <formula1>E12&lt;=6000</formula1>
    </dataValidation>
    <dataValidation type="custom" errorStyle="warning" allowBlank="1" showInputMessage="1" showErrorMessage="1" error="***你在睡喔,醒醒好嗎" sqref="E34 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44" activePane="bottomLeft" state="frozen"/>
      <selection activeCell="K12" sqref="K12"/>
      <selection pane="bottomLeft" activeCell="A61" sqref="A61:XFD61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74">
    <pageSetUpPr fitToPage="1"/>
  </sheetPr>
  <dimension ref="A1:CU223"/>
  <sheetViews>
    <sheetView view="pageBreakPreview" zoomScale="70" zoomScaleNormal="100" zoomScaleSheetLayoutView="70" workbookViewId="0">
      <selection activeCell="E28" sqref="E2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45989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41" t="s" ph="1">
        <v>177</v>
      </c>
      <c r="D6" s="71">
        <v>5112</v>
      </c>
      <c r="E6" s="71">
        <v>1233</v>
      </c>
      <c r="F6" s="71">
        <v>6647</v>
      </c>
      <c r="G6" s="71">
        <v>591</v>
      </c>
      <c r="H6" s="71">
        <v>2143</v>
      </c>
      <c r="I6" s="71">
        <v>27.14</v>
      </c>
      <c r="J6" s="71">
        <v>7.02</v>
      </c>
      <c r="K6" s="71">
        <v>52.13</v>
      </c>
      <c r="L6" s="71">
        <v>7.85</v>
      </c>
      <c r="M6" s="71">
        <v>3597</v>
      </c>
      <c r="N6" s="71">
        <v>723</v>
      </c>
      <c r="O6" s="71">
        <v>2578</v>
      </c>
      <c r="P6" s="71">
        <v>1010</v>
      </c>
      <c r="Q6" s="71">
        <v>0</v>
      </c>
      <c r="R6" s="71">
        <v>5166</v>
      </c>
      <c r="S6" s="71">
        <v>6037</v>
      </c>
      <c r="T6" s="71">
        <v>7187</v>
      </c>
      <c r="U6" s="71">
        <v>0</v>
      </c>
      <c r="V6" s="71">
        <v>4974</v>
      </c>
      <c r="W6" s="71">
        <v>0</v>
      </c>
      <c r="X6" s="71">
        <v>0</v>
      </c>
      <c r="Y6" s="71">
        <v>0</v>
      </c>
      <c r="Z6" s="71">
        <v>6493</v>
      </c>
      <c r="AA6" s="71">
        <v>1935</v>
      </c>
      <c r="AB6" s="71">
        <v>1994</v>
      </c>
      <c r="AC6" s="71">
        <v>6687</v>
      </c>
      <c r="AD6" s="71">
        <v>4780</v>
      </c>
      <c r="AE6" s="71">
        <v>4652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161490.88050695998</v>
      </c>
      <c r="E7" s="73" ph="1">
        <f>E6*51.53*LOOKUP(E8,密度!$A$2:$A$50,密度!$B$2:$B$50)</f>
        <v>49920.620192999995</v>
      </c>
      <c r="F7" s="73" ph="1">
        <f>F6*33.183*LOOKUP(F8,密度!$A$2:$A$50,密度!$C$2:$C$50)</f>
        <v>245403.29035260002</v>
      </c>
      <c r="G7" s="73" ph="1">
        <f xml:space="preserve"> (G6+2)*51.53*LOOKUP(G8,密度!$A$2:$A$50,密度!$B$2:$B$50)</f>
        <v>24079.144520000002</v>
      </c>
      <c r="H7" s="73" ph="1">
        <f>(H6)*51.53*LOOKUP(H8,密度!$A$2:$A$50,密度!$B$2:$B$50)</f>
        <v>87017.886520000015</v>
      </c>
      <c r="I7" s="73" ph="1">
        <f>I6*290.8*1.0267</f>
        <v>8103.0367304000001</v>
      </c>
      <c r="J7" s="73" ph="1">
        <f>J6*290.8*0.7892</f>
        <v>1611.0855071999999</v>
      </c>
      <c r="K7" s="73" ph="1">
        <f>K6*290.8*1.1126</f>
        <v>16866.352890400001</v>
      </c>
      <c r="L7" s="73" ph="1">
        <f>L6*290.8*0.777</f>
        <v>1773.7200600000001</v>
      </c>
      <c r="M7" s="73" ph="1">
        <f>M6*33.183*LOOKUP(M8,密度!$A$2:$A$50,密度!$D$2:$D$50)</f>
        <v>123202.61888220001</v>
      </c>
      <c r="N7" s="73" ph="1">
        <f>N6*33.183*LOOKUP(N8,密度!$A$2:$A$50,密度!$E$2:$E$50)</f>
        <v>18933.941062800001</v>
      </c>
      <c r="O7" s="73" ph="1">
        <f>O6*20.428*LOOKUP(O8,密度!$A$2:$A$50,密度!$C$2:$C$50)</f>
        <v>58398.426517600004</v>
      </c>
      <c r="P7" s="73" ph="1">
        <f>P6*51.53*LOOKUP(P8,密度!$A$2:$A$50,密度!$B$2:$B$50)</f>
        <v>40970.060160000001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34215.855181200001</v>
      </c>
      <c r="S7" s="73" ph="1">
        <f>S6*1.5*1.5*3.1416*LOOKUP(S8,密度!$A$2:$A$50,密度!$L$2:$L$50)</f>
        <v>40326.115598999997</v>
      </c>
      <c r="T7" s="73" ph="1">
        <f>T6*1.5*1.5*3.1416*LOOKUP(T8,密度!$A$2:$A$50,密度!$L$2:$L$50)</f>
        <v>48109.520705399998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33014.504199599993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203822.529174</v>
      </c>
      <c r="AA7" s="73" ph="1">
        <f>AA6*33.183*LOOKUP(AA8,密度!$A$2:$A$50,密度!$D$2:$D$50)</f>
        <v>66334.426375499999</v>
      </c>
      <c r="AB7" s="73" ph="1">
        <f>AB6*20.428*LOOKUP(AB8,密度!$A$2:$A$50,密度!$D$2:$D$50)</f>
        <v>42293.5224456</v>
      </c>
      <c r="AC7" s="73" ph="1">
        <f>AC6*51.53*LOOKUP(AC8,密度!$A$2:$A$50,密度!$Q$2:$Q$50)</f>
        <v>328592.54649599997</v>
      </c>
      <c r="AD7" s="73" ph="1">
        <f>AD6*20.428*LOOKUP(AD8,密度!$A$2:$A$50,密度!$V$2:$V$50)</f>
        <v>94130.589760000003</v>
      </c>
      <c r="AE7" s="73" ph="1">
        <f>AE6*20.428</f>
        <v>95031.055999999997</v>
      </c>
    </row>
    <row r="8" spans="1:99" ph="1">
      <c r="B8" s="247" ph="1"/>
      <c r="C8" s="68" t="s" ph="1">
        <v>179</v>
      </c>
      <c r="D8" s="74">
        <v>18</v>
      </c>
      <c r="E8" s="74">
        <v>18</v>
      </c>
      <c r="F8" s="74">
        <v>20</v>
      </c>
      <c r="G8" s="74">
        <v>15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20</v>
      </c>
      <c r="O8" s="74">
        <v>25</v>
      </c>
      <c r="P8" s="74">
        <v>16</v>
      </c>
      <c r="Q8" s="74">
        <v>21</v>
      </c>
      <c r="R8" s="74">
        <v>25</v>
      </c>
      <c r="S8" s="74">
        <v>17</v>
      </c>
      <c r="T8" s="74">
        <v>15</v>
      </c>
      <c r="U8" s="74">
        <v>20</v>
      </c>
      <c r="V8" s="74">
        <v>23</v>
      </c>
      <c r="W8" s="74">
        <v>19</v>
      </c>
      <c r="X8" s="74">
        <v>16</v>
      </c>
      <c r="Y8" s="74">
        <v>18</v>
      </c>
      <c r="Z8" s="74">
        <v>16</v>
      </c>
      <c r="AA8" s="74">
        <v>18</v>
      </c>
      <c r="AB8" s="74">
        <v>12</v>
      </c>
      <c r="AC8" s="74">
        <v>16</v>
      </c>
      <c r="AD8" s="74">
        <v>17</v>
      </c>
      <c r="AE8" s="74">
        <v>22</v>
      </c>
    </row>
    <row r="9" spans="1:99" ht="26.4" ph="1">
      <c r="B9" s="247" ph="1">
        <v>0.66666666666666663</v>
      </c>
      <c r="C9" s="141" t="s" ph="1">
        <v>180</v>
      </c>
      <c r="D9" s="71">
        <v>5114</v>
      </c>
      <c r="E9" s="71">
        <v>1319</v>
      </c>
      <c r="F9" s="71">
        <v>6647</v>
      </c>
      <c r="G9" s="71">
        <v>321</v>
      </c>
      <c r="H9" s="71">
        <v>3872</v>
      </c>
      <c r="I9" s="71">
        <v>27.13</v>
      </c>
      <c r="J9" s="71">
        <v>7.04</v>
      </c>
      <c r="K9" s="71">
        <v>21.58</v>
      </c>
      <c r="L9" s="71">
        <v>20.87</v>
      </c>
      <c r="M9" s="71">
        <v>3597</v>
      </c>
      <c r="N9" s="71">
        <v>721</v>
      </c>
      <c r="O9" s="71">
        <v>2461</v>
      </c>
      <c r="P9" s="71">
        <v>601</v>
      </c>
      <c r="Q9" s="71">
        <v>0</v>
      </c>
      <c r="R9" s="71">
        <v>0</v>
      </c>
      <c r="S9" s="71">
        <v>6041</v>
      </c>
      <c r="T9" s="71">
        <v>7191</v>
      </c>
      <c r="U9" s="71">
        <v>1443</v>
      </c>
      <c r="V9" s="71">
        <v>4975</v>
      </c>
      <c r="W9" s="71">
        <v>4098</v>
      </c>
      <c r="X9" s="71">
        <v>0</v>
      </c>
      <c r="Y9" s="71">
        <v>0</v>
      </c>
      <c r="Z9" s="71">
        <v>6489</v>
      </c>
      <c r="AA9" s="71">
        <v>1933</v>
      </c>
      <c r="AB9" s="71">
        <v>1893</v>
      </c>
      <c r="AC9" s="71">
        <v>6687</v>
      </c>
      <c r="AD9" s="71">
        <v>4780</v>
      </c>
      <c r="AE9" s="71">
        <v>4992</v>
      </c>
    </row>
    <row r="10" spans="1:99" s="72" customFormat="1" ht="22.2" ph="1">
      <c r="B10" s="247" ph="1"/>
      <c r="C10" s="141" t="s" ph="1">
        <v>178</v>
      </c>
      <c r="D10" s="73" ph="1">
        <f>D9*33.183*LOOKUP(D11,密度!$A$2:$A$50,密度!$Q$2:$Q$50)</f>
        <v>161160.36256278001</v>
      </c>
      <c r="E10" s="73" ph="1">
        <f>E9*51.53*LOOKUP(E11,密度!$A$2:$A$50,密度!$B$2:$B$50)</f>
        <v>53232.592424000009</v>
      </c>
      <c r="F10" s="73" ph="1">
        <f>F9*33.183*LOOKUP(F11,密度!$A$2:$A$50,密度!$C$2:$C$50)</f>
        <v>245403.29035260002</v>
      </c>
      <c r="G10" s="73" ph="1">
        <f xml:space="preserve"> (G9+2)*51.53*LOOKUP(G11,密度!$A$2:$A$50,密度!$B$2:$B$50)</f>
        <v>13035.729608</v>
      </c>
      <c r="H10" s="73" ph="1">
        <f>(H9)*51.53*LOOKUP(H11,密度!$A$2:$A$50,密度!$B$2:$B$50)</f>
        <v>156267.32211199999</v>
      </c>
      <c r="I10" s="73" ph="1">
        <f>I9*290.8*1.0267</f>
        <v>8100.0510868000001</v>
      </c>
      <c r="J10" s="73" ph="1">
        <f>J9*290.8*0.7892</f>
        <v>1615.6754944000002</v>
      </c>
      <c r="K10" s="73" ph="1">
        <f>K9*290.8*1.1126</f>
        <v>6982.0812464000001</v>
      </c>
      <c r="L10" s="73" ph="1">
        <f>L9*290.8*0.777</f>
        <v>4715.6098920000004</v>
      </c>
      <c r="M10" s="73" ph="1">
        <f>M9*33.183*LOOKUP(M11,密度!$A$2:$A$50,密度!$D$2:$D$50)</f>
        <v>122999.7081555</v>
      </c>
      <c r="N10" s="73" ph="1">
        <f>N9*33.183*LOOKUP(N11,密度!$A$2:$A$50,密度!$E$2:$E$50)</f>
        <v>18824.1451524</v>
      </c>
      <c r="O10" s="73" ph="1">
        <f>O9*20.428*LOOKUP(O11,密度!$A$2:$A$50,密度!$C$2:$C$50)</f>
        <v>55748.071241200007</v>
      </c>
      <c r="P10" s="73" ph="1">
        <f>P9*51.53*LOOKUP(P11,密度!$A$2:$A$50,密度!$B$2:$B$50)</f>
        <v>24255.335896000001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40395.536319599996</v>
      </c>
      <c r="T10" s="73" ph="1">
        <f>T9*1.5*1.5*3.1416*LOOKUP(T11,密度!$A$2:$A$50,密度!$L$2:$L$50)</f>
        <v>48085.466259599998</v>
      </c>
      <c r="U10" s="73" ph="1">
        <f>U9*1.5*1.5*3.1416*LOOKUP(U11,密度!$A$2:$A$50,密度!$L$2:$L$50)</f>
        <v>9598.1904017999987</v>
      </c>
      <c r="V10" s="73" ph="1">
        <f>V9*1.5*1.5*3.1416*LOOKUP(V11,密度!$A$2:$A$50,密度!$L$2:$L$50)</f>
        <v>32915.642759999995</v>
      </c>
      <c r="W10" s="73" ph="1">
        <f>W9*1.5*1.5*3.1416*LOOKUP(W11,密度!$A$2:$A$50,密度!$L$2:$L$50)</f>
        <v>27258.062554799999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203266.31572799999</v>
      </c>
      <c r="AA10" s="73" ph="1">
        <f>AA9*33.183*LOOKUP(AA11,密度!$A$2:$A$50,密度!$D$2:$D$50)</f>
        <v>66034.949800500006</v>
      </c>
      <c r="AB10" s="73" ph="1">
        <f>AB9*20.428*LOOKUP(AB11,密度!$A$2:$A$50,密度!$D$2:$D$50)</f>
        <v>40116.469629600011</v>
      </c>
      <c r="AC10" s="73" ph="1">
        <f>AC9*51.53*LOOKUP(AC11,密度!$A$2:$A$50,密度!$Q$2:$Q$50)</f>
        <v>328044.66253109998</v>
      </c>
      <c r="AD10" s="73" ph="1">
        <f>AD9*20.428*LOOKUP(AD11,密度!$A$2:$A$50,密度!$V$2:$V$50)</f>
        <v>94130.589760000003</v>
      </c>
      <c r="AE10" s="73" ph="1">
        <f>AE9*20.428</f>
        <v>101976.576</v>
      </c>
    </row>
    <row r="11" spans="1:99" ph="1">
      <c r="A11" s="64" t="s" ph="1">
        <v>162</v>
      </c>
      <c r="B11" s="247" ph="1"/>
      <c r="C11" s="141" t="s" ph="1">
        <v>179</v>
      </c>
      <c r="D11" s="74">
        <v>21</v>
      </c>
      <c r="E11" s="74">
        <v>21</v>
      </c>
      <c r="F11" s="74">
        <v>20</v>
      </c>
      <c r="G11" s="74">
        <v>21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22</v>
      </c>
      <c r="O11" s="74">
        <v>25</v>
      </c>
      <c r="P11" s="74">
        <v>21</v>
      </c>
      <c r="Q11" s="74">
        <v>22</v>
      </c>
      <c r="R11" s="74">
        <v>26</v>
      </c>
      <c r="S11" s="74">
        <v>16</v>
      </c>
      <c r="T11" s="74">
        <v>16</v>
      </c>
      <c r="U11" s="74">
        <v>21</v>
      </c>
      <c r="V11" s="74">
        <v>26</v>
      </c>
      <c r="W11" s="74">
        <v>21</v>
      </c>
      <c r="X11" s="74">
        <v>14</v>
      </c>
      <c r="Y11" s="74">
        <v>21</v>
      </c>
      <c r="Z11" s="74">
        <v>18</v>
      </c>
      <c r="AA11" s="74">
        <v>22</v>
      </c>
      <c r="AB11" s="74">
        <v>13</v>
      </c>
      <c r="AC11" s="74">
        <v>18</v>
      </c>
      <c r="AD11" s="74">
        <v>19</v>
      </c>
      <c r="AE11" s="74">
        <v>26</v>
      </c>
    </row>
    <row r="12" spans="1:99" ht="9.9" customHeight="1" ph="1"/>
    <row r="13" spans="1:99" s="72" customFormat="1" ht="29.25" customHeight="1" ph="1">
      <c r="B13" s="224" t="s" ph="1">
        <v>37</v>
      </c>
      <c r="C13" s="14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41" t="s" ph="1">
        <v>177</v>
      </c>
      <c r="D15" s="78">
        <v>5988</v>
      </c>
      <c r="E15" s="78">
        <v>5795</v>
      </c>
      <c r="F15" s="78">
        <v>2781</v>
      </c>
      <c r="G15" s="78">
        <v>2169</v>
      </c>
      <c r="H15" s="78">
        <v>4169</v>
      </c>
      <c r="I15" s="78">
        <v>1610</v>
      </c>
      <c r="J15" s="78">
        <v>1440</v>
      </c>
      <c r="K15" s="78">
        <v>4798</v>
      </c>
      <c r="L15" s="78">
        <v>1762</v>
      </c>
      <c r="M15" s="78">
        <v>3928</v>
      </c>
      <c r="N15" s="78">
        <v>630</v>
      </c>
      <c r="O15" s="78">
        <v>846</v>
      </c>
      <c r="P15" s="78">
        <v>6977</v>
      </c>
      <c r="Q15" s="78">
        <v>2595</v>
      </c>
      <c r="R15" s="78">
        <v>7415</v>
      </c>
      <c r="S15" s="78">
        <v>6157</v>
      </c>
      <c r="T15" s="78">
        <v>6262</v>
      </c>
      <c r="U15" s="78">
        <v>3015</v>
      </c>
      <c r="V15" s="78">
        <v>4909</v>
      </c>
      <c r="W15" s="71">
        <v>4293</v>
      </c>
      <c r="X15" s="78">
        <v>672</v>
      </c>
      <c r="Y15" s="106">
        <v>-9902</v>
      </c>
      <c r="Z15" s="78">
        <v>0</v>
      </c>
      <c r="AA15" s="78">
        <v>0</v>
      </c>
      <c r="AB15" s="78" ph="1">
        <v>1091</v>
      </c>
      <c r="AC15" s="78" ph="1">
        <v>32</v>
      </c>
      <c r="AD15" s="78">
        <v>50.61</v>
      </c>
      <c r="AE15" s="78">
        <v>5.1100000000000003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41" t="s" ph="1">
        <v>178</v>
      </c>
      <c r="D16" s="73" ph="1">
        <f>D15*7.0686*LOOKUP(D17,密度!$A$2:$A$50,密度!$L$2:$L$50)</f>
        <v>39871.823745599999</v>
      </c>
      <c r="E16" s="73" ph="1">
        <f>E15*7.0686*LOOKUP(E17,密度!$A$2:$A$50,密度!$L$2:$L$50)</f>
        <v>38586.709853999993</v>
      </c>
      <c r="F16" s="73" ph="1">
        <f>F15*9.0746*LOOKUP(F17,密度!$A$2:$A$50,密度!$L$2:$L$50)</f>
        <v>23520.383143200001</v>
      </c>
      <c r="G16" s="73" ph="1">
        <f>G15*9.0746*LOOKUP(G17,密度!$A$2:$A$50,密度!$B$2:$B$50)</f>
        <v>15433.289282340002</v>
      </c>
      <c r="H16" s="73" ph="1">
        <f>H15*9.0746*LOOKUP(H17,密度!$A$2:$A$50,密度!$L$2:$L$50)</f>
        <v>35637.7509708</v>
      </c>
      <c r="I16" s="73" ph="1">
        <f>I15*9.0746*LOOKUP(I17,密度!$A$2:$A$50,密度!$U$2:$U$50)</f>
        <v>15019.188968</v>
      </c>
      <c r="J16" s="73" ph="1">
        <f>J15*9.0746*LOOKUP(J17,密度!$A$2:$A$50,密度!$L$2:$L$50)</f>
        <v>12309.513408000001</v>
      </c>
      <c r="K16" s="73" ph="1">
        <f>K15*9.0746*LOOKUP(K17,密度!$A$2:$A$50,密度!$C$2:$C$50)</f>
        <v>48442.527008080004</v>
      </c>
      <c r="L16" s="73" ph="1">
        <f>L15*9.0746*LOOKUP(L17,密度!$A$2:$A$50,密度!$E$2:$E$50)</f>
        <v>12636.45854156</v>
      </c>
      <c r="M16" s="73" ph="1">
        <f>M15*9.0746*LOOKUP(M17,密度!$A$2:$A$50,密度!$M$2:$M$50)</f>
        <v>31378.318852639997</v>
      </c>
      <c r="N16" s="73" ph="1">
        <f>N15*9.0746*LOOKUP(N17,密度!$A$2:$A$50,密度!$M$2:$M$50)</f>
        <v>5032.6733394000003</v>
      </c>
      <c r="O16" s="73" ph="1">
        <f>O15*9.0746*LOOKUP(O17,密度!$A$2:$A$50,密度!$G$2:$G$50)</f>
        <v>7415.32209444</v>
      </c>
      <c r="P16" s="73" ph="1">
        <f ca="1">P15*9.0746*LOOKUP(P17,密度!$A$2:$A$51,密度!$Q$2:$Q$50)</f>
        <v>60171.869113995999</v>
      </c>
      <c r="Q16" s="73" ph="1">
        <f>Q15*9.0746*LOOKUP(Q17,密度!$A$2:$A$50,密度!$Q$2:$Q$50)</f>
        <v>22380.106113059999</v>
      </c>
      <c r="R16" s="73" ph="1">
        <f>MAX(R15*9.0746*LOOKUP(R17,密度!$A$2:$A$50,密度!$B$2:$B$50),0)</f>
        <v>52760.645471900003</v>
      </c>
      <c r="S16" s="73" ph="1">
        <f>S15*9.0746*LOOKUP(S17,密度!$A$2:$A$50,密度!$Q$2:$Q$50)</f>
        <v>53147.419534006003</v>
      </c>
      <c r="T16" s="73" ph="1">
        <f>T15*9.0746*LOOKUP(T17,密度!$A$2:$A$50,密度!$O$2:$O$50)</f>
        <v>53074.685616800001</v>
      </c>
      <c r="U16" s="73" ph="1">
        <f>U15*9.0746*LOOKUP(U17,密度!$A$2:$A$50,密度!$H$2:$H$50)</f>
        <v>25272.357180300001</v>
      </c>
      <c r="V16" s="73" ph="1">
        <f>MAX(5600*LOOKUP(V17,密度!$A$2:$A$50,密度!$Q$2:$Q$50)+V15*9.0476*LOOKUP(V17,密度!$A$2:$A$50,密度!$Q$2:$Q$50),0)</f>
        <v>47532.94055399199</v>
      </c>
      <c r="W16" s="73" ph="1">
        <f>MAX(5600*LOOKUP(W17,密度!$A$2:$A$50,密度!$Q$2:$Q$50)+W15*9.0476*LOOKUP(W17,密度!$A$2:$A$50,密度!$Q$2:$Q$50),0)</f>
        <v>42236.167171784</v>
      </c>
      <c r="X16" s="73" ph="1">
        <f>MAX(5600*LOOKUP(X17,密度!$A$2:$A$50,密度!$I$2:$I$50)+X15*9.0476*LOOKUP(X17,密度!$A$2:$A$50,密度!$I$2:$I$50),0)</f>
        <v>12082.946758399999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9345.9668383999997</v>
      </c>
      <c r="AC16" s="73" ph="1">
        <f>AC15*9.0746*LOOKUP(AC17,密度!$A$2:$A$50,密度!$L$2:$L$50)</f>
        <v>274.99667840000001</v>
      </c>
      <c r="AD16" s="73" ph="1">
        <f>AD15*268.68*LOOKUP(AD17,密度!$A$2:$A$50,密度!B2:B50)+IF(AD15&lt;=0,0,1566*LOOKUP(AD17,密度!$A$2:$A$50,密度!B2:B50))</f>
        <v>11821.77238608</v>
      </c>
      <c r="AE16" s="73" ph="1">
        <f>AE15*268.68*LOOKUP(AE17,密度!$A$2:$A$50,密度!B2:B50)+IF(AE15&lt;=0,0,1566*LOOKUP(AE17,密度!$A$2:$A$50,密度!B2:B50))</f>
        <v>2291.2091620800002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20</v>
      </c>
      <c r="E17" s="74">
        <v>20</v>
      </c>
      <c r="F17" s="74">
        <v>30</v>
      </c>
      <c r="G17" s="74">
        <v>20</v>
      </c>
      <c r="H17" s="74">
        <v>20</v>
      </c>
      <c r="I17" s="74">
        <v>18</v>
      </c>
      <c r="J17" s="74">
        <v>20</v>
      </c>
      <c r="K17" s="74">
        <v>20</v>
      </c>
      <c r="L17" s="74">
        <v>19</v>
      </c>
      <c r="M17" s="74">
        <v>19</v>
      </c>
      <c r="N17" s="74">
        <v>17</v>
      </c>
      <c r="O17" s="74">
        <v>20</v>
      </c>
      <c r="P17" s="74">
        <v>20</v>
      </c>
      <c r="Q17" s="74">
        <v>20</v>
      </c>
      <c r="R17" s="74">
        <v>20</v>
      </c>
      <c r="S17" s="74">
        <v>19</v>
      </c>
      <c r="T17" s="74">
        <v>18</v>
      </c>
      <c r="U17" s="74">
        <v>16</v>
      </c>
      <c r="V17" s="74">
        <v>20</v>
      </c>
      <c r="W17" s="74">
        <v>20</v>
      </c>
      <c r="X17" s="74">
        <v>32</v>
      </c>
      <c r="Y17" s="108">
        <v>32</v>
      </c>
      <c r="Z17" s="74">
        <v>19</v>
      </c>
      <c r="AA17" s="74">
        <v>16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5995</v>
      </c>
      <c r="E18" s="71">
        <v>5159</v>
      </c>
      <c r="F18" s="71">
        <v>2776</v>
      </c>
      <c r="G18" s="71">
        <v>2211</v>
      </c>
      <c r="H18" s="71">
        <v>4167</v>
      </c>
      <c r="I18" s="71">
        <v>1610</v>
      </c>
      <c r="J18" s="71">
        <v>1441</v>
      </c>
      <c r="K18" s="71">
        <v>4811</v>
      </c>
      <c r="L18" s="71">
        <v>1761</v>
      </c>
      <c r="M18" s="71">
        <v>3933</v>
      </c>
      <c r="N18" s="71">
        <v>4211</v>
      </c>
      <c r="O18" s="71">
        <v>846</v>
      </c>
      <c r="P18" s="71">
        <v>6984</v>
      </c>
      <c r="Q18" s="71">
        <v>2598</v>
      </c>
      <c r="R18" s="71">
        <v>7422</v>
      </c>
      <c r="S18" s="71">
        <v>6162</v>
      </c>
      <c r="T18" s="71">
        <v>4920</v>
      </c>
      <c r="U18" s="71">
        <v>3015</v>
      </c>
      <c r="V18" s="71">
        <v>4909</v>
      </c>
      <c r="W18" s="71">
        <v>4292</v>
      </c>
      <c r="X18" s="71">
        <v>672</v>
      </c>
      <c r="Y18" s="109">
        <v>-9904</v>
      </c>
      <c r="Z18" s="71">
        <v>0</v>
      </c>
      <c r="AA18" s="71">
        <v>0</v>
      </c>
      <c r="AB18" s="71">
        <v>1091</v>
      </c>
      <c r="AC18" s="71">
        <v>24</v>
      </c>
      <c r="AD18" s="71">
        <v>84.65</v>
      </c>
      <c r="AE18" s="71">
        <v>23.21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41" t="s" ph="1">
        <v>178</v>
      </c>
      <c r="D19" s="73" ph="1">
        <f>D18*7.0686*LOOKUP(D20,密度!$A$2:$A$50,密度!$L$2:$L$50)</f>
        <v>39918.434093999997</v>
      </c>
      <c r="E19" s="73" ph="1">
        <f>E18*7.0686*LOOKUP(E20,密度!$A$2:$A$50,密度!$L$2:$L$50)</f>
        <v>34351.826770799991</v>
      </c>
      <c r="F19" s="73" ph="1">
        <f>F18*9.0746*LOOKUP(F20,密度!$A$2:$A$50,密度!$L$2:$L$50)</f>
        <v>23478.0955072</v>
      </c>
      <c r="G19" s="73" ph="1">
        <f>G18*9.0746*LOOKUP(G20,密度!$A$2:$A$50,密度!$B$2:$B$50)</f>
        <v>15732.135824460001</v>
      </c>
      <c r="H19" s="73" ph="1">
        <f>H18*9.0746*LOOKUP(H20,密度!$A$2:$A$50,密度!$L$2:$L$50)</f>
        <v>35582.8405662</v>
      </c>
      <c r="I19" s="73" ph="1">
        <f>I18*9.0746*LOOKUP(I20,密度!$A$2:$A$50,密度!$U$2:$U$50)</f>
        <v>15019.188968</v>
      </c>
      <c r="J19" s="73" ph="1">
        <f>J18*9.0746*LOOKUP(J20,密度!$A$2:$A$50,密度!$L$2:$L$50)</f>
        <v>12278.832185400001</v>
      </c>
      <c r="K19" s="73" ph="1">
        <f>K18*9.0746*LOOKUP(K20,密度!$A$2:$A$50,密度!$C$2:$C$50)</f>
        <v>48508.293356659997</v>
      </c>
      <c r="L19" s="73" ph="1">
        <f>L18*9.0746*LOOKUP(L20,密度!$A$2:$A$50,密度!$E$2:$E$50)</f>
        <v>12554.179143359999</v>
      </c>
      <c r="M19" s="73" ph="1">
        <f>M18*9.0746*LOOKUP(M20,密度!$A$2:$A$50,密度!$M$2:$M$50)</f>
        <v>31300.482378600002</v>
      </c>
      <c r="N19" s="73" ph="1">
        <f>N18*9.0746*LOOKUP(N20,密度!$A$2:$A$50,密度!$M$2:$M$50)</f>
        <v>33512.924306200002</v>
      </c>
      <c r="O19" s="73" ph="1">
        <f>O18*9.0746*LOOKUP(O20,密度!$A$2:$A$50,密度!$G$2:$G$50)</f>
        <v>7399.2001600800004</v>
      </c>
      <c r="P19" s="73" ph="1">
        <f ca="1">P18*9.0746*LOOKUP(P20,密度!$A$2:$A$51,密度!$Q$2:$Q$50)</f>
        <v>60188.509208016003</v>
      </c>
      <c r="Q19" s="73" ph="1">
        <f>Q18*9.0746*LOOKUP(Q20,密度!$A$2:$A$50,密度!$Q$2:$Q$50)</f>
        <v>22405.979068103999</v>
      </c>
      <c r="R19" s="73" ph="1">
        <f>MAX(R18*9.0746*LOOKUP(R20,密度!$A$2:$A$50,密度!$B$2:$B$50),0)</f>
        <v>52689.220202760007</v>
      </c>
      <c r="S19" s="73" ph="1">
        <f>S18*9.0746*LOOKUP(S20,密度!$A$2:$A$50,密度!$Q$2:$Q$50)</f>
        <v>53104.466457588002</v>
      </c>
      <c r="T19" s="73" ph="1">
        <f>T18*9.0746*LOOKUP(T20,密度!$A$2:$A$50,密度!$O$2:$O$50)</f>
        <v>41521.739760000004</v>
      </c>
      <c r="U19" s="73" ph="1">
        <f>U18*9.0746*LOOKUP(U20,密度!$A$2:$A$50,密度!$H$2:$H$50)</f>
        <v>25190.277423300002</v>
      </c>
      <c r="V19" s="73" ph="1">
        <f>MAX(5600*LOOKUP(V20,密度!$A$2:$A$50,密度!$Q$2:$Q$50)+V18*9.0476*LOOKUP(V20,密度!$A$2:$A$50,密度!$Q$2:$Q$50),0)</f>
        <v>47498.430432795998</v>
      </c>
      <c r="W19" s="73" ph="1">
        <f>MAX(5600*LOOKUP(W20,密度!$A$2:$A$50,密度!$Q$2:$Q$50)+W18*9.0476*LOOKUP(W20,密度!$A$2:$A$50,密度!$Q$2:$Q$50),0)</f>
        <v>42196.910227248001</v>
      </c>
      <c r="X19" s="73" ph="1">
        <f>MAX(5600*LOOKUP(X20,密度!$A$2:$A$50,密度!$I$2:$I$50)+X18*9.0476*LOOKUP(X20,密度!$A$2:$A$50,密度!$I$2:$I$50),0)</f>
        <v>12043.23480192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9306.3652839999995</v>
      </c>
      <c r="AC19" s="73" ph="1">
        <f>AC18*9.0746*LOOKUP(AC20,密度!$A$2:$A$50,密度!$L$2:$L$50)</f>
        <v>205.15855679999999</v>
      </c>
      <c r="AD19" s="73" ph="1">
        <f>AD18*268.68*LOOKUP(AD20,密度!$A$2:$A$50,密度!B5:B53)+IF(AD18&lt;=0,0,1566*LOOKUP(AD20,密度!$A$2:$A$50,密度!B5:B53))</f>
        <v>18888.685074000001</v>
      </c>
      <c r="AE19" s="73" ph="1">
        <f>AE18*268.68*LOOKUP(AE20,密度!$A$2:$A$50,密度!B5:B53)+IF(AE18&lt;=0,0,1566*LOOKUP(AE20,密度!$A$2:$A$50,密度!B5:B53))</f>
        <v>6062.2027956000011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20</v>
      </c>
      <c r="E20" s="81">
        <v>20</v>
      </c>
      <c r="F20" s="81">
        <v>30</v>
      </c>
      <c r="G20" s="81">
        <v>20</v>
      </c>
      <c r="H20" s="81">
        <v>21</v>
      </c>
      <c r="I20" s="81">
        <v>22</v>
      </c>
      <c r="J20" s="81">
        <v>23</v>
      </c>
      <c r="K20" s="81">
        <v>22</v>
      </c>
      <c r="L20" s="81">
        <v>23</v>
      </c>
      <c r="M20" s="81">
        <v>23</v>
      </c>
      <c r="N20" s="81">
        <v>23</v>
      </c>
      <c r="O20" s="81">
        <v>22</v>
      </c>
      <c r="P20" s="81">
        <v>21</v>
      </c>
      <c r="Q20" s="81">
        <v>20</v>
      </c>
      <c r="R20" s="81">
        <v>22</v>
      </c>
      <c r="S20" s="81">
        <v>21</v>
      </c>
      <c r="T20" s="81">
        <v>22</v>
      </c>
      <c r="U20" s="81">
        <v>19</v>
      </c>
      <c r="V20" s="81">
        <v>21</v>
      </c>
      <c r="W20" s="81">
        <v>21</v>
      </c>
      <c r="X20" s="81">
        <v>35</v>
      </c>
      <c r="Y20" s="110">
        <v>35</v>
      </c>
      <c r="Z20" s="81">
        <v>23</v>
      </c>
      <c r="AA20" s="81">
        <v>20</v>
      </c>
      <c r="AB20" s="81">
        <v>22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639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41" t="s" ph="1">
        <v>177</v>
      </c>
      <c r="D24" s="71">
        <v>5.41</v>
      </c>
      <c r="E24" s="71">
        <v>64.2</v>
      </c>
      <c r="F24" s="71">
        <v>0</v>
      </c>
      <c r="G24" s="71">
        <v>2620</v>
      </c>
      <c r="H24" s="71">
        <v>2257</v>
      </c>
      <c r="I24" s="71">
        <v>1528</v>
      </c>
      <c r="J24" s="71">
        <v>2946</v>
      </c>
      <c r="K24" s="71">
        <v>443</v>
      </c>
      <c r="L24" s="71">
        <v>5557</v>
      </c>
      <c r="M24" s="71">
        <v>2645</v>
      </c>
      <c r="N24" s="71">
        <v>5778</v>
      </c>
      <c r="O24" s="71">
        <v>2431</v>
      </c>
      <c r="P24" s="71">
        <v>370</v>
      </c>
      <c r="Q24" s="90">
        <v>4045</v>
      </c>
      <c r="R24" s="71">
        <v>4732</v>
      </c>
      <c r="S24" s="71">
        <v>3059</v>
      </c>
      <c r="T24" s="71">
        <v>1072</v>
      </c>
      <c r="U24" s="71">
        <v>5901</v>
      </c>
      <c r="V24" s="71">
        <v>8847</v>
      </c>
      <c r="W24" s="71">
        <v>7225</v>
      </c>
      <c r="X24" s="71">
        <v>4450</v>
      </c>
      <c r="Y24" s="71">
        <v>2116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2858.7370983119999</v>
      </c>
      <c r="E25" s="91" ph="1">
        <f>E24*268.68*LOOKUP(E26,密度!$A$2:$A$50,密度!$C$2:$C$50)+IF(E24&lt;=0,0,1566*LOOKUP(E26,密度!$A$2:$A$50,密度!$C$2:$C$50))</f>
        <v>20864.237378400001</v>
      </c>
      <c r="F25" s="91" ph="1">
        <f>F24*11.702*LOOKUP(F26,密度!$A$2:$A$50,密度!$Q$2:$Q$50)</f>
        <v>0</v>
      </c>
      <c r="G25" s="91" ph="1">
        <f>G24*18.322*LOOKUP(G26,密度!$A$2:$A$50,密度!$B$2:$B$50)</f>
        <v>37639.654124000001</v>
      </c>
      <c r="H25" s="91" ph="1">
        <f>H24*18.322*LOOKUP(H26,密度!$A$2:$A$50,密度!$B$2:$B$50)</f>
        <v>32490.858817799999</v>
      </c>
      <c r="I25" s="91" ph="1">
        <f>I24*18.322*LOOKUP(I26,密度!$A$2:$A$50,密度!$Q$2:$Q$50)</f>
        <v>26630.650299680001</v>
      </c>
      <c r="J25" s="91" ph="1">
        <f>J24*18.322*LOOKUP(J26,密度!$A$2:$A$50,密度!$Q$2:$Q$50)</f>
        <v>51261.048650280005</v>
      </c>
      <c r="K25" s="91" ph="1">
        <f>K24*18.322*LOOKUP(K26,密度!$A$2:$A$50,密度!$Q$2:$Q$50)</f>
        <v>7713.8980254799999</v>
      </c>
      <c r="L25" s="91" ph="1">
        <f>L24*18.322*LOOKUP(L26,密度!$A$2:$A$50,密度!$Q$2:$Q$50)</f>
        <v>96849.819185419998</v>
      </c>
      <c r="M25" s="91" ph="1">
        <f>M24*18.322*LOOKUP(M26,密度!$A$2:$A$50,密度!$Q$2:$Q$50)</f>
        <v>46057.020942199997</v>
      </c>
      <c r="N25" s="91" ph="1">
        <f>N24*18.322*LOOKUP(N26,密度!$A$2:$A$50,密度!$Q$2:$Q$50)</f>
        <v>100611.51871607998</v>
      </c>
      <c r="O25" s="91" ph="1">
        <f>O24*18.322*LOOKUP(O26,密度!$A$2:$A$50,密度!$C$2:$C$50)</f>
        <v>49556.074053199998</v>
      </c>
      <c r="P25" s="91" ph="1">
        <f>P24*11.702*LOOKUP(P26,密度!$A$2:$A$50,密度!$B$2:$B$50)</f>
        <v>3394.949134</v>
      </c>
      <c r="Q25" s="92" ph="1">
        <f>Q24*18.322*LOOKUP(Q26,密度!$A$2:$A$50,密度!$B$2:$B$50)</f>
        <v>58044.902167999993</v>
      </c>
      <c r="R25" s="91" ph="1">
        <f>R24*35.891*LOOKUP(R26,密度!$A$2:$A$50,密度!$C$2:$C$50)</f>
        <v>188840.88412280002</v>
      </c>
      <c r="S25" s="91" ph="1">
        <f>S24*35.891*LOOKUP(S26,密度!$A$2:$A$50,密度!$B$2:$B$50)</f>
        <v>85987.973640799988</v>
      </c>
      <c r="T25" s="91" ph="1">
        <f>T24*35.891*LOOKUP(T26,密度!$A$2:$A$50,密度!$Q$2:$Q$50)</f>
        <v>36566.014957759995</v>
      </c>
      <c r="U25" s="91" ph="1">
        <f>U24*35.891</f>
        <v>211792.791</v>
      </c>
      <c r="V25" s="91" ph="1">
        <f>V24*47.051*LOOKUP(V26,密度!$A$2:$A$50,密度!$B$2:$B$50)</f>
        <v>326389.62046770006</v>
      </c>
      <c r="W25" s="91" ph="1">
        <f>W24*47.051*LOOKUP(W26,密度!$A$2:$A$50,密度!$B$2:$B$50)</f>
        <v>265937.78049250005</v>
      </c>
      <c r="X25" s="91" ph="1">
        <f>X24*47.051*LOOKUP(X26,密度!$A$2:$A$61,密度!$I$2:$I$61)</f>
        <v>215888.573145</v>
      </c>
      <c r="Y25" s="91" ph="1">
        <f>Y24*47.051*LOOKUP(Y26,密度!$A$2:$A$50,密度!$L$2:$L$50)</f>
        <v>93188.081376000002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22</v>
      </c>
      <c r="G26" s="74">
        <v>20</v>
      </c>
      <c r="H26" s="74">
        <v>18</v>
      </c>
      <c r="I26" s="74">
        <v>19</v>
      </c>
      <c r="J26" s="74">
        <v>21</v>
      </c>
      <c r="K26" s="74">
        <v>20</v>
      </c>
      <c r="L26" s="74">
        <v>19</v>
      </c>
      <c r="M26" s="74">
        <v>20</v>
      </c>
      <c r="N26" s="74">
        <v>20</v>
      </c>
      <c r="O26" s="74">
        <v>20</v>
      </c>
      <c r="P26" s="74">
        <v>20</v>
      </c>
      <c r="Q26" s="93">
        <v>21</v>
      </c>
      <c r="R26" s="74">
        <v>21</v>
      </c>
      <c r="S26" s="74">
        <v>21</v>
      </c>
      <c r="T26" s="74">
        <v>20</v>
      </c>
      <c r="U26" s="74">
        <v>21</v>
      </c>
      <c r="V26" s="74">
        <v>20</v>
      </c>
      <c r="W26" s="74">
        <v>22</v>
      </c>
      <c r="X26" s="74">
        <v>35</v>
      </c>
      <c r="Y26" s="74">
        <v>26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41" t="s" ph="1">
        <v>180</v>
      </c>
      <c r="D27" s="71">
        <v>5.42</v>
      </c>
      <c r="E27" s="71">
        <v>64.2</v>
      </c>
      <c r="F27" s="71">
        <v>0</v>
      </c>
      <c r="G27" s="71">
        <v>2106</v>
      </c>
      <c r="H27" s="71">
        <v>1871</v>
      </c>
      <c r="I27" s="71">
        <v>1528</v>
      </c>
      <c r="J27" s="71">
        <v>2947</v>
      </c>
      <c r="K27" s="71">
        <v>442</v>
      </c>
      <c r="L27" s="71">
        <v>5557</v>
      </c>
      <c r="M27" s="71">
        <v>2644</v>
      </c>
      <c r="N27" s="71">
        <v>5778</v>
      </c>
      <c r="O27" s="71">
        <v>1960</v>
      </c>
      <c r="P27" s="71">
        <v>367</v>
      </c>
      <c r="Q27" s="90">
        <v>4445</v>
      </c>
      <c r="R27" s="71">
        <v>4730</v>
      </c>
      <c r="S27" s="71">
        <v>3056</v>
      </c>
      <c r="T27" s="71">
        <v>1071</v>
      </c>
      <c r="U27" s="71">
        <v>5929</v>
      </c>
      <c r="V27" s="71">
        <v>8846</v>
      </c>
      <c r="W27" s="71">
        <v>7224</v>
      </c>
      <c r="X27" s="71">
        <v>4459</v>
      </c>
      <c r="Y27" s="71">
        <v>1939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41" t="s" ph="1">
        <v>178</v>
      </c>
      <c r="D28" s="91" ph="1">
        <f>D27*268.68*LOOKUP(D29,密度!$A$2:$A$50,密度!$Q$2:$Q$50)+IF(D27&lt;=0,0,1566*LOOKUP(D29,密度!$A$2:$A$50,密度!$Q$2:$Q$50))</f>
        <v>2861.2807993440001</v>
      </c>
      <c r="E28" s="91" ph="1">
        <f>E27*268.68*LOOKUP(E29,密度!$A$2:$A$50,密度!$C$2:$C$50)+IF(E27&lt;=0,0,1566*LOOKUP(E29,密度!$A$2:$A$50,密度!$C$2:$C$50))</f>
        <v>20864.237378400001</v>
      </c>
      <c r="F28" s="91" ph="1">
        <f>F27*11.702*LOOKUP(F29,密度!$A$2:$A$50,密度!$Q$2:$Q$50)</f>
        <v>0</v>
      </c>
      <c r="G28" s="91" ph="1">
        <f>G27*18.322*LOOKUP(G29,密度!$A$2:$A$50,密度!$B$2:$B$50)</f>
        <v>30151.203544799999</v>
      </c>
      <c r="H28" s="91" ph="1">
        <f>H27*18.322*LOOKUP(H29,密度!$A$2:$A$50,密度!$B$2:$B$50)</f>
        <v>26817.605422599998</v>
      </c>
      <c r="I28" s="91" ph="1">
        <f>I27*18.322*LOOKUP(I29,密度!$A$2:$A$50,密度!$Q$2:$Q$50)</f>
        <v>26570.738825439999</v>
      </c>
      <c r="J28" s="91" ph="1">
        <f>J27*18.322*LOOKUP(J29,密度!$A$2:$A$50,密度!$Q$2:$Q$50)</f>
        <v>51246.051910059999</v>
      </c>
      <c r="K28" s="91" ph="1">
        <f>K27*18.322*LOOKUP(K29,密度!$A$2:$A$50,密度!$Q$2:$Q$50)</f>
        <v>7703.3687385200001</v>
      </c>
      <c r="L28" s="91" ph="1">
        <f>L27*18.322*LOOKUP(L29,密度!$A$2:$A$50,密度!$Q$2:$Q$50)</f>
        <v>96693.023540259994</v>
      </c>
      <c r="M28" s="91" ph="1">
        <f>M27*18.322*LOOKUP(M29,密度!$A$2:$A$50,密度!$Q$2:$Q$50)</f>
        <v>46006.182155919996</v>
      </c>
      <c r="N28" s="91" ph="1">
        <f>N27*18.322*LOOKUP(N29,密度!$A$2:$A$50,密度!$Q$2:$Q$50)</f>
        <v>100538.47220003999</v>
      </c>
      <c r="O28" s="91" ph="1">
        <f>O27*18.322*LOOKUP(O29,密度!$A$2:$A$50,密度!$C$2:$C$50)</f>
        <v>39929.574328000002</v>
      </c>
      <c r="P28" s="91" ph="1">
        <f>P27*11.702*LOOKUP(P29,密度!$A$2:$A$50,密度!$B$2:$B$50)</f>
        <v>3367.4225194000001</v>
      </c>
      <c r="Q28" s="92" ph="1">
        <f>Q27*18.322*LOOKUP(Q29,密度!$A$2:$A$50,密度!$B$2:$B$50)</f>
        <v>63784.818327999994</v>
      </c>
      <c r="R28" s="91" ph="1">
        <f>R27*35.891*LOOKUP(R29,密度!$A$2:$A$50,密度!$C$2:$C$50)</f>
        <v>188761.06971700001</v>
      </c>
      <c r="S28" s="91" ph="1">
        <f>S27*35.891*LOOKUP(S29,密度!$A$2:$A$50,密度!$B$2:$B$50)</f>
        <v>85804.929540799989</v>
      </c>
      <c r="T28" s="91" ph="1">
        <f>T27*35.891*LOOKUP(T29,密度!$A$2:$A$50,密度!$Q$2:$Q$50)</f>
        <v>36531.904869179998</v>
      </c>
      <c r="U28" s="91" ph="1">
        <f>U27*35.891</f>
        <v>212797.739</v>
      </c>
      <c r="V28" s="91" ph="1">
        <f>V27*47.051*LOOKUP(V29,密度!$A$2:$A$50,密度!$B$2:$B$50)</f>
        <v>326352.7277786</v>
      </c>
      <c r="W28" s="91" ph="1">
        <f>W27*47.051*LOOKUP(W29,密度!$A$2:$A$50,密度!$B$2:$B$50)</f>
        <v>265900.9724952</v>
      </c>
      <c r="X28" s="91" ph="1">
        <f>X27*47.051*LOOKUP(X29,密度!$A$2:$A$61,密度!$I$2:$I$61)</f>
        <v>212800.55484870001</v>
      </c>
      <c r="Y28" s="91" ph="1">
        <f>Y27*47.051*LOOKUP(Y29,密度!$A$2:$A$50,密度!$L$2:$L$50)</f>
        <v>85484.279993000018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41" t="s" ph="1">
        <v>179</v>
      </c>
      <c r="D29" s="74">
        <v>25</v>
      </c>
      <c r="E29" s="74">
        <v>25</v>
      </c>
      <c r="F29" s="74">
        <v>22</v>
      </c>
      <c r="G29" s="74">
        <v>23</v>
      </c>
      <c r="H29" s="74">
        <v>22</v>
      </c>
      <c r="I29" s="74">
        <v>22</v>
      </c>
      <c r="J29" s="74">
        <v>22</v>
      </c>
      <c r="K29" s="74">
        <v>19</v>
      </c>
      <c r="L29" s="74">
        <v>21</v>
      </c>
      <c r="M29" s="74">
        <v>21</v>
      </c>
      <c r="N29" s="74">
        <v>21</v>
      </c>
      <c r="O29" s="74">
        <v>21</v>
      </c>
      <c r="P29" s="74">
        <v>20</v>
      </c>
      <c r="Q29" s="93">
        <v>21</v>
      </c>
      <c r="R29" s="74">
        <v>21</v>
      </c>
      <c r="S29" s="74">
        <v>22</v>
      </c>
      <c r="T29" s="74">
        <v>20</v>
      </c>
      <c r="U29" s="74">
        <v>22</v>
      </c>
      <c r="V29" s="74">
        <v>20</v>
      </c>
      <c r="W29" s="74">
        <v>22</v>
      </c>
      <c r="X29" s="74">
        <v>50</v>
      </c>
      <c r="Y29" s="74">
        <v>25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41" t="s" ph="1">
        <v>5</v>
      </c>
      <c r="F32" s="142" t="s" ph="1">
        <v>43</v>
      </c>
      <c r="G32" s="97" t="s" ph="1">
        <v>4</v>
      </c>
      <c r="H32" s="141" t="s" ph="1">
        <v>5</v>
      </c>
      <c r="I32" s="142" t="s" ph="1">
        <v>43</v>
      </c>
      <c r="J32" s="97" t="s" ph="1">
        <v>4</v>
      </c>
      <c r="K32" s="141" t="s" ph="1">
        <v>5</v>
      </c>
      <c r="L32" s="142" t="s" ph="1">
        <v>43</v>
      </c>
      <c r="M32" s="97" t="s" ph="1">
        <v>4</v>
      </c>
      <c r="N32" s="141" t="s" ph="1">
        <v>5</v>
      </c>
      <c r="O32" s="14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1" t="s" ph="1">
        <v>5</v>
      </c>
      <c r="U32" s="99" t="s" ph="1">
        <v>43</v>
      </c>
      <c r="V32" s="97" t="s" ph="1">
        <v>4</v>
      </c>
      <c r="W32" s="141" t="s" ph="1">
        <v>5</v>
      </c>
      <c r="X32" s="99" t="s" ph="1">
        <v>43</v>
      </c>
      <c r="Y32" s="100" t="s" ph="1">
        <v>4</v>
      </c>
      <c r="Z32" s="141" t="s" ph="1">
        <v>5</v>
      </c>
      <c r="AA32" s="142" t="s" ph="1">
        <v>43</v>
      </c>
      <c r="AB32" s="97" t="s" ph="1">
        <v>85</v>
      </c>
      <c r="AC32" s="141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106151.41943010001</v>
      </c>
      <c r="E33" s="196" ph="1">
        <f>M10+I10</f>
        <v>131099.7592423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22" ph="1">
        <v>0</v>
      </c>
      <c r="H33" s="196" ph="1">
        <f>N19</f>
        <v>33512.924306200002</v>
      </c>
      <c r="I33" s="200" ph="1">
        <v>0</v>
      </c>
      <c r="J33" s="204" ph="1">
        <f>F10+O28</f>
        <v>285332.8646806</v>
      </c>
      <c r="K33" s="196" ph="1">
        <f>O10+K10+E28+R28</f>
        <v>272355.45958300005</v>
      </c>
      <c r="L33" s="206" ph="1">
        <f>BE27</f>
        <v>7100</v>
      </c>
      <c r="M33" s="204" ph="1">
        <f>G10+H10+W28+S28+V28+E10</f>
        <v>900594.27395860001</v>
      </c>
      <c r="N33" s="196" ph="1">
        <f>L10+P10++G28+H28</f>
        <v>85939.754755400005</v>
      </c>
      <c r="O33" s="200" ph="1">
        <f>BE17</f>
        <v>2270</v>
      </c>
      <c r="P33" s="204" ph="1">
        <f>L19</f>
        <v>12554.179143359999</v>
      </c>
      <c r="Q33" s="196" ph="1">
        <f>J10+N10</f>
        <v>20439.820646799999</v>
      </c>
      <c r="R33" s="200" ph="1">
        <f>BE23</f>
        <v>890</v>
      </c>
      <c r="S33" s="204" ph="1">
        <f>E10+X28</f>
        <v>266033.14727270004</v>
      </c>
      <c r="T33" s="196" ph="1">
        <f>X19</f>
        <v>12043.23480192</v>
      </c>
      <c r="U33" s="185" ph="1">
        <f>BE21</f>
        <v>730</v>
      </c>
      <c r="V33" s="198" ph="1">
        <f ca="1">P19+Q19+S19+M28+N28+J28</f>
        <v>333489.66099972796</v>
      </c>
      <c r="W33" s="198" ph="1">
        <f>D28+F28+V19+T28</f>
        <v>86891.616101319989</v>
      </c>
      <c r="X33" s="200" ph="1">
        <f>BE29+BE31</f>
        <v>10200</v>
      </c>
      <c r="Y33" s="202" ph="1">
        <f>+Q10+R10+S10+T10+U10+V10+W10+X10+Y10</f>
        <v>158252.8982958</v>
      </c>
      <c r="Z33" s="183" ph="1">
        <f>D10+T19+U19+Y28+Z10</f>
        <v>516622.97546708002</v>
      </c>
      <c r="AA33" s="185" ph="1">
        <f>BE19</f>
        <v>1440</v>
      </c>
      <c r="AB33" s="187" ph="1">
        <f>I19</f>
        <v>15019.188968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43" t="s" ph="1">
        <v>185</v>
      </c>
      <c r="AA36" s="143" ph="1"/>
      <c r="AB36" s="182" t="s" ph="1">
        <v>640</v>
      </c>
      <c r="AC36" s="182" ph="1"/>
      <c r="AD36" s="182" ph="1"/>
      <c r="AE36" s="182" ph="1"/>
      <c r="BA36" s="64" ph="1">
        <v>2270</v>
      </c>
    </row>
    <row r="37" spans="1:57" s="14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3" t="s" ph="1">
        <v>342</v>
      </c>
      <c r="AI37" s="143" t="s" ph="1">
        <v>209</v>
      </c>
      <c r="AJ37" s="143" t="s" ph="1">
        <v>210</v>
      </c>
      <c r="AK37" s="143" t="s" ph="1">
        <v>211</v>
      </c>
      <c r="AM37" s="143" t="s" ph="1">
        <v>210</v>
      </c>
      <c r="AN37" s="143" t="s" ph="1">
        <v>211</v>
      </c>
      <c r="AO37" s="143" t="s" ph="1">
        <v>212</v>
      </c>
      <c r="AP37" s="143" t="s" ph="1">
        <v>210</v>
      </c>
      <c r="AQ37" s="143" t="s" ph="1">
        <v>211</v>
      </c>
      <c r="AR37" s="143" t="s" ph="1">
        <v>212</v>
      </c>
      <c r="AS37" s="143" t="s" ph="1">
        <v>210</v>
      </c>
      <c r="AT37" s="143" t="s" ph="1">
        <v>211</v>
      </c>
      <c r="AU37" s="143" t="s" ph="1">
        <v>212</v>
      </c>
      <c r="AV37" s="143" t="s" ph="1">
        <v>210</v>
      </c>
      <c r="AW37" s="143" t="s" ph="1">
        <v>211</v>
      </c>
      <c r="AX37" s="143" t="s" ph="1">
        <v>212</v>
      </c>
      <c r="AY37" s="143" t="s" ph="1">
        <v>211</v>
      </c>
      <c r="AZ37" s="143" t="s" ph="1">
        <v>213</v>
      </c>
      <c r="BD37" s="143" t="s" ph="1">
        <v>305</v>
      </c>
      <c r="BE37" s="14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948" priority="98">
      <formula>ABS(D$7-D$10)&gt;=1000</formula>
    </cfRule>
  </conditionalFormatting>
  <conditionalFormatting sqref="E4 E6:E11">
    <cfRule type="expression" dxfId="2947" priority="97">
      <formula>ABS(E$7-E$10)&gt;=1000</formula>
    </cfRule>
  </conditionalFormatting>
  <conditionalFormatting sqref="F4:F11">
    <cfRule type="expression" dxfId="2946" priority="96">
      <formula>ABS(F$7-F$10)&gt;=1000</formula>
    </cfRule>
  </conditionalFormatting>
  <conditionalFormatting sqref="G4:G11">
    <cfRule type="expression" dxfId="2945" priority="95">
      <formula>ABS(G$7-G$10)&gt;=1000</formula>
    </cfRule>
  </conditionalFormatting>
  <conditionalFormatting sqref="H4:H11">
    <cfRule type="expression" dxfId="2944" priority="94">
      <formula>ABS(H$7-H$10)&gt;=1000</formula>
    </cfRule>
  </conditionalFormatting>
  <conditionalFormatting sqref="I4:I11">
    <cfRule type="expression" dxfId="2943" priority="93">
      <formula>ABS(I$7-I$10)&gt;=1000</formula>
    </cfRule>
  </conditionalFormatting>
  <conditionalFormatting sqref="J4:J11">
    <cfRule type="expression" dxfId="2942" priority="92">
      <formula>ABS(J$7-J$10)&gt;=1000</formula>
    </cfRule>
  </conditionalFormatting>
  <conditionalFormatting sqref="K4:K11">
    <cfRule type="expression" dxfId="2941" priority="91">
      <formula>ABS(K$7-K$10)&gt;=1000</formula>
    </cfRule>
  </conditionalFormatting>
  <conditionalFormatting sqref="L4:L11">
    <cfRule type="expression" dxfId="2940" priority="90">
      <formula>ABS(L$7-L$10)&gt;=1000</formula>
    </cfRule>
  </conditionalFormatting>
  <conditionalFormatting sqref="M4 M6:M11">
    <cfRule type="expression" dxfId="2939" priority="89">
      <formula>ABS(M$7-M$10)&gt;=1000</formula>
    </cfRule>
  </conditionalFormatting>
  <conditionalFormatting sqref="N4 N6:N11">
    <cfRule type="expression" dxfId="2938" priority="88">
      <formula>ABS(N$7-N$10)&gt;=1000</formula>
    </cfRule>
  </conditionalFormatting>
  <conditionalFormatting sqref="O4 O6:O11">
    <cfRule type="expression" dxfId="2937" priority="87">
      <formula>ABS(O$7-O$10)&gt;=1000</formula>
    </cfRule>
  </conditionalFormatting>
  <conditionalFormatting sqref="P4 P6:P11">
    <cfRule type="expression" dxfId="2936" priority="86">
      <formula>ABS(P$7-P$10)&gt;=1000</formula>
    </cfRule>
  </conditionalFormatting>
  <conditionalFormatting sqref="Q4:Q11">
    <cfRule type="expression" dxfId="2935" priority="85">
      <formula>ABS(Q$7-Q$10)&gt;=1000</formula>
    </cfRule>
  </conditionalFormatting>
  <conditionalFormatting sqref="R4:R11">
    <cfRule type="expression" dxfId="2934" priority="84">
      <formula>ABS(R$7-R$10)&gt;=1000</formula>
    </cfRule>
  </conditionalFormatting>
  <conditionalFormatting sqref="S4:S11">
    <cfRule type="expression" dxfId="2933" priority="83">
      <formula>ABS(S$7-S$10)&gt;=1000</formula>
    </cfRule>
  </conditionalFormatting>
  <conditionalFormatting sqref="T4:T9 T11">
    <cfRule type="expression" dxfId="2932" priority="82">
      <formula>ABS(T$7-T$10)&gt;=1000</formula>
    </cfRule>
  </conditionalFormatting>
  <conditionalFormatting sqref="U4:U9 U11">
    <cfRule type="expression" dxfId="2931" priority="81">
      <formula>ABS(U$7-U$10)&gt;=1000</formula>
    </cfRule>
  </conditionalFormatting>
  <conditionalFormatting sqref="V4:V9 V11">
    <cfRule type="expression" dxfId="2930" priority="80">
      <formula>ABS(V$7-V$10)&gt;=1000</formula>
    </cfRule>
  </conditionalFormatting>
  <conditionalFormatting sqref="W4:W9 W11">
    <cfRule type="expression" dxfId="2929" priority="79">
      <formula>ABS(W$7-W$10)&gt;=1000</formula>
    </cfRule>
  </conditionalFormatting>
  <conditionalFormatting sqref="X4:X9 X11">
    <cfRule type="expression" dxfId="2928" priority="78">
      <formula>ABS(X$7-X$10)&gt;=1000</formula>
    </cfRule>
  </conditionalFormatting>
  <conditionalFormatting sqref="Y4:Y9 Y11">
    <cfRule type="expression" dxfId="2927" priority="77">
      <formula>ABS(Y$7-Y$10)&gt;=1000</formula>
    </cfRule>
  </conditionalFormatting>
  <conditionalFormatting sqref="Z4:Z11">
    <cfRule type="expression" dxfId="2926" priority="76">
      <formula>ABS(Z$7-Z$10)&gt;=1000</formula>
    </cfRule>
  </conditionalFormatting>
  <conditionalFormatting sqref="AA4:AA11">
    <cfRule type="expression" dxfId="2925" priority="75">
      <formula>ABS(AA$7-AA$10)&gt;=1000</formula>
    </cfRule>
  </conditionalFormatting>
  <conditionalFormatting sqref="AB4:AB11">
    <cfRule type="expression" dxfId="2924" priority="74">
      <formula>ABS(AB$7-AB$10)&gt;=1000</formula>
    </cfRule>
  </conditionalFormatting>
  <conditionalFormatting sqref="AC4 AC6:AC11">
    <cfRule type="expression" dxfId="2923" priority="73">
      <formula>ABS(AC$7-AC$10)&gt;=1000</formula>
    </cfRule>
  </conditionalFormatting>
  <conditionalFormatting sqref="AD4:AD11">
    <cfRule type="expression" dxfId="2922" priority="72">
      <formula>ABS(AD$7-AD$10)&gt;=1000</formula>
    </cfRule>
  </conditionalFormatting>
  <conditionalFormatting sqref="AE4 AE6:AE11">
    <cfRule type="expression" dxfId="2921" priority="71">
      <formula>ABS(AE$7-AE$10)&gt;=1000</formula>
    </cfRule>
  </conditionalFormatting>
  <conditionalFormatting sqref="D13:D20">
    <cfRule type="expression" dxfId="2920" priority="70">
      <formula>ABS(D$16-D$19)&gt;=1000</formula>
    </cfRule>
  </conditionalFormatting>
  <conditionalFormatting sqref="E13:E20">
    <cfRule type="expression" dxfId="2919" priority="69">
      <formula>ABS(E$16-E$19)&gt;=1000</formula>
    </cfRule>
  </conditionalFormatting>
  <conditionalFormatting sqref="F13 F15:F20">
    <cfRule type="expression" dxfId="2918" priority="68">
      <formula>ABS(F$16-F$19)&gt;=1000</formula>
    </cfRule>
  </conditionalFormatting>
  <conditionalFormatting sqref="G13:G20">
    <cfRule type="expression" dxfId="2917" priority="67">
      <formula>ABS(G$16-G$19)&gt;=1000</formula>
    </cfRule>
  </conditionalFormatting>
  <conditionalFormatting sqref="H13:H20">
    <cfRule type="expression" dxfId="2916" priority="66">
      <formula>ABS(H$16-H$19)&gt;=1000</formula>
    </cfRule>
  </conditionalFormatting>
  <conditionalFormatting sqref="I13:I20">
    <cfRule type="expression" dxfId="2915" priority="65">
      <formula>ABS(I$16-I$19)&gt;=1000</formula>
    </cfRule>
  </conditionalFormatting>
  <conditionalFormatting sqref="J13:J20">
    <cfRule type="expression" dxfId="2914" priority="64">
      <formula>ABS(J$16-J$19)&gt;=1000</formula>
    </cfRule>
  </conditionalFormatting>
  <conditionalFormatting sqref="L13:L20">
    <cfRule type="expression" dxfId="2913" priority="63">
      <formula>ABS(L$16-L$19)&gt;=1000</formula>
    </cfRule>
  </conditionalFormatting>
  <conditionalFormatting sqref="M13 M15 M17:M18 M20">
    <cfRule type="expression" dxfId="2912" priority="62">
      <formula>ABS(M$16-M$19)&gt;=1000</formula>
    </cfRule>
  </conditionalFormatting>
  <conditionalFormatting sqref="N13:N20">
    <cfRule type="expression" dxfId="2911" priority="61">
      <formula>ABS(N$16-N$19)&gt;=1000</formula>
    </cfRule>
  </conditionalFormatting>
  <conditionalFormatting sqref="O13:O20">
    <cfRule type="expression" dxfId="2910" priority="60">
      <formula>ABS(O$16-O$19)&gt;=1000</formula>
    </cfRule>
  </conditionalFormatting>
  <conditionalFormatting sqref="P13:P20">
    <cfRule type="expression" dxfId="2909" priority="59">
      <formula>ABS(P$16-P$19)&gt;=1000</formula>
    </cfRule>
  </conditionalFormatting>
  <conditionalFormatting sqref="Q13 Q15:Q20">
    <cfRule type="expression" dxfId="2908" priority="58">
      <formula>ABS(Q$16-Q$19)&gt;=1000</formula>
    </cfRule>
  </conditionalFormatting>
  <conditionalFormatting sqref="R13:R20">
    <cfRule type="expression" dxfId="2907" priority="57">
      <formula>ABS(R$16-R$19)&gt;=1000</formula>
    </cfRule>
  </conditionalFormatting>
  <conditionalFormatting sqref="S13:S20">
    <cfRule type="expression" dxfId="2906" priority="56">
      <formula>ABS(S$16-S$19)&gt;=1000</formula>
    </cfRule>
  </conditionalFormatting>
  <conditionalFormatting sqref="T13:T20">
    <cfRule type="expression" dxfId="2905" priority="55">
      <formula>ABS(T$16-T$19)&gt;=1000</formula>
    </cfRule>
  </conditionalFormatting>
  <conditionalFormatting sqref="U13:U20">
    <cfRule type="expression" dxfId="2904" priority="54">
      <formula>ABS(U$16-U$19)&gt;=1000</formula>
    </cfRule>
  </conditionalFormatting>
  <conditionalFormatting sqref="V13:V20">
    <cfRule type="expression" dxfId="2903" priority="53">
      <formula>ABS(V$16-V$19)&gt;=1000</formula>
    </cfRule>
  </conditionalFormatting>
  <conditionalFormatting sqref="W13 W20 W15:W18">
    <cfRule type="expression" dxfId="2902" priority="52">
      <formula>ABS(W$16-W$19)&gt;=1000</formula>
    </cfRule>
  </conditionalFormatting>
  <conditionalFormatting sqref="X13 X15:X20 Y19">
    <cfRule type="expression" dxfId="2901" priority="51">
      <formula>ABS(X$16-X$19)&gt;=1000</formula>
    </cfRule>
  </conditionalFormatting>
  <conditionalFormatting sqref="Y13 Y15:Y18 Y20">
    <cfRule type="expression" dxfId="2900" priority="50">
      <formula>ABS(Y$16-Y$19)&gt;=1000</formula>
    </cfRule>
  </conditionalFormatting>
  <conditionalFormatting sqref="Z13:Z20">
    <cfRule type="expression" dxfId="2899" priority="49">
      <formula>ABS(Z$16-Z$19)&gt;=1000</formula>
    </cfRule>
  </conditionalFormatting>
  <conditionalFormatting sqref="AA13:AA20">
    <cfRule type="expression" dxfId="2898" priority="48">
      <formula>ABS(AA$16-AA$19)&gt;=1000</formula>
    </cfRule>
  </conditionalFormatting>
  <conditionalFormatting sqref="AB13 AB15:AB20">
    <cfRule type="expression" dxfId="2897" priority="47">
      <formula>ABS(AB$16-AB$19)&gt;=1000</formula>
    </cfRule>
  </conditionalFormatting>
  <conditionalFormatting sqref="AC13 AC15:AC20">
    <cfRule type="expression" dxfId="2896" priority="46">
      <formula>ABS(AC$16-AC$19)&gt;=1000</formula>
    </cfRule>
  </conditionalFormatting>
  <conditionalFormatting sqref="AD13:AD20">
    <cfRule type="expression" dxfId="2895" priority="45">
      <formula>ABS(AD$16-AD$19)&gt;=1000</formula>
    </cfRule>
  </conditionalFormatting>
  <conditionalFormatting sqref="AE13:AE20">
    <cfRule type="expression" dxfId="2894" priority="44">
      <formula>ABS(AE$16-AE$19)&gt;=1000</formula>
    </cfRule>
  </conditionalFormatting>
  <conditionalFormatting sqref="D22:D29">
    <cfRule type="expression" dxfId="2893" priority="43">
      <formula>ABS(D$25-D$28)&gt;=1000</formula>
    </cfRule>
  </conditionalFormatting>
  <conditionalFormatting sqref="E22:E29">
    <cfRule type="expression" dxfId="2892" priority="42">
      <formula>ABS(E$25-E$28)&gt;=1000</formula>
    </cfRule>
  </conditionalFormatting>
  <conditionalFormatting sqref="F22:F29">
    <cfRule type="expression" dxfId="2891" priority="41">
      <formula>ABS(F$25-F$28)&gt;=1000</formula>
    </cfRule>
  </conditionalFormatting>
  <conditionalFormatting sqref="G22:G29">
    <cfRule type="expression" dxfId="2890" priority="40">
      <formula>ABS(G$25-G$28)&gt;=1000</formula>
    </cfRule>
  </conditionalFormatting>
  <conditionalFormatting sqref="H22:H29">
    <cfRule type="expression" dxfId="2889" priority="39">
      <formula>ABS(H$25-H$28)&gt;=1000</formula>
    </cfRule>
  </conditionalFormatting>
  <conditionalFormatting sqref="I22 I24:I29">
    <cfRule type="expression" dxfId="2888" priority="38">
      <formula>ABS(I$25-I$28)&gt;=1000</formula>
    </cfRule>
  </conditionalFormatting>
  <conditionalFormatting sqref="J22:J29 K22">
    <cfRule type="expression" dxfId="2887" priority="37">
      <formula>ABS(J$25-J$28)&gt;=1000</formula>
    </cfRule>
  </conditionalFormatting>
  <conditionalFormatting sqref="K23:K29 L25 L28">
    <cfRule type="expression" dxfId="2886" priority="36">
      <formula>ABS(K$25-K$28)&gt;=1000</formula>
    </cfRule>
  </conditionalFormatting>
  <conditionalFormatting sqref="L22 L26:L27 L29 L24">
    <cfRule type="expression" dxfId="2885" priority="35">
      <formula>ABS(L$25-L$28)&gt;=1000</formula>
    </cfRule>
  </conditionalFormatting>
  <conditionalFormatting sqref="M22:M29">
    <cfRule type="expression" dxfId="2884" priority="34">
      <formula>ABS(M$25-M$28)&gt;=1000</formula>
    </cfRule>
  </conditionalFormatting>
  <conditionalFormatting sqref="N22:N29">
    <cfRule type="expression" dxfId="2883" priority="33">
      <formula>ABS(N$25-N$28)&gt;=1000</formula>
    </cfRule>
  </conditionalFormatting>
  <conditionalFormatting sqref="O22:O29">
    <cfRule type="expression" dxfId="2882" priority="32">
      <formula>ABS(O$25-O$28)&gt;=1000</formula>
    </cfRule>
  </conditionalFormatting>
  <conditionalFormatting sqref="P22:P29">
    <cfRule type="expression" dxfId="2881" priority="31">
      <formula>ABS(P$25-P$28)&gt;=1000</formula>
    </cfRule>
  </conditionalFormatting>
  <conditionalFormatting sqref="Q22:Q29">
    <cfRule type="expression" dxfId="2880" priority="30">
      <formula>ABS(Q$25-Q$28)&gt;=1000</formula>
    </cfRule>
  </conditionalFormatting>
  <conditionalFormatting sqref="R22:R29">
    <cfRule type="expression" dxfId="2879" priority="29">
      <formula>ABS(R$25-R$28)&gt;=1000</formula>
    </cfRule>
  </conditionalFormatting>
  <conditionalFormatting sqref="S22:S29">
    <cfRule type="expression" dxfId="2878" priority="28">
      <formula>ABS(S$25-S$28)&gt;=1000</formula>
    </cfRule>
  </conditionalFormatting>
  <conditionalFormatting sqref="T22:T29">
    <cfRule type="expression" dxfId="2877" priority="27">
      <formula>ABS(T$25-T$28)&gt;=1000</formula>
    </cfRule>
  </conditionalFormatting>
  <conditionalFormatting sqref="U22:U29">
    <cfRule type="expression" dxfId="2876" priority="26">
      <formula>ABS(U$25-U$28)&gt;=1000</formula>
    </cfRule>
  </conditionalFormatting>
  <conditionalFormatting sqref="V22:V29">
    <cfRule type="expression" dxfId="2875" priority="25">
      <formula>ABS(V$25-V$28)&gt;=1000</formula>
    </cfRule>
  </conditionalFormatting>
  <conditionalFormatting sqref="W22:W29">
    <cfRule type="expression" dxfId="2874" priority="24">
      <formula>ABS(W$25-W$28)&gt;=1000</formula>
    </cfRule>
  </conditionalFormatting>
  <conditionalFormatting sqref="X22:X29">
    <cfRule type="expression" dxfId="2873" priority="23">
      <formula>ABS(X$25-X$28)&gt;=1000</formula>
    </cfRule>
  </conditionalFormatting>
  <conditionalFormatting sqref="Y22:Y29">
    <cfRule type="expression" dxfId="2872" priority="22">
      <formula>ABS(Y$25-Y$28)&gt;=1000</formula>
    </cfRule>
  </conditionalFormatting>
  <conditionalFormatting sqref="I23">
    <cfRule type="expression" dxfId="2871" priority="21">
      <formula>ABS(I$25-I$28)&gt;=1000</formula>
    </cfRule>
  </conditionalFormatting>
  <conditionalFormatting sqref="Q14">
    <cfRule type="expression" dxfId="2870" priority="20">
      <formula>ABS(Q$16-Q$19)&gt;=1000</formula>
    </cfRule>
  </conditionalFormatting>
  <conditionalFormatting sqref="W14">
    <cfRule type="expression" dxfId="2869" priority="19">
      <formula>ABS(W$16-W$19)&gt;=1000</formula>
    </cfRule>
  </conditionalFormatting>
  <conditionalFormatting sqref="Y14">
    <cfRule type="expression" dxfId="2868" priority="18">
      <formula>ABS(Y$16-Y$19)&gt;=1000</formula>
    </cfRule>
  </conditionalFormatting>
  <conditionalFormatting sqref="X14">
    <cfRule type="expression" dxfId="2867" priority="17">
      <formula>ABS(X$16-X$19)&gt;=1000</formula>
    </cfRule>
  </conditionalFormatting>
  <conditionalFormatting sqref="T10:Y10">
    <cfRule type="expression" dxfId="2866" priority="16">
      <formula>ABS(T$7-T$10)&gt;=1000</formula>
    </cfRule>
  </conditionalFormatting>
  <conditionalFormatting sqref="W19">
    <cfRule type="expression" dxfId="2865" priority="15">
      <formula>ABS(W$16-W$19)&gt;=1000</formula>
    </cfRule>
  </conditionalFormatting>
  <conditionalFormatting sqref="AC5">
    <cfRule type="expression" dxfId="2864" priority="14">
      <formula>ABS(AC$7-AC$10)&gt;=1000</formula>
    </cfRule>
  </conditionalFormatting>
  <conditionalFormatting sqref="M14">
    <cfRule type="expression" dxfId="2863" priority="13">
      <formula>ABS(M$16-M$19)&gt;=1000</formula>
    </cfRule>
  </conditionalFormatting>
  <conditionalFormatting sqref="M16">
    <cfRule type="expression" dxfId="2862" priority="12">
      <formula>ABS(M$16-M$19)&gt;=1000</formula>
    </cfRule>
  </conditionalFormatting>
  <conditionalFormatting sqref="M19">
    <cfRule type="expression" dxfId="2861" priority="11">
      <formula>ABS(M$16-M$19)&gt;=1000</formula>
    </cfRule>
  </conditionalFormatting>
  <conditionalFormatting sqref="K13:K20">
    <cfRule type="expression" dxfId="2860" priority="10">
      <formula>ABS(K$16-K$19)&gt;=1000</formula>
    </cfRule>
  </conditionalFormatting>
  <conditionalFormatting sqref="E5">
    <cfRule type="expression" dxfId="2859" priority="9">
      <formula>ABS(E$7-E$10)&gt;=1000</formula>
    </cfRule>
  </conditionalFormatting>
  <conditionalFormatting sqref="AB14:AC14">
    <cfRule type="expression" dxfId="2858" priority="8">
      <formula>ABS(AB$16-AB$19)&gt;=1000</formula>
    </cfRule>
  </conditionalFormatting>
  <conditionalFormatting sqref="M5">
    <cfRule type="expression" dxfId="2857" priority="7">
      <formula>ABS(M$7-M$10)&gt;=1000</formula>
    </cfRule>
  </conditionalFormatting>
  <conditionalFormatting sqref="N5">
    <cfRule type="expression" dxfId="2856" priority="6">
      <formula>ABS(N$7-N$10)&gt;=1000</formula>
    </cfRule>
  </conditionalFormatting>
  <conditionalFormatting sqref="O5">
    <cfRule type="expression" dxfId="2855" priority="5">
      <formula>ABS(O$7-O$10)&gt;=1000</formula>
    </cfRule>
  </conditionalFormatting>
  <conditionalFormatting sqref="P5">
    <cfRule type="expression" dxfId="2854" priority="4">
      <formula>ABS(P$7-P$10)&gt;=1000</formula>
    </cfRule>
  </conditionalFormatting>
  <conditionalFormatting sqref="L23">
    <cfRule type="expression" dxfId="2853" priority="3">
      <formula>ABS(L$25-L$28)&gt;=1000</formula>
    </cfRule>
  </conditionalFormatting>
  <conditionalFormatting sqref="F14">
    <cfRule type="expression" dxfId="2852" priority="2">
      <formula>ABS(F$16-F$19)&gt;=1000</formula>
    </cfRule>
  </conditionalFormatting>
  <conditionalFormatting sqref="AE5">
    <cfRule type="expression" dxfId="2851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59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75">
    <pageSetUpPr fitToPage="1"/>
  </sheetPr>
  <dimension ref="A1:CU223"/>
  <sheetViews>
    <sheetView view="pageBreakPreview" topLeftCell="A4" zoomScale="70" zoomScaleNormal="100" zoomScaleSheetLayoutView="70" workbookViewId="0">
      <selection activeCell="Y9" sqref="Y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45992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44" t="s" ph="1">
        <v>177</v>
      </c>
      <c r="D6" s="71">
        <v>5115</v>
      </c>
      <c r="E6" s="71">
        <v>1379</v>
      </c>
      <c r="F6" s="71">
        <v>5822</v>
      </c>
      <c r="G6" s="71">
        <v>67</v>
      </c>
      <c r="H6" s="71">
        <v>2372</v>
      </c>
      <c r="I6" s="71">
        <v>27.12</v>
      </c>
      <c r="J6" s="71">
        <v>7.02</v>
      </c>
      <c r="K6" s="71">
        <v>51.51</v>
      </c>
      <c r="L6" s="71">
        <v>8.2200000000000006</v>
      </c>
      <c r="M6" s="71">
        <v>3598</v>
      </c>
      <c r="N6" s="71">
        <v>721</v>
      </c>
      <c r="O6" s="71">
        <v>4331</v>
      </c>
      <c r="P6" s="71">
        <v>970</v>
      </c>
      <c r="Q6" s="71">
        <v>0</v>
      </c>
      <c r="R6" s="71">
        <v>0</v>
      </c>
      <c r="S6" s="71">
        <v>0</v>
      </c>
      <c r="T6" s="71">
        <v>3366</v>
      </c>
      <c r="U6" s="71">
        <v>5708</v>
      </c>
      <c r="V6" s="71">
        <v>4979</v>
      </c>
      <c r="W6" s="71">
        <v>5914</v>
      </c>
      <c r="X6" s="71">
        <v>2014</v>
      </c>
      <c r="Y6" s="71">
        <v>2</v>
      </c>
      <c r="Z6" s="71">
        <v>6468</v>
      </c>
      <c r="AA6" s="71">
        <v>1936</v>
      </c>
      <c r="AB6" s="71">
        <v>1895</v>
      </c>
      <c r="AC6" s="71">
        <v>7234</v>
      </c>
      <c r="AD6" s="71">
        <v>4780</v>
      </c>
      <c r="AE6" s="71">
        <v>4950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161191.87612605002</v>
      </c>
      <c r="E7" s="73" ph="1">
        <f>E6*51.53*LOOKUP(E8,密度!$A$2:$A$50,密度!$B$2:$B$50)</f>
        <v>55774.891963000002</v>
      </c>
      <c r="F7" s="73" ph="1">
        <f>F6*33.183*LOOKUP(F8,密度!$A$2:$A$50,密度!$C$2:$C$50)</f>
        <v>214944.78056760001</v>
      </c>
      <c r="G7" s="73" ph="1">
        <f xml:space="preserve"> (G6+2)*51.53*LOOKUP(G8,密度!$A$2:$A$50,密度!$B$2:$B$50)</f>
        <v>2787.9224370000002</v>
      </c>
      <c r="H7" s="73" ph="1">
        <f>(H6)*51.53*LOOKUP(H8,密度!$A$2:$A$50,密度!$B$2:$B$50)</f>
        <v>96121.011423999997</v>
      </c>
      <c r="I7" s="73" ph="1">
        <f>I6*290.8*1.0267</f>
        <v>8097.065443200001</v>
      </c>
      <c r="J7" s="73" ph="1">
        <f>J6*290.8*0.7892</f>
        <v>1611.0855071999999</v>
      </c>
      <c r="K7" s="73" ph="1">
        <f>K6*290.8*1.1126</f>
        <v>16665.7555608</v>
      </c>
      <c r="L7" s="73" ph="1">
        <f>L6*290.8*0.777</f>
        <v>1857.3221520000002</v>
      </c>
      <c r="M7" s="73" ph="1">
        <f>M6*33.183*LOOKUP(M8,密度!$A$2:$A$50,密度!$D$2:$D$50)</f>
        <v>123141.35642760001</v>
      </c>
      <c r="N7" s="73" ph="1">
        <f>N6*33.183*LOOKUP(N8,密度!$A$2:$A$50,密度!$E$2:$E$50)</f>
        <v>18852.855083999999</v>
      </c>
      <c r="O7" s="73" ph="1">
        <f>O6*20.428*LOOKUP(O8,密度!$A$2:$A$50,密度!$C$2:$C$50)</f>
        <v>98037.671510800006</v>
      </c>
      <c r="P7" s="73" ph="1">
        <f>P6*51.53*LOOKUP(P8,密度!$A$2:$A$50,密度!$B$2:$B$50)</f>
        <v>39272.507369999999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22508.090589599997</v>
      </c>
      <c r="U7" s="73" ph="1">
        <f>U6*1.5*1.5*3.1416*LOOKUP(U8,密度!$A$2:$A$50,密度!$L$2:$L$50)</f>
        <v>38168.800084800001</v>
      </c>
      <c r="V7" s="73" ph="1">
        <f>V6*1.5*1.5*3.1416*LOOKUP(V8,密度!$A$2:$A$50,密度!$L$2:$L$50)</f>
        <v>33153.274954799999</v>
      </c>
      <c r="W7" s="73" ph="1">
        <f>W6*1.5*1.5*3.1416*LOOKUP(W8,密度!$A$2:$A$50,密度!$L$2:$L$50)</f>
        <v>39128.263574400007</v>
      </c>
      <c r="X7" s="73" ph="1">
        <f>X6*1.5*1.5*3.1416*LOOKUP(X8,密度!$A$2:$A$50,密度!$L$2:$L$50)</f>
        <v>13396.2269364</v>
      </c>
      <c r="Y7" s="73" ph="1">
        <f>Y6*1.5*1.5*3.1416*LOOKUP(Y8,密度!$A$2:$A$50,密度!$L$2:$L$50)</f>
        <v>13.3172424</v>
      </c>
      <c r="Z7" s="73" ph="1">
        <f>Z6*33.183*LOOKUP(Z8,密度!$A$2:$A$50,密度!$L$2:$L$50)</f>
        <v>202393.868292</v>
      </c>
      <c r="AA7" s="73" ph="1">
        <f>AA6*33.183*LOOKUP(AA8,密度!$A$2:$A$50,密度!$D$2:$D$50)</f>
        <v>66259.495843200013</v>
      </c>
      <c r="AB7" s="73" ph="1">
        <f>AB6*20.428*LOOKUP(AB8,密度!$A$2:$A$50,密度!$D$2:$D$50)</f>
        <v>40023.364934000005</v>
      </c>
      <c r="AC7" s="73" ph="1">
        <f>AC6*51.53*LOOKUP(AC8,密度!$A$2:$A$50,密度!$Q$2:$Q$50)</f>
        <v>354878.88272020005</v>
      </c>
      <c r="AD7" s="73" ph="1">
        <f>AD6*20.428*LOOKUP(AD8,密度!$A$2:$A$50,密度!$V$2:$V$50)</f>
        <v>94130.589760000003</v>
      </c>
      <c r="AE7" s="73" ph="1">
        <f>AE6*20.428</f>
        <v>101118.6</v>
      </c>
    </row>
    <row r="8" spans="1:99" ph="1">
      <c r="B8" s="247" ph="1"/>
      <c r="C8" s="68" t="s" ph="1">
        <v>179</v>
      </c>
      <c r="D8" s="74">
        <v>21</v>
      </c>
      <c r="E8" s="74">
        <v>19</v>
      </c>
      <c r="F8" s="74">
        <v>20</v>
      </c>
      <c r="G8" s="74">
        <v>20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21</v>
      </c>
      <c r="O8" s="74">
        <v>26</v>
      </c>
      <c r="P8" s="74">
        <v>18</v>
      </c>
      <c r="Q8" s="74">
        <v>21</v>
      </c>
      <c r="R8" s="74">
        <v>26</v>
      </c>
      <c r="S8" s="74">
        <v>17</v>
      </c>
      <c r="T8" s="74">
        <v>16</v>
      </c>
      <c r="U8" s="74">
        <v>16</v>
      </c>
      <c r="V8" s="74">
        <v>20</v>
      </c>
      <c r="W8" s="74">
        <v>26</v>
      </c>
      <c r="X8" s="74">
        <v>21</v>
      </c>
      <c r="Y8" s="74">
        <v>20</v>
      </c>
      <c r="Z8" s="74">
        <v>19</v>
      </c>
      <c r="AA8" s="74">
        <v>20</v>
      </c>
      <c r="AB8" s="74">
        <v>17</v>
      </c>
      <c r="AC8" s="74">
        <v>18</v>
      </c>
      <c r="AD8" s="74">
        <v>18</v>
      </c>
      <c r="AE8" s="74">
        <v>25</v>
      </c>
    </row>
    <row r="9" spans="1:99" ht="26.4" ph="1">
      <c r="B9" s="247" ph="1">
        <v>0.66666666666666663</v>
      </c>
      <c r="C9" s="144" t="s" ph="1">
        <v>180</v>
      </c>
      <c r="D9" s="71">
        <v>5117</v>
      </c>
      <c r="E9" s="71">
        <v>1317</v>
      </c>
      <c r="F9" s="71">
        <v>5882</v>
      </c>
      <c r="G9" s="71">
        <v>65</v>
      </c>
      <c r="H9" s="71">
        <v>2098</v>
      </c>
      <c r="I9" s="71">
        <v>27.11</v>
      </c>
      <c r="J9" s="71">
        <v>7.21</v>
      </c>
      <c r="K9" s="71">
        <v>6.9</v>
      </c>
      <c r="L9" s="71">
        <v>8.11</v>
      </c>
      <c r="M9" s="71">
        <v>3598</v>
      </c>
      <c r="N9" s="71">
        <v>532</v>
      </c>
      <c r="O9" s="71">
        <v>4970</v>
      </c>
      <c r="P9" s="71">
        <v>576</v>
      </c>
      <c r="Q9" s="71">
        <v>0</v>
      </c>
      <c r="R9" s="71">
        <v>0</v>
      </c>
      <c r="S9" s="71">
        <v>0</v>
      </c>
      <c r="T9" s="71">
        <v>0</v>
      </c>
      <c r="U9" s="71">
        <v>5274</v>
      </c>
      <c r="V9" s="71">
        <v>4979</v>
      </c>
      <c r="W9" s="71">
        <v>5919</v>
      </c>
      <c r="X9" s="71">
        <v>6001</v>
      </c>
      <c r="Y9" s="71">
        <v>1</v>
      </c>
      <c r="Z9" s="71">
        <v>4150</v>
      </c>
      <c r="AA9" s="71">
        <v>1934</v>
      </c>
      <c r="AB9" s="71">
        <v>1893</v>
      </c>
      <c r="AC9" s="71">
        <v>7611</v>
      </c>
      <c r="AD9" s="71">
        <v>4780</v>
      </c>
      <c r="AE9" s="71">
        <v>4732</v>
      </c>
    </row>
    <row r="10" spans="1:99" s="72" customFormat="1" ht="22.2" ph="1">
      <c r="B10" s="247" ph="1"/>
      <c r="C10" s="144" t="s" ph="1">
        <v>178</v>
      </c>
      <c r="D10" s="73" ph="1">
        <f>D9*33.183*LOOKUP(D11,密度!$A$2:$A$50,密度!$Q$2:$Q$50)</f>
        <v>161153.02480598999</v>
      </c>
      <c r="E10" s="73" ph="1">
        <f>E9*51.53*LOOKUP(E11,密度!$A$2:$A$50,密度!$B$2:$B$50)</f>
        <v>53151.875831999998</v>
      </c>
      <c r="F10" s="73" ph="1">
        <f>F9*33.183*LOOKUP(F11,密度!$A$2:$A$50,密度!$C$2:$C$50)</f>
        <v>217159.9449156</v>
      </c>
      <c r="G10" s="73" ph="1">
        <f xml:space="preserve"> (G9+2)*51.53*LOOKUP(G11,密度!$A$2:$A$50,密度!$B$2:$B$50)</f>
        <v>2700.8985729999999</v>
      </c>
      <c r="H10" s="73" ph="1">
        <f>(H9)*51.53*LOOKUP(H11,密度!$A$2:$A$50,密度!$B$2:$B$50)</f>
        <v>84941.979857999992</v>
      </c>
      <c r="I10" s="73" ph="1">
        <f>I9*290.8*1.0267</f>
        <v>8094.0797995999992</v>
      </c>
      <c r="J10" s="73" ph="1">
        <f>J9*290.8*0.7892</f>
        <v>1654.6903856000001</v>
      </c>
      <c r="K10" s="73" ph="1">
        <f>K9*290.8*1.1126</f>
        <v>2232.4541520000002</v>
      </c>
      <c r="L10" s="73" ph="1">
        <f>L9*290.8*0.777</f>
        <v>1832.467476</v>
      </c>
      <c r="M10" s="73" ph="1">
        <f>M9*33.183*LOOKUP(M11,密度!$A$2:$A$50,密度!$D$2:$D$50)</f>
        <v>122914.510803</v>
      </c>
      <c r="N10" s="73" ph="1">
        <f>N9*33.183*LOOKUP(N11,密度!$A$2:$A$50,密度!$E$2:$E$50)</f>
        <v>13868.4764736</v>
      </c>
      <c r="O10" s="73" ph="1">
        <f>O9*20.428*LOOKUP(O11,密度!$A$2:$A$50,密度!$C$2:$C$50)</f>
        <v>112806.82747600001</v>
      </c>
      <c r="P10" s="73" ph="1">
        <f>P9*51.53*LOOKUP(P11,密度!$A$2:$A$50,密度!$B$2:$B$50)</f>
        <v>23273.091648000001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35043.008615999999</v>
      </c>
      <c r="V10" s="73" ph="1">
        <f>V9*1.5*1.5*3.1416*LOOKUP(V11,密度!$A$2:$A$50,密度!$L$2:$L$50)</f>
        <v>33012.496717199996</v>
      </c>
      <c r="W10" s="73" ph="1">
        <f>W9*1.5*1.5*3.1416*LOOKUP(W11,密度!$A$2:$A$50,密度!$L$2:$L$50)</f>
        <v>39370.5398394</v>
      </c>
      <c r="X10" s="73" ph="1">
        <f>X9*1.5*1.5*3.1416*LOOKUP(X11,密度!$A$2:$A$50,密度!$L$2:$L$50)</f>
        <v>39831.129815399996</v>
      </c>
      <c r="Y10" s="73" ph="1">
        <f>Y9*1.5*1.5*3.1416*LOOKUP(Y11,密度!$A$2:$A$50,密度!$L$2:$L$50)</f>
        <v>6.6374153999999992</v>
      </c>
      <c r="Z10" s="73" ph="1">
        <f>Z9*33.183*LOOKUP(Z11,密度!$A$2:$A$50,密度!$L$2:$L$50)</f>
        <v>130135.43025</v>
      </c>
      <c r="AA10" s="73" ph="1">
        <f>AA9*33.183*LOOKUP(AA11,密度!$A$2:$A$50,密度!$D$2:$D$50)</f>
        <v>66069.111699000001</v>
      </c>
      <c r="AB10" s="73" ph="1">
        <f>AB9*20.428*LOOKUP(AB11,密度!$A$2:$A$50,密度!$D$2:$D$50)</f>
        <v>40046.863262400009</v>
      </c>
      <c r="AC10" s="73" ph="1">
        <f>AC9*51.53*LOOKUP(AC11,密度!$A$2:$A$50,密度!$Q$2:$Q$50)</f>
        <v>372734.12253540003</v>
      </c>
      <c r="AD10" s="73" ph="1">
        <f>AD9*20.428*LOOKUP(AD11,密度!$A$2:$A$50,密度!$V$2:$V$50)</f>
        <v>94130.589760000003</v>
      </c>
      <c r="AE10" s="73" ph="1">
        <f>AE9*20.428</f>
        <v>96665.296000000002</v>
      </c>
    </row>
    <row r="11" spans="1:99" ph="1">
      <c r="A11" s="64" t="s" ph="1">
        <v>162</v>
      </c>
      <c r="B11" s="247" ph="1"/>
      <c r="C11" s="144" t="s" ph="1">
        <v>179</v>
      </c>
      <c r="D11" s="74">
        <v>22</v>
      </c>
      <c r="E11" s="74">
        <v>21</v>
      </c>
      <c r="F11" s="74">
        <v>20</v>
      </c>
      <c r="G11" s="74">
        <v>22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23</v>
      </c>
      <c r="O11" s="74">
        <v>22</v>
      </c>
      <c r="P11" s="74">
        <v>20</v>
      </c>
      <c r="Q11" s="74">
        <v>26</v>
      </c>
      <c r="R11" s="74">
        <v>28</v>
      </c>
      <c r="S11" s="74">
        <v>19</v>
      </c>
      <c r="T11" s="74">
        <v>25</v>
      </c>
      <c r="U11" s="74">
        <v>22</v>
      </c>
      <c r="V11" s="74">
        <v>24</v>
      </c>
      <c r="W11" s="74">
        <v>21</v>
      </c>
      <c r="X11" s="74">
        <v>23</v>
      </c>
      <c r="Y11" s="74">
        <v>23</v>
      </c>
      <c r="Z11" s="74">
        <v>17</v>
      </c>
      <c r="AA11" s="74">
        <v>22</v>
      </c>
      <c r="AB11" s="74">
        <v>15</v>
      </c>
      <c r="AC11" s="74">
        <v>20</v>
      </c>
      <c r="AD11" s="74">
        <v>20</v>
      </c>
      <c r="AE11" s="74">
        <v>24</v>
      </c>
    </row>
    <row r="12" spans="1:99" ht="9.9" customHeight="1" ph="1"/>
    <row r="13" spans="1:99" s="72" customFormat="1" ht="29.25" customHeight="1" ph="1">
      <c r="B13" s="224" t="s" ph="1">
        <v>37</v>
      </c>
      <c r="C13" s="14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44" t="s" ph="1">
        <v>177</v>
      </c>
      <c r="D15" s="78">
        <v>5992</v>
      </c>
      <c r="E15" s="78">
        <v>5905</v>
      </c>
      <c r="F15" s="78">
        <v>2755</v>
      </c>
      <c r="G15" s="78">
        <v>2926</v>
      </c>
      <c r="H15" s="78">
        <v>4153</v>
      </c>
      <c r="I15" s="78">
        <v>1611</v>
      </c>
      <c r="J15" s="78">
        <v>1442</v>
      </c>
      <c r="K15" s="78">
        <v>4832</v>
      </c>
      <c r="L15" s="78">
        <v>1762</v>
      </c>
      <c r="M15" s="78">
        <v>6407</v>
      </c>
      <c r="N15" s="78">
        <v>4926</v>
      </c>
      <c r="O15" s="78">
        <v>847</v>
      </c>
      <c r="P15" s="78">
        <v>6990</v>
      </c>
      <c r="Q15" s="78">
        <v>2598</v>
      </c>
      <c r="R15" s="78">
        <v>7434</v>
      </c>
      <c r="S15" s="78">
        <v>6164</v>
      </c>
      <c r="T15" s="78">
        <v>4064</v>
      </c>
      <c r="U15" s="78">
        <v>4839</v>
      </c>
      <c r="V15" s="78">
        <v>4907</v>
      </c>
      <c r="W15" s="71">
        <v>4290</v>
      </c>
      <c r="X15" s="78">
        <v>674</v>
      </c>
      <c r="Y15" s="106">
        <v>-9903</v>
      </c>
      <c r="Z15" s="78">
        <v>0</v>
      </c>
      <c r="AA15" s="78">
        <v>9</v>
      </c>
      <c r="AB15" s="78" ph="1">
        <v>1092</v>
      </c>
      <c r="AC15" s="78" ph="1">
        <v>27</v>
      </c>
      <c r="AD15" s="78">
        <v>41.81</v>
      </c>
      <c r="AE15" s="78">
        <v>83.72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44" t="s" ph="1">
        <v>178</v>
      </c>
      <c r="D16" s="73" ph="1">
        <f>D15*7.0686*LOOKUP(D17,密度!$A$2:$A$50,密度!$L$2:$L$50)</f>
        <v>39856.103179199999</v>
      </c>
      <c r="E16" s="73" ph="1">
        <f>E15*7.0686*LOOKUP(E17,密度!$A$2:$A$50,密度!$L$2:$L$50)</f>
        <v>39235.678019999999</v>
      </c>
      <c r="F16" s="73" ph="1">
        <f>F15*9.0746*LOOKUP(F17,密度!$A$2:$A$50,密度!$L$2:$L$50)</f>
        <v>23425.490051000001</v>
      </c>
      <c r="G16" s="73" ph="1">
        <f>G15*9.0746*LOOKUP(G17,密度!$A$2:$A$50,密度!$B$2:$B$50)</f>
        <v>20795.745382720001</v>
      </c>
      <c r="H16" s="73" ph="1">
        <f>H15*9.0746*LOOKUP(H17,密度!$A$2:$A$50,密度!$L$2:$L$50)</f>
        <v>35500.978599599999</v>
      </c>
      <c r="I16" s="73" ph="1">
        <f>I15*9.0746*LOOKUP(I17,密度!$A$2:$A$50,密度!$U$2:$U$50)</f>
        <v>15028.517656800001</v>
      </c>
      <c r="J16" s="73" ph="1">
        <f>J15*9.0746*LOOKUP(J17,密度!$A$2:$A$50,密度!$L$2:$L$50)</f>
        <v>12313.524381200001</v>
      </c>
      <c r="K16" s="73" ph="1">
        <f>K15*9.0746*LOOKUP(K17,密度!$A$2:$A$50,密度!$C$2:$C$50)</f>
        <v>48755.110679680001</v>
      </c>
      <c r="L16" s="73" ph="1">
        <f>L15*9.0746*LOOKUP(L17,密度!$A$2:$A$50,密度!$E$2:$E$50)</f>
        <v>12599.6828176</v>
      </c>
      <c r="M16" s="73" ph="1">
        <f>M15*9.0746*LOOKUP(M17,密度!$A$2:$A$50,密度!$M$2:$M$50)</f>
        <v>51047.764811599998</v>
      </c>
      <c r="N16" s="73" ph="1">
        <f>N15*9.0746*LOOKUP(N17,密度!$A$2:$A$50,密度!$M$2:$M$50)</f>
        <v>39350.712491879996</v>
      </c>
      <c r="O16" s="73" ph="1">
        <f>O15*9.0746*LOOKUP(O17,密度!$A$2:$A$50,密度!$G$2:$G$50)</f>
        <v>7407.9462595599998</v>
      </c>
      <c r="P16" s="73" ph="1">
        <f ca="1">P15*9.0746*LOOKUP(P17,密度!$A$2:$A$51,密度!$Q$2:$Q$50)</f>
        <v>60202.158676860003</v>
      </c>
      <c r="Q16" s="73" ph="1">
        <f>Q15*9.0746*LOOKUP(Q17,密度!$A$2:$A$50,密度!$Q$2:$Q$50)</f>
        <v>22389.711758652</v>
      </c>
      <c r="R16" s="73" ph="1">
        <f>MAX(R15*9.0746*LOOKUP(R17,密度!$A$2:$A$50,密度!$B$2:$B$50),0)</f>
        <v>52713.694398960004</v>
      </c>
      <c r="S16" s="73" ph="1">
        <f>S15*9.0746*LOOKUP(S17,密度!$A$2:$A$50,密度!$Q$2:$Q$50)</f>
        <v>53121.702571335998</v>
      </c>
      <c r="T16" s="73" ph="1">
        <f>T15*9.0746*LOOKUP(T17,密度!$A$2:$A$50,密度!$O$2:$O$50)</f>
        <v>34297.632192000005</v>
      </c>
      <c r="U16" s="73" ph="1">
        <f>U15*9.0746*LOOKUP(U17,密度!$A$2:$A$50,密度!$H$2:$H$50)</f>
        <v>40473.680629979994</v>
      </c>
      <c r="V16" s="73" ph="1">
        <f>MAX(5600*LOOKUP(V17,密度!$A$2:$A$50,密度!$Q$2:$Q$50)+V15*9.0476*LOOKUP(V17,密度!$A$2:$A$50,密度!$Q$2:$Q$50),0)</f>
        <v>47481.245602308001</v>
      </c>
      <c r="W16" s="73" ph="1">
        <f>MAX(5600*LOOKUP(W17,密度!$A$2:$A$50,密度!$Q$2:$Q$50)+W15*9.0476*LOOKUP(W17,密度!$A$2:$A$50,密度!$Q$2:$Q$50),0)</f>
        <v>42113.5482328</v>
      </c>
      <c r="X16" s="73" ph="1">
        <f>MAX(5600*LOOKUP(X17,密度!$A$2:$A$50,密度!$I$2:$I$50)+X15*9.0476*LOOKUP(X17,密度!$A$2:$A$50,密度!$I$2:$I$50),0)</f>
        <v>12049.024871999998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64.169218979999997</v>
      </c>
      <c r="AB16" s="73" ph="1">
        <f>AB15*9.0746*LOOKUP(AB17,密度!$A$2:$A$50,密度!$L$2:$L$50)</f>
        <v>9324.8048712</v>
      </c>
      <c r="AC16" s="73" ph="1">
        <f>AC15*9.0746*LOOKUP(AC17,密度!$A$2:$A$50,密度!$L$2:$L$50)</f>
        <v>231.0483906</v>
      </c>
      <c r="AD16" s="73" ph="1">
        <f>AD15*268.68*LOOKUP(AD17,密度!$A$2:$A$50,密度!B2:B50)+IF(AD15&lt;=0,0,1566*LOOKUP(AD17,密度!$A$2:$A$50,密度!B2:B50))</f>
        <v>9978.49861968</v>
      </c>
      <c r="AE16" s="73" ph="1">
        <f>AE15*268.68*LOOKUP(AE17,密度!$A$2:$A$50,密度!B2:B50)+IF(AE15&lt;=0,0,1566*LOOKUP(AE17,密度!$A$2:$A$50,密度!B2:B50))</f>
        <v>18757.089932159997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21</v>
      </c>
      <c r="E17" s="74">
        <v>22</v>
      </c>
      <c r="F17" s="74">
        <v>25</v>
      </c>
      <c r="G17" s="74">
        <v>21</v>
      </c>
      <c r="H17" s="74">
        <v>20</v>
      </c>
      <c r="I17" s="74">
        <v>20</v>
      </c>
      <c r="J17" s="74">
        <v>21</v>
      </c>
      <c r="K17" s="74">
        <v>21</v>
      </c>
      <c r="L17" s="74">
        <v>21</v>
      </c>
      <c r="M17" s="74">
        <v>22</v>
      </c>
      <c r="N17" s="74">
        <v>20</v>
      </c>
      <c r="O17" s="74">
        <v>22</v>
      </c>
      <c r="P17" s="74">
        <v>22</v>
      </c>
      <c r="Q17" s="74">
        <v>21</v>
      </c>
      <c r="R17" s="74">
        <v>23</v>
      </c>
      <c r="S17" s="74">
        <v>21</v>
      </c>
      <c r="T17" s="74">
        <v>21</v>
      </c>
      <c r="U17" s="74">
        <v>18</v>
      </c>
      <c r="V17" s="74">
        <v>21</v>
      </c>
      <c r="W17" s="74">
        <v>23</v>
      </c>
      <c r="X17" s="74">
        <v>36</v>
      </c>
      <c r="Y17" s="108">
        <v>36</v>
      </c>
      <c r="Z17" s="74">
        <v>21</v>
      </c>
      <c r="AA17" s="74">
        <v>18</v>
      </c>
      <c r="AB17" s="74">
        <v>21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5275</v>
      </c>
      <c r="E18" s="71">
        <v>5271</v>
      </c>
      <c r="F18" s="71">
        <v>2754</v>
      </c>
      <c r="G18" s="71">
        <v>3977</v>
      </c>
      <c r="H18" s="71">
        <v>4153</v>
      </c>
      <c r="I18" s="71">
        <v>1611</v>
      </c>
      <c r="J18" s="71">
        <v>1442</v>
      </c>
      <c r="K18" s="71">
        <v>3845</v>
      </c>
      <c r="L18" s="71">
        <v>1762</v>
      </c>
      <c r="M18" s="71">
        <v>3755</v>
      </c>
      <c r="N18" s="71">
        <v>5987</v>
      </c>
      <c r="O18" s="71">
        <v>846</v>
      </c>
      <c r="P18" s="71">
        <v>6996</v>
      </c>
      <c r="Q18" s="71">
        <v>2599</v>
      </c>
      <c r="R18" s="71">
        <v>7439</v>
      </c>
      <c r="S18" s="71">
        <v>6168</v>
      </c>
      <c r="T18" s="71">
        <v>3803</v>
      </c>
      <c r="U18" s="71">
        <v>6667</v>
      </c>
      <c r="V18" s="71">
        <v>4906</v>
      </c>
      <c r="W18" s="71">
        <v>4289</v>
      </c>
      <c r="X18" s="71">
        <v>673</v>
      </c>
      <c r="Y18" s="109">
        <v>-9906</v>
      </c>
      <c r="Z18" s="71">
        <v>0</v>
      </c>
      <c r="AA18" s="71">
        <v>9</v>
      </c>
      <c r="AB18" s="71">
        <v>1089</v>
      </c>
      <c r="AC18" s="71">
        <v>22</v>
      </c>
      <c r="AD18" s="71">
        <v>84.71</v>
      </c>
      <c r="AE18" s="71">
        <v>13.01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44" t="s" ph="1">
        <v>178</v>
      </c>
      <c r="D19" s="73" ph="1">
        <f>D18*7.0686*LOOKUP(D20,密度!$A$2:$A$50,密度!$L$2:$L$50)</f>
        <v>34975.079369999999</v>
      </c>
      <c r="E19" s="73" ph="1">
        <f>E18*7.0686*LOOKUP(E20,密度!$A$2:$A$50,密度!$L$2:$L$50)</f>
        <v>34948.557982800005</v>
      </c>
      <c r="F19" s="73" ph="1">
        <f>F18*9.0746*LOOKUP(F20,密度!$A$2:$A$50,密度!$L$2:$L$50)</f>
        <v>23391.995702400003</v>
      </c>
      <c r="G19" s="73" ph="1">
        <f>G18*9.0746*LOOKUP(G20,密度!$A$2:$A$50,密度!$B$2:$B$50)</f>
        <v>28232.959949660002</v>
      </c>
      <c r="H19" s="73" ph="1">
        <f>H18*9.0746*LOOKUP(H20,密度!$A$2:$A$50,密度!$L$2:$L$50)</f>
        <v>35500.978599599999</v>
      </c>
      <c r="I19" s="73" ph="1">
        <f>I18*9.0746*LOOKUP(I20,密度!$A$2:$A$50,密度!$U$2:$U$50)</f>
        <v>15028.517656800001</v>
      </c>
      <c r="J19" s="73" ph="1">
        <f>J18*9.0746*LOOKUP(J20,密度!$A$2:$A$50,密度!$L$2:$L$50)</f>
        <v>12287.353234800001</v>
      </c>
      <c r="K19" s="73" ph="1">
        <f>K18*9.0746*LOOKUP(K20,密度!$A$2:$A$50,密度!$C$2:$C$50)</f>
        <v>38768.320090699999</v>
      </c>
      <c r="L19" s="73" ph="1">
        <f>L18*9.0746*LOOKUP(L20,密度!$A$2:$A$50,密度!$E$2:$E$50)</f>
        <v>12580.49548336</v>
      </c>
      <c r="M19" s="73" ph="1">
        <f>M18*9.0746*LOOKUP(M20,密度!$A$2:$A$50,密度!$M$2:$M$50)</f>
        <v>29917.957994</v>
      </c>
      <c r="N19" s="73" ph="1">
        <f>N18*9.0746*LOOKUP(N20,密度!$A$2:$A$50,密度!$M$2:$M$50)</f>
        <v>47701.415315600003</v>
      </c>
      <c r="O19" s="73" ph="1">
        <f>O18*9.0746*LOOKUP(O20,密度!$A$2:$A$50,密度!$G$2:$G$50)</f>
        <v>7371.5625583200008</v>
      </c>
      <c r="P19" s="73" ph="1">
        <f ca="1">P18*9.0746*LOOKUP(P20,密度!$A$2:$A$51,密度!$Q$2:$Q$50)</f>
        <v>60150.987188952007</v>
      </c>
      <c r="Q19" s="73" ph="1">
        <f>Q18*9.0746*LOOKUP(Q20,密度!$A$2:$A$50,密度!$Q$2:$Q$50)</f>
        <v>22363.18833628</v>
      </c>
      <c r="R19" s="73" ph="1">
        <f>MAX(R18*9.0746*LOOKUP(R20,密度!$A$2:$A$50,密度!$B$2:$B$50),0)</f>
        <v>52627.638152239997</v>
      </c>
      <c r="S19" s="73" ph="1">
        <f>S18*9.0746*LOOKUP(S20,密度!$A$2:$A$50,密度!$Q$2:$Q$50)</f>
        <v>53122.591519151996</v>
      </c>
      <c r="T19" s="73" ph="1">
        <f>T18*9.0746*LOOKUP(T20,密度!$A$2:$A$50,密度!$O$2:$O$50)</f>
        <v>31956.911718800005</v>
      </c>
      <c r="U19" s="73" ph="1">
        <f>U18*9.0746*LOOKUP(U20,密度!$A$2:$A$50,密度!$H$2:$H$50)</f>
        <v>55527.228755960001</v>
      </c>
      <c r="V19" s="73" ph="1">
        <f>MAX(5600*LOOKUP(V20,密度!$A$2:$A$50,密度!$Q$2:$Q$50)+V18*9.0476*LOOKUP(V20,密度!$A$2:$A$50,密度!$Q$2:$Q$50),0)</f>
        <v>47398.171773919996</v>
      </c>
      <c r="W19" s="73" ph="1">
        <f>MAX(5600*LOOKUP(W20,密度!$A$2:$A$50,密度!$Q$2:$Q$50)+W18*9.0476*LOOKUP(W20,密度!$A$2:$A$50,密度!$Q$2:$Q$50),0)</f>
        <v>42040.137770135996</v>
      </c>
      <c r="X19" s="73" ph="1">
        <f>MAX(5600*LOOKUP(X20,密度!$A$2:$A$50,密度!$I$2:$I$50)+X18*9.0476*LOOKUP(X20,密度!$A$2:$A$50,密度!$I$2:$I$50),0)</f>
        <v>12013.98996744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63.891536220000006</v>
      </c>
      <c r="AB19" s="73" ph="1">
        <f>AB18*9.0746*LOOKUP(AB20,密度!$A$2:$A$50,密度!$L$2:$L$50)</f>
        <v>9239.8938390000003</v>
      </c>
      <c r="AC19" s="73" ph="1">
        <f>AC18*9.0746*LOOKUP(AC20,密度!$A$2:$A$50,密度!$L$2:$L$50)</f>
        <v>187.66272799999999</v>
      </c>
      <c r="AD19" s="73" ph="1">
        <f>AD18*268.68*LOOKUP(AD20,密度!$A$2:$A$50,密度!B5:B53)+IF(AD18&lt;=0,0,1566*LOOKUP(AD20,密度!$A$2:$A$50,密度!B5:B53))</f>
        <v>18901.2109356</v>
      </c>
      <c r="AE19" s="73" ph="1">
        <f>AE18*268.68*LOOKUP(AE20,密度!$A$2:$A$50,密度!B5:B53)+IF(AE18&lt;=0,0,1566*LOOKUP(AE20,密度!$A$2:$A$50,密度!B5:B53))</f>
        <v>3932.8063235999998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24</v>
      </c>
      <c r="E20" s="81">
        <v>24</v>
      </c>
      <c r="F20" s="81">
        <v>26</v>
      </c>
      <c r="G20" s="81">
        <v>22</v>
      </c>
      <c r="H20" s="81">
        <v>20</v>
      </c>
      <c r="I20" s="81">
        <v>22</v>
      </c>
      <c r="J20" s="81">
        <v>23</v>
      </c>
      <c r="K20" s="81">
        <v>22</v>
      </c>
      <c r="L20" s="81">
        <v>22</v>
      </c>
      <c r="M20" s="81">
        <v>22</v>
      </c>
      <c r="N20" s="81">
        <v>22</v>
      </c>
      <c r="O20" s="81">
        <v>25</v>
      </c>
      <c r="P20" s="81">
        <v>24</v>
      </c>
      <c r="Q20" s="81">
        <v>23</v>
      </c>
      <c r="R20" s="81">
        <v>25</v>
      </c>
      <c r="S20" s="81">
        <v>22</v>
      </c>
      <c r="T20" s="81">
        <v>25</v>
      </c>
      <c r="U20" s="81">
        <v>22</v>
      </c>
      <c r="V20" s="81">
        <v>23</v>
      </c>
      <c r="W20" s="81">
        <v>25</v>
      </c>
      <c r="X20" s="81">
        <v>38</v>
      </c>
      <c r="Y20" s="110">
        <v>38</v>
      </c>
      <c r="Z20" s="81">
        <v>27</v>
      </c>
      <c r="AA20" s="81">
        <v>22</v>
      </c>
      <c r="AB20" s="81">
        <v>27</v>
      </c>
      <c r="AC20" s="81">
        <v>22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641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44" t="s" ph="1">
        <v>177</v>
      </c>
      <c r="D24" s="71">
        <v>5.41</v>
      </c>
      <c r="E24" s="71">
        <v>64.11</v>
      </c>
      <c r="F24" s="71">
        <v>0</v>
      </c>
      <c r="G24" s="71">
        <v>2780</v>
      </c>
      <c r="H24" s="71">
        <v>174</v>
      </c>
      <c r="I24" s="71">
        <v>1530</v>
      </c>
      <c r="J24" s="71">
        <v>2948</v>
      </c>
      <c r="K24" s="71">
        <v>444</v>
      </c>
      <c r="L24" s="71">
        <v>5560</v>
      </c>
      <c r="M24" s="71">
        <v>2646</v>
      </c>
      <c r="N24" s="71">
        <v>5780</v>
      </c>
      <c r="O24" s="71">
        <v>165</v>
      </c>
      <c r="P24" s="71">
        <v>370</v>
      </c>
      <c r="Q24" s="90">
        <v>4966</v>
      </c>
      <c r="R24" s="71">
        <v>4731</v>
      </c>
      <c r="S24" s="71">
        <v>2760</v>
      </c>
      <c r="T24" s="71">
        <v>1072</v>
      </c>
      <c r="U24" s="71">
        <v>5284</v>
      </c>
      <c r="V24" s="71">
        <v>8851</v>
      </c>
      <c r="W24" s="71">
        <v>7230</v>
      </c>
      <c r="X24" s="71">
        <v>4493</v>
      </c>
      <c r="Y24" s="71">
        <v>3139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2858.7370983119999</v>
      </c>
      <c r="E25" s="91" ph="1">
        <f>E24*268.68*LOOKUP(E26,密度!$A$2:$A$50,密度!$C$2:$C$50)+IF(E24&lt;=0,0,1566*LOOKUP(E26,密度!$A$2:$A$50,密度!$C$2:$C$50))</f>
        <v>20837.422845720001</v>
      </c>
      <c r="F25" s="91" ph="1">
        <f>F24*11.702*LOOKUP(F26,密度!$A$2:$A$50,密度!$Q$2:$Q$50)</f>
        <v>0</v>
      </c>
      <c r="G25" s="91" ph="1">
        <f>G24*18.322*LOOKUP(G26,密度!$A$2:$A$50,密度!$B$2:$B$50)</f>
        <v>39846.575667999998</v>
      </c>
      <c r="H25" s="91" ph="1">
        <f>H24*18.322*LOOKUP(H26,密度!$A$2:$A$50,密度!$B$2:$B$50)</f>
        <v>2493.9943043999997</v>
      </c>
      <c r="I25" s="91" ph="1">
        <f>I24*18.322*LOOKUP(I26,密度!$A$2:$A$50,密度!$Q$2:$Q$50)</f>
        <v>26580.568212000002</v>
      </c>
      <c r="J25" s="91" ph="1">
        <f>J24*18.322*LOOKUP(J26,密度!$A$2:$A$50,密度!$Q$2:$Q$50)</f>
        <v>51295.849090639997</v>
      </c>
      <c r="K25" s="91" ph="1">
        <f>K24*18.322*LOOKUP(K26,密度!$A$2:$A$50,密度!$Q$2:$Q$50)</f>
        <v>7731.3108878399999</v>
      </c>
      <c r="L25" s="91" ph="1">
        <f>L24*18.322*LOOKUP(L26,密度!$A$2:$A$50,密度!$Q$2:$Q$50)</f>
        <v>96745.224200800003</v>
      </c>
      <c r="M25" s="91" ph="1">
        <f>M24*18.322*LOOKUP(M26,密度!$A$2:$A$50,密度!$Q$2:$Q$50)</f>
        <v>46040.982596279995</v>
      </c>
      <c r="N25" s="91" ph="1">
        <f>N24*18.322*LOOKUP(N26,密度!$A$2:$A$50,密度!$Q$2:$Q$50)</f>
        <v>100646.34444079999</v>
      </c>
      <c r="O25" s="91" ph="1">
        <f>O24*18.322*LOOKUP(O26,密度!$A$2:$A$50,密度!$C$2:$C$50)</f>
        <v>3358.9997429999994</v>
      </c>
      <c r="P25" s="91" ph="1">
        <f>P24*11.702*LOOKUP(P26,密度!$A$2:$A$50,密度!$B$2:$B$50)</f>
        <v>3391.0523679999997</v>
      </c>
      <c r="Q25" s="92" ph="1">
        <f>Q24*18.322*LOOKUP(Q26,密度!$A$2:$A$50,密度!$B$2:$B$50)</f>
        <v>71179.170779599997</v>
      </c>
      <c r="R25" s="91" ph="1">
        <f>R24*35.891*LOOKUP(R26,密度!$A$2:$A$50,密度!$C$2:$C$50)</f>
        <v>188546.2764384</v>
      </c>
      <c r="S25" s="91" ph="1">
        <f>S24*35.891*LOOKUP(S26,密度!$A$2:$A$50,密度!$B$2:$B$50)</f>
        <v>77583.134111999985</v>
      </c>
      <c r="T25" s="91" ph="1">
        <f>T24*35.891*LOOKUP(T26,密度!$A$2:$A$50,密度!$Q$2:$Q$50)</f>
        <v>36566.014957759995</v>
      </c>
      <c r="U25" s="91" ph="1">
        <f>U24*35.891</f>
        <v>189648.04399999999</v>
      </c>
      <c r="V25" s="91" ph="1">
        <f>V24*47.051*LOOKUP(V26,密度!$A$2:$A$50,密度!$B$2:$B$50)</f>
        <v>326162.38766320003</v>
      </c>
      <c r="W25" s="91" ph="1">
        <f>W24*47.051*LOOKUP(W26,密度!$A$2:$A$50,密度!$B$2:$B$50)</f>
        <v>265815.65962200001</v>
      </c>
      <c r="X25" s="91" ph="1">
        <f>X24*47.051*LOOKUP(X26,密度!$A$2:$A$61,密度!$I$2:$I$61)</f>
        <v>213958.0847303</v>
      </c>
      <c r="Y25" s="91" ph="1">
        <f>Y24*47.051*LOOKUP(Y26,密度!$A$2:$A$50,密度!$L$2:$L$50)</f>
        <v>138536.117482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22</v>
      </c>
      <c r="G26" s="74">
        <v>22</v>
      </c>
      <c r="H26" s="74">
        <v>22</v>
      </c>
      <c r="I26" s="74">
        <v>23</v>
      </c>
      <c r="J26" s="74">
        <v>21</v>
      </c>
      <c r="K26" s="74">
        <v>20</v>
      </c>
      <c r="L26" s="74">
        <v>21</v>
      </c>
      <c r="M26" s="74">
        <v>21</v>
      </c>
      <c r="N26" s="74">
        <v>20</v>
      </c>
      <c r="O26" s="74">
        <v>22</v>
      </c>
      <c r="P26" s="74">
        <v>21</v>
      </c>
      <c r="Q26" s="93">
        <v>22</v>
      </c>
      <c r="R26" s="74">
        <v>23</v>
      </c>
      <c r="S26" s="74">
        <v>21</v>
      </c>
      <c r="T26" s="74">
        <v>20</v>
      </c>
      <c r="U26" s="74">
        <v>22</v>
      </c>
      <c r="V26" s="74">
        <v>21</v>
      </c>
      <c r="W26" s="74">
        <v>23</v>
      </c>
      <c r="X26" s="74">
        <v>52</v>
      </c>
      <c r="Y26" s="74">
        <v>24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44" t="s" ph="1">
        <v>180</v>
      </c>
      <c r="D27" s="71">
        <v>5.41</v>
      </c>
      <c r="E27" s="71">
        <v>64.11</v>
      </c>
      <c r="F27" s="71">
        <v>0</v>
      </c>
      <c r="G27" s="71">
        <v>2312</v>
      </c>
      <c r="H27" s="71">
        <v>1235</v>
      </c>
      <c r="I27" s="71">
        <v>1527</v>
      </c>
      <c r="J27" s="71">
        <v>2947</v>
      </c>
      <c r="K27" s="71">
        <v>441</v>
      </c>
      <c r="L27" s="71">
        <v>5557</v>
      </c>
      <c r="M27" s="71">
        <v>2644</v>
      </c>
      <c r="N27" s="71">
        <v>5778</v>
      </c>
      <c r="O27" s="71">
        <v>162</v>
      </c>
      <c r="P27" s="71">
        <v>365</v>
      </c>
      <c r="Q27" s="90">
        <v>5203</v>
      </c>
      <c r="R27" s="71">
        <v>4729</v>
      </c>
      <c r="S27" s="71">
        <v>2758</v>
      </c>
      <c r="T27" s="71">
        <v>1071</v>
      </c>
      <c r="U27" s="71">
        <v>4620</v>
      </c>
      <c r="V27" s="71">
        <v>8851</v>
      </c>
      <c r="W27" s="71">
        <v>7226</v>
      </c>
      <c r="X27" s="71">
        <v>4365</v>
      </c>
      <c r="Y27" s="71">
        <v>3725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44" t="s" ph="1">
        <v>178</v>
      </c>
      <c r="D28" s="91" ph="1">
        <f>D27*268.68*LOOKUP(D29,密度!$A$2:$A$50,密度!$Q$2:$Q$50)+IF(D27&lt;=0,0,1566*LOOKUP(D29,密度!$A$2:$A$50,密度!$Q$2:$Q$50))</f>
        <v>2858.7370983119999</v>
      </c>
      <c r="E28" s="91" ph="1">
        <f>E27*268.68*LOOKUP(E29,密度!$A$2:$A$50,密度!$C$2:$C$50)+IF(E27&lt;=0,0,1566*LOOKUP(E29,密度!$A$2:$A$50,密度!$C$2:$C$50))</f>
        <v>20837.422845720001</v>
      </c>
      <c r="F28" s="91" ph="1">
        <f>F27*11.702*LOOKUP(F29,密度!$A$2:$A$50,密度!$Q$2:$Q$50)</f>
        <v>0</v>
      </c>
      <c r="G28" s="91" ph="1">
        <f>G27*18.322*LOOKUP(G29,密度!$A$2:$A$50,密度!$B$2:$B$50)</f>
        <v>33138.590987199997</v>
      </c>
      <c r="H28" s="91" ph="1">
        <f>H27*18.322*LOOKUP(H29,密度!$A$2:$A$50,密度!$B$2:$B$50)</f>
        <v>17701.626240999998</v>
      </c>
      <c r="I28" s="91" ph="1">
        <f>I27*18.322*LOOKUP(I29,密度!$A$2:$A$50,密度!$Q$2:$Q$50)</f>
        <v>26528.449450800003</v>
      </c>
      <c r="J28" s="91" ph="1">
        <f>J27*18.322*LOOKUP(J29,密度!$A$2:$A$50,密度!$Q$2:$Q$50)</f>
        <v>51315.705374919999</v>
      </c>
      <c r="K28" s="91" ph="1">
        <f>K27*18.322*LOOKUP(K29,密度!$A$2:$A$50,密度!$Q$2:$Q$50)</f>
        <v>7679.07230076</v>
      </c>
      <c r="L28" s="91" ph="1">
        <f>L27*18.322*LOOKUP(L29,密度!$A$2:$A$50,密度!$Q$2:$Q$50)</f>
        <v>96541.318662799997</v>
      </c>
      <c r="M28" s="91" ph="1">
        <f>M27*18.322*LOOKUP(M29,密度!$A$2:$A$50,密度!$Q$2:$Q$50)</f>
        <v>45977.116135119992</v>
      </c>
      <c r="N28" s="91" ph="1">
        <f>N27*18.322*LOOKUP(N29,密度!$A$2:$A$50,密度!$Q$2:$Q$50)</f>
        <v>100303.45297452</v>
      </c>
      <c r="O28" s="91" ph="1">
        <f>O27*18.322*LOOKUP(O29,密度!$A$2:$A$50,密度!$C$2:$C$50)</f>
        <v>3302.3792663999998</v>
      </c>
      <c r="P28" s="91" ph="1">
        <f>P27*11.702*LOOKUP(P29,密度!$A$2:$A$50,密度!$B$2:$B$50)</f>
        <v>3341.3832289999996</v>
      </c>
      <c r="Q28" s="92" ph="1">
        <f>Q27*18.322*LOOKUP(Q29,密度!$A$2:$A$50,密度!$B$2:$B$50)</f>
        <v>74490.366592399994</v>
      </c>
      <c r="R28" s="91" ph="1">
        <f>R27*35.891*LOOKUP(R29,密度!$A$2:$A$50,密度!$C$2:$C$50)</f>
        <v>188585.37968289998</v>
      </c>
      <c r="S28" s="91" ph="1">
        <f>S27*35.891*LOOKUP(S29,密度!$A$2:$A$50,密度!$B$2:$B$50)</f>
        <v>77437.82580939999</v>
      </c>
      <c r="T28" s="91" ph="1">
        <f>T27*35.891*LOOKUP(T29,密度!$A$2:$A$50,密度!$Q$2:$Q$50)</f>
        <v>36531.904869179998</v>
      </c>
      <c r="U28" s="91" ph="1">
        <f>U27*35.891</f>
        <v>165816.41999999998</v>
      </c>
      <c r="V28" s="91" ph="1">
        <f>V27*47.051*LOOKUP(V29,密度!$A$2:$A$50,密度!$B$2:$B$50)</f>
        <v>326537.19122410001</v>
      </c>
      <c r="W28" s="91" ph="1">
        <f>W27*47.051*LOOKUP(W29,密度!$A$2:$A$50,密度!$B$2:$B$50)</f>
        <v>265668.59701640002</v>
      </c>
      <c r="X28" s="91" ph="1">
        <f>X27*47.051*LOOKUP(X29,密度!$A$2:$A$61,密度!$I$2:$I$61)</f>
        <v>206014.28560650005</v>
      </c>
      <c r="Y28" s="91" ph="1">
        <f>Y27*47.051*LOOKUP(Y29,密度!$A$2:$A$50,密度!$L$2:$L$50)</f>
        <v>164398.54655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44" t="s" ph="1">
        <v>179</v>
      </c>
      <c r="D29" s="74">
        <v>25</v>
      </c>
      <c r="E29" s="74">
        <v>25</v>
      </c>
      <c r="F29" s="74">
        <v>23</v>
      </c>
      <c r="G29" s="74">
        <v>22</v>
      </c>
      <c r="H29" s="74">
        <v>22</v>
      </c>
      <c r="I29" s="74">
        <v>23</v>
      </c>
      <c r="J29" s="74">
        <v>20</v>
      </c>
      <c r="K29" s="74">
        <v>20</v>
      </c>
      <c r="L29" s="74">
        <v>23</v>
      </c>
      <c r="M29" s="74">
        <v>22</v>
      </c>
      <c r="N29" s="74">
        <v>24</v>
      </c>
      <c r="O29" s="74">
        <v>20</v>
      </c>
      <c r="P29" s="74">
        <v>22</v>
      </c>
      <c r="Q29" s="93">
        <v>23</v>
      </c>
      <c r="R29" s="74">
        <v>22</v>
      </c>
      <c r="S29" s="74">
        <v>22</v>
      </c>
      <c r="T29" s="74">
        <v>20</v>
      </c>
      <c r="U29" s="74">
        <v>23</v>
      </c>
      <c r="V29" s="74">
        <v>20</v>
      </c>
      <c r="W29" s="74">
        <v>23</v>
      </c>
      <c r="X29" s="74">
        <v>60</v>
      </c>
      <c r="Y29" s="74">
        <v>24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85</v>
      </c>
      <c r="AC32" s="144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106115.9749614</v>
      </c>
      <c r="E33" s="196" ph="1">
        <f>M10+I10</f>
        <v>131008.5906026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22" ph="1">
        <v>0</v>
      </c>
      <c r="H33" s="196" ph="1">
        <f>N19</f>
        <v>47701.415315600003</v>
      </c>
      <c r="I33" s="200" ph="1">
        <v>0</v>
      </c>
      <c r="J33" s="204" ph="1">
        <f>F10+O28</f>
        <v>220462.32418200001</v>
      </c>
      <c r="K33" s="196" ph="1">
        <f>O10+K10+E28+R28</f>
        <v>324462.08415661997</v>
      </c>
      <c r="L33" s="206" ph="1">
        <f>BE27</f>
        <v>7100</v>
      </c>
      <c r="M33" s="204" ph="1">
        <f>G10+H10+W28+S28+V28+E10</f>
        <v>810438.36831290007</v>
      </c>
      <c r="N33" s="196" ph="1">
        <f>L10+P10++G28+H28</f>
        <v>75945.776352199988</v>
      </c>
      <c r="O33" s="200" ph="1">
        <f>BE17</f>
        <v>2270</v>
      </c>
      <c r="P33" s="204" ph="1">
        <f>L19</f>
        <v>12580.49548336</v>
      </c>
      <c r="Q33" s="196" ph="1">
        <f>J10+N10</f>
        <v>15523.166859200001</v>
      </c>
      <c r="R33" s="200" ph="1">
        <f>BE23</f>
        <v>890</v>
      </c>
      <c r="S33" s="204" ph="1">
        <f>E10+X28</f>
        <v>259166.16143850004</v>
      </c>
      <c r="T33" s="196" ph="1">
        <f>X19</f>
        <v>12013.98996744</v>
      </c>
      <c r="U33" s="185" ph="1">
        <f>BE21</f>
        <v>730</v>
      </c>
      <c r="V33" s="198" ph="1">
        <f ca="1">P19+Q19+S19+M28+N28+J28</f>
        <v>333233.04152894398</v>
      </c>
      <c r="W33" s="198" ph="1">
        <f>D28+F28+V19+T28</f>
        <v>86788.813741411985</v>
      </c>
      <c r="X33" s="200" ph="1">
        <f>BE29+BE31</f>
        <v>10200</v>
      </c>
      <c r="Y33" s="202" ph="1">
        <f>+Q10+R10+S10+T10+U10+V10+W10+X10+Y10</f>
        <v>147263.81240339999</v>
      </c>
      <c r="Z33" s="183" ph="1">
        <f>D10+T19+U19+Y28+Z10</f>
        <v>543171.14208074997</v>
      </c>
      <c r="AA33" s="185" ph="1">
        <f>BE19</f>
        <v>1440</v>
      </c>
      <c r="AB33" s="187" ph="1">
        <f>I19</f>
        <v>15028.517656800001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46" t="s" ph="1">
        <v>185</v>
      </c>
      <c r="AA36" s="146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342</v>
      </c>
      <c r="AI37" s="146" t="s" ph="1">
        <v>209</v>
      </c>
      <c r="AJ37" s="146" t="s" ph="1">
        <v>210</v>
      </c>
      <c r="AK37" s="146" t="s" ph="1">
        <v>211</v>
      </c>
      <c r="AM37" s="146" t="s" ph="1">
        <v>210</v>
      </c>
      <c r="AN37" s="146" t="s" ph="1">
        <v>211</v>
      </c>
      <c r="AO37" s="146" t="s" ph="1">
        <v>212</v>
      </c>
      <c r="AP37" s="146" t="s" ph="1">
        <v>210</v>
      </c>
      <c r="AQ37" s="146" t="s" ph="1">
        <v>211</v>
      </c>
      <c r="AR37" s="146" t="s" ph="1">
        <v>212</v>
      </c>
      <c r="AS37" s="146" t="s" ph="1">
        <v>210</v>
      </c>
      <c r="AT37" s="146" t="s" ph="1">
        <v>211</v>
      </c>
      <c r="AU37" s="146" t="s" ph="1">
        <v>212</v>
      </c>
      <c r="AV37" s="146" t="s" ph="1">
        <v>210</v>
      </c>
      <c r="AW37" s="146" t="s" ph="1">
        <v>211</v>
      </c>
      <c r="AX37" s="146" t="s" ph="1">
        <v>212</v>
      </c>
      <c r="AY37" s="146" t="s" ph="1">
        <v>211</v>
      </c>
      <c r="AZ37" s="146" t="s" ph="1">
        <v>213</v>
      </c>
      <c r="BD37" s="146" t="s" ph="1">
        <v>305</v>
      </c>
      <c r="BE37" s="14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820" priority="98">
      <formula>ABS(D$7-D$10)&gt;=1000</formula>
    </cfRule>
  </conditionalFormatting>
  <conditionalFormatting sqref="E4 E6:E11">
    <cfRule type="expression" dxfId="2819" priority="97">
      <formula>ABS(E$7-E$10)&gt;=1000</formula>
    </cfRule>
  </conditionalFormatting>
  <conditionalFormatting sqref="F4:F11">
    <cfRule type="expression" dxfId="2818" priority="96">
      <formula>ABS(F$7-F$10)&gt;=1000</formula>
    </cfRule>
  </conditionalFormatting>
  <conditionalFormatting sqref="G4:G11">
    <cfRule type="expression" dxfId="2817" priority="95">
      <formula>ABS(G$7-G$10)&gt;=1000</formula>
    </cfRule>
  </conditionalFormatting>
  <conditionalFormatting sqref="H4:H11">
    <cfRule type="expression" dxfId="2816" priority="94">
      <formula>ABS(H$7-H$10)&gt;=1000</formula>
    </cfRule>
  </conditionalFormatting>
  <conditionalFormatting sqref="I4:I11">
    <cfRule type="expression" dxfId="2815" priority="93">
      <formula>ABS(I$7-I$10)&gt;=1000</formula>
    </cfRule>
  </conditionalFormatting>
  <conditionalFormatting sqref="J4:J11">
    <cfRule type="expression" dxfId="2814" priority="92">
      <formula>ABS(J$7-J$10)&gt;=1000</formula>
    </cfRule>
  </conditionalFormatting>
  <conditionalFormatting sqref="K4:K11">
    <cfRule type="expression" dxfId="2813" priority="91">
      <formula>ABS(K$7-K$10)&gt;=1000</formula>
    </cfRule>
  </conditionalFormatting>
  <conditionalFormatting sqref="L4:L11">
    <cfRule type="expression" dxfId="2812" priority="90">
      <formula>ABS(L$7-L$10)&gt;=1000</formula>
    </cfRule>
  </conditionalFormatting>
  <conditionalFormatting sqref="M4 M6:M11">
    <cfRule type="expression" dxfId="2811" priority="89">
      <formula>ABS(M$7-M$10)&gt;=1000</formula>
    </cfRule>
  </conditionalFormatting>
  <conditionalFormatting sqref="N4 N6:N11">
    <cfRule type="expression" dxfId="2810" priority="88">
      <formula>ABS(N$7-N$10)&gt;=1000</formula>
    </cfRule>
  </conditionalFormatting>
  <conditionalFormatting sqref="O4 O6:O11">
    <cfRule type="expression" dxfId="2809" priority="87">
      <formula>ABS(O$7-O$10)&gt;=1000</formula>
    </cfRule>
  </conditionalFormatting>
  <conditionalFormatting sqref="P4 P6:P11">
    <cfRule type="expression" dxfId="2808" priority="86">
      <formula>ABS(P$7-P$10)&gt;=1000</formula>
    </cfRule>
  </conditionalFormatting>
  <conditionalFormatting sqref="Q4:Q11">
    <cfRule type="expression" dxfId="2807" priority="85">
      <formula>ABS(Q$7-Q$10)&gt;=1000</formula>
    </cfRule>
  </conditionalFormatting>
  <conditionalFormatting sqref="R4:R11">
    <cfRule type="expression" dxfId="2806" priority="84">
      <formula>ABS(R$7-R$10)&gt;=1000</formula>
    </cfRule>
  </conditionalFormatting>
  <conditionalFormatting sqref="S4:S11">
    <cfRule type="expression" dxfId="2805" priority="83">
      <formula>ABS(S$7-S$10)&gt;=1000</formula>
    </cfRule>
  </conditionalFormatting>
  <conditionalFormatting sqref="T4:T9 T11">
    <cfRule type="expression" dxfId="2804" priority="82">
      <formula>ABS(T$7-T$10)&gt;=1000</formula>
    </cfRule>
  </conditionalFormatting>
  <conditionalFormatting sqref="U4:U9 U11">
    <cfRule type="expression" dxfId="2803" priority="81">
      <formula>ABS(U$7-U$10)&gt;=1000</formula>
    </cfRule>
  </conditionalFormatting>
  <conditionalFormatting sqref="V4:V9 V11">
    <cfRule type="expression" dxfId="2802" priority="80">
      <formula>ABS(V$7-V$10)&gt;=1000</formula>
    </cfRule>
  </conditionalFormatting>
  <conditionalFormatting sqref="W4:W9 W11">
    <cfRule type="expression" dxfId="2801" priority="79">
      <formula>ABS(W$7-W$10)&gt;=1000</formula>
    </cfRule>
  </conditionalFormatting>
  <conditionalFormatting sqref="X4:X9 X11">
    <cfRule type="expression" dxfId="2800" priority="78">
      <formula>ABS(X$7-X$10)&gt;=1000</formula>
    </cfRule>
  </conditionalFormatting>
  <conditionalFormatting sqref="Y4:Y9 Y11">
    <cfRule type="expression" dxfId="2799" priority="77">
      <formula>ABS(Y$7-Y$10)&gt;=1000</formula>
    </cfRule>
  </conditionalFormatting>
  <conditionalFormatting sqref="Z4:Z11">
    <cfRule type="expression" dxfId="2798" priority="76">
      <formula>ABS(Z$7-Z$10)&gt;=1000</formula>
    </cfRule>
  </conditionalFormatting>
  <conditionalFormatting sqref="AA4:AA11">
    <cfRule type="expression" dxfId="2797" priority="75">
      <formula>ABS(AA$7-AA$10)&gt;=1000</formula>
    </cfRule>
  </conditionalFormatting>
  <conditionalFormatting sqref="AB4:AB11">
    <cfRule type="expression" dxfId="2796" priority="74">
      <formula>ABS(AB$7-AB$10)&gt;=1000</formula>
    </cfRule>
  </conditionalFormatting>
  <conditionalFormatting sqref="AC4 AC6:AC11">
    <cfRule type="expression" dxfId="2795" priority="73">
      <formula>ABS(AC$7-AC$10)&gt;=1000</formula>
    </cfRule>
  </conditionalFormatting>
  <conditionalFormatting sqref="AD4:AD11">
    <cfRule type="expression" dxfId="2794" priority="72">
      <formula>ABS(AD$7-AD$10)&gt;=1000</formula>
    </cfRule>
  </conditionalFormatting>
  <conditionalFormatting sqref="AE4 AE6:AE11">
    <cfRule type="expression" dxfId="2793" priority="71">
      <formula>ABS(AE$7-AE$10)&gt;=1000</formula>
    </cfRule>
  </conditionalFormatting>
  <conditionalFormatting sqref="D13:D20">
    <cfRule type="expression" dxfId="2792" priority="70">
      <formula>ABS(D$16-D$19)&gt;=1000</formula>
    </cfRule>
  </conditionalFormatting>
  <conditionalFormatting sqref="E13:E20">
    <cfRule type="expression" dxfId="2791" priority="69">
      <formula>ABS(E$16-E$19)&gt;=1000</formula>
    </cfRule>
  </conditionalFormatting>
  <conditionalFormatting sqref="F13 F15:F20">
    <cfRule type="expression" dxfId="2790" priority="68">
      <formula>ABS(F$16-F$19)&gt;=1000</formula>
    </cfRule>
  </conditionalFormatting>
  <conditionalFormatting sqref="G13:G20">
    <cfRule type="expression" dxfId="2789" priority="67">
      <formula>ABS(G$16-G$19)&gt;=1000</formula>
    </cfRule>
  </conditionalFormatting>
  <conditionalFormatting sqref="H13:H20">
    <cfRule type="expression" dxfId="2788" priority="66">
      <formula>ABS(H$16-H$19)&gt;=1000</formula>
    </cfRule>
  </conditionalFormatting>
  <conditionalFormatting sqref="I13:I20">
    <cfRule type="expression" dxfId="2787" priority="65">
      <formula>ABS(I$16-I$19)&gt;=1000</formula>
    </cfRule>
  </conditionalFormatting>
  <conditionalFormatting sqref="J13:J20">
    <cfRule type="expression" dxfId="2786" priority="64">
      <formula>ABS(J$16-J$19)&gt;=1000</formula>
    </cfRule>
  </conditionalFormatting>
  <conditionalFormatting sqref="L13:L20">
    <cfRule type="expression" dxfId="2785" priority="63">
      <formula>ABS(L$16-L$19)&gt;=1000</formula>
    </cfRule>
  </conditionalFormatting>
  <conditionalFormatting sqref="M13 M15 M17:M18 M20">
    <cfRule type="expression" dxfId="2784" priority="62">
      <formula>ABS(M$16-M$19)&gt;=1000</formula>
    </cfRule>
  </conditionalFormatting>
  <conditionalFormatting sqref="N13:N20">
    <cfRule type="expression" dxfId="2783" priority="61">
      <formula>ABS(N$16-N$19)&gt;=1000</formula>
    </cfRule>
  </conditionalFormatting>
  <conditionalFormatting sqref="O13:O20">
    <cfRule type="expression" dxfId="2782" priority="60">
      <formula>ABS(O$16-O$19)&gt;=1000</formula>
    </cfRule>
  </conditionalFormatting>
  <conditionalFormatting sqref="P13:P20">
    <cfRule type="expression" dxfId="2781" priority="59">
      <formula>ABS(P$16-P$19)&gt;=1000</formula>
    </cfRule>
  </conditionalFormatting>
  <conditionalFormatting sqref="Q13 Q15:Q20">
    <cfRule type="expression" dxfId="2780" priority="58">
      <formula>ABS(Q$16-Q$19)&gt;=1000</formula>
    </cfRule>
  </conditionalFormatting>
  <conditionalFormatting sqref="R13:R20">
    <cfRule type="expression" dxfId="2779" priority="57">
      <formula>ABS(R$16-R$19)&gt;=1000</formula>
    </cfRule>
  </conditionalFormatting>
  <conditionalFormatting sqref="S13:S20">
    <cfRule type="expression" dxfId="2778" priority="56">
      <formula>ABS(S$16-S$19)&gt;=1000</formula>
    </cfRule>
  </conditionalFormatting>
  <conditionalFormatting sqref="T13:T20">
    <cfRule type="expression" dxfId="2777" priority="55">
      <formula>ABS(T$16-T$19)&gt;=1000</formula>
    </cfRule>
  </conditionalFormatting>
  <conditionalFormatting sqref="U13:U20">
    <cfRule type="expression" dxfId="2776" priority="54">
      <formula>ABS(U$16-U$19)&gt;=1000</formula>
    </cfRule>
  </conditionalFormatting>
  <conditionalFormatting sqref="V13:V20">
    <cfRule type="expression" dxfId="2775" priority="53">
      <formula>ABS(V$16-V$19)&gt;=1000</formula>
    </cfRule>
  </conditionalFormatting>
  <conditionalFormatting sqref="W13 W20 W15:W18">
    <cfRule type="expression" dxfId="2774" priority="52">
      <formula>ABS(W$16-W$19)&gt;=1000</formula>
    </cfRule>
  </conditionalFormatting>
  <conditionalFormatting sqref="X13 X15:X20 Y19">
    <cfRule type="expression" dxfId="2773" priority="51">
      <formula>ABS(X$16-X$19)&gt;=1000</formula>
    </cfRule>
  </conditionalFormatting>
  <conditionalFormatting sqref="Y13 Y15:Y18 Y20">
    <cfRule type="expression" dxfId="2772" priority="50">
      <formula>ABS(Y$16-Y$19)&gt;=1000</formula>
    </cfRule>
  </conditionalFormatting>
  <conditionalFormatting sqref="Z13:Z20">
    <cfRule type="expression" dxfId="2771" priority="49">
      <formula>ABS(Z$16-Z$19)&gt;=1000</formula>
    </cfRule>
  </conditionalFormatting>
  <conditionalFormatting sqref="AA13:AA20">
    <cfRule type="expression" dxfId="2770" priority="48">
      <formula>ABS(AA$16-AA$19)&gt;=1000</formula>
    </cfRule>
  </conditionalFormatting>
  <conditionalFormatting sqref="AB13 AB15:AB20">
    <cfRule type="expression" dxfId="2769" priority="47">
      <formula>ABS(AB$16-AB$19)&gt;=1000</formula>
    </cfRule>
  </conditionalFormatting>
  <conditionalFormatting sqref="AC13 AC15:AC20">
    <cfRule type="expression" dxfId="2768" priority="46">
      <formula>ABS(AC$16-AC$19)&gt;=1000</formula>
    </cfRule>
  </conditionalFormatting>
  <conditionalFormatting sqref="AD13:AD20">
    <cfRule type="expression" dxfId="2767" priority="45">
      <formula>ABS(AD$16-AD$19)&gt;=1000</formula>
    </cfRule>
  </conditionalFormatting>
  <conditionalFormatting sqref="AE13:AE20">
    <cfRule type="expression" dxfId="2766" priority="44">
      <formula>ABS(AE$16-AE$19)&gt;=1000</formula>
    </cfRule>
  </conditionalFormatting>
  <conditionalFormatting sqref="D22:D29">
    <cfRule type="expression" dxfId="2765" priority="43">
      <formula>ABS(D$25-D$28)&gt;=1000</formula>
    </cfRule>
  </conditionalFormatting>
  <conditionalFormatting sqref="E22:E29">
    <cfRule type="expression" dxfId="2764" priority="42">
      <formula>ABS(E$25-E$28)&gt;=1000</formula>
    </cfRule>
  </conditionalFormatting>
  <conditionalFormatting sqref="F22:F29">
    <cfRule type="expression" dxfId="2763" priority="41">
      <formula>ABS(F$25-F$28)&gt;=1000</formula>
    </cfRule>
  </conditionalFormatting>
  <conditionalFormatting sqref="G22:G29">
    <cfRule type="expression" dxfId="2762" priority="40">
      <formula>ABS(G$25-G$28)&gt;=1000</formula>
    </cfRule>
  </conditionalFormatting>
  <conditionalFormatting sqref="H22:H29">
    <cfRule type="expression" dxfId="2761" priority="39">
      <formula>ABS(H$25-H$28)&gt;=1000</formula>
    </cfRule>
  </conditionalFormatting>
  <conditionalFormatting sqref="I22 I24:I29">
    <cfRule type="expression" dxfId="2760" priority="38">
      <formula>ABS(I$25-I$28)&gt;=1000</formula>
    </cfRule>
  </conditionalFormatting>
  <conditionalFormatting sqref="J22:J29 K22">
    <cfRule type="expression" dxfId="2759" priority="37">
      <formula>ABS(J$25-J$28)&gt;=1000</formula>
    </cfRule>
  </conditionalFormatting>
  <conditionalFormatting sqref="K23:K29 L25 L28">
    <cfRule type="expression" dxfId="2758" priority="36">
      <formula>ABS(K$25-K$28)&gt;=1000</formula>
    </cfRule>
  </conditionalFormatting>
  <conditionalFormatting sqref="L22 L26:L27 L29 L24">
    <cfRule type="expression" dxfId="2757" priority="35">
      <formula>ABS(L$25-L$28)&gt;=1000</formula>
    </cfRule>
  </conditionalFormatting>
  <conditionalFormatting sqref="M22:M29">
    <cfRule type="expression" dxfId="2756" priority="34">
      <formula>ABS(M$25-M$28)&gt;=1000</formula>
    </cfRule>
  </conditionalFormatting>
  <conditionalFormatting sqref="N22:N29">
    <cfRule type="expression" dxfId="2755" priority="33">
      <formula>ABS(N$25-N$28)&gt;=1000</formula>
    </cfRule>
  </conditionalFormatting>
  <conditionalFormatting sqref="O22:O29">
    <cfRule type="expression" dxfId="2754" priority="32">
      <formula>ABS(O$25-O$28)&gt;=1000</formula>
    </cfRule>
  </conditionalFormatting>
  <conditionalFormatting sqref="P22:P29">
    <cfRule type="expression" dxfId="2753" priority="31">
      <formula>ABS(P$25-P$28)&gt;=1000</formula>
    </cfRule>
  </conditionalFormatting>
  <conditionalFormatting sqref="Q22:Q29">
    <cfRule type="expression" dxfId="2752" priority="30">
      <formula>ABS(Q$25-Q$28)&gt;=1000</formula>
    </cfRule>
  </conditionalFormatting>
  <conditionalFormatting sqref="R22:R29">
    <cfRule type="expression" dxfId="2751" priority="29">
      <formula>ABS(R$25-R$28)&gt;=1000</formula>
    </cfRule>
  </conditionalFormatting>
  <conditionalFormatting sqref="S22:S29">
    <cfRule type="expression" dxfId="2750" priority="28">
      <formula>ABS(S$25-S$28)&gt;=1000</formula>
    </cfRule>
  </conditionalFormatting>
  <conditionalFormatting sqref="T22:T29">
    <cfRule type="expression" dxfId="2749" priority="27">
      <formula>ABS(T$25-T$28)&gt;=1000</formula>
    </cfRule>
  </conditionalFormatting>
  <conditionalFormatting sqref="U22:U29">
    <cfRule type="expression" dxfId="2748" priority="26">
      <formula>ABS(U$25-U$28)&gt;=1000</formula>
    </cfRule>
  </conditionalFormatting>
  <conditionalFormatting sqref="V22:V29">
    <cfRule type="expression" dxfId="2747" priority="25">
      <formula>ABS(V$25-V$28)&gt;=1000</formula>
    </cfRule>
  </conditionalFormatting>
  <conditionalFormatting sqref="W22:W29">
    <cfRule type="expression" dxfId="2746" priority="24">
      <formula>ABS(W$25-W$28)&gt;=1000</formula>
    </cfRule>
  </conditionalFormatting>
  <conditionalFormatting sqref="X22:X29">
    <cfRule type="expression" dxfId="2745" priority="23">
      <formula>ABS(X$25-X$28)&gt;=1000</formula>
    </cfRule>
  </conditionalFormatting>
  <conditionalFormatting sqref="Y22:Y29">
    <cfRule type="expression" dxfId="2744" priority="22">
      <formula>ABS(Y$25-Y$28)&gt;=1000</formula>
    </cfRule>
  </conditionalFormatting>
  <conditionalFormatting sqref="I23">
    <cfRule type="expression" dxfId="2743" priority="21">
      <formula>ABS(I$25-I$28)&gt;=1000</formula>
    </cfRule>
  </conditionalFormatting>
  <conditionalFormatting sqref="Q14">
    <cfRule type="expression" dxfId="2742" priority="20">
      <formula>ABS(Q$16-Q$19)&gt;=1000</formula>
    </cfRule>
  </conditionalFormatting>
  <conditionalFormatting sqref="W14">
    <cfRule type="expression" dxfId="2741" priority="19">
      <formula>ABS(W$16-W$19)&gt;=1000</formula>
    </cfRule>
  </conditionalFormatting>
  <conditionalFormatting sqref="Y14">
    <cfRule type="expression" dxfId="2740" priority="18">
      <formula>ABS(Y$16-Y$19)&gt;=1000</formula>
    </cfRule>
  </conditionalFormatting>
  <conditionalFormatting sqref="X14">
    <cfRule type="expression" dxfId="2739" priority="17">
      <formula>ABS(X$16-X$19)&gt;=1000</formula>
    </cfRule>
  </conditionalFormatting>
  <conditionalFormatting sqref="T10:Y10">
    <cfRule type="expression" dxfId="2738" priority="16">
      <formula>ABS(T$7-T$10)&gt;=1000</formula>
    </cfRule>
  </conditionalFormatting>
  <conditionalFormatting sqref="W19">
    <cfRule type="expression" dxfId="2737" priority="15">
      <formula>ABS(W$16-W$19)&gt;=1000</formula>
    </cfRule>
  </conditionalFormatting>
  <conditionalFormatting sqref="AC5">
    <cfRule type="expression" dxfId="2736" priority="14">
      <formula>ABS(AC$7-AC$10)&gt;=1000</formula>
    </cfRule>
  </conditionalFormatting>
  <conditionalFormatting sqref="M14">
    <cfRule type="expression" dxfId="2735" priority="13">
      <formula>ABS(M$16-M$19)&gt;=1000</formula>
    </cfRule>
  </conditionalFormatting>
  <conditionalFormatting sqref="M16">
    <cfRule type="expression" dxfId="2734" priority="12">
      <formula>ABS(M$16-M$19)&gt;=1000</formula>
    </cfRule>
  </conditionalFormatting>
  <conditionalFormatting sqref="M19">
    <cfRule type="expression" dxfId="2733" priority="11">
      <formula>ABS(M$16-M$19)&gt;=1000</formula>
    </cfRule>
  </conditionalFormatting>
  <conditionalFormatting sqref="K13:K20">
    <cfRule type="expression" dxfId="2732" priority="10">
      <formula>ABS(K$16-K$19)&gt;=1000</formula>
    </cfRule>
  </conditionalFormatting>
  <conditionalFormatting sqref="E5">
    <cfRule type="expression" dxfId="2731" priority="9">
      <formula>ABS(E$7-E$10)&gt;=1000</formula>
    </cfRule>
  </conditionalFormatting>
  <conditionalFormatting sqref="AB14:AC14">
    <cfRule type="expression" dxfId="2730" priority="8">
      <formula>ABS(AB$16-AB$19)&gt;=1000</formula>
    </cfRule>
  </conditionalFormatting>
  <conditionalFormatting sqref="M5">
    <cfRule type="expression" dxfId="2729" priority="7">
      <formula>ABS(M$7-M$10)&gt;=1000</formula>
    </cfRule>
  </conditionalFormatting>
  <conditionalFormatting sqref="N5">
    <cfRule type="expression" dxfId="2728" priority="6">
      <formula>ABS(N$7-N$10)&gt;=1000</formula>
    </cfRule>
  </conditionalFormatting>
  <conditionalFormatting sqref="O5">
    <cfRule type="expression" dxfId="2727" priority="5">
      <formula>ABS(O$7-O$10)&gt;=1000</formula>
    </cfRule>
  </conditionalFormatting>
  <conditionalFormatting sqref="P5">
    <cfRule type="expression" dxfId="2726" priority="4">
      <formula>ABS(P$7-P$10)&gt;=1000</formula>
    </cfRule>
  </conditionalFormatting>
  <conditionalFormatting sqref="L23">
    <cfRule type="expression" dxfId="2725" priority="3">
      <formula>ABS(L$25-L$28)&gt;=1000</formula>
    </cfRule>
  </conditionalFormatting>
  <conditionalFormatting sqref="F14">
    <cfRule type="expression" dxfId="2724" priority="2">
      <formula>ABS(F$16-F$19)&gt;=1000</formula>
    </cfRule>
  </conditionalFormatting>
  <conditionalFormatting sqref="AE5">
    <cfRule type="expression" dxfId="2723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69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76">
    <pageSetUpPr fitToPage="1"/>
  </sheetPr>
  <dimension ref="A1:CU223"/>
  <sheetViews>
    <sheetView view="pageBreakPreview" topLeftCell="A19" zoomScale="70" zoomScaleNormal="100" zoomScaleSheetLayoutView="70" workbookViewId="0">
      <selection activeCell="AG6" sqref="AG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45993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47" t="s" ph="1">
        <v>177</v>
      </c>
      <c r="D6" s="71">
        <v>5117</v>
      </c>
      <c r="E6" s="71">
        <v>1379</v>
      </c>
      <c r="F6" s="71">
        <v>6377</v>
      </c>
      <c r="G6" s="71">
        <v>67</v>
      </c>
      <c r="H6" s="71">
        <v>1541</v>
      </c>
      <c r="I6" s="71">
        <v>27.11</v>
      </c>
      <c r="J6" s="71">
        <v>7.02</v>
      </c>
      <c r="K6" s="71">
        <v>6.91</v>
      </c>
      <c r="L6" s="71">
        <v>53.72</v>
      </c>
      <c r="M6" s="71">
        <v>3598</v>
      </c>
      <c r="N6" s="71">
        <v>360</v>
      </c>
      <c r="O6" s="71">
        <v>4966</v>
      </c>
      <c r="P6" s="71">
        <v>785</v>
      </c>
      <c r="Q6" s="71">
        <v>0</v>
      </c>
      <c r="R6" s="71">
        <v>0</v>
      </c>
      <c r="S6" s="71">
        <v>0</v>
      </c>
      <c r="T6" s="71">
        <v>0</v>
      </c>
      <c r="U6" s="71">
        <v>241</v>
      </c>
      <c r="V6" s="71">
        <v>4979</v>
      </c>
      <c r="W6" s="71">
        <v>5916</v>
      </c>
      <c r="X6" s="71">
        <v>6001</v>
      </c>
      <c r="Y6" s="71">
        <v>2</v>
      </c>
      <c r="Z6" s="71">
        <v>4147</v>
      </c>
      <c r="AA6" s="71">
        <v>1935</v>
      </c>
      <c r="AB6" s="71">
        <v>1896</v>
      </c>
      <c r="AC6" s="71">
        <v>7609</v>
      </c>
      <c r="AD6" s="71">
        <v>4780</v>
      </c>
      <c r="AE6" s="71">
        <v>4828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161254.90325259001</v>
      </c>
      <c r="E7" s="73" ph="1">
        <f>E6*51.53*LOOKUP(E8,密度!$A$2:$A$50,密度!$B$2:$B$50)</f>
        <v>55774.891963000002</v>
      </c>
      <c r="F7" s="73" ph="1">
        <f>F6*33.183*LOOKUP(F8,密度!$A$2:$A$50,密度!$C$2:$C$50)</f>
        <v>235435.05078660001</v>
      </c>
      <c r="G7" s="73" ph="1">
        <f xml:space="preserve"> (G6+2)*51.53*LOOKUP(G8,密度!$A$2:$A$50,密度!$B$2:$B$50)</f>
        <v>2787.9224370000002</v>
      </c>
      <c r="H7" s="73" ph="1">
        <f>(H6)*51.53*LOOKUP(H8,密度!$A$2:$A$50,密度!$B$2:$B$50)</f>
        <v>62446.238871999994</v>
      </c>
      <c r="I7" s="73" ph="1">
        <f>I6*290.8*1.0267</f>
        <v>8094.0797995999992</v>
      </c>
      <c r="J7" s="73" ph="1">
        <f>J6*290.8*0.7892</f>
        <v>1611.0855071999999</v>
      </c>
      <c r="K7" s="73" ph="1">
        <f>K6*290.8*1.1126</f>
        <v>2235.6895928000004</v>
      </c>
      <c r="L7" s="73" ph="1">
        <f>L6*290.8*0.777</f>
        <v>12138.119952000001</v>
      </c>
      <c r="M7" s="73" ph="1">
        <f>M6*33.183*LOOKUP(M8,密度!$A$2:$A$50,密度!$D$2:$D$50)</f>
        <v>123141.35642760001</v>
      </c>
      <c r="N7" s="73" ph="1">
        <f>N6*33.183*LOOKUP(N8,密度!$A$2:$A$50,密度!$E$2:$E$50)</f>
        <v>9413.353439999999</v>
      </c>
      <c r="O7" s="73" ph="1">
        <f>O6*20.428*LOOKUP(O8,密度!$A$2:$A$50,密度!$C$2:$C$50)</f>
        <v>112411.70092880001</v>
      </c>
      <c r="P7" s="73" ph="1">
        <f>P6*51.53*LOOKUP(P8,密度!$A$2:$A$50,密度!$B$2:$B$50)</f>
        <v>31782.389985000002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1601.3206439999999</v>
      </c>
      <c r="V7" s="73" ph="1">
        <f>V6*1.5*1.5*3.1416*LOOKUP(V8,密度!$A$2:$A$50,密度!$L$2:$L$50)</f>
        <v>32942.107598399998</v>
      </c>
      <c r="W7" s="73" ph="1">
        <f>W6*1.5*1.5*3.1416*LOOKUP(W8,密度!$A$2:$A$50,密度!$L$2:$L$50)</f>
        <v>39350.585181599999</v>
      </c>
      <c r="X7" s="73" ph="1">
        <f>X6*1.5*1.5*3.1416*LOOKUP(X8,密度!$A$2:$A$50,密度!$L$2:$L$50)</f>
        <v>39915.967152599995</v>
      </c>
      <c r="Y7" s="73" ph="1">
        <f>Y6*1.5*1.5*3.1416*LOOKUP(Y8,密度!$A$2:$A$50,密度!$L$2:$L$50)</f>
        <v>13.303105199999999</v>
      </c>
      <c r="Z7" s="73" ph="1">
        <f>Z6*33.183*LOOKUP(Z8,密度!$A$2:$A$50,密度!$L$2:$L$50)</f>
        <v>129766.13664300001</v>
      </c>
      <c r="AA7" s="73" ph="1">
        <f>AA6*33.183*LOOKUP(AA8,密度!$A$2:$A$50,密度!$D$2:$D$50)</f>
        <v>66225.270897000009</v>
      </c>
      <c r="AB7" s="73" ph="1">
        <f>AB6*20.428*LOOKUP(AB8,密度!$A$2:$A$50,密度!$D$2:$D$50)</f>
        <v>40110.328972800009</v>
      </c>
      <c r="AC7" s="73" ph="1">
        <f>AC6*51.53*LOOKUP(AC8,密度!$A$2:$A$50,密度!$Q$2:$Q$50)</f>
        <v>373275.28595770005</v>
      </c>
      <c r="AD7" s="73" ph="1">
        <f>AD6*20.428*LOOKUP(AD8,密度!$A$2:$A$50,密度!$V$2:$V$50)</f>
        <v>94130.589760000003</v>
      </c>
      <c r="AE7" s="73" ph="1">
        <f>AE6*20.428</f>
        <v>98626.384000000005</v>
      </c>
    </row>
    <row r="8" spans="1:99" ph="1">
      <c r="B8" s="247" ph="1"/>
      <c r="C8" s="68" t="s" ph="1">
        <v>179</v>
      </c>
      <c r="D8" s="74">
        <v>21</v>
      </c>
      <c r="E8" s="74">
        <v>19</v>
      </c>
      <c r="F8" s="74">
        <v>20</v>
      </c>
      <c r="G8" s="74">
        <v>20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21</v>
      </c>
      <c r="O8" s="74">
        <v>26</v>
      </c>
      <c r="P8" s="74">
        <v>18</v>
      </c>
      <c r="Q8" s="74">
        <v>23</v>
      </c>
      <c r="R8" s="74">
        <v>22</v>
      </c>
      <c r="S8" s="74">
        <v>17</v>
      </c>
      <c r="T8" s="74">
        <v>17</v>
      </c>
      <c r="U8" s="74">
        <v>22</v>
      </c>
      <c r="V8" s="74">
        <v>26</v>
      </c>
      <c r="W8" s="74">
        <v>21</v>
      </c>
      <c r="X8" s="74">
        <v>21</v>
      </c>
      <c r="Y8" s="74">
        <v>21</v>
      </c>
      <c r="Z8" s="74">
        <v>19</v>
      </c>
      <c r="AA8" s="74">
        <v>20</v>
      </c>
      <c r="AB8" s="74">
        <v>15</v>
      </c>
      <c r="AC8" s="74">
        <v>18</v>
      </c>
      <c r="AD8" s="74">
        <v>18</v>
      </c>
      <c r="AE8" s="74">
        <v>25</v>
      </c>
    </row>
    <row r="9" spans="1:99" ht="26.4" ph="1">
      <c r="B9" s="247" ph="1">
        <v>0.66666666666666663</v>
      </c>
      <c r="C9" s="147" t="s" ph="1">
        <v>180</v>
      </c>
      <c r="D9" s="71">
        <v>5119</v>
      </c>
      <c r="E9" s="71">
        <v>1261</v>
      </c>
      <c r="F9" s="71">
        <v>6503</v>
      </c>
      <c r="G9" s="71">
        <v>67</v>
      </c>
      <c r="H9" s="71">
        <v>1266</v>
      </c>
      <c r="I9" s="71">
        <v>27.11</v>
      </c>
      <c r="J9" s="71">
        <v>7.12</v>
      </c>
      <c r="K9" s="71">
        <v>6.82</v>
      </c>
      <c r="L9" s="71">
        <v>22.01</v>
      </c>
      <c r="M9" s="71">
        <v>3598</v>
      </c>
      <c r="N9" s="71">
        <v>360</v>
      </c>
      <c r="O9" s="71">
        <v>4058</v>
      </c>
      <c r="P9" s="71">
        <v>671</v>
      </c>
      <c r="Q9" s="71">
        <v>2181</v>
      </c>
      <c r="R9" s="71">
        <v>0</v>
      </c>
      <c r="S9" s="71">
        <v>0</v>
      </c>
      <c r="T9" s="71">
        <v>0</v>
      </c>
      <c r="U9" s="71">
        <v>0</v>
      </c>
      <c r="V9" s="71">
        <v>1320</v>
      </c>
      <c r="W9" s="71">
        <v>5924</v>
      </c>
      <c r="X9" s="71">
        <v>6008</v>
      </c>
      <c r="Y9" s="71">
        <v>4711</v>
      </c>
      <c r="Z9" s="71">
        <v>1851</v>
      </c>
      <c r="AA9" s="71">
        <v>1934</v>
      </c>
      <c r="AB9" s="71">
        <v>1816</v>
      </c>
      <c r="AC9" s="71">
        <v>7941</v>
      </c>
      <c r="AD9" s="71">
        <v>4780</v>
      </c>
      <c r="AE9" s="71">
        <v>4509</v>
      </c>
    </row>
    <row r="10" spans="1:99" s="72" customFormat="1" ht="22.2" ph="1">
      <c r="B10" s="247" ph="1"/>
      <c r="C10" s="147" t="s" ph="1">
        <v>178</v>
      </c>
      <c r="D10" s="73" ph="1">
        <f>D9*33.183*LOOKUP(D11,密度!$A$2:$A$50,密度!$Q$2:$Q$50)</f>
        <v>161216.01211293001</v>
      </c>
      <c r="E10" s="73" ph="1">
        <f>E9*51.53*LOOKUP(E11,密度!$A$2:$A$50,密度!$B$2:$B$50)</f>
        <v>50891.811256000001</v>
      </c>
      <c r="F10" s="73" ph="1">
        <f>F9*33.183*LOOKUP(F11,密度!$A$2:$A$50,密度!$C$2:$C$50)</f>
        <v>240086.89591740002</v>
      </c>
      <c r="G10" s="73" ph="1">
        <f xml:space="preserve"> (G9+2)*51.53*LOOKUP(G11,密度!$A$2:$A$50,密度!$B$2:$B$50)</f>
        <v>2781.5224109999999</v>
      </c>
      <c r="H10" s="73" ph="1">
        <f>(H9)*51.53*LOOKUP(H11,密度!$A$2:$A$50,密度!$B$2:$B$50)</f>
        <v>51256.695185999997</v>
      </c>
      <c r="I10" s="73" ph="1">
        <f>I9*290.8*1.0267</f>
        <v>8094.0797995999992</v>
      </c>
      <c r="J10" s="73" ph="1">
        <f>J9*290.8*0.7892</f>
        <v>1634.0354432000001</v>
      </c>
      <c r="K10" s="73" ph="1">
        <f>K9*290.8*1.1126</f>
        <v>2206.5706256000003</v>
      </c>
      <c r="L10" s="73" ph="1">
        <f>L9*290.8*0.777</f>
        <v>4973.1947160000009</v>
      </c>
      <c r="M10" s="73" ph="1">
        <f>M9*33.183*LOOKUP(M11,密度!$A$2:$A$50,密度!$D$2:$D$50)</f>
        <v>122914.510803</v>
      </c>
      <c r="N10" s="73" ph="1">
        <f>N9*33.183*LOOKUP(N11,密度!$A$2:$A$50,密度!$E$2:$E$50)</f>
        <v>9384.6833279999992</v>
      </c>
      <c r="O10" s="73" ph="1">
        <f>O9*20.428*LOOKUP(O11,密度!$A$2:$A$50,密度!$C$2:$C$50)</f>
        <v>92106.661146400002</v>
      </c>
      <c r="P10" s="73" ph="1">
        <f>P9*51.53*LOOKUP(P11,密度!$A$2:$A$50,密度!$B$2:$B$50)</f>
        <v>26924.821780999995</v>
      </c>
      <c r="Q10" s="73" ph="1">
        <f>Q9*1.5*1.5*3.1416*LOOKUP(W11,密度!$A$2:$A$50,密度!$L$2:$L$50)</f>
        <v>14476.202987399998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8733.3966720000008</v>
      </c>
      <c r="W10" s="73" ph="1">
        <f>W9*1.5*1.5*3.1416*LOOKUP(W11,密度!$A$2:$A$50,密度!$L$2:$L$50)</f>
        <v>39320.048829599997</v>
      </c>
      <c r="X10" s="73" ph="1">
        <f>X9*1.5*1.5*3.1416*LOOKUP(X11,密度!$A$2:$A$50,密度!$L$2:$L$50)</f>
        <v>39877.591723199999</v>
      </c>
      <c r="Y10" s="73" ph="1">
        <f>Y9*1.5*1.5*3.1416*LOOKUP(Y11,密度!$A$2:$A$50,密度!$L$2:$L$50)</f>
        <v>31268.863949399998</v>
      </c>
      <c r="Z10" s="73" ph="1">
        <f>Z9*33.183*LOOKUP(Z11,密度!$A$2:$A$50,密度!$L$2:$L$50)</f>
        <v>58043.537684999996</v>
      </c>
      <c r="AA10" s="73" ph="1">
        <f>AA9*33.183*LOOKUP(AA11,密度!$A$2:$A$50,密度!$D$2:$D$50)</f>
        <v>66069.111699000001</v>
      </c>
      <c r="AB10" s="73" ph="1">
        <f>AB9*20.428*LOOKUP(AB11,密度!$A$2:$A$50,密度!$D$2:$D$50)</f>
        <v>38417.910028800005</v>
      </c>
      <c r="AC10" s="73" ph="1">
        <f>AC9*51.53*LOOKUP(AC11,密度!$A$2:$A$50,密度!$Q$2:$Q$50)</f>
        <v>388895.2393974</v>
      </c>
      <c r="AD10" s="73" ph="1">
        <f>AD9*20.428*LOOKUP(AD11,密度!$A$2:$A$50,密度!$V$2:$V$50)</f>
        <v>94130.589760000003</v>
      </c>
      <c r="AE10" s="73" ph="1">
        <f>AE9*20.428</f>
        <v>92109.851999999999</v>
      </c>
    </row>
    <row r="11" spans="1:99" ph="1">
      <c r="A11" s="64" t="s" ph="1">
        <v>162</v>
      </c>
      <c r="B11" s="247" ph="1"/>
      <c r="C11" s="147" t="s" ph="1">
        <v>179</v>
      </c>
      <c r="D11" s="74">
        <v>22</v>
      </c>
      <c r="E11" s="74">
        <v>21</v>
      </c>
      <c r="F11" s="74">
        <v>20</v>
      </c>
      <c r="G11" s="74">
        <v>22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23</v>
      </c>
      <c r="O11" s="74">
        <v>22</v>
      </c>
      <c r="P11" s="74">
        <v>26</v>
      </c>
      <c r="Q11" s="74">
        <v>26</v>
      </c>
      <c r="R11" s="74">
        <v>28</v>
      </c>
      <c r="S11" s="74">
        <v>19</v>
      </c>
      <c r="T11" s="74">
        <v>30</v>
      </c>
      <c r="U11" s="74">
        <v>22</v>
      </c>
      <c r="V11" s="74">
        <v>26</v>
      </c>
      <c r="W11" s="74">
        <v>23</v>
      </c>
      <c r="X11" s="74">
        <v>23</v>
      </c>
      <c r="Y11" s="74">
        <v>23</v>
      </c>
      <c r="Z11" s="74">
        <v>17</v>
      </c>
      <c r="AA11" s="74">
        <v>22</v>
      </c>
      <c r="AB11" s="74">
        <v>15</v>
      </c>
      <c r="AC11" s="74">
        <v>20</v>
      </c>
      <c r="AD11" s="74">
        <v>20</v>
      </c>
      <c r="AE11" s="74">
        <v>25</v>
      </c>
    </row>
    <row r="12" spans="1:99" ht="9.9" customHeight="1" ph="1"/>
    <row r="13" spans="1:99" s="72" customFormat="1" ht="29.25" customHeight="1" ph="1">
      <c r="B13" s="224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47" t="s" ph="1">
        <v>177</v>
      </c>
      <c r="D15" s="78">
        <v>4195</v>
      </c>
      <c r="E15" s="78">
        <v>5270</v>
      </c>
      <c r="F15" s="78">
        <v>2752</v>
      </c>
      <c r="G15" s="78">
        <v>4069</v>
      </c>
      <c r="H15" s="78">
        <v>4151</v>
      </c>
      <c r="I15" s="78">
        <v>1611</v>
      </c>
      <c r="J15" s="78">
        <v>1442</v>
      </c>
      <c r="K15" s="78">
        <v>2035</v>
      </c>
      <c r="L15" s="78">
        <v>1760</v>
      </c>
      <c r="M15" s="78">
        <v>6899</v>
      </c>
      <c r="N15" s="78">
        <v>2812</v>
      </c>
      <c r="O15" s="78">
        <v>846</v>
      </c>
      <c r="P15" s="78">
        <v>6991</v>
      </c>
      <c r="Q15" s="78">
        <v>2600</v>
      </c>
      <c r="R15" s="78">
        <v>7437</v>
      </c>
      <c r="S15" s="78">
        <v>6167</v>
      </c>
      <c r="T15" s="78">
        <v>3802</v>
      </c>
      <c r="U15" s="78">
        <v>6666</v>
      </c>
      <c r="V15" s="78">
        <v>4907</v>
      </c>
      <c r="W15" s="71">
        <v>4291</v>
      </c>
      <c r="X15" s="78">
        <v>673</v>
      </c>
      <c r="Y15" s="106">
        <v>-9902</v>
      </c>
      <c r="Z15" s="78">
        <v>0</v>
      </c>
      <c r="AA15" s="78">
        <v>10</v>
      </c>
      <c r="AB15" s="78" ph="1">
        <v>1091</v>
      </c>
      <c r="AC15" s="78" ph="1">
        <v>27</v>
      </c>
      <c r="AD15" s="78">
        <v>40.619999999999997</v>
      </c>
      <c r="AE15" s="78">
        <v>3.31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47" t="s" ph="1">
        <v>178</v>
      </c>
      <c r="D16" s="73" ph="1">
        <f>D15*7.0686*LOOKUP(D17,密度!$A$2:$A$50,密度!$L$2:$L$50)</f>
        <v>27903.263156999998</v>
      </c>
      <c r="E16" s="73" ph="1">
        <f>E15*7.0686*LOOKUP(E17,密度!$A$2:$A$50,密度!$L$2:$L$50)</f>
        <v>35016.430679999998</v>
      </c>
      <c r="F16" s="73" ph="1">
        <f>F15*9.0746*LOOKUP(F17,密度!$A$2:$A$50,密度!$L$2:$L$50)</f>
        <v>23399.981350400001</v>
      </c>
      <c r="G16" s="73" ph="1">
        <f>G15*9.0746*LOOKUP(G17,密度!$A$2:$A$50,密度!$B$2:$B$50)</f>
        <v>28919.305523680003</v>
      </c>
      <c r="H16" s="73" ph="1">
        <f>H15*9.0746*LOOKUP(H17,密度!$A$2:$A$50,密度!$L$2:$L$50)</f>
        <v>35483.882053200003</v>
      </c>
      <c r="I16" s="73" ph="1">
        <f>I15*9.0746*LOOKUP(I17,密度!$A$2:$A$50,密度!$U$2:$U$50)</f>
        <v>15028.517656800001</v>
      </c>
      <c r="J16" s="73" ph="1">
        <f>J15*9.0746*LOOKUP(J17,密度!$A$2:$A$50,密度!$L$2:$L$50)</f>
        <v>12313.524381200001</v>
      </c>
      <c r="K16" s="73" ph="1">
        <f>K15*9.0746*LOOKUP(K17,密度!$A$2:$A$50,密度!$C$2:$C$50)</f>
        <v>20533.247150900002</v>
      </c>
      <c r="L16" s="73" ph="1">
        <f>L15*9.0746*LOOKUP(L17,密度!$A$2:$A$50,密度!$E$2:$E$50)</f>
        <v>12585.381248000002</v>
      </c>
      <c r="M16" s="73" ph="1">
        <f>M15*9.0746*LOOKUP(M17,密度!$A$2:$A$50,密度!$M$2:$M$50)</f>
        <v>54967.774221200001</v>
      </c>
      <c r="N16" s="73" ph="1">
        <f>N15*9.0746*LOOKUP(N17,密度!$A$2:$A$50,密度!$M$2:$M$50)</f>
        <v>22463.297508560001</v>
      </c>
      <c r="O16" s="73" ph="1">
        <f>O15*9.0746*LOOKUP(O17,密度!$A$2:$A$50,密度!$G$2:$G$50)</f>
        <v>7399.2001600800004</v>
      </c>
      <c r="P16" s="73" ph="1">
        <f ca="1">P15*9.0746*LOOKUP(P17,密度!$A$2:$A$51,密度!$Q$2:$Q$50)</f>
        <v>60210.771288974007</v>
      </c>
      <c r="Q16" s="73" ph="1">
        <f>Q15*9.0746*LOOKUP(Q17,密度!$A$2:$A$50,密度!$Q$2:$Q$50)</f>
        <v>22406.9478724</v>
      </c>
      <c r="R16" s="73" ph="1">
        <f>MAX(R15*9.0746*LOOKUP(R17,密度!$A$2:$A$50,密度!$B$2:$B$50),0)</f>
        <v>52734.967076279994</v>
      </c>
      <c r="S16" s="73" ph="1">
        <f>S15*9.0746*LOOKUP(S17,密度!$A$2:$A$50,密度!$Q$2:$Q$50)</f>
        <v>53147.556741958004</v>
      </c>
      <c r="T16" s="73" ph="1">
        <f>T15*9.0746*LOOKUP(T17,密度!$A$2:$A$50,密度!$O$2:$O$50)</f>
        <v>32086.515156000005</v>
      </c>
      <c r="U16" s="73" ph="1">
        <f>U15*9.0746*LOOKUP(U17,密度!$A$2:$A$50,密度!$H$2:$H$50)</f>
        <v>55754.816094119997</v>
      </c>
      <c r="V16" s="73" ph="1">
        <f>MAX(5600*LOOKUP(V17,密度!$A$2:$A$50,密度!$Q$2:$Q$50)+V15*9.0476*LOOKUP(V17,密度!$A$2:$A$50,密度!$Q$2:$Q$50),0)</f>
        <v>47481.245602308001</v>
      </c>
      <c r="W16" s="73" ph="1">
        <f>MAX(5600*LOOKUP(W17,密度!$A$2:$A$50,密度!$Q$2:$Q$50)+W15*9.0476*LOOKUP(W17,密度!$A$2:$A$50,密度!$Q$2:$Q$50),0)</f>
        <v>42122.127167119994</v>
      </c>
      <c r="X16" s="73" ph="1">
        <f>MAX(5600*LOOKUP(X17,密度!$A$2:$A$50,密度!$I$2:$I$50)+X15*9.0476*LOOKUP(X17,密度!$A$2:$A$50,密度!$I$2:$I$50),0)</f>
        <v>12039.705844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71.153938600000004</v>
      </c>
      <c r="AB16" s="73" ph="1">
        <f>AB15*9.0746*LOOKUP(AB17,密度!$A$2:$A$50,密度!$L$2:$L$50)</f>
        <v>9316.2656726000005</v>
      </c>
      <c r="AC16" s="73" ph="1">
        <f>AC15*9.0746*LOOKUP(AC17,密度!$A$2:$A$50,密度!$L$2:$L$50)</f>
        <v>231.0483906</v>
      </c>
      <c r="AD16" s="73" ph="1">
        <f>AD15*268.68*LOOKUP(AD17,密度!$A$2:$A$50,密度!B2:B50)+IF(AD15&lt;=0,0,1566*LOOKUP(AD17,密度!$A$2:$A$50,密度!B2:B50))</f>
        <v>9729.2377353600004</v>
      </c>
      <c r="AE16" s="73" ph="1">
        <f>AE15*268.68*LOOKUP(AE17,密度!$A$2:$A$50,密度!B2:B50)+IF(AE15&lt;=0,0,1566*LOOKUP(AE17,密度!$A$2:$A$50,密度!B2:B50))</f>
        <v>1914.1758916799999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21</v>
      </c>
      <c r="E17" s="74">
        <v>22</v>
      </c>
      <c r="F17" s="74">
        <v>25</v>
      </c>
      <c r="G17" s="74">
        <v>21</v>
      </c>
      <c r="H17" s="74">
        <v>20</v>
      </c>
      <c r="I17" s="74">
        <v>20</v>
      </c>
      <c r="J17" s="74">
        <v>21</v>
      </c>
      <c r="K17" s="74">
        <v>21</v>
      </c>
      <c r="L17" s="74">
        <v>21</v>
      </c>
      <c r="M17" s="74">
        <v>22</v>
      </c>
      <c r="N17" s="74">
        <v>20</v>
      </c>
      <c r="O17" s="74">
        <v>22</v>
      </c>
      <c r="P17" s="74">
        <v>22</v>
      </c>
      <c r="Q17" s="74">
        <v>21</v>
      </c>
      <c r="R17" s="74">
        <v>23</v>
      </c>
      <c r="S17" s="74">
        <v>21</v>
      </c>
      <c r="T17" s="74">
        <v>21</v>
      </c>
      <c r="U17" s="74">
        <v>18</v>
      </c>
      <c r="V17" s="74">
        <v>21</v>
      </c>
      <c r="W17" s="74">
        <v>23</v>
      </c>
      <c r="X17" s="74">
        <v>36</v>
      </c>
      <c r="Y17" s="108">
        <v>36</v>
      </c>
      <c r="Z17" s="74">
        <v>21</v>
      </c>
      <c r="AA17" s="74">
        <v>20</v>
      </c>
      <c r="AB17" s="74">
        <v>21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4203</v>
      </c>
      <c r="E18" s="71">
        <v>2921</v>
      </c>
      <c r="F18" s="71">
        <v>2846</v>
      </c>
      <c r="G18" s="71">
        <v>4136</v>
      </c>
      <c r="H18" s="71">
        <v>4152</v>
      </c>
      <c r="I18" s="71">
        <v>1611</v>
      </c>
      <c r="J18" s="71">
        <v>1443</v>
      </c>
      <c r="K18" s="71">
        <v>2054</v>
      </c>
      <c r="L18" s="71">
        <v>1762</v>
      </c>
      <c r="M18" s="71">
        <v>3948</v>
      </c>
      <c r="N18" s="71">
        <v>4390</v>
      </c>
      <c r="O18" s="71">
        <v>847</v>
      </c>
      <c r="P18" s="71">
        <v>7005</v>
      </c>
      <c r="Q18" s="71">
        <v>2600</v>
      </c>
      <c r="R18" s="71">
        <v>7448</v>
      </c>
      <c r="S18" s="71">
        <v>6173</v>
      </c>
      <c r="T18" s="71">
        <v>3806</v>
      </c>
      <c r="U18" s="71">
        <v>6668</v>
      </c>
      <c r="V18" s="71">
        <v>4908</v>
      </c>
      <c r="W18" s="71">
        <v>4289</v>
      </c>
      <c r="X18" s="71">
        <v>674</v>
      </c>
      <c r="Y18" s="109">
        <v>-9906</v>
      </c>
      <c r="Z18" s="71">
        <v>0</v>
      </c>
      <c r="AA18" s="71">
        <v>9</v>
      </c>
      <c r="AB18" s="71">
        <v>1091</v>
      </c>
      <c r="AC18" s="71">
        <v>20</v>
      </c>
      <c r="AD18" s="71">
        <v>84.21</v>
      </c>
      <c r="AE18" s="71">
        <v>10.32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47" t="s" ph="1">
        <v>178</v>
      </c>
      <c r="D19" s="73" ph="1">
        <f>D18*7.0686*LOOKUP(D20,密度!$A$2:$A$50,密度!$L$2:$L$50)</f>
        <v>27867.347600399997</v>
      </c>
      <c r="E19" s="73" ph="1">
        <f>E18*7.0686*LOOKUP(E20,密度!$A$2:$A$50,密度!$L$2:$L$50)</f>
        <v>19367.243002799998</v>
      </c>
      <c r="F19" s="73" ph="1">
        <f>F18*9.0746*LOOKUP(F20,密度!$A$2:$A$50,密度!$L$2:$L$50)</f>
        <v>24173.427657600001</v>
      </c>
      <c r="G19" s="73" ph="1">
        <f>G18*9.0746*LOOKUP(G20,密度!$A$2:$A$50,密度!$B$2:$B$50)</f>
        <v>29361.710422879998</v>
      </c>
      <c r="H19" s="73" ph="1">
        <f>H18*9.0746*LOOKUP(H20,密度!$A$2:$A$50,密度!$L$2:$L$50)</f>
        <v>35492.430326400005</v>
      </c>
      <c r="I19" s="73" ph="1">
        <f>I18*9.0746*LOOKUP(I20,密度!$A$2:$A$50,密度!$U$2:$U$50)</f>
        <v>15028.517656800001</v>
      </c>
      <c r="J19" s="73" ph="1">
        <f>J18*9.0746*LOOKUP(J20,密度!$A$2:$A$50,密度!$L$2:$L$50)</f>
        <v>12295.874284199999</v>
      </c>
      <c r="K19" s="73" ph="1">
        <f>K18*9.0746*LOOKUP(K20,密度!$A$2:$A$50,密度!$C$2:$C$50)</f>
        <v>20710.046675239999</v>
      </c>
      <c r="L19" s="73" ph="1">
        <f>L18*9.0746*LOOKUP(L20,密度!$A$2:$A$50,密度!$E$2:$E$50)</f>
        <v>12580.49548336</v>
      </c>
      <c r="M19" s="73" ph="1">
        <f>M18*9.0746*LOOKUP(M20,密度!$A$2:$A$50,密度!$M$2:$M$50)</f>
        <v>31351.788352079999</v>
      </c>
      <c r="N19" s="73" ph="1">
        <f>N18*9.0746*LOOKUP(N20,密度!$A$2:$A$50,密度!$M$2:$M$50)</f>
        <v>34977.319731999996</v>
      </c>
      <c r="O19" s="73" ph="1">
        <f>O18*9.0746*LOOKUP(O20,密度!$A$2:$A$50,密度!$G$2:$G$50)</f>
        <v>7380.2759892400009</v>
      </c>
      <c r="P19" s="73" ph="1">
        <f ca="1">P18*9.0746*LOOKUP(P20,密度!$A$2:$A$51,密度!$Q$2:$Q$50)</f>
        <v>60228.368390310003</v>
      </c>
      <c r="Q19" s="73" ph="1">
        <f>Q18*9.0746*LOOKUP(Q20,密度!$A$2:$A$50,密度!$Q$2:$Q$50)</f>
        <v>22371.792872000002</v>
      </c>
      <c r="R19" s="73" ph="1">
        <f>MAX(R18*9.0746*LOOKUP(R20,密度!$A$2:$A$50,密度!$B$2:$B$50),0)</f>
        <v>52691.309175679999</v>
      </c>
      <c r="S19" s="73" ph="1">
        <f>S18*9.0746*LOOKUP(S20,密度!$A$2:$A$50,密度!$Q$2:$Q$50)</f>
        <v>53165.654579721995</v>
      </c>
      <c r="T19" s="73" ph="1">
        <f>T18*9.0746*LOOKUP(T20,密度!$A$2:$A$50,密度!$O$2:$O$50)</f>
        <v>31982.120957600004</v>
      </c>
      <c r="U19" s="73" ph="1">
        <f>U18*9.0746*LOOKUP(U20,密度!$A$2:$A$50,密度!$H$2:$H$50)</f>
        <v>55535.55742384</v>
      </c>
      <c r="V19" s="73" ph="1">
        <f>MAX(5600*LOOKUP(V20,密度!$A$2:$A$50,密度!$Q$2:$Q$50)+V18*9.0476*LOOKUP(V20,密度!$A$2:$A$50,密度!$Q$2:$Q$50),0)</f>
        <v>47415.329642559998</v>
      </c>
      <c r="W19" s="73" ph="1">
        <f>MAX(5600*LOOKUP(W20,密度!$A$2:$A$50,密度!$Q$2:$Q$50)+W18*9.0476*LOOKUP(W20,密度!$A$2:$A$50,密度!$Q$2:$Q$50),0)</f>
        <v>42040.137770135996</v>
      </c>
      <c r="X19" s="73" ph="1">
        <f>MAX(5600*LOOKUP(X20,密度!$A$2:$A$50,密度!$I$2:$I$50)+X18*9.0476*LOOKUP(X20,密度!$A$2:$A$50,密度!$I$2:$I$50),0)</f>
        <v>11996.3835012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63.891536220000006</v>
      </c>
      <c r="AB19" s="73" ph="1">
        <f>AB18*9.0746*LOOKUP(AB20,密度!$A$2:$A$50,密度!$L$2:$L$50)</f>
        <v>9256.8633410000002</v>
      </c>
      <c r="AC19" s="73" ph="1">
        <f>AC18*9.0746*LOOKUP(AC20,密度!$A$2:$A$50,密度!$L$2:$L$50)</f>
        <v>170.60248000000001</v>
      </c>
      <c r="AD19" s="73" ph="1">
        <f>AD18*268.68*LOOKUP(AD20,密度!$A$2:$A$50,密度!B5:B53)+IF(AD18&lt;=0,0,1566*LOOKUP(AD20,密度!$A$2:$A$50,密度!B5:B53))</f>
        <v>18796.8287556</v>
      </c>
      <c r="AE19" s="73" ph="1">
        <f>AE18*268.68*LOOKUP(AE20,密度!$A$2:$A$50,密度!B5:B53)+IF(AE18&lt;=0,0,1566*LOOKUP(AE20,密度!$A$2:$A$50,密度!B5:B53))</f>
        <v>3371.2301952000007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24</v>
      </c>
      <c r="E20" s="81">
        <v>24</v>
      </c>
      <c r="F20" s="81">
        <v>26</v>
      </c>
      <c r="G20" s="81">
        <v>22</v>
      </c>
      <c r="H20" s="81">
        <v>20</v>
      </c>
      <c r="I20" s="81">
        <v>22</v>
      </c>
      <c r="J20" s="81">
        <v>23</v>
      </c>
      <c r="K20" s="81">
        <v>22</v>
      </c>
      <c r="L20" s="81">
        <v>22</v>
      </c>
      <c r="M20" s="81">
        <v>25</v>
      </c>
      <c r="N20" s="81">
        <v>22</v>
      </c>
      <c r="O20" s="81">
        <v>25</v>
      </c>
      <c r="P20" s="81">
        <v>24</v>
      </c>
      <c r="Q20" s="81">
        <v>23</v>
      </c>
      <c r="R20" s="81">
        <v>25</v>
      </c>
      <c r="S20" s="81">
        <v>22</v>
      </c>
      <c r="T20" s="81">
        <v>25</v>
      </c>
      <c r="U20" s="81">
        <v>22</v>
      </c>
      <c r="V20" s="81">
        <v>23</v>
      </c>
      <c r="W20" s="81">
        <v>25</v>
      </c>
      <c r="X20" s="81">
        <v>40</v>
      </c>
      <c r="Y20" s="110">
        <v>40</v>
      </c>
      <c r="Z20" s="81">
        <v>27</v>
      </c>
      <c r="AA20" s="81">
        <v>22</v>
      </c>
      <c r="AB20" s="81">
        <v>27</v>
      </c>
      <c r="AC20" s="81">
        <v>22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639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47" t="s" ph="1">
        <v>177</v>
      </c>
      <c r="D24" s="71">
        <v>5.42</v>
      </c>
      <c r="E24" s="71">
        <v>64.209999999999994</v>
      </c>
      <c r="F24" s="71">
        <v>0</v>
      </c>
      <c r="G24" s="71">
        <v>3086</v>
      </c>
      <c r="H24" s="71">
        <v>1392</v>
      </c>
      <c r="I24" s="71">
        <v>1530</v>
      </c>
      <c r="J24" s="71">
        <v>2950</v>
      </c>
      <c r="K24" s="71">
        <v>444</v>
      </c>
      <c r="L24" s="71">
        <v>5562</v>
      </c>
      <c r="M24" s="71">
        <v>2647</v>
      </c>
      <c r="N24" s="71">
        <v>5781</v>
      </c>
      <c r="O24" s="71">
        <v>165</v>
      </c>
      <c r="P24" s="71">
        <v>370</v>
      </c>
      <c r="Q24" s="90">
        <v>5260</v>
      </c>
      <c r="R24" s="71">
        <v>4731</v>
      </c>
      <c r="S24" s="71">
        <v>2159</v>
      </c>
      <c r="T24" s="71">
        <v>1072</v>
      </c>
      <c r="U24" s="71">
        <v>4516</v>
      </c>
      <c r="V24" s="71">
        <v>8852</v>
      </c>
      <c r="W24" s="71">
        <v>7230</v>
      </c>
      <c r="X24" s="71">
        <v>4360</v>
      </c>
      <c r="Y24" s="71">
        <v>4498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2861.2807993440001</v>
      </c>
      <c r="E25" s="91" ph="1">
        <f>E24*268.68*LOOKUP(E26,密度!$A$2:$A$50,密度!$C$2:$C$50)+IF(E24&lt;=0,0,1566*LOOKUP(E26,密度!$A$2:$A$50,密度!$C$2:$C$50))</f>
        <v>20867.216770919997</v>
      </c>
      <c r="F25" s="91" ph="1">
        <f>F24*11.702*LOOKUP(F26,密度!$A$2:$A$50,密度!$Q$2:$Q$50)</f>
        <v>0</v>
      </c>
      <c r="G25" s="91" ph="1">
        <f>G24*18.322*LOOKUP(G26,密度!$A$2:$A$50,密度!$B$2:$B$50)</f>
        <v>44232.565651599994</v>
      </c>
      <c r="H25" s="91" ph="1">
        <f>H24*18.322*LOOKUP(H26,密度!$A$2:$A$50,密度!$B$2:$B$50)</f>
        <v>19951.954435199998</v>
      </c>
      <c r="I25" s="91" ph="1">
        <f>I24*18.322*LOOKUP(I26,密度!$A$2:$A$50,密度!$Q$2:$Q$50)</f>
        <v>26580.568212000002</v>
      </c>
      <c r="J25" s="91" ph="1">
        <f>J24*18.322*LOOKUP(J26,密度!$A$2:$A$50,密度!$Q$2:$Q$50)</f>
        <v>51330.649530999995</v>
      </c>
      <c r="K25" s="91" ph="1">
        <f>K24*18.322*LOOKUP(K26,密度!$A$2:$A$50,密度!$Q$2:$Q$50)</f>
        <v>7731.3108878399999</v>
      </c>
      <c r="L25" s="91" ph="1">
        <f>L24*18.322*LOOKUP(L26,密度!$A$2:$A$50,密度!$Q$2:$Q$50)</f>
        <v>96780.024641159995</v>
      </c>
      <c r="M25" s="91" ph="1">
        <f>M24*18.322*LOOKUP(M26,密度!$A$2:$A$50,密度!$Q$2:$Q$50)</f>
        <v>46058.382816459998</v>
      </c>
      <c r="N25" s="91" ph="1">
        <f>N24*18.322*LOOKUP(N26,密度!$A$2:$A$50,密度!$Q$2:$Q$50)</f>
        <v>100663.75730315999</v>
      </c>
      <c r="O25" s="91" ph="1">
        <f>O24*18.322*LOOKUP(O26,密度!$A$2:$A$50,密度!$C$2:$C$50)</f>
        <v>3358.9997429999994</v>
      </c>
      <c r="P25" s="91" ph="1">
        <f>P24*11.702*LOOKUP(P26,密度!$A$2:$A$50,密度!$B$2:$B$50)</f>
        <v>3391.0523679999997</v>
      </c>
      <c r="Q25" s="92" ph="1">
        <f>Q24*18.322*LOOKUP(Q26,密度!$A$2:$A$50,密度!$B$2:$B$50)</f>
        <v>75393.161156000002</v>
      </c>
      <c r="R25" s="91" ph="1">
        <f>R24*35.891*LOOKUP(R26,密度!$A$2:$A$50,密度!$C$2:$C$50)</f>
        <v>188546.2764384</v>
      </c>
      <c r="S25" s="91" ph="1">
        <f>S24*35.891*LOOKUP(S26,密度!$A$2:$A$50,密度!$B$2:$B$50)</f>
        <v>60689.125560799999</v>
      </c>
      <c r="T25" s="91" ph="1">
        <f>T24*35.891*LOOKUP(T26,密度!$A$2:$A$50,密度!$Q$2:$Q$50)</f>
        <v>36566.014957759995</v>
      </c>
      <c r="U25" s="91" ph="1">
        <f>U24*35.891</f>
        <v>162083.75599999999</v>
      </c>
      <c r="V25" s="91" ph="1">
        <f>V24*47.051*LOOKUP(V26,密度!$A$2:$A$50,密度!$B$2:$B$50)</f>
        <v>326199.2380064</v>
      </c>
      <c r="W25" s="91" ph="1">
        <f>W24*47.051*LOOKUP(W26,密度!$A$2:$A$50,密度!$B$2:$B$50)</f>
        <v>265815.65962200001</v>
      </c>
      <c r="X25" s="91" ph="1">
        <f>X24*47.051*LOOKUP(X26,密度!$A$2:$A$61,密度!$I$2:$I$61)</f>
        <v>206701.44193600002</v>
      </c>
      <c r="Y25" s="91" ph="1">
        <f>Y24*47.051*LOOKUP(Y26,密度!$A$2:$A$50,密度!$L$2:$L$50)</f>
        <v>198514.00332399999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22</v>
      </c>
      <c r="G26" s="74">
        <v>22</v>
      </c>
      <c r="H26" s="74">
        <v>22</v>
      </c>
      <c r="I26" s="74">
        <v>23</v>
      </c>
      <c r="J26" s="74">
        <v>21</v>
      </c>
      <c r="K26" s="74">
        <v>20</v>
      </c>
      <c r="L26" s="74">
        <v>21</v>
      </c>
      <c r="M26" s="74">
        <v>21</v>
      </c>
      <c r="N26" s="74">
        <v>20</v>
      </c>
      <c r="O26" s="74">
        <v>22</v>
      </c>
      <c r="P26" s="74">
        <v>21</v>
      </c>
      <c r="Q26" s="93">
        <v>22</v>
      </c>
      <c r="R26" s="74">
        <v>23</v>
      </c>
      <c r="S26" s="74">
        <v>21</v>
      </c>
      <c r="T26" s="74">
        <v>20</v>
      </c>
      <c r="U26" s="74">
        <v>22</v>
      </c>
      <c r="V26" s="74">
        <v>21</v>
      </c>
      <c r="W26" s="74">
        <v>23</v>
      </c>
      <c r="X26" s="74">
        <v>56</v>
      </c>
      <c r="Y26" s="74">
        <v>24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47" t="s" ph="1">
        <v>180</v>
      </c>
      <c r="D27" s="71">
        <v>5.52</v>
      </c>
      <c r="E27" s="71">
        <v>64.209999999999994</v>
      </c>
      <c r="F27" s="71">
        <v>0</v>
      </c>
      <c r="G27" s="71">
        <v>2723</v>
      </c>
      <c r="H27" s="71">
        <v>1314</v>
      </c>
      <c r="I27" s="71">
        <v>1529</v>
      </c>
      <c r="J27" s="71">
        <v>2950</v>
      </c>
      <c r="K27" s="71">
        <v>442</v>
      </c>
      <c r="L27" s="71">
        <v>5561</v>
      </c>
      <c r="M27" s="71">
        <v>2646</v>
      </c>
      <c r="N27" s="71">
        <v>5782</v>
      </c>
      <c r="O27" s="71">
        <v>164</v>
      </c>
      <c r="P27" s="71">
        <v>366</v>
      </c>
      <c r="Q27" s="90">
        <v>5429</v>
      </c>
      <c r="R27" s="71">
        <v>4730</v>
      </c>
      <c r="S27" s="71">
        <v>1741</v>
      </c>
      <c r="T27" s="71">
        <v>1071</v>
      </c>
      <c r="U27" s="71">
        <v>4348</v>
      </c>
      <c r="V27" s="71">
        <v>8857</v>
      </c>
      <c r="W27" s="71">
        <v>7290</v>
      </c>
      <c r="X27" s="71">
        <v>4232</v>
      </c>
      <c r="Y27" s="71">
        <v>5092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47" t="s" ph="1">
        <v>178</v>
      </c>
      <c r="D28" s="91" ph="1">
        <f>D27*268.68*LOOKUP(D29,密度!$A$2:$A$50,密度!$Q$2:$Q$50)+IF(D27&lt;=0,0,1566*LOOKUP(D29,密度!$A$2:$A$50,密度!$Q$2:$Q$50))</f>
        <v>2886.717809664</v>
      </c>
      <c r="E28" s="91" ph="1">
        <f>E27*268.68*LOOKUP(E29,密度!$A$2:$A$50,密度!$C$2:$C$50)+IF(E27&lt;=0,0,1566*LOOKUP(E29,密度!$A$2:$A$50,密度!$C$2:$C$50))</f>
        <v>20867.216770919997</v>
      </c>
      <c r="F28" s="91" ph="1">
        <f>F27*11.702*LOOKUP(F29,密度!$A$2:$A$50,密度!$Q$2:$Q$50)</f>
        <v>0</v>
      </c>
      <c r="G28" s="91" ph="1">
        <f>G27*18.322*LOOKUP(G29,密度!$A$2:$A$50,密度!$B$2:$B$50)</f>
        <v>39029.577533799995</v>
      </c>
      <c r="H28" s="91" ph="1">
        <f>H27*18.322*LOOKUP(H29,密度!$A$2:$A$50,密度!$B$2:$B$50)</f>
        <v>18833.956988400001</v>
      </c>
      <c r="I28" s="91" ph="1">
        <f>I27*18.322*LOOKUP(I29,密度!$A$2:$A$50,密度!$Q$2:$Q$50)</f>
        <v>26563.195291600001</v>
      </c>
      <c r="J28" s="91" ph="1">
        <f>J27*18.322*LOOKUP(J29,密度!$A$2:$A$50,密度!$Q$2:$Q$50)</f>
        <v>51367.943961999998</v>
      </c>
      <c r="K28" s="91" ph="1">
        <f>K27*18.322*LOOKUP(K29,密度!$A$2:$A$50,密度!$Q$2:$Q$50)</f>
        <v>7696.4851631199999</v>
      </c>
      <c r="L28" s="91" ph="1">
        <f>L27*18.322*LOOKUP(L29,密度!$A$2:$A$50,密度!$Q$2:$Q$50)</f>
        <v>96610.810344400001</v>
      </c>
      <c r="M28" s="91" ph="1">
        <f>M27*18.322*LOOKUP(M29,密度!$A$2:$A$50,密度!$Q$2:$Q$50)</f>
        <v>46011.894589079995</v>
      </c>
      <c r="N28" s="91" ph="1">
        <f>N27*18.322*LOOKUP(N29,密度!$A$2:$A$50,密度!$Q$2:$Q$50)</f>
        <v>100372.89115587999</v>
      </c>
      <c r="O28" s="91" ph="1">
        <f>O27*18.322*LOOKUP(O29,密度!$A$2:$A$50,密度!$C$2:$C$50)</f>
        <v>3343.1493808</v>
      </c>
      <c r="P28" s="91" ph="1">
        <f>P27*11.702*LOOKUP(P29,密度!$A$2:$A$50,密度!$B$2:$B$50)</f>
        <v>3350.5377036</v>
      </c>
      <c r="Q28" s="92" ph="1">
        <f>Q27*18.322*LOOKUP(Q29,密度!$A$2:$A$50,密度!$B$2:$B$50)</f>
        <v>77725.965833199996</v>
      </c>
      <c r="R28" s="91" ph="1">
        <f>R27*35.891*LOOKUP(R29,密度!$A$2:$A$50,密度!$C$2:$C$50)</f>
        <v>188625.25817299998</v>
      </c>
      <c r="S28" s="91" ph="1">
        <f>S27*35.891*LOOKUP(S29,密度!$A$2:$A$50,密度!$B$2:$B$50)</f>
        <v>48882.978511299996</v>
      </c>
      <c r="T28" s="91" ph="1">
        <f>T27*35.891*LOOKUP(T29,密度!$A$2:$A$50,密度!$Q$2:$Q$50)</f>
        <v>36531.904869179998</v>
      </c>
      <c r="U28" s="91" ph="1">
        <f>U27*35.891</f>
        <v>156054.068</v>
      </c>
      <c r="V28" s="91" ph="1">
        <f>V27*47.051*LOOKUP(V29,密度!$A$2:$A$50,密度!$B$2:$B$50)</f>
        <v>326758.54735870002</v>
      </c>
      <c r="W28" s="91" ph="1">
        <f>W27*47.051*LOOKUP(W29,密度!$A$2:$A$50,密度!$B$2:$B$50)</f>
        <v>268021.59870600002</v>
      </c>
      <c r="X28" s="91" ph="1">
        <f>X27*47.051*LOOKUP(X29,密度!$A$2:$A$61,密度!$I$2:$I$61)</f>
        <v>199956.13529439998</v>
      </c>
      <c r="Y28" s="91" ph="1">
        <f>Y27*47.051*LOOKUP(Y29,密度!$A$2:$A$50,密度!$L$2:$L$50)</f>
        <v>224729.503096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47" t="s" ph="1">
        <v>179</v>
      </c>
      <c r="D29" s="74">
        <v>25</v>
      </c>
      <c r="E29" s="74">
        <v>25</v>
      </c>
      <c r="F29" s="74">
        <v>23</v>
      </c>
      <c r="G29" s="74">
        <v>22</v>
      </c>
      <c r="H29" s="74">
        <v>22</v>
      </c>
      <c r="I29" s="74">
        <v>23</v>
      </c>
      <c r="J29" s="74">
        <v>20</v>
      </c>
      <c r="K29" s="74">
        <v>20</v>
      </c>
      <c r="L29" s="74">
        <v>23</v>
      </c>
      <c r="M29" s="74">
        <v>22</v>
      </c>
      <c r="N29" s="74">
        <v>24</v>
      </c>
      <c r="O29" s="74">
        <v>20</v>
      </c>
      <c r="P29" s="74">
        <v>22</v>
      </c>
      <c r="Q29" s="93">
        <v>23</v>
      </c>
      <c r="R29" s="74">
        <v>22</v>
      </c>
      <c r="S29" s="74">
        <v>22</v>
      </c>
      <c r="T29" s="74">
        <v>20</v>
      </c>
      <c r="U29" s="74">
        <v>23</v>
      </c>
      <c r="V29" s="74">
        <v>20</v>
      </c>
      <c r="W29" s="74">
        <v>23</v>
      </c>
      <c r="X29" s="74">
        <v>59</v>
      </c>
      <c r="Y29" s="74">
        <v>24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104487.02172780001</v>
      </c>
      <c r="E33" s="196" ph="1">
        <f>M10+I10</f>
        <v>131008.5906026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22" ph="1">
        <v>0</v>
      </c>
      <c r="H33" s="196" ph="1">
        <f>N19</f>
        <v>34977.319731999996</v>
      </c>
      <c r="I33" s="200" ph="1">
        <v>0</v>
      </c>
      <c r="J33" s="204" ph="1">
        <f>F10+O28</f>
        <v>243430.04529820001</v>
      </c>
      <c r="K33" s="196" ph="1">
        <f>O10+K10+E28+R28</f>
        <v>303805.70671592001</v>
      </c>
      <c r="L33" s="206" ph="1">
        <f>BE27</f>
        <v>7100</v>
      </c>
      <c r="M33" s="204" ph="1">
        <f>G10+H10+W28+S28+V28+E10</f>
        <v>748593.15342900006</v>
      </c>
      <c r="N33" s="196" ph="1">
        <f>L10+P10++G28+H28</f>
        <v>89761.551019199978</v>
      </c>
      <c r="O33" s="200" ph="1">
        <f>BE17</f>
        <v>2270</v>
      </c>
      <c r="P33" s="204" ph="1">
        <f>L19</f>
        <v>12580.49548336</v>
      </c>
      <c r="Q33" s="196" ph="1">
        <f>J10+N10</f>
        <v>11018.7187712</v>
      </c>
      <c r="R33" s="200" ph="1">
        <f>BE23</f>
        <v>890</v>
      </c>
      <c r="S33" s="204" ph="1">
        <f>E10+X28</f>
        <v>250847.9465504</v>
      </c>
      <c r="T33" s="196" ph="1">
        <f>X19</f>
        <v>11996.3835012</v>
      </c>
      <c r="U33" s="185" ph="1">
        <f>BE21</f>
        <v>730</v>
      </c>
      <c r="V33" s="198" ph="1">
        <f ca="1">P19+Q19+S19+M28+N28+J28</f>
        <v>333518.545548992</v>
      </c>
      <c r="W33" s="198" ph="1">
        <f>D28+F28+V19+T28</f>
        <v>86833.952321403995</v>
      </c>
      <c r="X33" s="200" ph="1">
        <f>BE29+BE31</f>
        <v>10200</v>
      </c>
      <c r="Y33" s="202" ph="1">
        <f>+Q10+R10+S10+T10+U10+V10+W10+X10+Y10</f>
        <v>133676.1041616</v>
      </c>
      <c r="Z33" s="183" ph="1">
        <f>D10+T19+U19+Y28+Z10</f>
        <v>531506.73127537</v>
      </c>
      <c r="AA33" s="185" ph="1">
        <f>BE19</f>
        <v>1440</v>
      </c>
      <c r="AB33" s="187" ph="1">
        <f>I19</f>
        <v>15028.517656800001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49" t="s" ph="1">
        <v>185</v>
      </c>
      <c r="AA36" s="149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92" priority="98">
      <formula>ABS(D$7-D$10)&gt;=1000</formula>
    </cfRule>
  </conditionalFormatting>
  <conditionalFormatting sqref="E4 E6:E11">
    <cfRule type="expression" dxfId="2691" priority="97">
      <formula>ABS(E$7-E$10)&gt;=1000</formula>
    </cfRule>
  </conditionalFormatting>
  <conditionalFormatting sqref="F4:F11">
    <cfRule type="expression" dxfId="2690" priority="96">
      <formula>ABS(F$7-F$10)&gt;=1000</formula>
    </cfRule>
  </conditionalFormatting>
  <conditionalFormatting sqref="G4:G11">
    <cfRule type="expression" dxfId="2689" priority="95">
      <formula>ABS(G$7-G$10)&gt;=1000</formula>
    </cfRule>
  </conditionalFormatting>
  <conditionalFormatting sqref="H4:H11">
    <cfRule type="expression" dxfId="2688" priority="94">
      <formula>ABS(H$7-H$10)&gt;=1000</formula>
    </cfRule>
  </conditionalFormatting>
  <conditionalFormatting sqref="I4:I11">
    <cfRule type="expression" dxfId="2687" priority="93">
      <formula>ABS(I$7-I$10)&gt;=1000</formula>
    </cfRule>
  </conditionalFormatting>
  <conditionalFormatting sqref="J4:J11">
    <cfRule type="expression" dxfId="2686" priority="92">
      <formula>ABS(J$7-J$10)&gt;=1000</formula>
    </cfRule>
  </conditionalFormatting>
  <conditionalFormatting sqref="K4:K11">
    <cfRule type="expression" dxfId="2685" priority="91">
      <formula>ABS(K$7-K$10)&gt;=1000</formula>
    </cfRule>
  </conditionalFormatting>
  <conditionalFormatting sqref="L4:L11">
    <cfRule type="expression" dxfId="2684" priority="90">
      <formula>ABS(L$7-L$10)&gt;=1000</formula>
    </cfRule>
  </conditionalFormatting>
  <conditionalFormatting sqref="M4 M6:M11">
    <cfRule type="expression" dxfId="2683" priority="89">
      <formula>ABS(M$7-M$10)&gt;=1000</formula>
    </cfRule>
  </conditionalFormatting>
  <conditionalFormatting sqref="N4 N6:N11">
    <cfRule type="expression" dxfId="2682" priority="88">
      <formula>ABS(N$7-N$10)&gt;=1000</formula>
    </cfRule>
  </conditionalFormatting>
  <conditionalFormatting sqref="O4 O6:O11">
    <cfRule type="expression" dxfId="2681" priority="87">
      <formula>ABS(O$7-O$10)&gt;=1000</formula>
    </cfRule>
  </conditionalFormatting>
  <conditionalFormatting sqref="P4 P6:P11">
    <cfRule type="expression" dxfId="2680" priority="86">
      <formula>ABS(P$7-P$10)&gt;=1000</formula>
    </cfRule>
  </conditionalFormatting>
  <conditionalFormatting sqref="Q4:Q11">
    <cfRule type="expression" dxfId="2679" priority="85">
      <formula>ABS(Q$7-Q$10)&gt;=1000</formula>
    </cfRule>
  </conditionalFormatting>
  <conditionalFormatting sqref="R4:R11">
    <cfRule type="expression" dxfId="2678" priority="84">
      <formula>ABS(R$7-R$10)&gt;=1000</formula>
    </cfRule>
  </conditionalFormatting>
  <conditionalFormatting sqref="S4:S11">
    <cfRule type="expression" dxfId="2677" priority="83">
      <formula>ABS(S$7-S$10)&gt;=1000</formula>
    </cfRule>
  </conditionalFormatting>
  <conditionalFormatting sqref="T4:T9 T11">
    <cfRule type="expression" dxfId="2676" priority="82">
      <formula>ABS(T$7-T$10)&gt;=1000</formula>
    </cfRule>
  </conditionalFormatting>
  <conditionalFormatting sqref="U4:U9 U11">
    <cfRule type="expression" dxfId="2675" priority="81">
      <formula>ABS(U$7-U$10)&gt;=1000</formula>
    </cfRule>
  </conditionalFormatting>
  <conditionalFormatting sqref="V4:V9 V11">
    <cfRule type="expression" dxfId="2674" priority="80">
      <formula>ABS(V$7-V$10)&gt;=1000</formula>
    </cfRule>
  </conditionalFormatting>
  <conditionalFormatting sqref="W4:W9 W11">
    <cfRule type="expression" dxfId="2673" priority="79">
      <formula>ABS(W$7-W$10)&gt;=1000</formula>
    </cfRule>
  </conditionalFormatting>
  <conditionalFormatting sqref="X4:X9 X11">
    <cfRule type="expression" dxfId="2672" priority="78">
      <formula>ABS(X$7-X$10)&gt;=1000</formula>
    </cfRule>
  </conditionalFormatting>
  <conditionalFormatting sqref="Y4:Y9 Y11">
    <cfRule type="expression" dxfId="2671" priority="77">
      <formula>ABS(Y$7-Y$10)&gt;=1000</formula>
    </cfRule>
  </conditionalFormatting>
  <conditionalFormatting sqref="Z4:Z11">
    <cfRule type="expression" dxfId="2670" priority="76">
      <formula>ABS(Z$7-Z$10)&gt;=1000</formula>
    </cfRule>
  </conditionalFormatting>
  <conditionalFormatting sqref="AA4:AA11">
    <cfRule type="expression" dxfId="2669" priority="75">
      <formula>ABS(AA$7-AA$10)&gt;=1000</formula>
    </cfRule>
  </conditionalFormatting>
  <conditionalFormatting sqref="AB4:AB11">
    <cfRule type="expression" dxfId="2668" priority="74">
      <formula>ABS(AB$7-AB$10)&gt;=1000</formula>
    </cfRule>
  </conditionalFormatting>
  <conditionalFormatting sqref="AC4 AC6:AC11">
    <cfRule type="expression" dxfId="2667" priority="73">
      <formula>ABS(AC$7-AC$10)&gt;=1000</formula>
    </cfRule>
  </conditionalFormatting>
  <conditionalFormatting sqref="AD4:AD11">
    <cfRule type="expression" dxfId="2666" priority="72">
      <formula>ABS(AD$7-AD$10)&gt;=1000</formula>
    </cfRule>
  </conditionalFormatting>
  <conditionalFormatting sqref="AE4 AE6:AE11">
    <cfRule type="expression" dxfId="2665" priority="71">
      <formula>ABS(AE$7-AE$10)&gt;=1000</formula>
    </cfRule>
  </conditionalFormatting>
  <conditionalFormatting sqref="D13:D20">
    <cfRule type="expression" dxfId="2664" priority="70">
      <formula>ABS(D$16-D$19)&gt;=1000</formula>
    </cfRule>
  </conditionalFormatting>
  <conditionalFormatting sqref="E13:E20">
    <cfRule type="expression" dxfId="2663" priority="69">
      <formula>ABS(E$16-E$19)&gt;=1000</formula>
    </cfRule>
  </conditionalFormatting>
  <conditionalFormatting sqref="F13 F15:F20">
    <cfRule type="expression" dxfId="2662" priority="68">
      <formula>ABS(F$16-F$19)&gt;=1000</formula>
    </cfRule>
  </conditionalFormatting>
  <conditionalFormatting sqref="G13:G20">
    <cfRule type="expression" dxfId="2661" priority="67">
      <formula>ABS(G$16-G$19)&gt;=1000</formula>
    </cfRule>
  </conditionalFormatting>
  <conditionalFormatting sqref="H13:H20">
    <cfRule type="expression" dxfId="2660" priority="66">
      <formula>ABS(H$16-H$19)&gt;=1000</formula>
    </cfRule>
  </conditionalFormatting>
  <conditionalFormatting sqref="I13:I20">
    <cfRule type="expression" dxfId="2659" priority="65">
      <formula>ABS(I$16-I$19)&gt;=1000</formula>
    </cfRule>
  </conditionalFormatting>
  <conditionalFormatting sqref="J13:J20">
    <cfRule type="expression" dxfId="2658" priority="64">
      <formula>ABS(J$16-J$19)&gt;=1000</formula>
    </cfRule>
  </conditionalFormatting>
  <conditionalFormatting sqref="L13:L20">
    <cfRule type="expression" dxfId="2657" priority="63">
      <formula>ABS(L$16-L$19)&gt;=1000</formula>
    </cfRule>
  </conditionalFormatting>
  <conditionalFormatting sqref="M13 M15 M17:M18 M20">
    <cfRule type="expression" dxfId="2656" priority="62">
      <formula>ABS(M$16-M$19)&gt;=1000</formula>
    </cfRule>
  </conditionalFormatting>
  <conditionalFormatting sqref="N13:N20">
    <cfRule type="expression" dxfId="2655" priority="61">
      <formula>ABS(N$16-N$19)&gt;=1000</formula>
    </cfRule>
  </conditionalFormatting>
  <conditionalFormatting sqref="O13:O20">
    <cfRule type="expression" dxfId="2654" priority="60">
      <formula>ABS(O$16-O$19)&gt;=1000</formula>
    </cfRule>
  </conditionalFormatting>
  <conditionalFormatting sqref="P13:P20">
    <cfRule type="expression" dxfId="2653" priority="59">
      <formula>ABS(P$16-P$19)&gt;=1000</formula>
    </cfRule>
  </conditionalFormatting>
  <conditionalFormatting sqref="Q13 Q15:Q20">
    <cfRule type="expression" dxfId="2652" priority="58">
      <formula>ABS(Q$16-Q$19)&gt;=1000</formula>
    </cfRule>
  </conditionalFormatting>
  <conditionalFormatting sqref="R13:R20">
    <cfRule type="expression" dxfId="2651" priority="57">
      <formula>ABS(R$16-R$19)&gt;=1000</formula>
    </cfRule>
  </conditionalFormatting>
  <conditionalFormatting sqref="S13:S20">
    <cfRule type="expression" dxfId="2650" priority="56">
      <formula>ABS(S$16-S$19)&gt;=1000</formula>
    </cfRule>
  </conditionalFormatting>
  <conditionalFormatting sqref="T13:T20">
    <cfRule type="expression" dxfId="2649" priority="55">
      <formula>ABS(T$16-T$19)&gt;=1000</formula>
    </cfRule>
  </conditionalFormatting>
  <conditionalFormatting sqref="U13:U20">
    <cfRule type="expression" dxfId="2648" priority="54">
      <formula>ABS(U$16-U$19)&gt;=1000</formula>
    </cfRule>
  </conditionalFormatting>
  <conditionalFormatting sqref="V13:V20">
    <cfRule type="expression" dxfId="2647" priority="53">
      <formula>ABS(V$16-V$19)&gt;=1000</formula>
    </cfRule>
  </conditionalFormatting>
  <conditionalFormatting sqref="W13 W20 W15:W18">
    <cfRule type="expression" dxfId="2646" priority="52">
      <formula>ABS(W$16-W$19)&gt;=1000</formula>
    </cfRule>
  </conditionalFormatting>
  <conditionalFormatting sqref="X13 X15:X20 Y19">
    <cfRule type="expression" dxfId="2645" priority="51">
      <formula>ABS(X$16-X$19)&gt;=1000</formula>
    </cfRule>
  </conditionalFormatting>
  <conditionalFormatting sqref="Y13 Y15:Y18 Y20">
    <cfRule type="expression" dxfId="2644" priority="50">
      <formula>ABS(Y$16-Y$19)&gt;=1000</formula>
    </cfRule>
  </conditionalFormatting>
  <conditionalFormatting sqref="Z13:Z20">
    <cfRule type="expression" dxfId="2643" priority="49">
      <formula>ABS(Z$16-Z$19)&gt;=1000</formula>
    </cfRule>
  </conditionalFormatting>
  <conditionalFormatting sqref="AA13:AA20">
    <cfRule type="expression" dxfId="2642" priority="48">
      <formula>ABS(AA$16-AA$19)&gt;=1000</formula>
    </cfRule>
  </conditionalFormatting>
  <conditionalFormatting sqref="AB13 AB15:AB20">
    <cfRule type="expression" dxfId="2641" priority="47">
      <formula>ABS(AB$16-AB$19)&gt;=1000</formula>
    </cfRule>
  </conditionalFormatting>
  <conditionalFormatting sqref="AC13 AC15:AC20">
    <cfRule type="expression" dxfId="2640" priority="46">
      <formula>ABS(AC$16-AC$19)&gt;=1000</formula>
    </cfRule>
  </conditionalFormatting>
  <conditionalFormatting sqref="AD13:AD20">
    <cfRule type="expression" dxfId="2639" priority="45">
      <formula>ABS(AD$16-AD$19)&gt;=1000</formula>
    </cfRule>
  </conditionalFormatting>
  <conditionalFormatting sqref="AE13:AE20">
    <cfRule type="expression" dxfId="2638" priority="44">
      <formula>ABS(AE$16-AE$19)&gt;=1000</formula>
    </cfRule>
  </conditionalFormatting>
  <conditionalFormatting sqref="D22:D29">
    <cfRule type="expression" dxfId="2637" priority="43">
      <formula>ABS(D$25-D$28)&gt;=1000</formula>
    </cfRule>
  </conditionalFormatting>
  <conditionalFormatting sqref="E22:E29">
    <cfRule type="expression" dxfId="2636" priority="42">
      <formula>ABS(E$25-E$28)&gt;=1000</formula>
    </cfRule>
  </conditionalFormatting>
  <conditionalFormatting sqref="F22:F29">
    <cfRule type="expression" dxfId="2635" priority="41">
      <formula>ABS(F$25-F$28)&gt;=1000</formula>
    </cfRule>
  </conditionalFormatting>
  <conditionalFormatting sqref="G22:G29">
    <cfRule type="expression" dxfId="2634" priority="40">
      <formula>ABS(G$25-G$28)&gt;=1000</formula>
    </cfRule>
  </conditionalFormatting>
  <conditionalFormatting sqref="H22:H29">
    <cfRule type="expression" dxfId="2633" priority="39">
      <formula>ABS(H$25-H$28)&gt;=1000</formula>
    </cfRule>
  </conditionalFormatting>
  <conditionalFormatting sqref="I22 I24:I29">
    <cfRule type="expression" dxfId="2632" priority="38">
      <formula>ABS(I$25-I$28)&gt;=1000</formula>
    </cfRule>
  </conditionalFormatting>
  <conditionalFormatting sqref="J22:J29 K22">
    <cfRule type="expression" dxfId="2631" priority="37">
      <formula>ABS(J$25-J$28)&gt;=1000</formula>
    </cfRule>
  </conditionalFormatting>
  <conditionalFormatting sqref="K23:K29 L25 L28">
    <cfRule type="expression" dxfId="2630" priority="36">
      <formula>ABS(K$25-K$28)&gt;=1000</formula>
    </cfRule>
  </conditionalFormatting>
  <conditionalFormatting sqref="L22 L26:L27 L29 L24">
    <cfRule type="expression" dxfId="2629" priority="35">
      <formula>ABS(L$25-L$28)&gt;=1000</formula>
    </cfRule>
  </conditionalFormatting>
  <conditionalFormatting sqref="M22:M29">
    <cfRule type="expression" dxfId="2628" priority="34">
      <formula>ABS(M$25-M$28)&gt;=1000</formula>
    </cfRule>
  </conditionalFormatting>
  <conditionalFormatting sqref="N22:N29">
    <cfRule type="expression" dxfId="2627" priority="33">
      <formula>ABS(N$25-N$28)&gt;=1000</formula>
    </cfRule>
  </conditionalFormatting>
  <conditionalFormatting sqref="O22:O29">
    <cfRule type="expression" dxfId="2626" priority="32">
      <formula>ABS(O$25-O$28)&gt;=1000</formula>
    </cfRule>
  </conditionalFormatting>
  <conditionalFormatting sqref="P22:P29">
    <cfRule type="expression" dxfId="2625" priority="31">
      <formula>ABS(P$25-P$28)&gt;=1000</formula>
    </cfRule>
  </conditionalFormatting>
  <conditionalFormatting sqref="Q22:Q29">
    <cfRule type="expression" dxfId="2624" priority="30">
      <formula>ABS(Q$25-Q$28)&gt;=1000</formula>
    </cfRule>
  </conditionalFormatting>
  <conditionalFormatting sqref="R22:R29">
    <cfRule type="expression" dxfId="2623" priority="29">
      <formula>ABS(R$25-R$28)&gt;=1000</formula>
    </cfRule>
  </conditionalFormatting>
  <conditionalFormatting sqref="S22:S29">
    <cfRule type="expression" dxfId="2622" priority="28">
      <formula>ABS(S$25-S$28)&gt;=1000</formula>
    </cfRule>
  </conditionalFormatting>
  <conditionalFormatting sqref="T22:T29">
    <cfRule type="expression" dxfId="2621" priority="27">
      <formula>ABS(T$25-T$28)&gt;=1000</formula>
    </cfRule>
  </conditionalFormatting>
  <conditionalFormatting sqref="U22:U29">
    <cfRule type="expression" dxfId="2620" priority="26">
      <formula>ABS(U$25-U$28)&gt;=1000</formula>
    </cfRule>
  </conditionalFormatting>
  <conditionalFormatting sqref="V22:V29">
    <cfRule type="expression" dxfId="2619" priority="25">
      <formula>ABS(V$25-V$28)&gt;=1000</formula>
    </cfRule>
  </conditionalFormatting>
  <conditionalFormatting sqref="W22:W29">
    <cfRule type="expression" dxfId="2618" priority="24">
      <formula>ABS(W$25-W$28)&gt;=1000</formula>
    </cfRule>
  </conditionalFormatting>
  <conditionalFormatting sqref="X22:X29">
    <cfRule type="expression" dxfId="2617" priority="23">
      <formula>ABS(X$25-X$28)&gt;=1000</formula>
    </cfRule>
  </conditionalFormatting>
  <conditionalFormatting sqref="Y22:Y29">
    <cfRule type="expression" dxfId="2616" priority="22">
      <formula>ABS(Y$25-Y$28)&gt;=1000</formula>
    </cfRule>
  </conditionalFormatting>
  <conditionalFormatting sqref="I23">
    <cfRule type="expression" dxfId="2615" priority="21">
      <formula>ABS(I$25-I$28)&gt;=1000</formula>
    </cfRule>
  </conditionalFormatting>
  <conditionalFormatting sqref="Q14">
    <cfRule type="expression" dxfId="2614" priority="20">
      <formula>ABS(Q$16-Q$19)&gt;=1000</formula>
    </cfRule>
  </conditionalFormatting>
  <conditionalFormatting sqref="W14">
    <cfRule type="expression" dxfId="2613" priority="19">
      <formula>ABS(W$16-W$19)&gt;=1000</formula>
    </cfRule>
  </conditionalFormatting>
  <conditionalFormatting sqref="Y14">
    <cfRule type="expression" dxfId="2612" priority="18">
      <formula>ABS(Y$16-Y$19)&gt;=1000</formula>
    </cfRule>
  </conditionalFormatting>
  <conditionalFormatting sqref="X14">
    <cfRule type="expression" dxfId="2611" priority="17">
      <formula>ABS(X$16-X$19)&gt;=1000</formula>
    </cfRule>
  </conditionalFormatting>
  <conditionalFormatting sqref="T10:Y10">
    <cfRule type="expression" dxfId="2610" priority="16">
      <formula>ABS(T$7-T$10)&gt;=1000</formula>
    </cfRule>
  </conditionalFormatting>
  <conditionalFormatting sqref="W19">
    <cfRule type="expression" dxfId="2609" priority="15">
      <formula>ABS(W$16-W$19)&gt;=1000</formula>
    </cfRule>
  </conditionalFormatting>
  <conditionalFormatting sqref="AC5">
    <cfRule type="expression" dxfId="2608" priority="14">
      <formula>ABS(AC$7-AC$10)&gt;=1000</formula>
    </cfRule>
  </conditionalFormatting>
  <conditionalFormatting sqref="M14">
    <cfRule type="expression" dxfId="2607" priority="13">
      <formula>ABS(M$16-M$19)&gt;=1000</formula>
    </cfRule>
  </conditionalFormatting>
  <conditionalFormatting sqref="M16">
    <cfRule type="expression" dxfId="2606" priority="12">
      <formula>ABS(M$16-M$19)&gt;=1000</formula>
    </cfRule>
  </conditionalFormatting>
  <conditionalFormatting sqref="M19">
    <cfRule type="expression" dxfId="2605" priority="11">
      <formula>ABS(M$16-M$19)&gt;=1000</formula>
    </cfRule>
  </conditionalFormatting>
  <conditionalFormatting sqref="K13:K20">
    <cfRule type="expression" dxfId="2604" priority="10">
      <formula>ABS(K$16-K$19)&gt;=1000</formula>
    </cfRule>
  </conditionalFormatting>
  <conditionalFormatting sqref="E5">
    <cfRule type="expression" dxfId="2603" priority="9">
      <formula>ABS(E$7-E$10)&gt;=1000</formula>
    </cfRule>
  </conditionalFormatting>
  <conditionalFormatting sqref="AB14:AC14">
    <cfRule type="expression" dxfId="2602" priority="8">
      <formula>ABS(AB$16-AB$19)&gt;=1000</formula>
    </cfRule>
  </conditionalFormatting>
  <conditionalFormatting sqref="M5">
    <cfRule type="expression" dxfId="2601" priority="7">
      <formula>ABS(M$7-M$10)&gt;=1000</formula>
    </cfRule>
  </conditionalFormatting>
  <conditionalFormatting sqref="N5">
    <cfRule type="expression" dxfId="2600" priority="6">
      <formula>ABS(N$7-N$10)&gt;=1000</formula>
    </cfRule>
  </conditionalFormatting>
  <conditionalFormatting sqref="O5">
    <cfRule type="expression" dxfId="2599" priority="5">
      <formula>ABS(O$7-O$10)&gt;=1000</formula>
    </cfRule>
  </conditionalFormatting>
  <conditionalFormatting sqref="P5">
    <cfRule type="expression" dxfId="2598" priority="4">
      <formula>ABS(P$7-P$10)&gt;=1000</formula>
    </cfRule>
  </conditionalFormatting>
  <conditionalFormatting sqref="L23">
    <cfRule type="expression" dxfId="2597" priority="3">
      <formula>ABS(L$25-L$28)&gt;=1000</formula>
    </cfRule>
  </conditionalFormatting>
  <conditionalFormatting sqref="F14">
    <cfRule type="expression" dxfId="2596" priority="2">
      <formula>ABS(F$16-F$19)&gt;=1000</formula>
    </cfRule>
  </conditionalFormatting>
  <conditionalFormatting sqref="AE5">
    <cfRule type="expression" dxfId="2595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90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77">
    <pageSetUpPr fitToPage="1"/>
  </sheetPr>
  <dimension ref="A1:CU223"/>
  <sheetViews>
    <sheetView view="pageBreakPreview" topLeftCell="A10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45994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52" t="s" ph="1">
        <v>177</v>
      </c>
      <c r="D6" s="71">
        <v>5118</v>
      </c>
      <c r="E6" s="71">
        <v>1261</v>
      </c>
      <c r="F6" s="71">
        <v>6502</v>
      </c>
      <c r="G6" s="71">
        <v>67</v>
      </c>
      <c r="H6" s="71">
        <v>713</v>
      </c>
      <c r="I6" s="71">
        <v>27.21</v>
      </c>
      <c r="J6" s="71">
        <v>7.02</v>
      </c>
      <c r="K6" s="71">
        <v>6.81</v>
      </c>
      <c r="L6" s="71">
        <v>70.319999999999993</v>
      </c>
      <c r="M6" s="71">
        <v>3599</v>
      </c>
      <c r="N6" s="71">
        <v>360</v>
      </c>
      <c r="O6" s="71">
        <v>4056</v>
      </c>
      <c r="P6" s="71">
        <v>724</v>
      </c>
      <c r="Q6" s="71">
        <v>2180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4656</v>
      </c>
      <c r="X6" s="71">
        <v>6003</v>
      </c>
      <c r="Y6" s="71">
        <v>4709</v>
      </c>
      <c r="Z6" s="71">
        <v>1855</v>
      </c>
      <c r="AA6" s="71">
        <v>1911</v>
      </c>
      <c r="AB6" s="71">
        <v>1817</v>
      </c>
      <c r="AC6" s="71">
        <v>8135</v>
      </c>
      <c r="AD6" s="71">
        <v>4780</v>
      </c>
      <c r="AE6" s="71">
        <v>4668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161286.41681586002</v>
      </c>
      <c r="E7" s="73" ph="1">
        <f>E6*51.53*LOOKUP(E8,密度!$A$2:$A$50,密度!$B$2:$B$50)</f>
        <v>50950.292653000004</v>
      </c>
      <c r="F7" s="73" ph="1">
        <f>F6*33.183*LOOKUP(F8,密度!$A$2:$A$50,密度!$C$2:$C$50)</f>
        <v>240049.97651160002</v>
      </c>
      <c r="G7" s="73" ph="1">
        <f xml:space="preserve"> (G6+2)*51.53*LOOKUP(G8,密度!$A$2:$A$50,密度!$B$2:$B$50)</f>
        <v>2787.9224370000002</v>
      </c>
      <c r="H7" s="73" ph="1">
        <f>(H6)*51.53*LOOKUP(H8,密度!$A$2:$A$50,密度!$B$2:$B$50)</f>
        <v>28893.035895999998</v>
      </c>
      <c r="I7" s="73" ph="1">
        <f>I6*290.8*1.0267</f>
        <v>8123.9362356000001</v>
      </c>
      <c r="J7" s="73" ph="1">
        <f>J6*290.8*0.7892</f>
        <v>1611.0855071999999</v>
      </c>
      <c r="K7" s="73" ph="1">
        <f>K6*290.8*1.1126</f>
        <v>2203.3351848000002</v>
      </c>
      <c r="L7" s="73" ph="1">
        <f>L6*290.8*0.777</f>
        <v>15888.916512000002</v>
      </c>
      <c r="M7" s="73" ph="1">
        <f>M6*33.183*LOOKUP(M8,密度!$A$2:$A$50,密度!$D$2:$D$50)</f>
        <v>123175.58137380001</v>
      </c>
      <c r="N7" s="73" ph="1">
        <f>N6*33.183*LOOKUP(N8,密度!$A$2:$A$50,密度!$E$2:$E$50)</f>
        <v>9413.353439999999</v>
      </c>
      <c r="O7" s="73" ph="1">
        <f>O6*20.428*LOOKUP(O8,密度!$A$2:$A$50,密度!$C$2:$C$50)</f>
        <v>91878.982915200002</v>
      </c>
      <c r="P7" s="73" ph="1">
        <f>P6*51.53*LOOKUP(P8,密度!$A$2:$A$50,密度!$B$2:$B$50)</f>
        <v>29312.675604</v>
      </c>
      <c r="Q7" s="73" ph="1">
        <f>Q6*1.5*1.5*3.1416*LOOKUP(W8,密度!$A$2:$A$50,密度!$L$2:$L$50)</f>
        <v>14500.384667999999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30969.628905599995</v>
      </c>
      <c r="X7" s="73" ph="1">
        <f>X6*1.5*1.5*3.1416*LOOKUP(X8,密度!$A$2:$A$50,密度!$L$2:$L$50)</f>
        <v>39886.837452</v>
      </c>
      <c r="Y7" s="73" ph="1">
        <f>Y6*1.5*1.5*3.1416*LOOKUP(Y8,密度!$A$2:$A$50,密度!$L$2:$L$50)</f>
        <v>31322.161193399999</v>
      </c>
      <c r="Z7" s="73" ph="1">
        <f>Z6*33.183*LOOKUP(Z8,密度!$A$2:$A$50,密度!$L$2:$L$50)</f>
        <v>58168.969424999996</v>
      </c>
      <c r="AA7" s="73" ph="1">
        <f>AA6*33.183*LOOKUP(AA8,密度!$A$2:$A$50,密度!$D$2:$D$50)</f>
        <v>65403.872188200003</v>
      </c>
      <c r="AB7" s="73" ph="1">
        <f>AB6*20.428*LOOKUP(AB8,密度!$A$2:$A$50,密度!$D$2:$D$50)</f>
        <v>38505.877082400002</v>
      </c>
      <c r="AC7" s="73" ph="1">
        <f>AC6*51.53*LOOKUP(AC8,密度!$A$2:$A$50,密度!$Q$2:$Q$50)</f>
        <v>399410.47284</v>
      </c>
      <c r="AD7" s="73" ph="1">
        <f>AD6*20.428*LOOKUP(AD8,密度!$A$2:$A$50,密度!$V$2:$V$50)</f>
        <v>94130.589760000003</v>
      </c>
      <c r="AE7" s="73" ph="1">
        <f>AE6*20.428</f>
        <v>95357.90400000001</v>
      </c>
    </row>
    <row r="8" spans="1:99" ph="1">
      <c r="B8" s="247" ph="1"/>
      <c r="C8" s="68" t="s" ph="1">
        <v>179</v>
      </c>
      <c r="D8" s="74">
        <v>21</v>
      </c>
      <c r="E8" s="74">
        <v>20</v>
      </c>
      <c r="F8" s="74">
        <v>20</v>
      </c>
      <c r="G8" s="74">
        <v>20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21</v>
      </c>
      <c r="O8" s="74">
        <v>25</v>
      </c>
      <c r="P8" s="74">
        <v>18</v>
      </c>
      <c r="Q8" s="74">
        <v>22</v>
      </c>
      <c r="R8" s="74">
        <v>25</v>
      </c>
      <c r="S8" s="74">
        <v>22</v>
      </c>
      <c r="T8" s="74">
        <v>16</v>
      </c>
      <c r="U8" s="74">
        <v>21</v>
      </c>
      <c r="V8" s="74">
        <v>22</v>
      </c>
      <c r="W8" s="74">
        <v>21</v>
      </c>
      <c r="X8" s="74">
        <v>22</v>
      </c>
      <c r="Y8" s="74">
        <v>21</v>
      </c>
      <c r="Z8" s="74">
        <v>17</v>
      </c>
      <c r="AA8" s="74">
        <v>20</v>
      </c>
      <c r="AB8" s="74">
        <v>13</v>
      </c>
      <c r="AC8" s="74">
        <v>17</v>
      </c>
      <c r="AD8" s="74">
        <v>18</v>
      </c>
      <c r="AE8" s="74">
        <v>23</v>
      </c>
    </row>
    <row r="9" spans="1:99" ht="26.4" ph="1">
      <c r="B9" s="247" ph="1">
        <v>0.66666666666666663</v>
      </c>
      <c r="C9" s="152" t="s" ph="1">
        <v>180</v>
      </c>
      <c r="D9" s="71">
        <v>5118</v>
      </c>
      <c r="E9" s="71">
        <v>1058</v>
      </c>
      <c r="F9" s="71">
        <v>6501</v>
      </c>
      <c r="G9" s="71">
        <v>67</v>
      </c>
      <c r="H9" s="71">
        <v>436</v>
      </c>
      <c r="I9" s="71">
        <v>27.11</v>
      </c>
      <c r="J9" s="71">
        <v>7.12</v>
      </c>
      <c r="K9" s="71">
        <v>6.82</v>
      </c>
      <c r="L9" s="71">
        <v>37.42</v>
      </c>
      <c r="M9" s="71">
        <v>3042</v>
      </c>
      <c r="N9" s="71">
        <v>359</v>
      </c>
      <c r="O9" s="71">
        <v>3518</v>
      </c>
      <c r="P9" s="71">
        <v>1005</v>
      </c>
      <c r="Q9" s="71">
        <v>4438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810</v>
      </c>
      <c r="X9" s="71">
        <v>6002</v>
      </c>
      <c r="Y9" s="71">
        <v>4708</v>
      </c>
      <c r="Z9" s="71">
        <v>1851</v>
      </c>
      <c r="AA9" s="71">
        <v>1909</v>
      </c>
      <c r="AB9" s="71">
        <v>1722</v>
      </c>
      <c r="AC9" s="71">
        <v>8438</v>
      </c>
      <c r="AD9" s="71">
        <v>4780</v>
      </c>
      <c r="AE9" s="71">
        <v>4724</v>
      </c>
    </row>
    <row r="10" spans="1:99" s="72" customFormat="1" ht="22.2" ph="1">
      <c r="B10" s="247" ph="1"/>
      <c r="C10" s="152" t="s" ph="1">
        <v>178</v>
      </c>
      <c r="D10" s="73" ph="1">
        <f>D9*33.183*LOOKUP(D11,密度!$A$2:$A$50,密度!$Q$2:$Q$50)</f>
        <v>161286.41681586002</v>
      </c>
      <c r="E10" s="73" ph="1">
        <f>E9*51.53*LOOKUP(E11,密度!$A$2:$A$50,密度!$B$2:$B$50)</f>
        <v>42748.144033999997</v>
      </c>
      <c r="F10" s="73" ph="1">
        <f>F9*33.183*LOOKUP(F11,密度!$A$2:$A$50,密度!$C$2:$C$50)</f>
        <v>240013.05710579999</v>
      </c>
      <c r="G10" s="73" ph="1">
        <f xml:space="preserve"> (G9+2)*51.53*LOOKUP(G11,密度!$A$2:$A$50,密度!$B$2:$B$50)</f>
        <v>2784.722424</v>
      </c>
      <c r="H10" s="73" ph="1">
        <f>(H9)*51.53*LOOKUP(H11,密度!$A$2:$A$50,密度!$B$2:$B$50)</f>
        <v>17668.111712000002</v>
      </c>
      <c r="I10" s="73" ph="1">
        <f>I9*290.8*1.0267</f>
        <v>8094.0797995999992</v>
      </c>
      <c r="J10" s="73" ph="1">
        <f>J9*290.8*0.7892</f>
        <v>1634.0354432000001</v>
      </c>
      <c r="K10" s="73" ph="1">
        <f>K9*290.8*1.1126</f>
        <v>2206.5706256000003</v>
      </c>
      <c r="L10" s="73" ph="1">
        <f>L9*290.8*0.777</f>
        <v>8455.1088720000007</v>
      </c>
      <c r="M10" s="73" ph="1">
        <f>M9*33.183*LOOKUP(M11,密度!$A$2:$A$50,密度!$D$2:$D$50)</f>
        <v>104112.28634040001</v>
      </c>
      <c r="N10" s="73" ph="1">
        <f>N9*33.183*LOOKUP(N11,密度!$A$2:$A$50,密度!$E$2:$E$50)</f>
        <v>9387.2052359999998</v>
      </c>
      <c r="O10" s="73" ph="1">
        <f>O9*20.428*LOOKUP(O11,密度!$A$2:$A$50,密度!$C$2:$C$50)</f>
        <v>79691.879165599996</v>
      </c>
      <c r="P10" s="73" ph="1">
        <f>P9*51.53*LOOKUP(P11,密度!$A$2:$A$50,密度!$B$2:$B$50)</f>
        <v>40648.126485000001</v>
      </c>
      <c r="Q10" s="73" ph="1">
        <f>Q9*1.5*1.5*3.1416*LOOKUP(W11,密度!$A$2:$A$50,密度!$L$2:$L$50)</f>
        <v>29488.219991999995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5382.0320399999991</v>
      </c>
      <c r="X10" s="73" ph="1">
        <f>X9*1.5*1.5*3.1416*LOOKUP(X11,密度!$A$2:$A$50,密度!$L$2:$L$50)</f>
        <v>39965.044442399994</v>
      </c>
      <c r="Y10" s="73" ph="1">
        <f>Y9*1.5*1.5*3.1416*LOOKUP(Y11,密度!$A$2:$A$50,密度!$L$2:$L$50)</f>
        <v>31282.230672000002</v>
      </c>
      <c r="Z10" s="73" ph="1">
        <f>Z9*33.183*LOOKUP(Z11,密度!$A$2:$A$50,密度!$L$2:$L$50)</f>
        <v>58104.959417999999</v>
      </c>
      <c r="AA10" s="73" ph="1">
        <f>AA9*33.183*LOOKUP(AA11,密度!$A$2:$A$50,密度!$D$2:$D$50)</f>
        <v>65335.42229580001</v>
      </c>
      <c r="AB10" s="73" ph="1">
        <f>AB9*20.428*LOOKUP(AB11,密度!$A$2:$A$50,密度!$D$2:$D$50)</f>
        <v>36492.636398400005</v>
      </c>
      <c r="AC10" s="73" ph="1">
        <f>AC9*51.53*LOOKUP(AC11,密度!$A$2:$A$50,密度!$Q$2:$Q$50)</f>
        <v>414287.10139199998</v>
      </c>
      <c r="AD10" s="73" ph="1">
        <f>AD9*20.428*LOOKUP(AD11,密度!$A$2:$A$50,密度!$V$2:$V$50)</f>
        <v>94130.589760000003</v>
      </c>
      <c r="AE10" s="73" ph="1">
        <f>AE9*20.428</f>
        <v>96501.872000000003</v>
      </c>
    </row>
    <row r="11" spans="1:99" ph="1">
      <c r="A11" s="64" t="s" ph="1">
        <v>162</v>
      </c>
      <c r="B11" s="247" ph="1"/>
      <c r="C11" s="152" t="s" ph="1">
        <v>179</v>
      </c>
      <c r="D11" s="74">
        <v>21</v>
      </c>
      <c r="E11" s="74">
        <v>20</v>
      </c>
      <c r="F11" s="74">
        <v>20</v>
      </c>
      <c r="G11" s="74">
        <v>21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21</v>
      </c>
      <c r="O11" s="74">
        <v>25</v>
      </c>
      <c r="P11" s="74">
        <v>19</v>
      </c>
      <c r="Q11" s="74">
        <v>22</v>
      </c>
      <c r="R11" s="74">
        <v>25</v>
      </c>
      <c r="S11" s="74">
        <v>18</v>
      </c>
      <c r="T11" s="74">
        <v>22</v>
      </c>
      <c r="U11" s="74">
        <v>20</v>
      </c>
      <c r="V11" s="74">
        <v>23</v>
      </c>
      <c r="W11" s="74">
        <v>22</v>
      </c>
      <c r="X11" s="74">
        <v>20</v>
      </c>
      <c r="Y11" s="74">
        <v>22</v>
      </c>
      <c r="Z11" s="74">
        <v>16</v>
      </c>
      <c r="AA11" s="74">
        <v>20</v>
      </c>
      <c r="AB11" s="74">
        <v>13</v>
      </c>
      <c r="AC11" s="74">
        <v>17</v>
      </c>
      <c r="AD11" s="74">
        <v>19</v>
      </c>
      <c r="AE11" s="74">
        <v>24</v>
      </c>
    </row>
    <row r="12" spans="1:99" ht="9.9" customHeight="1" ph="1"/>
    <row r="13" spans="1:99" s="72" customFormat="1" ht="29.25" customHeight="1" ph="1">
      <c r="B13" s="224" t="s" ph="1">
        <v>37</v>
      </c>
      <c r="C13" s="15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52" t="s" ph="1">
        <v>177</v>
      </c>
      <c r="D15" s="78">
        <v>4196</v>
      </c>
      <c r="E15" s="78">
        <v>1201</v>
      </c>
      <c r="F15" s="78">
        <v>2844</v>
      </c>
      <c r="G15" s="78">
        <v>4300</v>
      </c>
      <c r="H15" s="78">
        <v>4150</v>
      </c>
      <c r="I15" s="78">
        <v>1611</v>
      </c>
      <c r="J15" s="78">
        <v>1442</v>
      </c>
      <c r="K15" s="78">
        <v>2394</v>
      </c>
      <c r="L15" s="78">
        <v>1763</v>
      </c>
      <c r="M15" s="78">
        <v>3941</v>
      </c>
      <c r="N15" s="78">
        <v>4386</v>
      </c>
      <c r="O15" s="78">
        <v>847</v>
      </c>
      <c r="P15" s="78">
        <v>6994</v>
      </c>
      <c r="Q15" s="78">
        <v>2600</v>
      </c>
      <c r="R15" s="78">
        <v>7440</v>
      </c>
      <c r="S15" s="78">
        <v>6168</v>
      </c>
      <c r="T15" s="78">
        <v>3802</v>
      </c>
      <c r="U15" s="78">
        <v>6664</v>
      </c>
      <c r="V15" s="78">
        <v>4907</v>
      </c>
      <c r="W15" s="71">
        <v>4289</v>
      </c>
      <c r="X15" s="78">
        <v>674</v>
      </c>
      <c r="Y15" s="106">
        <v>-9904</v>
      </c>
      <c r="Z15" s="78">
        <v>0</v>
      </c>
      <c r="AA15" s="78">
        <v>10</v>
      </c>
      <c r="AB15" s="78" ph="1">
        <v>1093</v>
      </c>
      <c r="AC15" s="78" ph="1">
        <v>28</v>
      </c>
      <c r="AD15" s="78">
        <v>36.619999999999997</v>
      </c>
      <c r="AE15" s="78">
        <v>5.51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52" t="s" ph="1">
        <v>178</v>
      </c>
      <c r="D16" s="73" ph="1">
        <f>D15*7.0686*LOOKUP(D17,密度!$A$2:$A$50,密度!$L$2:$L$50)</f>
        <v>27880.254863999999</v>
      </c>
      <c r="E16" s="73" ph="1">
        <f>E15*7.0686*LOOKUP(E17,密度!$A$2:$A$50,密度!$L$2:$L$50)</f>
        <v>7988.5146725999994</v>
      </c>
      <c r="F16" s="73" ph="1">
        <f>F15*9.0746*LOOKUP(F17,密度!$A$2:$A$50,密度!$L$2:$L$50)</f>
        <v>24233.864493599998</v>
      </c>
      <c r="G16" s="73" ph="1">
        <f>G15*9.0746*LOOKUP(G17,密度!$A$2:$A$50,密度!$B$2:$B$50)</f>
        <v>30561.074895999998</v>
      </c>
      <c r="H16" s="73" ph="1">
        <f>H15*9.0746*LOOKUP(H17,密度!$A$2:$A$50,密度!$L$2:$L$50)</f>
        <v>35550.652959999999</v>
      </c>
      <c r="I16" s="73" ph="1">
        <f>I15*9.0746*LOOKUP(I17,密度!$A$2:$A$50,密度!$U$2:$U$50)</f>
        <v>15028.517656800001</v>
      </c>
      <c r="J16" s="73" ph="1">
        <f>J15*9.0746*LOOKUP(J17,密度!$A$2:$A$50,密度!$L$2:$L$50)</f>
        <v>12326.609954400001</v>
      </c>
      <c r="K16" s="73" ph="1">
        <f>K15*9.0746*LOOKUP(K17,密度!$A$2:$A$50,密度!$C$2:$C$50)</f>
        <v>24122.987400960003</v>
      </c>
      <c r="L16" s="73" ph="1">
        <f>L15*9.0746*LOOKUP(L17,密度!$A$2:$A$50,密度!$E$2:$E$50)</f>
        <v>12626.03182616</v>
      </c>
      <c r="M16" s="73" ph="1">
        <f>M15*9.0746*LOOKUP(M17,密度!$A$2:$A$50,密度!$M$2:$M$50)</f>
        <v>31399.912770799998</v>
      </c>
      <c r="N16" s="73" ph="1">
        <f>N15*9.0746*LOOKUP(N17,密度!$A$2:$A$50,密度!$M$2:$M$50)</f>
        <v>35036.992486679999</v>
      </c>
      <c r="O16" s="73" ph="1">
        <f>O15*9.0746*LOOKUP(O17,密度!$A$2:$A$50,密度!$G$2:$G$50)</f>
        <v>7416.4010643800002</v>
      </c>
      <c r="P16" s="73" ph="1">
        <f ca="1">P15*9.0746*LOOKUP(P17,密度!$A$2:$A$51,密度!$Q$2:$Q$50)</f>
        <v>60274.689776756008</v>
      </c>
      <c r="Q16" s="73" ph="1">
        <f>Q15*9.0746*LOOKUP(Q17,密度!$A$2:$A$50,密度!$Q$2:$Q$50)</f>
        <v>22423.2277048</v>
      </c>
      <c r="R16" s="73" ph="1">
        <f>MAX(R15*9.0746*LOOKUP(R17,密度!$A$2:$A$50,密度!$B$2:$B$50),0)</f>
        <v>52817.003275200004</v>
      </c>
      <c r="S16" s="73" ph="1">
        <f>S15*9.0746*LOOKUP(S17,密度!$A$2:$A$50,密度!$Q$2:$Q$50)</f>
        <v>53194.795570463997</v>
      </c>
      <c r="T16" s="73" ph="1">
        <f>T15*9.0746*LOOKUP(T17,密度!$A$2:$A$50,密度!$O$2:$O$50)</f>
        <v>32086.515156000005</v>
      </c>
      <c r="U16" s="73" ph="1">
        <f>U15*9.0746*LOOKUP(U17,密度!$A$2:$A$50,密度!$H$2:$H$50)</f>
        <v>55677.614842080002</v>
      </c>
      <c r="V16" s="73" ph="1">
        <f>MAX(5600*LOOKUP(V17,密度!$A$2:$A$50,密度!$Q$2:$Q$50)+V15*9.0476*LOOKUP(V17,密度!$A$2:$A$50,密度!$Q$2:$Q$50),0)</f>
        <v>47515.743237815994</v>
      </c>
      <c r="W16" s="73" ph="1">
        <f>MAX(5600*LOOKUP(W17,密度!$A$2:$A$50,密度!$Q$2:$Q$50)+W15*9.0476*LOOKUP(W17,密度!$A$2:$A$50,密度!$Q$2:$Q$50),0)</f>
        <v>42171.132981516006</v>
      </c>
      <c r="X16" s="73" ph="1">
        <f>MAX(5600*LOOKUP(X17,密度!$A$2:$A$50,密度!$I$2:$I$50)+X15*9.0476*LOOKUP(X17,密度!$A$2:$A$50,密度!$I$2:$I$50),0)</f>
        <v>12049.024871999998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71.299132200000003</v>
      </c>
      <c r="AB16" s="73" ph="1">
        <f>AB15*9.0746*LOOKUP(AB17,密度!$A$2:$A$50,密度!$L$2:$L$50)</f>
        <v>9343.2626075999997</v>
      </c>
      <c r="AC16" s="73" ph="1">
        <f>AC15*9.0746*LOOKUP(AC17,密度!$A$2:$A$50,密度!$L$2:$L$50)</f>
        <v>239.85982719999998</v>
      </c>
      <c r="AD16" s="73" ph="1">
        <f>AD15*268.68*LOOKUP(AD17,密度!$A$2:$A$50,密度!B2:B50)+IF(AD15&lt;=0,0,1566*LOOKUP(AD17,密度!$A$2:$A$50,密度!B2:B50))</f>
        <v>8891.3860233599989</v>
      </c>
      <c r="AE16" s="73" ph="1">
        <f>AE15*268.68*LOOKUP(AE17,密度!$A$2:$A$50,密度!B2:B50)+IF(AE15&lt;=0,0,1566*LOOKUP(AE17,密度!$A$2:$A$50,密度!B2:B50))</f>
        <v>2374.9943332799999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22</v>
      </c>
      <c r="E17" s="74">
        <v>21</v>
      </c>
      <c r="F17" s="74">
        <v>23</v>
      </c>
      <c r="G17" s="74">
        <v>21</v>
      </c>
      <c r="H17" s="74">
        <v>18</v>
      </c>
      <c r="I17" s="74">
        <v>19</v>
      </c>
      <c r="J17" s="74">
        <v>20</v>
      </c>
      <c r="K17" s="74">
        <v>23</v>
      </c>
      <c r="L17" s="74">
        <v>20</v>
      </c>
      <c r="M17" s="74">
        <v>22</v>
      </c>
      <c r="N17" s="74">
        <v>20</v>
      </c>
      <c r="O17" s="74">
        <v>21</v>
      </c>
      <c r="P17" s="74">
        <v>21</v>
      </c>
      <c r="Q17" s="74">
        <v>20</v>
      </c>
      <c r="R17" s="74">
        <v>22</v>
      </c>
      <c r="S17" s="74">
        <v>20</v>
      </c>
      <c r="T17" s="74">
        <v>21</v>
      </c>
      <c r="U17" s="74">
        <v>19</v>
      </c>
      <c r="V17" s="74">
        <v>20</v>
      </c>
      <c r="W17" s="74">
        <v>21</v>
      </c>
      <c r="X17" s="74">
        <v>36</v>
      </c>
      <c r="Y17" s="108">
        <v>36</v>
      </c>
      <c r="Z17" s="74">
        <v>20</v>
      </c>
      <c r="AA17" s="74">
        <v>18</v>
      </c>
      <c r="AB17" s="74">
        <v>20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2206</v>
      </c>
      <c r="E18" s="71">
        <v>4105</v>
      </c>
      <c r="F18" s="71">
        <v>2845</v>
      </c>
      <c r="G18" s="71">
        <v>4350</v>
      </c>
      <c r="H18" s="71">
        <v>4149</v>
      </c>
      <c r="I18" s="71">
        <v>1611</v>
      </c>
      <c r="J18" s="71">
        <v>1442</v>
      </c>
      <c r="K18" s="71">
        <v>2393</v>
      </c>
      <c r="L18" s="71">
        <v>1761</v>
      </c>
      <c r="M18" s="71">
        <v>2651</v>
      </c>
      <c r="N18" s="71">
        <v>2748</v>
      </c>
      <c r="O18" s="71">
        <v>846</v>
      </c>
      <c r="P18" s="71">
        <v>6994</v>
      </c>
      <c r="Q18" s="71">
        <v>2599</v>
      </c>
      <c r="R18" s="71">
        <v>7439</v>
      </c>
      <c r="S18" s="71">
        <v>6167</v>
      </c>
      <c r="T18" s="71">
        <v>3225</v>
      </c>
      <c r="U18" s="71">
        <v>6663</v>
      </c>
      <c r="V18" s="71">
        <v>4906</v>
      </c>
      <c r="W18" s="71">
        <v>4290</v>
      </c>
      <c r="X18" s="71">
        <v>674</v>
      </c>
      <c r="Y18" s="109">
        <v>-9903</v>
      </c>
      <c r="Z18" s="71">
        <v>0</v>
      </c>
      <c r="AA18" s="71">
        <v>10</v>
      </c>
      <c r="AB18" s="71">
        <v>1092</v>
      </c>
      <c r="AC18" s="71">
        <v>29</v>
      </c>
      <c r="AD18" s="71">
        <v>84.52</v>
      </c>
      <c r="AE18" s="71">
        <v>9.91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52" t="s" ph="1">
        <v>178</v>
      </c>
      <c r="D19" s="73" ph="1">
        <f>D18*7.0686*LOOKUP(D20,密度!$A$2:$A$50,密度!$L$2:$L$50)</f>
        <v>14642.138372399999</v>
      </c>
      <c r="E19" s="73" ph="1">
        <f>E18*7.0686*LOOKUP(E20,密度!$A$2:$A$50,密度!$L$2:$L$50)</f>
        <v>27275.606819999997</v>
      </c>
      <c r="F19" s="73" ph="1">
        <f>F18*9.0746*LOOKUP(F20,密度!$A$2:$A$50,密度!$L$2:$L$50)</f>
        <v>24216.568306000001</v>
      </c>
      <c r="G19" s="73" ph="1">
        <f>G18*9.0746*LOOKUP(G20,密度!$A$2:$A$50,密度!$B$2:$B$50)</f>
        <v>30951.963291000004</v>
      </c>
      <c r="H19" s="73" ph="1">
        <f>H18*9.0746*LOOKUP(H20,密度!$A$2:$A$50,密度!$L$2:$L$50)</f>
        <v>35504.436022200003</v>
      </c>
      <c r="I19" s="73" ph="1">
        <f>I18*9.0746*LOOKUP(I20,密度!$A$2:$A$50,密度!$U$2:$U$50)</f>
        <v>15028.517656800001</v>
      </c>
      <c r="J19" s="73" ph="1">
        <f>J18*9.0746*LOOKUP(J20,密度!$A$2:$A$50,密度!$L$2:$L$50)</f>
        <v>12326.609954400001</v>
      </c>
      <c r="K19" s="73" ph="1">
        <f>K18*9.0746*LOOKUP(K20,密度!$A$2:$A$50,密度!$C$2:$C$50)</f>
        <v>24128.11182758</v>
      </c>
      <c r="L19" s="73" ph="1">
        <f>L18*9.0746*LOOKUP(L20,密度!$A$2:$A$50,密度!$E$2:$E$50)</f>
        <v>12592.5320328</v>
      </c>
      <c r="M19" s="73" ph="1">
        <f>M18*9.0746*LOOKUP(M20,密度!$A$2:$A$50,密度!$M$2:$M$50)</f>
        <v>21097.782554200003</v>
      </c>
      <c r="N19" s="73" ph="1">
        <f>N18*9.0746*LOOKUP(N20,密度!$A$2:$A$50,密度!$M$2:$M$50)</f>
        <v>21894.686702400002</v>
      </c>
      <c r="O19" s="73" ph="1">
        <f>O18*9.0746*LOOKUP(O20,密度!$A$2:$A$50,密度!$G$2:$G$50)</f>
        <v>7407.64498284</v>
      </c>
      <c r="P19" s="73" ph="1">
        <f ca="1">P18*9.0746*LOOKUP(P20,密度!$A$2:$A$51,密度!$Q$2:$Q$50)</f>
        <v>60180.12282568001</v>
      </c>
      <c r="Q19" s="73" ph="1">
        <f>Q18*9.0746*LOOKUP(Q20,密度!$A$2:$A$50,密度!$Q$2:$Q$50)</f>
        <v>22398.329815526002</v>
      </c>
      <c r="R19" s="73" ph="1">
        <f>MAX(R18*9.0746*LOOKUP(R20,密度!$A$2:$A$50,密度!$B$2:$B$50),0)</f>
        <v>52688.393506699998</v>
      </c>
      <c r="S19" s="73" ph="1">
        <f>S18*9.0746*LOOKUP(S20,密度!$A$2:$A$50,密度!$Q$2:$Q$50)</f>
        <v>53147.556741958004</v>
      </c>
      <c r="T19" s="73" ph="1">
        <f>T18*9.0746*LOOKUP(T20,密度!$A$2:$A$50,密度!$O$2:$O$50)</f>
        <v>27216.994050000001</v>
      </c>
      <c r="U19" s="73" ph="1">
        <f>U18*9.0746*LOOKUP(U20,密度!$A$2:$A$50,密度!$H$2:$H$50)</f>
        <v>55669.259857860001</v>
      </c>
      <c r="V19" s="73" ph="1">
        <f>MAX(5600*LOOKUP(V20,密度!$A$2:$A$50,密度!$Q$2:$Q$50)+V18*9.0476*LOOKUP(V20,密度!$A$2:$A$50,密度!$Q$2:$Q$50),0)</f>
        <v>47507.144579727988</v>
      </c>
      <c r="W19" s="73" ph="1">
        <f>MAX(5600*LOOKUP(W20,密度!$A$2:$A$50,密度!$Q$2:$Q$50)+W18*9.0476*LOOKUP(W20,密度!$A$2:$A$50,密度!$Q$2:$Q$50),0)</f>
        <v>42153.076874359998</v>
      </c>
      <c r="X19" s="73" ph="1">
        <f>MAX(5600*LOOKUP(X20,密度!$A$2:$A$50,密度!$I$2:$I$50)+X18*9.0476*LOOKUP(X20,密度!$A$2:$A$50,密度!$I$2:$I$50),0)</f>
        <v>12023.28909072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71.299132200000003</v>
      </c>
      <c r="AB19" s="73" ph="1">
        <f>AB18*9.0746*LOOKUP(AB20,密度!$A$2:$A$50,密度!$L$2:$L$50)</f>
        <v>9324.8048712</v>
      </c>
      <c r="AC19" s="73" ph="1">
        <f>AC18*9.0746*LOOKUP(AC20,密度!$A$2:$A$50,密度!$L$2:$L$50)</f>
        <v>248.16308620000001</v>
      </c>
      <c r="AD19" s="73" ph="1">
        <f>AD18*268.68*LOOKUP(AD20,密度!$A$2:$A$50,密度!B5:B53)+IF(AD18&lt;=0,0,1566*LOOKUP(AD20,密度!$A$2:$A$50,密度!B5:B53))</f>
        <v>18861.545707199999</v>
      </c>
      <c r="AE19" s="73" ph="1">
        <f>AE18*268.68*LOOKUP(AE20,密度!$A$2:$A$50,密度!B5:B53)+IF(AE18&lt;=0,0,1566*LOOKUP(AE20,密度!$A$2:$A$50,密度!B5:B53))</f>
        <v>3285.6368075999999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23</v>
      </c>
      <c r="E20" s="81">
        <v>22</v>
      </c>
      <c r="F20" s="81">
        <v>24</v>
      </c>
      <c r="G20" s="81">
        <v>20</v>
      </c>
      <c r="H20" s="81">
        <v>19</v>
      </c>
      <c r="I20" s="81">
        <v>20</v>
      </c>
      <c r="J20" s="81">
        <v>20</v>
      </c>
      <c r="K20" s="81">
        <v>22</v>
      </c>
      <c r="L20" s="81">
        <v>21</v>
      </c>
      <c r="M20" s="81">
        <v>23</v>
      </c>
      <c r="N20" s="81">
        <v>22</v>
      </c>
      <c r="O20" s="81">
        <v>21</v>
      </c>
      <c r="P20" s="81">
        <v>23</v>
      </c>
      <c r="Q20" s="81">
        <v>21</v>
      </c>
      <c r="R20" s="81">
        <v>24</v>
      </c>
      <c r="S20" s="81">
        <v>21</v>
      </c>
      <c r="T20" s="81">
        <v>24</v>
      </c>
      <c r="U20" s="81">
        <v>19</v>
      </c>
      <c r="V20" s="81">
        <v>20</v>
      </c>
      <c r="W20" s="81">
        <v>22</v>
      </c>
      <c r="X20" s="81">
        <v>38</v>
      </c>
      <c r="Y20" s="110">
        <v>38</v>
      </c>
      <c r="Z20" s="81">
        <v>22</v>
      </c>
      <c r="AA20" s="81">
        <v>18</v>
      </c>
      <c r="AB20" s="81">
        <v>21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643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52" t="s" ph="1">
        <v>177</v>
      </c>
      <c r="D24" s="71">
        <v>5.42</v>
      </c>
      <c r="E24" s="71">
        <v>64.209999999999994</v>
      </c>
      <c r="F24" s="71">
        <v>0</v>
      </c>
      <c r="G24" s="71">
        <v>3003</v>
      </c>
      <c r="H24" s="71">
        <v>1397</v>
      </c>
      <c r="I24" s="71">
        <v>1530</v>
      </c>
      <c r="J24" s="71">
        <v>2951</v>
      </c>
      <c r="K24" s="71">
        <v>445</v>
      </c>
      <c r="L24" s="71">
        <v>5563</v>
      </c>
      <c r="M24" s="71">
        <v>2648</v>
      </c>
      <c r="N24" s="71">
        <v>5783</v>
      </c>
      <c r="O24" s="71">
        <v>166</v>
      </c>
      <c r="P24" s="71">
        <v>371</v>
      </c>
      <c r="Q24" s="90">
        <v>5660</v>
      </c>
      <c r="R24" s="71">
        <v>4731</v>
      </c>
      <c r="S24" s="71">
        <v>888</v>
      </c>
      <c r="T24" s="71">
        <v>1072</v>
      </c>
      <c r="U24" s="71">
        <v>4310</v>
      </c>
      <c r="V24" s="71">
        <v>8856</v>
      </c>
      <c r="W24" s="71">
        <v>7378</v>
      </c>
      <c r="X24" s="71">
        <v>4227</v>
      </c>
      <c r="Y24" s="71">
        <v>5397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2861.2807993440001</v>
      </c>
      <c r="E25" s="91" ph="1">
        <f>E24*268.68*LOOKUP(E26,密度!$A$2:$A$50,密度!$C$2:$C$50)+IF(E24&lt;=0,0,1566*LOOKUP(E26,密度!$A$2:$A$50,密度!$C$2:$C$50))</f>
        <v>20867.216770919997</v>
      </c>
      <c r="F25" s="91" ph="1">
        <f>F24*11.702*LOOKUP(F26,密度!$A$2:$A$50,密度!$Q$2:$Q$50)</f>
        <v>0</v>
      </c>
      <c r="G25" s="91" ph="1">
        <f>G24*18.322*LOOKUP(G26,密度!$A$2:$A$50,密度!$B$2:$B$50)</f>
        <v>43092.420571200004</v>
      </c>
      <c r="H25" s="91" ph="1">
        <f>H24*18.322*LOOKUP(H26,密度!$A$2:$A$50,密度!$B$2:$B$50)</f>
        <v>20069.693439399998</v>
      </c>
      <c r="I25" s="91" ph="1">
        <f>I24*18.322*LOOKUP(I26,密度!$A$2:$A$50,密度!$Q$2:$Q$50)</f>
        <v>26622.3368754</v>
      </c>
      <c r="J25" s="91" ph="1">
        <f>J24*18.322*LOOKUP(J26,密度!$A$2:$A$50,密度!$Q$2:$Q$50)</f>
        <v>51385.356824359995</v>
      </c>
      <c r="K25" s="91" ph="1">
        <f>K24*18.322*LOOKUP(K26,密度!$A$2:$A$50,密度!$Q$2:$Q$50)</f>
        <v>7748.7237501999998</v>
      </c>
      <c r="L25" s="91" ph="1">
        <f>L24*18.322*LOOKUP(L26,密度!$A$2:$A$50,密度!$Q$2:$Q$50)</f>
        <v>96797.424861339998</v>
      </c>
      <c r="M25" s="91" ph="1">
        <f>M24*18.322*LOOKUP(M26,密度!$A$2:$A$50,密度!$Q$2:$Q$50)</f>
        <v>46046.673043039998</v>
      </c>
      <c r="N25" s="91" ph="1">
        <f>N24*18.322*LOOKUP(N26,密度!$A$2:$A$50,密度!$Q$2:$Q$50)</f>
        <v>100625.47330093999</v>
      </c>
      <c r="O25" s="91" ph="1">
        <f>O24*18.322*LOOKUP(O26,密度!$A$2:$A$50,密度!$C$2:$C$50)</f>
        <v>3383.9194951999998</v>
      </c>
      <c r="P25" s="91" ph="1">
        <f>P24*11.702*LOOKUP(P26,密度!$A$2:$A$50,密度!$B$2:$B$50)</f>
        <v>3396.3100765999998</v>
      </c>
      <c r="Q25" s="92" ph="1">
        <f>Q24*18.322*LOOKUP(Q26,密度!$A$2:$A$50,密度!$B$2:$B$50)</f>
        <v>81313.145931999999</v>
      </c>
      <c r="R25" s="91" ph="1">
        <f>R24*35.891*LOOKUP(R26,密度!$A$2:$A$50,密度!$C$2:$C$50)</f>
        <v>188800.97691990001</v>
      </c>
      <c r="S25" s="91" ph="1">
        <f>S24*35.891*LOOKUP(S26,密度!$A$2:$A$50,密度!$B$2:$B$50)</f>
        <v>24875.477843999997</v>
      </c>
      <c r="T25" s="91" ph="1">
        <f>T24*35.891*LOOKUP(T26,密度!$A$2:$A$50,密度!$Q$2:$Q$50)</f>
        <v>36482.139126399998</v>
      </c>
      <c r="U25" s="91" ph="1">
        <f>U24*35.891</f>
        <v>154690.21</v>
      </c>
      <c r="V25" s="91" ph="1">
        <f>V24*47.051*LOOKUP(V26,密度!$A$2:$A$50,密度!$B$2:$B$50)</f>
        <v>326346.6393792</v>
      </c>
      <c r="W25" s="91" ph="1">
        <f>W24*47.051*LOOKUP(W26,密度!$A$2:$A$50,密度!$B$2:$B$50)</f>
        <v>271256.97602920001</v>
      </c>
      <c r="X25" s="91" ph="1">
        <f>X24*47.051*LOOKUP(X26,密度!$A$2:$A$61,密度!$I$2:$I$61)</f>
        <v>200396.09978520003</v>
      </c>
      <c r="Y25" s="91" ph="1">
        <f>Y24*47.051*LOOKUP(Y26,密度!$A$2:$A$50,密度!$L$2:$L$50)</f>
        <v>238444.25793299999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21</v>
      </c>
      <c r="G26" s="74">
        <v>21</v>
      </c>
      <c r="H26" s="74">
        <v>20</v>
      </c>
      <c r="I26" s="74">
        <v>21</v>
      </c>
      <c r="J26" s="74">
        <v>20</v>
      </c>
      <c r="K26" s="74">
        <v>20</v>
      </c>
      <c r="L26" s="74">
        <v>21</v>
      </c>
      <c r="M26" s="74">
        <v>22</v>
      </c>
      <c r="N26" s="74">
        <v>21</v>
      </c>
      <c r="O26" s="74">
        <v>20</v>
      </c>
      <c r="P26" s="74">
        <v>22</v>
      </c>
      <c r="Q26" s="93">
        <v>20</v>
      </c>
      <c r="R26" s="74">
        <v>21</v>
      </c>
      <c r="S26" s="74">
        <v>24</v>
      </c>
      <c r="T26" s="74">
        <v>23</v>
      </c>
      <c r="U26" s="74">
        <v>22</v>
      </c>
      <c r="V26" s="74">
        <v>21</v>
      </c>
      <c r="W26" s="74">
        <v>23</v>
      </c>
      <c r="X26" s="74">
        <v>56</v>
      </c>
      <c r="Y26" s="74">
        <v>23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52" t="s" ph="1">
        <v>180</v>
      </c>
      <c r="D27" s="71">
        <v>5.41</v>
      </c>
      <c r="E27" s="71">
        <v>64.010000000000005</v>
      </c>
      <c r="F27" s="71">
        <v>0</v>
      </c>
      <c r="G27" s="71">
        <v>2579</v>
      </c>
      <c r="H27" s="71">
        <v>1393</v>
      </c>
      <c r="I27" s="71">
        <v>1529</v>
      </c>
      <c r="J27" s="71">
        <v>2950</v>
      </c>
      <c r="K27" s="71">
        <v>443</v>
      </c>
      <c r="L27" s="71">
        <v>5560</v>
      </c>
      <c r="M27" s="71">
        <v>4293</v>
      </c>
      <c r="N27" s="71">
        <v>5781</v>
      </c>
      <c r="O27" s="71">
        <v>164</v>
      </c>
      <c r="P27" s="71">
        <v>369</v>
      </c>
      <c r="Q27" s="90">
        <v>395</v>
      </c>
      <c r="R27" s="71">
        <v>4530</v>
      </c>
      <c r="S27" s="71">
        <v>3064</v>
      </c>
      <c r="T27" s="71">
        <v>1072</v>
      </c>
      <c r="U27" s="71">
        <v>3711</v>
      </c>
      <c r="V27" s="71">
        <v>8854</v>
      </c>
      <c r="W27" s="71">
        <v>7755</v>
      </c>
      <c r="X27" s="71">
        <v>4348</v>
      </c>
      <c r="Y27" s="71">
        <v>4906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52" t="s" ph="1">
        <v>178</v>
      </c>
      <c r="D28" s="91" ph="1">
        <f>D27*268.68*LOOKUP(D29,密度!$A$2:$A$50,密度!$Q$2:$Q$50)+IF(D27&lt;=0,0,1566*LOOKUP(D29,密度!$A$2:$A$50,密度!$Q$2:$Q$50))</f>
        <v>2858.7370983119999</v>
      </c>
      <c r="E28" s="91" ph="1">
        <f>E27*268.68*LOOKUP(E29,密度!$A$2:$A$50,密度!$C$2:$C$50)+IF(E27&lt;=0,0,1566*LOOKUP(E29,密度!$A$2:$A$50,密度!$C$2:$C$50))</f>
        <v>20807.628920520005</v>
      </c>
      <c r="F28" s="91" ph="1">
        <f>F27*11.702*LOOKUP(F29,密度!$A$2:$A$50,密度!$Q$2:$Q$50)</f>
        <v>0</v>
      </c>
      <c r="G28" s="91" ph="1">
        <f>G27*18.322*LOOKUP(G29,密度!$A$2:$A$50,密度!$B$2:$B$50)</f>
        <v>36965.582247399994</v>
      </c>
      <c r="H28" s="91" ph="1">
        <f>H27*18.322*LOOKUP(H29,密度!$A$2:$A$50,密度!$B$2:$B$50)</f>
        <v>19966.287735799997</v>
      </c>
      <c r="I28" s="91" ph="1">
        <f>I27*18.322*LOOKUP(I29,密度!$A$2:$A$50,密度!$Q$2:$Q$50)</f>
        <v>26563.195291600001</v>
      </c>
      <c r="J28" s="91" ph="1">
        <f>J27*18.322*LOOKUP(J29,密度!$A$2:$A$50,密度!$Q$2:$Q$50)</f>
        <v>51367.943961999998</v>
      </c>
      <c r="K28" s="91" ph="1">
        <f>K27*18.322*LOOKUP(K29,密度!$A$2:$A$50,密度!$Q$2:$Q$50)</f>
        <v>7708.2975397399996</v>
      </c>
      <c r="L28" s="91" ph="1">
        <f>L27*18.322*LOOKUP(L29,密度!$A$2:$A$50,密度!$Q$2:$Q$50)</f>
        <v>96815.51472159999</v>
      </c>
      <c r="M28" s="91" ph="1">
        <f>M27*18.322*LOOKUP(M29,密度!$A$2:$A$50,密度!$Q$2:$Q$50)</f>
        <v>74753.418111479987</v>
      </c>
      <c r="N28" s="91" ph="1">
        <f>N27*18.322*LOOKUP(N29,密度!$A$2:$A$50,密度!$Q$2:$Q$50)</f>
        <v>100663.75730315999</v>
      </c>
      <c r="O28" s="91" ph="1">
        <f>O27*18.322*LOOKUP(O29,密度!$A$2:$A$50,密度!$C$2:$C$50)</f>
        <v>3344.9522655999999</v>
      </c>
      <c r="P28" s="91" ph="1">
        <f>P27*11.702*LOOKUP(P29,密度!$A$2:$A$50,密度!$B$2:$B$50)</f>
        <v>3392.6824565999996</v>
      </c>
      <c r="Q28" s="92" ph="1">
        <f>Q27*18.322*LOOKUP(Q29,密度!$A$2:$A$50,密度!$B$2:$B$50)</f>
        <v>5674.6806790000001</v>
      </c>
      <c r="R28" s="91" ph="1">
        <f>R27*35.891*LOOKUP(R29,密度!$A$2:$A$50,密度!$C$2:$C$50)</f>
        <v>180649.56015299997</v>
      </c>
      <c r="S28" s="91" ph="1">
        <f>S27*35.891*LOOKUP(S29,密度!$A$2:$A$50,密度!$B$2:$B$50)</f>
        <v>86227.495818399999</v>
      </c>
      <c r="T28" s="91" ph="1">
        <f>T27*35.891*LOOKUP(T29,密度!$A$2:$A$50,密度!$Q$2:$Q$50)</f>
        <v>36539.467102879993</v>
      </c>
      <c r="U28" s="91" ph="1">
        <f>U27*35.891</f>
        <v>133191.50099999999</v>
      </c>
      <c r="V28" s="91" ph="1">
        <f>V27*47.051*LOOKUP(V29,密度!$A$2:$A$50,密度!$B$2:$B$50)</f>
        <v>325898.00809419999</v>
      </c>
      <c r="W28" s="91" ph="1">
        <f>W27*47.051*LOOKUP(W29,密度!$A$2:$A$50,密度!$B$2:$B$50)</f>
        <v>286102.80397050001</v>
      </c>
      <c r="X28" s="91" ph="1">
        <f>X27*47.051*LOOKUP(X29,密度!$A$2:$A$61,密度!$I$2:$I$61)</f>
        <v>210019.51609680001</v>
      </c>
      <c r="Y28" s="91" ph="1">
        <f>Y27*47.051*LOOKUP(Y29,密度!$A$2:$A$50,密度!$L$2:$L$50)</f>
        <v>216982.27364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52" t="s" ph="1">
        <v>179</v>
      </c>
      <c r="D29" s="74">
        <v>25</v>
      </c>
      <c r="E29" s="74">
        <v>25</v>
      </c>
      <c r="F29" s="74">
        <v>20</v>
      </c>
      <c r="G29" s="74">
        <v>22</v>
      </c>
      <c r="H29" s="74">
        <v>22</v>
      </c>
      <c r="I29" s="74">
        <v>23</v>
      </c>
      <c r="J29" s="74">
        <v>20</v>
      </c>
      <c r="K29" s="74">
        <v>21</v>
      </c>
      <c r="L29" s="74">
        <v>20</v>
      </c>
      <c r="M29" s="74">
        <v>20</v>
      </c>
      <c r="N29" s="74">
        <v>20</v>
      </c>
      <c r="O29" s="74">
        <v>19</v>
      </c>
      <c r="P29" s="74">
        <v>18</v>
      </c>
      <c r="Q29" s="93">
        <v>20</v>
      </c>
      <c r="R29" s="74">
        <v>22</v>
      </c>
      <c r="S29" s="74">
        <v>20</v>
      </c>
      <c r="T29" s="74">
        <v>21</v>
      </c>
      <c r="U29" s="74">
        <v>20</v>
      </c>
      <c r="V29" s="74">
        <v>22</v>
      </c>
      <c r="W29" s="74">
        <v>20</v>
      </c>
      <c r="X29" s="74">
        <v>39</v>
      </c>
      <c r="Y29" s="74">
        <v>22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52" t="s" ph="1">
        <v>5</v>
      </c>
      <c r="F32" s="151" t="s" ph="1">
        <v>43</v>
      </c>
      <c r="G32" s="97" t="s" ph="1">
        <v>4</v>
      </c>
      <c r="H32" s="152" t="s" ph="1">
        <v>5</v>
      </c>
      <c r="I32" s="151" t="s" ph="1">
        <v>43</v>
      </c>
      <c r="J32" s="97" t="s" ph="1">
        <v>4</v>
      </c>
      <c r="K32" s="152" t="s" ph="1">
        <v>5</v>
      </c>
      <c r="L32" s="151" t="s" ph="1">
        <v>43</v>
      </c>
      <c r="M32" s="97" t="s" ph="1">
        <v>4</v>
      </c>
      <c r="N32" s="152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2" t="s" ph="1">
        <v>5</v>
      </c>
      <c r="U32" s="99" t="s" ph="1">
        <v>43</v>
      </c>
      <c r="V32" s="97" t="s" ph="1">
        <v>4</v>
      </c>
      <c r="W32" s="152" t="s" ph="1">
        <v>5</v>
      </c>
      <c r="X32" s="99" t="s" ph="1">
        <v>43</v>
      </c>
      <c r="Y32" s="100" t="s" ph="1">
        <v>4</v>
      </c>
      <c r="Z32" s="152" t="s" ph="1">
        <v>5</v>
      </c>
      <c r="AA32" s="151" t="s" ph="1">
        <v>43</v>
      </c>
      <c r="AB32" s="97" t="s" ph="1">
        <v>85</v>
      </c>
      <c r="AC32" s="152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101828.05869420001</v>
      </c>
      <c r="E33" s="196" ph="1">
        <f>M10+I10</f>
        <v>112206.36614000001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22" ph="1">
        <v>0</v>
      </c>
      <c r="H33" s="196" ph="1">
        <f>N19</f>
        <v>21894.686702400002</v>
      </c>
      <c r="I33" s="200" ph="1">
        <v>0</v>
      </c>
      <c r="J33" s="204" ph="1">
        <f>F10+O28</f>
        <v>243358.0093714</v>
      </c>
      <c r="K33" s="196" ph="1">
        <f>O10+K10+E28+R28</f>
        <v>283355.63886471995</v>
      </c>
      <c r="L33" s="206" ph="1">
        <f>BE27</f>
        <v>7100</v>
      </c>
      <c r="M33" s="204" ph="1">
        <f>G10+H10+W28+S28+V28+E10</f>
        <v>761429.28605310002</v>
      </c>
      <c r="N33" s="196" ph="1">
        <f>L10+P10++G28+H28</f>
        <v>106035.10534019998</v>
      </c>
      <c r="O33" s="200" ph="1">
        <f>BE17</f>
        <v>2270</v>
      </c>
      <c r="P33" s="204" ph="1">
        <f>L19</f>
        <v>12592.5320328</v>
      </c>
      <c r="Q33" s="196" ph="1">
        <f>J10+N10</f>
        <v>11021.2406792</v>
      </c>
      <c r="R33" s="200" ph="1">
        <f>BE23</f>
        <v>890</v>
      </c>
      <c r="S33" s="204" ph="1">
        <f>E10+X28</f>
        <v>252767.66013080001</v>
      </c>
      <c r="T33" s="196" ph="1">
        <f>X19</f>
        <v>12023.28909072</v>
      </c>
      <c r="U33" s="185" ph="1">
        <f>BE21</f>
        <v>730</v>
      </c>
      <c r="V33" s="198" ph="1">
        <f ca="1">P19+Q19+S19+M28+N28+J28</f>
        <v>362511.12875980401</v>
      </c>
      <c r="W33" s="198" ph="1">
        <f>D28+F28+V19+T28</f>
        <v>86905.348780919972</v>
      </c>
      <c r="X33" s="200" ph="1">
        <f>BE29+BE31</f>
        <v>10200</v>
      </c>
      <c r="Y33" s="202" ph="1">
        <f>+Q10+R10+S10+T10+U10+V10+W10+X10+Y10</f>
        <v>106117.5271464</v>
      </c>
      <c r="Z33" s="183" ph="1">
        <f>D10+T19+U19+Y28+Z10</f>
        <v>519259.90378172003</v>
      </c>
      <c r="AA33" s="185" ph="1">
        <f>BE19</f>
        <v>1440</v>
      </c>
      <c r="AB33" s="187" ph="1">
        <f>I19</f>
        <v>15028.517656800001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50" t="s" ph="1">
        <v>185</v>
      </c>
      <c r="AA36" s="150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64" priority="98">
      <formula>ABS(D$7-D$10)&gt;=1000</formula>
    </cfRule>
  </conditionalFormatting>
  <conditionalFormatting sqref="E4 E6:E11">
    <cfRule type="expression" dxfId="2563" priority="97">
      <formula>ABS(E$7-E$10)&gt;=1000</formula>
    </cfRule>
  </conditionalFormatting>
  <conditionalFormatting sqref="F4:F11">
    <cfRule type="expression" dxfId="2562" priority="96">
      <formula>ABS(F$7-F$10)&gt;=1000</formula>
    </cfRule>
  </conditionalFormatting>
  <conditionalFormatting sqref="G4:G11">
    <cfRule type="expression" dxfId="2561" priority="95">
      <formula>ABS(G$7-G$10)&gt;=1000</formula>
    </cfRule>
  </conditionalFormatting>
  <conditionalFormatting sqref="H4:H11">
    <cfRule type="expression" dxfId="2560" priority="94">
      <formula>ABS(H$7-H$10)&gt;=1000</formula>
    </cfRule>
  </conditionalFormatting>
  <conditionalFormatting sqref="I4:I11">
    <cfRule type="expression" dxfId="2559" priority="93">
      <formula>ABS(I$7-I$10)&gt;=1000</formula>
    </cfRule>
  </conditionalFormatting>
  <conditionalFormatting sqref="J4:J11">
    <cfRule type="expression" dxfId="2558" priority="92">
      <formula>ABS(J$7-J$10)&gt;=1000</formula>
    </cfRule>
  </conditionalFormatting>
  <conditionalFormatting sqref="K4:K11">
    <cfRule type="expression" dxfId="2557" priority="91">
      <formula>ABS(K$7-K$10)&gt;=1000</formula>
    </cfRule>
  </conditionalFormatting>
  <conditionalFormatting sqref="L4:L11">
    <cfRule type="expression" dxfId="2556" priority="90">
      <formula>ABS(L$7-L$10)&gt;=1000</formula>
    </cfRule>
  </conditionalFormatting>
  <conditionalFormatting sqref="M4 M6:M11">
    <cfRule type="expression" dxfId="2555" priority="89">
      <formula>ABS(M$7-M$10)&gt;=1000</formula>
    </cfRule>
  </conditionalFormatting>
  <conditionalFormatting sqref="N4 N6:N11">
    <cfRule type="expression" dxfId="2554" priority="88">
      <formula>ABS(N$7-N$10)&gt;=1000</formula>
    </cfRule>
  </conditionalFormatting>
  <conditionalFormatting sqref="O4 O6:O11">
    <cfRule type="expression" dxfId="2553" priority="87">
      <formula>ABS(O$7-O$10)&gt;=1000</formula>
    </cfRule>
  </conditionalFormatting>
  <conditionalFormatting sqref="P4 P6:P11">
    <cfRule type="expression" dxfId="2552" priority="86">
      <formula>ABS(P$7-P$10)&gt;=1000</formula>
    </cfRule>
  </conditionalFormatting>
  <conditionalFormatting sqref="Q4:Q11">
    <cfRule type="expression" dxfId="2551" priority="85">
      <formula>ABS(Q$7-Q$10)&gt;=1000</formula>
    </cfRule>
  </conditionalFormatting>
  <conditionalFormatting sqref="R4:R11">
    <cfRule type="expression" dxfId="2550" priority="84">
      <formula>ABS(R$7-R$10)&gt;=1000</formula>
    </cfRule>
  </conditionalFormatting>
  <conditionalFormatting sqref="S4:S11">
    <cfRule type="expression" dxfId="2549" priority="83">
      <formula>ABS(S$7-S$10)&gt;=1000</formula>
    </cfRule>
  </conditionalFormatting>
  <conditionalFormatting sqref="T4:T9 T11">
    <cfRule type="expression" dxfId="2548" priority="82">
      <formula>ABS(T$7-T$10)&gt;=1000</formula>
    </cfRule>
  </conditionalFormatting>
  <conditionalFormatting sqref="U4:U9 U11">
    <cfRule type="expression" dxfId="2547" priority="81">
      <formula>ABS(U$7-U$10)&gt;=1000</formula>
    </cfRule>
  </conditionalFormatting>
  <conditionalFormatting sqref="V4:V9 V11">
    <cfRule type="expression" dxfId="2546" priority="80">
      <formula>ABS(V$7-V$10)&gt;=1000</formula>
    </cfRule>
  </conditionalFormatting>
  <conditionalFormatting sqref="W4:W9 W11">
    <cfRule type="expression" dxfId="2545" priority="79">
      <formula>ABS(W$7-W$10)&gt;=1000</formula>
    </cfRule>
  </conditionalFormatting>
  <conditionalFormatting sqref="X4:X9 X11">
    <cfRule type="expression" dxfId="2544" priority="78">
      <formula>ABS(X$7-X$10)&gt;=1000</formula>
    </cfRule>
  </conditionalFormatting>
  <conditionalFormatting sqref="Y4:Y9 Y11">
    <cfRule type="expression" dxfId="2543" priority="77">
      <formula>ABS(Y$7-Y$10)&gt;=1000</formula>
    </cfRule>
  </conditionalFormatting>
  <conditionalFormatting sqref="Z4:Z11">
    <cfRule type="expression" dxfId="2542" priority="76">
      <formula>ABS(Z$7-Z$10)&gt;=1000</formula>
    </cfRule>
  </conditionalFormatting>
  <conditionalFormatting sqref="AA4:AA11">
    <cfRule type="expression" dxfId="2541" priority="75">
      <formula>ABS(AA$7-AA$10)&gt;=1000</formula>
    </cfRule>
  </conditionalFormatting>
  <conditionalFormatting sqref="AB4:AB11">
    <cfRule type="expression" dxfId="2540" priority="74">
      <formula>ABS(AB$7-AB$10)&gt;=1000</formula>
    </cfRule>
  </conditionalFormatting>
  <conditionalFormatting sqref="AC4 AC6:AC11">
    <cfRule type="expression" dxfId="2539" priority="73">
      <formula>ABS(AC$7-AC$10)&gt;=1000</formula>
    </cfRule>
  </conditionalFormatting>
  <conditionalFormatting sqref="AD4:AD11">
    <cfRule type="expression" dxfId="2538" priority="72">
      <formula>ABS(AD$7-AD$10)&gt;=1000</formula>
    </cfRule>
  </conditionalFormatting>
  <conditionalFormatting sqref="AE4 AE6:AE11">
    <cfRule type="expression" dxfId="2537" priority="71">
      <formula>ABS(AE$7-AE$10)&gt;=1000</formula>
    </cfRule>
  </conditionalFormatting>
  <conditionalFormatting sqref="D13:D20">
    <cfRule type="expression" dxfId="2536" priority="70">
      <formula>ABS(D$16-D$19)&gt;=1000</formula>
    </cfRule>
  </conditionalFormatting>
  <conditionalFormatting sqref="E13:E20">
    <cfRule type="expression" dxfId="2535" priority="69">
      <formula>ABS(E$16-E$19)&gt;=1000</formula>
    </cfRule>
  </conditionalFormatting>
  <conditionalFormatting sqref="F13 F15:F20">
    <cfRule type="expression" dxfId="2534" priority="68">
      <formula>ABS(F$16-F$19)&gt;=1000</formula>
    </cfRule>
  </conditionalFormatting>
  <conditionalFormatting sqref="G13:G20">
    <cfRule type="expression" dxfId="2533" priority="67">
      <formula>ABS(G$16-G$19)&gt;=1000</formula>
    </cfRule>
  </conditionalFormatting>
  <conditionalFormatting sqref="H13:H20">
    <cfRule type="expression" dxfId="2532" priority="66">
      <formula>ABS(H$16-H$19)&gt;=1000</formula>
    </cfRule>
  </conditionalFormatting>
  <conditionalFormatting sqref="I13:I20">
    <cfRule type="expression" dxfId="2531" priority="65">
      <formula>ABS(I$16-I$19)&gt;=1000</formula>
    </cfRule>
  </conditionalFormatting>
  <conditionalFormatting sqref="J13:J20">
    <cfRule type="expression" dxfId="2530" priority="64">
      <formula>ABS(J$16-J$19)&gt;=1000</formula>
    </cfRule>
  </conditionalFormatting>
  <conditionalFormatting sqref="L13:L20">
    <cfRule type="expression" dxfId="2529" priority="63">
      <formula>ABS(L$16-L$19)&gt;=1000</formula>
    </cfRule>
  </conditionalFormatting>
  <conditionalFormatting sqref="M13 M15 M17:M18 M20">
    <cfRule type="expression" dxfId="2528" priority="62">
      <formula>ABS(M$16-M$19)&gt;=1000</formula>
    </cfRule>
  </conditionalFormatting>
  <conditionalFormatting sqref="N13:N20">
    <cfRule type="expression" dxfId="2527" priority="61">
      <formula>ABS(N$16-N$19)&gt;=1000</formula>
    </cfRule>
  </conditionalFormatting>
  <conditionalFormatting sqref="O13:O20">
    <cfRule type="expression" dxfId="2526" priority="60">
      <formula>ABS(O$16-O$19)&gt;=1000</formula>
    </cfRule>
  </conditionalFormatting>
  <conditionalFormatting sqref="P13:P20">
    <cfRule type="expression" dxfId="2525" priority="59">
      <formula>ABS(P$16-P$19)&gt;=1000</formula>
    </cfRule>
  </conditionalFormatting>
  <conditionalFormatting sqref="Q13 Q15:Q20">
    <cfRule type="expression" dxfId="2524" priority="58">
      <formula>ABS(Q$16-Q$19)&gt;=1000</formula>
    </cfRule>
  </conditionalFormatting>
  <conditionalFormatting sqref="R13:R20">
    <cfRule type="expression" dxfId="2523" priority="57">
      <formula>ABS(R$16-R$19)&gt;=1000</formula>
    </cfRule>
  </conditionalFormatting>
  <conditionalFormatting sqref="S13:S20">
    <cfRule type="expression" dxfId="2522" priority="56">
      <formula>ABS(S$16-S$19)&gt;=1000</formula>
    </cfRule>
  </conditionalFormatting>
  <conditionalFormatting sqref="T13:T20">
    <cfRule type="expression" dxfId="2521" priority="55">
      <formula>ABS(T$16-T$19)&gt;=1000</formula>
    </cfRule>
  </conditionalFormatting>
  <conditionalFormatting sqref="U13:U20">
    <cfRule type="expression" dxfId="2520" priority="54">
      <formula>ABS(U$16-U$19)&gt;=1000</formula>
    </cfRule>
  </conditionalFormatting>
  <conditionalFormatting sqref="V13:V20">
    <cfRule type="expression" dxfId="2519" priority="53">
      <formula>ABS(V$16-V$19)&gt;=1000</formula>
    </cfRule>
  </conditionalFormatting>
  <conditionalFormatting sqref="W13 W20 W15:W18">
    <cfRule type="expression" dxfId="2518" priority="52">
      <formula>ABS(W$16-W$19)&gt;=1000</formula>
    </cfRule>
  </conditionalFormatting>
  <conditionalFormatting sqref="X13 X15:X20 Y19">
    <cfRule type="expression" dxfId="2517" priority="51">
      <formula>ABS(X$16-X$19)&gt;=1000</formula>
    </cfRule>
  </conditionalFormatting>
  <conditionalFormatting sqref="Y13 Y15:Y18 Y20">
    <cfRule type="expression" dxfId="2516" priority="50">
      <formula>ABS(Y$16-Y$19)&gt;=1000</formula>
    </cfRule>
  </conditionalFormatting>
  <conditionalFormatting sqref="Z13:Z20">
    <cfRule type="expression" dxfId="2515" priority="49">
      <formula>ABS(Z$16-Z$19)&gt;=1000</formula>
    </cfRule>
  </conditionalFormatting>
  <conditionalFormatting sqref="AA13:AA20">
    <cfRule type="expression" dxfId="2514" priority="48">
      <formula>ABS(AA$16-AA$19)&gt;=1000</formula>
    </cfRule>
  </conditionalFormatting>
  <conditionalFormatting sqref="AB13 AB15:AB20">
    <cfRule type="expression" dxfId="2513" priority="47">
      <formula>ABS(AB$16-AB$19)&gt;=1000</formula>
    </cfRule>
  </conditionalFormatting>
  <conditionalFormatting sqref="AC13 AC15:AC20">
    <cfRule type="expression" dxfId="2512" priority="46">
      <formula>ABS(AC$16-AC$19)&gt;=1000</formula>
    </cfRule>
  </conditionalFormatting>
  <conditionalFormatting sqref="AD13:AD20">
    <cfRule type="expression" dxfId="2511" priority="45">
      <formula>ABS(AD$16-AD$19)&gt;=1000</formula>
    </cfRule>
  </conditionalFormatting>
  <conditionalFormatting sqref="AE13:AE20">
    <cfRule type="expression" dxfId="2510" priority="44">
      <formula>ABS(AE$16-AE$19)&gt;=1000</formula>
    </cfRule>
  </conditionalFormatting>
  <conditionalFormatting sqref="D22:D29">
    <cfRule type="expression" dxfId="2509" priority="43">
      <formula>ABS(D$25-D$28)&gt;=1000</formula>
    </cfRule>
  </conditionalFormatting>
  <conditionalFormatting sqref="E22:E29">
    <cfRule type="expression" dxfId="2508" priority="42">
      <formula>ABS(E$25-E$28)&gt;=1000</formula>
    </cfRule>
  </conditionalFormatting>
  <conditionalFormatting sqref="F22:F29">
    <cfRule type="expression" dxfId="2507" priority="41">
      <formula>ABS(F$25-F$28)&gt;=1000</formula>
    </cfRule>
  </conditionalFormatting>
  <conditionalFormatting sqref="G22:G29">
    <cfRule type="expression" dxfId="2506" priority="40">
      <formula>ABS(G$25-G$28)&gt;=1000</formula>
    </cfRule>
  </conditionalFormatting>
  <conditionalFormatting sqref="H22:H29">
    <cfRule type="expression" dxfId="2505" priority="39">
      <formula>ABS(H$25-H$28)&gt;=1000</formula>
    </cfRule>
  </conditionalFormatting>
  <conditionalFormatting sqref="I22 I24:I29">
    <cfRule type="expression" dxfId="2504" priority="38">
      <formula>ABS(I$25-I$28)&gt;=1000</formula>
    </cfRule>
  </conditionalFormatting>
  <conditionalFormatting sqref="J22:J29 K22">
    <cfRule type="expression" dxfId="2503" priority="37">
      <formula>ABS(J$25-J$28)&gt;=1000</formula>
    </cfRule>
  </conditionalFormatting>
  <conditionalFormatting sqref="K23:K29 L25 L28">
    <cfRule type="expression" dxfId="2502" priority="36">
      <formula>ABS(K$25-K$28)&gt;=1000</formula>
    </cfRule>
  </conditionalFormatting>
  <conditionalFormatting sqref="L22 L26:L27 L29 L24">
    <cfRule type="expression" dxfId="2501" priority="35">
      <formula>ABS(L$25-L$28)&gt;=1000</formula>
    </cfRule>
  </conditionalFormatting>
  <conditionalFormatting sqref="M22:M29">
    <cfRule type="expression" dxfId="2500" priority="34">
      <formula>ABS(M$25-M$28)&gt;=1000</formula>
    </cfRule>
  </conditionalFormatting>
  <conditionalFormatting sqref="N22:N29">
    <cfRule type="expression" dxfId="2499" priority="33">
      <formula>ABS(N$25-N$28)&gt;=1000</formula>
    </cfRule>
  </conditionalFormatting>
  <conditionalFormatting sqref="O22:O29">
    <cfRule type="expression" dxfId="2498" priority="32">
      <formula>ABS(O$25-O$28)&gt;=1000</formula>
    </cfRule>
  </conditionalFormatting>
  <conditionalFormatting sqref="P22:P29">
    <cfRule type="expression" dxfId="2497" priority="31">
      <formula>ABS(P$25-P$28)&gt;=1000</formula>
    </cfRule>
  </conditionalFormatting>
  <conditionalFormatting sqref="Q22:Q29">
    <cfRule type="expression" dxfId="2496" priority="30">
      <formula>ABS(Q$25-Q$28)&gt;=1000</formula>
    </cfRule>
  </conditionalFormatting>
  <conditionalFormatting sqref="R22:R29">
    <cfRule type="expression" dxfId="2495" priority="29">
      <formula>ABS(R$25-R$28)&gt;=1000</formula>
    </cfRule>
  </conditionalFormatting>
  <conditionalFormatting sqref="S22:S29">
    <cfRule type="expression" dxfId="2494" priority="28">
      <formula>ABS(S$25-S$28)&gt;=1000</formula>
    </cfRule>
  </conditionalFormatting>
  <conditionalFormatting sqref="T22:T29">
    <cfRule type="expression" dxfId="2493" priority="27">
      <formula>ABS(T$25-T$28)&gt;=1000</formula>
    </cfRule>
  </conditionalFormatting>
  <conditionalFormatting sqref="U22:U29">
    <cfRule type="expression" dxfId="2492" priority="26">
      <formula>ABS(U$25-U$28)&gt;=1000</formula>
    </cfRule>
  </conditionalFormatting>
  <conditionalFormatting sqref="V22:V29">
    <cfRule type="expression" dxfId="2491" priority="25">
      <formula>ABS(V$25-V$28)&gt;=1000</formula>
    </cfRule>
  </conditionalFormatting>
  <conditionalFormatting sqref="W22:W29">
    <cfRule type="expression" dxfId="2490" priority="24">
      <formula>ABS(W$25-W$28)&gt;=1000</formula>
    </cfRule>
  </conditionalFormatting>
  <conditionalFormatting sqref="X22:X29">
    <cfRule type="expression" dxfId="2489" priority="23">
      <formula>ABS(X$25-X$28)&gt;=1000</formula>
    </cfRule>
  </conditionalFormatting>
  <conditionalFormatting sqref="Y22:Y29">
    <cfRule type="expression" dxfId="2488" priority="22">
      <formula>ABS(Y$25-Y$28)&gt;=1000</formula>
    </cfRule>
  </conditionalFormatting>
  <conditionalFormatting sqref="I23">
    <cfRule type="expression" dxfId="2487" priority="21">
      <formula>ABS(I$25-I$28)&gt;=1000</formula>
    </cfRule>
  </conditionalFormatting>
  <conditionalFormatting sqref="Q14">
    <cfRule type="expression" dxfId="2486" priority="20">
      <formula>ABS(Q$16-Q$19)&gt;=1000</formula>
    </cfRule>
  </conditionalFormatting>
  <conditionalFormatting sqref="W14">
    <cfRule type="expression" dxfId="2485" priority="19">
      <formula>ABS(W$16-W$19)&gt;=1000</formula>
    </cfRule>
  </conditionalFormatting>
  <conditionalFormatting sqref="Y14">
    <cfRule type="expression" dxfId="2484" priority="18">
      <formula>ABS(Y$16-Y$19)&gt;=1000</formula>
    </cfRule>
  </conditionalFormatting>
  <conditionalFormatting sqref="X14">
    <cfRule type="expression" dxfId="2483" priority="17">
      <formula>ABS(X$16-X$19)&gt;=1000</formula>
    </cfRule>
  </conditionalFormatting>
  <conditionalFormatting sqref="T10:Y10">
    <cfRule type="expression" dxfId="2482" priority="16">
      <formula>ABS(T$7-T$10)&gt;=1000</formula>
    </cfRule>
  </conditionalFormatting>
  <conditionalFormatting sqref="W19">
    <cfRule type="expression" dxfId="2481" priority="15">
      <formula>ABS(W$16-W$19)&gt;=1000</formula>
    </cfRule>
  </conditionalFormatting>
  <conditionalFormatting sqref="AC5">
    <cfRule type="expression" dxfId="2480" priority="14">
      <formula>ABS(AC$7-AC$10)&gt;=1000</formula>
    </cfRule>
  </conditionalFormatting>
  <conditionalFormatting sqref="M14">
    <cfRule type="expression" dxfId="2479" priority="13">
      <formula>ABS(M$16-M$19)&gt;=1000</formula>
    </cfRule>
  </conditionalFormatting>
  <conditionalFormatting sqref="M16">
    <cfRule type="expression" dxfId="2478" priority="12">
      <formula>ABS(M$16-M$19)&gt;=1000</formula>
    </cfRule>
  </conditionalFormatting>
  <conditionalFormatting sqref="M19">
    <cfRule type="expression" dxfId="2477" priority="11">
      <formula>ABS(M$16-M$19)&gt;=1000</formula>
    </cfRule>
  </conditionalFormatting>
  <conditionalFormatting sqref="K13:K20">
    <cfRule type="expression" dxfId="2476" priority="10">
      <formula>ABS(K$16-K$19)&gt;=1000</formula>
    </cfRule>
  </conditionalFormatting>
  <conditionalFormatting sqref="E5">
    <cfRule type="expression" dxfId="2475" priority="9">
      <formula>ABS(E$7-E$10)&gt;=1000</formula>
    </cfRule>
  </conditionalFormatting>
  <conditionalFormatting sqref="AB14:AC14">
    <cfRule type="expression" dxfId="2474" priority="8">
      <formula>ABS(AB$16-AB$19)&gt;=1000</formula>
    </cfRule>
  </conditionalFormatting>
  <conditionalFormatting sqref="M5">
    <cfRule type="expression" dxfId="2473" priority="7">
      <formula>ABS(M$7-M$10)&gt;=1000</formula>
    </cfRule>
  </conditionalFormatting>
  <conditionalFormatting sqref="N5">
    <cfRule type="expression" dxfId="2472" priority="6">
      <formula>ABS(N$7-N$10)&gt;=1000</formula>
    </cfRule>
  </conditionalFormatting>
  <conditionalFormatting sqref="O5">
    <cfRule type="expression" dxfId="2471" priority="5">
      <formula>ABS(O$7-O$10)&gt;=1000</formula>
    </cfRule>
  </conditionalFormatting>
  <conditionalFormatting sqref="P5">
    <cfRule type="expression" dxfId="2470" priority="4">
      <formula>ABS(P$7-P$10)&gt;=1000</formula>
    </cfRule>
  </conditionalFormatting>
  <conditionalFormatting sqref="L23">
    <cfRule type="expression" dxfId="2469" priority="3">
      <formula>ABS(L$25-L$28)&gt;=1000</formula>
    </cfRule>
  </conditionalFormatting>
  <conditionalFormatting sqref="F14">
    <cfRule type="expression" dxfId="2468" priority="2">
      <formula>ABS(F$16-F$19)&gt;=1000</formula>
    </cfRule>
  </conditionalFormatting>
  <conditionalFormatting sqref="AE5">
    <cfRule type="expression" dxfId="2467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10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78">
    <pageSetUpPr fitToPage="1"/>
  </sheetPr>
  <dimension ref="A1:CU223"/>
  <sheetViews>
    <sheetView view="pageBreakPreview" topLeftCell="A10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45995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52" t="s" ph="1">
        <v>177</v>
      </c>
      <c r="D6" s="71">
        <v>5112</v>
      </c>
      <c r="E6" s="71">
        <v>506</v>
      </c>
      <c r="F6" s="71">
        <v>6498</v>
      </c>
      <c r="G6" s="71">
        <v>1068</v>
      </c>
      <c r="H6" s="71">
        <v>18</v>
      </c>
      <c r="I6" s="71">
        <v>27.11</v>
      </c>
      <c r="J6" s="71">
        <v>7.02</v>
      </c>
      <c r="K6" s="71">
        <v>6.83</v>
      </c>
      <c r="L6" s="71">
        <v>46.92</v>
      </c>
      <c r="M6" s="71">
        <v>3040</v>
      </c>
      <c r="N6" s="71">
        <v>249</v>
      </c>
      <c r="O6" s="71">
        <v>3514</v>
      </c>
      <c r="P6" s="71">
        <v>1352</v>
      </c>
      <c r="Q6" s="71">
        <v>4431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2307</v>
      </c>
      <c r="Y6" s="71">
        <v>4699</v>
      </c>
      <c r="Z6" s="71">
        <v>1851</v>
      </c>
      <c r="AA6" s="71">
        <v>1911</v>
      </c>
      <c r="AB6" s="71">
        <v>1721</v>
      </c>
      <c r="AC6" s="71">
        <v>8431</v>
      </c>
      <c r="AD6" s="71">
        <v>4780</v>
      </c>
      <c r="AE6" s="71">
        <v>5002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161214.38116847997</v>
      </c>
      <c r="E7" s="73" ph="1">
        <f>E6*51.53*LOOKUP(E8,密度!$A$2:$A$50,密度!$B$2:$B$50)</f>
        <v>20486.483226</v>
      </c>
      <c r="F7" s="73" ph="1">
        <f>F6*33.183*LOOKUP(F8,密度!$A$2:$A$50,密度!$C$2:$C$50)</f>
        <v>240182.60896259997</v>
      </c>
      <c r="G7" s="73" ph="1">
        <f xml:space="preserve"> (G6+2)*51.53*LOOKUP(G8,密度!$A$2:$A$50,密度!$B$2:$B$50)</f>
        <v>43359.815439999998</v>
      </c>
      <c r="H7" s="73" ph="1">
        <f>(H6)*51.53*LOOKUP(H8,密度!$A$2:$A$50,密度!$B$2:$B$50)</f>
        <v>730.90152</v>
      </c>
      <c r="I7" s="73" ph="1">
        <f>I6*290.8*1.0267</f>
        <v>8094.0797995999992</v>
      </c>
      <c r="J7" s="73" ph="1">
        <f>J6*290.8*0.7892</f>
        <v>1611.0855071999999</v>
      </c>
      <c r="K7" s="73" ph="1">
        <f>K6*290.8*1.1126</f>
        <v>2209.8060664</v>
      </c>
      <c r="L7" s="73" ph="1">
        <f>L6*290.8*0.777</f>
        <v>10601.649072000002</v>
      </c>
      <c r="M7" s="73" ph="1">
        <f>M6*33.183*LOOKUP(M8,密度!$A$2:$A$50,密度!$D$2:$D$50)</f>
        <v>104124.53750399999</v>
      </c>
      <c r="N7" s="73" ph="1">
        <f>N6*33.183*LOOKUP(N8,密度!$A$2:$A$50,密度!$E$2:$E$50)</f>
        <v>6538.9955237999993</v>
      </c>
      <c r="O7" s="73" ph="1">
        <f>O6*20.428*LOOKUP(O8,密度!$A$2:$A$50,密度!$C$2:$C$50)</f>
        <v>79708.944716800004</v>
      </c>
      <c r="P7" s="73" ph="1">
        <f>P6*51.53*LOOKUP(P8,密度!$A$2:$A$50,密度!$B$2:$B$50)</f>
        <v>54738.587591999996</v>
      </c>
      <c r="Q7" s="73" ph="1">
        <f>Q6*1.5*1.5*3.1416*LOOKUP(W8,密度!$A$2:$A$50,密度!$L$2:$L$50)</f>
        <v>29598.313436999997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15377.746368599999</v>
      </c>
      <c r="Y7" s="73" ph="1">
        <f>Y6*1.5*1.5*3.1416*LOOKUP(Y8,密度!$A$2:$A$50,密度!$L$2:$L$50)</f>
        <v>31322.076370199997</v>
      </c>
      <c r="Z7" s="73" ph="1">
        <f>Z6*33.183*LOOKUP(Z8,密度!$A$2:$A$50,密度!$L$2:$L$50)</f>
        <v>58043.537684999996</v>
      </c>
      <c r="AA7" s="73" ph="1">
        <f>AA6*33.183*LOOKUP(AA8,密度!$A$2:$A$50,密度!$D$2:$D$50)</f>
        <v>65562.403970700005</v>
      </c>
      <c r="AB7" s="73" ph="1">
        <f>AB6*20.428*LOOKUP(AB8,密度!$A$2:$A$50,密度!$D$2:$D$50)</f>
        <v>36531.210590800001</v>
      </c>
      <c r="AC7" s="73" ph="1">
        <f>AC6*51.53*LOOKUP(AC8,密度!$A$2:$A$50,密度!$Q$2:$Q$50)</f>
        <v>414290.976448</v>
      </c>
      <c r="AD7" s="73" ph="1">
        <f>AD6*20.428*LOOKUP(AD8,密度!$A$2:$A$50,密度!$V$2:$V$50)</f>
        <v>94130.589760000003</v>
      </c>
      <c r="AE7" s="73" ph="1">
        <f>AE6*20.428</f>
        <v>102180.856</v>
      </c>
    </row>
    <row r="8" spans="1:99" ph="1">
      <c r="B8" s="247" ph="1"/>
      <c r="C8" s="68" t="s" ph="1">
        <v>179</v>
      </c>
      <c r="D8" s="74">
        <v>20</v>
      </c>
      <c r="E8" s="74">
        <v>18</v>
      </c>
      <c r="F8" s="74">
        <v>18</v>
      </c>
      <c r="G8" s="74">
        <v>17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18</v>
      </c>
      <c r="O8" s="74">
        <v>23</v>
      </c>
      <c r="P8" s="74">
        <v>18</v>
      </c>
      <c r="Q8" s="74">
        <v>20</v>
      </c>
      <c r="R8" s="74">
        <v>23</v>
      </c>
      <c r="S8" s="74">
        <v>15</v>
      </c>
      <c r="T8" s="74">
        <v>14</v>
      </c>
      <c r="U8" s="74">
        <v>18</v>
      </c>
      <c r="V8" s="74">
        <v>20</v>
      </c>
      <c r="W8" s="74">
        <v>17</v>
      </c>
      <c r="X8" s="74">
        <v>19</v>
      </c>
      <c r="Y8" s="74">
        <v>19</v>
      </c>
      <c r="Z8" s="74">
        <v>17</v>
      </c>
      <c r="AA8" s="74">
        <v>17</v>
      </c>
      <c r="AB8" s="74">
        <v>11</v>
      </c>
      <c r="AC8" s="74">
        <v>16</v>
      </c>
      <c r="AD8" s="74">
        <v>17</v>
      </c>
      <c r="AE8" s="74">
        <v>23</v>
      </c>
    </row>
    <row r="9" spans="1:99" ht="26.4" ph="1">
      <c r="B9" s="247" ph="1">
        <v>0.66666666666666663</v>
      </c>
      <c r="C9" s="152" t="s" ph="1">
        <v>180</v>
      </c>
      <c r="D9" s="71">
        <v>5114</v>
      </c>
      <c r="E9" s="71">
        <v>221</v>
      </c>
      <c r="F9" s="71">
        <v>6497</v>
      </c>
      <c r="G9" s="71">
        <v>2237</v>
      </c>
      <c r="H9" s="71">
        <v>16</v>
      </c>
      <c r="I9" s="71">
        <v>27.12</v>
      </c>
      <c r="J9" s="71">
        <v>7.12</v>
      </c>
      <c r="K9" s="71">
        <v>6.91</v>
      </c>
      <c r="L9" s="71">
        <v>69.92</v>
      </c>
      <c r="M9" s="71">
        <v>3039</v>
      </c>
      <c r="N9" s="71">
        <v>184</v>
      </c>
      <c r="O9" s="71">
        <v>3513</v>
      </c>
      <c r="P9" s="71">
        <v>1164</v>
      </c>
      <c r="Q9" s="71">
        <v>6747</v>
      </c>
      <c r="R9" s="71">
        <v>2355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3497</v>
      </c>
      <c r="Z9" s="71">
        <v>2625</v>
      </c>
      <c r="AA9" s="71">
        <v>1907</v>
      </c>
      <c r="AB9" s="71">
        <v>1626</v>
      </c>
      <c r="AC9" s="71">
        <v>8725</v>
      </c>
      <c r="AD9" s="71">
        <v>4780</v>
      </c>
      <c r="AE9" s="71">
        <v>5310</v>
      </c>
    </row>
    <row r="10" spans="1:99" s="72" customFormat="1" ht="22.2" ph="1">
      <c r="B10" s="247" ph="1"/>
      <c r="C10" s="152" t="s" ph="1">
        <v>178</v>
      </c>
      <c r="D10" s="73" ph="1">
        <f>D9*33.183*LOOKUP(D11,密度!$A$2:$A$50,密度!$Q$2:$Q$50)</f>
        <v>161160.36256278001</v>
      </c>
      <c r="E10" s="73" ph="1">
        <f>E9*51.53*LOOKUP(E11,密度!$A$2:$A$50,密度!$B$2:$B$50)</f>
        <v>8929.4327330000015</v>
      </c>
      <c r="F10" s="73" ph="1">
        <f>F9*33.183*LOOKUP(F11,密度!$A$2:$A$50,密度!$C$2:$C$50)</f>
        <v>239994.73345319999</v>
      </c>
      <c r="G10" s="73" ph="1">
        <f xml:space="preserve"> (G9+2)*51.53*LOOKUP(G11,密度!$A$2:$A$50,密度!$B$2:$B$50)</f>
        <v>90650.663918999999</v>
      </c>
      <c r="H10" s="73" ph="1">
        <f>(H9)*51.53*LOOKUP(H11,密度!$A$2:$A$50,密度!$B$2:$B$50)</f>
        <v>647.13435200000004</v>
      </c>
      <c r="I10" s="73" ph="1">
        <f>I9*290.8*1.0267</f>
        <v>8097.065443200001</v>
      </c>
      <c r="J10" s="73" ph="1">
        <f>J9*290.8*0.7892</f>
        <v>1634.0354432000001</v>
      </c>
      <c r="K10" s="73" ph="1">
        <f>K9*290.8*1.1126</f>
        <v>2235.6895928000004</v>
      </c>
      <c r="L10" s="73" ph="1">
        <f>L9*290.8*0.777</f>
        <v>15798.535872</v>
      </c>
      <c r="M10" s="73" ph="1">
        <f>M9*33.183*LOOKUP(M11,密度!$A$2:$A$50,密度!$D$2:$D$50)</f>
        <v>103918.8526785</v>
      </c>
      <c r="N10" s="73" ph="1">
        <f>N9*33.183*LOOKUP(N11,密度!$A$2:$A$50,密度!$E$2:$E$50)</f>
        <v>4803.9427296000003</v>
      </c>
      <c r="O10" s="73" ph="1">
        <f>O9*20.428*LOOKUP(O11,密度!$A$2:$A$50,密度!$C$2:$C$50)</f>
        <v>79628.850614399998</v>
      </c>
      <c r="P10" s="73" ph="1">
        <f>P9*51.53*LOOKUP(P11,密度!$A$2:$A$50,密度!$B$2:$B$50)</f>
        <v>46923.073715999999</v>
      </c>
      <c r="Q10" s="73" ph="1">
        <f>Q9*1.5*1.5*3.1416*LOOKUP(W11,密度!$A$2:$A$50,密度!$L$2:$L$50)</f>
        <v>44639.5661712</v>
      </c>
      <c r="R10" s="73" ph="1">
        <f>R9*1.5*1.5*3.1416*LOOKUP(R11,密度!$A$2:$A$50,密度!$L$2:$L$50)</f>
        <v>15597.820161000001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23285.198336399997</v>
      </c>
      <c r="Z10" s="73" ph="1">
        <f>Z9*33.183*LOOKUP(Z11,密度!$A$2:$A$50,密度!$L$2:$L$50)</f>
        <v>82314.579375000001</v>
      </c>
      <c r="AA10" s="73" ph="1">
        <f>AA9*33.183*LOOKUP(AA11,密度!$A$2:$A$50,密度!$D$2:$D$50)</f>
        <v>65266.972403400003</v>
      </c>
      <c r="AB10" s="73" ph="1">
        <f>AB9*20.428*LOOKUP(AB11,密度!$A$2:$A$50,密度!$D$2:$D$50)</f>
        <v>34458.203707200002</v>
      </c>
      <c r="AC10" s="73" ph="1">
        <f>AC9*51.53*LOOKUP(AC11,密度!$A$2:$A$50,密度!$Q$2:$Q$50)</f>
        <v>428022.98199250002</v>
      </c>
      <c r="AD10" s="73" ph="1">
        <f>AD9*20.428*LOOKUP(AD11,密度!$A$2:$A$50,密度!$V$2:$V$50)</f>
        <v>94130.589760000003</v>
      </c>
      <c r="AE10" s="73" ph="1">
        <f>AE9*20.428</f>
        <v>108472.68000000001</v>
      </c>
    </row>
    <row r="11" spans="1:99" ph="1">
      <c r="A11" s="64" t="s" ph="1">
        <v>162</v>
      </c>
      <c r="B11" s="247" ph="1"/>
      <c r="C11" s="152" t="s" ph="1">
        <v>179</v>
      </c>
      <c r="D11" s="74">
        <v>21</v>
      </c>
      <c r="E11" s="74">
        <v>20</v>
      </c>
      <c r="F11" s="74">
        <v>19</v>
      </c>
      <c r="G11" s="74">
        <v>18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22</v>
      </c>
      <c r="O11" s="74">
        <v>24</v>
      </c>
      <c r="P11" s="74">
        <v>22</v>
      </c>
      <c r="Q11" s="74">
        <v>21</v>
      </c>
      <c r="R11" s="74">
        <v>25</v>
      </c>
      <c r="S11" s="74">
        <v>17</v>
      </c>
      <c r="T11" s="74">
        <v>27</v>
      </c>
      <c r="U11" s="74">
        <v>23</v>
      </c>
      <c r="V11" s="74">
        <v>25</v>
      </c>
      <c r="W11" s="74">
        <v>26</v>
      </c>
      <c r="X11" s="74">
        <v>21</v>
      </c>
      <c r="Y11" s="74">
        <v>20</v>
      </c>
      <c r="Z11" s="74">
        <v>17</v>
      </c>
      <c r="AA11" s="74">
        <v>20</v>
      </c>
      <c r="AB11" s="74">
        <v>13</v>
      </c>
      <c r="AC11" s="74">
        <v>18</v>
      </c>
      <c r="AD11" s="74">
        <v>19</v>
      </c>
      <c r="AE11" s="74">
        <v>27</v>
      </c>
    </row>
    <row r="12" spans="1:99" ht="9.9" customHeight="1" ph="1"/>
    <row r="13" spans="1:99" s="72" customFormat="1" ht="29.25" customHeight="1" ph="1">
      <c r="B13" s="224" t="s" ph="1">
        <v>37</v>
      </c>
      <c r="C13" s="15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52" t="s" ph="1">
        <v>177</v>
      </c>
      <c r="D15" s="78">
        <v>1190</v>
      </c>
      <c r="E15" s="78">
        <v>5754</v>
      </c>
      <c r="F15" s="78">
        <v>2842</v>
      </c>
      <c r="G15" s="78">
        <v>4444</v>
      </c>
      <c r="H15" s="78">
        <v>4144</v>
      </c>
      <c r="I15" s="78">
        <v>1609</v>
      </c>
      <c r="J15" s="78">
        <v>1439</v>
      </c>
      <c r="K15" s="78">
        <v>2390</v>
      </c>
      <c r="L15" s="78">
        <v>1760</v>
      </c>
      <c r="M15" s="78">
        <v>4895</v>
      </c>
      <c r="N15" s="78">
        <v>457</v>
      </c>
      <c r="O15" s="78">
        <v>846</v>
      </c>
      <c r="P15" s="78">
        <v>6976</v>
      </c>
      <c r="Q15" s="78">
        <v>2594</v>
      </c>
      <c r="R15" s="78">
        <v>6665</v>
      </c>
      <c r="S15" s="78">
        <v>6154</v>
      </c>
      <c r="T15" s="78">
        <v>3217</v>
      </c>
      <c r="U15" s="78">
        <v>6651</v>
      </c>
      <c r="V15" s="78">
        <v>4905</v>
      </c>
      <c r="W15" s="71">
        <v>4288</v>
      </c>
      <c r="X15" s="78">
        <v>674</v>
      </c>
      <c r="Y15" s="106">
        <v>-9903</v>
      </c>
      <c r="Z15" s="78">
        <v>0</v>
      </c>
      <c r="AA15" s="78">
        <v>11</v>
      </c>
      <c r="AB15" s="78" ph="1">
        <v>1091</v>
      </c>
      <c r="AC15" s="78" ph="1">
        <v>33</v>
      </c>
      <c r="AD15" s="78">
        <v>35.61</v>
      </c>
      <c r="AE15" s="78">
        <v>84.52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52" t="s" ph="1">
        <v>178</v>
      </c>
      <c r="D16" s="73" ph="1">
        <f>D15*7.0686*LOOKUP(D17,密度!$A$2:$A$50,密度!$L$2:$L$50)</f>
        <v>7923.7592279999999</v>
      </c>
      <c r="E16" s="73" ph="1">
        <f>E15*7.0686*LOOKUP(E17,密度!$A$2:$A$50,密度!$L$2:$L$50)</f>
        <v>38313.706384799996</v>
      </c>
      <c r="F16" s="73" ph="1">
        <f>F15*9.0746*LOOKUP(F17,密度!$A$2:$A$50,密度!$L$2:$L$50)</f>
        <v>24242.612408000001</v>
      </c>
      <c r="G16" s="73" ph="1">
        <f>G15*9.0746*LOOKUP(G17,密度!$A$2:$A$50,密度!$B$2:$B$50)</f>
        <v>31653.072331760002</v>
      </c>
      <c r="H16" s="73" ph="1">
        <f>H15*9.0746*LOOKUP(H17,密度!$A$2:$A$50,密度!$L$2:$L$50)</f>
        <v>35536.859568</v>
      </c>
      <c r="I16" s="73" ph="1">
        <f>I15*9.0746*LOOKUP(I17,密度!$A$2:$A$50,密度!$U$2:$U$50)</f>
        <v>15009.8602792</v>
      </c>
      <c r="J16" s="73" ph="1">
        <f>J15*9.0746*LOOKUP(J17,密度!$A$2:$A$50,密度!$L$2:$L$50)</f>
        <v>12314.023484200001</v>
      </c>
      <c r="K16" s="73" ph="1">
        <f>K15*9.0746*LOOKUP(K17,密度!$A$2:$A$50,密度!$C$2:$C$50)</f>
        <v>24130.395904400004</v>
      </c>
      <c r="L16" s="73" ph="1">
        <f>L15*9.0746*LOOKUP(L17,密度!$A$2:$A$50,密度!$E$2:$E$50)</f>
        <v>12622.115228799999</v>
      </c>
      <c r="M16" s="73" ph="1">
        <f>M15*9.0746*LOOKUP(M17,密度!$A$2:$A$50,密度!$M$2:$M$50)</f>
        <v>39103.073010100001</v>
      </c>
      <c r="N16" s="73" ph="1">
        <f>N15*9.0746*LOOKUP(N17,密度!$A$2:$A$50,密度!$M$2:$M$50)</f>
        <v>3650.6852636600001</v>
      </c>
      <c r="O16" s="73" ph="1">
        <f>O15*9.0746*LOOKUP(O17,密度!$A$2:$A$50,密度!$G$2:$G$50)</f>
        <v>7423.7669171999996</v>
      </c>
      <c r="P16" s="73" ph="1">
        <f ca="1">P15*9.0746*LOOKUP(P17,密度!$A$2:$A$51,密度!$Q$2:$Q$50)</f>
        <v>60163.244795648003</v>
      </c>
      <c r="Q16" s="73" ph="1">
        <f>Q15*9.0746*LOOKUP(Q17,密度!$A$2:$A$50,密度!$Q$2:$Q$50)</f>
        <v>22371.481794711999</v>
      </c>
      <c r="R16" s="73" ph="1">
        <f>MAX(R15*9.0746*LOOKUP(R17,密度!$A$2:$A$50,密度!$B$2:$B$50),0)</f>
        <v>47369.666088800004</v>
      </c>
      <c r="S16" s="73" ph="1">
        <f>S15*9.0746*LOOKUP(S17,密度!$A$2:$A$50,密度!$Q$2:$Q$50)</f>
        <v>53121.523438732002</v>
      </c>
      <c r="T16" s="73" ph="1">
        <f>T15*9.0746*LOOKUP(T17,密度!$A$2:$A$50,密度!$O$2:$O$50)</f>
        <v>27266.250978800002</v>
      </c>
      <c r="U16" s="73" ph="1">
        <f>U15*9.0746*LOOKUP(U17,密度!$A$2:$A$50,密度!$H$2:$H$50)</f>
        <v>55810.420705620003</v>
      </c>
      <c r="V16" s="73" ph="1">
        <f>MAX(5600*LOOKUP(V17,密度!$A$2:$A$50,密度!$Q$2:$Q$50)+V15*9.0476*LOOKUP(V17,密度!$A$2:$A$50,密度!$Q$2:$Q$50),0)</f>
        <v>47541.027627939999</v>
      </c>
      <c r="W16" s="73" ph="1">
        <f>MAX(5600*LOOKUP(W17,密度!$A$2:$A$50,密度!$Q$2:$Q$50)+W15*9.0476*LOOKUP(W17,密度!$A$2:$A$50,密度!$Q$2:$Q$50),0)</f>
        <v>42193.173881343995</v>
      </c>
      <c r="X16" s="73" ph="1">
        <f>MAX(5600*LOOKUP(X17,密度!$A$2:$A$50,密度!$I$2:$I$50)+X15*9.0476*LOOKUP(X17,密度!$A$2:$A$50,密度!$I$2:$I$50),0)</f>
        <v>12061.892762639998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78.578776320000003</v>
      </c>
      <c r="AB16" s="73" ph="1">
        <f>AB15*9.0746*LOOKUP(AB17,密度!$A$2:$A$50,密度!$L$2:$L$50)</f>
        <v>9345.9668383999997</v>
      </c>
      <c r="AC16" s="73" ph="1">
        <f>AC15*9.0746*LOOKUP(AC17,密度!$A$2:$A$50,密度!$L$2:$L$50)</f>
        <v>283.29086279999996</v>
      </c>
      <c r="AD16" s="73" ph="1">
        <f>AD15*268.68*LOOKUP(AD17,密度!$A$2:$A$50,密度!B2:B50)+IF(AD15&lt;=0,0,1566*LOOKUP(AD17,密度!$A$2:$A$50,密度!B2:B50))</f>
        <v>8679.8284660799982</v>
      </c>
      <c r="AE16" s="73" ph="1">
        <f>AE15*268.68*LOOKUP(AE17,密度!$A$2:$A$50,密度!B2:B50)+IF(AE15&lt;=0,0,1566*LOOKUP(AE17,密度!$A$2:$A$50,密度!B2:B50))</f>
        <v>18924.660274559996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20</v>
      </c>
      <c r="E17" s="74">
        <v>20</v>
      </c>
      <c r="F17" s="74">
        <v>22</v>
      </c>
      <c r="G17" s="74">
        <v>19</v>
      </c>
      <c r="H17" s="74">
        <v>17</v>
      </c>
      <c r="I17" s="74">
        <v>17</v>
      </c>
      <c r="J17" s="74">
        <v>19</v>
      </c>
      <c r="K17" s="74">
        <v>20</v>
      </c>
      <c r="L17" s="74">
        <v>19</v>
      </c>
      <c r="M17" s="74">
        <v>20</v>
      </c>
      <c r="N17" s="74">
        <v>17</v>
      </c>
      <c r="O17" s="74">
        <v>19</v>
      </c>
      <c r="P17" s="74">
        <v>20</v>
      </c>
      <c r="Q17" s="74">
        <v>20</v>
      </c>
      <c r="R17" s="74">
        <v>21</v>
      </c>
      <c r="S17" s="74">
        <v>19</v>
      </c>
      <c r="T17" s="74">
        <v>18</v>
      </c>
      <c r="U17" s="74">
        <v>15</v>
      </c>
      <c r="V17" s="74">
        <v>19</v>
      </c>
      <c r="W17" s="74">
        <v>20</v>
      </c>
      <c r="X17" s="74">
        <v>35</v>
      </c>
      <c r="Y17" s="108">
        <v>35</v>
      </c>
      <c r="Z17" s="74">
        <v>18</v>
      </c>
      <c r="AA17" s="74">
        <v>16</v>
      </c>
      <c r="AB17" s="74">
        <v>18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2877</v>
      </c>
      <c r="E18" s="71">
        <v>4043</v>
      </c>
      <c r="F18" s="71">
        <v>2842</v>
      </c>
      <c r="G18" s="71">
        <v>4491</v>
      </c>
      <c r="H18" s="71">
        <v>4144</v>
      </c>
      <c r="I18" s="71">
        <v>1609</v>
      </c>
      <c r="J18" s="71">
        <v>1440</v>
      </c>
      <c r="K18" s="71">
        <v>2389</v>
      </c>
      <c r="L18" s="71">
        <v>1759</v>
      </c>
      <c r="M18" s="71">
        <v>4902</v>
      </c>
      <c r="N18" s="71">
        <v>1892</v>
      </c>
      <c r="O18" s="71">
        <v>845</v>
      </c>
      <c r="P18" s="71">
        <v>6983</v>
      </c>
      <c r="Q18" s="71">
        <v>2595</v>
      </c>
      <c r="R18" s="71">
        <v>5111</v>
      </c>
      <c r="S18" s="71">
        <v>6158</v>
      </c>
      <c r="T18" s="71">
        <v>3220</v>
      </c>
      <c r="U18" s="71">
        <v>6653</v>
      </c>
      <c r="V18" s="71">
        <v>4905</v>
      </c>
      <c r="W18" s="71">
        <v>4288</v>
      </c>
      <c r="X18" s="71">
        <v>673</v>
      </c>
      <c r="Y18" s="109">
        <v>-9905</v>
      </c>
      <c r="Z18" s="71">
        <v>0</v>
      </c>
      <c r="AA18" s="71">
        <v>9</v>
      </c>
      <c r="AB18" s="71">
        <v>1088</v>
      </c>
      <c r="AC18" s="71">
        <v>23</v>
      </c>
      <c r="AD18" s="71">
        <v>84.81</v>
      </c>
      <c r="AE18" s="71">
        <v>0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52" t="s" ph="1">
        <v>178</v>
      </c>
      <c r="D19" s="73" ph="1">
        <f>D18*7.0686*LOOKUP(D20,密度!$A$2:$A$50,密度!$L$2:$L$50)</f>
        <v>19095.844105799999</v>
      </c>
      <c r="E19" s="73" ph="1">
        <f>E18*7.0686*LOOKUP(E20,密度!$A$2:$A$50,密度!$L$2:$L$50)</f>
        <v>26892.227161799998</v>
      </c>
      <c r="F19" s="73" ph="1">
        <f>F18*9.0746*LOOKUP(F20,密度!$A$2:$A$50,密度!$L$2:$L$50)</f>
        <v>24165.242368400002</v>
      </c>
      <c r="G19" s="73" ph="1">
        <f>G18*9.0746*LOOKUP(G20,密度!$A$2:$A$50,密度!$B$2:$B$50)</f>
        <v>31955.233825259998</v>
      </c>
      <c r="H19" s="73" ph="1">
        <f>H18*9.0746*LOOKUP(H20,密度!$A$2:$A$50,密度!$L$2:$L$50)</f>
        <v>35499.254425600004</v>
      </c>
      <c r="I19" s="73" ph="1">
        <f>I18*9.0746*LOOKUP(I20,密度!$A$2:$A$50,密度!$U$2:$U$50)</f>
        <v>15009.8602792</v>
      </c>
      <c r="J19" s="73" ph="1">
        <f>J18*9.0746*LOOKUP(J20,密度!$A$2:$A$50,密度!$L$2:$L$50)</f>
        <v>12283.378560000001</v>
      </c>
      <c r="K19" s="73" ph="1">
        <f>K18*9.0746*LOOKUP(K20,密度!$A$2:$A$50,密度!$C$2:$C$50)</f>
        <v>24105.124050860006</v>
      </c>
      <c r="L19" s="73" ph="1">
        <f>L18*9.0746*LOOKUP(L20,密度!$A$2:$A$50,密度!$E$2:$E$50)</f>
        <v>12597.38512888</v>
      </c>
      <c r="M19" s="73" ph="1">
        <f>M18*9.0746*LOOKUP(M20,密度!$A$2:$A$50,密度!$M$2:$M$50)</f>
        <v>39056.679117600004</v>
      </c>
      <c r="N19" s="73" ph="1">
        <f>N18*9.0746*LOOKUP(N20,密度!$A$2:$A$50,密度!$M$2:$M$50)</f>
        <v>15113.996758959998</v>
      </c>
      <c r="O19" s="73" ph="1">
        <f>O18*9.0746*LOOKUP(O20,密度!$A$2:$A$50,密度!$G$2:$G$50)</f>
        <v>7378.1852014000006</v>
      </c>
      <c r="P19" s="73" ph="1">
        <f ca="1">P18*9.0746*LOOKUP(P20,密度!$A$2:$A$51,密度!$Q$2:$Q$50)</f>
        <v>60141.870392061996</v>
      </c>
      <c r="Q19" s="73" ph="1">
        <f>Q18*9.0746*LOOKUP(Q20,密度!$A$2:$A$50,密度!$Q$2:$Q$50)</f>
        <v>22363.857588030001</v>
      </c>
      <c r="R19" s="73" ph="1">
        <f>MAX(R18*9.0746*LOOKUP(R20,密度!$A$2:$A$50,密度!$B$2:$B$50),0)</f>
        <v>36199.809008299999</v>
      </c>
      <c r="S19" s="73" ph="1">
        <f>S18*9.0746*LOOKUP(S20,密度!$A$2:$A$50,密度!$Q$2:$Q$50)</f>
        <v>53108.552386984004</v>
      </c>
      <c r="T19" s="73" ph="1">
        <f>T18*9.0746*LOOKUP(T20,密度!$A$2:$A$50,密度!$O$2:$O$50)</f>
        <v>27174.797160000002</v>
      </c>
      <c r="U19" s="73" ph="1">
        <f>U18*9.0746*LOOKUP(U20,密度!$A$2:$A$50,密度!$H$2:$H$50)</f>
        <v>55525.336701860004</v>
      </c>
      <c r="V19" s="73" ph="1">
        <f>MAX(5600*LOOKUP(V20,密度!$A$2:$A$50,密度!$Q$2:$Q$50)+V18*9.0476*LOOKUP(V20,密度!$A$2:$A$50,密度!$Q$2:$Q$50),0)</f>
        <v>47434.073685019997</v>
      </c>
      <c r="W19" s="73" ph="1">
        <f>MAX(5600*LOOKUP(W20,密度!$A$2:$A$50,密度!$Q$2:$Q$50)+W18*9.0476*LOOKUP(W20,密度!$A$2:$A$50,密度!$Q$2:$Q$50),0)</f>
        <v>42096.390364159997</v>
      </c>
      <c r="X19" s="73" ph="1">
        <f>MAX(5600*LOOKUP(X20,密度!$A$2:$A$50,密度!$I$2:$I$50)+X18*9.0476*LOOKUP(X20,密度!$A$2:$A$50,密度!$I$2:$I$50),0)</f>
        <v>12013.98996744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63.965040480000006</v>
      </c>
      <c r="AB19" s="73" ph="1">
        <f>AB18*9.0746*LOOKUP(AB20,密度!$A$2:$A$50,密度!$L$2:$L$50)</f>
        <v>9251.1554176000009</v>
      </c>
      <c r="AC19" s="73" ph="1">
        <f>AC18*9.0746*LOOKUP(AC20,密度!$A$2:$A$50,密度!$L$2:$L$50)</f>
        <v>196.6102836</v>
      </c>
      <c r="AD19" s="73" ph="1">
        <f>AD18*268.68*LOOKUP(AD20,密度!$A$2:$A$50,密度!B5:B53)+IF(AD18&lt;=0,0,1566*LOOKUP(AD20,密度!$A$2:$A$50,密度!B5:B53))</f>
        <v>18922.087371600002</v>
      </c>
      <c r="AE19" s="73" ph="1">
        <f>AE18*268.68*LOOKUP(AE20,密度!$A$2:$A$50,密度!B5:B53)+IF(AE18&lt;=0,0,1566*LOOKUP(AE20,密度!$A$2:$A$50,密度!B5:B53))</f>
        <v>0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23</v>
      </c>
      <c r="E20" s="81">
        <v>21</v>
      </c>
      <c r="F20" s="81">
        <v>25</v>
      </c>
      <c r="G20" s="81">
        <v>20</v>
      </c>
      <c r="H20" s="81">
        <v>18</v>
      </c>
      <c r="I20" s="81">
        <v>21</v>
      </c>
      <c r="J20" s="81">
        <v>22</v>
      </c>
      <c r="K20" s="81">
        <v>21</v>
      </c>
      <c r="L20" s="81">
        <v>20</v>
      </c>
      <c r="M20" s="81">
        <v>22</v>
      </c>
      <c r="N20" s="81">
        <v>20</v>
      </c>
      <c r="O20" s="81">
        <v>23</v>
      </c>
      <c r="P20" s="81">
        <v>22</v>
      </c>
      <c r="Q20" s="81">
        <v>21</v>
      </c>
      <c r="R20" s="81">
        <v>24</v>
      </c>
      <c r="S20" s="81">
        <v>20</v>
      </c>
      <c r="T20" s="81">
        <v>24</v>
      </c>
      <c r="U20" s="81">
        <v>20</v>
      </c>
      <c r="V20" s="81">
        <v>22</v>
      </c>
      <c r="W20" s="81">
        <v>23</v>
      </c>
      <c r="X20" s="81">
        <v>38</v>
      </c>
      <c r="Y20" s="110">
        <v>38</v>
      </c>
      <c r="Z20" s="81">
        <v>26</v>
      </c>
      <c r="AA20" s="81">
        <v>21</v>
      </c>
      <c r="AB20" s="81">
        <v>25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639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52" t="s" ph="1">
        <v>177</v>
      </c>
      <c r="D24" s="71">
        <v>5.42</v>
      </c>
      <c r="E24" s="71">
        <v>5.61</v>
      </c>
      <c r="F24" s="71">
        <v>0</v>
      </c>
      <c r="G24" s="71">
        <v>3016</v>
      </c>
      <c r="H24" s="71">
        <v>1390</v>
      </c>
      <c r="I24" s="71">
        <v>1528</v>
      </c>
      <c r="J24" s="71">
        <v>2947</v>
      </c>
      <c r="K24" s="71">
        <v>444</v>
      </c>
      <c r="L24" s="71">
        <v>5555</v>
      </c>
      <c r="M24" s="71">
        <v>4876</v>
      </c>
      <c r="N24" s="71">
        <v>5775</v>
      </c>
      <c r="O24" s="71">
        <v>165</v>
      </c>
      <c r="P24" s="71">
        <v>372</v>
      </c>
      <c r="Q24" s="90">
        <v>491</v>
      </c>
      <c r="R24" s="71">
        <v>4959</v>
      </c>
      <c r="S24" s="71">
        <v>3063</v>
      </c>
      <c r="T24" s="71">
        <v>1071</v>
      </c>
      <c r="U24" s="71">
        <v>3886</v>
      </c>
      <c r="V24" s="71">
        <v>8846</v>
      </c>
      <c r="W24" s="71">
        <v>7749</v>
      </c>
      <c r="X24" s="71">
        <v>4342</v>
      </c>
      <c r="Y24" s="71">
        <v>5589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2861.2807993440001</v>
      </c>
      <c r="E25" s="91" ph="1">
        <f>E24*268.68*LOOKUP(E26,密度!$A$2:$A$50,密度!$C$2:$C$50)+IF(E24&lt;=0,0,1566*LOOKUP(E26,密度!$A$2:$A$50,密度!$C$2:$C$50))</f>
        <v>3407.9766037199997</v>
      </c>
      <c r="F25" s="91" ph="1">
        <f>F24*11.702*LOOKUP(F26,密度!$A$2:$A$50,密度!$Q$2:$Q$50)</f>
        <v>0</v>
      </c>
      <c r="G25" s="91" ph="1">
        <f>G24*18.322*LOOKUP(G26,密度!$A$2:$A$50,密度!$B$2:$B$50)</f>
        <v>43328.701083199994</v>
      </c>
      <c r="H25" s="91" ph="1">
        <f>H24*18.322*LOOKUP(H26,密度!$A$2:$A$50,密度!$B$2:$B$50)</f>
        <v>19946.208655999999</v>
      </c>
      <c r="I25" s="91" ph="1">
        <f>I24*18.322*LOOKUP(I26,密度!$A$2:$A$50,密度!$Q$2:$Q$50)</f>
        <v>26606.853686080001</v>
      </c>
      <c r="J25" s="91" ph="1">
        <f>J24*18.322*LOOKUP(J26,密度!$A$2:$A$50,密度!$Q$2:$Q$50)</f>
        <v>51315.705374919999</v>
      </c>
      <c r="K25" s="91" ph="1">
        <f>K24*18.322*LOOKUP(K26,密度!$A$2:$A$50,密度!$Q$2:$Q$50)</f>
        <v>7731.3108878399999</v>
      </c>
      <c r="L25" s="91" ph="1">
        <f>L24*18.322*LOOKUP(L26,密度!$A$2:$A$50,密度!$Q$2:$Q$50)</f>
        <v>96814.962313299999</v>
      </c>
      <c r="M25" s="91" ph="1">
        <f>M24*18.322*LOOKUP(M26,密度!$A$2:$A$50,密度!$Q$2:$Q$50)</f>
        <v>84981.054228559995</v>
      </c>
      <c r="N25" s="91" ph="1">
        <f>N24*18.322*LOOKUP(N26,密度!$A$2:$A$50,密度!$Q$2:$Q$50)</f>
        <v>100559.28012899999</v>
      </c>
      <c r="O25" s="91" ph="1">
        <f>O24*18.322*LOOKUP(O26,密度!$A$2:$A$50,密度!$C$2:$C$50)</f>
        <v>3361.4182470000001</v>
      </c>
      <c r="P25" s="91" ph="1">
        <f>P24*11.702*LOOKUP(P26,密度!$A$2:$A$50,密度!$B$2:$B$50)</f>
        <v>3409.3823808000002</v>
      </c>
      <c r="Q25" s="92" ph="1">
        <f>Q24*18.322*LOOKUP(Q26,密度!$A$2:$A$50,密度!$B$2:$B$50)</f>
        <v>7037.6505945999988</v>
      </c>
      <c r="R25" s="91" ph="1">
        <f>R24*35.891*LOOKUP(R26,密度!$A$2:$A$50,密度!$C$2:$C$50)</f>
        <v>198024.40760939999</v>
      </c>
      <c r="S25" s="91" ph="1">
        <f>S24*35.891*LOOKUP(S26,密度!$A$2:$A$50,密度!$B$2:$B$50)</f>
        <v>86287.300991700002</v>
      </c>
      <c r="T25" s="91" ph="1">
        <f>T24*35.891*LOOKUP(T26,密度!$A$2:$A$50,密度!$Q$2:$Q$50)</f>
        <v>36531.904869179998</v>
      </c>
      <c r="U25" s="91" ph="1">
        <f>U24*35.891</f>
        <v>139472.42600000001</v>
      </c>
      <c r="V25" s="91" ph="1">
        <f>V24*47.051*LOOKUP(V26,密度!$A$2:$A$50,密度!$B$2:$B$50)</f>
        <v>325603.5441158</v>
      </c>
      <c r="W25" s="91" ph="1">
        <f>W24*47.051*LOOKUP(W26,密度!$A$2:$A$50,密度!$B$2:$B$50)</f>
        <v>285225.17107770004</v>
      </c>
      <c r="X25" s="91" ph="1">
        <f>X24*47.051*LOOKUP(X26,密度!$A$2:$A$61,密度!$I$2:$I$61)</f>
        <v>209729.70075720001</v>
      </c>
      <c r="Y25" s="91" ph="1">
        <f>Y24*47.051*LOOKUP(Y26,密度!$A$2:$A$50,密度!$L$2:$L$50)</f>
        <v>247452.92469899997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20</v>
      </c>
      <c r="G26" s="74">
        <v>20</v>
      </c>
      <c r="H26" s="74">
        <v>21</v>
      </c>
      <c r="I26" s="74">
        <v>20</v>
      </c>
      <c r="J26" s="74">
        <v>20</v>
      </c>
      <c r="K26" s="74">
        <v>20</v>
      </c>
      <c r="L26" s="74">
        <v>19</v>
      </c>
      <c r="M26" s="74">
        <v>19</v>
      </c>
      <c r="N26" s="74">
        <v>20</v>
      </c>
      <c r="O26" s="74">
        <v>21</v>
      </c>
      <c r="P26" s="74">
        <v>21</v>
      </c>
      <c r="Q26" s="93">
        <v>22</v>
      </c>
      <c r="R26" s="74">
        <v>20</v>
      </c>
      <c r="S26" s="74">
        <v>19</v>
      </c>
      <c r="T26" s="74">
        <v>20</v>
      </c>
      <c r="U26" s="74">
        <v>20</v>
      </c>
      <c r="V26" s="74">
        <v>22</v>
      </c>
      <c r="W26" s="74">
        <v>22</v>
      </c>
      <c r="X26" s="74">
        <v>39</v>
      </c>
      <c r="Y26" s="74">
        <v>21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52" t="s" ph="1">
        <v>180</v>
      </c>
      <c r="D27" s="71">
        <v>5.41</v>
      </c>
      <c r="E27" s="71">
        <v>5.62</v>
      </c>
      <c r="F27" s="71">
        <v>0</v>
      </c>
      <c r="G27" s="71">
        <v>2591</v>
      </c>
      <c r="H27" s="71">
        <v>1947</v>
      </c>
      <c r="I27" s="71">
        <v>1524</v>
      </c>
      <c r="J27" s="71">
        <v>2945</v>
      </c>
      <c r="K27" s="71">
        <v>2668</v>
      </c>
      <c r="L27" s="71">
        <v>5551</v>
      </c>
      <c r="M27" s="71">
        <v>4877</v>
      </c>
      <c r="N27" s="71">
        <v>5774</v>
      </c>
      <c r="O27" s="71">
        <v>1758</v>
      </c>
      <c r="P27" s="71">
        <v>645</v>
      </c>
      <c r="Q27" s="90">
        <v>671</v>
      </c>
      <c r="R27" s="71">
        <v>4824</v>
      </c>
      <c r="S27" s="71">
        <v>3061</v>
      </c>
      <c r="T27" s="71">
        <v>1070</v>
      </c>
      <c r="U27" s="71">
        <v>3610</v>
      </c>
      <c r="V27" s="71">
        <v>8844</v>
      </c>
      <c r="W27" s="71">
        <v>7746</v>
      </c>
      <c r="X27" s="71">
        <v>4591</v>
      </c>
      <c r="Y27" s="71">
        <v>3972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52" t="s" ph="1">
        <v>178</v>
      </c>
      <c r="D28" s="91" ph="1">
        <f>D27*268.68*LOOKUP(D29,密度!$A$2:$A$50,密度!$Q$2:$Q$50)+IF(D27&lt;=0,0,1566*LOOKUP(D29,密度!$A$2:$A$50,密度!$Q$2:$Q$50))</f>
        <v>2858.7370983119999</v>
      </c>
      <c r="E28" s="91" ph="1">
        <f>E27*268.68*LOOKUP(E29,密度!$A$2:$A$50,密度!$C$2:$C$50)+IF(E27&lt;=0,0,1566*LOOKUP(E29,密度!$A$2:$A$50,密度!$C$2:$C$50))</f>
        <v>3410.9559962399999</v>
      </c>
      <c r="F28" s="91" ph="1">
        <f>F27*11.702*LOOKUP(F29,密度!$A$2:$A$50,密度!$Q$2:$Q$50)</f>
        <v>0</v>
      </c>
      <c r="G28" s="91" ph="1">
        <f>G27*18.322*LOOKUP(G29,密度!$A$2:$A$50,密度!$B$2:$B$50)</f>
        <v>37223.0319982</v>
      </c>
      <c r="H28" s="91" ph="1">
        <f>H27*18.322*LOOKUP(H29,密度!$A$2:$A$50,密度!$B$2:$B$50)</f>
        <v>27971.147549400001</v>
      </c>
      <c r="I28" s="91" ph="1">
        <f>I27*18.322*LOOKUP(I29,密度!$A$2:$A$50,密度!$Q$2:$Q$50)</f>
        <v>26537.202236639998</v>
      </c>
      <c r="J28" s="91" ph="1">
        <f>J27*18.322*LOOKUP(J29,密度!$A$2:$A$50,密度!$Q$2:$Q$50)</f>
        <v>51280.879650200004</v>
      </c>
      <c r="K28" s="91" ph="1">
        <f>K27*18.322*LOOKUP(K29,密度!$A$2:$A$50,密度!$Q$2:$Q$50)</f>
        <v>46499.067408080002</v>
      </c>
      <c r="L28" s="91" ph="1">
        <f>L27*18.322*LOOKUP(L29,密度!$A$2:$A$50,密度!$Q$2:$Q$50)</f>
        <v>96588.62221917999</v>
      </c>
      <c r="M28" s="91" ph="1">
        <f>M27*18.322*LOOKUP(M29,密度!$A$2:$A$50,密度!$Q$2:$Q$50)</f>
        <v>84998.482664620009</v>
      </c>
      <c r="N28" s="91" ph="1">
        <f>N27*18.322*LOOKUP(N29,密度!$A$2:$A$50,密度!$Q$2:$Q$50)</f>
        <v>100541.86726663999</v>
      </c>
      <c r="O28" s="91" ph="1">
        <f>O27*18.322*LOOKUP(O29,密度!$A$2:$A$50,密度!$C$2:$C$50)</f>
        <v>35856.256603199996</v>
      </c>
      <c r="P28" s="91" ph="1">
        <f>P27*11.702*LOOKUP(P29,密度!$A$2:$A$50,密度!$B$2:$B$50)</f>
        <v>5918.2221390000004</v>
      </c>
      <c r="Q28" s="92" ph="1">
        <f>Q27*18.322*LOOKUP(Q29,密度!$A$2:$A$50,密度!$B$2:$B$50)</f>
        <v>9628.7093583999995</v>
      </c>
      <c r="R28" s="91" ph="1">
        <f>R27*35.891*LOOKUP(R29,密度!$A$2:$A$50,密度!$C$2:$C$50)</f>
        <v>192633.54351839999</v>
      </c>
      <c r="S28" s="91" ph="1">
        <f>S27*35.891*LOOKUP(S29,密度!$A$2:$A$50,密度!$B$2:$B$50)</f>
        <v>86143.069419099993</v>
      </c>
      <c r="T28" s="91" ph="1">
        <f>T27*35.891*LOOKUP(T29,密度!$A$2:$A$50,密度!$Q$2:$Q$50)</f>
        <v>36530.437645099999</v>
      </c>
      <c r="U28" s="91" ph="1">
        <f>U27*35.891</f>
        <v>129566.51</v>
      </c>
      <c r="V28" s="91" ph="1">
        <f>V27*47.051*LOOKUP(V29,密度!$A$2:$A$50,密度!$B$2:$B$50)</f>
        <v>326611.83763560001</v>
      </c>
      <c r="W28" s="91" ph="1">
        <f>W27*47.051*LOOKUP(W29,密度!$A$2:$A$50,密度!$B$2:$B$50)</f>
        <v>285770.7697686</v>
      </c>
      <c r="X28" s="91" ph="1">
        <f>X27*47.051*LOOKUP(X29,密度!$A$2:$A$61,密度!$I$2:$I$61)</f>
        <v>222729.0874851</v>
      </c>
      <c r="Y28" s="91" ph="1">
        <f>Y27*47.051*LOOKUP(Y29,密度!$A$2:$A$50,密度!$L$2:$L$50)</f>
        <v>175860.26425199999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52" t="s" ph="1">
        <v>179</v>
      </c>
      <c r="D29" s="74">
        <v>25</v>
      </c>
      <c r="E29" s="74">
        <v>25</v>
      </c>
      <c r="F29" s="74">
        <v>21</v>
      </c>
      <c r="G29" s="74">
        <v>20</v>
      </c>
      <c r="H29" s="74">
        <v>20</v>
      </c>
      <c r="I29" s="74">
        <v>20</v>
      </c>
      <c r="J29" s="74">
        <v>20</v>
      </c>
      <c r="K29" s="74">
        <v>19</v>
      </c>
      <c r="L29" s="74">
        <v>21</v>
      </c>
      <c r="M29" s="74">
        <v>19</v>
      </c>
      <c r="N29" s="74">
        <v>20</v>
      </c>
      <c r="O29" s="74">
        <v>19</v>
      </c>
      <c r="P29" s="74">
        <v>20</v>
      </c>
      <c r="Q29" s="93">
        <v>21</v>
      </c>
      <c r="R29" s="74">
        <v>20</v>
      </c>
      <c r="S29" s="74">
        <v>20</v>
      </c>
      <c r="T29" s="74">
        <v>19</v>
      </c>
      <c r="U29" s="74">
        <v>22</v>
      </c>
      <c r="V29" s="74">
        <v>19</v>
      </c>
      <c r="W29" s="74">
        <v>20</v>
      </c>
      <c r="X29" s="74">
        <v>35</v>
      </c>
      <c r="Y29" s="74">
        <v>21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52" t="s" ph="1">
        <v>5</v>
      </c>
      <c r="F32" s="151" t="s" ph="1">
        <v>43</v>
      </c>
      <c r="G32" s="97" t="s" ph="1">
        <v>4</v>
      </c>
      <c r="H32" s="152" t="s" ph="1">
        <v>5</v>
      </c>
      <c r="I32" s="151" t="s" ph="1">
        <v>43</v>
      </c>
      <c r="J32" s="97" t="s" ph="1">
        <v>4</v>
      </c>
      <c r="K32" s="152" t="s" ph="1">
        <v>5</v>
      </c>
      <c r="L32" s="151" t="s" ph="1">
        <v>43</v>
      </c>
      <c r="M32" s="97" t="s" ph="1">
        <v>4</v>
      </c>
      <c r="N32" s="152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2" t="s" ph="1">
        <v>5</v>
      </c>
      <c r="U32" s="99" t="s" ph="1">
        <v>43</v>
      </c>
      <c r="V32" s="97" t="s" ph="1">
        <v>4</v>
      </c>
      <c r="W32" s="152" t="s" ph="1">
        <v>5</v>
      </c>
      <c r="X32" s="99" t="s" ph="1">
        <v>43</v>
      </c>
      <c r="Y32" s="100" t="s" ph="1">
        <v>4</v>
      </c>
      <c r="Z32" s="152" t="s" ph="1">
        <v>5</v>
      </c>
      <c r="AA32" s="151" t="s" ph="1">
        <v>43</v>
      </c>
      <c r="AB32" s="97" t="s" ph="1">
        <v>85</v>
      </c>
      <c r="AC32" s="152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99725.176110600005</v>
      </c>
      <c r="E33" s="196" ph="1">
        <f>M10+I10</f>
        <v>112015.9181217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22" ph="1">
        <v>0</v>
      </c>
      <c r="H33" s="196" ph="1">
        <f>N19</f>
        <v>15113.996758959998</v>
      </c>
      <c r="I33" s="200" ph="1">
        <v>0</v>
      </c>
      <c r="J33" s="204" ph="1">
        <f>F10+O28</f>
        <v>275850.99005640001</v>
      </c>
      <c r="K33" s="196" ph="1">
        <f>O10+K10+E28+R28</f>
        <v>277909.03972184</v>
      </c>
      <c r="L33" s="206" ph="1">
        <f>BE27</f>
        <v>7100</v>
      </c>
      <c r="M33" s="204" ph="1">
        <f>G10+H10+W28+S28+V28+E10</f>
        <v>798752.90782730002</v>
      </c>
      <c r="N33" s="196" ph="1">
        <f>L10+P10++G28+H28</f>
        <v>127915.7891356</v>
      </c>
      <c r="O33" s="200" ph="1">
        <f>BE17</f>
        <v>2270</v>
      </c>
      <c r="P33" s="204" ph="1">
        <f>L19</f>
        <v>12597.38512888</v>
      </c>
      <c r="Q33" s="196" ph="1">
        <f>J10+N10</f>
        <v>6437.9781728000007</v>
      </c>
      <c r="R33" s="200" ph="1">
        <f>BE23</f>
        <v>890</v>
      </c>
      <c r="S33" s="204" ph="1">
        <f>E10+X28</f>
        <v>231658.52021809999</v>
      </c>
      <c r="T33" s="196" ph="1">
        <f>X19</f>
        <v>12013.98996744</v>
      </c>
      <c r="U33" s="185" ph="1">
        <f>BE21</f>
        <v>730</v>
      </c>
      <c r="V33" s="198" ph="1">
        <f ca="1">P19+Q19+S19+M28+N28+J28</f>
        <v>372435.509948536</v>
      </c>
      <c r="W33" s="198" ph="1">
        <f>D28+F28+V19+T28</f>
        <v>86823.248428431994</v>
      </c>
      <c r="X33" s="200" ph="1">
        <f>BE29+BE31</f>
        <v>10200</v>
      </c>
      <c r="Y33" s="202" ph="1">
        <f>+Q10+R10+S10+T10+U10+V10+W10+X10+Y10</f>
        <v>83522.5846686</v>
      </c>
      <c r="Z33" s="183" ph="1">
        <f>D10+T19+U19+Y28+Z10</f>
        <v>502035.34005163994</v>
      </c>
      <c r="AA33" s="185" ph="1">
        <f>BE19</f>
        <v>1440</v>
      </c>
      <c r="AB33" s="187" ph="1">
        <f>I19</f>
        <v>15009.8602792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50" t="s" ph="1">
        <v>185</v>
      </c>
      <c r="AA36" s="150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436" priority="98">
      <formula>ABS(D$7-D$10)&gt;=1000</formula>
    </cfRule>
  </conditionalFormatting>
  <conditionalFormatting sqref="E4 E6:E11">
    <cfRule type="expression" dxfId="2435" priority="97">
      <formula>ABS(E$7-E$10)&gt;=1000</formula>
    </cfRule>
  </conditionalFormatting>
  <conditionalFormatting sqref="F4:F11">
    <cfRule type="expression" dxfId="2434" priority="96">
      <formula>ABS(F$7-F$10)&gt;=1000</formula>
    </cfRule>
  </conditionalFormatting>
  <conditionalFormatting sqref="G4:G11">
    <cfRule type="expression" dxfId="2433" priority="95">
      <formula>ABS(G$7-G$10)&gt;=1000</formula>
    </cfRule>
  </conditionalFormatting>
  <conditionalFormatting sqref="H4:H11">
    <cfRule type="expression" dxfId="2432" priority="94">
      <formula>ABS(H$7-H$10)&gt;=1000</formula>
    </cfRule>
  </conditionalFormatting>
  <conditionalFormatting sqref="I4:I11">
    <cfRule type="expression" dxfId="2431" priority="93">
      <formula>ABS(I$7-I$10)&gt;=1000</formula>
    </cfRule>
  </conditionalFormatting>
  <conditionalFormatting sqref="J4:J11">
    <cfRule type="expression" dxfId="2430" priority="92">
      <formula>ABS(J$7-J$10)&gt;=1000</formula>
    </cfRule>
  </conditionalFormatting>
  <conditionalFormatting sqref="K4:K11">
    <cfRule type="expression" dxfId="2429" priority="91">
      <formula>ABS(K$7-K$10)&gt;=1000</formula>
    </cfRule>
  </conditionalFormatting>
  <conditionalFormatting sqref="L4:L11">
    <cfRule type="expression" dxfId="2428" priority="90">
      <formula>ABS(L$7-L$10)&gt;=1000</formula>
    </cfRule>
  </conditionalFormatting>
  <conditionalFormatting sqref="M4 M6:M11">
    <cfRule type="expression" dxfId="2427" priority="89">
      <formula>ABS(M$7-M$10)&gt;=1000</formula>
    </cfRule>
  </conditionalFormatting>
  <conditionalFormatting sqref="N4 N6:N11">
    <cfRule type="expression" dxfId="2426" priority="88">
      <formula>ABS(N$7-N$10)&gt;=1000</formula>
    </cfRule>
  </conditionalFormatting>
  <conditionalFormatting sqref="O4 O6:O11">
    <cfRule type="expression" dxfId="2425" priority="87">
      <formula>ABS(O$7-O$10)&gt;=1000</formula>
    </cfRule>
  </conditionalFormatting>
  <conditionalFormatting sqref="P4 P6:P11">
    <cfRule type="expression" dxfId="2424" priority="86">
      <formula>ABS(P$7-P$10)&gt;=1000</formula>
    </cfRule>
  </conditionalFormatting>
  <conditionalFormatting sqref="Q4:Q11">
    <cfRule type="expression" dxfId="2423" priority="85">
      <formula>ABS(Q$7-Q$10)&gt;=1000</formula>
    </cfRule>
  </conditionalFormatting>
  <conditionalFormatting sqref="R4:R11">
    <cfRule type="expression" dxfId="2422" priority="84">
      <formula>ABS(R$7-R$10)&gt;=1000</formula>
    </cfRule>
  </conditionalFormatting>
  <conditionalFormatting sqref="S4:S11">
    <cfRule type="expression" dxfId="2421" priority="83">
      <formula>ABS(S$7-S$10)&gt;=1000</formula>
    </cfRule>
  </conditionalFormatting>
  <conditionalFormatting sqref="T4:T9 T11">
    <cfRule type="expression" dxfId="2420" priority="82">
      <formula>ABS(T$7-T$10)&gt;=1000</formula>
    </cfRule>
  </conditionalFormatting>
  <conditionalFormatting sqref="U4:U9 U11">
    <cfRule type="expression" dxfId="2419" priority="81">
      <formula>ABS(U$7-U$10)&gt;=1000</formula>
    </cfRule>
  </conditionalFormatting>
  <conditionalFormatting sqref="V4:V9 V11">
    <cfRule type="expression" dxfId="2418" priority="80">
      <formula>ABS(V$7-V$10)&gt;=1000</formula>
    </cfRule>
  </conditionalFormatting>
  <conditionalFormatting sqref="W4:W9 W11">
    <cfRule type="expression" dxfId="2417" priority="79">
      <formula>ABS(W$7-W$10)&gt;=1000</formula>
    </cfRule>
  </conditionalFormatting>
  <conditionalFormatting sqref="X4:X9 X11">
    <cfRule type="expression" dxfId="2416" priority="78">
      <formula>ABS(X$7-X$10)&gt;=1000</formula>
    </cfRule>
  </conditionalFormatting>
  <conditionalFormatting sqref="Y4:Y9 Y11">
    <cfRule type="expression" dxfId="2415" priority="77">
      <formula>ABS(Y$7-Y$10)&gt;=1000</formula>
    </cfRule>
  </conditionalFormatting>
  <conditionalFormatting sqref="Z4:Z11">
    <cfRule type="expression" dxfId="2414" priority="76">
      <formula>ABS(Z$7-Z$10)&gt;=1000</formula>
    </cfRule>
  </conditionalFormatting>
  <conditionalFormatting sqref="AA4:AA11">
    <cfRule type="expression" dxfId="2413" priority="75">
      <formula>ABS(AA$7-AA$10)&gt;=1000</formula>
    </cfRule>
  </conditionalFormatting>
  <conditionalFormatting sqref="AB4:AB11">
    <cfRule type="expression" dxfId="2412" priority="74">
      <formula>ABS(AB$7-AB$10)&gt;=1000</formula>
    </cfRule>
  </conditionalFormatting>
  <conditionalFormatting sqref="AC4 AC6:AC11">
    <cfRule type="expression" dxfId="2411" priority="73">
      <formula>ABS(AC$7-AC$10)&gt;=1000</formula>
    </cfRule>
  </conditionalFormatting>
  <conditionalFormatting sqref="AD4:AD11">
    <cfRule type="expression" dxfId="2410" priority="72">
      <formula>ABS(AD$7-AD$10)&gt;=1000</formula>
    </cfRule>
  </conditionalFormatting>
  <conditionalFormatting sqref="AE4 AE6:AE11">
    <cfRule type="expression" dxfId="2409" priority="71">
      <formula>ABS(AE$7-AE$10)&gt;=1000</formula>
    </cfRule>
  </conditionalFormatting>
  <conditionalFormatting sqref="D13:D20">
    <cfRule type="expression" dxfId="2408" priority="70">
      <formula>ABS(D$16-D$19)&gt;=1000</formula>
    </cfRule>
  </conditionalFormatting>
  <conditionalFormatting sqref="E13:E20">
    <cfRule type="expression" dxfId="2407" priority="69">
      <formula>ABS(E$16-E$19)&gt;=1000</formula>
    </cfRule>
  </conditionalFormatting>
  <conditionalFormatting sqref="F13 F15:F20">
    <cfRule type="expression" dxfId="2406" priority="68">
      <formula>ABS(F$16-F$19)&gt;=1000</formula>
    </cfRule>
  </conditionalFormatting>
  <conditionalFormatting sqref="G13:G20">
    <cfRule type="expression" dxfId="2405" priority="67">
      <formula>ABS(G$16-G$19)&gt;=1000</formula>
    </cfRule>
  </conditionalFormatting>
  <conditionalFormatting sqref="H13:H20">
    <cfRule type="expression" dxfId="2404" priority="66">
      <formula>ABS(H$16-H$19)&gt;=1000</formula>
    </cfRule>
  </conditionalFormatting>
  <conditionalFormatting sqref="I13:I20">
    <cfRule type="expression" dxfId="2403" priority="65">
      <formula>ABS(I$16-I$19)&gt;=1000</formula>
    </cfRule>
  </conditionalFormatting>
  <conditionalFormatting sqref="J13:J20">
    <cfRule type="expression" dxfId="2402" priority="64">
      <formula>ABS(J$16-J$19)&gt;=1000</formula>
    </cfRule>
  </conditionalFormatting>
  <conditionalFormatting sqref="L13:L20">
    <cfRule type="expression" dxfId="2401" priority="63">
      <formula>ABS(L$16-L$19)&gt;=1000</formula>
    </cfRule>
  </conditionalFormatting>
  <conditionalFormatting sqref="M13 M15 M17:M18 M20">
    <cfRule type="expression" dxfId="2400" priority="62">
      <formula>ABS(M$16-M$19)&gt;=1000</formula>
    </cfRule>
  </conditionalFormatting>
  <conditionalFormatting sqref="N13:N20">
    <cfRule type="expression" dxfId="2399" priority="61">
      <formula>ABS(N$16-N$19)&gt;=1000</formula>
    </cfRule>
  </conditionalFormatting>
  <conditionalFormatting sqref="O13:O20">
    <cfRule type="expression" dxfId="2398" priority="60">
      <formula>ABS(O$16-O$19)&gt;=1000</formula>
    </cfRule>
  </conditionalFormatting>
  <conditionalFormatting sqref="P13:P20">
    <cfRule type="expression" dxfId="2397" priority="59">
      <formula>ABS(P$16-P$19)&gt;=1000</formula>
    </cfRule>
  </conditionalFormatting>
  <conditionalFormatting sqref="Q13 Q15:Q20">
    <cfRule type="expression" dxfId="2396" priority="58">
      <formula>ABS(Q$16-Q$19)&gt;=1000</formula>
    </cfRule>
  </conditionalFormatting>
  <conditionalFormatting sqref="R13:R20">
    <cfRule type="expression" dxfId="2395" priority="57">
      <formula>ABS(R$16-R$19)&gt;=1000</formula>
    </cfRule>
  </conditionalFormatting>
  <conditionalFormatting sqref="S13:S20">
    <cfRule type="expression" dxfId="2394" priority="56">
      <formula>ABS(S$16-S$19)&gt;=1000</formula>
    </cfRule>
  </conditionalFormatting>
  <conditionalFormatting sqref="T13:T20">
    <cfRule type="expression" dxfId="2393" priority="55">
      <formula>ABS(T$16-T$19)&gt;=1000</formula>
    </cfRule>
  </conditionalFormatting>
  <conditionalFormatting sqref="U13:U20">
    <cfRule type="expression" dxfId="2392" priority="54">
      <formula>ABS(U$16-U$19)&gt;=1000</formula>
    </cfRule>
  </conditionalFormatting>
  <conditionalFormatting sqref="V13:V20">
    <cfRule type="expression" dxfId="2391" priority="53">
      <formula>ABS(V$16-V$19)&gt;=1000</formula>
    </cfRule>
  </conditionalFormatting>
  <conditionalFormatting sqref="W13 W20 W15:W18">
    <cfRule type="expression" dxfId="2390" priority="52">
      <formula>ABS(W$16-W$19)&gt;=1000</formula>
    </cfRule>
  </conditionalFormatting>
  <conditionalFormatting sqref="X13 X15:X20 Y19">
    <cfRule type="expression" dxfId="2389" priority="51">
      <formula>ABS(X$16-X$19)&gt;=1000</formula>
    </cfRule>
  </conditionalFormatting>
  <conditionalFormatting sqref="Y13 Y15:Y18 Y20">
    <cfRule type="expression" dxfId="2388" priority="50">
      <formula>ABS(Y$16-Y$19)&gt;=1000</formula>
    </cfRule>
  </conditionalFormatting>
  <conditionalFormatting sqref="Z13:Z20">
    <cfRule type="expression" dxfId="2387" priority="49">
      <formula>ABS(Z$16-Z$19)&gt;=1000</formula>
    </cfRule>
  </conditionalFormatting>
  <conditionalFormatting sqref="AA13:AA20">
    <cfRule type="expression" dxfId="2386" priority="48">
      <formula>ABS(AA$16-AA$19)&gt;=1000</formula>
    </cfRule>
  </conditionalFormatting>
  <conditionalFormatting sqref="AB13 AB15:AB20">
    <cfRule type="expression" dxfId="2385" priority="47">
      <formula>ABS(AB$16-AB$19)&gt;=1000</formula>
    </cfRule>
  </conditionalFormatting>
  <conditionalFormatting sqref="AC13 AC15:AC20">
    <cfRule type="expression" dxfId="2384" priority="46">
      <formula>ABS(AC$16-AC$19)&gt;=1000</formula>
    </cfRule>
  </conditionalFormatting>
  <conditionalFormatting sqref="AD13:AD20">
    <cfRule type="expression" dxfId="2383" priority="45">
      <formula>ABS(AD$16-AD$19)&gt;=1000</formula>
    </cfRule>
  </conditionalFormatting>
  <conditionalFormatting sqref="AE13:AE20">
    <cfRule type="expression" dxfId="2382" priority="44">
      <formula>ABS(AE$16-AE$19)&gt;=1000</formula>
    </cfRule>
  </conditionalFormatting>
  <conditionalFormatting sqref="D22:D29">
    <cfRule type="expression" dxfId="2381" priority="43">
      <formula>ABS(D$25-D$28)&gt;=1000</formula>
    </cfRule>
  </conditionalFormatting>
  <conditionalFormatting sqref="E22:E29">
    <cfRule type="expression" dxfId="2380" priority="42">
      <formula>ABS(E$25-E$28)&gt;=1000</formula>
    </cfRule>
  </conditionalFormatting>
  <conditionalFormatting sqref="F22:F29">
    <cfRule type="expression" dxfId="2379" priority="41">
      <formula>ABS(F$25-F$28)&gt;=1000</formula>
    </cfRule>
  </conditionalFormatting>
  <conditionalFormatting sqref="G22:G29">
    <cfRule type="expression" dxfId="2378" priority="40">
      <formula>ABS(G$25-G$28)&gt;=1000</formula>
    </cfRule>
  </conditionalFormatting>
  <conditionalFormatting sqref="H22:H29">
    <cfRule type="expression" dxfId="2377" priority="39">
      <formula>ABS(H$25-H$28)&gt;=1000</formula>
    </cfRule>
  </conditionalFormatting>
  <conditionalFormatting sqref="I22 I24:I29">
    <cfRule type="expression" dxfId="2376" priority="38">
      <formula>ABS(I$25-I$28)&gt;=1000</formula>
    </cfRule>
  </conditionalFormatting>
  <conditionalFormatting sqref="J22:J29 K22">
    <cfRule type="expression" dxfId="2375" priority="37">
      <formula>ABS(J$25-J$28)&gt;=1000</formula>
    </cfRule>
  </conditionalFormatting>
  <conditionalFormatting sqref="K23:K29 L25 L28">
    <cfRule type="expression" dxfId="2374" priority="36">
      <formula>ABS(K$25-K$28)&gt;=1000</formula>
    </cfRule>
  </conditionalFormatting>
  <conditionalFormatting sqref="L22 L26:L27 L29 L24">
    <cfRule type="expression" dxfId="2373" priority="35">
      <formula>ABS(L$25-L$28)&gt;=1000</formula>
    </cfRule>
  </conditionalFormatting>
  <conditionalFormatting sqref="M22:M29">
    <cfRule type="expression" dxfId="2372" priority="34">
      <formula>ABS(M$25-M$28)&gt;=1000</formula>
    </cfRule>
  </conditionalFormatting>
  <conditionalFormatting sqref="N22:N29">
    <cfRule type="expression" dxfId="2371" priority="33">
      <formula>ABS(N$25-N$28)&gt;=1000</formula>
    </cfRule>
  </conditionalFormatting>
  <conditionalFormatting sqref="O22:O29">
    <cfRule type="expression" dxfId="2370" priority="32">
      <formula>ABS(O$25-O$28)&gt;=1000</formula>
    </cfRule>
  </conditionalFormatting>
  <conditionalFormatting sqref="P22:P29">
    <cfRule type="expression" dxfId="2369" priority="31">
      <formula>ABS(P$25-P$28)&gt;=1000</formula>
    </cfRule>
  </conditionalFormatting>
  <conditionalFormatting sqref="Q22:Q29">
    <cfRule type="expression" dxfId="2368" priority="30">
      <formula>ABS(Q$25-Q$28)&gt;=1000</formula>
    </cfRule>
  </conditionalFormatting>
  <conditionalFormatting sqref="R22:R29">
    <cfRule type="expression" dxfId="2367" priority="29">
      <formula>ABS(R$25-R$28)&gt;=1000</formula>
    </cfRule>
  </conditionalFormatting>
  <conditionalFormatting sqref="S22:S29">
    <cfRule type="expression" dxfId="2366" priority="28">
      <formula>ABS(S$25-S$28)&gt;=1000</formula>
    </cfRule>
  </conditionalFormatting>
  <conditionalFormatting sqref="T22:T29">
    <cfRule type="expression" dxfId="2365" priority="27">
      <formula>ABS(T$25-T$28)&gt;=1000</formula>
    </cfRule>
  </conditionalFormatting>
  <conditionalFormatting sqref="U22:U29">
    <cfRule type="expression" dxfId="2364" priority="26">
      <formula>ABS(U$25-U$28)&gt;=1000</formula>
    </cfRule>
  </conditionalFormatting>
  <conditionalFormatting sqref="V22:V29">
    <cfRule type="expression" dxfId="2363" priority="25">
      <formula>ABS(V$25-V$28)&gt;=1000</formula>
    </cfRule>
  </conditionalFormatting>
  <conditionalFormatting sqref="W22:W29">
    <cfRule type="expression" dxfId="2362" priority="24">
      <formula>ABS(W$25-W$28)&gt;=1000</formula>
    </cfRule>
  </conditionalFormatting>
  <conditionalFormatting sqref="X22:X29">
    <cfRule type="expression" dxfId="2361" priority="23">
      <formula>ABS(X$25-X$28)&gt;=1000</formula>
    </cfRule>
  </conditionalFormatting>
  <conditionalFormatting sqref="Y22:Y29">
    <cfRule type="expression" dxfId="2360" priority="22">
      <formula>ABS(Y$25-Y$28)&gt;=1000</formula>
    </cfRule>
  </conditionalFormatting>
  <conditionalFormatting sqref="I23">
    <cfRule type="expression" dxfId="2359" priority="21">
      <formula>ABS(I$25-I$28)&gt;=1000</formula>
    </cfRule>
  </conditionalFormatting>
  <conditionalFormatting sqref="Q14">
    <cfRule type="expression" dxfId="2358" priority="20">
      <formula>ABS(Q$16-Q$19)&gt;=1000</formula>
    </cfRule>
  </conditionalFormatting>
  <conditionalFormatting sqref="W14">
    <cfRule type="expression" dxfId="2357" priority="19">
      <formula>ABS(W$16-W$19)&gt;=1000</formula>
    </cfRule>
  </conditionalFormatting>
  <conditionalFormatting sqref="Y14">
    <cfRule type="expression" dxfId="2356" priority="18">
      <formula>ABS(Y$16-Y$19)&gt;=1000</formula>
    </cfRule>
  </conditionalFormatting>
  <conditionalFormatting sqref="X14">
    <cfRule type="expression" dxfId="2355" priority="17">
      <formula>ABS(X$16-X$19)&gt;=1000</formula>
    </cfRule>
  </conditionalFormatting>
  <conditionalFormatting sqref="T10:Y10">
    <cfRule type="expression" dxfId="2354" priority="16">
      <formula>ABS(T$7-T$10)&gt;=1000</formula>
    </cfRule>
  </conditionalFormatting>
  <conditionalFormatting sqref="W19">
    <cfRule type="expression" dxfId="2353" priority="15">
      <formula>ABS(W$16-W$19)&gt;=1000</formula>
    </cfRule>
  </conditionalFormatting>
  <conditionalFormatting sqref="AC5">
    <cfRule type="expression" dxfId="2352" priority="14">
      <formula>ABS(AC$7-AC$10)&gt;=1000</formula>
    </cfRule>
  </conditionalFormatting>
  <conditionalFormatting sqref="M14">
    <cfRule type="expression" dxfId="2351" priority="13">
      <formula>ABS(M$16-M$19)&gt;=1000</formula>
    </cfRule>
  </conditionalFormatting>
  <conditionalFormatting sqref="M16">
    <cfRule type="expression" dxfId="2350" priority="12">
      <formula>ABS(M$16-M$19)&gt;=1000</formula>
    </cfRule>
  </conditionalFormatting>
  <conditionalFormatting sqref="M19">
    <cfRule type="expression" dxfId="2349" priority="11">
      <formula>ABS(M$16-M$19)&gt;=1000</formula>
    </cfRule>
  </conditionalFormatting>
  <conditionalFormatting sqref="K13:K20">
    <cfRule type="expression" dxfId="2348" priority="10">
      <formula>ABS(K$16-K$19)&gt;=1000</formula>
    </cfRule>
  </conditionalFormatting>
  <conditionalFormatting sqref="E5">
    <cfRule type="expression" dxfId="2347" priority="9">
      <formula>ABS(E$7-E$10)&gt;=1000</formula>
    </cfRule>
  </conditionalFormatting>
  <conditionalFormatting sqref="AB14:AC14">
    <cfRule type="expression" dxfId="2346" priority="8">
      <formula>ABS(AB$16-AB$19)&gt;=1000</formula>
    </cfRule>
  </conditionalFormatting>
  <conditionalFormatting sqref="M5">
    <cfRule type="expression" dxfId="2345" priority="7">
      <formula>ABS(M$7-M$10)&gt;=1000</formula>
    </cfRule>
  </conditionalFormatting>
  <conditionalFormatting sqref="N5">
    <cfRule type="expression" dxfId="2344" priority="6">
      <formula>ABS(N$7-N$10)&gt;=1000</formula>
    </cfRule>
  </conditionalFormatting>
  <conditionalFormatting sqref="O5">
    <cfRule type="expression" dxfId="2343" priority="5">
      <formula>ABS(O$7-O$10)&gt;=1000</formula>
    </cfRule>
  </conditionalFormatting>
  <conditionalFormatting sqref="P5">
    <cfRule type="expression" dxfId="2342" priority="4">
      <formula>ABS(P$7-P$10)&gt;=1000</formula>
    </cfRule>
  </conditionalFormatting>
  <conditionalFormatting sqref="L23">
    <cfRule type="expression" dxfId="2341" priority="3">
      <formula>ABS(L$25-L$28)&gt;=1000</formula>
    </cfRule>
  </conditionalFormatting>
  <conditionalFormatting sqref="F14">
    <cfRule type="expression" dxfId="2340" priority="2">
      <formula>ABS(F$16-F$19)&gt;=1000</formula>
    </cfRule>
  </conditionalFormatting>
  <conditionalFormatting sqref="AE5">
    <cfRule type="expression" dxfId="2339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20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79">
    <pageSetUpPr fitToPage="1"/>
  </sheetPr>
  <dimension ref="A1:CU223"/>
  <sheetViews>
    <sheetView view="pageBreakPreview" topLeftCell="A7" zoomScale="70" zoomScaleNormal="100" zoomScaleSheetLayoutView="70" workbookViewId="0">
      <selection activeCell="L25" sqref="L2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45996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52" t="s" ph="1">
        <v>177</v>
      </c>
      <c r="D6" s="71">
        <v>5111</v>
      </c>
      <c r="E6" s="71">
        <v>0</v>
      </c>
      <c r="F6" s="71">
        <v>6496</v>
      </c>
      <c r="G6" s="71">
        <v>2247</v>
      </c>
      <c r="H6" s="71">
        <v>18</v>
      </c>
      <c r="I6" s="71">
        <v>27.11</v>
      </c>
      <c r="J6" s="71">
        <v>7.02</v>
      </c>
      <c r="K6" s="71">
        <v>6.82</v>
      </c>
      <c r="L6" s="71">
        <v>70.599999999999994</v>
      </c>
      <c r="M6" s="71">
        <v>3039</v>
      </c>
      <c r="N6" s="71">
        <v>185</v>
      </c>
      <c r="O6" s="71">
        <v>3512</v>
      </c>
      <c r="P6" s="71">
        <v>1794</v>
      </c>
      <c r="Q6" s="71">
        <v>6736</v>
      </c>
      <c r="R6" s="71">
        <v>3392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3373</v>
      </c>
      <c r="AA6" s="71">
        <v>1909</v>
      </c>
      <c r="AB6" s="71">
        <v>1628</v>
      </c>
      <c r="AC6" s="71">
        <v>8914</v>
      </c>
      <c r="AD6" s="71">
        <v>4780</v>
      </c>
      <c r="AE6" s="71">
        <v>5410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161182.84470893999</v>
      </c>
      <c r="E7" s="73" ph="1">
        <f>E6*51.53*LOOKUP(E8,密度!$A$2:$A$50,密度!$B$2:$B$50)</f>
        <v>0</v>
      </c>
      <c r="F7" s="73" ph="1">
        <f>F6*33.183*LOOKUP(F8,密度!$A$2:$A$50,密度!$C$2:$C$50)</f>
        <v>240108.68387519999</v>
      </c>
      <c r="G7" s="73" ph="1">
        <f xml:space="preserve"> (G6+2)*51.53*LOOKUP(G8,密度!$A$2:$A$50,密度!$B$2:$B$50)</f>
        <v>91055.535128999996</v>
      </c>
      <c r="H7" s="73" ph="1">
        <f>(H6)*51.53*LOOKUP(H8,密度!$A$2:$A$50,密度!$B$2:$B$50)</f>
        <v>730.90152</v>
      </c>
      <c r="I7" s="73" ph="1">
        <f>I6*290.8*1.0267</f>
        <v>8094.0797995999992</v>
      </c>
      <c r="J7" s="73" ph="1">
        <f>J6*290.8*0.7892</f>
        <v>1611.0855071999999</v>
      </c>
      <c r="K7" s="73" ph="1">
        <f>K6*290.8*1.1126</f>
        <v>2206.5706256000003</v>
      </c>
      <c r="L7" s="73" ph="1">
        <f>L6*290.8*0.777</f>
        <v>15952.18296</v>
      </c>
      <c r="M7" s="73" ph="1">
        <f>M6*33.183*LOOKUP(M8,密度!$A$2:$A$50,密度!$D$2:$D$50)</f>
        <v>104090.28601140001</v>
      </c>
      <c r="N7" s="73" ph="1">
        <f>N6*33.183*LOOKUP(N8,密度!$A$2:$A$50,密度!$E$2:$E$50)</f>
        <v>4851.5371064999999</v>
      </c>
      <c r="O7" s="73" ph="1">
        <f>O6*20.428*LOOKUP(O8,密度!$A$2:$A$50,密度!$C$2:$C$50)</f>
        <v>79663.578214399997</v>
      </c>
      <c r="P7" s="73" ph="1">
        <f>P6*51.53*LOOKUP(P8,密度!$A$2:$A$50,密度!$B$2:$B$50)</f>
        <v>72559.939218000014</v>
      </c>
      <c r="Q7" s="73" ph="1">
        <f>Q6*1.5*1.5*3.1416*LOOKUP(W8,密度!$A$2:$A$50,密度!$L$2:$L$50)</f>
        <v>44995.314672</v>
      </c>
      <c r="R7" s="73" ph="1">
        <f>R6*1.5*1.5*3.1416*LOOKUP(R8,密度!$A$2:$A$50,密度!$L$2:$L$50)</f>
        <v>22514.113036800001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105770.314755</v>
      </c>
      <c r="AA7" s="73" ph="1">
        <f>AA6*33.183*LOOKUP(AA8,密度!$A$2:$A$50,密度!$D$2:$D$50)</f>
        <v>65493.788163300007</v>
      </c>
      <c r="AB7" s="73" ph="1">
        <f>AB6*20.428*LOOKUP(AB8,密度!$A$2:$A$50,密度!$D$2:$D$50)</f>
        <v>34530.518827200001</v>
      </c>
      <c r="AC7" s="73" ph="1">
        <f>AC6*51.53*LOOKUP(AC8,密度!$A$2:$A$50,密度!$Q$2:$Q$50)</f>
        <v>438025.11731199996</v>
      </c>
      <c r="AD7" s="73" ph="1">
        <f>AD6*20.428*LOOKUP(AD8,密度!$A$2:$A$50,密度!$V$2:$V$50)</f>
        <v>94130.589760000003</v>
      </c>
      <c r="AE7" s="73" ph="1">
        <f>AE6*20.428</f>
        <v>110515.48000000001</v>
      </c>
    </row>
    <row r="8" spans="1:99" ph="1">
      <c r="B8" s="247" ph="1"/>
      <c r="C8" s="68" t="s" ph="1">
        <v>179</v>
      </c>
      <c r="D8" s="74">
        <v>20</v>
      </c>
      <c r="E8" s="74">
        <v>17</v>
      </c>
      <c r="F8" s="74">
        <v>18</v>
      </c>
      <c r="G8" s="74">
        <v>18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19</v>
      </c>
      <c r="O8" s="74">
        <v>23</v>
      </c>
      <c r="P8" s="74">
        <v>19</v>
      </c>
      <c r="Q8" s="74">
        <v>20</v>
      </c>
      <c r="R8" s="74">
        <v>23</v>
      </c>
      <c r="S8" s="74">
        <v>15</v>
      </c>
      <c r="T8" s="74">
        <v>14</v>
      </c>
      <c r="U8" s="74">
        <v>19</v>
      </c>
      <c r="V8" s="74">
        <v>22</v>
      </c>
      <c r="W8" s="74">
        <v>17</v>
      </c>
      <c r="X8" s="74">
        <v>18</v>
      </c>
      <c r="Y8" s="74">
        <v>17</v>
      </c>
      <c r="Z8" s="74">
        <v>17</v>
      </c>
      <c r="AA8" s="74">
        <v>17</v>
      </c>
      <c r="AB8" s="74">
        <v>12</v>
      </c>
      <c r="AC8" s="74">
        <v>16</v>
      </c>
      <c r="AD8" s="74">
        <v>17</v>
      </c>
      <c r="AE8" s="74">
        <v>24</v>
      </c>
    </row>
    <row r="9" spans="1:99" ht="26.4" ph="1">
      <c r="B9" s="247" ph="1">
        <v>0.66666666666666663</v>
      </c>
      <c r="C9" s="152" t="s" ph="1">
        <v>180</v>
      </c>
      <c r="D9" s="71">
        <v>5112</v>
      </c>
      <c r="E9" s="71">
        <v>0</v>
      </c>
      <c r="F9" s="71">
        <v>5955</v>
      </c>
      <c r="G9" s="71">
        <v>3968</v>
      </c>
      <c r="H9" s="71">
        <v>18</v>
      </c>
      <c r="I9" s="71">
        <v>27.11</v>
      </c>
      <c r="J9" s="71">
        <v>7.13</v>
      </c>
      <c r="K9" s="71">
        <v>6.92</v>
      </c>
      <c r="L9" s="71">
        <v>78.819999999999993</v>
      </c>
      <c r="M9" s="71">
        <v>3040</v>
      </c>
      <c r="N9" s="71">
        <v>186</v>
      </c>
      <c r="O9" s="71">
        <v>2866</v>
      </c>
      <c r="P9" s="71">
        <v>1796</v>
      </c>
      <c r="Q9" s="71">
        <v>6741</v>
      </c>
      <c r="R9" s="71">
        <v>7034</v>
      </c>
      <c r="S9" s="71">
        <v>2099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3668</v>
      </c>
      <c r="AA9" s="71">
        <v>1907</v>
      </c>
      <c r="AB9" s="71">
        <v>1533</v>
      </c>
      <c r="AC9" s="71">
        <v>9070</v>
      </c>
      <c r="AD9" s="71">
        <v>4780</v>
      </c>
      <c r="AE9" s="71">
        <v>4788</v>
      </c>
    </row>
    <row r="10" spans="1:99" s="72" customFormat="1" ht="22.2" ph="1">
      <c r="B10" s="247" ph="1"/>
      <c r="C10" s="152" t="s" ph="1">
        <v>178</v>
      </c>
      <c r="D10" s="73" ph="1">
        <f>D9*33.183*LOOKUP(D11,密度!$A$2:$A$50,密度!$Q$2:$Q$50)</f>
        <v>161097.33543623998</v>
      </c>
      <c r="E10" s="73" ph="1">
        <f>E9*51.53*LOOKUP(E11,密度!$A$2:$A$50,密度!$B$2:$B$50)</f>
        <v>0</v>
      </c>
      <c r="F10" s="73" ph="1">
        <f>F9*33.183*LOOKUP(F11,密度!$A$2:$A$50,密度!$C$2:$C$50)</f>
        <v>219973.62439799999</v>
      </c>
      <c r="G10" s="73" ph="1">
        <f xml:space="preserve"> (G9+2)*51.53*LOOKUP(G11,密度!$A$2:$A$50,密度!$B$2:$B$50)</f>
        <v>160733.87036999999</v>
      </c>
      <c r="H10" s="73" ph="1">
        <f>(H9)*51.53*LOOKUP(H11,密度!$A$2:$A$50,密度!$B$2:$B$50)</f>
        <v>728.76817799999992</v>
      </c>
      <c r="I10" s="73" ph="1">
        <f>I9*290.8*1.0267</f>
        <v>8094.0797995999992</v>
      </c>
      <c r="J10" s="73" ph="1">
        <f>J9*290.8*0.7892</f>
        <v>1636.3304367999999</v>
      </c>
      <c r="K10" s="73" ph="1">
        <f>K9*290.8*1.1126</f>
        <v>2238.9250336</v>
      </c>
      <c r="L10" s="73" ph="1">
        <f>L9*290.8*0.777</f>
        <v>17809.505111999999</v>
      </c>
      <c r="M10" s="73" ph="1">
        <f>M9*33.183*LOOKUP(M11,密度!$A$2:$A$50,密度!$D$2:$D$50)</f>
        <v>103953.04775999999</v>
      </c>
      <c r="N10" s="73" ph="1">
        <f>N9*33.183*LOOKUP(N11,密度!$A$2:$A$50,密度!$E$2:$E$50)</f>
        <v>4856.1594984000003</v>
      </c>
      <c r="O10" s="73" ph="1">
        <f>O9*20.428*LOOKUP(O11,密度!$A$2:$A$50,密度!$C$2:$C$50)</f>
        <v>64963.360620799998</v>
      </c>
      <c r="P10" s="73" ph="1">
        <f>P9*51.53*LOOKUP(P11,密度!$A$2:$A$50,密度!$B$2:$B$50)</f>
        <v>72400.206524000008</v>
      </c>
      <c r="Q10" s="73" ph="1">
        <f>Q9*1.5*1.5*3.1416*LOOKUP(W11,密度!$A$2:$A$50,密度!$L$2:$L$50)</f>
        <v>44647.518346200006</v>
      </c>
      <c r="R10" s="73" ph="1">
        <f>R9*1.5*1.5*3.1416*LOOKUP(R11,密度!$A$2:$A$50,密度!$L$2:$L$50)</f>
        <v>46588.138858799997</v>
      </c>
      <c r="S10" s="73" ph="1">
        <f>S9*1.5*1.5*3.1416*LOOKUP(S11,密度!$A$2:$A$50,密度!$L$2:$L$50)</f>
        <v>14020.956872999999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115020.90558000001</v>
      </c>
      <c r="AA10" s="73" ph="1">
        <f>AA9*33.183*LOOKUP(AA11,密度!$A$2:$A$50,密度!$D$2:$D$50)</f>
        <v>65266.972403400003</v>
      </c>
      <c r="AB10" s="73" ph="1">
        <f>AB9*20.428*LOOKUP(AB11,密度!$A$2:$A$50,密度!$D$2:$D$50)</f>
        <v>32459.162526</v>
      </c>
      <c r="AC10" s="73" ph="1">
        <f>AC9*51.53*LOOKUP(AC11,密度!$A$2:$A$50,密度!$Q$2:$Q$50)</f>
        <v>444947.67297100002</v>
      </c>
      <c r="AD10" s="73" ph="1">
        <f>AD9*20.428*LOOKUP(AD11,密度!$A$2:$A$50,密度!$V$2:$V$50)</f>
        <v>94130.589760000003</v>
      </c>
      <c r="AE10" s="73" ph="1">
        <f>AE9*20.428</f>
        <v>97809.26400000001</v>
      </c>
    </row>
    <row r="11" spans="1:99" ph="1">
      <c r="A11" s="64" t="s" ph="1">
        <v>162</v>
      </c>
      <c r="B11" s="247" ph="1"/>
      <c r="C11" s="152" t="s" ph="1">
        <v>179</v>
      </c>
      <c r="D11" s="74">
        <v>21</v>
      </c>
      <c r="E11" s="74">
        <v>20</v>
      </c>
      <c r="F11" s="74">
        <v>19</v>
      </c>
      <c r="G11" s="74">
        <v>18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22</v>
      </c>
      <c r="O11" s="74">
        <v>24</v>
      </c>
      <c r="P11" s="74">
        <v>22</v>
      </c>
      <c r="Q11" s="74">
        <v>22</v>
      </c>
      <c r="R11" s="74">
        <v>25</v>
      </c>
      <c r="S11" s="74">
        <v>17</v>
      </c>
      <c r="T11" s="74">
        <v>28</v>
      </c>
      <c r="U11" s="74">
        <v>20</v>
      </c>
      <c r="V11" s="74">
        <v>28</v>
      </c>
      <c r="W11" s="74">
        <v>25</v>
      </c>
      <c r="X11" s="74">
        <v>23</v>
      </c>
      <c r="Y11" s="74">
        <v>22</v>
      </c>
      <c r="Z11" s="74">
        <v>17</v>
      </c>
      <c r="AA11" s="74">
        <v>20</v>
      </c>
      <c r="AB11" s="74">
        <v>14</v>
      </c>
      <c r="AC11" s="74">
        <v>18</v>
      </c>
      <c r="AD11" s="74">
        <v>19</v>
      </c>
      <c r="AE11" s="74">
        <v>25</v>
      </c>
    </row>
    <row r="12" spans="1:99" ht="9.9" customHeight="1" ph="1"/>
    <row r="13" spans="1:99" s="72" customFormat="1" ht="29.25" customHeight="1" ph="1">
      <c r="B13" s="224" t="s" ph="1">
        <v>37</v>
      </c>
      <c r="C13" s="15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52" t="s" ph="1">
        <v>177</v>
      </c>
      <c r="D15" s="78">
        <v>2874</v>
      </c>
      <c r="E15" s="78">
        <v>2030</v>
      </c>
      <c r="F15" s="78">
        <v>2841</v>
      </c>
      <c r="G15" s="78">
        <v>4595</v>
      </c>
      <c r="H15" s="78">
        <v>4142</v>
      </c>
      <c r="I15" s="78">
        <v>1608</v>
      </c>
      <c r="J15" s="78">
        <v>1439</v>
      </c>
      <c r="K15" s="78">
        <v>2388</v>
      </c>
      <c r="L15" s="78">
        <v>1757</v>
      </c>
      <c r="M15" s="78">
        <v>4896</v>
      </c>
      <c r="N15" s="78">
        <v>1894</v>
      </c>
      <c r="O15" s="78">
        <v>846</v>
      </c>
      <c r="P15" s="78">
        <v>6975</v>
      </c>
      <c r="Q15" s="78">
        <v>2595</v>
      </c>
      <c r="R15" s="78">
        <v>2001</v>
      </c>
      <c r="S15" s="78">
        <v>6153</v>
      </c>
      <c r="T15" s="78">
        <v>3217</v>
      </c>
      <c r="U15" s="78">
        <v>6650</v>
      </c>
      <c r="V15" s="78">
        <v>4904</v>
      </c>
      <c r="W15" s="71">
        <v>4287</v>
      </c>
      <c r="X15" s="78">
        <v>676</v>
      </c>
      <c r="Y15" s="106">
        <v>-9902</v>
      </c>
      <c r="Z15" s="78">
        <v>0</v>
      </c>
      <c r="AA15" s="78">
        <v>10</v>
      </c>
      <c r="AB15" s="78" ph="1">
        <v>1091</v>
      </c>
      <c r="AC15" s="78" ph="1">
        <v>31</v>
      </c>
      <c r="AD15" s="78">
        <v>20.61</v>
      </c>
      <c r="AE15" s="78">
        <v>84.72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52" t="s" ph="1">
        <v>178</v>
      </c>
      <c r="D16" s="73" ph="1">
        <f>D15*7.0686*LOOKUP(D17,密度!$A$2:$A$50,密度!$L$2:$L$50)</f>
        <v>19116.562172399998</v>
      </c>
      <c r="E16" s="73" ph="1">
        <f>E15*7.0686*LOOKUP(E17,密度!$A$2:$A$50,密度!$L$2:$L$50)</f>
        <v>13517.001036</v>
      </c>
      <c r="F16" s="73" ph="1">
        <f>F15*9.0746*LOOKUP(F17,密度!$A$2:$A$50,密度!$L$2:$L$50)</f>
        <v>24259.863222600001</v>
      </c>
      <c r="G16" s="73" ph="1">
        <f>G15*9.0746*LOOKUP(G17,密度!$A$2:$A$50,密度!$B$2:$B$50)</f>
        <v>32761.9512459</v>
      </c>
      <c r="H16" s="73" ph="1">
        <f>H15*9.0746*LOOKUP(H17,密度!$A$2:$A$50,密度!$L$2:$L$50)</f>
        <v>35519.708574000004</v>
      </c>
      <c r="I16" s="73" ph="1">
        <f>I15*9.0746*LOOKUP(I17,密度!$A$2:$A$50,密度!$U$2:$U$50)</f>
        <v>15000.5315904</v>
      </c>
      <c r="J16" s="73" ph="1">
        <f>J15*9.0746*LOOKUP(J17,密度!$A$2:$A$50,密度!$L$2:$L$50)</f>
        <v>12314.023484200001</v>
      </c>
      <c r="K16" s="73" ph="1">
        <f>K15*9.0746*LOOKUP(K17,密度!$A$2:$A$50,密度!$C$2:$C$50)</f>
        <v>24110.203104480002</v>
      </c>
      <c r="L16" s="73" ph="1">
        <f>L15*9.0746*LOOKUP(L17,密度!$A$2:$A$50,密度!$E$2:$E$50)</f>
        <v>12583.061780240001</v>
      </c>
      <c r="M16" s="73" ph="1">
        <f>M15*9.0746*LOOKUP(M17,密度!$A$2:$A$50,密度!$M$2:$M$50)</f>
        <v>39111.061380480001</v>
      </c>
      <c r="N16" s="73" ph="1">
        <f>N15*9.0746*LOOKUP(N17,密度!$A$2:$A$50,密度!$M$2:$M$50)</f>
        <v>15129.973499720001</v>
      </c>
      <c r="O16" s="73" ph="1">
        <f>O15*9.0746*LOOKUP(O17,密度!$A$2:$A$50,密度!$G$2:$G$50)</f>
        <v>7415.32209444</v>
      </c>
      <c r="P16" s="73" ph="1">
        <f ca="1">P15*9.0746*LOOKUP(P17,密度!$A$2:$A$51,密度!$Q$2:$Q$50)</f>
        <v>60154.620477299999</v>
      </c>
      <c r="Q16" s="73" ph="1">
        <f>Q15*9.0746*LOOKUP(Q17,密度!$A$2:$A$50,密度!$Q$2:$Q$50)</f>
        <v>22400.122412010001</v>
      </c>
      <c r="R16" s="73" ph="1">
        <f>MAX(R15*9.0746*LOOKUP(R17,密度!$A$2:$A$50,密度!$B$2:$B$50),0)</f>
        <v>14221.560666720001</v>
      </c>
      <c r="S16" s="73" ph="1">
        <f>S15*9.0746*LOOKUP(S17,密度!$A$2:$A$50,密度!$Q$2:$Q$50)</f>
        <v>53112.891406973999</v>
      </c>
      <c r="T16" s="73" ph="1">
        <f>T15*9.0746*LOOKUP(T17,密度!$A$2:$A$50,密度!$O$2:$O$50)</f>
        <v>27266.250978800002</v>
      </c>
      <c r="U16" s="73" ph="1">
        <f>U15*9.0746*LOOKUP(U17,密度!$A$2:$A$50,密度!$H$2:$H$50)</f>
        <v>55741.683333000001</v>
      </c>
      <c r="V16" s="73" ph="1">
        <f>MAX(5600*LOOKUP(V17,密度!$A$2:$A$50,密度!$Q$2:$Q$50)+V15*9.0476*LOOKUP(V17,密度!$A$2:$A$50,密度!$Q$2:$Q$50),0)</f>
        <v>47489.947263551992</v>
      </c>
      <c r="W16" s="73" ph="1">
        <f>MAX(5600*LOOKUP(W17,密度!$A$2:$A$50,密度!$Q$2:$Q$50)+W15*9.0476*LOOKUP(W17,密度!$A$2:$A$50,密度!$Q$2:$Q$50),0)</f>
        <v>42184.575223255997</v>
      </c>
      <c r="X16" s="73" ph="1">
        <f>MAX(5600*LOOKUP(X17,密度!$A$2:$A$50,密度!$I$2:$I$50)+X15*9.0476*LOOKUP(X17,密度!$A$2:$A$50,密度!$I$2:$I$50),0)</f>
        <v>12159.04911328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71.43525120000001</v>
      </c>
      <c r="AB16" s="73" ph="1">
        <f>AB15*9.0746*LOOKUP(AB17,密度!$A$2:$A$50,密度!$L$2:$L$50)</f>
        <v>9345.9668383999997</v>
      </c>
      <c r="AC16" s="73" ph="1">
        <f>AC15*9.0746*LOOKUP(AC17,密度!$A$2:$A$50,密度!$L$2:$L$50)</f>
        <v>266.12171960000001</v>
      </c>
      <c r="AD16" s="73" ph="1">
        <f>AD15*268.68*LOOKUP(AD17,密度!$A$2:$A$50,密度!B2:B50)+IF(AD15&lt;=0,0,1566*LOOKUP(AD17,密度!$A$2:$A$50,密度!B2:B50))</f>
        <v>5537.8845460800003</v>
      </c>
      <c r="AE16" s="73" ph="1">
        <f>AE15*268.68*LOOKUP(AE17,密度!$A$2:$A$50,密度!B2:B50)+IF(AE15&lt;=0,0,1566*LOOKUP(AE17,密度!$A$2:$A$50,密度!B2:B50))</f>
        <v>18966.552860159998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21</v>
      </c>
      <c r="E17" s="74">
        <v>20</v>
      </c>
      <c r="F17" s="74">
        <v>21</v>
      </c>
      <c r="G17" s="74">
        <v>18</v>
      </c>
      <c r="H17" s="74">
        <v>17</v>
      </c>
      <c r="I17" s="74">
        <v>18</v>
      </c>
      <c r="J17" s="74">
        <v>19</v>
      </c>
      <c r="K17" s="74">
        <v>20</v>
      </c>
      <c r="L17" s="74">
        <v>20</v>
      </c>
      <c r="M17" s="74">
        <v>20</v>
      </c>
      <c r="N17" s="74">
        <v>18</v>
      </c>
      <c r="O17" s="74">
        <v>20</v>
      </c>
      <c r="P17" s="74">
        <v>20</v>
      </c>
      <c r="Q17" s="74">
        <v>19</v>
      </c>
      <c r="R17" s="74">
        <v>21</v>
      </c>
      <c r="S17" s="74">
        <v>19</v>
      </c>
      <c r="T17" s="74">
        <v>19</v>
      </c>
      <c r="U17" s="74">
        <v>16</v>
      </c>
      <c r="V17" s="74">
        <v>20</v>
      </c>
      <c r="W17" s="74">
        <v>20</v>
      </c>
      <c r="X17" s="74">
        <v>29</v>
      </c>
      <c r="Y17" s="108">
        <v>29</v>
      </c>
      <c r="Z17" s="74">
        <v>18</v>
      </c>
      <c r="AA17" s="74">
        <v>16</v>
      </c>
      <c r="AB17" s="74">
        <v>18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5509</v>
      </c>
      <c r="E18" s="71">
        <v>78</v>
      </c>
      <c r="F18" s="71">
        <v>2840</v>
      </c>
      <c r="G18" s="71">
        <v>1231</v>
      </c>
      <c r="H18" s="71">
        <v>4143</v>
      </c>
      <c r="I18" s="71">
        <v>1609</v>
      </c>
      <c r="J18" s="71">
        <v>1440</v>
      </c>
      <c r="K18" s="71">
        <v>2388</v>
      </c>
      <c r="L18" s="71">
        <v>1759</v>
      </c>
      <c r="M18" s="71">
        <v>1953</v>
      </c>
      <c r="N18" s="71">
        <v>3838</v>
      </c>
      <c r="O18" s="71">
        <v>846</v>
      </c>
      <c r="P18" s="71">
        <v>6987</v>
      </c>
      <c r="Q18" s="71">
        <v>2596</v>
      </c>
      <c r="R18" s="71">
        <v>439</v>
      </c>
      <c r="S18" s="71">
        <v>6159</v>
      </c>
      <c r="T18" s="71">
        <v>2282</v>
      </c>
      <c r="U18" s="71">
        <v>6653</v>
      </c>
      <c r="V18" s="71">
        <v>4904</v>
      </c>
      <c r="W18" s="71">
        <v>4286</v>
      </c>
      <c r="X18" s="71">
        <v>674</v>
      </c>
      <c r="Y18" s="109">
        <v>-9904</v>
      </c>
      <c r="Z18" s="71">
        <v>0</v>
      </c>
      <c r="AA18" s="71">
        <v>10</v>
      </c>
      <c r="AB18" s="71">
        <v>1090</v>
      </c>
      <c r="AC18" s="71">
        <v>24</v>
      </c>
      <c r="AD18" s="71">
        <v>74.11</v>
      </c>
      <c r="AE18" s="71">
        <v>4.72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52" t="s" ph="1">
        <v>178</v>
      </c>
      <c r="D19" s="73" ph="1">
        <f>D18*7.0686*LOOKUP(D20,密度!$A$2:$A$50,密度!$L$2:$L$50)</f>
        <v>36604.462355999996</v>
      </c>
      <c r="E19" s="73" ph="1">
        <f>E18*7.0686*LOOKUP(E20,密度!$A$2:$A$50,密度!$L$2:$L$50)</f>
        <v>517.71840120000002</v>
      </c>
      <c r="F19" s="73" ph="1">
        <f>F18*9.0746*LOOKUP(F20,密度!$A$2:$A$50,密度!$L$2:$L$50)</f>
        <v>24199.780296000001</v>
      </c>
      <c r="G19" s="73" ph="1">
        <f>G18*9.0746*LOOKUP(G20,密度!$A$2:$A$50,密度!$B$2:$B$50)</f>
        <v>8748.9960923199997</v>
      </c>
      <c r="H19" s="73" ph="1">
        <f>H18*9.0746*LOOKUP(H20,密度!$A$2:$A$50,密度!$L$2:$L$50)</f>
        <v>35528.284071000002</v>
      </c>
      <c r="I19" s="73" ph="1">
        <f>I18*9.0746*LOOKUP(I20,密度!$A$2:$A$50,密度!$U$2:$U$50)</f>
        <v>15009.8602792</v>
      </c>
      <c r="J19" s="73" ph="1">
        <f>J18*9.0746*LOOKUP(J20,密度!$A$2:$A$50,密度!$L$2:$L$50)</f>
        <v>12283.378560000001</v>
      </c>
      <c r="K19" s="73" ph="1">
        <f>K18*9.0746*LOOKUP(K20,密度!$A$2:$A$50,密度!$C$2:$C$50)</f>
        <v>24095.034003120003</v>
      </c>
      <c r="L19" s="73" ph="1">
        <f>L18*9.0746*LOOKUP(L20,密度!$A$2:$A$50,密度!$E$2:$E$50)</f>
        <v>12597.38512888</v>
      </c>
      <c r="M19" s="73" ph="1">
        <f>M18*9.0746*LOOKUP(M20,密度!$A$2:$A$50,密度!$M$2:$M$50)</f>
        <v>15542.802462600001</v>
      </c>
      <c r="N19" s="73" ph="1">
        <f>N18*9.0746*LOOKUP(N20,密度!$A$2:$A$50,密度!$M$2:$M$50)</f>
        <v>30659.365518439998</v>
      </c>
      <c r="O19" s="73" ph="1">
        <f>O18*9.0746*LOOKUP(O20,密度!$A$2:$A$50,密度!$G$2:$G$50)</f>
        <v>7386.9167815200008</v>
      </c>
      <c r="P19" s="73" ph="1">
        <f ca="1">P18*9.0746*LOOKUP(P20,密度!$A$2:$A$51,密度!$Q$2:$Q$50)</f>
        <v>60119.89107564</v>
      </c>
      <c r="Q19" s="73" ph="1">
        <f>Q18*9.0746*LOOKUP(Q20,密度!$A$2:$A$50,密度!$Q$2:$Q$50)</f>
        <v>22358.341047943999</v>
      </c>
      <c r="R19" s="73" ph="1">
        <f>MAX(R18*9.0746*LOOKUP(R20,密度!$A$2:$A$50,密度!$B$2:$B$50),0)</f>
        <v>3092.1862842800001</v>
      </c>
      <c r="S19" s="73" ph="1">
        <f>S18*9.0746*LOOKUP(S20,密度!$A$2:$A$50,密度!$Q$2:$Q$50)</f>
        <v>53078.612286966003</v>
      </c>
      <c r="T19" s="73" ph="1">
        <f>T18*9.0746*LOOKUP(T20,密度!$A$2:$A$50,密度!$O$2:$O$50)</f>
        <v>19175.8276472</v>
      </c>
      <c r="U19" s="73" ph="1">
        <f>U18*9.0746*LOOKUP(U20,密度!$A$2:$A$50,密度!$H$2:$H$50)</f>
        <v>55525.336701860004</v>
      </c>
      <c r="V19" s="73" ph="1">
        <f>MAX(5600*LOOKUP(V20,密度!$A$2:$A$50,密度!$Q$2:$Q$50)+V18*9.0476*LOOKUP(V20,密度!$A$2:$A$50,密度!$Q$2:$Q$50),0)</f>
        <v>47425.486698335997</v>
      </c>
      <c r="W19" s="73" ph="1">
        <f>MAX(5600*LOOKUP(W20,密度!$A$2:$A$50,密度!$Q$2:$Q$50)+W18*9.0476*LOOKUP(W20,密度!$A$2:$A$50,密度!$Q$2:$Q$50),0)</f>
        <v>42079.232495520002</v>
      </c>
      <c r="X19" s="73" ph="1">
        <f>MAX(5600*LOOKUP(X20,密度!$A$2:$A$50,密度!$I$2:$I$50)+X18*9.0476*LOOKUP(X20,密度!$A$2:$A$50,密度!$I$2:$I$50),0)</f>
        <v>12140.26991472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71.153938600000004</v>
      </c>
      <c r="AB19" s="73" ph="1">
        <f>AB18*9.0746*LOOKUP(AB20,密度!$A$2:$A$50,密度!$L$2:$L$50)</f>
        <v>9287.9438460000001</v>
      </c>
      <c r="AC19" s="73" ph="1">
        <f>AC18*9.0746*LOOKUP(AC20,密度!$A$2:$A$50,密度!$L$2:$L$50)</f>
        <v>205.15855679999999</v>
      </c>
      <c r="AD19" s="73" ph="1">
        <f>AD18*268.68*LOOKUP(AD20,密度!$A$2:$A$50,密度!B5:B53)+IF(AD18&lt;=0,0,1566*LOOKUP(AD20,密度!$A$2:$A$50,密度!B5:B53))</f>
        <v>16688.308719600001</v>
      </c>
      <c r="AE19" s="73" ph="1">
        <f>AE18*268.68*LOOKUP(AE20,密度!$A$2:$A$50,密度!B5:B53)+IF(AE18&lt;=0,0,1566*LOOKUP(AE20,密度!$A$2:$A$50,密度!B5:B53))</f>
        <v>2202.1497792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22</v>
      </c>
      <c r="E20" s="81">
        <v>23</v>
      </c>
      <c r="F20" s="81">
        <v>23</v>
      </c>
      <c r="G20" s="81">
        <v>21</v>
      </c>
      <c r="H20" s="81">
        <v>17</v>
      </c>
      <c r="I20" s="81">
        <v>20</v>
      </c>
      <c r="J20" s="81">
        <v>22</v>
      </c>
      <c r="K20" s="81">
        <v>21</v>
      </c>
      <c r="L20" s="81">
        <v>20</v>
      </c>
      <c r="M20" s="81">
        <v>23</v>
      </c>
      <c r="N20" s="81">
        <v>20</v>
      </c>
      <c r="O20" s="81">
        <v>23</v>
      </c>
      <c r="P20" s="81">
        <v>23</v>
      </c>
      <c r="Q20" s="81">
        <v>22</v>
      </c>
      <c r="R20" s="81">
        <v>29</v>
      </c>
      <c r="S20" s="81">
        <v>21</v>
      </c>
      <c r="T20" s="81">
        <v>25</v>
      </c>
      <c r="U20" s="81">
        <v>20</v>
      </c>
      <c r="V20" s="81">
        <v>22</v>
      </c>
      <c r="W20" s="81">
        <v>23</v>
      </c>
      <c r="X20" s="81">
        <v>29</v>
      </c>
      <c r="Y20" s="110">
        <v>29</v>
      </c>
      <c r="Z20" s="81">
        <v>25</v>
      </c>
      <c r="AA20" s="81">
        <v>20</v>
      </c>
      <c r="AB20" s="81">
        <v>23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639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52" t="s" ph="1">
        <v>177</v>
      </c>
      <c r="D24" s="71">
        <v>5.41</v>
      </c>
      <c r="E24" s="71">
        <v>5.62</v>
      </c>
      <c r="F24" s="71">
        <v>0</v>
      </c>
      <c r="G24" s="71">
        <v>3004</v>
      </c>
      <c r="H24" s="71">
        <v>1290</v>
      </c>
      <c r="I24" s="71">
        <v>1526</v>
      </c>
      <c r="J24" s="71">
        <v>2946</v>
      </c>
      <c r="K24" s="71">
        <v>2671</v>
      </c>
      <c r="L24" s="71">
        <v>5554</v>
      </c>
      <c r="M24" s="71">
        <v>4877</v>
      </c>
      <c r="N24" s="71">
        <v>5772</v>
      </c>
      <c r="O24" s="71">
        <v>2280</v>
      </c>
      <c r="P24" s="71">
        <v>650</v>
      </c>
      <c r="Q24" s="90">
        <v>774</v>
      </c>
      <c r="R24" s="71">
        <v>4561</v>
      </c>
      <c r="S24" s="71">
        <v>3062</v>
      </c>
      <c r="T24" s="71">
        <v>1071</v>
      </c>
      <c r="U24" s="71">
        <v>3724</v>
      </c>
      <c r="V24" s="71">
        <v>8841</v>
      </c>
      <c r="W24" s="71">
        <v>7373</v>
      </c>
      <c r="X24" s="71">
        <v>4587</v>
      </c>
      <c r="Y24" s="71">
        <v>3971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2858.7370983119999</v>
      </c>
      <c r="E25" s="91" ph="1">
        <f>E24*268.68*LOOKUP(E26,密度!$A$2:$A$50,密度!$C$2:$C$50)+IF(E24&lt;=0,0,1566*LOOKUP(E26,密度!$A$2:$A$50,密度!$C$2:$C$50))</f>
        <v>3410.9559962399999</v>
      </c>
      <c r="F25" s="91" ph="1">
        <f>F24*11.702*LOOKUP(F26,密度!$A$2:$A$50,密度!$Q$2:$Q$50)</f>
        <v>0</v>
      </c>
      <c r="G25" s="91" ph="1">
        <f>G24*18.322*LOOKUP(G26,密度!$A$2:$A$50,密度!$B$2:$B$50)</f>
        <v>43156.305720800003</v>
      </c>
      <c r="H25" s="91" ph="1">
        <f>H24*18.322*LOOKUP(H26,密度!$A$2:$A$50,密度!$B$2:$B$50)</f>
        <v>18551.409761999999</v>
      </c>
      <c r="I25" s="91" ph="1">
        <f>I24*18.322*LOOKUP(I26,密度!$A$2:$A$50,密度!$Q$2:$Q$50)</f>
        <v>26572.02796136</v>
      </c>
      <c r="J25" s="91" ph="1">
        <f>J24*18.322*LOOKUP(J26,密度!$A$2:$A$50,密度!$Q$2:$Q$50)</f>
        <v>51344.172632760004</v>
      </c>
      <c r="K25" s="91" ph="1">
        <f>K24*18.322*LOOKUP(K26,密度!$A$2:$A$50,密度!$Q$2:$Q$50)</f>
        <v>46551.35271626</v>
      </c>
      <c r="L25" s="91" ph="1">
        <f>L24*18.322*LOOKUP(L26,密度!$A$2:$A$50,密度!$Q$2:$Q$50)</f>
        <v>96797.533877239999</v>
      </c>
      <c r="M25" s="91" ph="1">
        <f>M24*18.322*LOOKUP(M26,密度!$A$2:$A$50,密度!$Q$2:$Q$50)</f>
        <v>84998.482664620009</v>
      </c>
      <c r="N25" s="91" ph="1">
        <f>N24*18.322*LOOKUP(N26,密度!$A$2:$A$50,密度!$Q$2:$Q$50)</f>
        <v>100507.04154191999</v>
      </c>
      <c r="O25" s="91" ph="1">
        <f>O24*18.322*LOOKUP(O26,密度!$A$2:$A$50,密度!$C$2:$C$50)</f>
        <v>46502.994911999995</v>
      </c>
      <c r="P25" s="91" ph="1">
        <f>P24*11.702*LOOKUP(P26,密度!$A$2:$A$50,密度!$B$2:$B$50)</f>
        <v>5964.0998300000001</v>
      </c>
      <c r="Q25" s="92" ph="1">
        <f>Q24*18.322*LOOKUP(Q26,密度!$A$2:$A$50,密度!$B$2:$B$50)</f>
        <v>11106.7377696</v>
      </c>
      <c r="R25" s="91" ph="1">
        <f>R24*35.891*LOOKUP(R26,密度!$A$2:$A$50,密度!$C$2:$C$50)</f>
        <v>182229.5609332</v>
      </c>
      <c r="S25" s="91" ph="1">
        <f>S24*35.891*LOOKUP(S26,密度!$A$2:$A$50,密度!$B$2:$B$50)</f>
        <v>86171.211552199995</v>
      </c>
      <c r="T25" s="91" ph="1">
        <f>T24*35.891*LOOKUP(T26,密度!$A$2:$A$50,密度!$Q$2:$Q$50)</f>
        <v>36564.578241030002</v>
      </c>
      <c r="U25" s="91" ph="1">
        <f>U24*35.891</f>
        <v>133658.084</v>
      </c>
      <c r="V25" s="91" ph="1">
        <f>V24*47.051*LOOKUP(V26,密度!$A$2:$A$50,密度!$B$2:$B$50)</f>
        <v>326168.2643331</v>
      </c>
      <c r="W25" s="91" ph="1">
        <f>W24*47.051*LOOKUP(W26,密度!$A$2:$A$50,密度!$B$2:$B$50)</f>
        <v>272287.32235269999</v>
      </c>
      <c r="X25" s="91" ph="1">
        <f>X24*47.051*LOOKUP(X26,密度!$A$2:$A$61,密度!$I$2:$I$61)</f>
        <v>223031.42309580004</v>
      </c>
      <c r="Y25" s="91" ph="1">
        <f>Y24*47.051*LOOKUP(Y26,密度!$A$2:$A$50,密度!$L$2:$L$50)</f>
        <v>176189.66830299998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19</v>
      </c>
      <c r="G26" s="74">
        <v>20</v>
      </c>
      <c r="H26" s="74">
        <v>19</v>
      </c>
      <c r="I26" s="74">
        <v>20</v>
      </c>
      <c r="J26" s="74">
        <v>19</v>
      </c>
      <c r="K26" s="74">
        <v>19</v>
      </c>
      <c r="L26" s="74">
        <v>19</v>
      </c>
      <c r="M26" s="74">
        <v>19</v>
      </c>
      <c r="N26" s="74">
        <v>20</v>
      </c>
      <c r="O26" s="74">
        <v>19</v>
      </c>
      <c r="P26" s="74">
        <v>20</v>
      </c>
      <c r="Q26" s="93">
        <v>21</v>
      </c>
      <c r="R26" s="74">
        <v>19</v>
      </c>
      <c r="S26" s="74">
        <v>20</v>
      </c>
      <c r="T26" s="74">
        <v>19</v>
      </c>
      <c r="U26" s="74">
        <v>21</v>
      </c>
      <c r="V26" s="74">
        <v>20</v>
      </c>
      <c r="W26" s="74">
        <v>19</v>
      </c>
      <c r="X26" s="74">
        <v>33</v>
      </c>
      <c r="Y26" s="74">
        <v>19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52" t="s" ph="1">
        <v>180</v>
      </c>
      <c r="D27" s="71">
        <v>5.41</v>
      </c>
      <c r="E27" s="71">
        <v>5.62</v>
      </c>
      <c r="F27" s="71">
        <v>0</v>
      </c>
      <c r="G27" s="71">
        <v>2566</v>
      </c>
      <c r="H27" s="71">
        <v>1840</v>
      </c>
      <c r="I27" s="71">
        <v>1525</v>
      </c>
      <c r="J27" s="71">
        <v>2500</v>
      </c>
      <c r="K27" s="71">
        <v>3790</v>
      </c>
      <c r="L27" s="71">
        <v>5551</v>
      </c>
      <c r="M27" s="71">
        <v>4879</v>
      </c>
      <c r="N27" s="71">
        <v>5773</v>
      </c>
      <c r="O27" s="71">
        <v>5414</v>
      </c>
      <c r="P27" s="71">
        <v>646</v>
      </c>
      <c r="Q27" s="90">
        <v>1015</v>
      </c>
      <c r="R27" s="71">
        <v>2939</v>
      </c>
      <c r="S27" s="71">
        <v>3058</v>
      </c>
      <c r="T27" s="71">
        <v>596</v>
      </c>
      <c r="U27" s="71">
        <v>3469</v>
      </c>
      <c r="V27" s="71">
        <v>8844</v>
      </c>
      <c r="W27" s="71">
        <v>7054</v>
      </c>
      <c r="X27" s="71">
        <v>4341</v>
      </c>
      <c r="Y27" s="71">
        <v>2890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52" t="s" ph="1">
        <v>178</v>
      </c>
      <c r="D28" s="91" ph="1">
        <f>D27*268.68*LOOKUP(D29,密度!$A$2:$A$50,密度!$Q$2:$Q$50)+IF(D27&lt;=0,0,1566*LOOKUP(D29,密度!$A$2:$A$50,密度!$Q$2:$Q$50))</f>
        <v>2858.7370983119999</v>
      </c>
      <c r="E28" s="91" ph="1">
        <f>E27*268.68*LOOKUP(E29,密度!$A$2:$A$50,密度!$C$2:$C$50)+IF(E27&lt;=0,0,1566*LOOKUP(E29,密度!$A$2:$A$50,密度!$C$2:$C$50))</f>
        <v>3410.9559962399999</v>
      </c>
      <c r="F28" s="91" ph="1">
        <f>F27*11.702*LOOKUP(F29,密度!$A$2:$A$50,密度!$Q$2:$Q$50)</f>
        <v>0</v>
      </c>
      <c r="G28" s="91" ph="1">
        <f>G27*18.322*LOOKUP(G29,密度!$A$2:$A$50,密度!$B$2:$B$50)</f>
        <v>36901.486394800006</v>
      </c>
      <c r="H28" s="91" ph="1">
        <f>H27*18.322*LOOKUP(H29,密度!$A$2:$A$50,密度!$B$2:$B$50)</f>
        <v>26460.925551999997</v>
      </c>
      <c r="I28" s="91" ph="1">
        <f>I27*18.322*LOOKUP(I29,密度!$A$2:$A$50,密度!$Q$2:$Q$50)</f>
        <v>26554.615098999999</v>
      </c>
      <c r="J28" s="91" ph="1">
        <f>J27*18.322*LOOKUP(J29,密度!$A$2:$A$50,密度!$Q$2:$Q$50)</f>
        <v>43571.090150000004</v>
      </c>
      <c r="K28" s="91" ph="1">
        <f>K27*18.322*LOOKUP(K29,密度!$A$2:$A$50,密度!$Q$2:$Q$50)</f>
        <v>66053.772667399986</v>
      </c>
      <c r="L28" s="91" ph="1">
        <f>L27*18.322*LOOKUP(L29,密度!$A$2:$A$50,密度!$Q$2:$Q$50)</f>
        <v>96588.62221917999</v>
      </c>
      <c r="M28" s="91" ph="1">
        <f>M27*18.322*LOOKUP(M29,密度!$A$2:$A$50,密度!$Q$2:$Q$50)</f>
        <v>84957.355454439996</v>
      </c>
      <c r="N28" s="91" ph="1">
        <f>N27*18.322*LOOKUP(N29,密度!$A$2:$A$50,密度!$Q$2:$Q$50)</f>
        <v>100524.45440427998</v>
      </c>
      <c r="O28" s="91" ph="1">
        <f>O27*18.322*LOOKUP(O29,密度!$A$2:$A$50,密度!$C$2:$C$50)</f>
        <v>110295.2629652</v>
      </c>
      <c r="P28" s="91" ph="1">
        <f>P27*11.702*LOOKUP(P29,密度!$A$2:$A$50,密度!$B$2:$B$50)</f>
        <v>5913.7905916</v>
      </c>
      <c r="Q28" s="92" ph="1">
        <f>Q27*18.322*LOOKUP(Q29,密度!$A$2:$A$50,密度!$B$2:$B$50)</f>
        <v>14548.300108999998</v>
      </c>
      <c r="R28" s="91" ph="1">
        <f>R27*35.891*LOOKUP(R29,密度!$A$2:$A$50,密度!$C$2:$C$50)</f>
        <v>117361.10787739999</v>
      </c>
      <c r="S28" s="91" ph="1">
        <f>S27*35.891*LOOKUP(S29,密度!$A$2:$A$50,密度!$B$2:$B$50)</f>
        <v>86146.446762200008</v>
      </c>
      <c r="T28" s="91" ph="1">
        <f>T27*35.891*LOOKUP(T29,密度!$A$2:$A$50,密度!$Q$2:$Q$50)</f>
        <v>20329.61279368</v>
      </c>
      <c r="U28" s="91" ph="1">
        <f>U27*35.891</f>
        <v>124505.879</v>
      </c>
      <c r="V28" s="91" ph="1">
        <f>V27*47.051*LOOKUP(V29,密度!$A$2:$A$50,密度!$B$2:$B$50)</f>
        <v>325529.92812120001</v>
      </c>
      <c r="W28" s="91" ph="1">
        <f>W27*47.051*LOOKUP(W29,密度!$A$2:$A$50,密度!$B$2:$B$50)</f>
        <v>259942.32093280001</v>
      </c>
      <c r="X28" s="91" ph="1">
        <f>X27*47.051*LOOKUP(X29,密度!$A$2:$A$61,密度!$I$2:$I$61)</f>
        <v>207863.58752070001</v>
      </c>
      <c r="Y28" s="91" ph="1">
        <f>Y27*47.051*LOOKUP(Y29,密度!$A$2:$A$50,密度!$L$2:$L$50)</f>
        <v>128090.70138000001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52" t="s" ph="1">
        <v>179</v>
      </c>
      <c r="D29" s="74">
        <v>25</v>
      </c>
      <c r="E29" s="74">
        <v>25</v>
      </c>
      <c r="F29" s="74">
        <v>21</v>
      </c>
      <c r="G29" s="74">
        <v>19</v>
      </c>
      <c r="H29" s="74">
        <v>19</v>
      </c>
      <c r="I29" s="74">
        <v>20</v>
      </c>
      <c r="J29" s="74">
        <v>19</v>
      </c>
      <c r="K29" s="74">
        <v>19</v>
      </c>
      <c r="L29" s="74">
        <v>21</v>
      </c>
      <c r="M29" s="74">
        <v>20</v>
      </c>
      <c r="N29" s="74">
        <v>20</v>
      </c>
      <c r="O29" s="74">
        <v>21</v>
      </c>
      <c r="P29" s="74">
        <v>22</v>
      </c>
      <c r="Q29" s="93">
        <v>22</v>
      </c>
      <c r="R29" s="74">
        <v>20</v>
      </c>
      <c r="S29" s="74">
        <v>19</v>
      </c>
      <c r="T29" s="74">
        <v>20</v>
      </c>
      <c r="U29" s="74">
        <v>20</v>
      </c>
      <c r="V29" s="74">
        <v>22</v>
      </c>
      <c r="W29" s="74">
        <v>21</v>
      </c>
      <c r="X29" s="74">
        <v>47</v>
      </c>
      <c r="Y29" s="74">
        <v>20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52" t="s" ph="1">
        <v>5</v>
      </c>
      <c r="F32" s="151" t="s" ph="1">
        <v>43</v>
      </c>
      <c r="G32" s="97" t="s" ph="1">
        <v>4</v>
      </c>
      <c r="H32" s="152" t="s" ph="1">
        <v>5</v>
      </c>
      <c r="I32" s="151" t="s" ph="1">
        <v>43</v>
      </c>
      <c r="J32" s="97" t="s" ph="1">
        <v>4</v>
      </c>
      <c r="K32" s="152" t="s" ph="1">
        <v>5</v>
      </c>
      <c r="L32" s="151" t="s" ph="1">
        <v>43</v>
      </c>
      <c r="M32" s="97" t="s" ph="1">
        <v>4</v>
      </c>
      <c r="N32" s="152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2" t="s" ph="1">
        <v>5</v>
      </c>
      <c r="U32" s="99" t="s" ph="1">
        <v>43</v>
      </c>
      <c r="V32" s="97" t="s" ph="1">
        <v>4</v>
      </c>
      <c r="W32" s="152" t="s" ph="1">
        <v>5</v>
      </c>
      <c r="X32" s="99" t="s" ph="1">
        <v>43</v>
      </c>
      <c r="Y32" s="100" t="s" ph="1">
        <v>4</v>
      </c>
      <c r="Z32" s="152" t="s" ph="1">
        <v>5</v>
      </c>
      <c r="AA32" s="151" t="s" ph="1">
        <v>43</v>
      </c>
      <c r="AB32" s="97" t="s" ph="1">
        <v>85</v>
      </c>
      <c r="AC32" s="152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97726.134929399996</v>
      </c>
      <c r="E33" s="196" ph="1">
        <f>M10+I10</f>
        <v>112047.12755959999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[[#This Row],[F25]]</f>
        <v>3880</v>
      </c>
      <c r="G33" s="222" ph="1">
        <v>0</v>
      </c>
      <c r="H33" s="196" ph="1">
        <f>N19</f>
        <v>30659.365518439998</v>
      </c>
      <c r="I33" s="200" ph="1">
        <v>0</v>
      </c>
      <c r="J33" s="204" ph="1">
        <f>F10+O28</f>
        <v>330268.88736319996</v>
      </c>
      <c r="K33" s="196" ph="1">
        <f>O10+K10+E28+R28</f>
        <v>187974.34952803998</v>
      </c>
      <c r="L33" s="206" ph="1">
        <f>BE27</f>
        <v>7100</v>
      </c>
      <c r="M33" s="204" ph="1">
        <f>G10+H10+W28+S28+V28+E10</f>
        <v>833081.33436420001</v>
      </c>
      <c r="N33" s="196" ph="1">
        <f>L10+P10++G28+H28</f>
        <v>153572.12358280001</v>
      </c>
      <c r="O33" s="200" ph="1">
        <f>BE17</f>
        <v>2270</v>
      </c>
      <c r="P33" s="204" ph="1">
        <f>L19</f>
        <v>12597.38512888</v>
      </c>
      <c r="Q33" s="196" ph="1">
        <f>J10+N10</f>
        <v>6492.4899352000002</v>
      </c>
      <c r="R33" s="200" ph="1">
        <f>BE23</f>
        <v>890</v>
      </c>
      <c r="S33" s="204" ph="1">
        <f>E10+X28</f>
        <v>207863.58752070001</v>
      </c>
      <c r="T33" s="196" ph="1">
        <f>X19</f>
        <v>12140.26991472</v>
      </c>
      <c r="U33" s="185" ph="1">
        <f>BE21</f>
        <v>730</v>
      </c>
      <c r="V33" s="198" ph="1">
        <f ca="1">P19+Q19+S19+M28+N28+J28</f>
        <v>364609.74441926996</v>
      </c>
      <c r="W33" s="198" ph="1">
        <f>D28+F28+V19+T28</f>
        <v>70613.836590327992</v>
      </c>
      <c r="X33" s="200" ph="1">
        <f>BE29+BE31</f>
        <v>10200</v>
      </c>
      <c r="Y33" s="202" ph="1">
        <f>+Q10+R10+S10+T10+U10+V10+W10+X10+Y10</f>
        <v>105256.614078</v>
      </c>
      <c r="Z33" s="183" ph="1">
        <f>D10+T19+U19+Y28+Z10</f>
        <v>478910.1067453</v>
      </c>
      <c r="AA33" s="185" ph="1">
        <f>BE19</f>
        <v>1440</v>
      </c>
      <c r="AB33" s="187" ph="1">
        <f>I19</f>
        <v>15009.8602792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50" t="s" ph="1">
        <v>185</v>
      </c>
      <c r="AA36" s="150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308" priority="98">
      <formula>ABS(D$7-D$10)&gt;=1000</formula>
    </cfRule>
  </conditionalFormatting>
  <conditionalFormatting sqref="E4 E6:E11">
    <cfRule type="expression" dxfId="2307" priority="97">
      <formula>ABS(E$7-E$10)&gt;=1000</formula>
    </cfRule>
  </conditionalFormatting>
  <conditionalFormatting sqref="F4:F11">
    <cfRule type="expression" dxfId="2306" priority="96">
      <formula>ABS(F$7-F$10)&gt;=1000</formula>
    </cfRule>
  </conditionalFormatting>
  <conditionalFormatting sqref="G4:G11">
    <cfRule type="expression" dxfId="2305" priority="95">
      <formula>ABS(G$7-G$10)&gt;=1000</formula>
    </cfRule>
  </conditionalFormatting>
  <conditionalFormatting sqref="H4:H11">
    <cfRule type="expression" dxfId="2304" priority="94">
      <formula>ABS(H$7-H$10)&gt;=1000</formula>
    </cfRule>
  </conditionalFormatting>
  <conditionalFormatting sqref="I4:I11">
    <cfRule type="expression" dxfId="2303" priority="93">
      <formula>ABS(I$7-I$10)&gt;=1000</formula>
    </cfRule>
  </conditionalFormatting>
  <conditionalFormatting sqref="J4:J11">
    <cfRule type="expression" dxfId="2302" priority="92">
      <formula>ABS(J$7-J$10)&gt;=1000</formula>
    </cfRule>
  </conditionalFormatting>
  <conditionalFormatting sqref="K4:K11">
    <cfRule type="expression" dxfId="2301" priority="91">
      <formula>ABS(K$7-K$10)&gt;=1000</formula>
    </cfRule>
  </conditionalFormatting>
  <conditionalFormatting sqref="L4:L11">
    <cfRule type="expression" dxfId="2300" priority="90">
      <formula>ABS(L$7-L$10)&gt;=1000</formula>
    </cfRule>
  </conditionalFormatting>
  <conditionalFormatting sqref="M4 M6:M11">
    <cfRule type="expression" dxfId="2299" priority="89">
      <formula>ABS(M$7-M$10)&gt;=1000</formula>
    </cfRule>
  </conditionalFormatting>
  <conditionalFormatting sqref="N4 N6:N11">
    <cfRule type="expression" dxfId="2298" priority="88">
      <formula>ABS(N$7-N$10)&gt;=1000</formula>
    </cfRule>
  </conditionalFormatting>
  <conditionalFormatting sqref="O4 O6:O11">
    <cfRule type="expression" dxfId="2297" priority="87">
      <formula>ABS(O$7-O$10)&gt;=1000</formula>
    </cfRule>
  </conditionalFormatting>
  <conditionalFormatting sqref="P4 P6:P11">
    <cfRule type="expression" dxfId="2296" priority="86">
      <formula>ABS(P$7-P$10)&gt;=1000</formula>
    </cfRule>
  </conditionalFormatting>
  <conditionalFormatting sqref="Q4:Q11">
    <cfRule type="expression" dxfId="2295" priority="85">
      <formula>ABS(Q$7-Q$10)&gt;=1000</formula>
    </cfRule>
  </conditionalFormatting>
  <conditionalFormatting sqref="R4:R11">
    <cfRule type="expression" dxfId="2294" priority="84">
      <formula>ABS(R$7-R$10)&gt;=1000</formula>
    </cfRule>
  </conditionalFormatting>
  <conditionalFormatting sqref="S4:S11">
    <cfRule type="expression" dxfId="2293" priority="83">
      <formula>ABS(S$7-S$10)&gt;=1000</formula>
    </cfRule>
  </conditionalFormatting>
  <conditionalFormatting sqref="T4:T9 T11">
    <cfRule type="expression" dxfId="2292" priority="82">
      <formula>ABS(T$7-T$10)&gt;=1000</formula>
    </cfRule>
  </conditionalFormatting>
  <conditionalFormatting sqref="U4:U9 U11">
    <cfRule type="expression" dxfId="2291" priority="81">
      <formula>ABS(U$7-U$10)&gt;=1000</formula>
    </cfRule>
  </conditionalFormatting>
  <conditionalFormatting sqref="V4:V9 V11">
    <cfRule type="expression" dxfId="2290" priority="80">
      <formula>ABS(V$7-V$10)&gt;=1000</formula>
    </cfRule>
  </conditionalFormatting>
  <conditionalFormatting sqref="W4:W9 W11">
    <cfRule type="expression" dxfId="2289" priority="79">
      <formula>ABS(W$7-W$10)&gt;=1000</formula>
    </cfRule>
  </conditionalFormatting>
  <conditionalFormatting sqref="X4:X9 X11">
    <cfRule type="expression" dxfId="2288" priority="78">
      <formula>ABS(X$7-X$10)&gt;=1000</formula>
    </cfRule>
  </conditionalFormatting>
  <conditionalFormatting sqref="Y4:Y9 Y11">
    <cfRule type="expression" dxfId="2287" priority="77">
      <formula>ABS(Y$7-Y$10)&gt;=1000</formula>
    </cfRule>
  </conditionalFormatting>
  <conditionalFormatting sqref="Z4:Z11">
    <cfRule type="expression" dxfId="2286" priority="76">
      <formula>ABS(Z$7-Z$10)&gt;=1000</formula>
    </cfRule>
  </conditionalFormatting>
  <conditionalFormatting sqref="AA4:AA11">
    <cfRule type="expression" dxfId="2285" priority="75">
      <formula>ABS(AA$7-AA$10)&gt;=1000</formula>
    </cfRule>
  </conditionalFormatting>
  <conditionalFormatting sqref="AB4:AB11">
    <cfRule type="expression" dxfId="2284" priority="74">
      <formula>ABS(AB$7-AB$10)&gt;=1000</formula>
    </cfRule>
  </conditionalFormatting>
  <conditionalFormatting sqref="AC4 AC6:AC11">
    <cfRule type="expression" dxfId="2283" priority="73">
      <formula>ABS(AC$7-AC$10)&gt;=1000</formula>
    </cfRule>
  </conditionalFormatting>
  <conditionalFormatting sqref="AD4:AD11">
    <cfRule type="expression" dxfId="2282" priority="72">
      <formula>ABS(AD$7-AD$10)&gt;=1000</formula>
    </cfRule>
  </conditionalFormatting>
  <conditionalFormatting sqref="AE4 AE6:AE11">
    <cfRule type="expression" dxfId="2281" priority="71">
      <formula>ABS(AE$7-AE$10)&gt;=1000</formula>
    </cfRule>
  </conditionalFormatting>
  <conditionalFormatting sqref="D13:D20">
    <cfRule type="expression" dxfId="2280" priority="70">
      <formula>ABS(D$16-D$19)&gt;=1000</formula>
    </cfRule>
  </conditionalFormatting>
  <conditionalFormatting sqref="E13:E20">
    <cfRule type="expression" dxfId="2279" priority="69">
      <formula>ABS(E$16-E$19)&gt;=1000</formula>
    </cfRule>
  </conditionalFormatting>
  <conditionalFormatting sqref="F13 F15:F20">
    <cfRule type="expression" dxfId="2278" priority="68">
      <formula>ABS(F$16-F$19)&gt;=1000</formula>
    </cfRule>
  </conditionalFormatting>
  <conditionalFormatting sqref="G13:G20">
    <cfRule type="expression" dxfId="2277" priority="67">
      <formula>ABS(G$16-G$19)&gt;=1000</formula>
    </cfRule>
  </conditionalFormatting>
  <conditionalFormatting sqref="H13:H20">
    <cfRule type="expression" dxfId="2276" priority="66">
      <formula>ABS(H$16-H$19)&gt;=1000</formula>
    </cfRule>
  </conditionalFormatting>
  <conditionalFormatting sqref="I13:I20">
    <cfRule type="expression" dxfId="2275" priority="65">
      <formula>ABS(I$16-I$19)&gt;=1000</formula>
    </cfRule>
  </conditionalFormatting>
  <conditionalFormatting sqref="J13:J20">
    <cfRule type="expression" dxfId="2274" priority="64">
      <formula>ABS(J$16-J$19)&gt;=1000</formula>
    </cfRule>
  </conditionalFormatting>
  <conditionalFormatting sqref="L13:L20">
    <cfRule type="expression" dxfId="2273" priority="63">
      <formula>ABS(L$16-L$19)&gt;=1000</formula>
    </cfRule>
  </conditionalFormatting>
  <conditionalFormatting sqref="M13 M15 M17:M18 M20">
    <cfRule type="expression" dxfId="2272" priority="62">
      <formula>ABS(M$16-M$19)&gt;=1000</formula>
    </cfRule>
  </conditionalFormatting>
  <conditionalFormatting sqref="N13:N20">
    <cfRule type="expression" dxfId="2271" priority="61">
      <formula>ABS(N$16-N$19)&gt;=1000</formula>
    </cfRule>
  </conditionalFormatting>
  <conditionalFormatting sqref="O13:O20">
    <cfRule type="expression" dxfId="2270" priority="60">
      <formula>ABS(O$16-O$19)&gt;=1000</formula>
    </cfRule>
  </conditionalFormatting>
  <conditionalFormatting sqref="P13:P20">
    <cfRule type="expression" dxfId="2269" priority="59">
      <formula>ABS(P$16-P$19)&gt;=1000</formula>
    </cfRule>
  </conditionalFormatting>
  <conditionalFormatting sqref="Q13 Q15:Q20">
    <cfRule type="expression" dxfId="2268" priority="58">
      <formula>ABS(Q$16-Q$19)&gt;=1000</formula>
    </cfRule>
  </conditionalFormatting>
  <conditionalFormatting sqref="R13:R20">
    <cfRule type="expression" dxfId="2267" priority="57">
      <formula>ABS(R$16-R$19)&gt;=1000</formula>
    </cfRule>
  </conditionalFormatting>
  <conditionalFormatting sqref="S13:S20">
    <cfRule type="expression" dxfId="2266" priority="56">
      <formula>ABS(S$16-S$19)&gt;=1000</formula>
    </cfRule>
  </conditionalFormatting>
  <conditionalFormatting sqref="T13:T20">
    <cfRule type="expression" dxfId="2265" priority="55">
      <formula>ABS(T$16-T$19)&gt;=1000</formula>
    </cfRule>
  </conditionalFormatting>
  <conditionalFormatting sqref="U13:U20">
    <cfRule type="expression" dxfId="2264" priority="54">
      <formula>ABS(U$16-U$19)&gt;=1000</formula>
    </cfRule>
  </conditionalFormatting>
  <conditionalFormatting sqref="V13:V20">
    <cfRule type="expression" dxfId="2263" priority="53">
      <formula>ABS(V$16-V$19)&gt;=1000</formula>
    </cfRule>
  </conditionalFormatting>
  <conditionalFormatting sqref="W13 W20 W15:W18">
    <cfRule type="expression" dxfId="2262" priority="52">
      <formula>ABS(W$16-W$19)&gt;=1000</formula>
    </cfRule>
  </conditionalFormatting>
  <conditionalFormatting sqref="X13 X15:X20 Y19">
    <cfRule type="expression" dxfId="2261" priority="51">
      <formula>ABS(X$16-X$19)&gt;=1000</formula>
    </cfRule>
  </conditionalFormatting>
  <conditionalFormatting sqref="Y13 Y15:Y18 Y20">
    <cfRule type="expression" dxfId="2260" priority="50">
      <formula>ABS(Y$16-Y$19)&gt;=1000</formula>
    </cfRule>
  </conditionalFormatting>
  <conditionalFormatting sqref="Z13:Z20">
    <cfRule type="expression" dxfId="2259" priority="49">
      <formula>ABS(Z$16-Z$19)&gt;=1000</formula>
    </cfRule>
  </conditionalFormatting>
  <conditionalFormatting sqref="AA13:AA20">
    <cfRule type="expression" dxfId="2258" priority="48">
      <formula>ABS(AA$16-AA$19)&gt;=1000</formula>
    </cfRule>
  </conditionalFormatting>
  <conditionalFormatting sqref="AB13 AB15:AB20">
    <cfRule type="expression" dxfId="2257" priority="47">
      <formula>ABS(AB$16-AB$19)&gt;=1000</formula>
    </cfRule>
  </conditionalFormatting>
  <conditionalFormatting sqref="AC13 AC15:AC20">
    <cfRule type="expression" dxfId="2256" priority="46">
      <formula>ABS(AC$16-AC$19)&gt;=1000</formula>
    </cfRule>
  </conditionalFormatting>
  <conditionalFormatting sqref="AD13:AD20">
    <cfRule type="expression" dxfId="2255" priority="45">
      <formula>ABS(AD$16-AD$19)&gt;=1000</formula>
    </cfRule>
  </conditionalFormatting>
  <conditionalFormatting sqref="AE13:AE20">
    <cfRule type="expression" dxfId="2254" priority="44">
      <formula>ABS(AE$16-AE$19)&gt;=1000</formula>
    </cfRule>
  </conditionalFormatting>
  <conditionalFormatting sqref="D22:D29">
    <cfRule type="expression" dxfId="2253" priority="43">
      <formula>ABS(D$25-D$28)&gt;=1000</formula>
    </cfRule>
  </conditionalFormatting>
  <conditionalFormatting sqref="E22:E29">
    <cfRule type="expression" dxfId="2252" priority="42">
      <formula>ABS(E$25-E$28)&gt;=1000</formula>
    </cfRule>
  </conditionalFormatting>
  <conditionalFormatting sqref="F22:F29">
    <cfRule type="expression" dxfId="2251" priority="41">
      <formula>ABS(F$25-F$28)&gt;=1000</formula>
    </cfRule>
  </conditionalFormatting>
  <conditionalFormatting sqref="G22:G29">
    <cfRule type="expression" dxfId="2250" priority="40">
      <formula>ABS(G$25-G$28)&gt;=1000</formula>
    </cfRule>
  </conditionalFormatting>
  <conditionalFormatting sqref="H22:H29">
    <cfRule type="expression" dxfId="2249" priority="39">
      <formula>ABS(H$25-H$28)&gt;=1000</formula>
    </cfRule>
  </conditionalFormatting>
  <conditionalFormatting sqref="I22 I24:I29">
    <cfRule type="expression" dxfId="2248" priority="38">
      <formula>ABS(I$25-I$28)&gt;=1000</formula>
    </cfRule>
  </conditionalFormatting>
  <conditionalFormatting sqref="J22:J29 K22">
    <cfRule type="expression" dxfId="2247" priority="37">
      <formula>ABS(J$25-J$28)&gt;=1000</formula>
    </cfRule>
  </conditionalFormatting>
  <conditionalFormatting sqref="K23:K29 L25 L28">
    <cfRule type="expression" dxfId="2246" priority="36">
      <formula>ABS(K$25-K$28)&gt;=1000</formula>
    </cfRule>
  </conditionalFormatting>
  <conditionalFormatting sqref="L22 L26:L27 L29 L24">
    <cfRule type="expression" dxfId="2245" priority="35">
      <formula>ABS(L$25-L$28)&gt;=1000</formula>
    </cfRule>
  </conditionalFormatting>
  <conditionalFormatting sqref="M22:M29">
    <cfRule type="expression" dxfId="2244" priority="34">
      <formula>ABS(M$25-M$28)&gt;=1000</formula>
    </cfRule>
  </conditionalFormatting>
  <conditionalFormatting sqref="N22:N29">
    <cfRule type="expression" dxfId="2243" priority="33">
      <formula>ABS(N$25-N$28)&gt;=1000</formula>
    </cfRule>
  </conditionalFormatting>
  <conditionalFormatting sqref="O22:O29">
    <cfRule type="expression" dxfId="2242" priority="32">
      <formula>ABS(O$25-O$28)&gt;=1000</formula>
    </cfRule>
  </conditionalFormatting>
  <conditionalFormatting sqref="P22:P29">
    <cfRule type="expression" dxfId="2241" priority="31">
      <formula>ABS(P$25-P$28)&gt;=1000</formula>
    </cfRule>
  </conditionalFormatting>
  <conditionalFormatting sqref="Q22:Q29">
    <cfRule type="expression" dxfId="2240" priority="30">
      <formula>ABS(Q$25-Q$28)&gt;=1000</formula>
    </cfRule>
  </conditionalFormatting>
  <conditionalFormatting sqref="R22:R29">
    <cfRule type="expression" dxfId="2239" priority="29">
      <formula>ABS(R$25-R$28)&gt;=1000</formula>
    </cfRule>
  </conditionalFormatting>
  <conditionalFormatting sqref="S22:S29">
    <cfRule type="expression" dxfId="2238" priority="28">
      <formula>ABS(S$25-S$28)&gt;=1000</formula>
    </cfRule>
  </conditionalFormatting>
  <conditionalFormatting sqref="T22:T29">
    <cfRule type="expression" dxfId="2237" priority="27">
      <formula>ABS(T$25-T$28)&gt;=1000</formula>
    </cfRule>
  </conditionalFormatting>
  <conditionalFormatting sqref="U22:U29">
    <cfRule type="expression" dxfId="2236" priority="26">
      <formula>ABS(U$25-U$28)&gt;=1000</formula>
    </cfRule>
  </conditionalFormatting>
  <conditionalFormatting sqref="V22:V29">
    <cfRule type="expression" dxfId="2235" priority="25">
      <formula>ABS(V$25-V$28)&gt;=1000</formula>
    </cfRule>
  </conditionalFormatting>
  <conditionalFormatting sqref="W22:W29">
    <cfRule type="expression" dxfId="2234" priority="24">
      <formula>ABS(W$25-W$28)&gt;=1000</formula>
    </cfRule>
  </conditionalFormatting>
  <conditionalFormatting sqref="X22:X29">
    <cfRule type="expression" dxfId="2233" priority="23">
      <formula>ABS(X$25-X$28)&gt;=1000</formula>
    </cfRule>
  </conditionalFormatting>
  <conditionalFormatting sqref="Y22:Y29">
    <cfRule type="expression" dxfId="2232" priority="22">
      <formula>ABS(Y$25-Y$28)&gt;=1000</formula>
    </cfRule>
  </conditionalFormatting>
  <conditionalFormatting sqref="I23">
    <cfRule type="expression" dxfId="2231" priority="21">
      <formula>ABS(I$25-I$28)&gt;=1000</formula>
    </cfRule>
  </conditionalFormatting>
  <conditionalFormatting sqref="Q14">
    <cfRule type="expression" dxfId="2230" priority="20">
      <formula>ABS(Q$16-Q$19)&gt;=1000</formula>
    </cfRule>
  </conditionalFormatting>
  <conditionalFormatting sqref="W14">
    <cfRule type="expression" dxfId="2229" priority="19">
      <formula>ABS(W$16-W$19)&gt;=1000</formula>
    </cfRule>
  </conditionalFormatting>
  <conditionalFormatting sqref="Y14">
    <cfRule type="expression" dxfId="2228" priority="18">
      <formula>ABS(Y$16-Y$19)&gt;=1000</formula>
    </cfRule>
  </conditionalFormatting>
  <conditionalFormatting sqref="X14">
    <cfRule type="expression" dxfId="2227" priority="17">
      <formula>ABS(X$16-X$19)&gt;=1000</formula>
    </cfRule>
  </conditionalFormatting>
  <conditionalFormatting sqref="T10:Y10">
    <cfRule type="expression" dxfId="2226" priority="16">
      <formula>ABS(T$7-T$10)&gt;=1000</formula>
    </cfRule>
  </conditionalFormatting>
  <conditionalFormatting sqref="W19">
    <cfRule type="expression" dxfId="2225" priority="15">
      <formula>ABS(W$16-W$19)&gt;=1000</formula>
    </cfRule>
  </conditionalFormatting>
  <conditionalFormatting sqref="AC5">
    <cfRule type="expression" dxfId="2224" priority="14">
      <formula>ABS(AC$7-AC$10)&gt;=1000</formula>
    </cfRule>
  </conditionalFormatting>
  <conditionalFormatting sqref="M14">
    <cfRule type="expression" dxfId="2223" priority="13">
      <formula>ABS(M$16-M$19)&gt;=1000</formula>
    </cfRule>
  </conditionalFormatting>
  <conditionalFormatting sqref="M16">
    <cfRule type="expression" dxfId="2222" priority="12">
      <formula>ABS(M$16-M$19)&gt;=1000</formula>
    </cfRule>
  </conditionalFormatting>
  <conditionalFormatting sqref="M19">
    <cfRule type="expression" dxfId="2221" priority="11">
      <formula>ABS(M$16-M$19)&gt;=1000</formula>
    </cfRule>
  </conditionalFormatting>
  <conditionalFormatting sqref="K13:K20">
    <cfRule type="expression" dxfId="2220" priority="10">
      <formula>ABS(K$16-K$19)&gt;=1000</formula>
    </cfRule>
  </conditionalFormatting>
  <conditionalFormatting sqref="E5">
    <cfRule type="expression" dxfId="2219" priority="9">
      <formula>ABS(E$7-E$10)&gt;=1000</formula>
    </cfRule>
  </conditionalFormatting>
  <conditionalFormatting sqref="AB14:AC14">
    <cfRule type="expression" dxfId="2218" priority="8">
      <formula>ABS(AB$16-AB$19)&gt;=1000</formula>
    </cfRule>
  </conditionalFormatting>
  <conditionalFormatting sqref="M5">
    <cfRule type="expression" dxfId="2217" priority="7">
      <formula>ABS(M$7-M$10)&gt;=1000</formula>
    </cfRule>
  </conditionalFormatting>
  <conditionalFormatting sqref="N5">
    <cfRule type="expression" dxfId="2216" priority="6">
      <formula>ABS(N$7-N$10)&gt;=1000</formula>
    </cfRule>
  </conditionalFormatting>
  <conditionalFormatting sqref="O5">
    <cfRule type="expression" dxfId="2215" priority="5">
      <formula>ABS(O$7-O$10)&gt;=1000</formula>
    </cfRule>
  </conditionalFormatting>
  <conditionalFormatting sqref="P5">
    <cfRule type="expression" dxfId="2214" priority="4">
      <formula>ABS(P$7-P$10)&gt;=1000</formula>
    </cfRule>
  </conditionalFormatting>
  <conditionalFormatting sqref="L23">
    <cfRule type="expression" dxfId="2213" priority="3">
      <formula>ABS(L$25-L$28)&gt;=1000</formula>
    </cfRule>
  </conditionalFormatting>
  <conditionalFormatting sqref="F14">
    <cfRule type="expression" dxfId="2212" priority="2">
      <formula>ABS(F$16-F$19)&gt;=1000</formula>
    </cfRule>
  </conditionalFormatting>
  <conditionalFormatting sqref="AE5">
    <cfRule type="expression" dxfId="2211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31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80">
    <pageSetUpPr fitToPage="1"/>
  </sheetPr>
  <dimension ref="A1:CU223"/>
  <sheetViews>
    <sheetView view="pageBreakPreview" topLeftCell="A7" zoomScale="70" zoomScaleNormal="100" zoomScaleSheetLayoutView="70" workbookViewId="0">
      <selection activeCell="L27" sqref="L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45999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52" t="s" ph="1">
        <v>177</v>
      </c>
      <c r="D6" s="71">
        <v>5112</v>
      </c>
      <c r="E6" s="71">
        <v>0</v>
      </c>
      <c r="F6" s="71">
        <v>5499</v>
      </c>
      <c r="G6" s="71">
        <v>5706</v>
      </c>
      <c r="H6" s="71">
        <v>18</v>
      </c>
      <c r="I6" s="71">
        <v>27.11</v>
      </c>
      <c r="J6" s="71">
        <v>7.02</v>
      </c>
      <c r="K6" s="71">
        <v>6.92</v>
      </c>
      <c r="L6" s="71">
        <v>34.11</v>
      </c>
      <c r="M6" s="71">
        <v>3040</v>
      </c>
      <c r="N6" s="71">
        <v>185</v>
      </c>
      <c r="O6" s="71">
        <v>2865</v>
      </c>
      <c r="P6" s="71">
        <v>2681</v>
      </c>
      <c r="Q6" s="71">
        <v>6743</v>
      </c>
      <c r="R6" s="71">
        <v>7035</v>
      </c>
      <c r="S6" s="71">
        <v>4409</v>
      </c>
      <c r="T6" s="71">
        <v>4400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3655</v>
      </c>
      <c r="AA6" s="71">
        <v>1908</v>
      </c>
      <c r="AB6" s="71">
        <v>1534</v>
      </c>
      <c r="AC6" s="71">
        <v>9066</v>
      </c>
      <c r="AD6" s="71">
        <v>4780</v>
      </c>
      <c r="AE6" s="71">
        <v>5117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161214.38116847997</v>
      </c>
      <c r="E7" s="73" ph="1">
        <f>E6*51.53*LOOKUP(E8,密度!$A$2:$A$50,密度!$B$2:$B$50)</f>
        <v>0</v>
      </c>
      <c r="F7" s="73" ph="1">
        <f>F6*33.183*LOOKUP(F8,密度!$A$2:$A$50,密度!$C$2:$C$50)</f>
        <v>203257.0278063</v>
      </c>
      <c r="G7" s="73" ph="1">
        <f xml:space="preserve"> (G6+2)*51.53*LOOKUP(G8,密度!$A$2:$A$50,密度!$B$2:$B$50)</f>
        <v>231100.48666799997</v>
      </c>
      <c r="H7" s="73" ph="1">
        <f>(H6)*51.53*LOOKUP(H8,密度!$A$2:$A$50,密度!$B$2:$B$50)</f>
        <v>729.41745600000002</v>
      </c>
      <c r="I7" s="73" ph="1">
        <f>I6*290.8*1.0267</f>
        <v>8094.0797995999992</v>
      </c>
      <c r="J7" s="73" ph="1">
        <f>J6*290.8*0.7892</f>
        <v>1611.0855071999999</v>
      </c>
      <c r="K7" s="73" ph="1">
        <f>K6*290.8*1.1126</f>
        <v>2238.9250336</v>
      </c>
      <c r="L7" s="73" ph="1">
        <f>L6*290.8*0.777</f>
        <v>7707.2090760000001</v>
      </c>
      <c r="M7" s="73" ph="1">
        <f>M6*33.183*LOOKUP(M8,密度!$A$2:$A$50,密度!$D$2:$D$50)</f>
        <v>104043.836448</v>
      </c>
      <c r="N7" s="73" ph="1">
        <f>N6*33.183*LOOKUP(N8,密度!$A$2:$A$50,密度!$E$2:$E$50)</f>
        <v>4844.7843659999999</v>
      </c>
      <c r="O7" s="73" ph="1">
        <f>O6*20.428*LOOKUP(O8,密度!$A$2:$A$50,密度!$C$2:$C$50)</f>
        <v>64987.514688000003</v>
      </c>
      <c r="P7" s="73" ph="1">
        <f>P6*51.53*LOOKUP(P8,密度!$A$2:$A$50,密度!$B$2:$B$50)</f>
        <v>108200.59157599999</v>
      </c>
      <c r="Q7" s="73" ph="1">
        <f>Q6*1.5*1.5*3.1416*LOOKUP(W8,密度!$A$2:$A$50,密度!$L$2:$L$50)</f>
        <v>44899.082751599992</v>
      </c>
      <c r="R7" s="73" ph="1">
        <f>R6*1.5*1.5*3.1416*LOOKUP(R8,密度!$A$2:$A$50,密度!$L$2:$L$50)</f>
        <v>46743.944940000001</v>
      </c>
      <c r="S7" s="73" ph="1">
        <f>S6*1.5*1.5*3.1416*LOOKUP(S8,密度!$A$2:$A$50,密度!$L$2:$L$50)</f>
        <v>29420.191785599996</v>
      </c>
      <c r="T7" s="73" ph="1">
        <f>T6*1.5*1.5*3.1416*LOOKUP(T8,密度!$A$2:$A$50,密度!$L$2:$L$50)</f>
        <v>29391.238799999999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114734.53629</v>
      </c>
      <c r="AA7" s="73" ph="1">
        <f>AA6*33.183*LOOKUP(AA8,密度!$A$2:$A$50,密度!$D$2:$D$50)</f>
        <v>65301.197349600006</v>
      </c>
      <c r="AB7" s="73" ph="1">
        <f>AB6*20.428*LOOKUP(AB8,密度!$A$2:$A$50,密度!$D$2:$D$50)</f>
        <v>32480.336147999999</v>
      </c>
      <c r="AC7" s="73" ph="1">
        <f>AC6*51.53*LOOKUP(AC8,密度!$A$2:$A$50,密度!$Q$2:$Q$50)</f>
        <v>444751.4446698</v>
      </c>
      <c r="AD7" s="73" ph="1">
        <f>AD6*20.428*LOOKUP(AD8,密度!$A$2:$A$50,密度!$V$2:$V$50)</f>
        <v>93818.123072000002</v>
      </c>
      <c r="AE7" s="73" ph="1">
        <f>AE6*20.428</f>
        <v>104530.076</v>
      </c>
    </row>
    <row r="8" spans="1:99" ph="1">
      <c r="B8" s="247" ph="1"/>
      <c r="C8" s="68" t="s" ph="1">
        <v>179</v>
      </c>
      <c r="D8" s="74">
        <v>20</v>
      </c>
      <c r="E8" s="74">
        <v>19</v>
      </c>
      <c r="F8" s="74">
        <v>18</v>
      </c>
      <c r="G8" s="74">
        <v>18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20</v>
      </c>
      <c r="O8" s="74">
        <v>23</v>
      </c>
      <c r="P8" s="74">
        <v>21</v>
      </c>
      <c r="Q8" s="74">
        <v>21</v>
      </c>
      <c r="R8" s="74">
        <v>22</v>
      </c>
      <c r="S8" s="74">
        <v>18</v>
      </c>
      <c r="T8" s="74">
        <v>17</v>
      </c>
      <c r="U8" s="74">
        <v>21</v>
      </c>
      <c r="V8" s="74">
        <v>25</v>
      </c>
      <c r="W8" s="74">
        <v>20</v>
      </c>
      <c r="X8" s="74">
        <v>20</v>
      </c>
      <c r="Y8" s="74">
        <v>20</v>
      </c>
      <c r="Z8" s="74">
        <v>16</v>
      </c>
      <c r="AA8" s="74">
        <v>20</v>
      </c>
      <c r="AB8" s="74">
        <v>14</v>
      </c>
      <c r="AC8" s="74">
        <v>18</v>
      </c>
      <c r="AD8" s="74">
        <v>23</v>
      </c>
      <c r="AE8" s="74">
        <v>24</v>
      </c>
    </row>
    <row r="9" spans="1:99" ht="26.4" ph="1">
      <c r="B9" s="247" ph="1">
        <v>0.66666666666666663</v>
      </c>
      <c r="C9" s="152" t="s" ph="1">
        <v>180</v>
      </c>
      <c r="D9" s="71">
        <v>5114</v>
      </c>
      <c r="E9" s="71">
        <v>0</v>
      </c>
      <c r="F9" s="71">
        <v>5500</v>
      </c>
      <c r="G9" s="71">
        <v>5449</v>
      </c>
      <c r="H9" s="71">
        <v>463</v>
      </c>
      <c r="I9" s="71">
        <v>27.11</v>
      </c>
      <c r="J9" s="71">
        <v>7.12</v>
      </c>
      <c r="K9" s="71">
        <v>6.82</v>
      </c>
      <c r="L9" s="71">
        <v>58.31</v>
      </c>
      <c r="M9" s="71">
        <v>3040</v>
      </c>
      <c r="N9" s="71">
        <v>185</v>
      </c>
      <c r="O9" s="71">
        <v>2864</v>
      </c>
      <c r="P9" s="71">
        <v>2487</v>
      </c>
      <c r="Q9" s="71">
        <v>1990</v>
      </c>
      <c r="R9" s="71">
        <v>7041</v>
      </c>
      <c r="S9" s="71">
        <v>4412</v>
      </c>
      <c r="T9" s="71">
        <v>6831</v>
      </c>
      <c r="U9" s="71">
        <v>4190</v>
      </c>
      <c r="V9" s="71">
        <v>0</v>
      </c>
      <c r="W9" s="71">
        <v>0</v>
      </c>
      <c r="X9" s="71">
        <v>0</v>
      </c>
      <c r="Y9" s="71">
        <v>0</v>
      </c>
      <c r="Z9" s="71">
        <v>4401</v>
      </c>
      <c r="AA9" s="71">
        <v>1907</v>
      </c>
      <c r="AB9" s="71">
        <v>1436</v>
      </c>
      <c r="AC9" s="71">
        <v>9151</v>
      </c>
      <c r="AD9" s="71">
        <v>4780</v>
      </c>
      <c r="AE9" s="71">
        <v>4942</v>
      </c>
    </row>
    <row r="10" spans="1:99" s="72" customFormat="1" ht="22.2" ph="1">
      <c r="B10" s="247" ph="1"/>
      <c r="C10" s="152" t="s" ph="1">
        <v>178</v>
      </c>
      <c r="D10" s="73" ph="1">
        <f>D9*33.183*LOOKUP(D11,密度!$A$2:$A$50,密度!$Q$2:$Q$50)</f>
        <v>161160.36256278001</v>
      </c>
      <c r="E10" s="73" ph="1">
        <f>E9*51.53*LOOKUP(E11,密度!$A$2:$A$50,密度!$B$2:$B$50)</f>
        <v>0</v>
      </c>
      <c r="F10" s="73" ph="1">
        <f>F9*33.183*LOOKUP(F11,密度!$A$2:$A$50,密度!$C$2:$C$50)</f>
        <v>203056.73190000001</v>
      </c>
      <c r="G10" s="73" ph="1">
        <f xml:space="preserve"> (G9+2)*51.53*LOOKUP(G11,密度!$A$2:$A$50,密度!$B$2:$B$50)</f>
        <v>220245.87252300003</v>
      </c>
      <c r="H10" s="73" ph="1">
        <f>(H9)*51.53*LOOKUP(H11,密度!$A$2:$A$50,密度!$B$2:$B$50)</f>
        <v>18726.450311000001</v>
      </c>
      <c r="I10" s="73" ph="1">
        <f>I9*290.8*1.0267</f>
        <v>8094.0797995999992</v>
      </c>
      <c r="J10" s="73" ph="1">
        <f>J9*290.8*0.7892</f>
        <v>1634.0354432000001</v>
      </c>
      <c r="K10" s="73" ph="1">
        <f>K9*290.8*1.1126</f>
        <v>2206.5706256000003</v>
      </c>
      <c r="L10" s="73" ph="1">
        <f>L9*290.8*0.777</f>
        <v>13175.237796000003</v>
      </c>
      <c r="M10" s="73" ph="1">
        <f>M9*33.183*LOOKUP(M11,密度!$A$2:$A$50,密度!$D$2:$D$50)</f>
        <v>103852.17144000001</v>
      </c>
      <c r="N10" s="73" ph="1">
        <f>N9*33.183*LOOKUP(N11,密度!$A$2:$A$50,密度!$E$2:$E$50)</f>
        <v>4815.3178619999999</v>
      </c>
      <c r="O10" s="73" ph="1">
        <f>O9*20.428*LOOKUP(O11,密度!$A$2:$A$50,密度!$C$2:$C$50)</f>
        <v>64918.026803199995</v>
      </c>
      <c r="P10" s="73" ph="1">
        <f>P9*51.53*LOOKUP(P11,密度!$A$2:$A$50,密度!$B$2:$B$50)</f>
        <v>100140.402954</v>
      </c>
      <c r="Q10" s="73" ph="1">
        <f>Q9*1.5*1.5*3.1416*LOOKUP(W11,密度!$A$2:$A$50,密度!$L$2:$L$50)</f>
        <v>13222.523159999999</v>
      </c>
      <c r="R10" s="73" ph="1">
        <f>R9*1.5*1.5*3.1416*LOOKUP(R11,密度!$A$2:$A$50,密度!$L$2:$L$50)</f>
        <v>46883.3518692</v>
      </c>
      <c r="S10" s="73" ph="1">
        <f>S9*1.5*1.5*3.1416*LOOKUP(S11,密度!$A$2:$A$50,密度!$L$2:$L$50)</f>
        <v>29440.210060799996</v>
      </c>
      <c r="T10" s="73" ph="1">
        <f>T9*1.5*1.5*3.1416*LOOKUP(T11,密度!$A$2:$A$50,密度!$L$2:$L$50)</f>
        <v>45581.612630399999</v>
      </c>
      <c r="U10" s="73" ph="1">
        <f>U9*1.5*1.5*3.1416*LOOKUP(U11,密度!$A$2:$A$50,密度!$L$2:$L$50)</f>
        <v>27899.622828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137860.23355199999</v>
      </c>
      <c r="AA10" s="73" ph="1">
        <f>AA9*33.183*LOOKUP(AA11,密度!$A$2:$A$50,密度!$D$2:$D$50)</f>
        <v>65146.740439500005</v>
      </c>
      <c r="AB10" s="73" ph="1">
        <f>AB9*20.428*LOOKUP(AB11,密度!$A$2:$A$50,密度!$D$2:$D$50)</f>
        <v>30378.920044800001</v>
      </c>
      <c r="AC10" s="73" ph="1">
        <f>AC9*51.53*LOOKUP(AC11,密度!$A$2:$A$50,密度!$Q$2:$Q$50)</f>
        <v>448553.48626690003</v>
      </c>
      <c r="AD10" s="73" ph="1">
        <f>AD9*20.428*LOOKUP(AD11,密度!$A$2:$A$50,密度!$V$2:$V$50)</f>
        <v>94130.589760000003</v>
      </c>
      <c r="AE10" s="73" ph="1">
        <f>AE9*20.428</f>
        <v>100955.17600000001</v>
      </c>
    </row>
    <row r="11" spans="1:99" ph="1">
      <c r="A11" s="64" t="s" ph="1">
        <v>162</v>
      </c>
      <c r="B11" s="247" ph="1"/>
      <c r="C11" s="152" t="s" ph="1">
        <v>179</v>
      </c>
      <c r="D11" s="74">
        <v>21</v>
      </c>
      <c r="E11" s="74">
        <v>20</v>
      </c>
      <c r="F11" s="74">
        <v>20</v>
      </c>
      <c r="G11" s="74">
        <v>20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24</v>
      </c>
      <c r="O11" s="74">
        <v>24</v>
      </c>
      <c r="P11" s="74">
        <v>23</v>
      </c>
      <c r="Q11" s="74">
        <v>24</v>
      </c>
      <c r="R11" s="74">
        <v>20</v>
      </c>
      <c r="S11" s="74">
        <v>18</v>
      </c>
      <c r="T11" s="74">
        <v>18</v>
      </c>
      <c r="U11" s="74">
        <v>20</v>
      </c>
      <c r="V11" s="74">
        <v>25</v>
      </c>
      <c r="W11" s="74">
        <v>22</v>
      </c>
      <c r="X11" s="74">
        <v>22</v>
      </c>
      <c r="Y11" s="74">
        <v>22</v>
      </c>
      <c r="Z11" s="74">
        <v>18</v>
      </c>
      <c r="AA11" s="74">
        <v>22</v>
      </c>
      <c r="AB11" s="74">
        <v>15</v>
      </c>
      <c r="AC11" s="74">
        <v>19</v>
      </c>
      <c r="AD11" s="74">
        <v>20</v>
      </c>
      <c r="AE11" s="74">
        <v>26</v>
      </c>
    </row>
    <row r="12" spans="1:99" ht="9.9" customHeight="1" ph="1"/>
    <row r="13" spans="1:99" s="72" customFormat="1" ht="29.25" customHeight="1" ph="1">
      <c r="B13" s="224" t="s" ph="1">
        <v>37</v>
      </c>
      <c r="C13" s="15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52" t="s" ph="1">
        <v>177</v>
      </c>
      <c r="D15" s="78">
        <v>5983</v>
      </c>
      <c r="E15" s="78">
        <v>4563</v>
      </c>
      <c r="F15" s="78">
        <v>3616</v>
      </c>
      <c r="G15" s="78">
        <v>1647</v>
      </c>
      <c r="H15" s="78">
        <v>4143</v>
      </c>
      <c r="I15" s="78">
        <v>1609</v>
      </c>
      <c r="J15" s="78">
        <v>1469</v>
      </c>
      <c r="K15" s="78">
        <v>2387</v>
      </c>
      <c r="L15" s="78">
        <v>1759</v>
      </c>
      <c r="M15" s="78">
        <v>5562</v>
      </c>
      <c r="N15" s="78">
        <v>1842</v>
      </c>
      <c r="O15" s="78">
        <v>846</v>
      </c>
      <c r="P15" s="78">
        <v>6989</v>
      </c>
      <c r="Q15" s="78">
        <v>2597</v>
      </c>
      <c r="R15" s="78">
        <v>0</v>
      </c>
      <c r="S15" s="78">
        <v>6159</v>
      </c>
      <c r="T15" s="78">
        <v>486</v>
      </c>
      <c r="U15" s="78">
        <v>6654</v>
      </c>
      <c r="V15" s="78">
        <v>4903</v>
      </c>
      <c r="W15" s="71">
        <v>4285</v>
      </c>
      <c r="X15" s="78">
        <v>672</v>
      </c>
      <c r="Y15" s="106">
        <v>-9903</v>
      </c>
      <c r="Z15" s="78">
        <v>0</v>
      </c>
      <c r="AA15" s="78">
        <v>9</v>
      </c>
      <c r="AB15" s="78" ph="1">
        <v>1092</v>
      </c>
      <c r="AC15" s="78" ph="1">
        <v>25</v>
      </c>
      <c r="AD15" s="78">
        <v>5.72</v>
      </c>
      <c r="AE15" s="78">
        <v>47.11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52" t="s" ph="1">
        <v>178</v>
      </c>
      <c r="D16" s="73" ph="1">
        <f>D15*7.0686*LOOKUP(D17,密度!$A$2:$A$50,密度!$L$2:$L$50)</f>
        <v>39796.239205799997</v>
      </c>
      <c r="E16" s="73" ph="1">
        <f>E15*7.0686*LOOKUP(E17,密度!$A$2:$A$50,密度!$L$2:$L$50)</f>
        <v>30318.780491999998</v>
      </c>
      <c r="F16" s="73" ph="1">
        <f>F15*9.0746*LOOKUP(F17,密度!$A$2:$A$50,密度!$L$2:$L$50)</f>
        <v>30779.3008768</v>
      </c>
      <c r="G16" s="73" ph="1">
        <f>G15*9.0746*LOOKUP(G17,密度!$A$2:$A$50,密度!$B$2:$B$50)</f>
        <v>11705.602407840001</v>
      </c>
      <c r="H16" s="73" ph="1">
        <f>H15*9.0746*LOOKUP(H17,密度!$A$2:$A$50,密度!$L$2:$L$50)</f>
        <v>35528.284071000002</v>
      </c>
      <c r="I16" s="73" ph="1">
        <f>I15*9.0746*LOOKUP(I17,密度!$A$2:$A$50,密度!$U$2:$U$50)</f>
        <v>15009.8602792</v>
      </c>
      <c r="J16" s="73" ph="1">
        <f>J15*9.0746*LOOKUP(J17,密度!$A$2:$A$50,密度!$L$2:$L$50)</f>
        <v>12557.4133308</v>
      </c>
      <c r="K16" s="73" ph="1">
        <f>K15*9.0746*LOOKUP(K17,密度!$A$2:$A$50,密度!$C$2:$C$50)</f>
        <v>24100.106704520003</v>
      </c>
      <c r="L16" s="73" ph="1">
        <f>L15*9.0746*LOOKUP(L17,密度!$A$2:$A$50,密度!$E$2:$E$50)</f>
        <v>12597.38512888</v>
      </c>
      <c r="M16" s="73" ph="1">
        <f>M15*9.0746*LOOKUP(M17,密度!$A$2:$A$50,密度!$M$2:$M$50)</f>
        <v>44315.228325600001</v>
      </c>
      <c r="N16" s="73" ph="1">
        <f>N15*9.0746*LOOKUP(N17,密度!$A$2:$A$50,密度!$M$2:$M$50)</f>
        <v>14714.578239959999</v>
      </c>
      <c r="O16" s="73" ph="1">
        <f>O15*9.0746*LOOKUP(O17,密度!$A$2:$A$50,密度!$G$2:$G$50)</f>
        <v>7407.64498284</v>
      </c>
      <c r="P16" s="73" ph="1">
        <f ca="1">P15*9.0746*LOOKUP(P17,密度!$A$2:$A$51,密度!$Q$2:$Q$50)</f>
        <v>60231.599492385998</v>
      </c>
      <c r="Q16" s="73" ph="1">
        <f>Q15*9.0746*LOOKUP(Q17,密度!$A$2:$A$50,密度!$Q$2:$Q$50)</f>
        <v>22397.354749755999</v>
      </c>
      <c r="R16" s="73" ph="1">
        <f>MAX(R15*9.0746*LOOKUP(R17,密度!$A$2:$A$50,密度!$B$2:$B$50),0)</f>
        <v>0</v>
      </c>
      <c r="S16" s="73" ph="1">
        <f>S15*9.0746*LOOKUP(S17,密度!$A$2:$A$50,密度!$Q$2:$Q$50)</f>
        <v>53117.176705332</v>
      </c>
      <c r="T16" s="73" ph="1">
        <f>T15*9.0746*LOOKUP(T17,密度!$A$2:$A$50,密度!$O$2:$O$50)</f>
        <v>4119.1787304000009</v>
      </c>
      <c r="U16" s="73" ph="1">
        <f>U15*9.0746*LOOKUP(U17,密度!$A$2:$A$50,密度!$H$2:$H$50)</f>
        <v>55654.447388280001</v>
      </c>
      <c r="V16" s="73" ph="1">
        <f>MAX(5600*LOOKUP(V17,密度!$A$2:$A$50,密度!$Q$2:$Q$50)+V15*9.0476*LOOKUP(V17,密度!$A$2:$A$50,密度!$Q$2:$Q$50),0)</f>
        <v>47481.348605463994</v>
      </c>
      <c r="W16" s="73" ph="1">
        <f>MAX(5600*LOOKUP(W17,密度!$A$2:$A$50,密度!$Q$2:$Q$50)+W15*9.0476*LOOKUP(W17,密度!$A$2:$A$50,密度!$Q$2:$Q$50),0)</f>
        <v>42110.141940939997</v>
      </c>
      <c r="X16" s="73" ph="1">
        <f>MAX(5600*LOOKUP(X17,密度!$A$2:$A$50,密度!$I$2:$I$50)+X15*9.0476*LOOKUP(X17,密度!$A$2:$A$50,密度!$I$2:$I$50),0)</f>
        <v>12174.05065856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64.169218979999997</v>
      </c>
      <c r="AB16" s="73" ph="1">
        <f>AB15*9.0746*LOOKUP(AB17,密度!$A$2:$A$50,密度!$L$2:$L$50)</f>
        <v>9334.7143343999996</v>
      </c>
      <c r="AC16" s="73" ph="1">
        <f>AC15*9.0746*LOOKUP(AC17,密度!$A$2:$A$50,密度!$L$2:$L$50)</f>
        <v>214.16056</v>
      </c>
      <c r="AD16" s="73" ph="1">
        <f>AD15*268.68*LOOKUP(AD17,密度!$A$2:$A$50,密度!B2:B50)+IF(AD15&lt;=0,0,1566*LOOKUP(AD17,密度!$A$2:$A$50,密度!B2:B50))</f>
        <v>2418.9815481599999</v>
      </c>
      <c r="AE16" s="73" ph="1">
        <f>AE15*268.68*LOOKUP(AE17,密度!$A$2:$A$50,密度!B2:B50)+IF(AE15&lt;=0,0,1566*LOOKUP(AE17,密度!$A$2:$A$50,密度!B2:B50))</f>
        <v>11088.65213808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21</v>
      </c>
      <c r="E17" s="74">
        <v>22</v>
      </c>
      <c r="F17" s="74">
        <v>24</v>
      </c>
      <c r="G17" s="74">
        <v>21</v>
      </c>
      <c r="H17" s="74">
        <v>17</v>
      </c>
      <c r="I17" s="74">
        <v>19</v>
      </c>
      <c r="J17" s="74">
        <v>20</v>
      </c>
      <c r="K17" s="74">
        <v>20</v>
      </c>
      <c r="L17" s="74">
        <v>20</v>
      </c>
      <c r="M17" s="74">
        <v>22</v>
      </c>
      <c r="N17" s="74">
        <v>20</v>
      </c>
      <c r="O17" s="74">
        <v>21</v>
      </c>
      <c r="P17" s="74">
        <v>21</v>
      </c>
      <c r="Q17" s="74">
        <v>20</v>
      </c>
      <c r="R17" s="74">
        <v>20</v>
      </c>
      <c r="S17" s="74">
        <v>20</v>
      </c>
      <c r="T17" s="74">
        <v>19</v>
      </c>
      <c r="U17" s="74">
        <v>18</v>
      </c>
      <c r="V17" s="74">
        <v>20</v>
      </c>
      <c r="W17" s="74">
        <v>22</v>
      </c>
      <c r="X17" s="74">
        <v>25</v>
      </c>
      <c r="Y17" s="108">
        <v>25</v>
      </c>
      <c r="Z17" s="74">
        <v>20</v>
      </c>
      <c r="AA17" s="74">
        <v>18</v>
      </c>
      <c r="AB17" s="74">
        <v>20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5996</v>
      </c>
      <c r="E18" s="71">
        <v>4570</v>
      </c>
      <c r="F18" s="71">
        <v>3668</v>
      </c>
      <c r="G18" s="71">
        <v>1772</v>
      </c>
      <c r="H18" s="71">
        <v>4145</v>
      </c>
      <c r="I18" s="71">
        <v>1610</v>
      </c>
      <c r="J18" s="71">
        <v>823</v>
      </c>
      <c r="K18" s="71">
        <v>2387</v>
      </c>
      <c r="L18" s="71">
        <v>1761</v>
      </c>
      <c r="M18" s="71">
        <v>2615</v>
      </c>
      <c r="N18" s="71">
        <v>5392</v>
      </c>
      <c r="O18" s="71">
        <v>846</v>
      </c>
      <c r="P18" s="71">
        <v>5229</v>
      </c>
      <c r="Q18" s="71">
        <v>2599</v>
      </c>
      <c r="R18" s="71">
        <v>0</v>
      </c>
      <c r="S18" s="71">
        <v>6166</v>
      </c>
      <c r="T18" s="71">
        <v>6358</v>
      </c>
      <c r="U18" s="71">
        <v>2497</v>
      </c>
      <c r="V18" s="71">
        <v>4904</v>
      </c>
      <c r="W18" s="71">
        <v>4286</v>
      </c>
      <c r="X18" s="71">
        <v>670</v>
      </c>
      <c r="Y18" s="109">
        <v>-9906</v>
      </c>
      <c r="Z18" s="71">
        <v>0</v>
      </c>
      <c r="AA18" s="71">
        <v>10</v>
      </c>
      <c r="AB18" s="71">
        <v>1091</v>
      </c>
      <c r="AC18" s="71">
        <v>20</v>
      </c>
      <c r="AD18" s="71">
        <v>19.32</v>
      </c>
      <c r="AE18" s="71">
        <v>84.51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52" t="s" ph="1">
        <v>178</v>
      </c>
      <c r="D19" s="73" ph="1">
        <f>D18*7.0686*LOOKUP(D20,密度!$A$2:$A$50,密度!$L$2:$L$50)</f>
        <v>39797.942738399994</v>
      </c>
      <c r="E19" s="73" ph="1">
        <f>E18*7.0686*LOOKUP(E20,密度!$A$2:$A$50,密度!$L$2:$L$50)</f>
        <v>30332.988377999998</v>
      </c>
      <c r="F19" s="73" ph="1">
        <f>F18*9.0746*LOOKUP(F20,密度!$A$2:$A$50,密度!$L$2:$L$50)</f>
        <v>31188.637933600003</v>
      </c>
      <c r="G19" s="73" ph="1">
        <f>G18*9.0746*LOOKUP(G20,密度!$A$2:$A$50,密度!$B$2:$B$50)</f>
        <v>12594.005747840001</v>
      </c>
      <c r="H19" s="73" ph="1">
        <f>H18*9.0746*LOOKUP(H20,密度!$A$2:$A$50,密度!$L$2:$L$50)</f>
        <v>35507.820848000003</v>
      </c>
      <c r="I19" s="73" ph="1">
        <f>I18*9.0746*LOOKUP(I20,密度!$A$2:$A$50,密度!$U$2:$U$50)</f>
        <v>15019.188968</v>
      </c>
      <c r="J19" s="73" ph="1">
        <f>J18*9.0746*LOOKUP(J20,密度!$A$2:$A$50,密度!$L$2:$L$50)</f>
        <v>7012.8236562000002</v>
      </c>
      <c r="K19" s="73" ph="1">
        <f>K18*9.0746*LOOKUP(K20,密度!$A$2:$A$50,密度!$C$2:$C$50)</f>
        <v>24067.615099220002</v>
      </c>
      <c r="L19" s="73" ph="1">
        <f>L18*9.0746*LOOKUP(L20,密度!$A$2:$A$50,密度!$E$2:$E$50)</f>
        <v>12592.5320328</v>
      </c>
      <c r="M19" s="73" ph="1">
        <f>M18*9.0746*LOOKUP(M20,密度!$A$2:$A$50,密度!$M$2:$M$50)</f>
        <v>20766.1921329</v>
      </c>
      <c r="N19" s="73" ph="1">
        <f>N18*9.0746*LOOKUP(N20,密度!$A$2:$A$50,密度!$M$2:$M$50)</f>
        <v>42960.753529600006</v>
      </c>
      <c r="O19" s="73" ph="1">
        <f>O18*9.0746*LOOKUP(O20,密度!$A$2:$A$50,密度!$G$2:$G$50)</f>
        <v>7386.9167815200008</v>
      </c>
      <c r="P19" s="73" ph="1">
        <f ca="1">P18*9.0746*LOOKUP(P20,密度!$A$2:$A$51,密度!$Q$2:$Q$50)</f>
        <v>44958.477988998005</v>
      </c>
      <c r="Q19" s="73" ph="1">
        <f>Q18*9.0746*LOOKUP(Q20,密度!$A$2:$A$50,密度!$Q$2:$Q$50)</f>
        <v>22384.178884286001</v>
      </c>
      <c r="R19" s="73" ph="1">
        <f>MAX(R18*9.0746*LOOKUP(R20,密度!$A$2:$A$50,密度!$B$2:$B$50),0)</f>
        <v>0</v>
      </c>
      <c r="S19" s="73" ph="1">
        <f>S18*9.0746*LOOKUP(S20,密度!$A$2:$A$50,密度!$Q$2:$Q$50)</f>
        <v>53105.366294924002</v>
      </c>
      <c r="T19" s="73" ph="1">
        <f>T18*9.0746*LOOKUP(T20,密度!$A$2:$A$50,密度!$O$2:$O$50)</f>
        <v>53657.565324000003</v>
      </c>
      <c r="U19" s="73" ph="1">
        <f>U18*9.0746*LOOKUP(U20,密度!$A$2:$A$50,密度!$H$2:$H$50)</f>
        <v>20862.395597340001</v>
      </c>
      <c r="V19" s="73" ph="1">
        <f>MAX(5600*LOOKUP(V20,密度!$A$2:$A$50,密度!$Q$2:$Q$50)+V18*9.0476*LOOKUP(V20,密度!$A$2:$A$50,密度!$Q$2:$Q$50),0)</f>
        <v>47425.486698335997</v>
      </c>
      <c r="W19" s="73" ph="1">
        <f>MAX(5600*LOOKUP(W20,密度!$A$2:$A$50,密度!$Q$2:$Q$50)+W18*9.0476*LOOKUP(W20,密度!$A$2:$A$50,密度!$Q$2:$Q$50),0)</f>
        <v>42079.232495520002</v>
      </c>
      <c r="X19" s="73" ph="1">
        <f>MAX(5600*LOOKUP(X20,密度!$A$2:$A$50,密度!$I$2:$I$50)+X18*9.0476*LOOKUP(X20,密度!$A$2:$A$50,密度!$I$2:$I$50),0)</f>
        <v>12077.055355200002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70.990595800000008</v>
      </c>
      <c r="AB19" s="73" ph="1">
        <f>AB18*9.0746*LOOKUP(AB20,密度!$A$2:$A$50,密度!$L$2:$L$50)</f>
        <v>9276.6641182000003</v>
      </c>
      <c r="AC19" s="73" ph="1">
        <f>AC18*9.0746*LOOKUP(AC20,密度!$A$2:$A$50,密度!$L$2:$L$50)</f>
        <v>170.78397200000001</v>
      </c>
      <c r="AD19" s="73" ph="1">
        <f>AD18*268.68*LOOKUP(AD20,密度!$A$2:$A$50,密度!B5:B53)+IF(AD18&lt;=0,0,1566*LOOKUP(AD20,密度!$A$2:$A$50,密度!B5:B53))</f>
        <v>5250.1094352</v>
      </c>
      <c r="AE19" s="73" ph="1">
        <f>AE18*268.68*LOOKUP(AE20,密度!$A$2:$A$50,密度!B5:B53)+IF(AE18&lt;=0,0,1566*LOOKUP(AE20,密度!$A$2:$A$50,密度!B5:B53))</f>
        <v>18859.458063600003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23</v>
      </c>
      <c r="E20" s="81">
        <v>23</v>
      </c>
      <c r="F20" s="81">
        <v>25</v>
      </c>
      <c r="G20" s="81">
        <v>21</v>
      </c>
      <c r="H20" s="81">
        <v>18</v>
      </c>
      <c r="I20" s="81">
        <v>22</v>
      </c>
      <c r="J20" s="81">
        <v>23</v>
      </c>
      <c r="K20" s="81">
        <v>22</v>
      </c>
      <c r="L20" s="81">
        <v>21</v>
      </c>
      <c r="M20" s="81">
        <v>25</v>
      </c>
      <c r="N20" s="81">
        <v>22</v>
      </c>
      <c r="O20" s="81">
        <v>23</v>
      </c>
      <c r="P20" s="81">
        <v>24</v>
      </c>
      <c r="Q20" s="81">
        <v>22</v>
      </c>
      <c r="R20" s="81">
        <v>29</v>
      </c>
      <c r="S20" s="81">
        <v>22</v>
      </c>
      <c r="T20" s="81">
        <v>24</v>
      </c>
      <c r="U20" s="81">
        <v>19</v>
      </c>
      <c r="V20" s="81">
        <v>22</v>
      </c>
      <c r="W20" s="81">
        <v>23</v>
      </c>
      <c r="X20" s="81">
        <v>31</v>
      </c>
      <c r="Y20" s="110">
        <v>31</v>
      </c>
      <c r="Z20" s="81">
        <v>26</v>
      </c>
      <c r="AA20" s="81">
        <v>22</v>
      </c>
      <c r="AB20" s="81">
        <v>25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644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52" t="s" ph="1">
        <v>177</v>
      </c>
      <c r="D24" s="71">
        <v>51.22</v>
      </c>
      <c r="E24" s="71">
        <v>5.71</v>
      </c>
      <c r="F24" s="71">
        <v>1883</v>
      </c>
      <c r="G24" s="71">
        <v>3644</v>
      </c>
      <c r="H24" s="71">
        <v>3189</v>
      </c>
      <c r="I24" s="71">
        <v>1527</v>
      </c>
      <c r="J24" s="71">
        <v>719</v>
      </c>
      <c r="K24" s="71">
        <v>3794</v>
      </c>
      <c r="L24" s="71">
        <v>5557</v>
      </c>
      <c r="M24" s="71">
        <v>4883</v>
      </c>
      <c r="N24" s="71">
        <v>3887</v>
      </c>
      <c r="O24" s="71">
        <v>5732</v>
      </c>
      <c r="P24" s="71">
        <v>652</v>
      </c>
      <c r="Q24" s="90">
        <v>2673</v>
      </c>
      <c r="R24" s="71">
        <v>2800</v>
      </c>
      <c r="S24" s="71">
        <v>353</v>
      </c>
      <c r="T24" s="71">
        <v>160</v>
      </c>
      <c r="U24" s="71">
        <v>4038</v>
      </c>
      <c r="V24" s="71">
        <v>8850</v>
      </c>
      <c r="W24" s="71">
        <v>4460</v>
      </c>
      <c r="X24" s="71">
        <v>4330</v>
      </c>
      <c r="Y24" s="71">
        <v>2887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14511.431525903999</v>
      </c>
      <c r="E25" s="91" ph="1">
        <f>E24*268.68*LOOKUP(E26,密度!$A$2:$A$50,密度!$C$2:$C$50)+IF(E24&lt;=0,0,1566*LOOKUP(E26,密度!$A$2:$A$50,密度!$C$2:$C$50))</f>
        <v>3437.7705289200003</v>
      </c>
      <c r="F25" s="91" ph="1">
        <f>F24*11.702*LOOKUP(F26,密度!$A$2:$A$50,密度!$Q$2:$Q$50)</f>
        <v>20926.291891540001</v>
      </c>
      <c r="G25" s="91" ph="1">
        <f>G24*18.322*LOOKUP(G26,密度!$A$2:$A$50,密度!$B$2:$B$50)</f>
        <v>52350.725048800006</v>
      </c>
      <c r="H25" s="91" ph="1">
        <f>H24*18.322*LOOKUP(H26,密度!$A$2:$A$50,密度!$B$2:$B$50)</f>
        <v>45761.481585599999</v>
      </c>
      <c r="I25" s="91" ph="1">
        <f>I24*18.322*LOOKUP(I26,密度!$A$2:$A$50,密度!$Q$2:$Q$50)</f>
        <v>26589.44082372</v>
      </c>
      <c r="J25" s="91" ph="1">
        <f>J24*18.322*LOOKUP(J26,密度!$A$2:$A$50,密度!$Q$2:$Q$50)</f>
        <v>12510.75830942</v>
      </c>
      <c r="K25" s="91" ph="1">
        <f>K24*18.322*LOOKUP(K26,密度!$A$2:$A$50,密度!$Q$2:$Q$50)</f>
        <v>66016.43536291999</v>
      </c>
      <c r="L25" s="91" ph="1">
        <f>L24*18.322*LOOKUP(L26,密度!$A$2:$A$50,密度!$Q$2:$Q$50)</f>
        <v>96763.276134519998</v>
      </c>
      <c r="M25" s="91" ph="1">
        <f>M24*18.322*LOOKUP(M26,密度!$A$2:$A$50,密度!$Q$2:$Q$50)</f>
        <v>84965.275138940007</v>
      </c>
      <c r="N25" s="91" ph="1">
        <f>N24*18.322*LOOKUP(N26,密度!$A$2:$A$50,密度!$Q$2:$Q$50)</f>
        <v>67591.925271259999</v>
      </c>
      <c r="O25" s="91" ph="1">
        <f>O24*18.322*LOOKUP(O26,密度!$A$2:$A$50,密度!$C$2:$C$50)</f>
        <v>116847.1478704</v>
      </c>
      <c r="P25" s="91" ph="1">
        <f>P24*11.702*LOOKUP(P26,密度!$A$2:$A$50,密度!$B$2:$B$50)</f>
        <v>5988.5546696000001</v>
      </c>
      <c r="Q25" s="92" ph="1">
        <f>Q24*18.322*LOOKUP(Q26,密度!$A$2:$A$50,密度!$B$2:$B$50)</f>
        <v>38401.066974599999</v>
      </c>
      <c r="R25" s="91" ph="1">
        <f>R24*35.891*LOOKUP(R26,密度!$A$2:$A$50,密度!$C$2:$C$50)</f>
        <v>111659.77227999999</v>
      </c>
      <c r="S25" s="91" ph="1">
        <f>S24*35.891*LOOKUP(S26,密度!$A$2:$A$50,密度!$B$2:$B$50)</f>
        <v>9922.7704135999993</v>
      </c>
      <c r="T25" s="91" ph="1">
        <f>T24*35.891*LOOKUP(T26,密度!$A$2:$A$50,密度!$Q$2:$Q$50)</f>
        <v>5457.6141727999993</v>
      </c>
      <c r="U25" s="91" ph="1">
        <f>U24*35.891</f>
        <v>144927.85799999998</v>
      </c>
      <c r="V25" s="91" ph="1">
        <f>V24*47.051*LOOKUP(V26,密度!$A$2:$A$50,密度!$B$2:$B$50)</f>
        <v>326500.29853500001</v>
      </c>
      <c r="W25" s="91" ph="1">
        <f>W24*47.051*LOOKUP(W26,密度!$A$2:$A$50,密度!$B$2:$B$50)</f>
        <v>163974.80524400002</v>
      </c>
      <c r="X25" s="91" ph="1">
        <f>X24*47.051*LOOKUP(X26,密度!$A$2:$A$61,密度!$I$2:$I$61)</f>
        <v>208701.86225200002</v>
      </c>
      <c r="Y25" s="91" ph="1">
        <f>Y24*47.051*LOOKUP(Y26,密度!$A$2:$A$50,密度!$L$2:$L$50)</f>
        <v>127686.06277999999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21</v>
      </c>
      <c r="G26" s="74">
        <v>20</v>
      </c>
      <c r="H26" s="74">
        <v>21</v>
      </c>
      <c r="I26" s="74">
        <v>20</v>
      </c>
      <c r="J26" s="74">
        <v>21</v>
      </c>
      <c r="K26" s="74">
        <v>21</v>
      </c>
      <c r="L26" s="74">
        <v>20</v>
      </c>
      <c r="M26" s="74">
        <v>21</v>
      </c>
      <c r="N26" s="74">
        <v>22</v>
      </c>
      <c r="O26" s="74">
        <v>20</v>
      </c>
      <c r="P26" s="74">
        <v>19</v>
      </c>
      <c r="Q26" s="93">
        <v>20</v>
      </c>
      <c r="R26" s="74">
        <v>22</v>
      </c>
      <c r="S26" s="74">
        <v>21</v>
      </c>
      <c r="T26" s="74">
        <v>20</v>
      </c>
      <c r="U26" s="74">
        <v>19</v>
      </c>
      <c r="V26" s="74">
        <v>20</v>
      </c>
      <c r="W26" s="74">
        <v>23</v>
      </c>
      <c r="X26" s="74">
        <v>41</v>
      </c>
      <c r="Y26" s="74">
        <v>22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52" t="s" ph="1">
        <v>180</v>
      </c>
      <c r="D27" s="71">
        <v>23.01</v>
      </c>
      <c r="E27" s="71">
        <v>5.62</v>
      </c>
      <c r="F27" s="71">
        <v>768</v>
      </c>
      <c r="G27" s="71">
        <v>3114</v>
      </c>
      <c r="H27" s="71">
        <v>2065</v>
      </c>
      <c r="I27" s="71">
        <v>1526</v>
      </c>
      <c r="J27" s="71">
        <v>717</v>
      </c>
      <c r="K27" s="71">
        <v>3794</v>
      </c>
      <c r="L27" s="71">
        <v>5556</v>
      </c>
      <c r="M27" s="71">
        <v>4885</v>
      </c>
      <c r="N27" s="71">
        <v>4371</v>
      </c>
      <c r="O27" s="71">
        <v>5732</v>
      </c>
      <c r="P27" s="71">
        <v>649</v>
      </c>
      <c r="Q27" s="90">
        <v>3136</v>
      </c>
      <c r="R27" s="71">
        <v>2278</v>
      </c>
      <c r="S27" s="71">
        <v>347</v>
      </c>
      <c r="T27" s="71">
        <v>159</v>
      </c>
      <c r="U27" s="71">
        <v>4162</v>
      </c>
      <c r="V27" s="71">
        <v>8852</v>
      </c>
      <c r="W27" s="71">
        <v>4129</v>
      </c>
      <c r="X27" s="71">
        <v>4205</v>
      </c>
      <c r="Y27" s="71">
        <v>1290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52" t="s" ph="1">
        <v>178</v>
      </c>
      <c r="D28" s="91" ph="1">
        <f>D27*268.68*LOOKUP(D29,密度!$A$2:$A$50,密度!$Q$2:$Q$50)+IF(D27&lt;=0,0,1566*LOOKUP(D29,密度!$A$2:$A$50,密度!$Q$2:$Q$50))</f>
        <v>7335.6509146320004</v>
      </c>
      <c r="E28" s="91" ph="1">
        <f>E27*268.68*LOOKUP(E29,密度!$A$2:$A$50,密度!$C$2:$C$50)+IF(E27&lt;=0,0,1566*LOOKUP(E29,密度!$A$2:$A$50,密度!$C$2:$C$50))</f>
        <v>3410.9559962399999</v>
      </c>
      <c r="F28" s="91" ph="1">
        <f>F27*11.702*LOOKUP(F29,密度!$A$2:$A$50,密度!$Q$2:$Q$50)</f>
        <v>8529.6009062400008</v>
      </c>
      <c r="G28" s="91" ph="1">
        <f>G27*18.322*LOOKUP(G29,密度!$A$2:$A$50,密度!$B$2:$B$50)</f>
        <v>44685.247305600002</v>
      </c>
      <c r="H28" s="91" ph="1">
        <f>H27*18.322*LOOKUP(H29,密度!$A$2:$A$50,密度!$B$2:$B$50)</f>
        <v>29598.265738999999</v>
      </c>
      <c r="I28" s="91" ph="1">
        <f>I27*18.322*LOOKUP(I29,密度!$A$2:$A$50,密度!$Q$2:$Q$50)</f>
        <v>26552.735994679999</v>
      </c>
      <c r="J28" s="91" ph="1">
        <f>J27*18.322*LOOKUP(J29,密度!$A$2:$A$50,密度!$Q$2:$Q$50)</f>
        <v>12468.07574466</v>
      </c>
      <c r="K28" s="91" ph="1">
        <f>K27*18.322*LOOKUP(K29,密度!$A$2:$A$50,密度!$Q$2:$Q$50)</f>
        <v>66016.43536291999</v>
      </c>
      <c r="L28" s="91" ph="1">
        <f>L27*18.322*LOOKUP(L29,密度!$A$2:$A$50,密度!$Q$2:$Q$50)</f>
        <v>96745.863272159986</v>
      </c>
      <c r="M28" s="91" ph="1">
        <f>M27*18.322*LOOKUP(M29,密度!$A$2:$A$50,密度!$Q$2:$Q$50)</f>
        <v>84946.373797299995</v>
      </c>
      <c r="N28" s="91" ph="1">
        <f>N27*18.322*LOOKUP(N29,密度!$A$2:$A$50,密度!$Q$2:$Q$50)</f>
        <v>75937.0350684</v>
      </c>
      <c r="O28" s="91" ph="1">
        <f>O27*18.322*LOOKUP(O29,密度!$A$2:$A$50,密度!$C$2:$C$50)</f>
        <v>116532.08275839999</v>
      </c>
      <c r="P28" s="91" ph="1">
        <f>P27*11.702*LOOKUP(P29,密度!$A$2:$A$50,密度!$B$2:$B$50)</f>
        <v>5941.2540153999998</v>
      </c>
      <c r="Q28" s="92" ph="1">
        <f>Q27*18.322*LOOKUP(Q29,密度!$A$2:$A$50,密度!$B$2:$B$50)</f>
        <v>44897.518668799996</v>
      </c>
      <c r="R28" s="91" ph="1">
        <f>R27*35.891*LOOKUP(R29,密度!$A$2:$A$50,密度!$C$2:$C$50)</f>
        <v>90843.200447799987</v>
      </c>
      <c r="S28" s="91" ph="1">
        <f>S27*35.891*LOOKUP(S29,密度!$A$2:$A$50,密度!$B$2:$B$50)</f>
        <v>9754.1114264000007</v>
      </c>
      <c r="T28" s="91" ph="1">
        <f>T27*35.891*LOOKUP(T29,密度!$A$2:$A$50,密度!$Q$2:$Q$50)</f>
        <v>5416.1424812099995</v>
      </c>
      <c r="U28" s="91" ph="1">
        <f>U27*35.891</f>
        <v>149378.342</v>
      </c>
      <c r="V28" s="91" ph="1">
        <f>V27*47.051*LOOKUP(V29,密度!$A$2:$A$50,密度!$B$2:$B$50)</f>
        <v>325824.39209959999</v>
      </c>
      <c r="W28" s="91" ph="1">
        <f>W27*47.051*LOOKUP(W29,密度!$A$2:$A$50,密度!$B$2:$B$50)</f>
        <v>151805.37463059998</v>
      </c>
      <c r="X28" s="91" ph="1">
        <f>X27*47.051*LOOKUP(X29,密度!$A$2:$A$61,密度!$I$2:$I$61)</f>
        <v>201786.65915450003</v>
      </c>
      <c r="Y28" s="91" ph="1">
        <f>Y27*47.051*LOOKUP(Y29,密度!$A$2:$A$50,密度!$L$2:$L$50)</f>
        <v>57114.738389999999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52" t="s" ph="1">
        <v>179</v>
      </c>
      <c r="D29" s="74">
        <v>25</v>
      </c>
      <c r="E29" s="74">
        <v>25</v>
      </c>
      <c r="F29" s="74">
        <v>22</v>
      </c>
      <c r="G29" s="74">
        <v>21</v>
      </c>
      <c r="H29" s="74">
        <v>22</v>
      </c>
      <c r="I29" s="74">
        <v>21</v>
      </c>
      <c r="J29" s="74">
        <v>22</v>
      </c>
      <c r="K29" s="74">
        <v>21</v>
      </c>
      <c r="L29" s="74">
        <v>20</v>
      </c>
      <c r="M29" s="74">
        <v>22</v>
      </c>
      <c r="N29" s="74">
        <v>23</v>
      </c>
      <c r="O29" s="74">
        <v>24</v>
      </c>
      <c r="P29" s="74">
        <v>22</v>
      </c>
      <c r="Q29" s="93">
        <v>23</v>
      </c>
      <c r="R29" s="74">
        <v>22</v>
      </c>
      <c r="S29" s="74">
        <v>21</v>
      </c>
      <c r="T29" s="74">
        <v>22</v>
      </c>
      <c r="U29" s="74">
        <v>23</v>
      </c>
      <c r="V29" s="74">
        <v>22</v>
      </c>
      <c r="W29" s="74">
        <v>23</v>
      </c>
      <c r="X29" s="74">
        <v>45</v>
      </c>
      <c r="Y29" s="74">
        <v>21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52" t="s" ph="1">
        <v>5</v>
      </c>
      <c r="F32" s="151" t="s" ph="1">
        <v>43</v>
      </c>
      <c r="G32" s="97" t="s" ph="1">
        <v>4</v>
      </c>
      <c r="H32" s="152" t="s" ph="1">
        <v>5</v>
      </c>
      <c r="I32" s="151" t="s" ph="1">
        <v>43</v>
      </c>
      <c r="J32" s="97" t="s" ph="1">
        <v>4</v>
      </c>
      <c r="K32" s="152" t="s" ph="1">
        <v>5</v>
      </c>
      <c r="L32" s="151" t="s" ph="1">
        <v>43</v>
      </c>
      <c r="M32" s="97" t="s" ph="1">
        <v>4</v>
      </c>
      <c r="N32" s="152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2" t="s" ph="1">
        <v>5</v>
      </c>
      <c r="U32" s="99" t="s" ph="1">
        <v>43</v>
      </c>
      <c r="V32" s="97" t="s" ph="1">
        <v>4</v>
      </c>
      <c r="W32" s="152" t="s" ph="1">
        <v>5</v>
      </c>
      <c r="X32" s="99" t="s" ph="1">
        <v>43</v>
      </c>
      <c r="Y32" s="100" t="s" ph="1">
        <v>4</v>
      </c>
      <c r="Z32" s="152" t="s" ph="1">
        <v>5</v>
      </c>
      <c r="AA32" s="151" t="s" ph="1">
        <v>43</v>
      </c>
      <c r="AB32" s="97" t="s" ph="1">
        <v>85</v>
      </c>
      <c r="AC32" s="152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95525.66048430001</v>
      </c>
      <c r="E33" s="196" ph="1">
        <f>M10+I10</f>
        <v>111946.25123960001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[[#This Row],[F25]]</f>
        <v>3880</v>
      </c>
      <c r="G33" s="222" ph="1">
        <v>0</v>
      </c>
      <c r="H33" s="196" ph="1">
        <f>N19</f>
        <v>42960.753529600006</v>
      </c>
      <c r="I33" s="200" ph="1">
        <v>0</v>
      </c>
      <c r="J33" s="204" ph="1">
        <f>F10+O28</f>
        <v>319588.81465840002</v>
      </c>
      <c r="K33" s="196" ph="1">
        <f>O10+K10+E28+R28</f>
        <v>161378.75387283997</v>
      </c>
      <c r="L33" s="206" ph="1">
        <f>BE27</f>
        <v>7100</v>
      </c>
      <c r="M33" s="204" ph="1">
        <f>G10+H10+W28+S28+V28+E10</f>
        <v>726356.20099060005</v>
      </c>
      <c r="N33" s="196" ph="1">
        <f>L10+P10++G28+H28</f>
        <v>187599.15379459999</v>
      </c>
      <c r="O33" s="200" ph="1">
        <f>BE17</f>
        <v>2270</v>
      </c>
      <c r="P33" s="204" ph="1">
        <f>L19</f>
        <v>12592.5320328</v>
      </c>
      <c r="Q33" s="196" ph="1">
        <f>J10+N10</f>
        <v>6449.3533052000002</v>
      </c>
      <c r="R33" s="200" ph="1">
        <f>BE23</f>
        <v>890</v>
      </c>
      <c r="S33" s="204" ph="1">
        <f>E10+X28</f>
        <v>201786.65915450003</v>
      </c>
      <c r="T33" s="196" ph="1">
        <f>X19</f>
        <v>12077.055355200002</v>
      </c>
      <c r="U33" s="185" ph="1">
        <f>BE21</f>
        <v>730</v>
      </c>
      <c r="V33" s="198" ph="1">
        <f ca="1">P19+Q19+S19+M28+N28+J28</f>
        <v>293799.50777856796</v>
      </c>
      <c r="W33" s="198" ph="1">
        <f>D28+F28+V19+T28</f>
        <v>68706.881000417998</v>
      </c>
      <c r="X33" s="200" ph="1">
        <f>BE29+BE31</f>
        <v>10200</v>
      </c>
      <c r="Y33" s="202" ph="1">
        <f>+Q10+R10+S10+T10+U10+V10+W10+X10+Y10</f>
        <v>163027.32054839999</v>
      </c>
      <c r="Z33" s="183" ph="1">
        <f>D10+T19+U19+Y28+Z10</f>
        <v>430655.29542612005</v>
      </c>
      <c r="AA33" s="185" ph="1">
        <f>BE19</f>
        <v>1440</v>
      </c>
      <c r="AB33" s="187" ph="1">
        <f>I19</f>
        <v>15019.188968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50" t="s" ph="1">
        <v>185</v>
      </c>
      <c r="AA36" s="150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180" priority="98">
      <formula>ABS(D$7-D$10)&gt;=1000</formula>
    </cfRule>
  </conditionalFormatting>
  <conditionalFormatting sqref="E4 E6:E11">
    <cfRule type="expression" dxfId="2179" priority="97">
      <formula>ABS(E$7-E$10)&gt;=1000</formula>
    </cfRule>
  </conditionalFormatting>
  <conditionalFormatting sqref="F4:F11">
    <cfRule type="expression" dxfId="2178" priority="96">
      <formula>ABS(F$7-F$10)&gt;=1000</formula>
    </cfRule>
  </conditionalFormatting>
  <conditionalFormatting sqref="G4:G11">
    <cfRule type="expression" dxfId="2177" priority="95">
      <formula>ABS(G$7-G$10)&gt;=1000</formula>
    </cfRule>
  </conditionalFormatting>
  <conditionalFormatting sqref="H4:H11">
    <cfRule type="expression" dxfId="2176" priority="94">
      <formula>ABS(H$7-H$10)&gt;=1000</formula>
    </cfRule>
  </conditionalFormatting>
  <conditionalFormatting sqref="I4:I11">
    <cfRule type="expression" dxfId="2175" priority="93">
      <formula>ABS(I$7-I$10)&gt;=1000</formula>
    </cfRule>
  </conditionalFormatting>
  <conditionalFormatting sqref="J4:J11">
    <cfRule type="expression" dxfId="2174" priority="92">
      <formula>ABS(J$7-J$10)&gt;=1000</formula>
    </cfRule>
  </conditionalFormatting>
  <conditionalFormatting sqref="K4:K11">
    <cfRule type="expression" dxfId="2173" priority="91">
      <formula>ABS(K$7-K$10)&gt;=1000</formula>
    </cfRule>
  </conditionalFormatting>
  <conditionalFormatting sqref="L4:L11">
    <cfRule type="expression" dxfId="2172" priority="90">
      <formula>ABS(L$7-L$10)&gt;=1000</formula>
    </cfRule>
  </conditionalFormatting>
  <conditionalFormatting sqref="M4 M6:M11">
    <cfRule type="expression" dxfId="2171" priority="89">
      <formula>ABS(M$7-M$10)&gt;=1000</formula>
    </cfRule>
  </conditionalFormatting>
  <conditionalFormatting sqref="N4 N6:N11">
    <cfRule type="expression" dxfId="2170" priority="88">
      <formula>ABS(N$7-N$10)&gt;=1000</formula>
    </cfRule>
  </conditionalFormatting>
  <conditionalFormatting sqref="O4 O6:O11">
    <cfRule type="expression" dxfId="2169" priority="87">
      <formula>ABS(O$7-O$10)&gt;=1000</formula>
    </cfRule>
  </conditionalFormatting>
  <conditionalFormatting sqref="P4 P6:P11">
    <cfRule type="expression" dxfId="2168" priority="86">
      <formula>ABS(P$7-P$10)&gt;=1000</formula>
    </cfRule>
  </conditionalFormatting>
  <conditionalFormatting sqref="Q4:Q11">
    <cfRule type="expression" dxfId="2167" priority="85">
      <formula>ABS(Q$7-Q$10)&gt;=1000</formula>
    </cfRule>
  </conditionalFormatting>
  <conditionalFormatting sqref="R4:R11">
    <cfRule type="expression" dxfId="2166" priority="84">
      <formula>ABS(R$7-R$10)&gt;=1000</formula>
    </cfRule>
  </conditionalFormatting>
  <conditionalFormatting sqref="S4:S11">
    <cfRule type="expression" dxfId="2165" priority="83">
      <formula>ABS(S$7-S$10)&gt;=1000</formula>
    </cfRule>
  </conditionalFormatting>
  <conditionalFormatting sqref="T4:T9 T11">
    <cfRule type="expression" dxfId="2164" priority="82">
      <formula>ABS(T$7-T$10)&gt;=1000</formula>
    </cfRule>
  </conditionalFormatting>
  <conditionalFormatting sqref="U4:U9 U11">
    <cfRule type="expression" dxfId="2163" priority="81">
      <formula>ABS(U$7-U$10)&gt;=1000</formula>
    </cfRule>
  </conditionalFormatting>
  <conditionalFormatting sqref="V4:V9 V11">
    <cfRule type="expression" dxfId="2162" priority="80">
      <formula>ABS(V$7-V$10)&gt;=1000</formula>
    </cfRule>
  </conditionalFormatting>
  <conditionalFormatting sqref="W4:W9 W11">
    <cfRule type="expression" dxfId="2161" priority="79">
      <formula>ABS(W$7-W$10)&gt;=1000</formula>
    </cfRule>
  </conditionalFormatting>
  <conditionalFormatting sqref="X4:X9 X11">
    <cfRule type="expression" dxfId="2160" priority="78">
      <formula>ABS(X$7-X$10)&gt;=1000</formula>
    </cfRule>
  </conditionalFormatting>
  <conditionalFormatting sqref="Y4:Y9 Y11">
    <cfRule type="expression" dxfId="2159" priority="77">
      <formula>ABS(Y$7-Y$10)&gt;=1000</formula>
    </cfRule>
  </conditionalFormatting>
  <conditionalFormatting sqref="Z4:Z11">
    <cfRule type="expression" dxfId="2158" priority="76">
      <formula>ABS(Z$7-Z$10)&gt;=1000</formula>
    </cfRule>
  </conditionalFormatting>
  <conditionalFormatting sqref="AA4:AA11">
    <cfRule type="expression" dxfId="2157" priority="75">
      <formula>ABS(AA$7-AA$10)&gt;=1000</formula>
    </cfRule>
  </conditionalFormatting>
  <conditionalFormatting sqref="AB4:AB11">
    <cfRule type="expression" dxfId="2156" priority="74">
      <formula>ABS(AB$7-AB$10)&gt;=1000</formula>
    </cfRule>
  </conditionalFormatting>
  <conditionalFormatting sqref="AC4 AC6:AC11">
    <cfRule type="expression" dxfId="2155" priority="73">
      <formula>ABS(AC$7-AC$10)&gt;=1000</formula>
    </cfRule>
  </conditionalFormatting>
  <conditionalFormatting sqref="AD4:AD11">
    <cfRule type="expression" dxfId="2154" priority="72">
      <formula>ABS(AD$7-AD$10)&gt;=1000</formula>
    </cfRule>
  </conditionalFormatting>
  <conditionalFormatting sqref="AE4 AE6:AE11">
    <cfRule type="expression" dxfId="2153" priority="71">
      <formula>ABS(AE$7-AE$10)&gt;=1000</formula>
    </cfRule>
  </conditionalFormatting>
  <conditionalFormatting sqref="D13:D20">
    <cfRule type="expression" dxfId="2152" priority="70">
      <formula>ABS(D$16-D$19)&gt;=1000</formula>
    </cfRule>
  </conditionalFormatting>
  <conditionalFormatting sqref="E13:E20">
    <cfRule type="expression" dxfId="2151" priority="69">
      <formula>ABS(E$16-E$19)&gt;=1000</formula>
    </cfRule>
  </conditionalFormatting>
  <conditionalFormatting sqref="F13 F15:F20">
    <cfRule type="expression" dxfId="2150" priority="68">
      <formula>ABS(F$16-F$19)&gt;=1000</formula>
    </cfRule>
  </conditionalFormatting>
  <conditionalFormatting sqref="G13:G20">
    <cfRule type="expression" dxfId="2149" priority="67">
      <formula>ABS(G$16-G$19)&gt;=1000</formula>
    </cfRule>
  </conditionalFormatting>
  <conditionalFormatting sqref="H13:H20">
    <cfRule type="expression" dxfId="2148" priority="66">
      <formula>ABS(H$16-H$19)&gt;=1000</formula>
    </cfRule>
  </conditionalFormatting>
  <conditionalFormatting sqref="I13:I20">
    <cfRule type="expression" dxfId="2147" priority="65">
      <formula>ABS(I$16-I$19)&gt;=1000</formula>
    </cfRule>
  </conditionalFormatting>
  <conditionalFormatting sqref="J13:J20">
    <cfRule type="expression" dxfId="2146" priority="64">
      <formula>ABS(J$16-J$19)&gt;=1000</formula>
    </cfRule>
  </conditionalFormatting>
  <conditionalFormatting sqref="L13:L20">
    <cfRule type="expression" dxfId="2145" priority="63">
      <formula>ABS(L$16-L$19)&gt;=1000</formula>
    </cfRule>
  </conditionalFormatting>
  <conditionalFormatting sqref="M13 M15 M17:M18 M20">
    <cfRule type="expression" dxfId="2144" priority="62">
      <formula>ABS(M$16-M$19)&gt;=1000</formula>
    </cfRule>
  </conditionalFormatting>
  <conditionalFormatting sqref="N13:N20">
    <cfRule type="expression" dxfId="2143" priority="61">
      <formula>ABS(N$16-N$19)&gt;=1000</formula>
    </cfRule>
  </conditionalFormatting>
  <conditionalFormatting sqref="O13:O20">
    <cfRule type="expression" dxfId="2142" priority="60">
      <formula>ABS(O$16-O$19)&gt;=1000</formula>
    </cfRule>
  </conditionalFormatting>
  <conditionalFormatting sqref="P13:P20">
    <cfRule type="expression" dxfId="2141" priority="59">
      <formula>ABS(P$16-P$19)&gt;=1000</formula>
    </cfRule>
  </conditionalFormatting>
  <conditionalFormatting sqref="Q13 Q15:Q20">
    <cfRule type="expression" dxfId="2140" priority="58">
      <formula>ABS(Q$16-Q$19)&gt;=1000</formula>
    </cfRule>
  </conditionalFormatting>
  <conditionalFormatting sqref="R13:R20">
    <cfRule type="expression" dxfId="2139" priority="57">
      <formula>ABS(R$16-R$19)&gt;=1000</formula>
    </cfRule>
  </conditionalFormatting>
  <conditionalFormatting sqref="S13:S20">
    <cfRule type="expression" dxfId="2138" priority="56">
      <formula>ABS(S$16-S$19)&gt;=1000</formula>
    </cfRule>
  </conditionalFormatting>
  <conditionalFormatting sqref="T13:T20">
    <cfRule type="expression" dxfId="2137" priority="55">
      <formula>ABS(T$16-T$19)&gt;=1000</formula>
    </cfRule>
  </conditionalFormatting>
  <conditionalFormatting sqref="U13:U20">
    <cfRule type="expression" dxfId="2136" priority="54">
      <formula>ABS(U$16-U$19)&gt;=1000</formula>
    </cfRule>
  </conditionalFormatting>
  <conditionalFormatting sqref="V13:V20">
    <cfRule type="expression" dxfId="2135" priority="53">
      <formula>ABS(V$16-V$19)&gt;=1000</formula>
    </cfRule>
  </conditionalFormatting>
  <conditionalFormatting sqref="W13 W20 W15:W18">
    <cfRule type="expression" dxfId="2134" priority="52">
      <formula>ABS(W$16-W$19)&gt;=1000</formula>
    </cfRule>
  </conditionalFormatting>
  <conditionalFormatting sqref="X13 X15:X20 Y19">
    <cfRule type="expression" dxfId="2133" priority="51">
      <formula>ABS(X$16-X$19)&gt;=1000</formula>
    </cfRule>
  </conditionalFormatting>
  <conditionalFormatting sqref="Y13 Y15:Y18 Y20">
    <cfRule type="expression" dxfId="2132" priority="50">
      <formula>ABS(Y$16-Y$19)&gt;=1000</formula>
    </cfRule>
  </conditionalFormatting>
  <conditionalFormatting sqref="Z13:Z20">
    <cfRule type="expression" dxfId="2131" priority="49">
      <formula>ABS(Z$16-Z$19)&gt;=1000</formula>
    </cfRule>
  </conditionalFormatting>
  <conditionalFormatting sqref="AA13:AA20">
    <cfRule type="expression" dxfId="2130" priority="48">
      <formula>ABS(AA$16-AA$19)&gt;=1000</formula>
    </cfRule>
  </conditionalFormatting>
  <conditionalFormatting sqref="AB13 AB15:AB20">
    <cfRule type="expression" dxfId="2129" priority="47">
      <formula>ABS(AB$16-AB$19)&gt;=1000</formula>
    </cfRule>
  </conditionalFormatting>
  <conditionalFormatting sqref="AC13 AC15:AC20">
    <cfRule type="expression" dxfId="2128" priority="46">
      <formula>ABS(AC$16-AC$19)&gt;=1000</formula>
    </cfRule>
  </conditionalFormatting>
  <conditionalFormatting sqref="AD13:AD20">
    <cfRule type="expression" dxfId="2127" priority="45">
      <formula>ABS(AD$16-AD$19)&gt;=1000</formula>
    </cfRule>
  </conditionalFormatting>
  <conditionalFormatting sqref="AE13:AE20">
    <cfRule type="expression" dxfId="2126" priority="44">
      <formula>ABS(AE$16-AE$19)&gt;=1000</formula>
    </cfRule>
  </conditionalFormatting>
  <conditionalFormatting sqref="D22:D29">
    <cfRule type="expression" dxfId="2125" priority="43">
      <formula>ABS(D$25-D$28)&gt;=1000</formula>
    </cfRule>
  </conditionalFormatting>
  <conditionalFormatting sqref="E22:E29">
    <cfRule type="expression" dxfId="2124" priority="42">
      <formula>ABS(E$25-E$28)&gt;=1000</formula>
    </cfRule>
  </conditionalFormatting>
  <conditionalFormatting sqref="F22:F29">
    <cfRule type="expression" dxfId="2123" priority="41">
      <formula>ABS(F$25-F$28)&gt;=1000</formula>
    </cfRule>
  </conditionalFormatting>
  <conditionalFormatting sqref="G22:G29">
    <cfRule type="expression" dxfId="2122" priority="40">
      <formula>ABS(G$25-G$28)&gt;=1000</formula>
    </cfRule>
  </conditionalFormatting>
  <conditionalFormatting sqref="H22:H29">
    <cfRule type="expression" dxfId="2121" priority="39">
      <formula>ABS(H$25-H$28)&gt;=1000</formula>
    </cfRule>
  </conditionalFormatting>
  <conditionalFormatting sqref="I22 I24:I29">
    <cfRule type="expression" dxfId="2120" priority="38">
      <formula>ABS(I$25-I$28)&gt;=1000</formula>
    </cfRule>
  </conditionalFormatting>
  <conditionalFormatting sqref="J22:J29 K22">
    <cfRule type="expression" dxfId="2119" priority="37">
      <formula>ABS(J$25-J$28)&gt;=1000</formula>
    </cfRule>
  </conditionalFormatting>
  <conditionalFormatting sqref="K23:K29 L25 L28">
    <cfRule type="expression" dxfId="2118" priority="36">
      <formula>ABS(K$25-K$28)&gt;=1000</formula>
    </cfRule>
  </conditionalFormatting>
  <conditionalFormatting sqref="L22 L26:L27 L29 L24">
    <cfRule type="expression" dxfId="2117" priority="35">
      <formula>ABS(L$25-L$28)&gt;=1000</formula>
    </cfRule>
  </conditionalFormatting>
  <conditionalFormatting sqref="M22:M29">
    <cfRule type="expression" dxfId="2116" priority="34">
      <formula>ABS(M$25-M$28)&gt;=1000</formula>
    </cfRule>
  </conditionalFormatting>
  <conditionalFormatting sqref="N22:N29">
    <cfRule type="expression" dxfId="2115" priority="33">
      <formula>ABS(N$25-N$28)&gt;=1000</formula>
    </cfRule>
  </conditionalFormatting>
  <conditionalFormatting sqref="O22:O29">
    <cfRule type="expression" dxfId="2114" priority="32">
      <formula>ABS(O$25-O$28)&gt;=1000</formula>
    </cfRule>
  </conditionalFormatting>
  <conditionalFormatting sqref="P22:P29">
    <cfRule type="expression" dxfId="2113" priority="31">
      <formula>ABS(P$25-P$28)&gt;=1000</formula>
    </cfRule>
  </conditionalFormatting>
  <conditionalFormatting sqref="Q22:Q29">
    <cfRule type="expression" dxfId="2112" priority="30">
      <formula>ABS(Q$25-Q$28)&gt;=1000</formula>
    </cfRule>
  </conditionalFormatting>
  <conditionalFormatting sqref="R22:R29">
    <cfRule type="expression" dxfId="2111" priority="29">
      <formula>ABS(R$25-R$28)&gt;=1000</formula>
    </cfRule>
  </conditionalFormatting>
  <conditionalFormatting sqref="S22:S29">
    <cfRule type="expression" dxfId="2110" priority="28">
      <formula>ABS(S$25-S$28)&gt;=1000</formula>
    </cfRule>
  </conditionalFormatting>
  <conditionalFormatting sqref="T22:T29">
    <cfRule type="expression" dxfId="2109" priority="27">
      <formula>ABS(T$25-T$28)&gt;=1000</formula>
    </cfRule>
  </conditionalFormatting>
  <conditionalFormatting sqref="U22:U29">
    <cfRule type="expression" dxfId="2108" priority="26">
      <formula>ABS(U$25-U$28)&gt;=1000</formula>
    </cfRule>
  </conditionalFormatting>
  <conditionalFormatting sqref="V22:V29">
    <cfRule type="expression" dxfId="2107" priority="25">
      <formula>ABS(V$25-V$28)&gt;=1000</formula>
    </cfRule>
  </conditionalFormatting>
  <conditionalFormatting sqref="W22:W29">
    <cfRule type="expression" dxfId="2106" priority="24">
      <formula>ABS(W$25-W$28)&gt;=1000</formula>
    </cfRule>
  </conditionalFormatting>
  <conditionalFormatting sqref="X22:X29">
    <cfRule type="expression" dxfId="2105" priority="23">
      <formula>ABS(X$25-X$28)&gt;=1000</formula>
    </cfRule>
  </conditionalFormatting>
  <conditionalFormatting sqref="Y22:Y29">
    <cfRule type="expression" dxfId="2104" priority="22">
      <formula>ABS(Y$25-Y$28)&gt;=1000</formula>
    </cfRule>
  </conditionalFormatting>
  <conditionalFormatting sqref="I23">
    <cfRule type="expression" dxfId="2103" priority="21">
      <formula>ABS(I$25-I$28)&gt;=1000</formula>
    </cfRule>
  </conditionalFormatting>
  <conditionalFormatting sqref="Q14">
    <cfRule type="expression" dxfId="2102" priority="20">
      <formula>ABS(Q$16-Q$19)&gt;=1000</formula>
    </cfRule>
  </conditionalFormatting>
  <conditionalFormatting sqref="W14">
    <cfRule type="expression" dxfId="2101" priority="19">
      <formula>ABS(W$16-W$19)&gt;=1000</formula>
    </cfRule>
  </conditionalFormatting>
  <conditionalFormatting sqref="Y14">
    <cfRule type="expression" dxfId="2100" priority="18">
      <formula>ABS(Y$16-Y$19)&gt;=1000</formula>
    </cfRule>
  </conditionalFormatting>
  <conditionalFormatting sqref="X14">
    <cfRule type="expression" dxfId="2099" priority="17">
      <formula>ABS(X$16-X$19)&gt;=1000</formula>
    </cfRule>
  </conditionalFormatting>
  <conditionalFormatting sqref="T10:Y10">
    <cfRule type="expression" dxfId="2098" priority="16">
      <formula>ABS(T$7-T$10)&gt;=1000</formula>
    </cfRule>
  </conditionalFormatting>
  <conditionalFormatting sqref="W19">
    <cfRule type="expression" dxfId="2097" priority="15">
      <formula>ABS(W$16-W$19)&gt;=1000</formula>
    </cfRule>
  </conditionalFormatting>
  <conditionalFormatting sqref="AC5">
    <cfRule type="expression" dxfId="2096" priority="14">
      <formula>ABS(AC$7-AC$10)&gt;=1000</formula>
    </cfRule>
  </conditionalFormatting>
  <conditionalFormatting sqref="M14">
    <cfRule type="expression" dxfId="2095" priority="13">
      <formula>ABS(M$16-M$19)&gt;=1000</formula>
    </cfRule>
  </conditionalFormatting>
  <conditionalFormatting sqref="M16">
    <cfRule type="expression" dxfId="2094" priority="12">
      <formula>ABS(M$16-M$19)&gt;=1000</formula>
    </cfRule>
  </conditionalFormatting>
  <conditionalFormatting sqref="M19">
    <cfRule type="expression" dxfId="2093" priority="11">
      <formula>ABS(M$16-M$19)&gt;=1000</formula>
    </cfRule>
  </conditionalFormatting>
  <conditionalFormatting sqref="K13:K20">
    <cfRule type="expression" dxfId="2092" priority="10">
      <formula>ABS(K$16-K$19)&gt;=1000</formula>
    </cfRule>
  </conditionalFormatting>
  <conditionalFormatting sqref="E5">
    <cfRule type="expression" dxfId="2091" priority="9">
      <formula>ABS(E$7-E$10)&gt;=1000</formula>
    </cfRule>
  </conditionalFormatting>
  <conditionalFormatting sqref="AB14:AC14">
    <cfRule type="expression" dxfId="2090" priority="8">
      <formula>ABS(AB$16-AB$19)&gt;=1000</formula>
    </cfRule>
  </conditionalFormatting>
  <conditionalFormatting sqref="M5">
    <cfRule type="expression" dxfId="2089" priority="7">
      <formula>ABS(M$7-M$10)&gt;=1000</formula>
    </cfRule>
  </conditionalFormatting>
  <conditionalFormatting sqref="N5">
    <cfRule type="expression" dxfId="2088" priority="6">
      <formula>ABS(N$7-N$10)&gt;=1000</formula>
    </cfRule>
  </conditionalFormatting>
  <conditionalFormatting sqref="O5">
    <cfRule type="expression" dxfId="2087" priority="5">
      <formula>ABS(O$7-O$10)&gt;=1000</formula>
    </cfRule>
  </conditionalFormatting>
  <conditionalFormatting sqref="P5">
    <cfRule type="expression" dxfId="2086" priority="4">
      <formula>ABS(P$7-P$10)&gt;=1000</formula>
    </cfRule>
  </conditionalFormatting>
  <conditionalFormatting sqref="L23">
    <cfRule type="expression" dxfId="2085" priority="3">
      <formula>ABS(L$25-L$28)&gt;=1000</formula>
    </cfRule>
  </conditionalFormatting>
  <conditionalFormatting sqref="F14">
    <cfRule type="expression" dxfId="2084" priority="2">
      <formula>ABS(F$16-F$19)&gt;=1000</formula>
    </cfRule>
  </conditionalFormatting>
  <conditionalFormatting sqref="AE5">
    <cfRule type="expression" dxfId="2083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41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81">
    <pageSetUpPr fitToPage="1"/>
  </sheetPr>
  <dimension ref="A1:CU223"/>
  <sheetViews>
    <sheetView view="pageBreakPreview" topLeftCell="A7" zoomScale="70" zoomScaleNormal="100" zoomScaleSheetLayoutView="70" workbookViewId="0">
      <selection activeCell="L26" sqref="L2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46000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52" t="s" ph="1">
        <v>177</v>
      </c>
      <c r="D6" s="71">
        <v>5112</v>
      </c>
      <c r="E6" s="71">
        <v>0</v>
      </c>
      <c r="F6" s="71">
        <v>5499</v>
      </c>
      <c r="G6" s="71">
        <v>4871</v>
      </c>
      <c r="H6" s="71">
        <v>1326</v>
      </c>
      <c r="I6" s="71">
        <v>27.11</v>
      </c>
      <c r="J6" s="71">
        <v>7.02</v>
      </c>
      <c r="K6" s="71">
        <v>6.92</v>
      </c>
      <c r="L6" s="71">
        <v>32.21</v>
      </c>
      <c r="M6" s="71">
        <v>3040</v>
      </c>
      <c r="N6" s="71">
        <v>185</v>
      </c>
      <c r="O6" s="71">
        <v>2865</v>
      </c>
      <c r="P6" s="71">
        <v>2989</v>
      </c>
      <c r="Q6" s="71">
        <v>0</v>
      </c>
      <c r="R6" s="71">
        <v>4181</v>
      </c>
      <c r="S6" s="71">
        <v>4409</v>
      </c>
      <c r="T6" s="71">
        <v>6827</v>
      </c>
      <c r="U6" s="71">
        <v>4187</v>
      </c>
      <c r="V6" s="71">
        <v>0</v>
      </c>
      <c r="W6" s="71">
        <v>0</v>
      </c>
      <c r="X6" s="71">
        <v>0</v>
      </c>
      <c r="Y6" s="71">
        <v>0</v>
      </c>
      <c r="Z6" s="71">
        <v>4421</v>
      </c>
      <c r="AA6" s="71">
        <v>1908</v>
      </c>
      <c r="AB6" s="71">
        <v>1437</v>
      </c>
      <c r="AC6" s="71">
        <v>9294</v>
      </c>
      <c r="AD6" s="71">
        <v>4780</v>
      </c>
      <c r="AE6" s="71">
        <v>4918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161214.38116847997</v>
      </c>
      <c r="E7" s="73" ph="1">
        <f>E6*51.53*LOOKUP(E8,密度!$A$2:$A$50,密度!$B$2:$B$50)</f>
        <v>0</v>
      </c>
      <c r="F7" s="73" ph="1">
        <f>F6*33.183*LOOKUP(F8,密度!$A$2:$A$50,密度!$C$2:$C$50)</f>
        <v>203257.0278063</v>
      </c>
      <c r="G7" s="73" ph="1">
        <f xml:space="preserve"> (G6+2)*51.53*LOOKUP(G8,密度!$A$2:$A$50,密度!$B$2:$B$50)</f>
        <v>197092.85608100001</v>
      </c>
      <c r="H7" s="73" ph="1">
        <f>(H6)*51.53*LOOKUP(H8,密度!$A$2:$A$50,密度!$B$2:$B$50)</f>
        <v>53788.415615999998</v>
      </c>
      <c r="I7" s="73" ph="1">
        <f>I6*290.8*1.0267</f>
        <v>8094.0797995999992</v>
      </c>
      <c r="J7" s="73" ph="1">
        <f>J6*290.8*0.7892</f>
        <v>1611.0855071999999</v>
      </c>
      <c r="K7" s="73" ph="1">
        <f>K6*290.8*1.1126</f>
        <v>2238.9250336</v>
      </c>
      <c r="L7" s="73" ph="1">
        <f>L6*290.8*0.777</f>
        <v>7277.9010360000011</v>
      </c>
      <c r="M7" s="73" ph="1">
        <f>M6*33.183*LOOKUP(M8,密度!$A$2:$A$50,密度!$D$2:$D$50)</f>
        <v>104043.836448</v>
      </c>
      <c r="N7" s="73" ph="1">
        <f>N6*33.183*LOOKUP(N8,密度!$A$2:$A$50,密度!$E$2:$E$50)</f>
        <v>4844.7843659999999</v>
      </c>
      <c r="O7" s="73" ph="1">
        <f>O6*20.428*LOOKUP(O8,密度!$A$2:$A$50,密度!$C$2:$C$50)</f>
        <v>64987.514688000003</v>
      </c>
      <c r="P7" s="73" ph="1">
        <f>P6*51.53*LOOKUP(P8,密度!$A$2:$A$50,密度!$B$2:$B$50)</f>
        <v>120769.56759700002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27691.926154199999</v>
      </c>
      <c r="S7" s="73" ph="1">
        <f>S6*1.5*1.5*3.1416*LOOKUP(S8,密度!$A$2:$A$50,密度!$L$2:$L$50)</f>
        <v>29326.695413399997</v>
      </c>
      <c r="T7" s="73" ph="1">
        <f>T6*1.5*1.5*3.1416*LOOKUP(T8,密度!$A$2:$A$50,密度!$L$2:$L$50)</f>
        <v>45651.436261199997</v>
      </c>
      <c r="U7" s="73" ph="1">
        <f>U6*1.5*1.5*3.1416*LOOKUP(U8,密度!$A$2:$A$50,密度!$L$2:$L$50)</f>
        <v>27879.646964399995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138780.13267799999</v>
      </c>
      <c r="AA7" s="73" ph="1">
        <f>AA6*33.183*LOOKUP(AA8,密度!$A$2:$A$50,密度!$D$2:$D$50)</f>
        <v>65408.829728399993</v>
      </c>
      <c r="AB7" s="73" ph="1">
        <f>AB6*20.428*LOOKUP(AB8,密度!$A$2:$A$50,密度!$D$2:$D$50)</f>
        <v>30479.3338788</v>
      </c>
      <c r="AC7" s="73" ph="1">
        <f>AC6*51.53*LOOKUP(AC8,密度!$A$2:$A$50,密度!$Q$2:$Q$50)</f>
        <v>455936.45783820003</v>
      </c>
      <c r="AD7" s="73" ph="1">
        <f>AD6*20.428*LOOKUP(AD8,密度!$A$2:$A$50,密度!$V$2:$V$50)</f>
        <v>94130.589760000003</v>
      </c>
      <c r="AE7" s="73" ph="1">
        <f>AE6*20.428</f>
        <v>100464.90400000001</v>
      </c>
    </row>
    <row r="8" spans="1:99" ph="1">
      <c r="B8" s="247" ph="1"/>
      <c r="C8" s="68" t="s" ph="1">
        <v>179</v>
      </c>
      <c r="D8" s="74">
        <v>20</v>
      </c>
      <c r="E8" s="74">
        <v>18</v>
      </c>
      <c r="F8" s="74">
        <v>18</v>
      </c>
      <c r="G8" s="74">
        <v>19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20</v>
      </c>
      <c r="O8" s="74">
        <v>23</v>
      </c>
      <c r="P8" s="74">
        <v>20</v>
      </c>
      <c r="Q8" s="74">
        <v>21</v>
      </c>
      <c r="R8" s="74">
        <v>25</v>
      </c>
      <c r="S8" s="74">
        <v>21</v>
      </c>
      <c r="T8" s="74">
        <v>16</v>
      </c>
      <c r="U8" s="74">
        <v>20</v>
      </c>
      <c r="V8" s="74">
        <v>25</v>
      </c>
      <c r="W8" s="74">
        <v>19</v>
      </c>
      <c r="X8" s="74">
        <v>19</v>
      </c>
      <c r="Y8" s="74">
        <v>19</v>
      </c>
      <c r="Z8" s="74">
        <v>16</v>
      </c>
      <c r="AA8" s="74">
        <v>18</v>
      </c>
      <c r="AB8" s="74">
        <v>12</v>
      </c>
      <c r="AC8" s="74">
        <v>18</v>
      </c>
      <c r="AD8" s="74">
        <v>18</v>
      </c>
      <c r="AE8" s="74">
        <v>23</v>
      </c>
    </row>
    <row r="9" spans="1:99" ht="26.4" ph="1">
      <c r="B9" s="247" ph="1">
        <v>0.66666666666666663</v>
      </c>
      <c r="C9" s="152" t="s" ph="1">
        <v>180</v>
      </c>
      <c r="D9" s="71">
        <v>5115</v>
      </c>
      <c r="E9" s="71">
        <v>0</v>
      </c>
      <c r="F9" s="71">
        <v>5499</v>
      </c>
      <c r="G9" s="71">
        <v>4617</v>
      </c>
      <c r="H9" s="71">
        <v>2708</v>
      </c>
      <c r="I9" s="71">
        <v>27.11</v>
      </c>
      <c r="J9" s="71">
        <v>7.12</v>
      </c>
      <c r="K9" s="71">
        <v>6.81</v>
      </c>
      <c r="L9" s="71">
        <v>60.41</v>
      </c>
      <c r="M9" s="71">
        <v>3040</v>
      </c>
      <c r="N9" s="71">
        <v>185</v>
      </c>
      <c r="O9" s="71">
        <v>2864</v>
      </c>
      <c r="P9" s="71">
        <v>2839</v>
      </c>
      <c r="Q9" s="71">
        <v>0</v>
      </c>
      <c r="R9" s="71">
        <v>255</v>
      </c>
      <c r="S9" s="71">
        <v>4411</v>
      </c>
      <c r="T9" s="71">
        <v>6831</v>
      </c>
      <c r="U9" s="71">
        <v>4187</v>
      </c>
      <c r="V9" s="71">
        <v>2142</v>
      </c>
      <c r="W9" s="71">
        <v>0</v>
      </c>
      <c r="X9" s="71">
        <v>0</v>
      </c>
      <c r="Y9" s="71">
        <v>0</v>
      </c>
      <c r="Z9" s="71">
        <v>5216</v>
      </c>
      <c r="AA9" s="71">
        <v>1907</v>
      </c>
      <c r="AB9" s="71">
        <v>1341</v>
      </c>
      <c r="AC9" s="71">
        <v>9298</v>
      </c>
      <c r="AD9" s="71">
        <v>4780</v>
      </c>
      <c r="AE9" s="71">
        <v>4945</v>
      </c>
    </row>
    <row r="10" spans="1:99" s="72" customFormat="1" ht="22.2" ph="1">
      <c r="B10" s="247" ph="1"/>
      <c r="C10" s="152" t="s" ph="1">
        <v>178</v>
      </c>
      <c r="D10" s="73" ph="1">
        <f>D9*33.183*LOOKUP(D11,密度!$A$2:$A$50,密度!$Q$2:$Q$50)</f>
        <v>161191.87612605002</v>
      </c>
      <c r="E10" s="73" ph="1">
        <f>E9*51.53*LOOKUP(E11,密度!$A$2:$A$50,密度!$B$2:$B$50)</f>
        <v>0</v>
      </c>
      <c r="F10" s="73" ph="1">
        <f>F9*33.183*LOOKUP(F11,密度!$A$2:$A$50,密度!$C$2:$C$50)</f>
        <v>203019.81249420001</v>
      </c>
      <c r="G10" s="73" ph="1">
        <f xml:space="preserve"> (G9+2)*51.53*LOOKUP(G11,密度!$A$2:$A$50,密度!$B$2:$B$50)</f>
        <v>186629.184587</v>
      </c>
      <c r="H10" s="73" ph="1">
        <f>(H9)*51.53*LOOKUP(H11,密度!$A$2:$A$50,密度!$B$2:$B$50)</f>
        <v>109639.12366799999</v>
      </c>
      <c r="I10" s="73" ph="1">
        <f>I9*290.8*1.0267</f>
        <v>8094.0797995999992</v>
      </c>
      <c r="J10" s="73" ph="1">
        <f>J9*290.8*0.7892</f>
        <v>1634.0354432000001</v>
      </c>
      <c r="K10" s="73" ph="1">
        <f>K9*290.8*1.1126</f>
        <v>2203.3351848000002</v>
      </c>
      <c r="L10" s="73" ph="1">
        <f>L9*290.8*0.777</f>
        <v>13649.736155999999</v>
      </c>
      <c r="M10" s="73" ph="1">
        <f>M9*33.183*LOOKUP(M11,密度!$A$2:$A$50,密度!$D$2:$D$50)</f>
        <v>103852.17144000001</v>
      </c>
      <c r="N10" s="73" ph="1">
        <f>N9*33.183*LOOKUP(N11,密度!$A$2:$A$50,密度!$E$2:$E$50)</f>
        <v>4822.6844879999999</v>
      </c>
      <c r="O10" s="73" ph="1">
        <f>O9*20.428*LOOKUP(O11,密度!$A$2:$A$50,密度!$C$2:$C$50)</f>
        <v>64918.026803199995</v>
      </c>
      <c r="P10" s="73" ph="1">
        <f>P9*51.53*LOOKUP(P11,密度!$A$2:$A$50,密度!$B$2:$B$50)</f>
        <v>114313.87373800001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1692.5409269999998</v>
      </c>
      <c r="S10" s="73" ph="1">
        <f>S9*1.5*1.5*3.1416*LOOKUP(S11,密度!$A$2:$A$50,密度!$L$2:$L$50)</f>
        <v>29433.5373024</v>
      </c>
      <c r="T10" s="73" ph="1">
        <f>T9*1.5*1.5*3.1416*LOOKUP(T11,密度!$A$2:$A$50,密度!$L$2:$L$50)</f>
        <v>45436.7558106</v>
      </c>
      <c r="U10" s="73" ph="1">
        <f>U9*1.5*1.5*3.1416*LOOKUP(U11,密度!$A$2:$A$50,密度!$L$2:$L$50)</f>
        <v>27731.665823399999</v>
      </c>
      <c r="V10" s="73" ph="1">
        <f>V9*1.5*1.5*3.1416*LOOKUP(V11,密度!$A$2:$A$50,密度!$L$2:$L$50)</f>
        <v>14187.0619044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163216.82390399999</v>
      </c>
      <c r="AA10" s="73" ph="1">
        <f>AA9*33.183*LOOKUP(AA11,密度!$A$2:$A$50,密度!$D$2:$D$50)</f>
        <v>65210.020420499997</v>
      </c>
      <c r="AB10" s="73" ph="1">
        <f>AB9*20.428*LOOKUP(AB11,密度!$A$2:$A$50,密度!$D$2:$D$50)</f>
        <v>28369.172548800001</v>
      </c>
      <c r="AC10" s="73" ph="1">
        <f>AC9*51.53*LOOKUP(AC11,密度!$A$2:$A$50,密度!$Q$2:$Q$50)</f>
        <v>455758.96790620004</v>
      </c>
      <c r="AD10" s="73" ph="1">
        <f>AD9*20.428*LOOKUP(AD11,密度!$A$2:$A$50,密度!$V$2:$V$50)</f>
        <v>94130.589760000003</v>
      </c>
      <c r="AE10" s="73" ph="1">
        <f>AE9*20.428</f>
        <v>101016.46</v>
      </c>
    </row>
    <row r="11" spans="1:99" ph="1">
      <c r="A11" s="64" t="s" ph="1">
        <v>162</v>
      </c>
      <c r="B11" s="247" ph="1"/>
      <c r="C11" s="152" t="s" ph="1">
        <v>179</v>
      </c>
      <c r="D11" s="74">
        <v>21</v>
      </c>
      <c r="E11" s="74">
        <v>22</v>
      </c>
      <c r="F11" s="74">
        <v>20</v>
      </c>
      <c r="G11" s="74">
        <v>20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23</v>
      </c>
      <c r="O11" s="74">
        <v>24</v>
      </c>
      <c r="P11" s="74">
        <v>23</v>
      </c>
      <c r="Q11" s="74">
        <v>22</v>
      </c>
      <c r="R11" s="74">
        <v>23</v>
      </c>
      <c r="S11" s="74">
        <v>18</v>
      </c>
      <c r="T11" s="74">
        <v>21</v>
      </c>
      <c r="U11" s="74">
        <v>25</v>
      </c>
      <c r="V11" s="74">
        <v>25</v>
      </c>
      <c r="W11" s="74">
        <v>30</v>
      </c>
      <c r="X11" s="74">
        <v>23</v>
      </c>
      <c r="Y11" s="74">
        <v>24</v>
      </c>
      <c r="Z11" s="74">
        <v>19</v>
      </c>
      <c r="AA11" s="74">
        <v>21</v>
      </c>
      <c r="AB11" s="74">
        <v>15</v>
      </c>
      <c r="AC11" s="74">
        <v>19</v>
      </c>
      <c r="AD11" s="74">
        <v>20</v>
      </c>
      <c r="AE11" s="74">
        <v>26</v>
      </c>
    </row>
    <row r="12" spans="1:99" ht="9.9" customHeight="1" ph="1"/>
    <row r="13" spans="1:99" s="72" customFormat="1" ht="29.25" customHeight="1" ph="1">
      <c r="B13" s="224" t="s" ph="1">
        <v>37</v>
      </c>
      <c r="C13" s="15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52" t="s" ph="1">
        <v>177</v>
      </c>
      <c r="D15" s="78">
        <v>5981</v>
      </c>
      <c r="E15" s="78">
        <v>4564</v>
      </c>
      <c r="F15" s="78">
        <v>3663</v>
      </c>
      <c r="G15" s="78">
        <v>1800</v>
      </c>
      <c r="H15" s="78">
        <v>4143</v>
      </c>
      <c r="I15" s="78">
        <v>1610</v>
      </c>
      <c r="J15" s="78">
        <v>260</v>
      </c>
      <c r="K15" s="78">
        <v>2387</v>
      </c>
      <c r="L15" s="78">
        <v>1758</v>
      </c>
      <c r="M15" s="78">
        <v>6087</v>
      </c>
      <c r="N15" s="78">
        <v>1890</v>
      </c>
      <c r="O15" s="78">
        <v>846</v>
      </c>
      <c r="P15" s="78">
        <v>5218</v>
      </c>
      <c r="Q15" s="78">
        <v>2597</v>
      </c>
      <c r="R15" s="78">
        <v>0</v>
      </c>
      <c r="S15" s="78">
        <v>6159</v>
      </c>
      <c r="T15" s="78">
        <v>6371</v>
      </c>
      <c r="U15" s="78">
        <v>2502</v>
      </c>
      <c r="V15" s="78">
        <v>4903</v>
      </c>
      <c r="W15" s="71">
        <v>4286</v>
      </c>
      <c r="X15" s="78">
        <v>671</v>
      </c>
      <c r="Y15" s="106">
        <v>-9904</v>
      </c>
      <c r="Z15" s="78">
        <v>0</v>
      </c>
      <c r="AA15" s="78">
        <v>10</v>
      </c>
      <c r="AB15" s="78" ph="1">
        <v>1092</v>
      </c>
      <c r="AC15" s="78" ph="1">
        <v>28</v>
      </c>
      <c r="AD15" s="78">
        <v>84.61</v>
      </c>
      <c r="AE15" s="78">
        <v>45.51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52" t="s" ph="1">
        <v>178</v>
      </c>
      <c r="D16" s="73" ph="1">
        <f>D15*7.0686*LOOKUP(D17,密度!$A$2:$A$50,密度!$L$2:$L$50)</f>
        <v>39782.936100599996</v>
      </c>
      <c r="E16" s="73" ph="1">
        <f>E15*7.0686*LOOKUP(E17,密度!$A$2:$A$50,密度!$L$2:$L$50)</f>
        <v>30389.947156800001</v>
      </c>
      <c r="F16" s="73" ph="1">
        <f>F15*9.0746*LOOKUP(F17,密度!$A$2:$A$50,密度!$L$2:$L$50)</f>
        <v>31179.363692399998</v>
      </c>
      <c r="G16" s="73" ph="1">
        <f>G15*9.0746*LOOKUP(G17,密度!$A$2:$A$50,密度!$B$2:$B$50)</f>
        <v>12820.776372000002</v>
      </c>
      <c r="H16" s="73" ph="1">
        <f>H15*9.0746*LOOKUP(H17,密度!$A$2:$A$50,密度!$L$2:$L$50)</f>
        <v>35565.880138799999</v>
      </c>
      <c r="I16" s="73" ph="1">
        <f>I15*9.0746*LOOKUP(I17,密度!$A$2:$A$50,密度!$U$2:$U$50)</f>
        <v>15019.188968</v>
      </c>
      <c r="J16" s="73" ph="1">
        <f>J15*9.0746*LOOKUP(J17,密度!$A$2:$A$50,密度!$L$2:$L$50)</f>
        <v>2224.9104280000001</v>
      </c>
      <c r="K16" s="73" ph="1">
        <f>K15*9.0746*LOOKUP(K17,密度!$A$2:$A$50,密度!$C$2:$C$50)</f>
        <v>24113.10334664</v>
      </c>
      <c r="L16" s="73" ph="1">
        <f>L15*9.0746*LOOKUP(L17,密度!$A$2:$A$50,密度!$E$2:$E$50)</f>
        <v>12607.771916040001</v>
      </c>
      <c r="M16" s="73" ph="1">
        <f>M15*9.0746*LOOKUP(M17,密度!$A$2:$A$50,密度!$M$2:$M$50)</f>
        <v>48558.925994819998</v>
      </c>
      <c r="N16" s="73" ph="1">
        <f>N15*9.0746*LOOKUP(N17,密度!$A$2:$A$50,密度!$M$2:$M$50)</f>
        <v>15098.020018199999</v>
      </c>
      <c r="O16" s="73" ph="1">
        <f>O15*9.0746*LOOKUP(O17,密度!$A$2:$A$50,密度!$G$2:$G$50)</f>
        <v>7415.32209444</v>
      </c>
      <c r="P16" s="73" ph="1">
        <f ca="1">P15*9.0746*LOOKUP(P17,密度!$A$2:$A$51,密度!$Q$2:$Q$50)</f>
        <v>44969.020768532006</v>
      </c>
      <c r="Q16" s="73" ph="1">
        <f>Q15*9.0746*LOOKUP(Q17,密度!$A$2:$A$50,密度!$Q$2:$Q$50)</f>
        <v>22381.093701778002</v>
      </c>
      <c r="R16" s="73" ph="1">
        <f>MAX(R15*9.0746*LOOKUP(R17,密度!$A$2:$A$50,密度!$B$2:$B$50),0)</f>
        <v>0</v>
      </c>
      <c r="S16" s="73" ph="1">
        <f>S15*9.0746*LOOKUP(S17,密度!$A$2:$A$50,密度!$Q$2:$Q$50)</f>
        <v>53117.176705332</v>
      </c>
      <c r="T16" s="73" ph="1">
        <f>T15*9.0746*LOOKUP(T17,密度!$A$2:$A$50,密度!$O$2:$O$50)</f>
        <v>53998.53434440001</v>
      </c>
      <c r="U16" s="73" ph="1">
        <f>U15*9.0746*LOOKUP(U17,密度!$A$2:$A$50,密度!$H$2:$H$50)</f>
        <v>20926.875167639999</v>
      </c>
      <c r="V16" s="73" ph="1">
        <f>MAX(5600*LOOKUP(V17,密度!$A$2:$A$50,密度!$Q$2:$Q$50)+V15*9.0476*LOOKUP(V17,密度!$A$2:$A$50,密度!$Q$2:$Q$50),0)</f>
        <v>47481.348605463994</v>
      </c>
      <c r="W16" s="73" ph="1">
        <f>MAX(5600*LOOKUP(W17,密度!$A$2:$A$50,密度!$Q$2:$Q$50)+W15*9.0476*LOOKUP(W17,密度!$A$2:$A$50,密度!$Q$2:$Q$50),0)</f>
        <v>42145.355735784004</v>
      </c>
      <c r="X16" s="73" ph="1">
        <f>MAX(5600*LOOKUP(X17,密度!$A$2:$A$50,密度!$I$2:$I$50)+X15*9.0476*LOOKUP(X17,密度!$A$2:$A$50,密度!$I$2:$I$50),0)</f>
        <v>12164.620345079999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71.362654400000011</v>
      </c>
      <c r="AB16" s="73" ph="1">
        <f>AB15*9.0746*LOOKUP(AB17,密度!$A$2:$A$50,密度!$L$2:$L$50)</f>
        <v>9334.7143343999996</v>
      </c>
      <c r="AC16" s="73" ph="1">
        <f>AC15*9.0746*LOOKUP(AC17,密度!$A$2:$A$50,密度!$L$2:$L$50)</f>
        <v>239.85982719999998</v>
      </c>
      <c r="AD16" s="73" ph="1">
        <f>AD15*268.68*LOOKUP(AD17,密度!$A$2:$A$50,密度!B2:B50)+IF(AD15&lt;=0,0,1566*LOOKUP(AD17,密度!$A$2:$A$50,密度!B2:B50))</f>
        <v>18943.511938079999</v>
      </c>
      <c r="AE16" s="73" ph="1">
        <f>AE15*268.68*LOOKUP(AE17,密度!$A$2:$A$50,密度!B2:B50)+IF(AE15&lt;=0,0,1566*LOOKUP(AE17,密度!$A$2:$A$50,密度!B2:B50))</f>
        <v>10753.51145328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21</v>
      </c>
      <c r="E17" s="74">
        <v>20</v>
      </c>
      <c r="F17" s="74">
        <v>24</v>
      </c>
      <c r="G17" s="74">
        <v>19</v>
      </c>
      <c r="H17" s="74">
        <v>16</v>
      </c>
      <c r="I17" s="74">
        <v>18</v>
      </c>
      <c r="J17" s="74">
        <v>19</v>
      </c>
      <c r="K17" s="74">
        <v>19</v>
      </c>
      <c r="L17" s="74">
        <v>19</v>
      </c>
      <c r="M17" s="74">
        <v>21</v>
      </c>
      <c r="N17" s="74">
        <v>20</v>
      </c>
      <c r="O17" s="74">
        <v>20</v>
      </c>
      <c r="P17" s="74">
        <v>21</v>
      </c>
      <c r="Q17" s="74">
        <v>21</v>
      </c>
      <c r="R17" s="74">
        <v>20</v>
      </c>
      <c r="S17" s="74">
        <v>20</v>
      </c>
      <c r="T17" s="74">
        <v>19</v>
      </c>
      <c r="U17" s="74">
        <v>18</v>
      </c>
      <c r="V17" s="74">
        <v>20</v>
      </c>
      <c r="W17" s="74">
        <v>21</v>
      </c>
      <c r="X17" s="74">
        <v>25</v>
      </c>
      <c r="Y17" s="108">
        <v>25</v>
      </c>
      <c r="Z17" s="74">
        <v>19</v>
      </c>
      <c r="AA17" s="74">
        <v>17</v>
      </c>
      <c r="AB17" s="74">
        <v>20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5991</v>
      </c>
      <c r="E18" s="71">
        <v>4569</v>
      </c>
      <c r="F18" s="71">
        <v>3665</v>
      </c>
      <c r="G18" s="71">
        <v>1882</v>
      </c>
      <c r="H18" s="71">
        <v>4145</v>
      </c>
      <c r="I18" s="71">
        <v>1610</v>
      </c>
      <c r="J18" s="71">
        <v>2499</v>
      </c>
      <c r="K18" s="71">
        <v>2386</v>
      </c>
      <c r="L18" s="71">
        <v>1759</v>
      </c>
      <c r="M18" s="71">
        <v>3131</v>
      </c>
      <c r="N18" s="71">
        <v>3770</v>
      </c>
      <c r="O18" s="71">
        <v>845</v>
      </c>
      <c r="P18" s="71">
        <v>5224</v>
      </c>
      <c r="Q18" s="71">
        <v>2598</v>
      </c>
      <c r="R18" s="71">
        <v>0</v>
      </c>
      <c r="S18" s="71">
        <v>6164</v>
      </c>
      <c r="T18" s="71">
        <v>5864</v>
      </c>
      <c r="U18" s="71">
        <v>2503</v>
      </c>
      <c r="V18" s="71">
        <v>4903</v>
      </c>
      <c r="W18" s="71">
        <v>4285</v>
      </c>
      <c r="X18" s="71">
        <v>671</v>
      </c>
      <c r="Y18" s="109">
        <v>-9906</v>
      </c>
      <c r="Z18" s="71">
        <v>0</v>
      </c>
      <c r="AA18" s="71">
        <v>9</v>
      </c>
      <c r="AB18" s="71">
        <v>1089</v>
      </c>
      <c r="AC18" s="71">
        <v>21</v>
      </c>
      <c r="AD18" s="71">
        <v>19.41</v>
      </c>
      <c r="AE18" s="71">
        <v>84.92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52" t="s" ph="1">
        <v>178</v>
      </c>
      <c r="D19" s="73" ph="1">
        <f>D18*7.0686*LOOKUP(D20,密度!$A$2:$A$50,密度!$L$2:$L$50)</f>
        <v>39807.103644000003</v>
      </c>
      <c r="E19" s="73" ph="1">
        <f>E18*7.0686*LOOKUP(E20,密度!$A$2:$A$50,密度!$L$2:$L$50)</f>
        <v>30326.350962600001</v>
      </c>
      <c r="F19" s="73" ph="1">
        <f>F18*9.0746*LOOKUP(F20,密度!$A$2:$A$50,密度!$L$2:$L$50)</f>
        <v>31163.129233000003</v>
      </c>
      <c r="G19" s="73" ph="1">
        <f>G18*9.0746*LOOKUP(G20,密度!$A$2:$A$50,密度!$B$2:$B$50)</f>
        <v>13375.80068704</v>
      </c>
      <c r="H19" s="73" ph="1">
        <f>H18*9.0746*LOOKUP(H20,密度!$A$2:$A$50,密度!$L$2:$L$50)</f>
        <v>35507.820848000003</v>
      </c>
      <c r="I19" s="73" ph="1">
        <f>I18*9.0746*LOOKUP(I20,密度!$A$2:$A$50,密度!$U$2:$U$50)</f>
        <v>15019.188968</v>
      </c>
      <c r="J19" s="73" ph="1">
        <f>J18*9.0746*LOOKUP(J20,密度!$A$2:$A$50,密度!$L$2:$L$50)</f>
        <v>21294.102450599999</v>
      </c>
      <c r="K19" s="73" ph="1">
        <f>K18*9.0746*LOOKUP(K20,密度!$A$2:$A$50,密度!$C$2:$C$50)</f>
        <v>24057.532311160001</v>
      </c>
      <c r="L19" s="73" ph="1">
        <f>L18*9.0746*LOOKUP(L20,密度!$A$2:$A$50,密度!$E$2:$E$50)</f>
        <v>12578.230463200001</v>
      </c>
      <c r="M19" s="73" ph="1">
        <f>M18*9.0746*LOOKUP(M20,密度!$A$2:$A$50,密度!$M$2:$M$50)</f>
        <v>24863.842282260001</v>
      </c>
      <c r="N19" s="73" ph="1">
        <f>N18*9.0746*LOOKUP(N20,密度!$A$2:$A$50,密度!$M$2:$M$50)</f>
        <v>30075.102842199998</v>
      </c>
      <c r="O19" s="73" ph="1">
        <f>O18*9.0746*LOOKUP(O20,密度!$A$2:$A$50,密度!$G$2:$G$50)</f>
        <v>7362.8491274000007</v>
      </c>
      <c r="P19" s="73" ph="1">
        <f ca="1">P18*9.0746*LOOKUP(P20,密度!$A$2:$A$51,密度!$Q$2:$Q$50)</f>
        <v>44880.882264096006</v>
      </c>
      <c r="Q19" s="73" ph="1">
        <f>Q18*9.0746*LOOKUP(Q20,密度!$A$2:$A$50,密度!$Q$2:$Q$50)</f>
        <v>22375.566272172</v>
      </c>
      <c r="R19" s="73" ph="1">
        <f>MAX(R18*9.0746*LOOKUP(R20,密度!$A$2:$A$50,密度!$B$2:$B$50),0)</f>
        <v>0</v>
      </c>
      <c r="S19" s="73" ph="1">
        <f>S18*9.0746*LOOKUP(S20,密度!$A$2:$A$50,密度!$Q$2:$Q$50)</f>
        <v>53088.141070696001</v>
      </c>
      <c r="T19" s="73" ph="1">
        <f>T18*9.0746*LOOKUP(T20,密度!$A$2:$A$50,密度!$O$2:$O$50)</f>
        <v>49275.658774400006</v>
      </c>
      <c r="U19" s="73" ph="1">
        <f>U18*9.0746*LOOKUP(U20,密度!$A$2:$A$50,密度!$H$2:$H$50)</f>
        <v>20889.811778859999</v>
      </c>
      <c r="V19" s="73" ph="1">
        <f>MAX(5600*LOOKUP(V20,密度!$A$2:$A$50,密度!$Q$2:$Q$50)+V18*9.0476*LOOKUP(V20,密度!$A$2:$A$50,密度!$Q$2:$Q$50),0)</f>
        <v>47372.434970959999</v>
      </c>
      <c r="W19" s="73" ph="1">
        <f>MAX(5600*LOOKUP(W20,密度!$A$2:$A$50,密度!$Q$2:$Q$50)+W18*9.0476*LOOKUP(W20,密度!$A$2:$A$50,密度!$Q$2:$Q$50),0)</f>
        <v>42005.874870839994</v>
      </c>
      <c r="X19" s="73" ph="1">
        <f>MAX(5600*LOOKUP(X20,密度!$A$2:$A$50,密度!$I$2:$I$50)+X18*9.0476*LOOKUP(X20,密度!$A$2:$A$50,密度!$I$2:$I$50),0)</f>
        <v>12126.106244399998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63.891536220000006</v>
      </c>
      <c r="AB19" s="73" ph="1">
        <f>AB18*9.0746*LOOKUP(AB20,密度!$A$2:$A$50,密度!$L$2:$L$50)</f>
        <v>9239.8938390000003</v>
      </c>
      <c r="AC19" s="73" ph="1">
        <f>AC18*9.0746*LOOKUP(AC20,密度!$A$2:$A$50,密度!$L$2:$L$50)</f>
        <v>179.13260399999999</v>
      </c>
      <c r="AD19" s="73" ph="1">
        <f>AD18*268.68*LOOKUP(AD20,密度!$A$2:$A$50,密度!B5:B53)+IF(AD18&lt;=0,0,1566*LOOKUP(AD20,密度!$A$2:$A$50,密度!B5:B53))</f>
        <v>5268.8982276000006</v>
      </c>
      <c r="AE19" s="73" ph="1">
        <f>AE18*268.68*LOOKUP(AE20,密度!$A$2:$A$50,密度!B5:B53)+IF(AE18&lt;=0,0,1566*LOOKUP(AE20,密度!$A$2:$A$50,密度!B5:B53))</f>
        <v>18945.051451200001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22</v>
      </c>
      <c r="E20" s="81">
        <v>23</v>
      </c>
      <c r="F20" s="81">
        <v>25</v>
      </c>
      <c r="G20" s="81">
        <v>21</v>
      </c>
      <c r="H20" s="81">
        <v>18</v>
      </c>
      <c r="I20" s="81">
        <v>22</v>
      </c>
      <c r="J20" s="81">
        <v>23</v>
      </c>
      <c r="K20" s="81">
        <v>22</v>
      </c>
      <c r="L20" s="81">
        <v>21</v>
      </c>
      <c r="M20" s="81">
        <v>25</v>
      </c>
      <c r="N20" s="81">
        <v>21</v>
      </c>
      <c r="O20" s="81">
        <v>25</v>
      </c>
      <c r="P20" s="81">
        <v>25</v>
      </c>
      <c r="Q20" s="81">
        <v>22</v>
      </c>
      <c r="R20" s="81">
        <v>35</v>
      </c>
      <c r="S20" s="81">
        <v>22</v>
      </c>
      <c r="T20" s="81">
        <v>25</v>
      </c>
      <c r="U20" s="81">
        <v>20</v>
      </c>
      <c r="V20" s="81">
        <v>23</v>
      </c>
      <c r="W20" s="81">
        <v>25</v>
      </c>
      <c r="X20" s="81">
        <v>28</v>
      </c>
      <c r="Y20" s="110">
        <v>28</v>
      </c>
      <c r="Z20" s="81">
        <v>28</v>
      </c>
      <c r="AA20" s="81">
        <v>22</v>
      </c>
      <c r="AB20" s="81">
        <v>27</v>
      </c>
      <c r="AC20" s="81">
        <v>22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646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52" t="s" ph="1">
        <v>177</v>
      </c>
      <c r="D24" s="71">
        <v>46.62</v>
      </c>
      <c r="E24" s="71">
        <v>5.72</v>
      </c>
      <c r="F24" s="71">
        <v>2229</v>
      </c>
      <c r="G24" s="71">
        <v>3570</v>
      </c>
      <c r="H24" s="71">
        <v>1708</v>
      </c>
      <c r="I24" s="71">
        <v>1527</v>
      </c>
      <c r="J24" s="71">
        <v>720</v>
      </c>
      <c r="K24" s="71">
        <v>3795</v>
      </c>
      <c r="L24" s="71">
        <v>5557</v>
      </c>
      <c r="M24" s="71">
        <v>4883</v>
      </c>
      <c r="N24" s="71">
        <v>3068</v>
      </c>
      <c r="O24" s="71">
        <v>5733</v>
      </c>
      <c r="P24" s="71">
        <v>653</v>
      </c>
      <c r="Q24" s="90">
        <v>3436</v>
      </c>
      <c r="R24" s="71">
        <v>2279</v>
      </c>
      <c r="S24" s="71">
        <v>350</v>
      </c>
      <c r="T24" s="71">
        <v>160</v>
      </c>
      <c r="U24" s="71">
        <v>4332</v>
      </c>
      <c r="V24" s="71">
        <v>8850</v>
      </c>
      <c r="W24" s="71">
        <v>3502</v>
      </c>
      <c r="X24" s="71">
        <v>4200</v>
      </c>
      <c r="Y24" s="71">
        <v>1993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13341.329051184</v>
      </c>
      <c r="E25" s="91" ph="1">
        <f>E24*268.68*LOOKUP(E26,密度!$A$2:$A$50,密度!$C$2:$C$50)+IF(E24&lt;=0,0,1566*LOOKUP(E26,密度!$A$2:$A$50,密度!$C$2:$C$50))</f>
        <v>3440.74992144</v>
      </c>
      <c r="F25" s="91" ph="1">
        <f>F24*11.702*LOOKUP(F26,密度!$A$2:$A$50,密度!$Q$2:$Q$50)</f>
        <v>24771.484135020004</v>
      </c>
      <c r="G25" s="91" ph="1">
        <f>G24*18.322*LOOKUP(G26,密度!$A$2:$A$50,密度!$B$2:$B$50)</f>
        <v>51287.620314</v>
      </c>
      <c r="H25" s="91" ph="1">
        <f>H24*18.322*LOOKUP(H26,密度!$A$2:$A$50,密度!$B$2:$B$50)</f>
        <v>24509.442003199998</v>
      </c>
      <c r="I25" s="91" ph="1">
        <f>I24*18.322*LOOKUP(I26,密度!$A$2:$A$50,密度!$Q$2:$Q$50)</f>
        <v>26589.44082372</v>
      </c>
      <c r="J25" s="91" ph="1">
        <f>J24*18.322*LOOKUP(J26,密度!$A$2:$A$50,密度!$Q$2:$Q$50)</f>
        <v>12528.158529600001</v>
      </c>
      <c r="K25" s="91" ph="1">
        <f>K24*18.322*LOOKUP(K26,密度!$A$2:$A$50,密度!$Q$2:$Q$50)</f>
        <v>66081.812656199996</v>
      </c>
      <c r="L25" s="91" ph="1">
        <f>L24*18.322*LOOKUP(L26,密度!$A$2:$A$50,密度!$Q$2:$Q$50)</f>
        <v>96631.934327859984</v>
      </c>
      <c r="M25" s="91" ph="1">
        <f>M24*18.322*LOOKUP(M26,密度!$A$2:$A$50,密度!$Q$2:$Q$50)</f>
        <v>84965.275138940007</v>
      </c>
      <c r="N25" s="91" ph="1">
        <f>N24*18.322*LOOKUP(N26,密度!$A$2:$A$50,密度!$Q$2:$Q$50)</f>
        <v>53422.661720479999</v>
      </c>
      <c r="O25" s="91" ph="1">
        <f>O24*18.322*LOOKUP(O26,密度!$A$2:$A$50,密度!$C$2:$C$50)</f>
        <v>116794.00490940001</v>
      </c>
      <c r="P25" s="91" ph="1">
        <f>P24*11.702*LOOKUP(P26,密度!$A$2:$A$50,密度!$B$2:$B$50)</f>
        <v>5991.6264446000005</v>
      </c>
      <c r="Q25" s="92" ph="1">
        <f>Q24*18.322*LOOKUP(Q26,密度!$A$2:$A$50,密度!$B$2:$B$50)</f>
        <v>49249.220861599999</v>
      </c>
      <c r="R25" s="91" ph="1">
        <f>R24*35.891*LOOKUP(R26,密度!$A$2:$A$50,密度!$C$2:$C$50)</f>
        <v>91005.7723214</v>
      </c>
      <c r="S25" s="91" ph="1">
        <f>S24*35.891*LOOKUP(S26,密度!$A$2:$A$50,密度!$B$2:$B$50)</f>
        <v>9859.7960649999986</v>
      </c>
      <c r="T25" s="91" ph="1">
        <f>T24*35.891*LOOKUP(T26,密度!$A$2:$A$50,密度!$Q$2:$Q$50)</f>
        <v>5466.9745456000001</v>
      </c>
      <c r="U25" s="91" ph="1">
        <f>U24*35.891</f>
        <v>155479.81200000001</v>
      </c>
      <c r="V25" s="91" ph="1">
        <f>V24*47.051*LOOKUP(V26,密度!$A$2:$A$50,密度!$B$2:$B$50)</f>
        <v>327166.54069500003</v>
      </c>
      <c r="W25" s="91" ph="1">
        <f>W24*47.051*LOOKUP(W26,密度!$A$2:$A$50,密度!$B$2:$B$50)</f>
        <v>128753.3112028</v>
      </c>
      <c r="X25" s="91" ph="1">
        <f>X24*47.051*LOOKUP(X26,密度!$A$2:$A$61,密度!$I$2:$I$61)</f>
        <v>202001.23524000001</v>
      </c>
      <c r="Y25" s="91" ph="1">
        <f>Y24*47.051*LOOKUP(Y26,密度!$A$2:$A$50,密度!$L$2:$L$50)</f>
        <v>88427.602349000008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21</v>
      </c>
      <c r="G26" s="74">
        <v>20</v>
      </c>
      <c r="H26" s="74">
        <v>21</v>
      </c>
      <c r="I26" s="74">
        <v>20</v>
      </c>
      <c r="J26" s="74">
        <v>21</v>
      </c>
      <c r="K26" s="74">
        <v>20</v>
      </c>
      <c r="L26" s="74">
        <v>22</v>
      </c>
      <c r="M26" s="74">
        <v>21</v>
      </c>
      <c r="N26" s="74">
        <v>20</v>
      </c>
      <c r="O26" s="74">
        <v>21</v>
      </c>
      <c r="P26" s="74">
        <v>20</v>
      </c>
      <c r="Q26" s="93">
        <v>22</v>
      </c>
      <c r="R26" s="74">
        <v>20</v>
      </c>
      <c r="S26" s="74">
        <v>19</v>
      </c>
      <c r="T26" s="74">
        <v>18</v>
      </c>
      <c r="U26" s="74">
        <v>20</v>
      </c>
      <c r="V26" s="74">
        <v>18</v>
      </c>
      <c r="W26" s="74">
        <v>23</v>
      </c>
      <c r="X26" s="74">
        <v>43</v>
      </c>
      <c r="Y26" s="74">
        <v>19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52" t="s" ph="1">
        <v>180</v>
      </c>
      <c r="D27" s="71">
        <v>24.41</v>
      </c>
      <c r="E27" s="71">
        <v>11.42</v>
      </c>
      <c r="F27" s="71">
        <v>1027</v>
      </c>
      <c r="G27" s="71">
        <v>3058</v>
      </c>
      <c r="H27" s="71">
        <v>1963</v>
      </c>
      <c r="I27" s="71">
        <v>1526</v>
      </c>
      <c r="J27" s="71">
        <v>1865</v>
      </c>
      <c r="K27" s="71">
        <v>4915</v>
      </c>
      <c r="L27" s="71">
        <v>5555</v>
      </c>
      <c r="M27" s="71">
        <v>4885</v>
      </c>
      <c r="N27" s="71">
        <v>2394</v>
      </c>
      <c r="O27" s="71">
        <v>5732</v>
      </c>
      <c r="P27" s="71">
        <v>646</v>
      </c>
      <c r="Q27" s="90">
        <v>3644</v>
      </c>
      <c r="R27" s="71">
        <v>1428</v>
      </c>
      <c r="S27" s="71">
        <v>347</v>
      </c>
      <c r="T27" s="71">
        <v>159</v>
      </c>
      <c r="U27" s="71">
        <v>4329</v>
      </c>
      <c r="V27" s="71">
        <v>8850</v>
      </c>
      <c r="W27" s="71">
        <v>3170</v>
      </c>
      <c r="X27" s="71">
        <v>4083</v>
      </c>
      <c r="Y27" s="71">
        <v>905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52" t="s" ph="1">
        <v>178</v>
      </c>
      <c r="D28" s="91" ph="1">
        <f>D27*268.68*LOOKUP(D29,密度!$A$2:$A$50,密度!$Q$2:$Q$50)+IF(D27&lt;=0,0,1566*LOOKUP(D29,密度!$A$2:$A$50,密度!$Q$2:$Q$50))</f>
        <v>7691.7690591119999</v>
      </c>
      <c r="E28" s="91" ph="1">
        <f>E27*268.68*LOOKUP(E29,密度!$A$2:$A$50,密度!$C$2:$C$50)+IF(E27&lt;=0,0,1566*LOOKUP(E29,密度!$A$2:$A$50,密度!$C$2:$C$50))</f>
        <v>5139.0036578400004</v>
      </c>
      <c r="F28" s="91" ph="1">
        <f>F27*11.702*LOOKUP(F29,密度!$A$2:$A$50,密度!$Q$2:$Q$50)</f>
        <v>11395.423982800001</v>
      </c>
      <c r="G28" s="91" ph="1">
        <f>G27*18.322*LOOKUP(G29,密度!$A$2:$A$50,密度!$B$2:$B$50)</f>
        <v>43881.659043200001</v>
      </c>
      <c r="H28" s="91" ph="1">
        <f>H27*18.322*LOOKUP(H29,密度!$A$2:$A$50,密度!$B$2:$B$50)</f>
        <v>28168.638555199996</v>
      </c>
      <c r="I28" s="91" ph="1">
        <f>I27*18.322*LOOKUP(I29,密度!$A$2:$A$50,密度!$Q$2:$Q$50)</f>
        <v>26511.076530400002</v>
      </c>
      <c r="J28" s="91" ph="1">
        <f>J27*18.322*LOOKUP(J29,密度!$A$2:$A$50,密度!$Q$2:$Q$50)</f>
        <v>32400.496546000002</v>
      </c>
      <c r="K28" s="91" ph="1">
        <f>K27*18.322*LOOKUP(K29,密度!$A$2:$A$50,密度!$Q$2:$Q$50)</f>
        <v>85584.218499399984</v>
      </c>
      <c r="L28" s="91" ph="1">
        <f>L27*18.322*LOOKUP(L29,密度!$A$2:$A$50,密度!$Q$2:$Q$50)</f>
        <v>96506.572822000002</v>
      </c>
      <c r="M28" s="91" ph="1">
        <f>M27*18.322*LOOKUP(M29,密度!$A$2:$A$50,密度!$Q$2:$Q$50)</f>
        <v>84866.716154000009</v>
      </c>
      <c r="N28" s="91" ph="1">
        <f>N27*18.322*LOOKUP(N29,密度!$A$2:$A$50,密度!$Q$2:$Q$50)</f>
        <v>41629.809390119997</v>
      </c>
      <c r="O28" s="91" ph="1">
        <f>O27*18.322*LOOKUP(O29,密度!$A$2:$A$50,密度!$C$2:$C$50)</f>
        <v>116847.1478704</v>
      </c>
      <c r="P28" s="91" ph="1">
        <f>P27*11.702*LOOKUP(P29,密度!$A$2:$A$50,密度!$B$2:$B$50)</f>
        <v>5920.5941344000003</v>
      </c>
      <c r="Q28" s="92" ph="1">
        <f>Q27*18.322*LOOKUP(Q29,密度!$A$2:$A$50,密度!$B$2:$B$50)</f>
        <v>52230.547386400001</v>
      </c>
      <c r="R28" s="91" ph="1">
        <f>R27*35.891*LOOKUP(R29,密度!$A$2:$A$50,密度!$C$2:$C$50)</f>
        <v>56910.607219199999</v>
      </c>
      <c r="S28" s="91" ph="1">
        <f>S27*35.891*LOOKUP(S29,密度!$A$2:$A$50,密度!$B$2:$B$50)</f>
        <v>9720.4851484999999</v>
      </c>
      <c r="T28" s="91" ph="1">
        <f>T27*35.891*LOOKUP(T29,密度!$A$2:$A$50,密度!$Q$2:$Q$50)</f>
        <v>5416.1424812099995</v>
      </c>
      <c r="U28" s="91" ph="1">
        <f>U27*35.891</f>
        <v>155372.139</v>
      </c>
      <c r="V28" s="91" ph="1">
        <f>V27*47.051*LOOKUP(V29,密度!$A$2:$A$50,密度!$B$2:$B$50)</f>
        <v>326500.29853500001</v>
      </c>
      <c r="W28" s="91" ph="1">
        <f>W27*47.051*LOOKUP(W29,密度!$A$2:$A$50,密度!$B$2:$B$50)</f>
        <v>116815.58794400001</v>
      </c>
      <c r="X28" s="91" ph="1">
        <f>X27*47.051*LOOKUP(X29,密度!$A$2:$A$61,密度!$I$2:$I$61)</f>
        <v>194856.3950319</v>
      </c>
      <c r="Y28" s="91" ph="1">
        <f>Y27*47.051*LOOKUP(Y29,密度!$A$2:$A$50,密度!$L$2:$L$50)</f>
        <v>40026.285699999993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52" t="s" ph="1">
        <v>179</v>
      </c>
      <c r="D29" s="74">
        <v>25</v>
      </c>
      <c r="E29" s="74">
        <v>25</v>
      </c>
      <c r="F29" s="74">
        <v>23</v>
      </c>
      <c r="G29" s="74">
        <v>21</v>
      </c>
      <c r="H29" s="74">
        <v>21</v>
      </c>
      <c r="I29" s="74">
        <v>23</v>
      </c>
      <c r="J29" s="74">
        <v>23</v>
      </c>
      <c r="K29" s="74">
        <v>20</v>
      </c>
      <c r="L29" s="74">
        <v>23</v>
      </c>
      <c r="M29" s="74">
        <v>23</v>
      </c>
      <c r="N29" s="74">
        <v>22</v>
      </c>
      <c r="O29" s="74">
        <v>20</v>
      </c>
      <c r="P29" s="74">
        <v>21</v>
      </c>
      <c r="Q29" s="93">
        <v>22</v>
      </c>
      <c r="R29" s="74">
        <v>23</v>
      </c>
      <c r="S29" s="74">
        <v>24</v>
      </c>
      <c r="T29" s="74">
        <v>22</v>
      </c>
      <c r="U29" s="74">
        <v>23</v>
      </c>
      <c r="V29" s="74">
        <v>20</v>
      </c>
      <c r="W29" s="74">
        <v>21</v>
      </c>
      <c r="X29" s="74">
        <v>50</v>
      </c>
      <c r="Y29" s="74">
        <v>22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52" t="s" ph="1">
        <v>5</v>
      </c>
      <c r="F32" s="151" t="s" ph="1">
        <v>43</v>
      </c>
      <c r="G32" s="97" t="s" ph="1">
        <v>4</v>
      </c>
      <c r="H32" s="152" t="s" ph="1">
        <v>5</v>
      </c>
      <c r="I32" s="151" t="s" ph="1">
        <v>43</v>
      </c>
      <c r="J32" s="97" t="s" ph="1">
        <v>4</v>
      </c>
      <c r="K32" s="152" t="s" ph="1">
        <v>5</v>
      </c>
      <c r="L32" s="151" t="s" ph="1">
        <v>43</v>
      </c>
      <c r="M32" s="97" t="s" ph="1">
        <v>4</v>
      </c>
      <c r="N32" s="152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2" t="s" ph="1">
        <v>5</v>
      </c>
      <c r="U32" s="99" t="s" ph="1">
        <v>43</v>
      </c>
      <c r="V32" s="97" t="s" ph="1">
        <v>4</v>
      </c>
      <c r="W32" s="152" t="s" ph="1">
        <v>5</v>
      </c>
      <c r="X32" s="99" t="s" ph="1">
        <v>43</v>
      </c>
      <c r="Y32" s="100" t="s" ph="1">
        <v>4</v>
      </c>
      <c r="Z32" s="152" t="s" ph="1">
        <v>5</v>
      </c>
      <c r="AA32" s="151" t="s" ph="1">
        <v>43</v>
      </c>
      <c r="AB32" s="97" t="s" ph="1">
        <v>85</v>
      </c>
      <c r="AC32" s="152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93579.192969299998</v>
      </c>
      <c r="E33" s="196" ph="1">
        <f>M10+I10</f>
        <v>111946.25123960001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[[#This Row],[F25]]</f>
        <v>3880</v>
      </c>
      <c r="G33" s="222" ph="1">
        <v>0</v>
      </c>
      <c r="H33" s="196" ph="1">
        <f>N19</f>
        <v>30075.102842199998</v>
      </c>
      <c r="I33" s="200" ph="1">
        <v>0</v>
      </c>
      <c r="J33" s="204" ph="1">
        <f>F10+O28</f>
        <v>319866.9603646</v>
      </c>
      <c r="K33" s="196" ph="1">
        <f>O10+K10+E28+R28</f>
        <v>129170.97286503999</v>
      </c>
      <c r="L33" s="206" ph="1">
        <f>BE27</f>
        <v>7100</v>
      </c>
      <c r="M33" s="204" ph="1">
        <f>G10+H10+W28+S28+V28+E10</f>
        <v>749304.67988250009</v>
      </c>
      <c r="N33" s="196" ph="1">
        <f>L10+P10++G28+H28</f>
        <v>200013.9074924</v>
      </c>
      <c r="O33" s="200" ph="1">
        <f>BE17</f>
        <v>2270</v>
      </c>
      <c r="P33" s="204" ph="1">
        <f>L19</f>
        <v>12578.230463200001</v>
      </c>
      <c r="Q33" s="196" ph="1">
        <f>J10+N10</f>
        <v>6456.7199312000002</v>
      </c>
      <c r="R33" s="200" ph="1">
        <f>BE23</f>
        <v>890</v>
      </c>
      <c r="S33" s="204" ph="1">
        <f>E10+X28</f>
        <v>194856.3950319</v>
      </c>
      <c r="T33" s="196" ph="1">
        <f>X19</f>
        <v>12126.106244399998</v>
      </c>
      <c r="U33" s="185" ph="1">
        <f>BE21</f>
        <v>730</v>
      </c>
      <c r="V33" s="198" ph="1">
        <f ca="1">P19+Q19+S19+M28+N28+J28</f>
        <v>279241.61169708398</v>
      </c>
      <c r="W33" s="198" ph="1">
        <f>D28+F28+V19+T28</f>
        <v>71875.770494081997</v>
      </c>
      <c r="X33" s="200" ph="1">
        <f>BE29+BE31</f>
        <v>10200</v>
      </c>
      <c r="Y33" s="202" ph="1">
        <f>+Q10+R10+S10+T10+U10+V10+W10+X10+Y10</f>
        <v>118481.56176780001</v>
      </c>
      <c r="Z33" s="183" ph="1">
        <f>D10+T19+U19+Y28+Z10</f>
        <v>434600.45628331002</v>
      </c>
      <c r="AA33" s="185" ph="1">
        <f>BE19</f>
        <v>1440</v>
      </c>
      <c r="AB33" s="187" ph="1">
        <f>I19</f>
        <v>15019.188968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50" t="s" ph="1">
        <v>185</v>
      </c>
      <c r="AA36" s="150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052" priority="98">
      <formula>ABS(D$7-D$10)&gt;=1000</formula>
    </cfRule>
  </conditionalFormatting>
  <conditionalFormatting sqref="E4 E6:E11">
    <cfRule type="expression" dxfId="2051" priority="97">
      <formula>ABS(E$7-E$10)&gt;=1000</formula>
    </cfRule>
  </conditionalFormatting>
  <conditionalFormatting sqref="F4:F11">
    <cfRule type="expression" dxfId="2050" priority="96">
      <formula>ABS(F$7-F$10)&gt;=1000</formula>
    </cfRule>
  </conditionalFormatting>
  <conditionalFormatting sqref="G4:G11">
    <cfRule type="expression" dxfId="2049" priority="95">
      <formula>ABS(G$7-G$10)&gt;=1000</formula>
    </cfRule>
  </conditionalFormatting>
  <conditionalFormatting sqref="H4:H11">
    <cfRule type="expression" dxfId="2048" priority="94">
      <formula>ABS(H$7-H$10)&gt;=1000</formula>
    </cfRule>
  </conditionalFormatting>
  <conditionalFormatting sqref="I4:I11">
    <cfRule type="expression" dxfId="2047" priority="93">
      <formula>ABS(I$7-I$10)&gt;=1000</formula>
    </cfRule>
  </conditionalFormatting>
  <conditionalFormatting sqref="J4:J11">
    <cfRule type="expression" dxfId="2046" priority="92">
      <formula>ABS(J$7-J$10)&gt;=1000</formula>
    </cfRule>
  </conditionalFormatting>
  <conditionalFormatting sqref="K4:K11">
    <cfRule type="expression" dxfId="2045" priority="91">
      <formula>ABS(K$7-K$10)&gt;=1000</formula>
    </cfRule>
  </conditionalFormatting>
  <conditionalFormatting sqref="L4:L11">
    <cfRule type="expression" dxfId="2044" priority="90">
      <formula>ABS(L$7-L$10)&gt;=1000</formula>
    </cfRule>
  </conditionalFormatting>
  <conditionalFormatting sqref="M4 M6:M11">
    <cfRule type="expression" dxfId="2043" priority="89">
      <formula>ABS(M$7-M$10)&gt;=1000</formula>
    </cfRule>
  </conditionalFormatting>
  <conditionalFormatting sqref="N4 N6:N11">
    <cfRule type="expression" dxfId="2042" priority="88">
      <formula>ABS(N$7-N$10)&gt;=1000</formula>
    </cfRule>
  </conditionalFormatting>
  <conditionalFormatting sqref="O4 O6:O11">
    <cfRule type="expression" dxfId="2041" priority="87">
      <formula>ABS(O$7-O$10)&gt;=1000</formula>
    </cfRule>
  </conditionalFormatting>
  <conditionalFormatting sqref="P4 P6:P11">
    <cfRule type="expression" dxfId="2040" priority="86">
      <formula>ABS(P$7-P$10)&gt;=1000</formula>
    </cfRule>
  </conditionalFormatting>
  <conditionalFormatting sqref="Q4:Q11">
    <cfRule type="expression" dxfId="2039" priority="85">
      <formula>ABS(Q$7-Q$10)&gt;=1000</formula>
    </cfRule>
  </conditionalFormatting>
  <conditionalFormatting sqref="R4:R11">
    <cfRule type="expression" dxfId="2038" priority="84">
      <formula>ABS(R$7-R$10)&gt;=1000</formula>
    </cfRule>
  </conditionalFormatting>
  <conditionalFormatting sqref="S4:S11">
    <cfRule type="expression" dxfId="2037" priority="83">
      <formula>ABS(S$7-S$10)&gt;=1000</formula>
    </cfRule>
  </conditionalFormatting>
  <conditionalFormatting sqref="T4:T9 T11">
    <cfRule type="expression" dxfId="2036" priority="82">
      <formula>ABS(T$7-T$10)&gt;=1000</formula>
    </cfRule>
  </conditionalFormatting>
  <conditionalFormatting sqref="U4:U9 U11">
    <cfRule type="expression" dxfId="2035" priority="81">
      <formula>ABS(U$7-U$10)&gt;=1000</formula>
    </cfRule>
  </conditionalFormatting>
  <conditionalFormatting sqref="V4:V9 V11">
    <cfRule type="expression" dxfId="2034" priority="80">
      <formula>ABS(V$7-V$10)&gt;=1000</formula>
    </cfRule>
  </conditionalFormatting>
  <conditionalFormatting sqref="W4:W9 W11">
    <cfRule type="expression" dxfId="2033" priority="79">
      <formula>ABS(W$7-W$10)&gt;=1000</formula>
    </cfRule>
  </conditionalFormatting>
  <conditionalFormatting sqref="X4:X9 X11">
    <cfRule type="expression" dxfId="2032" priority="78">
      <formula>ABS(X$7-X$10)&gt;=1000</formula>
    </cfRule>
  </conditionalFormatting>
  <conditionalFormatting sqref="Y4:Y9 Y11">
    <cfRule type="expression" dxfId="2031" priority="77">
      <formula>ABS(Y$7-Y$10)&gt;=1000</formula>
    </cfRule>
  </conditionalFormatting>
  <conditionalFormatting sqref="Z4:Z11">
    <cfRule type="expression" dxfId="2030" priority="76">
      <formula>ABS(Z$7-Z$10)&gt;=1000</formula>
    </cfRule>
  </conditionalFormatting>
  <conditionalFormatting sqref="AA4:AA11">
    <cfRule type="expression" dxfId="2029" priority="75">
      <formula>ABS(AA$7-AA$10)&gt;=1000</formula>
    </cfRule>
  </conditionalFormatting>
  <conditionalFormatting sqref="AB4:AB11">
    <cfRule type="expression" dxfId="2028" priority="74">
      <formula>ABS(AB$7-AB$10)&gt;=1000</formula>
    </cfRule>
  </conditionalFormatting>
  <conditionalFormatting sqref="AC4 AC6:AC11">
    <cfRule type="expression" dxfId="2027" priority="73">
      <formula>ABS(AC$7-AC$10)&gt;=1000</formula>
    </cfRule>
  </conditionalFormatting>
  <conditionalFormatting sqref="AD4:AD11">
    <cfRule type="expression" dxfId="2026" priority="72">
      <formula>ABS(AD$7-AD$10)&gt;=1000</formula>
    </cfRule>
  </conditionalFormatting>
  <conditionalFormatting sqref="AE4 AE6:AE11">
    <cfRule type="expression" dxfId="2025" priority="71">
      <formula>ABS(AE$7-AE$10)&gt;=1000</formula>
    </cfRule>
  </conditionalFormatting>
  <conditionalFormatting sqref="D13:D20">
    <cfRule type="expression" dxfId="2024" priority="70">
      <formula>ABS(D$16-D$19)&gt;=1000</formula>
    </cfRule>
  </conditionalFormatting>
  <conditionalFormatting sqref="E13:E20">
    <cfRule type="expression" dxfId="2023" priority="69">
      <formula>ABS(E$16-E$19)&gt;=1000</formula>
    </cfRule>
  </conditionalFormatting>
  <conditionalFormatting sqref="F13 F15:F20">
    <cfRule type="expression" dxfId="2022" priority="68">
      <formula>ABS(F$16-F$19)&gt;=1000</formula>
    </cfRule>
  </conditionalFormatting>
  <conditionalFormatting sqref="G13:G20">
    <cfRule type="expression" dxfId="2021" priority="67">
      <formula>ABS(G$16-G$19)&gt;=1000</formula>
    </cfRule>
  </conditionalFormatting>
  <conditionalFormatting sqref="H13:H20">
    <cfRule type="expression" dxfId="2020" priority="66">
      <formula>ABS(H$16-H$19)&gt;=1000</formula>
    </cfRule>
  </conditionalFormatting>
  <conditionalFormatting sqref="I13:I20">
    <cfRule type="expression" dxfId="2019" priority="65">
      <formula>ABS(I$16-I$19)&gt;=1000</formula>
    </cfRule>
  </conditionalFormatting>
  <conditionalFormatting sqref="J13:J20">
    <cfRule type="expression" dxfId="2018" priority="64">
      <formula>ABS(J$16-J$19)&gt;=1000</formula>
    </cfRule>
  </conditionalFormatting>
  <conditionalFormatting sqref="L13:L20">
    <cfRule type="expression" dxfId="2017" priority="63">
      <formula>ABS(L$16-L$19)&gt;=1000</formula>
    </cfRule>
  </conditionalFormatting>
  <conditionalFormatting sqref="M13 M15 M17:M18 M20">
    <cfRule type="expression" dxfId="2016" priority="62">
      <formula>ABS(M$16-M$19)&gt;=1000</formula>
    </cfRule>
  </conditionalFormatting>
  <conditionalFormatting sqref="N13:N20">
    <cfRule type="expression" dxfId="2015" priority="61">
      <formula>ABS(N$16-N$19)&gt;=1000</formula>
    </cfRule>
  </conditionalFormatting>
  <conditionalFormatting sqref="O13:O20">
    <cfRule type="expression" dxfId="2014" priority="60">
      <formula>ABS(O$16-O$19)&gt;=1000</formula>
    </cfRule>
  </conditionalFormatting>
  <conditionalFormatting sqref="P13:P20">
    <cfRule type="expression" dxfId="2013" priority="59">
      <formula>ABS(P$16-P$19)&gt;=1000</formula>
    </cfRule>
  </conditionalFormatting>
  <conditionalFormatting sqref="Q13 Q15:Q20">
    <cfRule type="expression" dxfId="2012" priority="58">
      <formula>ABS(Q$16-Q$19)&gt;=1000</formula>
    </cfRule>
  </conditionalFormatting>
  <conditionalFormatting sqref="R13:R20">
    <cfRule type="expression" dxfId="2011" priority="57">
      <formula>ABS(R$16-R$19)&gt;=1000</formula>
    </cfRule>
  </conditionalFormatting>
  <conditionalFormatting sqref="S13:S20">
    <cfRule type="expression" dxfId="2010" priority="56">
      <formula>ABS(S$16-S$19)&gt;=1000</formula>
    </cfRule>
  </conditionalFormatting>
  <conditionalFormatting sqref="T13:T20">
    <cfRule type="expression" dxfId="2009" priority="55">
      <formula>ABS(T$16-T$19)&gt;=1000</formula>
    </cfRule>
  </conditionalFormatting>
  <conditionalFormatting sqref="U13:U20">
    <cfRule type="expression" dxfId="2008" priority="54">
      <formula>ABS(U$16-U$19)&gt;=1000</formula>
    </cfRule>
  </conditionalFormatting>
  <conditionalFormatting sqref="V13:V20">
    <cfRule type="expression" dxfId="2007" priority="53">
      <formula>ABS(V$16-V$19)&gt;=1000</formula>
    </cfRule>
  </conditionalFormatting>
  <conditionalFormatting sqref="W13 W20 W15:W18">
    <cfRule type="expression" dxfId="2006" priority="52">
      <formula>ABS(W$16-W$19)&gt;=1000</formula>
    </cfRule>
  </conditionalFormatting>
  <conditionalFormatting sqref="X13 X15:X20 Y19">
    <cfRule type="expression" dxfId="2005" priority="51">
      <formula>ABS(X$16-X$19)&gt;=1000</formula>
    </cfRule>
  </conditionalFormatting>
  <conditionalFormatting sqref="Y13 Y15:Y18 Y20">
    <cfRule type="expression" dxfId="2004" priority="50">
      <formula>ABS(Y$16-Y$19)&gt;=1000</formula>
    </cfRule>
  </conditionalFormatting>
  <conditionalFormatting sqref="Z13:Z20">
    <cfRule type="expression" dxfId="2003" priority="49">
      <formula>ABS(Z$16-Z$19)&gt;=1000</formula>
    </cfRule>
  </conditionalFormatting>
  <conditionalFormatting sqref="AA13:AA20">
    <cfRule type="expression" dxfId="2002" priority="48">
      <formula>ABS(AA$16-AA$19)&gt;=1000</formula>
    </cfRule>
  </conditionalFormatting>
  <conditionalFormatting sqref="AB13 AB15:AB20">
    <cfRule type="expression" dxfId="2001" priority="47">
      <formula>ABS(AB$16-AB$19)&gt;=1000</formula>
    </cfRule>
  </conditionalFormatting>
  <conditionalFormatting sqref="AC13 AC15:AC20">
    <cfRule type="expression" dxfId="2000" priority="46">
      <formula>ABS(AC$16-AC$19)&gt;=1000</formula>
    </cfRule>
  </conditionalFormatting>
  <conditionalFormatting sqref="AD13:AD20">
    <cfRule type="expression" dxfId="1999" priority="45">
      <formula>ABS(AD$16-AD$19)&gt;=1000</formula>
    </cfRule>
  </conditionalFormatting>
  <conditionalFormatting sqref="AE13:AE20">
    <cfRule type="expression" dxfId="1998" priority="44">
      <formula>ABS(AE$16-AE$19)&gt;=1000</formula>
    </cfRule>
  </conditionalFormatting>
  <conditionalFormatting sqref="D22:D29">
    <cfRule type="expression" dxfId="1997" priority="43">
      <formula>ABS(D$25-D$28)&gt;=1000</formula>
    </cfRule>
  </conditionalFormatting>
  <conditionalFormatting sqref="E22:E29">
    <cfRule type="expression" dxfId="1996" priority="42">
      <formula>ABS(E$25-E$28)&gt;=1000</formula>
    </cfRule>
  </conditionalFormatting>
  <conditionalFormatting sqref="F22:F29">
    <cfRule type="expression" dxfId="1995" priority="41">
      <formula>ABS(F$25-F$28)&gt;=1000</formula>
    </cfRule>
  </conditionalFormatting>
  <conditionalFormatting sqref="G22:G29">
    <cfRule type="expression" dxfId="1994" priority="40">
      <formula>ABS(G$25-G$28)&gt;=1000</formula>
    </cfRule>
  </conditionalFormatting>
  <conditionalFormatting sqref="H22:H29">
    <cfRule type="expression" dxfId="1993" priority="39">
      <formula>ABS(H$25-H$28)&gt;=1000</formula>
    </cfRule>
  </conditionalFormatting>
  <conditionalFormatting sqref="I22 I24:I29">
    <cfRule type="expression" dxfId="1992" priority="38">
      <formula>ABS(I$25-I$28)&gt;=1000</formula>
    </cfRule>
  </conditionalFormatting>
  <conditionalFormatting sqref="J22:J29 K22">
    <cfRule type="expression" dxfId="1991" priority="37">
      <formula>ABS(J$25-J$28)&gt;=1000</formula>
    </cfRule>
  </conditionalFormatting>
  <conditionalFormatting sqref="K23:K29 L25 L28">
    <cfRule type="expression" dxfId="1990" priority="36">
      <formula>ABS(K$25-K$28)&gt;=1000</formula>
    </cfRule>
  </conditionalFormatting>
  <conditionalFormatting sqref="L22 L26:L27 L29 L24">
    <cfRule type="expression" dxfId="1989" priority="35">
      <formula>ABS(L$25-L$28)&gt;=1000</formula>
    </cfRule>
  </conditionalFormatting>
  <conditionalFormatting sqref="M22:M29">
    <cfRule type="expression" dxfId="1988" priority="34">
      <formula>ABS(M$25-M$28)&gt;=1000</formula>
    </cfRule>
  </conditionalFormatting>
  <conditionalFormatting sqref="N22:N29">
    <cfRule type="expression" dxfId="1987" priority="33">
      <formula>ABS(N$25-N$28)&gt;=1000</formula>
    </cfRule>
  </conditionalFormatting>
  <conditionalFormatting sqref="O22:O29">
    <cfRule type="expression" dxfId="1986" priority="32">
      <formula>ABS(O$25-O$28)&gt;=1000</formula>
    </cfRule>
  </conditionalFormatting>
  <conditionalFormatting sqref="P22:P29">
    <cfRule type="expression" dxfId="1985" priority="31">
      <formula>ABS(P$25-P$28)&gt;=1000</formula>
    </cfRule>
  </conditionalFormatting>
  <conditionalFormatting sqref="Q22:Q29">
    <cfRule type="expression" dxfId="1984" priority="30">
      <formula>ABS(Q$25-Q$28)&gt;=1000</formula>
    </cfRule>
  </conditionalFormatting>
  <conditionalFormatting sqref="R22:R29">
    <cfRule type="expression" dxfId="1983" priority="29">
      <formula>ABS(R$25-R$28)&gt;=1000</formula>
    </cfRule>
  </conditionalFormatting>
  <conditionalFormatting sqref="S22:S29">
    <cfRule type="expression" dxfId="1982" priority="28">
      <formula>ABS(S$25-S$28)&gt;=1000</formula>
    </cfRule>
  </conditionalFormatting>
  <conditionalFormatting sqref="T22:T29">
    <cfRule type="expression" dxfId="1981" priority="27">
      <formula>ABS(T$25-T$28)&gt;=1000</formula>
    </cfRule>
  </conditionalFormatting>
  <conditionalFormatting sqref="U22:U29">
    <cfRule type="expression" dxfId="1980" priority="26">
      <formula>ABS(U$25-U$28)&gt;=1000</formula>
    </cfRule>
  </conditionalFormatting>
  <conditionalFormatting sqref="V22:V29">
    <cfRule type="expression" dxfId="1979" priority="25">
      <formula>ABS(V$25-V$28)&gt;=1000</formula>
    </cfRule>
  </conditionalFormatting>
  <conditionalFormatting sqref="W22:W29">
    <cfRule type="expression" dxfId="1978" priority="24">
      <formula>ABS(W$25-W$28)&gt;=1000</formula>
    </cfRule>
  </conditionalFormatting>
  <conditionalFormatting sqref="X22:X29">
    <cfRule type="expression" dxfId="1977" priority="23">
      <formula>ABS(X$25-X$28)&gt;=1000</formula>
    </cfRule>
  </conditionalFormatting>
  <conditionalFormatting sqref="Y22:Y29">
    <cfRule type="expression" dxfId="1976" priority="22">
      <formula>ABS(Y$25-Y$28)&gt;=1000</formula>
    </cfRule>
  </conditionalFormatting>
  <conditionalFormatting sqref="I23">
    <cfRule type="expression" dxfId="1975" priority="21">
      <formula>ABS(I$25-I$28)&gt;=1000</formula>
    </cfRule>
  </conditionalFormatting>
  <conditionalFormatting sqref="Q14">
    <cfRule type="expression" dxfId="1974" priority="20">
      <formula>ABS(Q$16-Q$19)&gt;=1000</formula>
    </cfRule>
  </conditionalFormatting>
  <conditionalFormatting sqref="W14">
    <cfRule type="expression" dxfId="1973" priority="19">
      <formula>ABS(W$16-W$19)&gt;=1000</formula>
    </cfRule>
  </conditionalFormatting>
  <conditionalFormatting sqref="Y14">
    <cfRule type="expression" dxfId="1972" priority="18">
      <formula>ABS(Y$16-Y$19)&gt;=1000</formula>
    </cfRule>
  </conditionalFormatting>
  <conditionalFormatting sqref="X14">
    <cfRule type="expression" dxfId="1971" priority="17">
      <formula>ABS(X$16-X$19)&gt;=1000</formula>
    </cfRule>
  </conditionalFormatting>
  <conditionalFormatting sqref="T10:Y10">
    <cfRule type="expression" dxfId="1970" priority="16">
      <formula>ABS(T$7-T$10)&gt;=1000</formula>
    </cfRule>
  </conditionalFormatting>
  <conditionalFormatting sqref="W19">
    <cfRule type="expression" dxfId="1969" priority="15">
      <formula>ABS(W$16-W$19)&gt;=1000</formula>
    </cfRule>
  </conditionalFormatting>
  <conditionalFormatting sqref="AC5">
    <cfRule type="expression" dxfId="1968" priority="14">
      <formula>ABS(AC$7-AC$10)&gt;=1000</formula>
    </cfRule>
  </conditionalFormatting>
  <conditionalFormatting sqref="M14">
    <cfRule type="expression" dxfId="1967" priority="13">
      <formula>ABS(M$16-M$19)&gt;=1000</formula>
    </cfRule>
  </conditionalFormatting>
  <conditionalFormatting sqref="M16">
    <cfRule type="expression" dxfId="1966" priority="12">
      <formula>ABS(M$16-M$19)&gt;=1000</formula>
    </cfRule>
  </conditionalFormatting>
  <conditionalFormatting sqref="M19">
    <cfRule type="expression" dxfId="1965" priority="11">
      <formula>ABS(M$16-M$19)&gt;=1000</formula>
    </cfRule>
  </conditionalFormatting>
  <conditionalFormatting sqref="K13:K20">
    <cfRule type="expression" dxfId="1964" priority="10">
      <formula>ABS(K$16-K$19)&gt;=1000</formula>
    </cfRule>
  </conditionalFormatting>
  <conditionalFormatting sqref="E5">
    <cfRule type="expression" dxfId="1963" priority="9">
      <formula>ABS(E$7-E$10)&gt;=1000</formula>
    </cfRule>
  </conditionalFormatting>
  <conditionalFormatting sqref="AB14:AC14">
    <cfRule type="expression" dxfId="1962" priority="8">
      <formula>ABS(AB$16-AB$19)&gt;=1000</formula>
    </cfRule>
  </conditionalFormatting>
  <conditionalFormatting sqref="M5">
    <cfRule type="expression" dxfId="1961" priority="7">
      <formula>ABS(M$7-M$10)&gt;=1000</formula>
    </cfRule>
  </conditionalFormatting>
  <conditionalFormatting sqref="N5">
    <cfRule type="expression" dxfId="1960" priority="6">
      <formula>ABS(N$7-N$10)&gt;=1000</formula>
    </cfRule>
  </conditionalFormatting>
  <conditionalFormatting sqref="O5">
    <cfRule type="expression" dxfId="1959" priority="5">
      <formula>ABS(O$7-O$10)&gt;=1000</formula>
    </cfRule>
  </conditionalFormatting>
  <conditionalFormatting sqref="P5">
    <cfRule type="expression" dxfId="1958" priority="4">
      <formula>ABS(P$7-P$10)&gt;=1000</formula>
    </cfRule>
  </conditionalFormatting>
  <conditionalFormatting sqref="L23">
    <cfRule type="expression" dxfId="1957" priority="3">
      <formula>ABS(L$25-L$28)&gt;=1000</formula>
    </cfRule>
  </conditionalFormatting>
  <conditionalFormatting sqref="F14">
    <cfRule type="expression" dxfId="1956" priority="2">
      <formula>ABS(F$16-F$19)&gt;=1000</formula>
    </cfRule>
  </conditionalFormatting>
  <conditionalFormatting sqref="AE5">
    <cfRule type="expression" dxfId="1955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51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82">
    <pageSetUpPr fitToPage="1"/>
  </sheetPr>
  <dimension ref="A1:CU223"/>
  <sheetViews>
    <sheetView view="pageBreakPreview" zoomScale="70" zoomScaleNormal="100" zoomScaleSheetLayoutView="70" workbookViewId="0">
      <selection activeCell="AC17" sqref="AC1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46001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52" t="s" ph="1">
        <v>177</v>
      </c>
      <c r="D6" s="71">
        <v>5114</v>
      </c>
      <c r="E6" s="71">
        <v>0</v>
      </c>
      <c r="F6" s="71">
        <v>5499</v>
      </c>
      <c r="G6" s="71">
        <v>4043</v>
      </c>
      <c r="H6" s="71">
        <v>3493</v>
      </c>
      <c r="I6" s="71">
        <v>27.12</v>
      </c>
      <c r="J6" s="71">
        <v>7.02</v>
      </c>
      <c r="K6" s="71">
        <v>6.91</v>
      </c>
      <c r="L6" s="71">
        <v>30.92</v>
      </c>
      <c r="M6" s="71">
        <v>3040</v>
      </c>
      <c r="N6" s="71">
        <v>185</v>
      </c>
      <c r="O6" s="71">
        <v>2865</v>
      </c>
      <c r="P6" s="71">
        <v>3310</v>
      </c>
      <c r="Q6" s="71">
        <v>0</v>
      </c>
      <c r="R6" s="71">
        <v>0</v>
      </c>
      <c r="S6" s="71">
        <v>3414</v>
      </c>
      <c r="T6" s="71">
        <v>6829</v>
      </c>
      <c r="U6" s="71">
        <v>4187</v>
      </c>
      <c r="V6" s="71">
        <v>2142</v>
      </c>
      <c r="W6" s="71">
        <v>0</v>
      </c>
      <c r="X6" s="71">
        <v>0</v>
      </c>
      <c r="Y6" s="71">
        <v>0</v>
      </c>
      <c r="Z6" s="71">
        <v>5456</v>
      </c>
      <c r="AA6" s="71">
        <v>1908</v>
      </c>
      <c r="AB6" s="71">
        <v>1343</v>
      </c>
      <c r="AC6" s="71">
        <v>9294</v>
      </c>
      <c r="AD6" s="71">
        <v>4780</v>
      </c>
      <c r="AE6" s="71">
        <v>4832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161277.45408756001</v>
      </c>
      <c r="E7" s="73" ph="1">
        <f>E6*51.53*LOOKUP(E8,密度!$A$2:$A$50,密度!$B$2:$B$50)</f>
        <v>0</v>
      </c>
      <c r="F7" s="73" ph="1">
        <f>F6*33.183*LOOKUP(F8,密度!$A$2:$A$50,密度!$C$2:$C$50)</f>
        <v>203129.29648439999</v>
      </c>
      <c r="G7" s="73" ph="1">
        <f xml:space="preserve"> (G6+2)*51.53*LOOKUP(G8,密度!$A$2:$A$50,密度!$B$2:$B$50)</f>
        <v>163603.65336500001</v>
      </c>
      <c r="H7" s="73" ph="1">
        <f>(H6)*51.53*LOOKUP(H8,密度!$A$2:$A$50,密度!$B$2:$B$50)</f>
        <v>141547.50965600001</v>
      </c>
      <c r="I7" s="73" ph="1">
        <f>I6*290.8*1.0267</f>
        <v>8097.065443200001</v>
      </c>
      <c r="J7" s="73" ph="1">
        <f>J6*290.8*0.7892</f>
        <v>1611.0855071999999</v>
      </c>
      <c r="K7" s="73" ph="1">
        <f>K6*290.8*1.1126</f>
        <v>2235.6895928000004</v>
      </c>
      <c r="L7" s="73" ph="1">
        <f>L6*290.8*0.777</f>
        <v>6986.4234720000004</v>
      </c>
      <c r="M7" s="73" ph="1">
        <f>M6*33.183*LOOKUP(M8,密度!$A$2:$A$50,密度!$D$2:$D$50)</f>
        <v>104043.836448</v>
      </c>
      <c r="N7" s="73" ph="1">
        <f>N6*33.183*LOOKUP(N8,密度!$A$2:$A$50,密度!$E$2:$E$50)</f>
        <v>4844.7843659999999</v>
      </c>
      <c r="O7" s="73" ph="1">
        <f>O6*20.428*LOOKUP(O8,密度!$A$2:$A$50,密度!$C$2:$C$50)</f>
        <v>64987.514688000003</v>
      </c>
      <c r="P7" s="73" ph="1">
        <f>P6*51.53*LOOKUP(P8,密度!$A$2:$A$50,密度!$B$2:$B$50)</f>
        <v>133585.95976000003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22804.929377999997</v>
      </c>
      <c r="T7" s="73" ph="1">
        <f>T6*1.5*1.5*3.1416*LOOKUP(T8,密度!$A$2:$A$50,密度!$L$2:$L$50)</f>
        <v>45713.081521799999</v>
      </c>
      <c r="U7" s="73" ph="1">
        <f>U6*1.5*1.5*3.1416*LOOKUP(U8,密度!$A$2:$A$50,密度!$L$2:$L$50)</f>
        <v>27850.050736199995</v>
      </c>
      <c r="V7" s="73" ph="1">
        <f>V6*1.5*1.5*3.1416*LOOKUP(V8,密度!$A$2:$A$50,密度!$L$2:$L$50)</f>
        <v>14202.202845599999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170907.84691200001</v>
      </c>
      <c r="AA7" s="73" ph="1">
        <f>AA6*33.183*LOOKUP(AA8,密度!$A$2:$A$50,密度!$D$2:$D$50)</f>
        <v>65301.197349600006</v>
      </c>
      <c r="AB7" s="73" ph="1">
        <f>AB6*20.428*LOOKUP(AB8,密度!$A$2:$A$50,密度!$D$2:$D$50)</f>
        <v>28460.865669600003</v>
      </c>
      <c r="AC7" s="73" ph="1">
        <f>AC6*51.53*LOOKUP(AC8,密度!$A$2:$A$50,密度!$Q$2:$Q$50)</f>
        <v>455562.9003786</v>
      </c>
      <c r="AD7" s="73" ph="1">
        <f>AD6*20.428*LOOKUP(AD8,密度!$A$2:$A$50,密度!$V$2:$V$50)</f>
        <v>94130.589760000003</v>
      </c>
      <c r="AE7" s="73" ph="1">
        <f>AE6*20.428</f>
        <v>98708.096000000005</v>
      </c>
    </row>
    <row r="8" spans="1:99" ph="1">
      <c r="B8" s="247" ph="1"/>
      <c r="C8" s="68" t="s" ph="1">
        <v>179</v>
      </c>
      <c r="D8" s="74">
        <v>20</v>
      </c>
      <c r="E8" s="74">
        <v>18</v>
      </c>
      <c r="F8" s="74">
        <v>19</v>
      </c>
      <c r="G8" s="74">
        <v>19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20</v>
      </c>
      <c r="O8" s="74">
        <v>23</v>
      </c>
      <c r="P8" s="74">
        <v>21</v>
      </c>
      <c r="Q8" s="74">
        <v>21</v>
      </c>
      <c r="R8" s="74">
        <v>24</v>
      </c>
      <c r="S8" s="74">
        <v>17</v>
      </c>
      <c r="T8" s="74">
        <v>15</v>
      </c>
      <c r="U8" s="74">
        <v>21</v>
      </c>
      <c r="V8" s="74">
        <v>24</v>
      </c>
      <c r="W8" s="74">
        <v>19</v>
      </c>
      <c r="X8" s="74">
        <v>20</v>
      </c>
      <c r="Y8" s="74">
        <v>19</v>
      </c>
      <c r="Z8" s="74">
        <v>18</v>
      </c>
      <c r="AA8" s="74">
        <v>20</v>
      </c>
      <c r="AB8" s="74">
        <v>13</v>
      </c>
      <c r="AC8" s="74">
        <v>19</v>
      </c>
      <c r="AD8" s="74">
        <v>18</v>
      </c>
      <c r="AE8" s="74">
        <v>23</v>
      </c>
    </row>
    <row r="9" spans="1:99" ht="26.4" ph="1">
      <c r="B9" s="247" ph="1">
        <v>0.66666666666666663</v>
      </c>
      <c r="C9" s="152" t="s" ph="1">
        <v>180</v>
      </c>
      <c r="D9" s="71">
        <v>5114</v>
      </c>
      <c r="E9" s="71">
        <v>0</v>
      </c>
      <c r="F9" s="71">
        <v>5497</v>
      </c>
      <c r="G9" s="71">
        <v>3763</v>
      </c>
      <c r="H9" s="71">
        <v>4617</v>
      </c>
      <c r="I9" s="71">
        <v>27.12</v>
      </c>
      <c r="J9" s="71">
        <v>7.02</v>
      </c>
      <c r="K9" s="71">
        <v>6.92</v>
      </c>
      <c r="L9" s="71">
        <v>52.4</v>
      </c>
      <c r="M9" s="71">
        <v>3040</v>
      </c>
      <c r="N9" s="71">
        <v>126</v>
      </c>
      <c r="O9" s="71">
        <v>2218</v>
      </c>
      <c r="P9" s="71">
        <v>3286</v>
      </c>
      <c r="Q9" s="71">
        <v>0</v>
      </c>
      <c r="R9" s="71">
        <v>0</v>
      </c>
      <c r="S9" s="71">
        <v>0</v>
      </c>
      <c r="T9" s="71">
        <v>6822</v>
      </c>
      <c r="U9" s="71">
        <v>6263</v>
      </c>
      <c r="V9" s="71">
        <v>4360</v>
      </c>
      <c r="W9" s="71">
        <v>0</v>
      </c>
      <c r="X9" s="71">
        <v>0</v>
      </c>
      <c r="Y9" s="71">
        <v>0</v>
      </c>
      <c r="Z9" s="71">
        <v>3899</v>
      </c>
      <c r="AA9" s="71">
        <v>1907</v>
      </c>
      <c r="AB9" s="71">
        <v>1250</v>
      </c>
      <c r="AC9" s="71">
        <v>9294</v>
      </c>
      <c r="AD9" s="71">
        <v>4780</v>
      </c>
      <c r="AE9" s="71">
        <v>4633</v>
      </c>
    </row>
    <row r="10" spans="1:99" s="72" customFormat="1" ht="22.2" ph="1">
      <c r="B10" s="247" ph="1"/>
      <c r="C10" s="152" t="s" ph="1">
        <v>178</v>
      </c>
      <c r="D10" s="73" ph="1">
        <f>D9*33.183*LOOKUP(D11,密度!$A$2:$A$50,密度!$Q$2:$Q$50)</f>
        <v>161160.36256278001</v>
      </c>
      <c r="E10" s="73" ph="1">
        <f>E9*51.53*LOOKUP(E11,密度!$A$2:$A$50,密度!$B$2:$B$50)</f>
        <v>0</v>
      </c>
      <c r="F10" s="73" ph="1">
        <f>F9*33.183*LOOKUP(F11,密度!$A$2:$A$50,密度!$C$2:$C$50)</f>
        <v>203055.41785319999</v>
      </c>
      <c r="G10" s="73" ph="1">
        <f xml:space="preserve"> (G9+2)*51.53*LOOKUP(G11,密度!$A$2:$A$50,密度!$B$2:$B$50)</f>
        <v>152123.59384500002</v>
      </c>
      <c r="H10" s="73" ph="1">
        <f>(H9)*51.53*LOOKUP(H11,密度!$A$2:$A$50,密度!$B$2:$B$50)</f>
        <v>186929.03765700001</v>
      </c>
      <c r="I10" s="73" ph="1">
        <f>I9*290.8*1.0267</f>
        <v>8097.065443200001</v>
      </c>
      <c r="J10" s="73" ph="1">
        <f>J9*290.8*0.7892</f>
        <v>1611.0855071999999</v>
      </c>
      <c r="K10" s="73" ph="1">
        <f>K9*290.8*1.1126</f>
        <v>2238.9250336</v>
      </c>
      <c r="L10" s="73" ph="1">
        <f>L9*290.8*0.777</f>
        <v>11839.86384</v>
      </c>
      <c r="M10" s="73" ph="1">
        <f>M9*33.183*LOOKUP(M11,密度!$A$2:$A$50,密度!$D$2:$D$50)</f>
        <v>103953.04775999999</v>
      </c>
      <c r="N10" s="73" ph="1">
        <f>N9*33.183*LOOKUP(N11,密度!$A$2:$A$50,密度!$E$2:$E$50)</f>
        <v>3284.6391647999999</v>
      </c>
      <c r="O10" s="73" ph="1">
        <f>O9*20.428*LOOKUP(O11,密度!$A$2:$A$50,密度!$C$2:$C$50)</f>
        <v>50275.2037184</v>
      </c>
      <c r="P10" s="73" ph="1">
        <f>P9*51.53*LOOKUP(P11,密度!$A$2:$A$50,密度!$B$2:$B$50)</f>
        <v>132464.965834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45521.557804799995</v>
      </c>
      <c r="U10" s="73" ph="1">
        <f>U9*1.5*1.5*3.1416*LOOKUP(U11,密度!$A$2:$A$50,密度!$L$2:$L$50)</f>
        <v>41747.215217399993</v>
      </c>
      <c r="V10" s="73" ph="1">
        <f>V9*1.5*1.5*3.1416*LOOKUP(V11,密度!$A$2:$A$50,密度!$L$2:$L$50)</f>
        <v>28846.673856000001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122005.82753099999</v>
      </c>
      <c r="AA10" s="73" ph="1">
        <f>AA9*33.183*LOOKUP(AA11,密度!$A$2:$A$50,密度!$D$2:$D$50)</f>
        <v>65266.972403400003</v>
      </c>
      <c r="AB10" s="73" ph="1">
        <f>AB9*20.428*LOOKUP(AB11,密度!$A$2:$A$50,密度!$D$2:$D$50)</f>
        <v>26490.009000000002</v>
      </c>
      <c r="AC10" s="73" ph="1">
        <f>AC9*51.53*LOOKUP(AC11,密度!$A$2:$A$50,密度!$Q$2:$Q$50)</f>
        <v>455562.9003786</v>
      </c>
      <c r="AD10" s="73" ph="1">
        <f>AD9*20.428*LOOKUP(AD11,密度!$A$2:$A$50,密度!$V$2:$V$50)</f>
        <v>94130.589760000003</v>
      </c>
      <c r="AE10" s="73" ph="1">
        <f>AE9*20.428</f>
        <v>94642.923999999999</v>
      </c>
    </row>
    <row r="11" spans="1:99" ph="1">
      <c r="A11" s="64" t="s" ph="1">
        <v>162</v>
      </c>
      <c r="B11" s="247" ph="1"/>
      <c r="C11" s="152" t="s" ph="1">
        <v>179</v>
      </c>
      <c r="D11" s="74">
        <v>21</v>
      </c>
      <c r="E11" s="74">
        <v>21</v>
      </c>
      <c r="F11" s="74">
        <v>19</v>
      </c>
      <c r="G11" s="74">
        <v>20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23</v>
      </c>
      <c r="O11" s="74">
        <v>24</v>
      </c>
      <c r="P11" s="74">
        <v>22</v>
      </c>
      <c r="Q11" s="74">
        <v>25</v>
      </c>
      <c r="R11" s="74">
        <v>27</v>
      </c>
      <c r="S11" s="74">
        <v>18</v>
      </c>
      <c r="T11" s="74">
        <v>18</v>
      </c>
      <c r="U11" s="74">
        <v>19</v>
      </c>
      <c r="V11" s="74">
        <v>26</v>
      </c>
      <c r="W11" s="74">
        <v>24</v>
      </c>
      <c r="X11" s="74">
        <v>20</v>
      </c>
      <c r="Y11" s="74">
        <v>22</v>
      </c>
      <c r="Z11" s="74">
        <v>19</v>
      </c>
      <c r="AA11" s="74">
        <v>20</v>
      </c>
      <c r="AB11" s="74">
        <v>13</v>
      </c>
      <c r="AC11" s="74">
        <v>19</v>
      </c>
      <c r="AD11" s="74">
        <v>20</v>
      </c>
      <c r="AE11" s="74">
        <v>24</v>
      </c>
    </row>
    <row r="12" spans="1:99" ht="9.9" customHeight="1" ph="1"/>
    <row r="13" spans="1:99" s="72" customFormat="1" ht="29.25" customHeight="1" ph="1">
      <c r="B13" s="224" t="s" ph="1">
        <v>37</v>
      </c>
      <c r="C13" s="15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52" t="s" ph="1">
        <v>177</v>
      </c>
      <c r="D15" s="78">
        <v>5983</v>
      </c>
      <c r="E15" s="78">
        <v>4566</v>
      </c>
      <c r="F15" s="78">
        <v>3662</v>
      </c>
      <c r="G15" s="78">
        <v>2027</v>
      </c>
      <c r="H15" s="78">
        <v>4143</v>
      </c>
      <c r="I15" s="78">
        <v>1610</v>
      </c>
      <c r="J15" s="78">
        <v>4454</v>
      </c>
      <c r="K15" s="78">
        <v>2386</v>
      </c>
      <c r="L15" s="78">
        <v>4998</v>
      </c>
      <c r="M15" s="78">
        <v>6035</v>
      </c>
      <c r="N15" s="78">
        <v>850</v>
      </c>
      <c r="O15" s="78">
        <v>846</v>
      </c>
      <c r="P15" s="78">
        <v>5219</v>
      </c>
      <c r="Q15" s="78">
        <v>2598</v>
      </c>
      <c r="R15" s="78">
        <v>0</v>
      </c>
      <c r="S15" s="78">
        <v>6160</v>
      </c>
      <c r="T15" s="78">
        <v>5861</v>
      </c>
      <c r="U15" s="78">
        <v>2502</v>
      </c>
      <c r="V15" s="78">
        <v>4902</v>
      </c>
      <c r="W15" s="71">
        <v>4283</v>
      </c>
      <c r="X15" s="78">
        <v>671</v>
      </c>
      <c r="Y15" s="106">
        <v>-9903</v>
      </c>
      <c r="Z15" s="78">
        <v>0</v>
      </c>
      <c r="AA15" s="78">
        <v>10</v>
      </c>
      <c r="AB15" s="78" ph="1">
        <v>1092</v>
      </c>
      <c r="AC15" s="78" ph="1">
        <v>28</v>
      </c>
      <c r="AD15" s="78">
        <v>4.62</v>
      </c>
      <c r="AE15" s="78">
        <v>42.31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52" t="s" ph="1">
        <v>178</v>
      </c>
      <c r="D16" s="73" ph="1">
        <f>D15*7.0686*LOOKUP(D17,密度!$A$2:$A$50,密度!$L$2:$L$50)</f>
        <v>39796.239205799997</v>
      </c>
      <c r="E16" s="73" ph="1">
        <f>E15*7.0686*LOOKUP(E17,密度!$A$2:$A$50,密度!$L$2:$L$50)</f>
        <v>30338.713943999996</v>
      </c>
      <c r="F16" s="73" ph="1">
        <f>F15*9.0746*LOOKUP(F17,密度!$A$2:$A$50,密度!$L$2:$L$50)</f>
        <v>31170.851717599999</v>
      </c>
      <c r="G16" s="73" ph="1">
        <f>G15*9.0746*LOOKUP(G17,密度!$A$2:$A$50,密度!$B$2:$B$50)</f>
        <v>14422.903354220001</v>
      </c>
      <c r="H16" s="73" ph="1">
        <f>H15*9.0746*LOOKUP(H17,密度!$A$2:$A$50,密度!$L$2:$L$50)</f>
        <v>35565.880138799999</v>
      </c>
      <c r="I16" s="73" ph="1">
        <f>I15*9.0746*LOOKUP(I17,密度!$A$2:$A$50,密度!$U$2:$U$50)</f>
        <v>15019.188968</v>
      </c>
      <c r="J16" s="73" ph="1">
        <f>J15*9.0746*LOOKUP(J17,密度!$A$2:$A$50,密度!$L$2:$L$50)</f>
        <v>38033.590564400001</v>
      </c>
      <c r="K16" s="73" ph="1">
        <f>K15*9.0746*LOOKUP(K17,密度!$A$2:$A$50,密度!$C$2:$C$50)</f>
        <v>24103.00150192</v>
      </c>
      <c r="L16" s="73" ph="1">
        <f>L15*9.0746*LOOKUP(L17,密度!$A$2:$A$50,密度!$E$2:$E$50)</f>
        <v>35739.622430399999</v>
      </c>
      <c r="M16" s="73" ph="1">
        <f>M15*9.0746*LOOKUP(M17,密度!$A$2:$A$50,密度!$M$2:$M$50)</f>
        <v>48144.096990099999</v>
      </c>
      <c r="N16" s="73" ph="1">
        <f>N15*9.0746*LOOKUP(N17,密度!$A$2:$A$50,密度!$M$2:$M$50)</f>
        <v>6790.1148229999999</v>
      </c>
      <c r="O16" s="73" ph="1">
        <f>O15*9.0746*LOOKUP(O17,密度!$A$2:$A$50,密度!$G$2:$G$50)</f>
        <v>7407.64498284</v>
      </c>
      <c r="P16" s="73" ph="1">
        <f ca="1">P15*9.0746*LOOKUP(P17,密度!$A$2:$A$51,密度!$Q$2:$Q$50)</f>
        <v>44977.638825406008</v>
      </c>
      <c r="Q16" s="73" ph="1">
        <f>Q15*9.0746*LOOKUP(Q17,密度!$A$2:$A$50,密度!$Q$2:$Q$50)</f>
        <v>22389.711758652</v>
      </c>
      <c r="R16" s="73" ph="1">
        <f>MAX(R15*9.0746*LOOKUP(R17,密度!$A$2:$A$50,密度!$B$2:$B$50),0)</f>
        <v>0</v>
      </c>
      <c r="S16" s="73" ph="1">
        <f>S15*9.0746*LOOKUP(S17,密度!$A$2:$A$50,密度!$Q$2:$Q$50)</f>
        <v>53125.801023680004</v>
      </c>
      <c r="T16" s="73" ph="1">
        <f>T15*9.0746*LOOKUP(T17,密度!$A$2:$A$50,密度!$O$2:$O$50)</f>
        <v>49463.194458000005</v>
      </c>
      <c r="U16" s="73" ph="1">
        <f>U15*9.0746*LOOKUP(U17,密度!$A$2:$A$50,密度!$H$2:$H$50)</f>
        <v>20926.875167639999</v>
      </c>
      <c r="V16" s="73" ph="1">
        <f>MAX(5600*LOOKUP(V17,密度!$A$2:$A$50,密度!$Q$2:$Q$50)+V15*9.0476*LOOKUP(V17,密度!$A$2:$A$50,密度!$Q$2:$Q$50),0)</f>
        <v>47472.749947375989</v>
      </c>
      <c r="W16" s="73" ph="1">
        <f>MAX(5600*LOOKUP(W17,密度!$A$2:$A$50,密度!$Q$2:$Q$50)+W15*9.0476*LOOKUP(W17,密度!$A$2:$A$50,密度!$Q$2:$Q$50),0)</f>
        <v>42092.967967571996</v>
      </c>
      <c r="X16" s="73" ph="1">
        <f>MAX(5600*LOOKUP(X17,密度!$A$2:$A$50,密度!$I$2:$I$50)+X15*9.0476*LOOKUP(X17,密度!$A$2:$A$50,密度!$I$2:$I$50),0)</f>
        <v>12164.620345079999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71.362654400000011</v>
      </c>
      <c r="AB16" s="73" ph="1">
        <f>AB15*9.0746*LOOKUP(AB17,密度!$A$2:$A$50,密度!$L$2:$L$50)</f>
        <v>9344.6237975999993</v>
      </c>
      <c r="AC16" s="73" ph="1">
        <f>AC15*9.0746*LOOKUP(AC17,密度!$A$2:$A$50,密度!$L$2:$L$50)</f>
        <v>239.85982719999998</v>
      </c>
      <c r="AD16" s="73" ph="1">
        <f>AD15*268.68*LOOKUP(AD17,密度!$A$2:$A$50,密度!B2:B50)+IF(AD15&lt;=0,0,1566*LOOKUP(AD17,密度!$A$2:$A$50,密度!B2:B50))</f>
        <v>2188.5723273599997</v>
      </c>
      <c r="AE16" s="73" ph="1">
        <f>AE15*268.68*LOOKUP(AE17,密度!$A$2:$A$50,密度!B2:B50)+IF(AE15&lt;=0,0,1566*LOOKUP(AE17,密度!$A$2:$A$50,密度!B2:B50))</f>
        <v>10083.23008368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21</v>
      </c>
      <c r="E17" s="74">
        <v>22</v>
      </c>
      <c r="F17" s="74">
        <v>24</v>
      </c>
      <c r="G17" s="74">
        <v>20</v>
      </c>
      <c r="H17" s="74">
        <v>16</v>
      </c>
      <c r="I17" s="74">
        <v>18</v>
      </c>
      <c r="J17" s="74">
        <v>21</v>
      </c>
      <c r="K17" s="74">
        <v>19</v>
      </c>
      <c r="L17" s="74">
        <v>21</v>
      </c>
      <c r="M17" s="74">
        <v>21</v>
      </c>
      <c r="N17" s="74">
        <v>18</v>
      </c>
      <c r="O17" s="74">
        <v>21</v>
      </c>
      <c r="P17" s="74">
        <v>21</v>
      </c>
      <c r="Q17" s="74">
        <v>21</v>
      </c>
      <c r="R17" s="74">
        <v>20</v>
      </c>
      <c r="S17" s="74">
        <v>20</v>
      </c>
      <c r="T17" s="74">
        <v>20</v>
      </c>
      <c r="U17" s="74">
        <v>18</v>
      </c>
      <c r="V17" s="74">
        <v>20</v>
      </c>
      <c r="W17" s="74">
        <v>22</v>
      </c>
      <c r="X17" s="74">
        <v>25</v>
      </c>
      <c r="Y17" s="108">
        <v>25</v>
      </c>
      <c r="Z17" s="74">
        <v>20</v>
      </c>
      <c r="AA17" s="74">
        <v>17</v>
      </c>
      <c r="AB17" s="74">
        <v>19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5986</v>
      </c>
      <c r="E18" s="71">
        <v>5787</v>
      </c>
      <c r="F18" s="71">
        <v>1438</v>
      </c>
      <c r="G18" s="71">
        <v>2087</v>
      </c>
      <c r="H18" s="71">
        <v>4144</v>
      </c>
      <c r="I18" s="71">
        <v>1610</v>
      </c>
      <c r="J18" s="71">
        <v>2186</v>
      </c>
      <c r="K18" s="71">
        <v>2386</v>
      </c>
      <c r="L18" s="71">
        <v>4999</v>
      </c>
      <c r="M18" s="71">
        <v>3086</v>
      </c>
      <c r="N18" s="71">
        <v>2566</v>
      </c>
      <c r="O18" s="71">
        <v>846</v>
      </c>
      <c r="P18" s="71">
        <v>5220</v>
      </c>
      <c r="Q18" s="71">
        <v>2598</v>
      </c>
      <c r="R18" s="71">
        <v>0</v>
      </c>
      <c r="S18" s="71">
        <v>6163</v>
      </c>
      <c r="T18" s="71">
        <v>4526</v>
      </c>
      <c r="U18" s="71">
        <v>4339</v>
      </c>
      <c r="V18" s="71">
        <v>4900</v>
      </c>
      <c r="W18" s="71">
        <v>3420</v>
      </c>
      <c r="X18" s="71">
        <v>670</v>
      </c>
      <c r="Y18" s="109">
        <v>-9906</v>
      </c>
      <c r="Z18" s="71">
        <v>0</v>
      </c>
      <c r="AA18" s="71">
        <v>10</v>
      </c>
      <c r="AB18" s="71">
        <v>1092</v>
      </c>
      <c r="AC18" s="71">
        <v>22</v>
      </c>
      <c r="AD18" s="71">
        <v>14.51</v>
      </c>
      <c r="AE18" s="71">
        <v>84.52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52" t="s" ph="1">
        <v>178</v>
      </c>
      <c r="D19" s="73" ph="1">
        <f>D18*7.0686*LOOKUP(D20,密度!$A$2:$A$50,密度!$L$2:$L$50)</f>
        <v>39858.506503199998</v>
      </c>
      <c r="E19" s="73" ph="1">
        <f>E18*7.0686*LOOKUP(E20,密度!$A$2:$A$50,密度!$L$2:$L$50)</f>
        <v>38492.534896199999</v>
      </c>
      <c r="F19" s="73" ph="1">
        <f>F18*9.0746*LOOKUP(F20,密度!$A$2:$A$50,密度!$L$2:$L$50)</f>
        <v>12227.170487600002</v>
      </c>
      <c r="G19" s="73" ph="1">
        <f>G18*9.0746*LOOKUP(G20,密度!$A$2:$A$50,密度!$B$2:$B$50)</f>
        <v>14849.826985820002</v>
      </c>
      <c r="H19" s="73" ph="1">
        <f>H18*9.0746*LOOKUP(H20,密度!$A$2:$A$50,密度!$L$2:$L$50)</f>
        <v>35499.254425600004</v>
      </c>
      <c r="I19" s="73" ph="1">
        <f>I18*9.0746*LOOKUP(I20,密度!$A$2:$A$50,密度!$U$2:$U$50)</f>
        <v>15004.578861999998</v>
      </c>
      <c r="J19" s="73" ph="1">
        <f>J18*9.0746*LOOKUP(J20,密度!$A$2:$A$50,密度!$L$2:$L$50)</f>
        <v>18627.013988399998</v>
      </c>
      <c r="K19" s="73" ph="1">
        <f>K18*9.0746*LOOKUP(K20,密度!$A$2:$A$50,密度!$C$2:$C$50)</f>
        <v>24057.532311160001</v>
      </c>
      <c r="L19" s="73" ph="1">
        <f>L18*9.0746*LOOKUP(L20,密度!$A$2:$A$50,密度!$E$2:$E$50)</f>
        <v>35692.336504720006</v>
      </c>
      <c r="M19" s="73" ph="1">
        <f>M18*9.0746*LOOKUP(M20,密度!$A$2:$A$50,密度!$M$2:$M$50)</f>
        <v>24559.6970812</v>
      </c>
      <c r="N19" s="73" ph="1">
        <f>N18*9.0746*LOOKUP(N20,密度!$A$2:$A$50,密度!$M$2:$M$50)</f>
        <v>20498.158395080001</v>
      </c>
      <c r="O19" s="73" ph="1">
        <f>O18*9.0746*LOOKUP(O20,密度!$A$2:$A$50,密度!$G$2:$G$50)</f>
        <v>7386.9167815200008</v>
      </c>
      <c r="P19" s="73" ph="1">
        <f ca="1">P18*9.0746*LOOKUP(P20,密度!$A$2:$A$51,密度!$Q$2:$Q$50)</f>
        <v>44915.676458400005</v>
      </c>
      <c r="Q19" s="73" ph="1">
        <f>Q18*9.0746*LOOKUP(Q20,密度!$A$2:$A$50,密度!$Q$2:$Q$50)</f>
        <v>22375.566272172</v>
      </c>
      <c r="R19" s="73" ph="1">
        <f>MAX(R18*9.0746*LOOKUP(R20,密度!$A$2:$A$50,密度!$B$2:$B$50),0)</f>
        <v>0</v>
      </c>
      <c r="S19" s="73" ph="1">
        <f>S18*9.0746*LOOKUP(S20,密度!$A$2:$A$50,密度!$Q$2:$Q$50)</f>
        <v>53079.528458581997</v>
      </c>
      <c r="T19" s="73" ph="1">
        <f>T18*9.0746*LOOKUP(T20,密度!$A$2:$A$50,密度!$O$2:$O$50)</f>
        <v>38196.624828000007</v>
      </c>
      <c r="U19" s="73" ph="1">
        <f>U18*9.0746*LOOKUP(U20,密度!$A$2:$A$50,密度!$H$2:$H$50)</f>
        <v>36212.901841179999</v>
      </c>
      <c r="V19" s="73" ph="1">
        <f>MAX(5600*LOOKUP(V20,密度!$A$2:$A$50,密度!$Q$2:$Q$50)+V18*9.0476*LOOKUP(V20,密度!$A$2:$A$50,密度!$Q$2:$Q$50),0)</f>
        <v>47391.138751600003</v>
      </c>
      <c r="W19" s="73" ph="1">
        <f>MAX(5600*LOOKUP(W20,密度!$A$2:$A$50,密度!$Q$2:$Q$50)+W18*9.0476*LOOKUP(W20,密度!$A$2:$A$50,密度!$Q$2:$Q$50),0)</f>
        <v>34649.875374399999</v>
      </c>
      <c r="X19" s="73" ph="1">
        <f>MAX(5600*LOOKUP(X20,密度!$A$2:$A$50,密度!$I$2:$I$50)+X18*9.0476*LOOKUP(X20,密度!$A$2:$A$50,密度!$I$2:$I$50),0)</f>
        <v>12142.361950399998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71.072267200000013</v>
      </c>
      <c r="AB19" s="73" ph="1">
        <f>AB18*9.0746*LOOKUP(AB20,密度!$A$2:$A$50,密度!$L$2:$L$50)</f>
        <v>9304.9859447999988</v>
      </c>
      <c r="AC19" s="73" ph="1">
        <f>AC18*9.0746*LOOKUP(AC20,密度!$A$2:$A$50,密度!$L$2:$L$50)</f>
        <v>187.86236919999999</v>
      </c>
      <c r="AD19" s="73" ph="1">
        <f>AD18*268.68*LOOKUP(AD20,密度!$A$2:$A$50,密度!B5:B53)+IF(AD18&lt;=0,0,1566*LOOKUP(AD20,密度!$A$2:$A$50,密度!B5:B53))</f>
        <v>4245.9528636000005</v>
      </c>
      <c r="AE19" s="73" ph="1">
        <f>AE18*268.68*LOOKUP(AE20,密度!$A$2:$A$50,密度!B5:B53)+IF(AE18&lt;=0,0,1566*LOOKUP(AE20,密度!$A$2:$A$50,密度!B5:B53))</f>
        <v>18861.545707199999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20</v>
      </c>
      <c r="E20" s="81">
        <v>21</v>
      </c>
      <c r="F20" s="81">
        <v>25</v>
      </c>
      <c r="G20" s="81">
        <v>20</v>
      </c>
      <c r="H20" s="81">
        <v>18</v>
      </c>
      <c r="I20" s="81">
        <v>23</v>
      </c>
      <c r="J20" s="81">
        <v>23</v>
      </c>
      <c r="K20" s="81">
        <v>22</v>
      </c>
      <c r="L20" s="81">
        <v>22</v>
      </c>
      <c r="M20" s="81">
        <v>23</v>
      </c>
      <c r="N20" s="81">
        <v>20</v>
      </c>
      <c r="O20" s="81">
        <v>23</v>
      </c>
      <c r="P20" s="81">
        <v>23</v>
      </c>
      <c r="Q20" s="81">
        <v>22</v>
      </c>
      <c r="R20" s="81">
        <v>27</v>
      </c>
      <c r="S20" s="81">
        <v>22</v>
      </c>
      <c r="T20" s="81">
        <v>23</v>
      </c>
      <c r="U20" s="81">
        <v>20</v>
      </c>
      <c r="V20" s="81">
        <v>22</v>
      </c>
      <c r="W20" s="81">
        <v>23</v>
      </c>
      <c r="X20" s="81">
        <v>26</v>
      </c>
      <c r="Y20" s="110">
        <v>26</v>
      </c>
      <c r="Z20" s="81">
        <v>23</v>
      </c>
      <c r="AA20" s="81">
        <v>21</v>
      </c>
      <c r="AB20" s="81">
        <v>23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644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52" t="s" ph="1">
        <v>177</v>
      </c>
      <c r="D24" s="71">
        <v>54.91</v>
      </c>
      <c r="E24" s="71">
        <v>5.51</v>
      </c>
      <c r="F24" s="71">
        <v>2318</v>
      </c>
      <c r="G24" s="71">
        <v>3847</v>
      </c>
      <c r="H24" s="71">
        <v>2869</v>
      </c>
      <c r="I24" s="71">
        <v>1527</v>
      </c>
      <c r="J24" s="71">
        <v>1845</v>
      </c>
      <c r="K24" s="71">
        <v>4917</v>
      </c>
      <c r="L24" s="71">
        <v>5558</v>
      </c>
      <c r="M24" s="71">
        <v>4885</v>
      </c>
      <c r="N24" s="71">
        <v>1135</v>
      </c>
      <c r="O24" s="71">
        <v>5732</v>
      </c>
      <c r="P24" s="71">
        <v>651</v>
      </c>
      <c r="Q24" s="90">
        <v>3718</v>
      </c>
      <c r="R24" s="71">
        <v>1861</v>
      </c>
      <c r="S24" s="71">
        <v>350</v>
      </c>
      <c r="T24" s="71">
        <v>160</v>
      </c>
      <c r="U24" s="71">
        <v>4451</v>
      </c>
      <c r="V24" s="71">
        <v>8851</v>
      </c>
      <c r="W24" s="71">
        <v>2554</v>
      </c>
      <c r="X24" s="71">
        <v>4080</v>
      </c>
      <c r="Y24" s="71">
        <v>936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15450.057206711999</v>
      </c>
      <c r="E25" s="91" ph="1">
        <f>E24*268.68*LOOKUP(E26,密度!$A$2:$A$50,密度!$C$2:$C$50)+IF(E24&lt;=0,0,1566*LOOKUP(E26,密度!$A$2:$A$50,密度!$C$2:$C$50))</f>
        <v>3378.1826785200001</v>
      </c>
      <c r="F25" s="91" ph="1">
        <f>F24*11.702*LOOKUP(F26,密度!$A$2:$A$50,密度!$Q$2:$Q$50)</f>
        <v>25779.281789680001</v>
      </c>
      <c r="G25" s="91" ph="1">
        <f>G24*18.322*LOOKUP(G26,密度!$A$2:$A$50,密度!$B$2:$B$50)</f>
        <v>55203.643668799996</v>
      </c>
      <c r="H25" s="91" ph="1">
        <f>H24*18.322*LOOKUP(H26,密度!$A$2:$A$50,密度!$B$2:$B$50)</f>
        <v>41074.930185199999</v>
      </c>
      <c r="I25" s="91" ph="1">
        <f>I24*18.322*LOOKUP(I26,密度!$A$2:$A$50,密度!$Q$2:$Q$50)</f>
        <v>26553.349598459998</v>
      </c>
      <c r="J25" s="91" ph="1">
        <f>J24*18.322*LOOKUP(J26,密度!$A$2:$A$50,密度!$Q$2:$Q$50)</f>
        <v>32083.123778099995</v>
      </c>
      <c r="K25" s="91" ph="1">
        <f>K24*18.322*LOOKUP(K26,密度!$A$2:$A$50,密度!$Q$2:$Q$50)</f>
        <v>85619.044224119993</v>
      </c>
      <c r="L25" s="91" ph="1">
        <f>L24*18.322*LOOKUP(L26,密度!$A$2:$A$50,密度!$Q$2:$Q$50)</f>
        <v>96710.423760439997</v>
      </c>
      <c r="M25" s="91" ph="1">
        <f>M24*18.322*LOOKUP(M26,密度!$A$2:$A$50,密度!$Q$2:$Q$50)</f>
        <v>84946.373797299995</v>
      </c>
      <c r="N25" s="91" ph="1">
        <f>N24*18.322*LOOKUP(N26,密度!$A$2:$A$50,密度!$Q$2:$Q$50)</f>
        <v>19736.772622299999</v>
      </c>
      <c r="O25" s="91" ph="1">
        <f>O24*18.322*LOOKUP(O26,密度!$A$2:$A$50,密度!$C$2:$C$50)</f>
        <v>116616.1001216</v>
      </c>
      <c r="P25" s="91" ph="1">
        <f>P24*11.702*LOOKUP(P26,密度!$A$2:$A$50,密度!$B$2:$B$50)</f>
        <v>5959.5629646000007</v>
      </c>
      <c r="Q25" s="92" ph="1">
        <f>Q24*18.322*LOOKUP(Q26,密度!$A$2:$A$50,密度!$B$2:$B$50)</f>
        <v>53229.902554399996</v>
      </c>
      <c r="R25" s="91" ph="1">
        <f>R24*35.891*LOOKUP(R26,密度!$A$2:$A$50,密度!$C$2:$C$50)</f>
        <v>74213.870076099993</v>
      </c>
      <c r="S25" s="91" ph="1">
        <f>S24*35.891*LOOKUP(S26,密度!$A$2:$A$50,密度!$B$2:$B$50)</f>
        <v>9859.7960649999986</v>
      </c>
      <c r="T25" s="91" ph="1">
        <f>T24*35.891*LOOKUP(T26,密度!$A$2:$A$50,密度!$Q$2:$Q$50)</f>
        <v>5466.9745456000001</v>
      </c>
      <c r="U25" s="91" ph="1">
        <f>U24*35.891</f>
        <v>159750.84099999999</v>
      </c>
      <c r="V25" s="91" ph="1">
        <f>V24*47.051*LOOKUP(V26,密度!$A$2:$A$50,密度!$B$2:$B$50)</f>
        <v>326162.38766320003</v>
      </c>
      <c r="W25" s="91" ph="1">
        <f>W24*47.051*LOOKUP(W26,密度!$A$2:$A$50,密度!$B$2:$B$50)</f>
        <v>93899.473675600006</v>
      </c>
      <c r="X25" s="91" ph="1">
        <f>X24*47.051*LOOKUP(X26,密度!$A$2:$A$61,密度!$I$2:$I$61)</f>
        <v>195365.91501600001</v>
      </c>
      <c r="Y25" s="91" ph="1">
        <f>Y24*47.051*LOOKUP(Y26,密度!$A$2:$A$50,密度!$L$2:$L$50)</f>
        <v>41529.471047999999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20</v>
      </c>
      <c r="G26" s="74">
        <v>21</v>
      </c>
      <c r="H26" s="74">
        <v>23</v>
      </c>
      <c r="I26" s="74">
        <v>22</v>
      </c>
      <c r="J26" s="74">
        <v>22</v>
      </c>
      <c r="K26" s="74">
        <v>20</v>
      </c>
      <c r="L26" s="74">
        <v>21</v>
      </c>
      <c r="M26" s="74">
        <v>22</v>
      </c>
      <c r="N26" s="74">
        <v>22</v>
      </c>
      <c r="O26" s="74">
        <v>23</v>
      </c>
      <c r="P26" s="74">
        <v>22</v>
      </c>
      <c r="Q26" s="93">
        <v>23</v>
      </c>
      <c r="R26" s="74">
        <v>22</v>
      </c>
      <c r="S26" s="74">
        <v>19</v>
      </c>
      <c r="T26" s="74">
        <v>18</v>
      </c>
      <c r="U26" s="74">
        <v>20</v>
      </c>
      <c r="V26" s="74">
        <v>21</v>
      </c>
      <c r="W26" s="74">
        <v>23</v>
      </c>
      <c r="X26" s="74">
        <v>47</v>
      </c>
      <c r="Y26" s="74">
        <v>19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52" t="s" ph="1">
        <v>180</v>
      </c>
      <c r="D27" s="71">
        <v>4.92</v>
      </c>
      <c r="E27" s="71">
        <v>4.91</v>
      </c>
      <c r="F27" s="71">
        <v>1293</v>
      </c>
      <c r="G27" s="71">
        <v>3317</v>
      </c>
      <c r="H27" s="71">
        <v>1982</v>
      </c>
      <c r="I27" s="71">
        <v>1904</v>
      </c>
      <c r="J27" s="71">
        <v>2990</v>
      </c>
      <c r="K27" s="71">
        <v>4917</v>
      </c>
      <c r="L27" s="71">
        <v>5556</v>
      </c>
      <c r="M27" s="71">
        <v>4885</v>
      </c>
      <c r="N27" s="71">
        <v>1125</v>
      </c>
      <c r="O27" s="71">
        <v>5731</v>
      </c>
      <c r="P27" s="71">
        <v>646</v>
      </c>
      <c r="Q27" s="90">
        <v>4070</v>
      </c>
      <c r="R27" s="71">
        <v>2104</v>
      </c>
      <c r="S27" s="71">
        <v>347</v>
      </c>
      <c r="T27" s="71">
        <v>159</v>
      </c>
      <c r="U27" s="71">
        <v>4515</v>
      </c>
      <c r="V27" s="71">
        <v>8850</v>
      </c>
      <c r="W27" s="71">
        <v>2229</v>
      </c>
      <c r="X27" s="71">
        <v>3959</v>
      </c>
      <c r="Y27" s="71">
        <v>1541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52" t="s" ph="1">
        <v>178</v>
      </c>
      <c r="D28" s="91" ph="1">
        <f>D27*268.68*LOOKUP(D29,密度!$A$2:$A$50,密度!$Q$2:$Q$50)+IF(D27&lt;=0,0,1566*LOOKUP(D29,密度!$A$2:$A$50,密度!$Q$2:$Q$50))</f>
        <v>2734.0957477440002</v>
      </c>
      <c r="E28" s="91" ph="1">
        <f>E27*268.68*LOOKUP(E29,密度!$A$2:$A$50,密度!$C$2:$C$50)+IF(E27&lt;=0,0,1566*LOOKUP(E29,密度!$A$2:$A$50,密度!$C$2:$C$50))</f>
        <v>3199.4191273200004</v>
      </c>
      <c r="F28" s="91" ph="1">
        <f>F27*11.702*LOOKUP(F29,密度!$A$2:$A$50,密度!$Q$2:$Q$50)</f>
        <v>14369.461187340001</v>
      </c>
      <c r="G28" s="91" ph="1">
        <f>G27*18.322*LOOKUP(G29,密度!$A$2:$A$50,密度!$B$2:$B$50)</f>
        <v>47598.254756800001</v>
      </c>
      <c r="H28" s="91" ph="1">
        <f>H27*18.322*LOOKUP(H29,密度!$A$2:$A$50,密度!$B$2:$B$50)</f>
        <v>28441.284572799999</v>
      </c>
      <c r="I28" s="91" ph="1">
        <f>I27*18.322*LOOKUP(I29,密度!$A$2:$A$50,密度!$Q$2:$Q$50)</f>
        <v>33154.089933439995</v>
      </c>
      <c r="J28" s="91" ph="1">
        <f>J27*18.322*LOOKUP(J29,密度!$A$2:$A$50,密度!$Q$2:$Q$50)</f>
        <v>51993.788670199996</v>
      </c>
      <c r="K28" s="91" ph="1">
        <f>K27*18.322*LOOKUP(K29,密度!$A$2:$A$50,密度!$Q$2:$Q$50)</f>
        <v>85502.829060659991</v>
      </c>
      <c r="L28" s="91" ph="1">
        <f>L27*18.322*LOOKUP(L29,密度!$A$2:$A$50,密度!$Q$2:$Q$50)</f>
        <v>96675.623320079991</v>
      </c>
      <c r="M28" s="91" ph="1">
        <f>M27*18.322*LOOKUP(M29,密度!$A$2:$A$50,密度!$Q$2:$Q$50)</f>
        <v>85000.075579299999</v>
      </c>
      <c r="N28" s="91" ph="1">
        <f>N27*18.322*LOOKUP(N29,密度!$A$2:$A$50,密度!$Q$2:$Q$50)</f>
        <v>19589.470154999999</v>
      </c>
      <c r="O28" s="91" ph="1">
        <f>O27*18.322*LOOKUP(O29,密度!$A$2:$A$50,密度!$C$2:$C$50)</f>
        <v>116595.75537280001</v>
      </c>
      <c r="P28" s="91" ph="1">
        <f>P27*11.702*LOOKUP(P29,密度!$A$2:$A$50,密度!$B$2:$B$50)</f>
        <v>5913.7905916</v>
      </c>
      <c r="Q28" s="92" ph="1">
        <f>Q27*18.322*LOOKUP(Q29,密度!$A$2:$A$50,密度!$B$2:$B$50)</f>
        <v>58470.760413999997</v>
      </c>
      <c r="R28" s="91" ph="1">
        <f>R27*35.891*LOOKUP(R29,密度!$A$2:$A$50,密度!$C$2:$C$50)</f>
        <v>83964.754901599998</v>
      </c>
      <c r="S28" s="91" ph="1">
        <f>S27*35.891*LOOKUP(S29,密度!$A$2:$A$50,密度!$B$2:$B$50)</f>
        <v>9742.9026670999992</v>
      </c>
      <c r="T28" s="91" ph="1">
        <f>T27*35.891*LOOKUP(T29,密度!$A$2:$A$50,密度!$Q$2:$Q$50)</f>
        <v>5419.5664826100001</v>
      </c>
      <c r="U28" s="91" ph="1">
        <f>U27*35.891</f>
        <v>162047.86499999999</v>
      </c>
      <c r="V28" s="91" ph="1">
        <f>V27*47.051*LOOKUP(V29,密度!$A$2:$A$50,密度!$B$2:$B$50)</f>
        <v>326500.29853500001</v>
      </c>
      <c r="W28" s="91" ph="1">
        <f>W27*47.051*LOOKUP(W29,密度!$A$2:$A$50,密度!$B$2:$B$50)</f>
        <v>81950.636970599997</v>
      </c>
      <c r="X28" s="91" ph="1">
        <f>X27*47.051*LOOKUP(X29,密度!$A$2:$A$61,密度!$I$2:$I$61)</f>
        <v>189143.54259860003</v>
      </c>
      <c r="Y28" s="91" ph="1">
        <f>Y27*47.051*LOOKUP(Y29,密度!$A$2:$A$50,密度!$L$2:$L$50)</f>
        <v>68227.761130999992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52" t="s" ph="1">
        <v>179</v>
      </c>
      <c r="D29" s="74">
        <v>25</v>
      </c>
      <c r="E29" s="74">
        <v>25</v>
      </c>
      <c r="F29" s="74">
        <v>21</v>
      </c>
      <c r="G29" s="74">
        <v>21</v>
      </c>
      <c r="H29" s="74">
        <v>21</v>
      </c>
      <c r="I29" s="74">
        <v>20</v>
      </c>
      <c r="J29" s="74">
        <v>22</v>
      </c>
      <c r="K29" s="74">
        <v>22</v>
      </c>
      <c r="L29" s="74">
        <v>21</v>
      </c>
      <c r="M29" s="74">
        <v>21</v>
      </c>
      <c r="N29" s="74">
        <v>20</v>
      </c>
      <c r="O29" s="74">
        <v>23</v>
      </c>
      <c r="P29" s="74">
        <v>22</v>
      </c>
      <c r="Q29" s="93">
        <v>20</v>
      </c>
      <c r="R29" s="74">
        <v>21</v>
      </c>
      <c r="S29" s="74">
        <v>22</v>
      </c>
      <c r="T29" s="74">
        <v>21</v>
      </c>
      <c r="U29" s="74">
        <v>23</v>
      </c>
      <c r="V29" s="74">
        <v>20</v>
      </c>
      <c r="W29" s="74">
        <v>23</v>
      </c>
      <c r="X29" s="74">
        <v>49</v>
      </c>
      <c r="Y29" s="74">
        <v>21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52" t="s" ph="1">
        <v>5</v>
      </c>
      <c r="F32" s="151" t="s" ph="1">
        <v>43</v>
      </c>
      <c r="G32" s="97" t="s" ph="1">
        <v>4</v>
      </c>
      <c r="H32" s="152" t="s" ph="1">
        <v>5</v>
      </c>
      <c r="I32" s="151" t="s" ph="1">
        <v>43</v>
      </c>
      <c r="J32" s="97" t="s" ph="1">
        <v>4</v>
      </c>
      <c r="K32" s="152" t="s" ph="1">
        <v>5</v>
      </c>
      <c r="L32" s="151" t="s" ph="1">
        <v>43</v>
      </c>
      <c r="M32" s="97" t="s" ph="1">
        <v>4</v>
      </c>
      <c r="N32" s="152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2" t="s" ph="1">
        <v>5</v>
      </c>
      <c r="U32" s="99" t="s" ph="1">
        <v>43</v>
      </c>
      <c r="V32" s="97" t="s" ph="1">
        <v>4</v>
      </c>
      <c r="W32" s="152" t="s" ph="1">
        <v>5</v>
      </c>
      <c r="X32" s="99" t="s" ph="1">
        <v>43</v>
      </c>
      <c r="Y32" s="100" t="s" ph="1">
        <v>4</v>
      </c>
      <c r="Z32" s="152" t="s" ph="1">
        <v>5</v>
      </c>
      <c r="AA32" s="151" t="s" ph="1">
        <v>43</v>
      </c>
      <c r="AB32" s="97" t="s" ph="1">
        <v>85</v>
      </c>
      <c r="AC32" s="152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91756.981403400001</v>
      </c>
      <c r="E33" s="196" ph="1">
        <f>M10+I10</f>
        <v>112050.11320319999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[[#This Row],[F25]]</f>
        <v>3880</v>
      </c>
      <c r="G33" s="222" ph="1">
        <v>0</v>
      </c>
      <c r="H33" s="196" ph="1">
        <f>N19</f>
        <v>20498.158395080001</v>
      </c>
      <c r="I33" s="200" ph="1">
        <v>0</v>
      </c>
      <c r="J33" s="204" ph="1">
        <f>F10+O28</f>
        <v>319651.17322599998</v>
      </c>
      <c r="K33" s="196" ph="1">
        <f>O10+K10+E28+R28</f>
        <v>139678.30278092</v>
      </c>
      <c r="L33" s="206" ph="1">
        <f>BE27</f>
        <v>7100</v>
      </c>
      <c r="M33" s="204" ph="1">
        <f>G10+H10+W28+S28+V28+E10</f>
        <v>757246.46967470006</v>
      </c>
      <c r="N33" s="196" ph="1">
        <f>L10+P10++G28+H28</f>
        <v>220344.3690036</v>
      </c>
      <c r="O33" s="200" ph="1">
        <f>BE17</f>
        <v>2270</v>
      </c>
      <c r="P33" s="204" ph="1">
        <f>L19</f>
        <v>35692.336504720006</v>
      </c>
      <c r="Q33" s="196" ph="1">
        <f>J10+N10</f>
        <v>4895.7246720000003</v>
      </c>
      <c r="R33" s="200" ph="1">
        <f>BE23</f>
        <v>890</v>
      </c>
      <c r="S33" s="204" ph="1">
        <f>E10+X28</f>
        <v>189143.54259860003</v>
      </c>
      <c r="T33" s="196" ph="1">
        <f>X19</f>
        <v>12142.361950399998</v>
      </c>
      <c r="U33" s="185" ph="1">
        <f>BE21</f>
        <v>730</v>
      </c>
      <c r="V33" s="198" ph="1">
        <f ca="1">P19+Q19+S19+M28+N28+J28</f>
        <v>276954.10559365398</v>
      </c>
      <c r="W33" s="198" ph="1">
        <f>D28+F28+V19+T28</f>
        <v>69914.262169294001</v>
      </c>
      <c r="X33" s="200" ph="1">
        <f>BE29+BE31</f>
        <v>10200</v>
      </c>
      <c r="Y33" s="202" ph="1">
        <f>+Q10+R10+S10+T10+U10+V10+W10+X10+Y10</f>
        <v>116115.44687819999</v>
      </c>
      <c r="Z33" s="183" ph="1">
        <f>D10+T19+U19+Y28+Z10</f>
        <v>425803.47789395996</v>
      </c>
      <c r="AA33" s="185" ph="1">
        <f>BE19</f>
        <v>1440</v>
      </c>
      <c r="AB33" s="187" ph="1">
        <f>I19</f>
        <v>15004.578861999998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50" t="s" ph="1">
        <v>185</v>
      </c>
      <c r="AA36" s="150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924" priority="98">
      <formula>ABS(D$7-D$10)&gt;=1000</formula>
    </cfRule>
  </conditionalFormatting>
  <conditionalFormatting sqref="E4 E6:E11">
    <cfRule type="expression" dxfId="1923" priority="97">
      <formula>ABS(E$7-E$10)&gt;=1000</formula>
    </cfRule>
  </conditionalFormatting>
  <conditionalFormatting sqref="F4:F11">
    <cfRule type="expression" dxfId="1922" priority="96">
      <formula>ABS(F$7-F$10)&gt;=1000</formula>
    </cfRule>
  </conditionalFormatting>
  <conditionalFormatting sqref="G4:G11">
    <cfRule type="expression" dxfId="1921" priority="95">
      <formula>ABS(G$7-G$10)&gt;=1000</formula>
    </cfRule>
  </conditionalFormatting>
  <conditionalFormatting sqref="H4:H11">
    <cfRule type="expression" dxfId="1920" priority="94">
      <formula>ABS(H$7-H$10)&gt;=1000</formula>
    </cfRule>
  </conditionalFormatting>
  <conditionalFormatting sqref="I4:I11">
    <cfRule type="expression" dxfId="1919" priority="93">
      <formula>ABS(I$7-I$10)&gt;=1000</formula>
    </cfRule>
  </conditionalFormatting>
  <conditionalFormatting sqref="J4:J11">
    <cfRule type="expression" dxfId="1918" priority="92">
      <formula>ABS(J$7-J$10)&gt;=1000</formula>
    </cfRule>
  </conditionalFormatting>
  <conditionalFormatting sqref="K4:K11">
    <cfRule type="expression" dxfId="1917" priority="91">
      <formula>ABS(K$7-K$10)&gt;=1000</formula>
    </cfRule>
  </conditionalFormatting>
  <conditionalFormatting sqref="L4:L11">
    <cfRule type="expression" dxfId="1916" priority="90">
      <formula>ABS(L$7-L$10)&gt;=1000</formula>
    </cfRule>
  </conditionalFormatting>
  <conditionalFormatting sqref="M4 M6:M11">
    <cfRule type="expression" dxfId="1915" priority="89">
      <formula>ABS(M$7-M$10)&gt;=1000</formula>
    </cfRule>
  </conditionalFormatting>
  <conditionalFormatting sqref="N4 N6:N11">
    <cfRule type="expression" dxfId="1914" priority="88">
      <formula>ABS(N$7-N$10)&gt;=1000</formula>
    </cfRule>
  </conditionalFormatting>
  <conditionalFormatting sqref="O4 O6:O11">
    <cfRule type="expression" dxfId="1913" priority="87">
      <formula>ABS(O$7-O$10)&gt;=1000</formula>
    </cfRule>
  </conditionalFormatting>
  <conditionalFormatting sqref="P4 P6:P11">
    <cfRule type="expression" dxfId="1912" priority="86">
      <formula>ABS(P$7-P$10)&gt;=1000</formula>
    </cfRule>
  </conditionalFormatting>
  <conditionalFormatting sqref="Q4:Q11">
    <cfRule type="expression" dxfId="1911" priority="85">
      <formula>ABS(Q$7-Q$10)&gt;=1000</formula>
    </cfRule>
  </conditionalFormatting>
  <conditionalFormatting sqref="R4:R11">
    <cfRule type="expression" dxfId="1910" priority="84">
      <formula>ABS(R$7-R$10)&gt;=1000</formula>
    </cfRule>
  </conditionalFormatting>
  <conditionalFormatting sqref="S4:S11">
    <cfRule type="expression" dxfId="1909" priority="83">
      <formula>ABS(S$7-S$10)&gt;=1000</formula>
    </cfRule>
  </conditionalFormatting>
  <conditionalFormatting sqref="T4:T9 T11">
    <cfRule type="expression" dxfId="1908" priority="82">
      <formula>ABS(T$7-T$10)&gt;=1000</formula>
    </cfRule>
  </conditionalFormatting>
  <conditionalFormatting sqref="U4:U9 U11">
    <cfRule type="expression" dxfId="1907" priority="81">
      <formula>ABS(U$7-U$10)&gt;=1000</formula>
    </cfRule>
  </conditionalFormatting>
  <conditionalFormatting sqref="V4:V9 V11">
    <cfRule type="expression" dxfId="1906" priority="80">
      <formula>ABS(V$7-V$10)&gt;=1000</formula>
    </cfRule>
  </conditionalFormatting>
  <conditionalFormatting sqref="W4:W9 W11">
    <cfRule type="expression" dxfId="1905" priority="79">
      <formula>ABS(W$7-W$10)&gt;=1000</formula>
    </cfRule>
  </conditionalFormatting>
  <conditionalFormatting sqref="X4:X9 X11">
    <cfRule type="expression" dxfId="1904" priority="78">
      <formula>ABS(X$7-X$10)&gt;=1000</formula>
    </cfRule>
  </conditionalFormatting>
  <conditionalFormatting sqref="Y4:Y9 Y11">
    <cfRule type="expression" dxfId="1903" priority="77">
      <formula>ABS(Y$7-Y$10)&gt;=1000</formula>
    </cfRule>
  </conditionalFormatting>
  <conditionalFormatting sqref="Z4:Z11">
    <cfRule type="expression" dxfId="1902" priority="76">
      <formula>ABS(Z$7-Z$10)&gt;=1000</formula>
    </cfRule>
  </conditionalFormatting>
  <conditionalFormatting sqref="AA4:AA11">
    <cfRule type="expression" dxfId="1901" priority="75">
      <formula>ABS(AA$7-AA$10)&gt;=1000</formula>
    </cfRule>
  </conditionalFormatting>
  <conditionalFormatting sqref="AB4:AB11">
    <cfRule type="expression" dxfId="1900" priority="74">
      <formula>ABS(AB$7-AB$10)&gt;=1000</formula>
    </cfRule>
  </conditionalFormatting>
  <conditionalFormatting sqref="AC4 AC6:AC11">
    <cfRule type="expression" dxfId="1899" priority="73">
      <formula>ABS(AC$7-AC$10)&gt;=1000</formula>
    </cfRule>
  </conditionalFormatting>
  <conditionalFormatting sqref="AD4:AD11">
    <cfRule type="expression" dxfId="1898" priority="72">
      <formula>ABS(AD$7-AD$10)&gt;=1000</formula>
    </cfRule>
  </conditionalFormatting>
  <conditionalFormatting sqref="AE4 AE6:AE11">
    <cfRule type="expression" dxfId="1897" priority="71">
      <formula>ABS(AE$7-AE$10)&gt;=1000</formula>
    </cfRule>
  </conditionalFormatting>
  <conditionalFormatting sqref="D13:D20">
    <cfRule type="expression" dxfId="1896" priority="70">
      <formula>ABS(D$16-D$19)&gt;=1000</formula>
    </cfRule>
  </conditionalFormatting>
  <conditionalFormatting sqref="E13:E20">
    <cfRule type="expression" dxfId="1895" priority="69">
      <formula>ABS(E$16-E$19)&gt;=1000</formula>
    </cfRule>
  </conditionalFormatting>
  <conditionalFormatting sqref="F13 F15:F20">
    <cfRule type="expression" dxfId="1894" priority="68">
      <formula>ABS(F$16-F$19)&gt;=1000</formula>
    </cfRule>
  </conditionalFormatting>
  <conditionalFormatting sqref="G13:G20">
    <cfRule type="expression" dxfId="1893" priority="67">
      <formula>ABS(G$16-G$19)&gt;=1000</formula>
    </cfRule>
  </conditionalFormatting>
  <conditionalFormatting sqref="H13:H20">
    <cfRule type="expression" dxfId="1892" priority="66">
      <formula>ABS(H$16-H$19)&gt;=1000</formula>
    </cfRule>
  </conditionalFormatting>
  <conditionalFormatting sqref="I13:I20">
    <cfRule type="expression" dxfId="1891" priority="65">
      <formula>ABS(I$16-I$19)&gt;=1000</formula>
    </cfRule>
  </conditionalFormatting>
  <conditionalFormatting sqref="J13:J20">
    <cfRule type="expression" dxfId="1890" priority="64">
      <formula>ABS(J$16-J$19)&gt;=1000</formula>
    </cfRule>
  </conditionalFormatting>
  <conditionalFormatting sqref="L13:L20">
    <cfRule type="expression" dxfId="1889" priority="63">
      <formula>ABS(L$16-L$19)&gt;=1000</formula>
    </cfRule>
  </conditionalFormatting>
  <conditionalFormatting sqref="M13 M15 M17:M18 M20">
    <cfRule type="expression" dxfId="1888" priority="62">
      <formula>ABS(M$16-M$19)&gt;=1000</formula>
    </cfRule>
  </conditionalFormatting>
  <conditionalFormatting sqref="N13:N20">
    <cfRule type="expression" dxfId="1887" priority="61">
      <formula>ABS(N$16-N$19)&gt;=1000</formula>
    </cfRule>
  </conditionalFormatting>
  <conditionalFormatting sqref="O13:O20">
    <cfRule type="expression" dxfId="1886" priority="60">
      <formula>ABS(O$16-O$19)&gt;=1000</formula>
    </cfRule>
  </conditionalFormatting>
  <conditionalFormatting sqref="P13:P20">
    <cfRule type="expression" dxfId="1885" priority="59">
      <formula>ABS(P$16-P$19)&gt;=1000</formula>
    </cfRule>
  </conditionalFormatting>
  <conditionalFormatting sqref="Q13 Q15:Q20">
    <cfRule type="expression" dxfId="1884" priority="58">
      <formula>ABS(Q$16-Q$19)&gt;=1000</formula>
    </cfRule>
  </conditionalFormatting>
  <conditionalFormatting sqref="R13:R20">
    <cfRule type="expression" dxfId="1883" priority="57">
      <formula>ABS(R$16-R$19)&gt;=1000</formula>
    </cfRule>
  </conditionalFormatting>
  <conditionalFormatting sqref="S13:S20">
    <cfRule type="expression" dxfId="1882" priority="56">
      <formula>ABS(S$16-S$19)&gt;=1000</formula>
    </cfRule>
  </conditionalFormatting>
  <conditionalFormatting sqref="T13:T20">
    <cfRule type="expression" dxfId="1881" priority="55">
      <formula>ABS(T$16-T$19)&gt;=1000</formula>
    </cfRule>
  </conditionalFormatting>
  <conditionalFormatting sqref="U13:U20">
    <cfRule type="expression" dxfId="1880" priority="54">
      <formula>ABS(U$16-U$19)&gt;=1000</formula>
    </cfRule>
  </conditionalFormatting>
  <conditionalFormatting sqref="V13:V20">
    <cfRule type="expression" dxfId="1879" priority="53">
      <formula>ABS(V$16-V$19)&gt;=1000</formula>
    </cfRule>
  </conditionalFormatting>
  <conditionalFormatting sqref="W13 W20 W15:W18">
    <cfRule type="expression" dxfId="1878" priority="52">
      <formula>ABS(W$16-W$19)&gt;=1000</formula>
    </cfRule>
  </conditionalFormatting>
  <conditionalFormatting sqref="X13 X15:X20 Y19">
    <cfRule type="expression" dxfId="1877" priority="51">
      <formula>ABS(X$16-X$19)&gt;=1000</formula>
    </cfRule>
  </conditionalFormatting>
  <conditionalFormatting sqref="Y13 Y15:Y18 Y20">
    <cfRule type="expression" dxfId="1876" priority="50">
      <formula>ABS(Y$16-Y$19)&gt;=1000</formula>
    </cfRule>
  </conditionalFormatting>
  <conditionalFormatting sqref="Z13:Z20">
    <cfRule type="expression" dxfId="1875" priority="49">
      <formula>ABS(Z$16-Z$19)&gt;=1000</formula>
    </cfRule>
  </conditionalFormatting>
  <conditionalFormatting sqref="AA13:AA20">
    <cfRule type="expression" dxfId="1874" priority="48">
      <formula>ABS(AA$16-AA$19)&gt;=1000</formula>
    </cfRule>
  </conditionalFormatting>
  <conditionalFormatting sqref="AB13 AB15:AB20">
    <cfRule type="expression" dxfId="1873" priority="47">
      <formula>ABS(AB$16-AB$19)&gt;=1000</formula>
    </cfRule>
  </conditionalFormatting>
  <conditionalFormatting sqref="AC13 AC15:AC20">
    <cfRule type="expression" dxfId="1872" priority="46">
      <formula>ABS(AC$16-AC$19)&gt;=1000</formula>
    </cfRule>
  </conditionalFormatting>
  <conditionalFormatting sqref="AD13:AD20">
    <cfRule type="expression" dxfId="1871" priority="45">
      <formula>ABS(AD$16-AD$19)&gt;=1000</formula>
    </cfRule>
  </conditionalFormatting>
  <conditionalFormatting sqref="AE13:AE20">
    <cfRule type="expression" dxfId="1870" priority="44">
      <formula>ABS(AE$16-AE$19)&gt;=1000</formula>
    </cfRule>
  </conditionalFormatting>
  <conditionalFormatting sqref="D22:D29">
    <cfRule type="expression" dxfId="1869" priority="43">
      <formula>ABS(D$25-D$28)&gt;=1000</formula>
    </cfRule>
  </conditionalFormatting>
  <conditionalFormatting sqref="E22:E29">
    <cfRule type="expression" dxfId="1868" priority="42">
      <formula>ABS(E$25-E$28)&gt;=1000</formula>
    </cfRule>
  </conditionalFormatting>
  <conditionalFormatting sqref="F22:F29">
    <cfRule type="expression" dxfId="1867" priority="41">
      <formula>ABS(F$25-F$28)&gt;=1000</formula>
    </cfRule>
  </conditionalFormatting>
  <conditionalFormatting sqref="G22:G29">
    <cfRule type="expression" dxfId="1866" priority="40">
      <formula>ABS(G$25-G$28)&gt;=1000</formula>
    </cfRule>
  </conditionalFormatting>
  <conditionalFormatting sqref="H22:H29">
    <cfRule type="expression" dxfId="1865" priority="39">
      <formula>ABS(H$25-H$28)&gt;=1000</formula>
    </cfRule>
  </conditionalFormatting>
  <conditionalFormatting sqref="I22 I24:I29">
    <cfRule type="expression" dxfId="1864" priority="38">
      <formula>ABS(I$25-I$28)&gt;=1000</formula>
    </cfRule>
  </conditionalFormatting>
  <conditionalFormatting sqref="J22:J29 K22">
    <cfRule type="expression" dxfId="1863" priority="37">
      <formula>ABS(J$25-J$28)&gt;=1000</formula>
    </cfRule>
  </conditionalFormatting>
  <conditionalFormatting sqref="K23:K29 L25 L28">
    <cfRule type="expression" dxfId="1862" priority="36">
      <formula>ABS(K$25-K$28)&gt;=1000</formula>
    </cfRule>
  </conditionalFormatting>
  <conditionalFormatting sqref="L22 L26:L27 L29 L24">
    <cfRule type="expression" dxfId="1861" priority="35">
      <formula>ABS(L$25-L$28)&gt;=1000</formula>
    </cfRule>
  </conditionalFormatting>
  <conditionalFormatting sqref="M22:M29">
    <cfRule type="expression" dxfId="1860" priority="34">
      <formula>ABS(M$25-M$28)&gt;=1000</formula>
    </cfRule>
  </conditionalFormatting>
  <conditionalFormatting sqref="N22:N29">
    <cfRule type="expression" dxfId="1859" priority="33">
      <formula>ABS(N$25-N$28)&gt;=1000</formula>
    </cfRule>
  </conditionalFormatting>
  <conditionalFormatting sqref="O22:O29">
    <cfRule type="expression" dxfId="1858" priority="32">
      <formula>ABS(O$25-O$28)&gt;=1000</formula>
    </cfRule>
  </conditionalFormatting>
  <conditionalFormatting sqref="P22:P29">
    <cfRule type="expression" dxfId="1857" priority="31">
      <formula>ABS(P$25-P$28)&gt;=1000</formula>
    </cfRule>
  </conditionalFormatting>
  <conditionalFormatting sqref="Q22:Q29">
    <cfRule type="expression" dxfId="1856" priority="30">
      <formula>ABS(Q$25-Q$28)&gt;=1000</formula>
    </cfRule>
  </conditionalFormatting>
  <conditionalFormatting sqref="R22:R29">
    <cfRule type="expression" dxfId="1855" priority="29">
      <formula>ABS(R$25-R$28)&gt;=1000</formula>
    </cfRule>
  </conditionalFormatting>
  <conditionalFormatting sqref="S22:S29">
    <cfRule type="expression" dxfId="1854" priority="28">
      <formula>ABS(S$25-S$28)&gt;=1000</formula>
    </cfRule>
  </conditionalFormatting>
  <conditionalFormatting sqref="T22:T29">
    <cfRule type="expression" dxfId="1853" priority="27">
      <formula>ABS(T$25-T$28)&gt;=1000</formula>
    </cfRule>
  </conditionalFormatting>
  <conditionalFormatting sqref="U22:U29">
    <cfRule type="expression" dxfId="1852" priority="26">
      <formula>ABS(U$25-U$28)&gt;=1000</formula>
    </cfRule>
  </conditionalFormatting>
  <conditionalFormatting sqref="V22:V29">
    <cfRule type="expression" dxfId="1851" priority="25">
      <formula>ABS(V$25-V$28)&gt;=1000</formula>
    </cfRule>
  </conditionalFormatting>
  <conditionalFormatting sqref="W22:W29">
    <cfRule type="expression" dxfId="1850" priority="24">
      <formula>ABS(W$25-W$28)&gt;=1000</formula>
    </cfRule>
  </conditionalFormatting>
  <conditionalFormatting sqref="X22:X29">
    <cfRule type="expression" dxfId="1849" priority="23">
      <formula>ABS(X$25-X$28)&gt;=1000</formula>
    </cfRule>
  </conditionalFormatting>
  <conditionalFormatting sqref="Y22:Y29">
    <cfRule type="expression" dxfId="1848" priority="22">
      <formula>ABS(Y$25-Y$28)&gt;=1000</formula>
    </cfRule>
  </conditionalFormatting>
  <conditionalFormatting sqref="I23">
    <cfRule type="expression" dxfId="1847" priority="21">
      <formula>ABS(I$25-I$28)&gt;=1000</formula>
    </cfRule>
  </conditionalFormatting>
  <conditionalFormatting sqref="Q14">
    <cfRule type="expression" dxfId="1846" priority="20">
      <formula>ABS(Q$16-Q$19)&gt;=1000</formula>
    </cfRule>
  </conditionalFormatting>
  <conditionalFormatting sqref="W14">
    <cfRule type="expression" dxfId="1845" priority="19">
      <formula>ABS(W$16-W$19)&gt;=1000</formula>
    </cfRule>
  </conditionalFormatting>
  <conditionalFormatting sqref="Y14">
    <cfRule type="expression" dxfId="1844" priority="18">
      <formula>ABS(Y$16-Y$19)&gt;=1000</formula>
    </cfRule>
  </conditionalFormatting>
  <conditionalFormatting sqref="X14">
    <cfRule type="expression" dxfId="1843" priority="17">
      <formula>ABS(X$16-X$19)&gt;=1000</formula>
    </cfRule>
  </conditionalFormatting>
  <conditionalFormatting sqref="T10:Y10">
    <cfRule type="expression" dxfId="1842" priority="16">
      <formula>ABS(T$7-T$10)&gt;=1000</formula>
    </cfRule>
  </conditionalFormatting>
  <conditionalFormatting sqref="W19">
    <cfRule type="expression" dxfId="1841" priority="15">
      <formula>ABS(W$16-W$19)&gt;=1000</formula>
    </cfRule>
  </conditionalFormatting>
  <conditionalFormatting sqref="AC5">
    <cfRule type="expression" dxfId="1840" priority="14">
      <formula>ABS(AC$7-AC$10)&gt;=1000</formula>
    </cfRule>
  </conditionalFormatting>
  <conditionalFormatting sqref="M14">
    <cfRule type="expression" dxfId="1839" priority="13">
      <formula>ABS(M$16-M$19)&gt;=1000</formula>
    </cfRule>
  </conditionalFormatting>
  <conditionalFormatting sqref="M16">
    <cfRule type="expression" dxfId="1838" priority="12">
      <formula>ABS(M$16-M$19)&gt;=1000</formula>
    </cfRule>
  </conditionalFormatting>
  <conditionalFormatting sqref="M19">
    <cfRule type="expression" dxfId="1837" priority="11">
      <formula>ABS(M$16-M$19)&gt;=1000</formula>
    </cfRule>
  </conditionalFormatting>
  <conditionalFormatting sqref="K13:K20">
    <cfRule type="expression" dxfId="1836" priority="10">
      <formula>ABS(K$16-K$19)&gt;=1000</formula>
    </cfRule>
  </conditionalFormatting>
  <conditionalFormatting sqref="E5">
    <cfRule type="expression" dxfId="1835" priority="9">
      <formula>ABS(E$7-E$10)&gt;=1000</formula>
    </cfRule>
  </conditionalFormatting>
  <conditionalFormatting sqref="AB14:AC14">
    <cfRule type="expression" dxfId="1834" priority="8">
      <formula>ABS(AB$16-AB$19)&gt;=1000</formula>
    </cfRule>
  </conditionalFormatting>
  <conditionalFormatting sqref="M5">
    <cfRule type="expression" dxfId="1833" priority="7">
      <formula>ABS(M$7-M$10)&gt;=1000</formula>
    </cfRule>
  </conditionalFormatting>
  <conditionalFormatting sqref="N5">
    <cfRule type="expression" dxfId="1832" priority="6">
      <formula>ABS(N$7-N$10)&gt;=1000</formula>
    </cfRule>
  </conditionalFormatting>
  <conditionalFormatting sqref="O5">
    <cfRule type="expression" dxfId="1831" priority="5">
      <formula>ABS(O$7-O$10)&gt;=1000</formula>
    </cfRule>
  </conditionalFormatting>
  <conditionalFormatting sqref="P5">
    <cfRule type="expression" dxfId="1830" priority="4">
      <formula>ABS(P$7-P$10)&gt;=1000</formula>
    </cfRule>
  </conditionalFormatting>
  <conditionalFormatting sqref="L23">
    <cfRule type="expression" dxfId="1829" priority="3">
      <formula>ABS(L$25-L$28)&gt;=1000</formula>
    </cfRule>
  </conditionalFormatting>
  <conditionalFormatting sqref="F14">
    <cfRule type="expression" dxfId="1828" priority="2">
      <formula>ABS(F$16-F$19)&gt;=1000</formula>
    </cfRule>
  </conditionalFormatting>
  <conditionalFormatting sqref="AE5">
    <cfRule type="expression" dxfId="1827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61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83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46002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52" t="s" ph="1">
        <v>177</v>
      </c>
      <c r="D6" s="71">
        <v>5112</v>
      </c>
      <c r="E6" s="71">
        <v>0</v>
      </c>
      <c r="F6" s="71">
        <v>5497</v>
      </c>
      <c r="G6" s="71">
        <v>3212</v>
      </c>
      <c r="H6" s="71">
        <v>5233</v>
      </c>
      <c r="I6" s="71">
        <v>27.11</v>
      </c>
      <c r="J6" s="71">
        <v>7.02</v>
      </c>
      <c r="K6" s="71">
        <v>6.82</v>
      </c>
      <c r="L6" s="71">
        <v>32.61</v>
      </c>
      <c r="M6" s="71">
        <v>3040</v>
      </c>
      <c r="N6" s="71">
        <v>128</v>
      </c>
      <c r="O6" s="71">
        <v>2218</v>
      </c>
      <c r="P6" s="71">
        <v>3766</v>
      </c>
      <c r="Q6" s="71">
        <v>0</v>
      </c>
      <c r="R6" s="71">
        <v>0</v>
      </c>
      <c r="S6" s="71">
        <v>0</v>
      </c>
      <c r="T6" s="71">
        <v>3916</v>
      </c>
      <c r="U6" s="71">
        <v>6260</v>
      </c>
      <c r="V6" s="71">
        <v>4357</v>
      </c>
      <c r="W6" s="71">
        <v>2201</v>
      </c>
      <c r="X6" s="71">
        <v>0</v>
      </c>
      <c r="Y6" s="71">
        <v>0</v>
      </c>
      <c r="Z6" s="71">
        <v>3896</v>
      </c>
      <c r="AA6" s="71">
        <v>1909</v>
      </c>
      <c r="AB6" s="71">
        <v>1251</v>
      </c>
      <c r="AC6" s="71">
        <v>9292</v>
      </c>
      <c r="AD6" s="71">
        <v>4780</v>
      </c>
      <c r="AE6" s="71">
        <v>4633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161214.38116847997</v>
      </c>
      <c r="E7" s="73" ph="1">
        <f>E6*51.53*LOOKUP(E8,密度!$A$2:$A$50,密度!$B$2:$B$50)</f>
        <v>0</v>
      </c>
      <c r="F7" s="73" ph="1">
        <f>F6*33.183*LOOKUP(F8,密度!$A$2:$A$50,密度!$C$2:$C$50)</f>
        <v>203183.10271889999</v>
      </c>
      <c r="G7" s="73" ph="1">
        <f xml:space="preserve"> (G6+2)*51.53*LOOKUP(G8,密度!$A$2:$A$50,密度!$B$2:$B$50)</f>
        <v>129993.11295800001</v>
      </c>
      <c r="H7" s="73" ph="1">
        <f>(H6)*51.53*LOOKUP(H8,密度!$A$2:$A$50,密度!$B$2:$B$50)</f>
        <v>212273.58892799998</v>
      </c>
      <c r="I7" s="73" ph="1">
        <f>I6*290.8*1.0267</f>
        <v>8094.0797995999992</v>
      </c>
      <c r="J7" s="73" ph="1">
        <f>J6*290.8*0.7892</f>
        <v>1611.0855071999999</v>
      </c>
      <c r="K7" s="73" ph="1">
        <f>K6*290.8*1.1126</f>
        <v>2206.5706256000003</v>
      </c>
      <c r="L7" s="73" ph="1">
        <f>L6*290.8*0.777</f>
        <v>7368.2816759999996</v>
      </c>
      <c r="M7" s="73" ph="1">
        <f>M6*33.183*LOOKUP(M8,密度!$A$2:$A$50,密度!$D$2:$D$50)</f>
        <v>104124.53750399999</v>
      </c>
      <c r="N7" s="73" ph="1">
        <f>N6*33.183*LOOKUP(N8,密度!$A$2:$A$50,密度!$E$2:$E$50)</f>
        <v>3356.7391871999998</v>
      </c>
      <c r="O7" s="73" ph="1">
        <f>O6*20.428*LOOKUP(O8,密度!$A$2:$A$50,密度!$C$2:$C$50)</f>
        <v>50311.451161600009</v>
      </c>
      <c r="P7" s="73" ph="1">
        <f>P6*51.53*LOOKUP(P8,密度!$A$2:$A$50,密度!$B$2:$B$50)</f>
        <v>152319.24810200001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26213.563807199997</v>
      </c>
      <c r="U7" s="73" ph="1">
        <f>U6*1.5*1.5*3.1416*LOOKUP(U8,密度!$A$2:$A$50,密度!$L$2:$L$50)</f>
        <v>41638.719275999996</v>
      </c>
      <c r="V7" s="73" ph="1">
        <f>V6*1.5*1.5*3.1416*LOOKUP(V8,密度!$A$2:$A$50,密度!$L$2:$L$50)</f>
        <v>28888.421007599998</v>
      </c>
      <c r="W7" s="73" ph="1">
        <f>W6*1.5*1.5*3.1416*LOOKUP(W8,密度!$A$2:$A$50,密度!$L$2:$L$50)</f>
        <v>14655.625261199999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122299.79572799998</v>
      </c>
      <c r="AA7" s="73" ph="1">
        <f>AA6*33.183*LOOKUP(AA8,密度!$A$2:$A$50,密度!$D$2:$D$50)</f>
        <v>65493.788163300007</v>
      </c>
      <c r="AB7" s="73" ph="1">
        <f>AB6*20.428*LOOKUP(AB8,密度!$A$2:$A$50,密度!$D$2:$D$50)</f>
        <v>26511.201007200001</v>
      </c>
      <c r="AC7" s="73" ph="1">
        <f>AC6*51.53*LOOKUP(AC8,密度!$A$2:$A$50,密度!$Q$2:$Q$50)</f>
        <v>456599.66233600001</v>
      </c>
      <c r="AD7" s="73" ph="1">
        <f>AD6*20.428*LOOKUP(AD8,密度!$A$2:$A$50,密度!$V$2:$V$50)</f>
        <v>94130.589760000003</v>
      </c>
      <c r="AE7" s="73" ph="1">
        <f>AE6*20.428</f>
        <v>94642.923999999999</v>
      </c>
    </row>
    <row r="8" spans="1:99" ph="1">
      <c r="B8" s="247" ph="1"/>
      <c r="C8" s="68" t="s" ph="1">
        <v>179</v>
      </c>
      <c r="D8" s="74">
        <v>20</v>
      </c>
      <c r="E8" s="74">
        <v>18</v>
      </c>
      <c r="F8" s="74">
        <v>18</v>
      </c>
      <c r="G8" s="74">
        <v>19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19</v>
      </c>
      <c r="O8" s="74">
        <v>23</v>
      </c>
      <c r="P8" s="74">
        <v>19</v>
      </c>
      <c r="Q8" s="74">
        <v>23</v>
      </c>
      <c r="R8" s="74">
        <v>20</v>
      </c>
      <c r="S8" s="74">
        <v>19</v>
      </c>
      <c r="T8" s="74">
        <v>15</v>
      </c>
      <c r="U8" s="74">
        <v>21</v>
      </c>
      <c r="V8" s="74">
        <v>24</v>
      </c>
      <c r="W8" s="74">
        <v>20</v>
      </c>
      <c r="X8" s="74">
        <v>20</v>
      </c>
      <c r="Y8" s="74">
        <v>18</v>
      </c>
      <c r="Z8" s="74">
        <v>16</v>
      </c>
      <c r="AA8" s="74">
        <v>17</v>
      </c>
      <c r="AB8" s="74">
        <v>13</v>
      </c>
      <c r="AC8" s="74">
        <v>16</v>
      </c>
      <c r="AD8" s="74">
        <v>18</v>
      </c>
      <c r="AE8" s="74">
        <v>22</v>
      </c>
    </row>
    <row r="9" spans="1:99" ht="26.4" ph="1">
      <c r="B9" s="247" ph="1">
        <v>0.66666666666666663</v>
      </c>
      <c r="C9" s="152" t="s" ph="1">
        <v>180</v>
      </c>
      <c r="D9" s="71">
        <v>5114</v>
      </c>
      <c r="E9" s="71">
        <v>0</v>
      </c>
      <c r="F9" s="71">
        <v>5497</v>
      </c>
      <c r="G9" s="71">
        <v>2970</v>
      </c>
      <c r="H9" s="71">
        <v>6106</v>
      </c>
      <c r="I9" s="71">
        <v>27.11</v>
      </c>
      <c r="J9" s="71">
        <v>7.13</v>
      </c>
      <c r="K9" s="71">
        <v>6.91</v>
      </c>
      <c r="L9" s="71">
        <v>27.71</v>
      </c>
      <c r="M9" s="71">
        <v>3039</v>
      </c>
      <c r="N9" s="71">
        <v>128</v>
      </c>
      <c r="O9" s="71">
        <v>2215</v>
      </c>
      <c r="P9" s="71">
        <v>3948</v>
      </c>
      <c r="Q9" s="71">
        <v>0</v>
      </c>
      <c r="R9" s="71">
        <v>0</v>
      </c>
      <c r="S9" s="71">
        <v>0</v>
      </c>
      <c r="T9" s="71">
        <v>0</v>
      </c>
      <c r="U9" s="71">
        <v>5816</v>
      </c>
      <c r="V9" s="71">
        <v>4361</v>
      </c>
      <c r="W9" s="71">
        <v>6660</v>
      </c>
      <c r="X9" s="71">
        <v>0</v>
      </c>
      <c r="Y9" s="71">
        <v>0</v>
      </c>
      <c r="Z9" s="71">
        <v>2356</v>
      </c>
      <c r="AA9" s="71">
        <v>1907</v>
      </c>
      <c r="AB9" s="71">
        <v>1139</v>
      </c>
      <c r="AC9" s="71">
        <v>9302</v>
      </c>
      <c r="AD9" s="71">
        <v>4780</v>
      </c>
      <c r="AE9" s="71">
        <v>4511</v>
      </c>
    </row>
    <row r="10" spans="1:99" s="72" customFormat="1" ht="22.2" ph="1">
      <c r="B10" s="247" ph="1"/>
      <c r="C10" s="152" t="s" ph="1">
        <v>178</v>
      </c>
      <c r="D10" s="73" ph="1">
        <f>D9*33.183*LOOKUP(D11,密度!$A$2:$A$50,密度!$Q$2:$Q$50)</f>
        <v>161160.36256278001</v>
      </c>
      <c r="E10" s="73" ph="1">
        <f>E9*51.53*LOOKUP(E11,密度!$A$2:$A$50,密度!$B$2:$B$50)</f>
        <v>0</v>
      </c>
      <c r="F10" s="73" ph="1">
        <f>F9*33.183*LOOKUP(F11,密度!$A$2:$A$50,密度!$C$2:$C$50)</f>
        <v>203055.41785319999</v>
      </c>
      <c r="G10" s="73" ph="1">
        <f xml:space="preserve"> (G9+2)*51.53*LOOKUP(G11,密度!$A$2:$A$50,密度!$B$2:$B$50)</f>
        <v>120082.688156</v>
      </c>
      <c r="H10" s="73" ph="1">
        <f>(H9)*51.53*LOOKUP(H11,密度!$A$2:$A$50,密度!$B$2:$B$50)</f>
        <v>247214.36082599999</v>
      </c>
      <c r="I10" s="73" ph="1">
        <f>I9*290.8*1.0267</f>
        <v>8094.0797995999992</v>
      </c>
      <c r="J10" s="73" ph="1">
        <f>J9*290.8*0.7892</f>
        <v>1636.3304367999999</v>
      </c>
      <c r="K10" s="73" ph="1">
        <f>K9*290.8*1.1126</f>
        <v>2235.6895928000004</v>
      </c>
      <c r="L10" s="73" ph="1">
        <f>L9*290.8*0.777</f>
        <v>6261.1188360000006</v>
      </c>
      <c r="M10" s="73" ph="1">
        <f>M9*33.183*LOOKUP(M11,密度!$A$2:$A$50,密度!$D$2:$D$50)</f>
        <v>103918.8526785</v>
      </c>
      <c r="N10" s="73" ph="1">
        <f>N9*33.183*LOOKUP(N11,密度!$A$2:$A$50,密度!$E$2:$E$50)</f>
        <v>3336.7762943999996</v>
      </c>
      <c r="O10" s="73" ph="1">
        <f>O9*20.428*LOOKUP(O11,密度!$A$2:$A$50,密度!$C$2:$C$50)</f>
        <v>50207.202991999999</v>
      </c>
      <c r="P10" s="73" ph="1">
        <f>P9*51.53*LOOKUP(P11,密度!$A$2:$A$50,密度!$B$2:$B$50)</f>
        <v>159151.45621199999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38685.429921599993</v>
      </c>
      <c r="V10" s="73" ph="1">
        <f>V9*1.5*1.5*3.1416*LOOKUP(V11,密度!$A$2:$A$50,密度!$L$2:$L$50)</f>
        <v>28853.290065600002</v>
      </c>
      <c r="W10" s="73" ph="1">
        <f>W9*1.5*1.5*3.1416*LOOKUP(W11,密度!$A$2:$A$50,密度!$L$2:$L$50)</f>
        <v>44299.340315999994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73801.115711999999</v>
      </c>
      <c r="AA10" s="73" ph="1">
        <f>AA9*33.183*LOOKUP(AA11,密度!$A$2:$A$50,密度!$D$2:$D$50)</f>
        <v>65266.972403400003</v>
      </c>
      <c r="AB10" s="73" ph="1">
        <f>AB9*20.428*LOOKUP(AB11,密度!$A$2:$A$50,密度!$D$2:$D$50)</f>
        <v>24095.814715200006</v>
      </c>
      <c r="AC10" s="73" ph="1">
        <f>AC9*51.53*LOOKUP(AC11,密度!$A$2:$A$50,密度!$Q$2:$Q$50)</f>
        <v>455955.03543380002</v>
      </c>
      <c r="AD10" s="73" ph="1">
        <f>AD9*20.428*LOOKUP(AD11,密度!$A$2:$A$50,密度!$V$2:$V$50)</f>
        <v>94130.589760000003</v>
      </c>
      <c r="AE10" s="73" ph="1">
        <f>AE9*20.428</f>
        <v>92150.707999999999</v>
      </c>
    </row>
    <row r="11" spans="1:99" ph="1">
      <c r="A11" s="64" t="s" ph="1">
        <v>162</v>
      </c>
      <c r="B11" s="247" ph="1"/>
      <c r="C11" s="152" t="s" ph="1">
        <v>179</v>
      </c>
      <c r="D11" s="74">
        <v>21</v>
      </c>
      <c r="E11" s="74">
        <v>21</v>
      </c>
      <c r="F11" s="74">
        <v>19</v>
      </c>
      <c r="G11" s="74">
        <v>20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23</v>
      </c>
      <c r="O11" s="74">
        <v>24</v>
      </c>
      <c r="P11" s="74">
        <v>22</v>
      </c>
      <c r="Q11" s="74">
        <v>30</v>
      </c>
      <c r="R11" s="74">
        <v>27</v>
      </c>
      <c r="S11" s="74">
        <v>19</v>
      </c>
      <c r="T11" s="74">
        <v>28</v>
      </c>
      <c r="U11" s="74">
        <v>21</v>
      </c>
      <c r="V11" s="74">
        <v>26</v>
      </c>
      <c r="W11" s="74">
        <v>21</v>
      </c>
      <c r="X11" s="74">
        <v>23</v>
      </c>
      <c r="Y11" s="74">
        <v>23</v>
      </c>
      <c r="Z11" s="74">
        <v>18</v>
      </c>
      <c r="AA11" s="74">
        <v>20</v>
      </c>
      <c r="AB11" s="74">
        <v>15</v>
      </c>
      <c r="AC11" s="74">
        <v>19</v>
      </c>
      <c r="AD11" s="74">
        <v>20</v>
      </c>
      <c r="AE11" s="74">
        <v>25</v>
      </c>
    </row>
    <row r="12" spans="1:99" ht="9.9" customHeight="1" ph="1"/>
    <row r="13" spans="1:99" s="72" customFormat="1" ht="29.25" customHeight="1" ph="1">
      <c r="B13" s="224" t="s" ph="1">
        <v>37</v>
      </c>
      <c r="C13" s="15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52" t="s" ph="1">
        <v>177</v>
      </c>
      <c r="D15" s="78">
        <v>5973</v>
      </c>
      <c r="E15" s="78">
        <v>5778</v>
      </c>
      <c r="F15" s="78">
        <v>1437</v>
      </c>
      <c r="G15" s="78">
        <v>2187</v>
      </c>
      <c r="H15" s="78">
        <v>4142</v>
      </c>
      <c r="I15" s="78">
        <v>1609</v>
      </c>
      <c r="J15" s="78">
        <v>2343</v>
      </c>
      <c r="K15" s="78">
        <v>2386</v>
      </c>
      <c r="L15" s="78">
        <v>4989</v>
      </c>
      <c r="M15" s="78">
        <v>3081</v>
      </c>
      <c r="N15" s="78">
        <v>2564</v>
      </c>
      <c r="O15" s="78">
        <v>846</v>
      </c>
      <c r="P15" s="78">
        <v>5213</v>
      </c>
      <c r="Q15" s="78">
        <v>2597</v>
      </c>
      <c r="R15" s="78">
        <v>0</v>
      </c>
      <c r="S15" s="78">
        <v>6157</v>
      </c>
      <c r="T15" s="78">
        <v>3666</v>
      </c>
      <c r="U15" s="78">
        <v>4336</v>
      </c>
      <c r="V15" s="78">
        <v>4900</v>
      </c>
      <c r="W15" s="71">
        <v>959</v>
      </c>
      <c r="X15" s="78">
        <v>670</v>
      </c>
      <c r="Y15" s="106">
        <v>-9903</v>
      </c>
      <c r="Z15" s="78">
        <v>0</v>
      </c>
      <c r="AA15" s="78">
        <v>10</v>
      </c>
      <c r="AB15" s="78" ph="1">
        <v>1092</v>
      </c>
      <c r="AC15" s="78" ph="1">
        <v>29</v>
      </c>
      <c r="AD15" s="78">
        <v>5.12</v>
      </c>
      <c r="AE15" s="78">
        <v>41.12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52" t="s" ph="1">
        <v>178</v>
      </c>
      <c r="D16" s="73" ph="1">
        <f>D15*7.0686*LOOKUP(D17,密度!$A$2:$A$50,密度!$L$2:$L$50)</f>
        <v>39771.944427599992</v>
      </c>
      <c r="E16" s="73" ph="1">
        <f>E15*7.0686*LOOKUP(E17,密度!$A$2:$A$50,密度!$L$2:$L$50)</f>
        <v>38473.513293599994</v>
      </c>
      <c r="F16" s="73" ph="1">
        <f>F15*9.0746*LOOKUP(F17,密度!$A$2:$A$50,密度!$L$2:$L$50)</f>
        <v>12244.747987799999</v>
      </c>
      <c r="G16" s="73" ph="1">
        <f>G15*9.0746*LOOKUP(G17,密度!$A$2:$A$50,密度!$B$2:$B$50)</f>
        <v>15577.243291980001</v>
      </c>
      <c r="H16" s="73" ph="1">
        <f>H15*9.0746*LOOKUP(H17,密度!$A$2:$A$50,密度!$L$2:$L$50)</f>
        <v>35519.708574000004</v>
      </c>
      <c r="I16" s="73" ph="1">
        <f>I15*9.0746*LOOKUP(I17,密度!$A$2:$A$50,密度!$U$2:$U$50)</f>
        <v>15009.8602792</v>
      </c>
      <c r="J16" s="73" ph="1">
        <f>J15*9.0746*LOOKUP(J17,密度!$A$2:$A$50,密度!$L$2:$L$50)</f>
        <v>20028.6041076</v>
      </c>
      <c r="K16" s="73" ph="1">
        <f>K15*9.0746*LOOKUP(K17,密度!$A$2:$A$50,密度!$C$2:$C$50)</f>
        <v>24103.00150192</v>
      </c>
      <c r="L16" s="73" ph="1">
        <f>L15*9.0746*LOOKUP(L17,密度!$A$2:$A$50,密度!$E$2:$E$50)</f>
        <v>35729.593182479999</v>
      </c>
      <c r="M16" s="73" ph="1">
        <f>M15*9.0746*LOOKUP(M17,密度!$A$2:$A$50,密度!$M$2:$M$50)</f>
        <v>24578.618529660002</v>
      </c>
      <c r="N16" s="73" ph="1">
        <f>N15*9.0746*LOOKUP(N17,密度!$A$2:$A$50,密度!$M$2:$M$50)</f>
        <v>20482.18165432</v>
      </c>
      <c r="O16" s="73" ph="1">
        <f>O15*9.0746*LOOKUP(O17,密度!$A$2:$A$50,密度!$G$2:$G$50)</f>
        <v>7415.32209444</v>
      </c>
      <c r="P16" s="73" ph="1">
        <f ca="1">P15*9.0746*LOOKUP(P17,密度!$A$2:$A$51,密度!$Q$2:$Q$50)</f>
        <v>44958.571548124004</v>
      </c>
      <c r="Q16" s="73" ph="1">
        <f>Q15*9.0746*LOOKUP(Q17,密度!$A$2:$A$50,密度!$Q$2:$Q$50)</f>
        <v>22381.093701778002</v>
      </c>
      <c r="R16" s="73" ph="1">
        <f>MAX(R15*9.0746*LOOKUP(R17,密度!$A$2:$A$50,密度!$B$2:$B$50),0)</f>
        <v>0</v>
      </c>
      <c r="S16" s="73" ph="1">
        <f>S15*9.0746*LOOKUP(S17,密度!$A$2:$A$50,密度!$Q$2:$Q$50)</f>
        <v>53099.928068636</v>
      </c>
      <c r="T16" s="73" ph="1">
        <f>T15*9.0746*LOOKUP(T17,密度!$A$2:$A$50,密度!$O$2:$O$50)</f>
        <v>30938.759748</v>
      </c>
      <c r="U16" s="73" ph="1">
        <f>U15*9.0746*LOOKUP(U17,密度!$A$2:$A$50,密度!$H$2:$H$50)</f>
        <v>36266.559043519999</v>
      </c>
      <c r="V16" s="73" ph="1">
        <f>MAX(5600*LOOKUP(V17,密度!$A$2:$A$50,密度!$Q$2:$Q$50)+V15*9.0476*LOOKUP(V17,密度!$A$2:$A$50,密度!$Q$2:$Q$50),0)</f>
        <v>47455.552631199993</v>
      </c>
      <c r="W16" s="73" ph="1">
        <f>MAX(5600*LOOKUP(W17,密度!$A$2:$A$50,密度!$Q$2:$Q$50)+W15*9.0476*LOOKUP(W17,密度!$A$2:$A$50,密度!$Q$2:$Q$50),0)</f>
        <v>13568.241106392001</v>
      </c>
      <c r="X16" s="73" ph="1">
        <f>MAX(5600*LOOKUP(X17,密度!$A$2:$A$50,密度!$I$2:$I$50)+X15*9.0476*LOOKUP(X17,密度!$A$2:$A$50,密度!$I$2:$I$50),0)</f>
        <v>12182.012383199999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71.43525120000001</v>
      </c>
      <c r="AB16" s="73" ph="1">
        <f>AB15*9.0746*LOOKUP(AB17,密度!$A$2:$A$50,密度!$L$2:$L$50)</f>
        <v>9354.533260799999</v>
      </c>
      <c r="AC16" s="73" ph="1">
        <f>AC15*9.0746*LOOKUP(AC17,密度!$A$2:$A$50,密度!$L$2:$L$50)</f>
        <v>248.9525764</v>
      </c>
      <c r="AD16" s="73" ph="1">
        <f>AD15*268.68*LOOKUP(AD17,密度!$A$2:$A$50,密度!B2:B50)+IF(AD15&lt;=0,0,1566*LOOKUP(AD17,密度!$A$2:$A$50,密度!B2:B50))</f>
        <v>2293.3037913600001</v>
      </c>
      <c r="AE16" s="73" ph="1">
        <f>AE15*268.68*LOOKUP(AE17,密度!$A$2:$A$50,密度!B2:B50)+IF(AE15&lt;=0,0,1566*LOOKUP(AE17,密度!$A$2:$A$50,密度!B2:B50))</f>
        <v>9833.9691993600009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20</v>
      </c>
      <c r="E17" s="74">
        <v>20</v>
      </c>
      <c r="F17" s="74">
        <v>23</v>
      </c>
      <c r="G17" s="74">
        <v>19</v>
      </c>
      <c r="H17" s="74">
        <v>17</v>
      </c>
      <c r="I17" s="74">
        <v>17</v>
      </c>
      <c r="J17" s="74">
        <v>20</v>
      </c>
      <c r="K17" s="74">
        <v>19</v>
      </c>
      <c r="L17" s="74">
        <v>20</v>
      </c>
      <c r="M17" s="74">
        <v>21</v>
      </c>
      <c r="N17" s="74">
        <v>19</v>
      </c>
      <c r="O17" s="74">
        <v>20</v>
      </c>
      <c r="P17" s="74">
        <v>20</v>
      </c>
      <c r="Q17" s="74">
        <v>21</v>
      </c>
      <c r="R17" s="74">
        <v>20</v>
      </c>
      <c r="S17" s="74">
        <v>20</v>
      </c>
      <c r="T17" s="74">
        <v>20</v>
      </c>
      <c r="U17" s="74">
        <v>18</v>
      </c>
      <c r="V17" s="74">
        <v>20</v>
      </c>
      <c r="W17" s="74">
        <v>20</v>
      </c>
      <c r="X17" s="74">
        <v>23</v>
      </c>
      <c r="Y17" s="108">
        <v>23</v>
      </c>
      <c r="Z17" s="74">
        <v>18</v>
      </c>
      <c r="AA17" s="74">
        <v>16</v>
      </c>
      <c r="AB17" s="74">
        <v>18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5988</v>
      </c>
      <c r="E18" s="71">
        <v>5784</v>
      </c>
      <c r="F18" s="71">
        <v>1436</v>
      </c>
      <c r="G18" s="71">
        <v>2240</v>
      </c>
      <c r="H18" s="71">
        <v>4144</v>
      </c>
      <c r="I18" s="71">
        <v>1609</v>
      </c>
      <c r="J18" s="71">
        <v>4414</v>
      </c>
      <c r="K18" s="71">
        <v>2386</v>
      </c>
      <c r="L18" s="71">
        <v>4996</v>
      </c>
      <c r="M18" s="71">
        <v>4873</v>
      </c>
      <c r="N18" s="71">
        <v>2700</v>
      </c>
      <c r="O18" s="71">
        <v>844</v>
      </c>
      <c r="P18" s="71">
        <v>5221</v>
      </c>
      <c r="Q18" s="71">
        <v>2597</v>
      </c>
      <c r="R18" s="71">
        <v>0</v>
      </c>
      <c r="S18" s="71">
        <v>6163</v>
      </c>
      <c r="T18" s="71">
        <v>3669</v>
      </c>
      <c r="U18" s="71">
        <v>4336</v>
      </c>
      <c r="V18" s="71">
        <v>4901</v>
      </c>
      <c r="W18" s="71">
        <v>-132</v>
      </c>
      <c r="X18" s="71">
        <v>669</v>
      </c>
      <c r="Y18" s="109">
        <v>-9905</v>
      </c>
      <c r="Z18" s="71">
        <v>0</v>
      </c>
      <c r="AA18" s="71">
        <v>10</v>
      </c>
      <c r="AB18" s="71">
        <v>1089</v>
      </c>
      <c r="AC18" s="71">
        <v>18</v>
      </c>
      <c r="AD18" s="71">
        <v>13.21</v>
      </c>
      <c r="AE18" s="71">
        <v>84.62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52" t="s" ph="1">
        <v>178</v>
      </c>
      <c r="D19" s="73" ph="1">
        <f>D18*7.0686*LOOKUP(D20,密度!$A$2:$A$50,密度!$L$2:$L$50)</f>
        <v>39829.496968799998</v>
      </c>
      <c r="E19" s="73" ph="1">
        <f>E18*7.0686*LOOKUP(E20,密度!$A$2:$A$50,密度!$L$2:$L$50)</f>
        <v>38431.695455999994</v>
      </c>
      <c r="F19" s="73" ph="1">
        <f>F18*9.0746*LOOKUP(F20,密度!$A$2:$A$50,密度!$L$2:$L$50)</f>
        <v>12223.195812800001</v>
      </c>
      <c r="G19" s="73" ph="1">
        <f>G18*9.0746*LOOKUP(G20,密度!$A$2:$A$50,密度!$B$2:$B$50)</f>
        <v>15920.1878528</v>
      </c>
      <c r="H19" s="73" ph="1">
        <f>H18*9.0746*LOOKUP(H20,密度!$A$2:$A$50,密度!$L$2:$L$50)</f>
        <v>35499.254425600004</v>
      </c>
      <c r="I19" s="73" ph="1">
        <f>I18*9.0746*LOOKUP(I20,密度!$A$2:$A$50,密度!$U$2:$U$50)</f>
        <v>15009.8602792</v>
      </c>
      <c r="J19" s="73" ph="1">
        <f>J18*9.0746*LOOKUP(J20,密度!$A$2:$A$50,密度!$L$2:$L$50)</f>
        <v>37651.967336000002</v>
      </c>
      <c r="K19" s="73" ph="1">
        <f>K18*9.0746*LOOKUP(K20,密度!$A$2:$A$50,密度!$C$2:$C$50)</f>
        <v>24074.853907640005</v>
      </c>
      <c r="L19" s="73" ph="1">
        <f>L18*9.0746*LOOKUP(L20,密度!$A$2:$A$50,密度!$E$2:$E$50)</f>
        <v>35725.320860799999</v>
      </c>
      <c r="M19" s="73" ph="1">
        <f>M18*9.0746*LOOKUP(M20,密度!$A$2:$A$50,密度!$M$2:$M$50)</f>
        <v>38781.401126600002</v>
      </c>
      <c r="N19" s="73" ph="1">
        <f>N18*9.0746*LOOKUP(N20,密度!$A$2:$A$50,密度!$M$2:$M$50)</f>
        <v>21539.198322</v>
      </c>
      <c r="O19" s="73" ph="1">
        <f>O18*9.0746*LOOKUP(O20,密度!$A$2:$A$50,密度!$G$2:$G$50)</f>
        <v>7369.4536212800003</v>
      </c>
      <c r="P19" s="73" ph="1">
        <f ca="1">P18*9.0746*LOOKUP(P20,密度!$A$2:$A$51,密度!$Q$2:$Q$50)</f>
        <v>44966.447847194002</v>
      </c>
      <c r="Q19" s="73" ph="1">
        <f>Q18*9.0746*LOOKUP(Q20,密度!$A$2:$A$50,密度!$Q$2:$Q$50)</f>
        <v>22381.093701778002</v>
      </c>
      <c r="R19" s="73" ph="1">
        <f>MAX(R18*9.0746*LOOKUP(R20,密度!$A$2:$A$50,密度!$B$2:$B$50),0)</f>
        <v>0</v>
      </c>
      <c r="S19" s="73" ph="1">
        <f>S18*9.0746*LOOKUP(S20,密度!$A$2:$A$50,密度!$Q$2:$Q$50)</f>
        <v>53113.084514462003</v>
      </c>
      <c r="T19" s="73" ph="1">
        <f>T18*9.0746*LOOKUP(T20,密度!$A$2:$A$50,密度!$O$2:$O$50)</f>
        <v>30830.8990524</v>
      </c>
      <c r="U19" s="73" ph="1">
        <f>U18*9.0746*LOOKUP(U20,密度!$A$2:$A$50,密度!$H$2:$H$50)</f>
        <v>36187.86411232</v>
      </c>
      <c r="V19" s="73" ph="1">
        <f>MAX(5600*LOOKUP(V20,密度!$A$2:$A$50,密度!$Q$2:$Q$50)+V18*9.0476*LOOKUP(V20,密度!$A$2:$A$50,密度!$Q$2:$Q$50),0)</f>
        <v>47355.277102319997</v>
      </c>
      <c r="W19" s="73" ph="1">
        <f>MAX(5600*LOOKUP(W20,密度!$A$2:$A$50,密度!$Q$2:$Q$50)+W18*9.0476*LOOKUP(W20,密度!$A$2:$A$50,密度!$Q$2:$Q$50),0)</f>
        <v>4174.2844964960004</v>
      </c>
      <c r="X19" s="73" ph="1">
        <f>MAX(5600*LOOKUP(X20,密度!$A$2:$A$50,密度!$I$2:$I$50)+X18*9.0476*LOOKUP(X20,密度!$A$2:$A$50,密度!$I$2:$I$50),0)</f>
        <v>12132.941589279999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70.990595800000008</v>
      </c>
      <c r="AB19" s="73" ph="1">
        <f>AB18*9.0746*LOOKUP(AB20,密度!$A$2:$A$50,密度!$L$2:$L$50)</f>
        <v>9230.0115996000004</v>
      </c>
      <c r="AC19" s="73" ph="1">
        <f>AC18*9.0746*LOOKUP(AC20,密度!$A$2:$A$50,密度!$L$2:$L$50)</f>
        <v>153.54223200000001</v>
      </c>
      <c r="AD19" s="73" ph="1">
        <f>AD18*268.68*LOOKUP(AD20,密度!$A$2:$A$50,密度!B5:B53)+IF(AD18&lt;=0,0,1566*LOOKUP(AD20,密度!$A$2:$A$50,密度!B5:B53))</f>
        <v>3974.5591956000007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21</v>
      </c>
      <c r="E20" s="81">
        <v>22</v>
      </c>
      <c r="F20" s="81">
        <v>24</v>
      </c>
      <c r="G20" s="81">
        <v>21</v>
      </c>
      <c r="H20" s="81">
        <v>18</v>
      </c>
      <c r="I20" s="81">
        <v>22</v>
      </c>
      <c r="J20" s="81">
        <v>22</v>
      </c>
      <c r="K20" s="81">
        <v>21</v>
      </c>
      <c r="L20" s="81">
        <v>21</v>
      </c>
      <c r="M20" s="81">
        <v>23</v>
      </c>
      <c r="N20" s="81">
        <v>21</v>
      </c>
      <c r="O20" s="81">
        <v>23</v>
      </c>
      <c r="P20" s="81">
        <v>22</v>
      </c>
      <c r="Q20" s="81">
        <v>21</v>
      </c>
      <c r="R20" s="81">
        <v>35</v>
      </c>
      <c r="S20" s="81">
        <v>21</v>
      </c>
      <c r="T20" s="81">
        <v>26</v>
      </c>
      <c r="U20" s="81">
        <v>20</v>
      </c>
      <c r="V20" s="81">
        <v>23</v>
      </c>
      <c r="W20" s="81">
        <v>24</v>
      </c>
      <c r="X20" s="81">
        <v>26</v>
      </c>
      <c r="Y20" s="110">
        <v>26</v>
      </c>
      <c r="Z20" s="81">
        <v>28</v>
      </c>
      <c r="AA20" s="81">
        <v>22</v>
      </c>
      <c r="AB20" s="81">
        <v>28</v>
      </c>
      <c r="AC20" s="81">
        <v>22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644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52" t="s" ph="1">
        <v>177</v>
      </c>
      <c r="D24" s="71">
        <v>4.92</v>
      </c>
      <c r="E24" s="71">
        <v>62.81</v>
      </c>
      <c r="F24" s="71">
        <v>722</v>
      </c>
      <c r="G24" s="71">
        <v>3765</v>
      </c>
      <c r="H24" s="71">
        <v>2864</v>
      </c>
      <c r="I24" s="71">
        <v>3005</v>
      </c>
      <c r="J24" s="71">
        <v>4136</v>
      </c>
      <c r="K24" s="71">
        <v>4916</v>
      </c>
      <c r="L24" s="71">
        <v>5557</v>
      </c>
      <c r="M24" s="71">
        <v>4883</v>
      </c>
      <c r="N24" s="71">
        <v>1126</v>
      </c>
      <c r="O24" s="71">
        <v>5732</v>
      </c>
      <c r="P24" s="71">
        <v>650</v>
      </c>
      <c r="Q24" s="90">
        <v>4128</v>
      </c>
      <c r="R24" s="71">
        <v>2105</v>
      </c>
      <c r="S24" s="71">
        <v>350</v>
      </c>
      <c r="T24" s="71">
        <v>160</v>
      </c>
      <c r="U24" s="71">
        <v>4742</v>
      </c>
      <c r="V24" s="71">
        <v>8847</v>
      </c>
      <c r="W24" s="71">
        <v>1583</v>
      </c>
      <c r="X24" s="71">
        <v>3955</v>
      </c>
      <c r="Y24" s="71">
        <v>1826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2734.0957477440002</v>
      </c>
      <c r="E25" s="91" ph="1">
        <f>E24*268.68*LOOKUP(E26,密度!$A$2:$A$50,密度!$C$2:$C$50)+IF(E24&lt;=0,0,1566*LOOKUP(E26,密度!$A$2:$A$50,密度!$C$2:$C$50))</f>
        <v>20450.101818120005</v>
      </c>
      <c r="F25" s="91" ph="1">
        <f>F24*11.702*LOOKUP(F26,密度!$A$2:$A$50,密度!$Q$2:$Q$50)</f>
        <v>8018.7133519599993</v>
      </c>
      <c r="G25" s="91" ph="1">
        <f>G24*18.322*LOOKUP(G26,密度!$A$2:$A$50,密度!$B$2:$B$50)</f>
        <v>54026.960856000005</v>
      </c>
      <c r="H25" s="91" ph="1">
        <f>H24*18.322*LOOKUP(H26,密度!$A$2:$A$50,密度!$B$2:$B$50)</f>
        <v>41097.799705600002</v>
      </c>
      <c r="I25" s="91" ph="1">
        <f>I24*18.322*LOOKUP(I26,密度!$A$2:$A$50,密度!$Q$2:$Q$50)</f>
        <v>52325.651391799998</v>
      </c>
      <c r="J25" s="91" ph="1">
        <f>J24*18.322*LOOKUP(J26,密度!$A$2:$A$50,密度!$Q$2:$Q$50)</f>
        <v>71921.842789279995</v>
      </c>
      <c r="K25" s="91" ph="1">
        <f>K24*18.322*LOOKUP(K26,密度!$A$2:$A$50,密度!$Q$2:$Q$50)</f>
        <v>85485.439833679993</v>
      </c>
      <c r="L25" s="91" ph="1">
        <f>L24*18.322*LOOKUP(L26,密度!$A$2:$A$50,密度!$Q$2:$Q$50)</f>
        <v>96693.023540259994</v>
      </c>
      <c r="M25" s="91" ph="1">
        <f>M24*18.322*LOOKUP(M26,密度!$A$2:$A$50,密度!$Q$2:$Q$50)</f>
        <v>84965.275138940007</v>
      </c>
      <c r="N25" s="91" ph="1">
        <f>N24*18.322*LOOKUP(N26,密度!$A$2:$A$50,密度!$Q$2:$Q$50)</f>
        <v>19606.88301736</v>
      </c>
      <c r="O25" s="91" ph="1">
        <f>O24*18.322*LOOKUP(O26,密度!$A$2:$A$50,密度!$C$2:$C$50)</f>
        <v>116773.63267760001</v>
      </c>
      <c r="P25" s="91" ph="1">
        <f>P24*11.702*LOOKUP(P26,密度!$A$2:$A$50,密度!$B$2:$B$50)</f>
        <v>5950.4084899999998</v>
      </c>
      <c r="Q25" s="92" ph="1">
        <f>Q24*18.322*LOOKUP(Q26,密度!$A$2:$A$50,密度!$B$2:$B$50)</f>
        <v>59304.004665600005</v>
      </c>
      <c r="R25" s="91" ph="1">
        <f>R24*35.891*LOOKUP(R26,密度!$A$2:$A$50,密度!$C$2:$C$50)</f>
        <v>84004.662104500007</v>
      </c>
      <c r="S25" s="91" ph="1">
        <f>S24*35.891*LOOKUP(S26,密度!$A$2:$A$50,密度!$B$2:$B$50)</f>
        <v>9849.746584999999</v>
      </c>
      <c r="T25" s="91" ph="1">
        <f>T24*35.891*LOOKUP(T26,密度!$A$2:$A$50,密度!$Q$2:$Q$50)</f>
        <v>5466.9745456000001</v>
      </c>
      <c r="U25" s="91" ph="1">
        <f>U24*35.891</f>
        <v>170195.122</v>
      </c>
      <c r="V25" s="91" ph="1">
        <f>V24*47.051*LOOKUP(V26,密度!$A$2:$A$50,密度!$B$2:$B$50)</f>
        <v>326389.62046770006</v>
      </c>
      <c r="W25" s="91" ph="1">
        <f>W24*47.051*LOOKUP(W26,密度!$A$2:$A$50,密度!$B$2:$B$50)</f>
        <v>58267.059725900006</v>
      </c>
      <c r="X25" s="91" ph="1">
        <f>X24*47.051*LOOKUP(X26,密度!$A$2:$A$61,密度!$I$2:$I$61)</f>
        <v>189380.43967850003</v>
      </c>
      <c r="Y25" s="91" ph="1">
        <f>Y24*47.051*LOOKUP(Y26,密度!$A$2:$A$50,密度!$L$2:$L$50)</f>
        <v>80846.133566000004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22</v>
      </c>
      <c r="G26" s="74">
        <v>21</v>
      </c>
      <c r="H26" s="74">
        <v>21</v>
      </c>
      <c r="I26" s="74">
        <v>20</v>
      </c>
      <c r="J26" s="74">
        <v>22</v>
      </c>
      <c r="K26" s="74">
        <v>22</v>
      </c>
      <c r="L26" s="74">
        <v>21</v>
      </c>
      <c r="M26" s="74">
        <v>21</v>
      </c>
      <c r="N26" s="74">
        <v>20</v>
      </c>
      <c r="O26" s="74">
        <v>21</v>
      </c>
      <c r="P26" s="74">
        <v>22</v>
      </c>
      <c r="Q26" s="93">
        <v>20</v>
      </c>
      <c r="R26" s="74">
        <v>21</v>
      </c>
      <c r="S26" s="74">
        <v>20</v>
      </c>
      <c r="T26" s="74">
        <v>18</v>
      </c>
      <c r="U26" s="74">
        <v>19</v>
      </c>
      <c r="V26" s="74">
        <v>20</v>
      </c>
      <c r="W26" s="74">
        <v>22</v>
      </c>
      <c r="X26" s="74">
        <v>47</v>
      </c>
      <c r="Y26" s="74">
        <v>21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52" t="s" ph="1">
        <v>180</v>
      </c>
      <c r="D27" s="71">
        <v>4.92</v>
      </c>
      <c r="E27" s="71">
        <v>5.32</v>
      </c>
      <c r="F27" s="71">
        <v>723</v>
      </c>
      <c r="G27" s="71">
        <v>3070</v>
      </c>
      <c r="H27" s="71">
        <v>1665</v>
      </c>
      <c r="I27" s="71">
        <v>3545</v>
      </c>
      <c r="J27" s="71">
        <v>5286</v>
      </c>
      <c r="K27" s="71">
        <v>4917</v>
      </c>
      <c r="L27" s="71">
        <v>5555</v>
      </c>
      <c r="M27" s="71">
        <v>4884</v>
      </c>
      <c r="N27" s="71">
        <v>3340</v>
      </c>
      <c r="O27" s="71">
        <v>5731</v>
      </c>
      <c r="P27" s="71">
        <v>652</v>
      </c>
      <c r="Q27" s="90">
        <v>536</v>
      </c>
      <c r="R27" s="71">
        <v>2527</v>
      </c>
      <c r="S27" s="71">
        <v>2368</v>
      </c>
      <c r="T27" s="71">
        <v>159</v>
      </c>
      <c r="U27" s="71">
        <v>5054</v>
      </c>
      <c r="V27" s="71">
        <v>8850</v>
      </c>
      <c r="W27" s="71">
        <v>1398</v>
      </c>
      <c r="X27" s="71">
        <v>3097</v>
      </c>
      <c r="Y27" s="71">
        <v>2552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52" t="s" ph="1">
        <v>178</v>
      </c>
      <c r="D28" s="91" ph="1">
        <f>D27*268.68*LOOKUP(D29,密度!$A$2:$A$50,密度!$Q$2:$Q$50)+IF(D27&lt;=0,0,1566*LOOKUP(D29,密度!$A$2:$A$50,密度!$Q$2:$Q$50))</f>
        <v>2734.0957477440002</v>
      </c>
      <c r="E28" s="91" ph="1">
        <f>E27*268.68*LOOKUP(E29,密度!$A$2:$A$50,密度!$C$2:$C$50)+IF(E27&lt;=0,0,1566*LOOKUP(E29,密度!$A$2:$A$50,密度!$C$2:$C$50))</f>
        <v>3321.57422064</v>
      </c>
      <c r="F28" s="91" ph="1">
        <f>F27*11.702*LOOKUP(F29,密度!$A$2:$A$50,密度!$Q$2:$Q$50)</f>
        <v>8029.8196031400003</v>
      </c>
      <c r="G28" s="91" ph="1">
        <f>G27*18.322*LOOKUP(G29,密度!$A$2:$A$50,密度!$B$2:$B$50)</f>
        <v>44053.856528000004</v>
      </c>
      <c r="H28" s="91" ph="1">
        <f>H27*18.322*LOOKUP(H29,密度!$A$2:$A$50,密度!$B$2:$B$50)</f>
        <v>23892.401016</v>
      </c>
      <c r="I28" s="91" ph="1">
        <f>I27*18.322*LOOKUP(I29,密度!$A$2:$A$50,密度!$Q$2:$Q$50)</f>
        <v>61728.597066199996</v>
      </c>
      <c r="J28" s="91" ph="1">
        <f>J27*18.322*LOOKUP(J29,密度!$A$2:$A$50,密度!$Q$2:$Q$50)</f>
        <v>91919.453816279987</v>
      </c>
      <c r="K28" s="91" ph="1">
        <f>K27*18.322*LOOKUP(K29,密度!$A$2:$A$50,密度!$Q$2:$Q$50)</f>
        <v>85556.882625059996</v>
      </c>
      <c r="L28" s="91" ph="1">
        <f>L27*18.322*LOOKUP(L29,密度!$A$2:$A$50,密度!$Q$2:$Q$50)</f>
        <v>96597.155873899988</v>
      </c>
      <c r="M28" s="91" ph="1">
        <f>M27*18.322*LOOKUP(M29,密度!$A$2:$A$50,密度!$Q$2:$Q$50)</f>
        <v>85044.419766239997</v>
      </c>
      <c r="N28" s="91" ph="1">
        <f>N27*18.322*LOOKUP(N29,密度!$A$2:$A$50,密度!$Q$2:$Q$50)</f>
        <v>58116.7354012</v>
      </c>
      <c r="O28" s="91" ph="1">
        <f>O27*18.322*LOOKUP(O29,密度!$A$2:$A$50,密度!$C$2:$C$50)</f>
        <v>116669.25774019999</v>
      </c>
      <c r="P28" s="91" ph="1">
        <f>P27*11.702*LOOKUP(P29,密度!$A$2:$A$50,密度!$B$2:$B$50)</f>
        <v>5975.5841727999996</v>
      </c>
      <c r="Q28" s="92" ph="1">
        <f>Q27*18.322*LOOKUP(Q29,密度!$A$2:$A$50,密度!$B$2:$B$50)</f>
        <v>7700.3261871999994</v>
      </c>
      <c r="R28" s="91" ph="1">
        <f>R27*35.891*LOOKUP(R29,密度!$A$2:$A$50,密度!$C$2:$C$50)</f>
        <v>100772.9444827</v>
      </c>
      <c r="S28" s="91" ph="1">
        <f>S27*35.891*LOOKUP(S29,密度!$A$2:$A$50,密度!$B$2:$B$50)</f>
        <v>66640.571180799991</v>
      </c>
      <c r="T28" s="91" ph="1">
        <f>T27*35.891*LOOKUP(T29,密度!$A$2:$A$50,密度!$Q$2:$Q$50)</f>
        <v>5416.1424812099995</v>
      </c>
      <c r="U28" s="91" ph="1">
        <f>U27*35.891</f>
        <v>181393.114</v>
      </c>
      <c r="V28" s="91" ph="1">
        <f>V27*47.051*LOOKUP(V29,密度!$A$2:$A$50,密度!$B$2:$B$50)</f>
        <v>326500.29853500001</v>
      </c>
      <c r="W28" s="91" ph="1">
        <f>W27*47.051*LOOKUP(W29,密度!$A$2:$A$50,密度!$B$2:$B$50)</f>
        <v>51398.380657200003</v>
      </c>
      <c r="X28" s="91" ph="1">
        <f>X27*47.051*LOOKUP(X29,密度!$A$2:$A$61,密度!$I$2:$I$61)</f>
        <v>148135.84832020002</v>
      </c>
      <c r="Y28" s="91" ph="1">
        <f>Y27*47.051*LOOKUP(Y29,密度!$A$2:$A$50,密度!$L$2:$L$50)</f>
        <v>113109.851184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52" t="s" ph="1">
        <v>179</v>
      </c>
      <c r="D29" s="74">
        <v>25</v>
      </c>
      <c r="E29" s="74">
        <v>25</v>
      </c>
      <c r="F29" s="74">
        <v>22</v>
      </c>
      <c r="G29" s="74">
        <v>21</v>
      </c>
      <c r="H29" s="74">
        <v>21</v>
      </c>
      <c r="I29" s="74">
        <v>20</v>
      </c>
      <c r="J29" s="74">
        <v>22</v>
      </c>
      <c r="K29" s="74">
        <v>21</v>
      </c>
      <c r="L29" s="74">
        <v>22</v>
      </c>
      <c r="M29" s="74">
        <v>20</v>
      </c>
      <c r="N29" s="74">
        <v>21</v>
      </c>
      <c r="O29" s="74">
        <v>22</v>
      </c>
      <c r="P29" s="74">
        <v>21</v>
      </c>
      <c r="Q29" s="93">
        <v>20</v>
      </c>
      <c r="R29" s="74">
        <v>22</v>
      </c>
      <c r="S29" s="74">
        <v>20</v>
      </c>
      <c r="T29" s="74">
        <v>22</v>
      </c>
      <c r="U29" s="74">
        <v>23</v>
      </c>
      <c r="V29" s="74">
        <v>20</v>
      </c>
      <c r="W29" s="74">
        <v>23</v>
      </c>
      <c r="X29" s="74">
        <v>48</v>
      </c>
      <c r="Y29" s="74">
        <v>20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52" t="s" ph="1">
        <v>5</v>
      </c>
      <c r="F32" s="151" t="s" ph="1">
        <v>43</v>
      </c>
      <c r="G32" s="97" t="s" ph="1">
        <v>4</v>
      </c>
      <c r="H32" s="152" t="s" ph="1">
        <v>5</v>
      </c>
      <c r="I32" s="151" t="s" ph="1">
        <v>43</v>
      </c>
      <c r="J32" s="97" t="s" ph="1">
        <v>4</v>
      </c>
      <c r="K32" s="152" t="s" ph="1">
        <v>5</v>
      </c>
      <c r="L32" s="151" t="s" ph="1">
        <v>43</v>
      </c>
      <c r="M32" s="97" t="s" ph="1">
        <v>4</v>
      </c>
      <c r="N32" s="152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2" t="s" ph="1">
        <v>5</v>
      </c>
      <c r="U32" s="99" t="s" ph="1">
        <v>43</v>
      </c>
      <c r="V32" s="97" t="s" ph="1">
        <v>4</v>
      </c>
      <c r="W32" s="152" t="s" ph="1">
        <v>5</v>
      </c>
      <c r="X32" s="99" t="s" ph="1">
        <v>43</v>
      </c>
      <c r="Y32" s="100" t="s" ph="1">
        <v>4</v>
      </c>
      <c r="Z32" s="152" t="s" ph="1">
        <v>5</v>
      </c>
      <c r="AA32" s="151" t="s" ph="1">
        <v>43</v>
      </c>
      <c r="AB32" s="97" t="s" ph="1">
        <v>85</v>
      </c>
      <c r="AC32" s="152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89362.787118600012</v>
      </c>
      <c r="E33" s="196" ph="1">
        <f>M10+I10</f>
        <v>112012.9324781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22" ph="1">
        <v>0</v>
      </c>
      <c r="H33" s="196" ph="1">
        <f>N19</f>
        <v>21539.198322</v>
      </c>
      <c r="I33" s="200" ph="1">
        <v>0</v>
      </c>
      <c r="J33" s="204" ph="1">
        <f>F10+O28</f>
        <v>319724.67559339997</v>
      </c>
      <c r="K33" s="196" ph="1">
        <f>O10+K10+E28+R28</f>
        <v>156537.41128813999</v>
      </c>
      <c r="L33" s="206" ph="1">
        <f>BE27</f>
        <v>7100</v>
      </c>
      <c r="M33" s="204" ph="1">
        <f>G10+H10+W28+S28+V28+E10</f>
        <v>811836.29935500002</v>
      </c>
      <c r="N33" s="196" ph="1">
        <f>L10+P10++G28+H28</f>
        <v>233358.83259199999</v>
      </c>
      <c r="O33" s="200" ph="1">
        <f>BE17</f>
        <v>2270</v>
      </c>
      <c r="P33" s="204" ph="1">
        <f>L19</f>
        <v>35725.320860799999</v>
      </c>
      <c r="Q33" s="196" ph="1">
        <f>J10+N10</f>
        <v>4973.1067311999996</v>
      </c>
      <c r="R33" s="200" ph="1">
        <f>BE23</f>
        <v>890</v>
      </c>
      <c r="S33" s="204" ph="1">
        <f>E10+X28</f>
        <v>148135.84832020002</v>
      </c>
      <c r="T33" s="196" ph="1">
        <f>X19</f>
        <v>12132.941589279999</v>
      </c>
      <c r="U33" s="185" ph="1">
        <f>BE21</f>
        <v>730</v>
      </c>
      <c r="V33" s="198" ph="1">
        <f ca="1">P19+Q19+S19+M28+N28+J28</f>
        <v>355541.23504715401</v>
      </c>
      <c r="W33" s="198" ph="1">
        <f>D28+F28+V19+T28</f>
        <v>63535.334934414001</v>
      </c>
      <c r="X33" s="200" ph="1">
        <f>BE29+BE31</f>
        <v>10200</v>
      </c>
      <c r="Y33" s="202" ph="1">
        <f>+Q10+R10+S10+T10+U10+V10+W10+X10+Y10</f>
        <v>111838.06030319998</v>
      </c>
      <c r="Z33" s="183" ph="1">
        <f>D10+T19+U19+Y28+Z10</f>
        <v>415090.09262349998</v>
      </c>
      <c r="AA33" s="185" ph="1">
        <f>BE19</f>
        <v>1440</v>
      </c>
      <c r="AB33" s="187" ph="1">
        <f>I19</f>
        <v>15009.8602792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50" t="s" ph="1">
        <v>185</v>
      </c>
      <c r="AA36" s="150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796" priority="98">
      <formula>ABS(D$7-D$10)&gt;=1000</formula>
    </cfRule>
  </conditionalFormatting>
  <conditionalFormatting sqref="E4 E6:E11">
    <cfRule type="expression" dxfId="1795" priority="97">
      <formula>ABS(E$7-E$10)&gt;=1000</formula>
    </cfRule>
  </conditionalFormatting>
  <conditionalFormatting sqref="F4:F11">
    <cfRule type="expression" dxfId="1794" priority="96">
      <formula>ABS(F$7-F$10)&gt;=1000</formula>
    </cfRule>
  </conditionalFormatting>
  <conditionalFormatting sqref="G4:G11">
    <cfRule type="expression" dxfId="1793" priority="95">
      <formula>ABS(G$7-G$10)&gt;=1000</formula>
    </cfRule>
  </conditionalFormatting>
  <conditionalFormatting sqref="H4:H11">
    <cfRule type="expression" dxfId="1792" priority="94">
      <formula>ABS(H$7-H$10)&gt;=1000</formula>
    </cfRule>
  </conditionalFormatting>
  <conditionalFormatting sqref="I4:I11">
    <cfRule type="expression" dxfId="1791" priority="93">
      <formula>ABS(I$7-I$10)&gt;=1000</formula>
    </cfRule>
  </conditionalFormatting>
  <conditionalFormatting sqref="J4:J11">
    <cfRule type="expression" dxfId="1790" priority="92">
      <formula>ABS(J$7-J$10)&gt;=1000</formula>
    </cfRule>
  </conditionalFormatting>
  <conditionalFormatting sqref="K4:K11">
    <cfRule type="expression" dxfId="1789" priority="91">
      <formula>ABS(K$7-K$10)&gt;=1000</formula>
    </cfRule>
  </conditionalFormatting>
  <conditionalFormatting sqref="L4:L11">
    <cfRule type="expression" dxfId="1788" priority="90">
      <formula>ABS(L$7-L$10)&gt;=1000</formula>
    </cfRule>
  </conditionalFormatting>
  <conditionalFormatting sqref="M4 M6:M11">
    <cfRule type="expression" dxfId="1787" priority="89">
      <formula>ABS(M$7-M$10)&gt;=1000</formula>
    </cfRule>
  </conditionalFormatting>
  <conditionalFormatting sqref="N4 N6:N11">
    <cfRule type="expression" dxfId="1786" priority="88">
      <formula>ABS(N$7-N$10)&gt;=1000</formula>
    </cfRule>
  </conditionalFormatting>
  <conditionalFormatting sqref="O4 O6:O11">
    <cfRule type="expression" dxfId="1785" priority="87">
      <formula>ABS(O$7-O$10)&gt;=1000</formula>
    </cfRule>
  </conditionalFormatting>
  <conditionalFormatting sqref="P4 P6:P11">
    <cfRule type="expression" dxfId="1784" priority="86">
      <formula>ABS(P$7-P$10)&gt;=1000</formula>
    </cfRule>
  </conditionalFormatting>
  <conditionalFormatting sqref="Q4:Q11">
    <cfRule type="expression" dxfId="1783" priority="85">
      <formula>ABS(Q$7-Q$10)&gt;=1000</formula>
    </cfRule>
  </conditionalFormatting>
  <conditionalFormatting sqref="R4:R11">
    <cfRule type="expression" dxfId="1782" priority="84">
      <formula>ABS(R$7-R$10)&gt;=1000</formula>
    </cfRule>
  </conditionalFormatting>
  <conditionalFormatting sqref="S4:S11">
    <cfRule type="expression" dxfId="1781" priority="83">
      <formula>ABS(S$7-S$10)&gt;=1000</formula>
    </cfRule>
  </conditionalFormatting>
  <conditionalFormatting sqref="T4:T9 T11">
    <cfRule type="expression" dxfId="1780" priority="82">
      <formula>ABS(T$7-T$10)&gt;=1000</formula>
    </cfRule>
  </conditionalFormatting>
  <conditionalFormatting sqref="U4:U9 U11">
    <cfRule type="expression" dxfId="1779" priority="81">
      <formula>ABS(U$7-U$10)&gt;=1000</formula>
    </cfRule>
  </conditionalFormatting>
  <conditionalFormatting sqref="V4:V9 V11">
    <cfRule type="expression" dxfId="1778" priority="80">
      <formula>ABS(V$7-V$10)&gt;=1000</formula>
    </cfRule>
  </conditionalFormatting>
  <conditionalFormatting sqref="W4:W9 W11">
    <cfRule type="expression" dxfId="1777" priority="79">
      <formula>ABS(W$7-W$10)&gt;=1000</formula>
    </cfRule>
  </conditionalFormatting>
  <conditionalFormatting sqref="X4:X9 X11">
    <cfRule type="expression" dxfId="1776" priority="78">
      <formula>ABS(X$7-X$10)&gt;=1000</formula>
    </cfRule>
  </conditionalFormatting>
  <conditionalFormatting sqref="Y4:Y9 Y11">
    <cfRule type="expression" dxfId="1775" priority="77">
      <formula>ABS(Y$7-Y$10)&gt;=1000</formula>
    </cfRule>
  </conditionalFormatting>
  <conditionalFormatting sqref="Z4:Z11">
    <cfRule type="expression" dxfId="1774" priority="76">
      <formula>ABS(Z$7-Z$10)&gt;=1000</formula>
    </cfRule>
  </conditionalFormatting>
  <conditionalFormatting sqref="AA4:AA11">
    <cfRule type="expression" dxfId="1773" priority="75">
      <formula>ABS(AA$7-AA$10)&gt;=1000</formula>
    </cfRule>
  </conditionalFormatting>
  <conditionalFormatting sqref="AB4:AB11">
    <cfRule type="expression" dxfId="1772" priority="74">
      <formula>ABS(AB$7-AB$10)&gt;=1000</formula>
    </cfRule>
  </conditionalFormatting>
  <conditionalFormatting sqref="AC4 AC6:AC11">
    <cfRule type="expression" dxfId="1771" priority="73">
      <formula>ABS(AC$7-AC$10)&gt;=1000</formula>
    </cfRule>
  </conditionalFormatting>
  <conditionalFormatting sqref="AD4:AD11">
    <cfRule type="expression" dxfId="1770" priority="72">
      <formula>ABS(AD$7-AD$10)&gt;=1000</formula>
    </cfRule>
  </conditionalFormatting>
  <conditionalFormatting sqref="AE4 AE6:AE11">
    <cfRule type="expression" dxfId="1769" priority="71">
      <formula>ABS(AE$7-AE$10)&gt;=1000</formula>
    </cfRule>
  </conditionalFormatting>
  <conditionalFormatting sqref="D13:D20">
    <cfRule type="expression" dxfId="1768" priority="70">
      <formula>ABS(D$16-D$19)&gt;=1000</formula>
    </cfRule>
  </conditionalFormatting>
  <conditionalFormatting sqref="E13:E20">
    <cfRule type="expression" dxfId="1767" priority="69">
      <formula>ABS(E$16-E$19)&gt;=1000</formula>
    </cfRule>
  </conditionalFormatting>
  <conditionalFormatting sqref="F13 F15:F20">
    <cfRule type="expression" dxfId="1766" priority="68">
      <formula>ABS(F$16-F$19)&gt;=1000</formula>
    </cfRule>
  </conditionalFormatting>
  <conditionalFormatting sqref="G13:G20">
    <cfRule type="expression" dxfId="1765" priority="67">
      <formula>ABS(G$16-G$19)&gt;=1000</formula>
    </cfRule>
  </conditionalFormatting>
  <conditionalFormatting sqref="H13:H20">
    <cfRule type="expression" dxfId="1764" priority="66">
      <formula>ABS(H$16-H$19)&gt;=1000</formula>
    </cfRule>
  </conditionalFormatting>
  <conditionalFormatting sqref="I13:I20">
    <cfRule type="expression" dxfId="1763" priority="65">
      <formula>ABS(I$16-I$19)&gt;=1000</formula>
    </cfRule>
  </conditionalFormatting>
  <conditionalFormatting sqref="J13:J20">
    <cfRule type="expression" dxfId="1762" priority="64">
      <formula>ABS(J$16-J$19)&gt;=1000</formula>
    </cfRule>
  </conditionalFormatting>
  <conditionalFormatting sqref="L13:L20">
    <cfRule type="expression" dxfId="1761" priority="63">
      <formula>ABS(L$16-L$19)&gt;=1000</formula>
    </cfRule>
  </conditionalFormatting>
  <conditionalFormatting sqref="M13 M15 M17:M18 M20">
    <cfRule type="expression" dxfId="1760" priority="62">
      <formula>ABS(M$16-M$19)&gt;=1000</formula>
    </cfRule>
  </conditionalFormatting>
  <conditionalFormatting sqref="N13:N20">
    <cfRule type="expression" dxfId="1759" priority="61">
      <formula>ABS(N$16-N$19)&gt;=1000</formula>
    </cfRule>
  </conditionalFormatting>
  <conditionalFormatting sqref="O13:O20">
    <cfRule type="expression" dxfId="1758" priority="60">
      <formula>ABS(O$16-O$19)&gt;=1000</formula>
    </cfRule>
  </conditionalFormatting>
  <conditionalFormatting sqref="P13:P20">
    <cfRule type="expression" dxfId="1757" priority="59">
      <formula>ABS(P$16-P$19)&gt;=1000</formula>
    </cfRule>
  </conditionalFormatting>
  <conditionalFormatting sqref="Q13 Q15:Q20">
    <cfRule type="expression" dxfId="1756" priority="58">
      <formula>ABS(Q$16-Q$19)&gt;=1000</formula>
    </cfRule>
  </conditionalFormatting>
  <conditionalFormatting sqref="R13:R20">
    <cfRule type="expression" dxfId="1755" priority="57">
      <formula>ABS(R$16-R$19)&gt;=1000</formula>
    </cfRule>
  </conditionalFormatting>
  <conditionalFormatting sqref="S13:S20">
    <cfRule type="expression" dxfId="1754" priority="56">
      <formula>ABS(S$16-S$19)&gt;=1000</formula>
    </cfRule>
  </conditionalFormatting>
  <conditionalFormatting sqref="T13:T20">
    <cfRule type="expression" dxfId="1753" priority="55">
      <formula>ABS(T$16-T$19)&gt;=1000</formula>
    </cfRule>
  </conditionalFormatting>
  <conditionalFormatting sqref="U13:U20">
    <cfRule type="expression" dxfId="1752" priority="54">
      <formula>ABS(U$16-U$19)&gt;=1000</formula>
    </cfRule>
  </conditionalFormatting>
  <conditionalFormatting sqref="V13:V20">
    <cfRule type="expression" dxfId="1751" priority="53">
      <formula>ABS(V$16-V$19)&gt;=1000</formula>
    </cfRule>
  </conditionalFormatting>
  <conditionalFormatting sqref="W13 W20 W15:W18">
    <cfRule type="expression" dxfId="1750" priority="52">
      <formula>ABS(W$16-W$19)&gt;=1000</formula>
    </cfRule>
  </conditionalFormatting>
  <conditionalFormatting sqref="X13 X15:X20 Y19">
    <cfRule type="expression" dxfId="1749" priority="51">
      <formula>ABS(X$16-X$19)&gt;=1000</formula>
    </cfRule>
  </conditionalFormatting>
  <conditionalFormatting sqref="Y13 Y15:Y18 Y20">
    <cfRule type="expression" dxfId="1748" priority="50">
      <formula>ABS(Y$16-Y$19)&gt;=1000</formula>
    </cfRule>
  </conditionalFormatting>
  <conditionalFormatting sqref="Z13:Z20">
    <cfRule type="expression" dxfId="1747" priority="49">
      <formula>ABS(Z$16-Z$19)&gt;=1000</formula>
    </cfRule>
  </conditionalFormatting>
  <conditionalFormatting sqref="AA13:AA20">
    <cfRule type="expression" dxfId="1746" priority="48">
      <formula>ABS(AA$16-AA$19)&gt;=1000</formula>
    </cfRule>
  </conditionalFormatting>
  <conditionalFormatting sqref="AB13 AB15:AB20">
    <cfRule type="expression" dxfId="1745" priority="47">
      <formula>ABS(AB$16-AB$19)&gt;=1000</formula>
    </cfRule>
  </conditionalFormatting>
  <conditionalFormatting sqref="AC13 AC15:AC20">
    <cfRule type="expression" dxfId="1744" priority="46">
      <formula>ABS(AC$16-AC$19)&gt;=1000</formula>
    </cfRule>
  </conditionalFormatting>
  <conditionalFormatting sqref="AD13:AD20">
    <cfRule type="expression" dxfId="1743" priority="45">
      <formula>ABS(AD$16-AD$19)&gt;=1000</formula>
    </cfRule>
  </conditionalFormatting>
  <conditionalFormatting sqref="AE13:AE20">
    <cfRule type="expression" dxfId="1742" priority="44">
      <formula>ABS(AE$16-AE$19)&gt;=1000</formula>
    </cfRule>
  </conditionalFormatting>
  <conditionalFormatting sqref="D22:D29">
    <cfRule type="expression" dxfId="1741" priority="43">
      <formula>ABS(D$25-D$28)&gt;=1000</formula>
    </cfRule>
  </conditionalFormatting>
  <conditionalFormatting sqref="E22:E29">
    <cfRule type="expression" dxfId="1740" priority="42">
      <formula>ABS(E$25-E$28)&gt;=1000</formula>
    </cfRule>
  </conditionalFormatting>
  <conditionalFormatting sqref="F22:F29">
    <cfRule type="expression" dxfId="1739" priority="41">
      <formula>ABS(F$25-F$28)&gt;=1000</formula>
    </cfRule>
  </conditionalFormatting>
  <conditionalFormatting sqref="G22:G29">
    <cfRule type="expression" dxfId="1738" priority="40">
      <formula>ABS(G$25-G$28)&gt;=1000</formula>
    </cfRule>
  </conditionalFormatting>
  <conditionalFormatting sqref="H22:H29">
    <cfRule type="expression" dxfId="1737" priority="39">
      <formula>ABS(H$25-H$28)&gt;=1000</formula>
    </cfRule>
  </conditionalFormatting>
  <conditionalFormatting sqref="I22 I24:I29">
    <cfRule type="expression" dxfId="1736" priority="38">
      <formula>ABS(I$25-I$28)&gt;=1000</formula>
    </cfRule>
  </conditionalFormatting>
  <conditionalFormatting sqref="J22:J29 K22">
    <cfRule type="expression" dxfId="1735" priority="37">
      <formula>ABS(J$25-J$28)&gt;=1000</formula>
    </cfRule>
  </conditionalFormatting>
  <conditionalFormatting sqref="K23:K29 L25 L28">
    <cfRule type="expression" dxfId="1734" priority="36">
      <formula>ABS(K$25-K$28)&gt;=1000</formula>
    </cfRule>
  </conditionalFormatting>
  <conditionalFormatting sqref="L22 L26:L27 L29 L24">
    <cfRule type="expression" dxfId="1733" priority="35">
      <formula>ABS(L$25-L$28)&gt;=1000</formula>
    </cfRule>
  </conditionalFormatting>
  <conditionalFormatting sqref="M22:M29">
    <cfRule type="expression" dxfId="1732" priority="34">
      <formula>ABS(M$25-M$28)&gt;=1000</formula>
    </cfRule>
  </conditionalFormatting>
  <conditionalFormatting sqref="N22:N29">
    <cfRule type="expression" dxfId="1731" priority="33">
      <formula>ABS(N$25-N$28)&gt;=1000</formula>
    </cfRule>
  </conditionalFormatting>
  <conditionalFormatting sqref="O22:O29">
    <cfRule type="expression" dxfId="1730" priority="32">
      <formula>ABS(O$25-O$28)&gt;=1000</formula>
    </cfRule>
  </conditionalFormatting>
  <conditionalFormatting sqref="P22:P29">
    <cfRule type="expression" dxfId="1729" priority="31">
      <formula>ABS(P$25-P$28)&gt;=1000</formula>
    </cfRule>
  </conditionalFormatting>
  <conditionalFormatting sqref="Q22:Q29">
    <cfRule type="expression" dxfId="1728" priority="30">
      <formula>ABS(Q$25-Q$28)&gt;=1000</formula>
    </cfRule>
  </conditionalFormatting>
  <conditionalFormatting sqref="R22:R29">
    <cfRule type="expression" dxfId="1727" priority="29">
      <formula>ABS(R$25-R$28)&gt;=1000</formula>
    </cfRule>
  </conditionalFormatting>
  <conditionalFormatting sqref="S22:S29">
    <cfRule type="expression" dxfId="1726" priority="28">
      <formula>ABS(S$25-S$28)&gt;=1000</formula>
    </cfRule>
  </conditionalFormatting>
  <conditionalFormatting sqref="T22:T29">
    <cfRule type="expression" dxfId="1725" priority="27">
      <formula>ABS(T$25-T$28)&gt;=1000</formula>
    </cfRule>
  </conditionalFormatting>
  <conditionalFormatting sqref="U22:U29">
    <cfRule type="expression" dxfId="1724" priority="26">
      <formula>ABS(U$25-U$28)&gt;=1000</formula>
    </cfRule>
  </conditionalFormatting>
  <conditionalFormatting sqref="V22:V29">
    <cfRule type="expression" dxfId="1723" priority="25">
      <formula>ABS(V$25-V$28)&gt;=1000</formula>
    </cfRule>
  </conditionalFormatting>
  <conditionalFormatting sqref="W22:W29">
    <cfRule type="expression" dxfId="1722" priority="24">
      <formula>ABS(W$25-W$28)&gt;=1000</formula>
    </cfRule>
  </conditionalFormatting>
  <conditionalFormatting sqref="X22:X29">
    <cfRule type="expression" dxfId="1721" priority="23">
      <formula>ABS(X$25-X$28)&gt;=1000</formula>
    </cfRule>
  </conditionalFormatting>
  <conditionalFormatting sqref="Y22:Y29">
    <cfRule type="expression" dxfId="1720" priority="22">
      <formula>ABS(Y$25-Y$28)&gt;=1000</formula>
    </cfRule>
  </conditionalFormatting>
  <conditionalFormatting sqref="I23">
    <cfRule type="expression" dxfId="1719" priority="21">
      <formula>ABS(I$25-I$28)&gt;=1000</formula>
    </cfRule>
  </conditionalFormatting>
  <conditionalFormatting sqref="Q14">
    <cfRule type="expression" dxfId="1718" priority="20">
      <formula>ABS(Q$16-Q$19)&gt;=1000</formula>
    </cfRule>
  </conditionalFormatting>
  <conditionalFormatting sqref="W14">
    <cfRule type="expression" dxfId="1717" priority="19">
      <formula>ABS(W$16-W$19)&gt;=1000</formula>
    </cfRule>
  </conditionalFormatting>
  <conditionalFormatting sqref="Y14">
    <cfRule type="expression" dxfId="1716" priority="18">
      <formula>ABS(Y$16-Y$19)&gt;=1000</formula>
    </cfRule>
  </conditionalFormatting>
  <conditionalFormatting sqref="X14">
    <cfRule type="expression" dxfId="1715" priority="17">
      <formula>ABS(X$16-X$19)&gt;=1000</formula>
    </cfRule>
  </conditionalFormatting>
  <conditionalFormatting sqref="T10:Y10">
    <cfRule type="expression" dxfId="1714" priority="16">
      <formula>ABS(T$7-T$10)&gt;=1000</formula>
    </cfRule>
  </conditionalFormatting>
  <conditionalFormatting sqref="W19">
    <cfRule type="expression" dxfId="1713" priority="15">
      <formula>ABS(W$16-W$19)&gt;=1000</formula>
    </cfRule>
  </conditionalFormatting>
  <conditionalFormatting sqref="AC5">
    <cfRule type="expression" dxfId="1712" priority="14">
      <formula>ABS(AC$7-AC$10)&gt;=1000</formula>
    </cfRule>
  </conditionalFormatting>
  <conditionalFormatting sqref="M14">
    <cfRule type="expression" dxfId="1711" priority="13">
      <formula>ABS(M$16-M$19)&gt;=1000</formula>
    </cfRule>
  </conditionalFormatting>
  <conditionalFormatting sqref="M16">
    <cfRule type="expression" dxfId="1710" priority="12">
      <formula>ABS(M$16-M$19)&gt;=1000</formula>
    </cfRule>
  </conditionalFormatting>
  <conditionalFormatting sqref="M19">
    <cfRule type="expression" dxfId="1709" priority="11">
      <formula>ABS(M$16-M$19)&gt;=1000</formula>
    </cfRule>
  </conditionalFormatting>
  <conditionalFormatting sqref="K13:K20">
    <cfRule type="expression" dxfId="1708" priority="10">
      <formula>ABS(K$16-K$19)&gt;=1000</formula>
    </cfRule>
  </conditionalFormatting>
  <conditionalFormatting sqref="E5">
    <cfRule type="expression" dxfId="1707" priority="9">
      <formula>ABS(E$7-E$10)&gt;=1000</formula>
    </cfRule>
  </conditionalFormatting>
  <conditionalFormatting sqref="AB14:AC14">
    <cfRule type="expression" dxfId="1706" priority="8">
      <formula>ABS(AB$16-AB$19)&gt;=1000</formula>
    </cfRule>
  </conditionalFormatting>
  <conditionalFormatting sqref="M5">
    <cfRule type="expression" dxfId="1705" priority="7">
      <formula>ABS(M$7-M$10)&gt;=1000</formula>
    </cfRule>
  </conditionalFormatting>
  <conditionalFormatting sqref="N5">
    <cfRule type="expression" dxfId="1704" priority="6">
      <formula>ABS(N$7-N$10)&gt;=1000</formula>
    </cfRule>
  </conditionalFormatting>
  <conditionalFormatting sqref="O5">
    <cfRule type="expression" dxfId="1703" priority="5">
      <formula>ABS(O$7-O$10)&gt;=1000</formula>
    </cfRule>
  </conditionalFormatting>
  <conditionalFormatting sqref="P5">
    <cfRule type="expression" dxfId="1702" priority="4">
      <formula>ABS(P$7-P$10)&gt;=1000</formula>
    </cfRule>
  </conditionalFormatting>
  <conditionalFormatting sqref="L23">
    <cfRule type="expression" dxfId="1701" priority="3">
      <formula>ABS(L$25-L$28)&gt;=1000</formula>
    </cfRule>
  </conditionalFormatting>
  <conditionalFormatting sqref="F14">
    <cfRule type="expression" dxfId="1700" priority="2">
      <formula>ABS(F$16-F$19)&gt;=1000</formula>
    </cfRule>
  </conditionalFormatting>
  <conditionalFormatting sqref="AE5">
    <cfRule type="expression" dxfId="1699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72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84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46003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53" t="s" ph="1">
        <v>177</v>
      </c>
      <c r="D6" s="71">
        <v>5097</v>
      </c>
      <c r="E6" s="71">
        <v>0</v>
      </c>
      <c r="F6" s="71">
        <v>5497</v>
      </c>
      <c r="G6" s="71">
        <v>2398</v>
      </c>
      <c r="H6" s="71">
        <v>6107</v>
      </c>
      <c r="I6" s="71">
        <v>27.11</v>
      </c>
      <c r="J6" s="71">
        <v>7.02</v>
      </c>
      <c r="K6" s="71">
        <v>6.82</v>
      </c>
      <c r="L6" s="71">
        <v>74.209999999999994</v>
      </c>
      <c r="M6" s="71">
        <v>3040</v>
      </c>
      <c r="N6" s="71">
        <v>127</v>
      </c>
      <c r="O6" s="71">
        <v>2217</v>
      </c>
      <c r="P6" s="71">
        <v>3658</v>
      </c>
      <c r="Q6" s="71">
        <v>0</v>
      </c>
      <c r="R6" s="71">
        <v>0</v>
      </c>
      <c r="S6" s="71">
        <v>0</v>
      </c>
      <c r="T6" s="71">
        <v>0</v>
      </c>
      <c r="U6" s="71">
        <v>2926</v>
      </c>
      <c r="V6" s="71">
        <v>4359</v>
      </c>
      <c r="W6" s="71">
        <v>6655</v>
      </c>
      <c r="X6" s="71">
        <v>0</v>
      </c>
      <c r="Y6" s="71">
        <v>0</v>
      </c>
      <c r="Z6" s="71">
        <v>2352</v>
      </c>
      <c r="AA6" s="71">
        <v>1907</v>
      </c>
      <c r="AB6" s="71">
        <v>1142</v>
      </c>
      <c r="AC6" s="71">
        <v>9220</v>
      </c>
      <c r="AD6" s="71">
        <v>4780</v>
      </c>
      <c r="AE6" s="71">
        <v>4500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160741.33427537998</v>
      </c>
      <c r="E7" s="73" ph="1">
        <f>E6*51.53*LOOKUP(E8,密度!$A$2:$A$50,密度!$B$2:$B$50)</f>
        <v>0</v>
      </c>
      <c r="F7" s="73" ph="1">
        <f>F6*33.183*LOOKUP(F8,密度!$A$2:$A$50,密度!$C$2:$C$50)</f>
        <v>203183.10271889999</v>
      </c>
      <c r="G7" s="73" ph="1">
        <f xml:space="preserve"> (G6+2)*51.53*LOOKUP(G8,密度!$A$2:$A$50,密度!$B$2:$B$50)</f>
        <v>97070.152800000011</v>
      </c>
      <c r="H7" s="73" ph="1">
        <f>(H6)*51.53*LOOKUP(H8,密度!$A$2:$A$50,密度!$B$2:$B$50)</f>
        <v>247726.88851200003</v>
      </c>
      <c r="I7" s="73" ph="1">
        <f>I6*290.8*1.0267</f>
        <v>8094.0797995999992</v>
      </c>
      <c r="J7" s="73" ph="1">
        <f>J6*290.8*0.7892</f>
        <v>1611.0855071999999</v>
      </c>
      <c r="K7" s="73" ph="1">
        <f>K6*290.8*1.1126</f>
        <v>2206.5706256000003</v>
      </c>
      <c r="L7" s="73" ph="1">
        <f>L6*290.8*0.777</f>
        <v>16767.868236000002</v>
      </c>
      <c r="M7" s="73" ph="1">
        <f>M6*33.183*LOOKUP(M8,密度!$A$2:$A$50,密度!$D$2:$D$50)</f>
        <v>104043.836448</v>
      </c>
      <c r="N7" s="73" ph="1">
        <f>N6*33.183*LOOKUP(N8,密度!$A$2:$A$50,密度!$E$2:$E$50)</f>
        <v>3325.8789972</v>
      </c>
      <c r="O7" s="73" ph="1">
        <f>O6*20.428*LOOKUP(O8,密度!$A$2:$A$50,密度!$C$2:$C$50)</f>
        <v>50288.767910400005</v>
      </c>
      <c r="P7" s="73" ph="1">
        <f>P6*51.53*LOOKUP(P8,密度!$A$2:$A$50,密度!$B$2:$B$50)</f>
        <v>147951.09122599999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19483.1256312</v>
      </c>
      <c r="V7" s="73" ph="1">
        <f>V6*1.5*1.5*3.1416*LOOKUP(V8,密度!$A$2:$A$50,密度!$L$2:$L$50)</f>
        <v>28870.8696738</v>
      </c>
      <c r="W7" s="73" ph="1">
        <f>W6*1.5*1.5*3.1416*LOOKUP(W8,密度!$A$2:$A$50,密度!$L$2:$L$50)</f>
        <v>44313.124085999996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73831.909535999992</v>
      </c>
      <c r="AA7" s="73" ph="1">
        <f>AA6*33.183*LOOKUP(AA8,密度!$A$2:$A$50,密度!$D$2:$D$50)</f>
        <v>65374.548371099991</v>
      </c>
      <c r="AB7" s="73" ph="1">
        <f>AB6*20.428*LOOKUP(AB8,密度!$A$2:$A$50,密度!$D$2:$D$50)</f>
        <v>24222.268120800003</v>
      </c>
      <c r="AC7" s="73" ph="1">
        <f>AC6*51.53*LOOKUP(AC8,密度!$A$2:$A$50,密度!$Q$2:$Q$50)</f>
        <v>452681.56848000002</v>
      </c>
      <c r="AD7" s="73" ph="1">
        <f>AD6*20.428*LOOKUP(AD8,密度!$A$2:$A$50,密度!$V$2:$V$50)</f>
        <v>94130.589760000003</v>
      </c>
      <c r="AE7" s="73" ph="1">
        <f>AE6*20.428</f>
        <v>91926</v>
      </c>
    </row>
    <row r="8" spans="1:99" ph="1">
      <c r="B8" s="247" ph="1"/>
      <c r="C8" s="68" t="s" ph="1">
        <v>179</v>
      </c>
      <c r="D8" s="74">
        <v>20</v>
      </c>
      <c r="E8" s="74">
        <v>18</v>
      </c>
      <c r="F8" s="74">
        <v>18</v>
      </c>
      <c r="G8" s="74">
        <v>19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20</v>
      </c>
      <c r="O8" s="74">
        <v>23</v>
      </c>
      <c r="P8" s="74">
        <v>19</v>
      </c>
      <c r="Q8" s="74">
        <v>22</v>
      </c>
      <c r="R8" s="74">
        <v>24</v>
      </c>
      <c r="S8" s="74">
        <v>20</v>
      </c>
      <c r="T8" s="74">
        <v>22</v>
      </c>
      <c r="U8" s="74">
        <v>20</v>
      </c>
      <c r="V8" s="74">
        <v>25</v>
      </c>
      <c r="W8" s="74">
        <v>20</v>
      </c>
      <c r="X8" s="74">
        <v>21</v>
      </c>
      <c r="Y8" s="74">
        <v>18</v>
      </c>
      <c r="Z8" s="74">
        <v>16</v>
      </c>
      <c r="AA8" s="74">
        <v>18</v>
      </c>
      <c r="AB8" s="74">
        <v>12</v>
      </c>
      <c r="AC8" s="74">
        <v>17</v>
      </c>
      <c r="AD8" s="74">
        <v>18</v>
      </c>
      <c r="AE8" s="74">
        <v>21</v>
      </c>
    </row>
    <row r="9" spans="1:99" ht="26.4" ph="1">
      <c r="B9" s="247" ph="1">
        <v>0.66666666666666663</v>
      </c>
      <c r="C9" s="153" t="s" ph="1">
        <v>180</v>
      </c>
      <c r="D9" s="71">
        <v>4473</v>
      </c>
      <c r="E9" s="71">
        <v>0</v>
      </c>
      <c r="F9" s="71">
        <v>5497</v>
      </c>
      <c r="G9" s="71">
        <v>2115</v>
      </c>
      <c r="H9" s="71">
        <v>7408</v>
      </c>
      <c r="I9" s="71">
        <v>27.12</v>
      </c>
      <c r="J9" s="71">
        <v>7.13</v>
      </c>
      <c r="K9" s="71">
        <v>6.92</v>
      </c>
      <c r="L9" s="71">
        <v>17.02</v>
      </c>
      <c r="M9" s="71">
        <v>2861</v>
      </c>
      <c r="N9" s="71">
        <v>128</v>
      </c>
      <c r="O9" s="71">
        <v>2217</v>
      </c>
      <c r="P9" s="71">
        <v>4114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2577</v>
      </c>
      <c r="W9" s="71">
        <v>6664</v>
      </c>
      <c r="X9" s="71">
        <v>6104</v>
      </c>
      <c r="Y9" s="71">
        <v>2565</v>
      </c>
      <c r="Z9" s="71">
        <v>806</v>
      </c>
      <c r="AA9" s="71">
        <v>1906</v>
      </c>
      <c r="AB9" s="71">
        <v>1140</v>
      </c>
      <c r="AC9" s="71">
        <v>8964</v>
      </c>
      <c r="AD9" s="71">
        <v>4780</v>
      </c>
      <c r="AE9" s="71">
        <v>4361</v>
      </c>
    </row>
    <row r="10" spans="1:99" s="72" customFormat="1" ht="22.2" ph="1">
      <c r="B10" s="247" ph="1"/>
      <c r="C10" s="153" t="s" ph="1">
        <v>178</v>
      </c>
      <c r="D10" s="73" ph="1">
        <f>D9*33.183*LOOKUP(D11,密度!$A$2:$A$50,密度!$Q$2:$Q$50)</f>
        <v>140871.11197131002</v>
      </c>
      <c r="E10" s="73" ph="1">
        <f>E9*51.53*LOOKUP(E11,密度!$A$2:$A$50,密度!$B$2:$B$50)</f>
        <v>0</v>
      </c>
      <c r="F10" s="73" ph="1">
        <f>F9*33.183*LOOKUP(F11,密度!$A$2:$A$50,密度!$C$2:$C$50)</f>
        <v>202945.97368260002</v>
      </c>
      <c r="G10" s="73" ph="1">
        <f xml:space="preserve"> (G9+2)*51.53*LOOKUP(G11,密度!$A$2:$A$50,密度!$B$2:$B$50)</f>
        <v>85438.512632000013</v>
      </c>
      <c r="H10" s="73" ph="1">
        <f>(H9)*51.53*LOOKUP(H11,密度!$A$2:$A$50,密度!$B$2:$B$50)</f>
        <v>299928.59236799995</v>
      </c>
      <c r="I10" s="73" ph="1">
        <f>I9*290.8*1.0267</f>
        <v>8097.065443200001</v>
      </c>
      <c r="J10" s="73" ph="1">
        <f>J9*290.8*0.7892</f>
        <v>1636.3304367999999</v>
      </c>
      <c r="K10" s="73" ph="1">
        <f>K9*290.8*1.1126</f>
        <v>2238.9250336</v>
      </c>
      <c r="L10" s="73" ph="1">
        <f>L9*290.8*0.777</f>
        <v>3845.6962320000002</v>
      </c>
      <c r="M10" s="73" ph="1">
        <f>M9*33.183*LOOKUP(M11,密度!$A$2:$A$50,密度!$D$2:$D$50)</f>
        <v>97737.191608499998</v>
      </c>
      <c r="N10" s="73" ph="1">
        <f>N9*33.183*LOOKUP(N11,密度!$A$2:$A$50,密度!$E$2:$E$50)</f>
        <v>3336.7762943999996</v>
      </c>
      <c r="O10" s="73" ph="1">
        <f>O9*20.428*LOOKUP(O11,密度!$A$2:$A$50,密度!$C$2:$C$50)</f>
        <v>50252.536809600002</v>
      </c>
      <c r="P10" s="73" ph="1">
        <f>P9*51.53*LOOKUP(P11,密度!$A$2:$A$50,密度!$B$2:$B$50)</f>
        <v>165843.23476600001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17068.187921400004</v>
      </c>
      <c r="W10" s="73" ph="1">
        <f>W9*1.5*1.5*3.1416*LOOKUP(W11,密度!$A$2:$A$50,密度!$L$2:$L$50)</f>
        <v>44373.051676799994</v>
      </c>
      <c r="X10" s="73" ph="1">
        <f>X9*1.5*1.5*3.1416*LOOKUP(X11,密度!$A$2:$A$50,密度!$L$2:$L$50)</f>
        <v>40557.930335999998</v>
      </c>
      <c r="Y10" s="73" ph="1">
        <f>Y9*1.5*1.5*3.1416*LOOKUP(Y11,密度!$A$2:$A$50,密度!$L$2:$L$50)</f>
        <v>17079.363377999998</v>
      </c>
      <c r="Z10" s="73" ph="1">
        <f>Z9*33.183*LOOKUP(Z11,密度!$A$2:$A$50,密度!$L$2:$L$50)</f>
        <v>25247.750111999998</v>
      </c>
      <c r="AA10" s="73" ph="1">
        <f>AA9*33.183*LOOKUP(AA11,密度!$A$2:$A$50,密度!$D$2:$D$50)</f>
        <v>65112.57854100001</v>
      </c>
      <c r="AB10" s="73" ph="1">
        <f>AB9*20.428*LOOKUP(AB11,密度!$A$2:$A$50,密度!$D$2:$D$50)</f>
        <v>24137.929080000002</v>
      </c>
      <c r="AC10" s="73" ph="1">
        <f>AC9*51.53*LOOKUP(AC11,密度!$A$2:$A$50,密度!$Q$2:$Q$50)</f>
        <v>438994.70166959998</v>
      </c>
      <c r="AD10" s="73" ph="1">
        <f>AD9*20.428*LOOKUP(AD11,密度!$A$2:$A$50,密度!$V$2:$V$50)</f>
        <v>93818.123072000002</v>
      </c>
      <c r="AE10" s="73" ph="1">
        <f>AE9*20.428</f>
        <v>89086.508000000002</v>
      </c>
    </row>
    <row r="11" spans="1:99" ph="1">
      <c r="A11" s="64" t="s" ph="1">
        <v>162</v>
      </c>
      <c r="B11" s="247" ph="1"/>
      <c r="C11" s="153" t="s" ph="1">
        <v>179</v>
      </c>
      <c r="D11" s="74">
        <v>22</v>
      </c>
      <c r="E11" s="74">
        <v>21</v>
      </c>
      <c r="F11" s="74">
        <v>20</v>
      </c>
      <c r="G11" s="74">
        <v>21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23</v>
      </c>
      <c r="O11" s="74">
        <v>24</v>
      </c>
      <c r="P11" s="74">
        <v>22</v>
      </c>
      <c r="Q11" s="74">
        <v>25</v>
      </c>
      <c r="R11" s="74">
        <v>26</v>
      </c>
      <c r="S11" s="74">
        <v>21</v>
      </c>
      <c r="T11" s="74">
        <v>28</v>
      </c>
      <c r="U11" s="74">
        <v>22</v>
      </c>
      <c r="V11" s="74">
        <v>25</v>
      </c>
      <c r="W11" s="74">
        <v>20</v>
      </c>
      <c r="X11" s="74">
        <v>22</v>
      </c>
      <c r="Y11" s="74">
        <v>20</v>
      </c>
      <c r="Z11" s="74">
        <v>18</v>
      </c>
      <c r="AA11" s="74">
        <v>22</v>
      </c>
      <c r="AB11" s="74">
        <v>14</v>
      </c>
      <c r="AC11" s="74">
        <v>20</v>
      </c>
      <c r="AD11" s="74">
        <v>22</v>
      </c>
      <c r="AE11" s="74">
        <v>23</v>
      </c>
    </row>
    <row r="12" spans="1:99" ht="9.9" customHeight="1" ph="1"/>
    <row r="13" spans="1:99" s="72" customFormat="1" ht="29.25" customHeight="1" ph="1">
      <c r="B13" s="224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53" t="s" ph="1">
        <v>177</v>
      </c>
      <c r="D15" s="78">
        <v>5979</v>
      </c>
      <c r="E15" s="78">
        <v>5779</v>
      </c>
      <c r="F15" s="78">
        <v>1435</v>
      </c>
      <c r="G15" s="78">
        <v>2380</v>
      </c>
      <c r="H15" s="78">
        <v>4142</v>
      </c>
      <c r="I15" s="78">
        <v>1609</v>
      </c>
      <c r="J15" s="78">
        <v>2677</v>
      </c>
      <c r="K15" s="78">
        <v>2386</v>
      </c>
      <c r="L15" s="78">
        <v>4986</v>
      </c>
      <c r="M15" s="78">
        <v>6872</v>
      </c>
      <c r="N15" s="78">
        <v>671</v>
      </c>
      <c r="O15" s="78">
        <v>845</v>
      </c>
      <c r="P15" s="78">
        <v>5215</v>
      </c>
      <c r="Q15" s="78">
        <v>2596</v>
      </c>
      <c r="R15" s="78">
        <v>0</v>
      </c>
      <c r="S15" s="78">
        <v>6158</v>
      </c>
      <c r="T15" s="78">
        <v>3666</v>
      </c>
      <c r="U15" s="78">
        <v>4334</v>
      </c>
      <c r="V15" s="78">
        <v>2974</v>
      </c>
      <c r="W15" s="71">
        <v>-578</v>
      </c>
      <c r="X15" s="78">
        <v>670</v>
      </c>
      <c r="Y15" s="106">
        <v>-9903</v>
      </c>
      <c r="Z15" s="78">
        <v>0</v>
      </c>
      <c r="AA15" s="78">
        <v>10</v>
      </c>
      <c r="AB15" s="78" ph="1">
        <v>1092</v>
      </c>
      <c r="AC15" s="78" ph="1">
        <v>28</v>
      </c>
      <c r="AD15" s="78">
        <v>5.51</v>
      </c>
      <c r="AE15" s="78">
        <v>38.619999999999997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53" t="s" ph="1">
        <v>178</v>
      </c>
      <c r="D16" s="73" ph="1">
        <f>D15*7.0686*LOOKUP(D17,密度!$A$2:$A$50,密度!$L$2:$L$50)</f>
        <v>39769.632995399996</v>
      </c>
      <c r="E16" s="73" ph="1">
        <f>E15*7.0686*LOOKUP(E17,密度!$A$2:$A$50,密度!$L$2:$L$50)</f>
        <v>38480.171914799997</v>
      </c>
      <c r="F16" s="73" ph="1">
        <f>F15*9.0746*LOOKUP(F17,密度!$A$2:$A$50,密度!$L$2:$L$50)</f>
        <v>12227.705888999999</v>
      </c>
      <c r="G16" s="73" ph="1">
        <f>G15*9.0746*LOOKUP(G17,密度!$A$2:$A$50,密度!$B$2:$B$50)</f>
        <v>16934.637386800001</v>
      </c>
      <c r="H16" s="73" ph="1">
        <f>H15*9.0746*LOOKUP(H17,密度!$A$2:$A$50,密度!$L$2:$L$50)</f>
        <v>35519.708574000004</v>
      </c>
      <c r="I16" s="73" ph="1">
        <f>I15*9.0746*LOOKUP(I17,密度!$A$2:$A$50,密度!$U$2:$U$50)</f>
        <v>15009.8602792</v>
      </c>
      <c r="J16" s="73" ph="1">
        <f>J15*9.0746*LOOKUP(J17,密度!$A$2:$A$50,密度!$L$2:$L$50)</f>
        <v>22859.434652199998</v>
      </c>
      <c r="K16" s="73" ph="1">
        <f>K15*9.0746*LOOKUP(K17,密度!$A$2:$A$50,密度!$C$2:$C$50)</f>
        <v>24103.00150192</v>
      </c>
      <c r="L16" s="73" ph="1">
        <f>L15*9.0746*LOOKUP(L17,密度!$A$2:$A$50,密度!$E$2:$E$50)</f>
        <v>35708.108159520001</v>
      </c>
      <c r="M16" s="73" ph="1">
        <f>M15*9.0746*LOOKUP(M17,密度!$A$2:$A$50,密度!$M$2:$M$50)</f>
        <v>54821.248469919999</v>
      </c>
      <c r="N16" s="73" ph="1">
        <f>N15*9.0746*LOOKUP(N17,密度!$A$2:$A$50,密度!$M$2:$M$50)</f>
        <v>5360.1965249799996</v>
      </c>
      <c r="O16" s="73" ph="1">
        <f>O15*9.0746*LOOKUP(O17,密度!$A$2:$A$50,密度!$G$2:$G$50)</f>
        <v>7406.5569383000002</v>
      </c>
      <c r="P16" s="73" ph="1">
        <f ca="1">P15*9.0746*LOOKUP(P17,密度!$A$2:$A$51,密度!$Q$2:$Q$50)</f>
        <v>44943.166597910007</v>
      </c>
      <c r="Q16" s="73" ph="1">
        <f>Q15*9.0746*LOOKUP(Q17,密度!$A$2:$A$50,密度!$Q$2:$Q$50)</f>
        <v>22388.730431407999</v>
      </c>
      <c r="R16" s="73" ph="1">
        <f>MAX(R15*9.0746*LOOKUP(R17,密度!$A$2:$A$50,密度!$B$2:$B$50),0)</f>
        <v>0</v>
      </c>
      <c r="S16" s="73" ph="1">
        <f>S15*9.0746*LOOKUP(S17,密度!$A$2:$A$50,密度!$Q$2:$Q$50)</f>
        <v>53108.552386984004</v>
      </c>
      <c r="T16" s="73" ph="1">
        <f>T15*9.0746*LOOKUP(T17,密度!$A$2:$A$50,密度!$O$2:$O$50)</f>
        <v>30938.759748</v>
      </c>
      <c r="U16" s="73" ph="1">
        <f>U15*9.0746*LOOKUP(U17,密度!$A$2:$A$50,密度!$H$2:$H$50)</f>
        <v>36249.83092588</v>
      </c>
      <c r="V16" s="73" ph="1">
        <f>MAX(5600*LOOKUP(V17,密度!$A$2:$A$50,密度!$Q$2:$Q$50)+V15*9.0476*LOOKUP(V17,密度!$A$2:$A$50,密度!$Q$2:$Q$50),0)</f>
        <v>30894.537153712001</v>
      </c>
      <c r="W16" s="73" ph="1">
        <f>MAX(5600*LOOKUP(W17,密度!$A$2:$A$50,密度!$Q$2:$Q$50)+W15*9.0476*LOOKUP(W17,密度!$A$2:$A$50,密度!$Q$2:$Q$50),0)</f>
        <v>351.84798896800021</v>
      </c>
      <c r="X16" s="73" ph="1">
        <f>MAX(5600*LOOKUP(X17,密度!$A$2:$A$50,密度!$I$2:$I$50)+X15*9.0476*LOOKUP(X17,密度!$A$2:$A$50,密度!$I$2:$I$50),0)</f>
        <v>12182.012383199999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71.299132200000003</v>
      </c>
      <c r="AB16" s="73" ph="1">
        <f>AB15*9.0746*LOOKUP(AB17,密度!$A$2:$A$50,密度!$L$2:$L$50)</f>
        <v>9354.533260799999</v>
      </c>
      <c r="AC16" s="73" ph="1">
        <f>AC15*9.0746*LOOKUP(AC17,密度!$A$2:$A$50,密度!$L$2:$L$50)</f>
        <v>239.85982719999998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9310.3118793599988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21</v>
      </c>
      <c r="E17" s="74">
        <v>20</v>
      </c>
      <c r="F17" s="74">
        <v>23</v>
      </c>
      <c r="G17" s="74">
        <v>20</v>
      </c>
      <c r="H17" s="74">
        <v>17</v>
      </c>
      <c r="I17" s="74">
        <v>18</v>
      </c>
      <c r="J17" s="74">
        <v>21</v>
      </c>
      <c r="K17" s="74">
        <v>19</v>
      </c>
      <c r="L17" s="74">
        <v>20</v>
      </c>
      <c r="M17" s="74">
        <v>21</v>
      </c>
      <c r="N17" s="74">
        <v>18</v>
      </c>
      <c r="O17" s="74">
        <v>20</v>
      </c>
      <c r="P17" s="74">
        <v>21</v>
      </c>
      <c r="Q17" s="74">
        <v>20</v>
      </c>
      <c r="R17" s="74">
        <v>20</v>
      </c>
      <c r="S17" s="74">
        <v>20</v>
      </c>
      <c r="T17" s="74">
        <v>20</v>
      </c>
      <c r="U17" s="74">
        <v>18</v>
      </c>
      <c r="V17" s="74">
        <v>20</v>
      </c>
      <c r="W17" s="74">
        <v>21</v>
      </c>
      <c r="X17" s="74">
        <v>23</v>
      </c>
      <c r="Y17" s="108">
        <v>23</v>
      </c>
      <c r="Z17" s="74">
        <v>19</v>
      </c>
      <c r="AA17" s="74">
        <v>18</v>
      </c>
      <c r="AB17" s="74">
        <v>18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5991</v>
      </c>
      <c r="E18" s="71">
        <v>5790</v>
      </c>
      <c r="F18" s="71">
        <v>1435</v>
      </c>
      <c r="G18" s="71">
        <v>2533</v>
      </c>
      <c r="H18" s="71">
        <v>4144</v>
      </c>
      <c r="I18" s="71">
        <v>1610</v>
      </c>
      <c r="J18" s="71">
        <v>5126</v>
      </c>
      <c r="K18" s="71">
        <v>2386</v>
      </c>
      <c r="L18" s="71">
        <v>4996</v>
      </c>
      <c r="M18" s="71">
        <v>3929</v>
      </c>
      <c r="N18" s="71">
        <v>1720</v>
      </c>
      <c r="O18" s="71">
        <v>846</v>
      </c>
      <c r="P18" s="71">
        <v>5223</v>
      </c>
      <c r="Q18" s="71">
        <v>4042</v>
      </c>
      <c r="R18" s="71">
        <v>4897</v>
      </c>
      <c r="S18" s="71">
        <v>6164</v>
      </c>
      <c r="T18" s="71">
        <v>2533</v>
      </c>
      <c r="U18" s="71">
        <v>6166</v>
      </c>
      <c r="V18" s="71">
        <v>2975</v>
      </c>
      <c r="W18" s="71">
        <v>214</v>
      </c>
      <c r="X18" s="71">
        <v>667</v>
      </c>
      <c r="Y18" s="109">
        <v>-9903</v>
      </c>
      <c r="Z18" s="71">
        <v>0</v>
      </c>
      <c r="AA18" s="71">
        <v>10</v>
      </c>
      <c r="AB18" s="71">
        <v>1090</v>
      </c>
      <c r="AC18" s="71">
        <v>22</v>
      </c>
      <c r="AD18" s="71">
        <v>10.11</v>
      </c>
      <c r="AE18" s="71">
        <v>84.62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53" t="s" ph="1">
        <v>178</v>
      </c>
      <c r="D19" s="73" ph="1">
        <f>D18*7.0686*LOOKUP(D20,密度!$A$2:$A$50,密度!$L$2:$L$50)</f>
        <v>39807.103644000003</v>
      </c>
      <c r="E19" s="73" ph="1">
        <f>E18*7.0686*LOOKUP(E20,密度!$A$2:$A$50,密度!$L$2:$L$50)</f>
        <v>38471.562360000004</v>
      </c>
      <c r="F19" s="73" ph="1">
        <f>F18*9.0746*LOOKUP(F20,密度!$A$2:$A$50,密度!$L$2:$L$50)</f>
        <v>12214.683837999999</v>
      </c>
      <c r="G19" s="73" ph="1">
        <f>G18*9.0746*LOOKUP(G20,密度!$A$2:$A$50,密度!$B$2:$B$50)</f>
        <v>17961.230550520002</v>
      </c>
      <c r="H19" s="73" ph="1">
        <f>H18*9.0746*LOOKUP(H20,密度!$A$2:$A$50,密度!$L$2:$L$50)</f>
        <v>35499.254425600004</v>
      </c>
      <c r="I19" s="73" ph="1">
        <f>I18*9.0746*LOOKUP(I20,密度!$A$2:$A$50,密度!$U$2:$U$50)</f>
        <v>15019.188968</v>
      </c>
      <c r="J19" s="73" ph="1">
        <f>J18*9.0746*LOOKUP(J20,密度!$A$2:$A$50,密度!$L$2:$L$50)</f>
        <v>43678.899224400004</v>
      </c>
      <c r="K19" s="73" ph="1">
        <f>K18*9.0746*LOOKUP(K20,密度!$A$2:$A$50,密度!$C$2:$C$50)</f>
        <v>24057.532311160001</v>
      </c>
      <c r="L19" s="73" ph="1">
        <f>L18*9.0746*LOOKUP(L20,密度!$A$2:$A$50,密度!$E$2:$E$50)</f>
        <v>35670.916818880003</v>
      </c>
      <c r="M19" s="73" ph="1">
        <f>M18*9.0746*LOOKUP(M20,密度!$A$2:$A$50,密度!$M$2:$M$50)</f>
        <v>31229.42916806</v>
      </c>
      <c r="N19" s="73" ph="1">
        <f>N18*9.0746*LOOKUP(N20,密度!$A$2:$A$50,密度!$M$2:$M$50)</f>
        <v>13721.267079199999</v>
      </c>
      <c r="O19" s="73" ph="1">
        <f>O18*9.0746*LOOKUP(O20,密度!$A$2:$A$50,密度!$G$2:$G$50)</f>
        <v>7386.9167815200008</v>
      </c>
      <c r="P19" s="73" ph="1">
        <f ca="1">P18*9.0746*LOOKUP(P20,密度!$A$2:$A$51,密度!$Q$2:$Q$50)</f>
        <v>44941.490065560007</v>
      </c>
      <c r="Q19" s="73" ph="1">
        <f>Q18*9.0746*LOOKUP(Q20,密度!$A$2:$A$50,密度!$Q$2:$Q$50)</f>
        <v>34725.981261768</v>
      </c>
      <c r="R19" s="73" ph="1">
        <f>MAX(R18*9.0746*LOOKUP(R20,密度!$A$2:$A$50,密度!$B$2:$B$50),0)</f>
        <v>34684.105794099996</v>
      </c>
      <c r="S19" s="73" ph="1">
        <f>S18*9.0746*LOOKUP(S20,密度!$A$2:$A$50,密度!$Q$2:$Q$50)</f>
        <v>53121.702571335998</v>
      </c>
      <c r="T19" s="73" ph="1">
        <f>T18*9.0746*LOOKUP(T20,密度!$A$2:$A$50,密度!$O$2:$O$50)</f>
        <v>21285.000626800003</v>
      </c>
      <c r="U19" s="73" ph="1">
        <f>U18*9.0746*LOOKUP(U20,密度!$A$2:$A$50,密度!$H$2:$H$50)</f>
        <v>51460.87871692</v>
      </c>
      <c r="V19" s="73" ph="1">
        <f>MAX(5600*LOOKUP(V20,密度!$A$2:$A$50,密度!$Q$2:$Q$50)+V18*9.0476*LOOKUP(V20,密度!$A$2:$A$50,密度!$Q$2:$Q$50),0)</f>
        <v>30832.249601999996</v>
      </c>
      <c r="W19" s="73" ph="1">
        <f>MAX(5600*LOOKUP(W20,密度!$A$2:$A$50,密度!$Q$2:$Q$50)+W18*9.0476*LOOKUP(W20,密度!$A$2:$A$50,密度!$Q$2:$Q$50),0)</f>
        <v>7134.8091123360009</v>
      </c>
      <c r="X19" s="73" ph="1">
        <f>MAX(5600*LOOKUP(X20,密度!$A$2:$A$50,密度!$I$2:$I$50)+X18*9.0476*LOOKUP(X20,密度!$A$2:$A$50,密度!$I$2:$I$50),0)</f>
        <v>12061.74449564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71.072267200000013</v>
      </c>
      <c r="AB19" s="73" ph="1">
        <f>AB18*9.0746*LOOKUP(AB20,密度!$A$2:$A$50,密度!$L$2:$L$50)</f>
        <v>9268.1612180000011</v>
      </c>
      <c r="AC19" s="73" ph="1">
        <f>AC18*9.0746*LOOKUP(AC20,密度!$A$2:$A$50,密度!$L$2:$L$50)</f>
        <v>187.86236919999999</v>
      </c>
      <c r="AD19" s="73" ph="1">
        <f>AD18*268.68*LOOKUP(AD20,密度!$A$2:$A$50,密度!B5:B53)+IF(AD18&lt;=0,0,1566*LOOKUP(AD20,密度!$A$2:$A$50,密度!B5:B53))</f>
        <v>3327.3896795999999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22</v>
      </c>
      <c r="E20" s="81">
        <v>22</v>
      </c>
      <c r="F20" s="81">
        <v>24</v>
      </c>
      <c r="G20" s="81">
        <v>23</v>
      </c>
      <c r="H20" s="81">
        <v>18</v>
      </c>
      <c r="I20" s="81">
        <v>22</v>
      </c>
      <c r="J20" s="81">
        <v>23</v>
      </c>
      <c r="K20" s="81">
        <v>22</v>
      </c>
      <c r="L20" s="81">
        <v>22</v>
      </c>
      <c r="M20" s="81">
        <v>24</v>
      </c>
      <c r="N20" s="81">
        <v>21</v>
      </c>
      <c r="O20" s="81">
        <v>23</v>
      </c>
      <c r="P20" s="81">
        <v>23</v>
      </c>
      <c r="Q20" s="81">
        <v>25</v>
      </c>
      <c r="R20" s="81">
        <v>24</v>
      </c>
      <c r="S20" s="81">
        <v>21</v>
      </c>
      <c r="T20" s="81">
        <v>26</v>
      </c>
      <c r="U20" s="81">
        <v>20</v>
      </c>
      <c r="V20" s="81">
        <v>23</v>
      </c>
      <c r="W20" s="81">
        <v>25</v>
      </c>
      <c r="X20" s="81">
        <v>30</v>
      </c>
      <c r="Y20" s="110">
        <v>30</v>
      </c>
      <c r="Z20" s="81">
        <v>26</v>
      </c>
      <c r="AA20" s="81">
        <v>21</v>
      </c>
      <c r="AB20" s="81">
        <v>25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644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53" t="s" ph="1">
        <v>177</v>
      </c>
      <c r="D24" s="71">
        <v>4.92</v>
      </c>
      <c r="E24" s="71">
        <v>64.02</v>
      </c>
      <c r="F24" s="71">
        <v>723</v>
      </c>
      <c r="G24" s="71">
        <v>3691</v>
      </c>
      <c r="H24" s="71">
        <v>2470</v>
      </c>
      <c r="I24" s="71">
        <v>4595</v>
      </c>
      <c r="J24" s="71">
        <v>5282</v>
      </c>
      <c r="K24" s="71">
        <v>4916</v>
      </c>
      <c r="L24" s="71">
        <v>5557</v>
      </c>
      <c r="M24" s="71">
        <v>4883</v>
      </c>
      <c r="N24" s="71">
        <v>3364</v>
      </c>
      <c r="O24" s="71">
        <v>5732</v>
      </c>
      <c r="P24" s="71">
        <v>653</v>
      </c>
      <c r="Q24" s="90">
        <v>772</v>
      </c>
      <c r="R24" s="71">
        <v>2528</v>
      </c>
      <c r="S24" s="71">
        <v>2444</v>
      </c>
      <c r="T24" s="71">
        <v>160</v>
      </c>
      <c r="U24" s="71">
        <v>5189</v>
      </c>
      <c r="V24" s="71">
        <v>8849</v>
      </c>
      <c r="W24" s="71">
        <v>1401</v>
      </c>
      <c r="X24" s="71">
        <v>3092</v>
      </c>
      <c r="Y24" s="71">
        <v>2911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2734.0957477440002</v>
      </c>
      <c r="E25" s="91" ph="1">
        <f>E24*268.68*LOOKUP(E26,密度!$A$2:$A$50,密度!$C$2:$C$50)+IF(E24&lt;=0,0,1566*LOOKUP(E26,密度!$A$2:$A$50,密度!$C$2:$C$50))</f>
        <v>20810.60831304</v>
      </c>
      <c r="F25" s="91" ph="1">
        <f>F24*11.702*LOOKUP(F26,密度!$A$2:$A$50,密度!$Q$2:$Q$50)</f>
        <v>8034.8959307400009</v>
      </c>
      <c r="G25" s="91" ph="1">
        <f>G24*18.322*LOOKUP(G26,密度!$A$2:$A$50,密度!$B$2:$B$50)</f>
        <v>52965.076366399997</v>
      </c>
      <c r="H25" s="91" ph="1">
        <f>H24*18.322*LOOKUP(H26,密度!$A$2:$A$50,密度!$B$2:$B$50)</f>
        <v>35484.712093999995</v>
      </c>
      <c r="I25" s="91" ph="1">
        <f>I24*18.322*LOOKUP(I26,密度!$A$2:$A$50,密度!$Q$2:$Q$50)</f>
        <v>79954.011727100005</v>
      </c>
      <c r="J25" s="91" ph="1">
        <f>J24*18.322*LOOKUP(J26,密度!$A$2:$A$50,密度!$Q$2:$Q$50)</f>
        <v>91849.896908359995</v>
      </c>
      <c r="K25" s="91" ph="1">
        <f>K24*18.322*LOOKUP(K26,密度!$A$2:$A$50,密度!$Q$2:$Q$50)</f>
        <v>85539.482404879993</v>
      </c>
      <c r="L25" s="91" ph="1">
        <f>L24*18.322*LOOKUP(L26,密度!$A$2:$A$50,密度!$Q$2:$Q$50)</f>
        <v>96763.276134519998</v>
      </c>
      <c r="M25" s="91" ph="1">
        <f>M24*18.322*LOOKUP(M26,密度!$A$2:$A$50,密度!$Q$2:$Q$50)</f>
        <v>84911.595343339999</v>
      </c>
      <c r="N25" s="91" ph="1">
        <f>N24*18.322*LOOKUP(N26,密度!$A$2:$A$50,密度!$Q$2:$Q$50)</f>
        <v>58576.868979040002</v>
      </c>
      <c r="O25" s="91" ph="1">
        <f>O24*18.322*LOOKUP(O26,密度!$A$2:$A$50,密度!$C$2:$C$50)</f>
        <v>116773.63267760001</v>
      </c>
      <c r="P25" s="91" ph="1">
        <f>P24*11.702*LOOKUP(P26,密度!$A$2:$A$50,密度!$B$2:$B$50)</f>
        <v>5991.6264446000005</v>
      </c>
      <c r="Q25" s="92" ph="1">
        <f>Q24*18.322*LOOKUP(Q26,密度!$A$2:$A$50,密度!$B$2:$B$50)</f>
        <v>11090.7683144</v>
      </c>
      <c r="R25" s="91" ph="1">
        <f>R24*35.891*LOOKUP(R26,密度!$A$2:$A$50,密度!$C$2:$C$50)</f>
        <v>100948.92164479999</v>
      </c>
      <c r="S25" s="91" ph="1">
        <f>S24*35.891*LOOKUP(S26,密度!$A$2:$A$50,密度!$B$2:$B$50)</f>
        <v>68849.547379600001</v>
      </c>
      <c r="T25" s="91" ph="1">
        <f>T24*35.891*LOOKUP(T26,密度!$A$2:$A$50,密度!$Q$2:$Q$50)</f>
        <v>5466.9745456000001</v>
      </c>
      <c r="U25" s="91" ph="1">
        <f>U24*35.891</f>
        <v>186238.399</v>
      </c>
      <c r="V25" s="91" ph="1">
        <f>V24*47.051*LOOKUP(V26,密度!$A$2:$A$50,密度!$B$2:$B$50)</f>
        <v>326463.40584590001</v>
      </c>
      <c r="W25" s="91" ph="1">
        <f>W24*47.051*LOOKUP(W26,密度!$A$2:$A$50,密度!$B$2:$B$50)</f>
        <v>51568.004217300004</v>
      </c>
      <c r="X25" s="91" ph="1">
        <f>X24*47.051*LOOKUP(X26,密度!$A$2:$A$61,密度!$I$2:$I$61)</f>
        <v>147896.68808719999</v>
      </c>
      <c r="Y25" s="91" ph="1">
        <f>Y24*47.051*LOOKUP(Y26,密度!$A$2:$A$50,密度!$L$2:$L$50)</f>
        <v>129021.46426200001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21</v>
      </c>
      <c r="G26" s="74">
        <v>21</v>
      </c>
      <c r="H26" s="74">
        <v>20</v>
      </c>
      <c r="I26" s="74">
        <v>21</v>
      </c>
      <c r="J26" s="74">
        <v>22</v>
      </c>
      <c r="K26" s="74">
        <v>21</v>
      </c>
      <c r="L26" s="74">
        <v>20</v>
      </c>
      <c r="M26" s="74">
        <v>22</v>
      </c>
      <c r="N26" s="74">
        <v>20</v>
      </c>
      <c r="O26" s="74">
        <v>21</v>
      </c>
      <c r="P26" s="74">
        <v>20</v>
      </c>
      <c r="Q26" s="93">
        <v>20</v>
      </c>
      <c r="R26" s="74">
        <v>20</v>
      </c>
      <c r="S26" s="74">
        <v>19</v>
      </c>
      <c r="T26" s="74">
        <v>18</v>
      </c>
      <c r="U26" s="74">
        <v>20</v>
      </c>
      <c r="V26" s="74">
        <v>20</v>
      </c>
      <c r="W26" s="74">
        <v>22</v>
      </c>
      <c r="X26" s="74">
        <v>48</v>
      </c>
      <c r="Y26" s="74">
        <v>20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53" t="s" ph="1">
        <v>180</v>
      </c>
      <c r="D27" s="71">
        <v>5.0199999999999996</v>
      </c>
      <c r="E27" s="71">
        <v>5.61</v>
      </c>
      <c r="F27" s="71">
        <v>723</v>
      </c>
      <c r="G27" s="71">
        <v>3236</v>
      </c>
      <c r="H27" s="71">
        <v>1314</v>
      </c>
      <c r="I27" s="71">
        <v>4596</v>
      </c>
      <c r="J27" s="71">
        <v>5283</v>
      </c>
      <c r="K27" s="71">
        <v>4917</v>
      </c>
      <c r="L27" s="71">
        <v>5555</v>
      </c>
      <c r="M27" s="71">
        <v>4884</v>
      </c>
      <c r="N27" s="71">
        <v>3363</v>
      </c>
      <c r="O27" s="71">
        <v>5731</v>
      </c>
      <c r="P27" s="71">
        <v>650</v>
      </c>
      <c r="Q27" s="90">
        <v>992</v>
      </c>
      <c r="R27" s="71">
        <v>2956</v>
      </c>
      <c r="S27" s="71">
        <v>2442</v>
      </c>
      <c r="T27" s="71">
        <v>159</v>
      </c>
      <c r="U27" s="71">
        <v>5110</v>
      </c>
      <c r="V27" s="71">
        <v>8851</v>
      </c>
      <c r="W27" s="71">
        <v>1397</v>
      </c>
      <c r="X27" s="71">
        <v>3691</v>
      </c>
      <c r="Y27" s="71">
        <v>3635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53" t="s" ph="1">
        <v>178</v>
      </c>
      <c r="D28" s="91" ph="1">
        <f>D27*268.68*LOOKUP(D29,密度!$A$2:$A$50,密度!$Q$2:$Q$50)+IF(D27&lt;=0,0,1566*LOOKUP(D29,密度!$A$2:$A$50,密度!$Q$2:$Q$50))</f>
        <v>2759.5327580640001</v>
      </c>
      <c r="E28" s="91" ph="1">
        <f>E27*268.68*LOOKUP(E29,密度!$A$2:$A$50,密度!$C$2:$C$50)+IF(E27&lt;=0,0,1566*LOOKUP(E29,密度!$A$2:$A$50,密度!$C$2:$C$50))</f>
        <v>3407.9766037199997</v>
      </c>
      <c r="F28" s="91" ph="1">
        <f>F27*11.702*LOOKUP(F29,密度!$A$2:$A$50,密度!$Q$2:$Q$50)</f>
        <v>8034.8959307400009</v>
      </c>
      <c r="G28" s="91" ph="1">
        <f>G27*18.322*LOOKUP(G29,密度!$A$2:$A$50,密度!$B$2:$B$50)</f>
        <v>46435.921734399999</v>
      </c>
      <c r="H28" s="91" ph="1">
        <f>H27*18.322*LOOKUP(H29,密度!$A$2:$A$50,密度!$B$2:$B$50)</f>
        <v>18877.2921828</v>
      </c>
      <c r="I28" s="91" ph="1">
        <f>I27*18.322*LOOKUP(I29,密度!$A$2:$A$50,密度!$Q$2:$Q$50)</f>
        <v>79971.411947279994</v>
      </c>
      <c r="J28" s="91" ph="1">
        <f>J27*18.322*LOOKUP(J29,密度!$A$2:$A$50,密度!$Q$2:$Q$50)</f>
        <v>91867.286135339993</v>
      </c>
      <c r="K28" s="91" ph="1">
        <f>K27*18.322*LOOKUP(K29,密度!$A$2:$A$50,密度!$Q$2:$Q$50)</f>
        <v>85502.829060659991</v>
      </c>
      <c r="L28" s="91" ph="1">
        <f>L27*18.322*LOOKUP(L29,密度!$A$2:$A$50,密度!$Q$2:$Q$50)</f>
        <v>96728.450409799989</v>
      </c>
      <c r="M28" s="91" ph="1">
        <f>M27*18.322*LOOKUP(M29,密度!$A$2:$A$50,密度!$Q$2:$Q$50)</f>
        <v>84849.343233600011</v>
      </c>
      <c r="N28" s="91" ph="1">
        <f>N27*18.322*LOOKUP(N29,密度!$A$2:$A$50,密度!$Q$2:$Q$50)</f>
        <v>58479.970333739999</v>
      </c>
      <c r="O28" s="91" ph="1">
        <f>O27*18.322*LOOKUP(O29,密度!$A$2:$A$50,密度!$C$2:$C$50)</f>
        <v>116753.26044580001</v>
      </c>
      <c r="P28" s="91" ph="1">
        <f>P27*11.702*LOOKUP(P29,密度!$A$2:$A$50,密度!$B$2:$B$50)</f>
        <v>5950.4084899999998</v>
      </c>
      <c r="Q28" s="92" ph="1">
        <f>Q27*18.322*LOOKUP(Q29,密度!$A$2:$A$50,密度!$B$2:$B$50)</f>
        <v>14218.634195199998</v>
      </c>
      <c r="R28" s="91" ph="1">
        <f>R27*35.891*LOOKUP(R29,密度!$A$2:$A$50,密度!$C$2:$C$50)</f>
        <v>117965.69177239999</v>
      </c>
      <c r="S28" s="91" ph="1">
        <f>S27*35.891*LOOKUP(S29,密度!$A$2:$A$50,密度!$B$2:$B$50)</f>
        <v>68723.089030200004</v>
      </c>
      <c r="T28" s="91" ph="1">
        <f>T27*35.891*LOOKUP(T29,密度!$A$2:$A$50,密度!$Q$2:$Q$50)</f>
        <v>5416.1424812099995</v>
      </c>
      <c r="U28" s="91" ph="1">
        <f>U27*35.891</f>
        <v>183403.00999999998</v>
      </c>
      <c r="V28" s="91" ph="1">
        <f>V27*47.051*LOOKUP(V29,密度!$A$2:$A$50,密度!$B$2:$B$50)</f>
        <v>325787.5841023</v>
      </c>
      <c r="W28" s="91" ph="1">
        <f>W27*47.051*LOOKUP(W29,密度!$A$2:$A$50,密度!$B$2:$B$50)</f>
        <v>51539.086672700003</v>
      </c>
      <c r="X28" s="91" ph="1">
        <f>X27*47.051*LOOKUP(X29,密度!$A$2:$A$61,密度!$I$2:$I$61)</f>
        <v>178875.19823000001</v>
      </c>
      <c r="Y28" s="91" ph="1">
        <f>Y27*47.051*LOOKUP(Y29,密度!$A$2:$A$50,密度!$L$2:$L$50)</f>
        <v>160768.5619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53" t="s" ph="1">
        <v>179</v>
      </c>
      <c r="D29" s="74">
        <v>25</v>
      </c>
      <c r="E29" s="74">
        <v>25</v>
      </c>
      <c r="F29" s="74">
        <v>21</v>
      </c>
      <c r="G29" s="74">
        <v>21</v>
      </c>
      <c r="H29" s="74">
        <v>20</v>
      </c>
      <c r="I29" s="74">
        <v>21</v>
      </c>
      <c r="J29" s="74">
        <v>22</v>
      </c>
      <c r="K29" s="74">
        <v>22</v>
      </c>
      <c r="L29" s="74">
        <v>20</v>
      </c>
      <c r="M29" s="74">
        <v>23</v>
      </c>
      <c r="N29" s="74">
        <v>22</v>
      </c>
      <c r="O29" s="74">
        <v>21</v>
      </c>
      <c r="P29" s="74">
        <v>22</v>
      </c>
      <c r="Q29" s="93">
        <v>22</v>
      </c>
      <c r="R29" s="74">
        <v>21</v>
      </c>
      <c r="S29" s="74">
        <v>20</v>
      </c>
      <c r="T29" s="74">
        <v>22</v>
      </c>
      <c r="U29" s="74">
        <v>21</v>
      </c>
      <c r="V29" s="74">
        <v>22</v>
      </c>
      <c r="W29" s="74">
        <v>20</v>
      </c>
      <c r="X29" s="74">
        <v>36</v>
      </c>
      <c r="Y29" s="74">
        <v>22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53" t="s" ph="1">
        <v>5</v>
      </c>
      <c r="F32" s="154" t="s" ph="1">
        <v>43</v>
      </c>
      <c r="G32" s="97" t="s" ph="1">
        <v>4</v>
      </c>
      <c r="H32" s="153" t="s" ph="1">
        <v>5</v>
      </c>
      <c r="I32" s="154" t="s" ph="1">
        <v>43</v>
      </c>
      <c r="J32" s="97" t="s" ph="1">
        <v>4</v>
      </c>
      <c r="K32" s="153" t="s" ph="1">
        <v>5</v>
      </c>
      <c r="L32" s="154" t="s" ph="1">
        <v>43</v>
      </c>
      <c r="M32" s="97" t="s" ph="1">
        <v>4</v>
      </c>
      <c r="N32" s="153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4" t="s" ph="1">
        <v>43</v>
      </c>
      <c r="AB32" s="97" t="s" ph="1">
        <v>85</v>
      </c>
      <c r="AC32" s="153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89250.507621000012</v>
      </c>
      <c r="E33" s="196" ph="1">
        <f>M10+I10</f>
        <v>105834.2570517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22" ph="1">
        <v>0</v>
      </c>
      <c r="H33" s="196" ph="1">
        <f>N19</f>
        <v>13721.267079199999</v>
      </c>
      <c r="I33" s="200" ph="1">
        <v>0</v>
      </c>
      <c r="J33" s="204" ph="1">
        <f>F10+O28</f>
        <v>319699.23412840004</v>
      </c>
      <c r="K33" s="196" ph="1">
        <f>O10+K10+E28+R28</f>
        <v>173865.13021932001</v>
      </c>
      <c r="L33" s="206" ph="1">
        <f>BE27</f>
        <v>7100</v>
      </c>
      <c r="M33" s="204" ph="1">
        <f>G10+H10+W28+S28+V28+E10</f>
        <v>831416.86480520002</v>
      </c>
      <c r="N33" s="196" ph="1">
        <f>L10+P10++G28+H28</f>
        <v>235002.14491520001</v>
      </c>
      <c r="O33" s="200" ph="1">
        <f>BE17</f>
        <v>2270</v>
      </c>
      <c r="P33" s="204" ph="1">
        <f>L19</f>
        <v>35670.916818880003</v>
      </c>
      <c r="Q33" s="196" ph="1">
        <f>J10+N10</f>
        <v>4973.1067311999996</v>
      </c>
      <c r="R33" s="200" ph="1">
        <f>BE23</f>
        <v>890</v>
      </c>
      <c r="S33" s="204" ph="1">
        <f>E10+X28</f>
        <v>178875.19823000001</v>
      </c>
      <c r="T33" s="196" ph="1">
        <f>X19</f>
        <v>12061.74449564</v>
      </c>
      <c r="U33" s="185" ph="1">
        <f>BE21</f>
        <v>730</v>
      </c>
      <c r="V33" s="198" ph="1">
        <f ca="1">P19+Q19+S19+M28+N28+J28</f>
        <v>367985.77360134403</v>
      </c>
      <c r="W33" s="198" ph="1">
        <f>D28+F28+V19+T28</f>
        <v>47042.820772013998</v>
      </c>
      <c r="X33" s="200" ph="1">
        <f>BE29+BE31</f>
        <v>10200</v>
      </c>
      <c r="Y33" s="202" ph="1">
        <f>+Q10+R10+S10+T10+U10+V10+W10+X10+Y10</f>
        <v>119078.5333122</v>
      </c>
      <c r="Z33" s="183" ph="1">
        <f>D10+T19+U19+Y28+Z10</f>
        <v>399633.30332702998</v>
      </c>
      <c r="AA33" s="185" ph="1">
        <f>BE19</f>
        <v>1440</v>
      </c>
      <c r="AB33" s="187" ph="1">
        <f>I19</f>
        <v>15019.188968</v>
      </c>
      <c r="AC33" s="189" ph="1">
        <f>AD10</f>
        <v>93818.123072000002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55" t="s" ph="1">
        <v>185</v>
      </c>
      <c r="AA36" s="155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5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5" t="s" ph="1">
        <v>342</v>
      </c>
      <c r="AI37" s="155" t="s" ph="1">
        <v>209</v>
      </c>
      <c r="AJ37" s="155" t="s" ph="1">
        <v>210</v>
      </c>
      <c r="AK37" s="155" t="s" ph="1">
        <v>211</v>
      </c>
      <c r="AM37" s="155" t="s" ph="1">
        <v>210</v>
      </c>
      <c r="AN37" s="155" t="s" ph="1">
        <v>211</v>
      </c>
      <c r="AO37" s="155" t="s" ph="1">
        <v>212</v>
      </c>
      <c r="AP37" s="155" t="s" ph="1">
        <v>210</v>
      </c>
      <c r="AQ37" s="155" t="s" ph="1">
        <v>211</v>
      </c>
      <c r="AR37" s="155" t="s" ph="1">
        <v>212</v>
      </c>
      <c r="AS37" s="155" t="s" ph="1">
        <v>210</v>
      </c>
      <c r="AT37" s="155" t="s" ph="1">
        <v>211</v>
      </c>
      <c r="AU37" s="155" t="s" ph="1">
        <v>212</v>
      </c>
      <c r="AV37" s="155" t="s" ph="1">
        <v>210</v>
      </c>
      <c r="AW37" s="155" t="s" ph="1">
        <v>211</v>
      </c>
      <c r="AX37" s="155" t="s" ph="1">
        <v>212</v>
      </c>
      <c r="AY37" s="155" t="s" ph="1">
        <v>211</v>
      </c>
      <c r="AZ37" s="155" t="s" ph="1">
        <v>213</v>
      </c>
      <c r="BD37" s="155" t="s" ph="1">
        <v>305</v>
      </c>
      <c r="BE37" s="15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668" priority="98">
      <formula>ABS(D$7-D$10)&gt;=1000</formula>
    </cfRule>
  </conditionalFormatting>
  <conditionalFormatting sqref="E4 E6:E11">
    <cfRule type="expression" dxfId="1667" priority="97">
      <formula>ABS(E$7-E$10)&gt;=1000</formula>
    </cfRule>
  </conditionalFormatting>
  <conditionalFormatting sqref="F4:F11">
    <cfRule type="expression" dxfId="1666" priority="96">
      <formula>ABS(F$7-F$10)&gt;=1000</formula>
    </cfRule>
  </conditionalFormatting>
  <conditionalFormatting sqref="G4:G11">
    <cfRule type="expression" dxfId="1665" priority="95">
      <formula>ABS(G$7-G$10)&gt;=1000</formula>
    </cfRule>
  </conditionalFormatting>
  <conditionalFormatting sqref="H4:H11">
    <cfRule type="expression" dxfId="1664" priority="94">
      <formula>ABS(H$7-H$10)&gt;=1000</formula>
    </cfRule>
  </conditionalFormatting>
  <conditionalFormatting sqref="I4:I11">
    <cfRule type="expression" dxfId="1663" priority="93">
      <formula>ABS(I$7-I$10)&gt;=1000</formula>
    </cfRule>
  </conditionalFormatting>
  <conditionalFormatting sqref="J4:J11">
    <cfRule type="expression" dxfId="1662" priority="92">
      <formula>ABS(J$7-J$10)&gt;=1000</formula>
    </cfRule>
  </conditionalFormatting>
  <conditionalFormatting sqref="K4:K11">
    <cfRule type="expression" dxfId="1661" priority="91">
      <formula>ABS(K$7-K$10)&gt;=1000</formula>
    </cfRule>
  </conditionalFormatting>
  <conditionalFormatting sqref="L4:L11">
    <cfRule type="expression" dxfId="1660" priority="90">
      <formula>ABS(L$7-L$10)&gt;=1000</formula>
    </cfRule>
  </conditionalFormatting>
  <conditionalFormatting sqref="M4 M6:M11">
    <cfRule type="expression" dxfId="1659" priority="89">
      <formula>ABS(M$7-M$10)&gt;=1000</formula>
    </cfRule>
  </conditionalFormatting>
  <conditionalFormatting sqref="N4 N6:N11">
    <cfRule type="expression" dxfId="1658" priority="88">
      <formula>ABS(N$7-N$10)&gt;=1000</formula>
    </cfRule>
  </conditionalFormatting>
  <conditionalFormatting sqref="O4 O6:O11">
    <cfRule type="expression" dxfId="1657" priority="87">
      <formula>ABS(O$7-O$10)&gt;=1000</formula>
    </cfRule>
  </conditionalFormatting>
  <conditionalFormatting sqref="P4 P6:P11">
    <cfRule type="expression" dxfId="1656" priority="86">
      <formula>ABS(P$7-P$10)&gt;=1000</formula>
    </cfRule>
  </conditionalFormatting>
  <conditionalFormatting sqref="Q4:Q11">
    <cfRule type="expression" dxfId="1655" priority="85">
      <formula>ABS(Q$7-Q$10)&gt;=1000</formula>
    </cfRule>
  </conditionalFormatting>
  <conditionalFormatting sqref="R4:R11">
    <cfRule type="expression" dxfId="1654" priority="84">
      <formula>ABS(R$7-R$10)&gt;=1000</formula>
    </cfRule>
  </conditionalFormatting>
  <conditionalFormatting sqref="S4:S11">
    <cfRule type="expression" dxfId="1653" priority="83">
      <formula>ABS(S$7-S$10)&gt;=1000</formula>
    </cfRule>
  </conditionalFormatting>
  <conditionalFormatting sqref="T4:T9 T11">
    <cfRule type="expression" dxfId="1652" priority="82">
      <formula>ABS(T$7-T$10)&gt;=1000</formula>
    </cfRule>
  </conditionalFormatting>
  <conditionalFormatting sqref="U4:U9 U11">
    <cfRule type="expression" dxfId="1651" priority="81">
      <formula>ABS(U$7-U$10)&gt;=1000</formula>
    </cfRule>
  </conditionalFormatting>
  <conditionalFormatting sqref="V4:V9 V11">
    <cfRule type="expression" dxfId="1650" priority="80">
      <formula>ABS(V$7-V$10)&gt;=1000</formula>
    </cfRule>
  </conditionalFormatting>
  <conditionalFormatting sqref="W4:W9 W11">
    <cfRule type="expression" dxfId="1649" priority="79">
      <formula>ABS(W$7-W$10)&gt;=1000</formula>
    </cfRule>
  </conditionalFormatting>
  <conditionalFormatting sqref="X4:X9 X11">
    <cfRule type="expression" dxfId="1648" priority="78">
      <formula>ABS(X$7-X$10)&gt;=1000</formula>
    </cfRule>
  </conditionalFormatting>
  <conditionalFormatting sqref="Y4:Y9 Y11">
    <cfRule type="expression" dxfId="1647" priority="77">
      <formula>ABS(Y$7-Y$10)&gt;=1000</formula>
    </cfRule>
  </conditionalFormatting>
  <conditionalFormatting sqref="Z4:Z11">
    <cfRule type="expression" dxfId="1646" priority="76">
      <formula>ABS(Z$7-Z$10)&gt;=1000</formula>
    </cfRule>
  </conditionalFormatting>
  <conditionalFormatting sqref="AA4:AA11">
    <cfRule type="expression" dxfId="1645" priority="75">
      <formula>ABS(AA$7-AA$10)&gt;=1000</formula>
    </cfRule>
  </conditionalFormatting>
  <conditionalFormatting sqref="AB4:AB11">
    <cfRule type="expression" dxfId="1644" priority="74">
      <formula>ABS(AB$7-AB$10)&gt;=1000</formula>
    </cfRule>
  </conditionalFormatting>
  <conditionalFormatting sqref="AC4 AC6:AC11">
    <cfRule type="expression" dxfId="1643" priority="73">
      <formula>ABS(AC$7-AC$10)&gt;=1000</formula>
    </cfRule>
  </conditionalFormatting>
  <conditionalFormatting sqref="AD4:AD11">
    <cfRule type="expression" dxfId="1642" priority="72">
      <formula>ABS(AD$7-AD$10)&gt;=1000</formula>
    </cfRule>
  </conditionalFormatting>
  <conditionalFormatting sqref="AE4 AE6:AE11">
    <cfRule type="expression" dxfId="1641" priority="71">
      <formula>ABS(AE$7-AE$10)&gt;=1000</formula>
    </cfRule>
  </conditionalFormatting>
  <conditionalFormatting sqref="D13:D20">
    <cfRule type="expression" dxfId="1640" priority="70">
      <formula>ABS(D$16-D$19)&gt;=1000</formula>
    </cfRule>
  </conditionalFormatting>
  <conditionalFormatting sqref="E13:E20">
    <cfRule type="expression" dxfId="1639" priority="69">
      <formula>ABS(E$16-E$19)&gt;=1000</formula>
    </cfRule>
  </conditionalFormatting>
  <conditionalFormatting sqref="F13 F15:F20">
    <cfRule type="expression" dxfId="1638" priority="68">
      <formula>ABS(F$16-F$19)&gt;=1000</formula>
    </cfRule>
  </conditionalFormatting>
  <conditionalFormatting sqref="G13:G20">
    <cfRule type="expression" dxfId="1637" priority="67">
      <formula>ABS(G$16-G$19)&gt;=1000</formula>
    </cfRule>
  </conditionalFormatting>
  <conditionalFormatting sqref="H13:H20">
    <cfRule type="expression" dxfId="1636" priority="66">
      <formula>ABS(H$16-H$19)&gt;=1000</formula>
    </cfRule>
  </conditionalFormatting>
  <conditionalFormatting sqref="I13:I20">
    <cfRule type="expression" dxfId="1635" priority="65">
      <formula>ABS(I$16-I$19)&gt;=1000</formula>
    </cfRule>
  </conditionalFormatting>
  <conditionalFormatting sqref="J13:J20">
    <cfRule type="expression" dxfId="1634" priority="64">
      <formula>ABS(J$16-J$19)&gt;=1000</formula>
    </cfRule>
  </conditionalFormatting>
  <conditionalFormatting sqref="L13:L20">
    <cfRule type="expression" dxfId="1633" priority="63">
      <formula>ABS(L$16-L$19)&gt;=1000</formula>
    </cfRule>
  </conditionalFormatting>
  <conditionalFormatting sqref="M13 M15 M17:M18 M20">
    <cfRule type="expression" dxfId="1632" priority="62">
      <formula>ABS(M$16-M$19)&gt;=1000</formula>
    </cfRule>
  </conditionalFormatting>
  <conditionalFormatting sqref="N13:N20">
    <cfRule type="expression" dxfId="1631" priority="61">
      <formula>ABS(N$16-N$19)&gt;=1000</formula>
    </cfRule>
  </conditionalFormatting>
  <conditionalFormatting sqref="O13:O20">
    <cfRule type="expression" dxfId="1630" priority="60">
      <formula>ABS(O$16-O$19)&gt;=1000</formula>
    </cfRule>
  </conditionalFormatting>
  <conditionalFormatting sqref="P13:P20">
    <cfRule type="expression" dxfId="1629" priority="59">
      <formula>ABS(P$16-P$19)&gt;=1000</formula>
    </cfRule>
  </conditionalFormatting>
  <conditionalFormatting sqref="Q13 Q15:Q20">
    <cfRule type="expression" dxfId="1628" priority="58">
      <formula>ABS(Q$16-Q$19)&gt;=1000</formula>
    </cfRule>
  </conditionalFormatting>
  <conditionalFormatting sqref="R13:R20">
    <cfRule type="expression" dxfId="1627" priority="57">
      <formula>ABS(R$16-R$19)&gt;=1000</formula>
    </cfRule>
  </conditionalFormatting>
  <conditionalFormatting sqref="S13:S20">
    <cfRule type="expression" dxfId="1626" priority="56">
      <formula>ABS(S$16-S$19)&gt;=1000</formula>
    </cfRule>
  </conditionalFormatting>
  <conditionalFormatting sqref="T13:T20">
    <cfRule type="expression" dxfId="1625" priority="55">
      <formula>ABS(T$16-T$19)&gt;=1000</formula>
    </cfRule>
  </conditionalFormatting>
  <conditionalFormatting sqref="U13:U20">
    <cfRule type="expression" dxfId="1624" priority="54">
      <formula>ABS(U$16-U$19)&gt;=1000</formula>
    </cfRule>
  </conditionalFormatting>
  <conditionalFormatting sqref="V13:V20">
    <cfRule type="expression" dxfId="1623" priority="53">
      <formula>ABS(V$16-V$19)&gt;=1000</formula>
    </cfRule>
  </conditionalFormatting>
  <conditionalFormatting sqref="W13 W20 W15:W18">
    <cfRule type="expression" dxfId="1622" priority="52">
      <formula>ABS(W$16-W$19)&gt;=1000</formula>
    </cfRule>
  </conditionalFormatting>
  <conditionalFormatting sqref="X13 X15:X20 Y19">
    <cfRule type="expression" dxfId="1621" priority="51">
      <formula>ABS(X$16-X$19)&gt;=1000</formula>
    </cfRule>
  </conditionalFormatting>
  <conditionalFormatting sqref="Y13 Y15:Y18 Y20">
    <cfRule type="expression" dxfId="1620" priority="50">
      <formula>ABS(Y$16-Y$19)&gt;=1000</formula>
    </cfRule>
  </conditionalFormatting>
  <conditionalFormatting sqref="Z13:Z20">
    <cfRule type="expression" dxfId="1619" priority="49">
      <formula>ABS(Z$16-Z$19)&gt;=1000</formula>
    </cfRule>
  </conditionalFormatting>
  <conditionalFormatting sqref="AA13:AA20">
    <cfRule type="expression" dxfId="1618" priority="48">
      <formula>ABS(AA$16-AA$19)&gt;=1000</formula>
    </cfRule>
  </conditionalFormatting>
  <conditionalFormatting sqref="AB13 AB15:AB20">
    <cfRule type="expression" dxfId="1617" priority="47">
      <formula>ABS(AB$16-AB$19)&gt;=1000</formula>
    </cfRule>
  </conditionalFormatting>
  <conditionalFormatting sqref="AC13 AC15:AC20">
    <cfRule type="expression" dxfId="1616" priority="46">
      <formula>ABS(AC$16-AC$19)&gt;=1000</formula>
    </cfRule>
  </conditionalFormatting>
  <conditionalFormatting sqref="AD13:AD20">
    <cfRule type="expression" dxfId="1615" priority="45">
      <formula>ABS(AD$16-AD$19)&gt;=1000</formula>
    </cfRule>
  </conditionalFormatting>
  <conditionalFormatting sqref="AE13:AE20">
    <cfRule type="expression" dxfId="1614" priority="44">
      <formula>ABS(AE$16-AE$19)&gt;=1000</formula>
    </cfRule>
  </conditionalFormatting>
  <conditionalFormatting sqref="D22:D29">
    <cfRule type="expression" dxfId="1613" priority="43">
      <formula>ABS(D$25-D$28)&gt;=1000</formula>
    </cfRule>
  </conditionalFormatting>
  <conditionalFormatting sqref="E22:E29">
    <cfRule type="expression" dxfId="1612" priority="42">
      <formula>ABS(E$25-E$28)&gt;=1000</formula>
    </cfRule>
  </conditionalFormatting>
  <conditionalFormatting sqref="F22:F29">
    <cfRule type="expression" dxfId="1611" priority="41">
      <formula>ABS(F$25-F$28)&gt;=1000</formula>
    </cfRule>
  </conditionalFormatting>
  <conditionalFormatting sqref="G22:G29">
    <cfRule type="expression" dxfId="1610" priority="40">
      <formula>ABS(G$25-G$28)&gt;=1000</formula>
    </cfRule>
  </conditionalFormatting>
  <conditionalFormatting sqref="H22:H29">
    <cfRule type="expression" dxfId="1609" priority="39">
      <formula>ABS(H$25-H$28)&gt;=1000</formula>
    </cfRule>
  </conditionalFormatting>
  <conditionalFormatting sqref="I22 I24:I29">
    <cfRule type="expression" dxfId="1608" priority="38">
      <formula>ABS(I$25-I$28)&gt;=1000</formula>
    </cfRule>
  </conditionalFormatting>
  <conditionalFormatting sqref="J22:J29 K22">
    <cfRule type="expression" dxfId="1607" priority="37">
      <formula>ABS(J$25-J$28)&gt;=1000</formula>
    </cfRule>
  </conditionalFormatting>
  <conditionalFormatting sqref="K23:K29 L25 L28">
    <cfRule type="expression" dxfId="1606" priority="36">
      <formula>ABS(K$25-K$28)&gt;=1000</formula>
    </cfRule>
  </conditionalFormatting>
  <conditionalFormatting sqref="L22 L26:L27 L29 L24">
    <cfRule type="expression" dxfId="1605" priority="35">
      <formula>ABS(L$25-L$28)&gt;=1000</formula>
    </cfRule>
  </conditionalFormatting>
  <conditionalFormatting sqref="M22:M29">
    <cfRule type="expression" dxfId="1604" priority="34">
      <formula>ABS(M$25-M$28)&gt;=1000</formula>
    </cfRule>
  </conditionalFormatting>
  <conditionalFormatting sqref="N22:N29">
    <cfRule type="expression" dxfId="1603" priority="33">
      <formula>ABS(N$25-N$28)&gt;=1000</formula>
    </cfRule>
  </conditionalFormatting>
  <conditionalFormatting sqref="O22:O29">
    <cfRule type="expression" dxfId="1602" priority="32">
      <formula>ABS(O$25-O$28)&gt;=1000</formula>
    </cfRule>
  </conditionalFormatting>
  <conditionalFormatting sqref="P22:P29">
    <cfRule type="expression" dxfId="1601" priority="31">
      <formula>ABS(P$25-P$28)&gt;=1000</formula>
    </cfRule>
  </conditionalFormatting>
  <conditionalFormatting sqref="Q22:Q29">
    <cfRule type="expression" dxfId="1600" priority="30">
      <formula>ABS(Q$25-Q$28)&gt;=1000</formula>
    </cfRule>
  </conditionalFormatting>
  <conditionalFormatting sqref="R22:R29">
    <cfRule type="expression" dxfId="1599" priority="29">
      <formula>ABS(R$25-R$28)&gt;=1000</formula>
    </cfRule>
  </conditionalFormatting>
  <conditionalFormatting sqref="S22:S29">
    <cfRule type="expression" dxfId="1598" priority="28">
      <formula>ABS(S$25-S$28)&gt;=1000</formula>
    </cfRule>
  </conditionalFormatting>
  <conditionalFormatting sqref="T22:T29">
    <cfRule type="expression" dxfId="1597" priority="27">
      <formula>ABS(T$25-T$28)&gt;=1000</formula>
    </cfRule>
  </conditionalFormatting>
  <conditionalFormatting sqref="U22:U29">
    <cfRule type="expression" dxfId="1596" priority="26">
      <formula>ABS(U$25-U$28)&gt;=1000</formula>
    </cfRule>
  </conditionalFormatting>
  <conditionalFormatting sqref="V22:V29">
    <cfRule type="expression" dxfId="1595" priority="25">
      <formula>ABS(V$25-V$28)&gt;=1000</formula>
    </cfRule>
  </conditionalFormatting>
  <conditionalFormatting sqref="W22:W29">
    <cfRule type="expression" dxfId="1594" priority="24">
      <formula>ABS(W$25-W$28)&gt;=1000</formula>
    </cfRule>
  </conditionalFormatting>
  <conditionalFormatting sqref="X22:X29">
    <cfRule type="expression" dxfId="1593" priority="23">
      <formula>ABS(X$25-X$28)&gt;=1000</formula>
    </cfRule>
  </conditionalFormatting>
  <conditionalFormatting sqref="Y22:Y29">
    <cfRule type="expression" dxfId="1592" priority="22">
      <formula>ABS(Y$25-Y$28)&gt;=1000</formula>
    </cfRule>
  </conditionalFormatting>
  <conditionalFormatting sqref="I23">
    <cfRule type="expression" dxfId="1591" priority="21">
      <formula>ABS(I$25-I$28)&gt;=1000</formula>
    </cfRule>
  </conditionalFormatting>
  <conditionalFormatting sqref="Q14">
    <cfRule type="expression" dxfId="1590" priority="20">
      <formula>ABS(Q$16-Q$19)&gt;=1000</formula>
    </cfRule>
  </conditionalFormatting>
  <conditionalFormatting sqref="W14">
    <cfRule type="expression" dxfId="1589" priority="19">
      <formula>ABS(W$16-W$19)&gt;=1000</formula>
    </cfRule>
  </conditionalFormatting>
  <conditionalFormatting sqref="Y14">
    <cfRule type="expression" dxfId="1588" priority="18">
      <formula>ABS(Y$16-Y$19)&gt;=1000</formula>
    </cfRule>
  </conditionalFormatting>
  <conditionalFormatting sqref="X14">
    <cfRule type="expression" dxfId="1587" priority="17">
      <formula>ABS(X$16-X$19)&gt;=1000</formula>
    </cfRule>
  </conditionalFormatting>
  <conditionalFormatting sqref="T10:Y10">
    <cfRule type="expression" dxfId="1586" priority="16">
      <formula>ABS(T$7-T$10)&gt;=1000</formula>
    </cfRule>
  </conditionalFormatting>
  <conditionalFormatting sqref="W19">
    <cfRule type="expression" dxfId="1585" priority="15">
      <formula>ABS(W$16-W$19)&gt;=1000</formula>
    </cfRule>
  </conditionalFormatting>
  <conditionalFormatting sqref="AC5">
    <cfRule type="expression" dxfId="1584" priority="14">
      <formula>ABS(AC$7-AC$10)&gt;=1000</formula>
    </cfRule>
  </conditionalFormatting>
  <conditionalFormatting sqref="M14">
    <cfRule type="expression" dxfId="1583" priority="13">
      <formula>ABS(M$16-M$19)&gt;=1000</formula>
    </cfRule>
  </conditionalFormatting>
  <conditionalFormatting sqref="M16">
    <cfRule type="expression" dxfId="1582" priority="12">
      <formula>ABS(M$16-M$19)&gt;=1000</formula>
    </cfRule>
  </conditionalFormatting>
  <conditionalFormatting sqref="M19">
    <cfRule type="expression" dxfId="1581" priority="11">
      <formula>ABS(M$16-M$19)&gt;=1000</formula>
    </cfRule>
  </conditionalFormatting>
  <conditionalFormatting sqref="K13:K20">
    <cfRule type="expression" dxfId="1580" priority="10">
      <formula>ABS(K$16-K$19)&gt;=1000</formula>
    </cfRule>
  </conditionalFormatting>
  <conditionalFormatting sqref="E5">
    <cfRule type="expression" dxfId="1579" priority="9">
      <formula>ABS(E$7-E$10)&gt;=1000</formula>
    </cfRule>
  </conditionalFormatting>
  <conditionalFormatting sqref="AB14:AC14">
    <cfRule type="expression" dxfId="1578" priority="8">
      <formula>ABS(AB$16-AB$19)&gt;=1000</formula>
    </cfRule>
  </conditionalFormatting>
  <conditionalFormatting sqref="M5">
    <cfRule type="expression" dxfId="1577" priority="7">
      <formula>ABS(M$7-M$10)&gt;=1000</formula>
    </cfRule>
  </conditionalFormatting>
  <conditionalFormatting sqref="N5">
    <cfRule type="expression" dxfId="1576" priority="6">
      <formula>ABS(N$7-N$10)&gt;=1000</formula>
    </cfRule>
  </conditionalFormatting>
  <conditionalFormatting sqref="O5">
    <cfRule type="expression" dxfId="1575" priority="5">
      <formula>ABS(O$7-O$10)&gt;=1000</formula>
    </cfRule>
  </conditionalFormatting>
  <conditionalFormatting sqref="P5">
    <cfRule type="expression" dxfId="1574" priority="4">
      <formula>ABS(P$7-P$10)&gt;=1000</formula>
    </cfRule>
  </conditionalFormatting>
  <conditionalFormatting sqref="L23">
    <cfRule type="expression" dxfId="1573" priority="3">
      <formula>ABS(L$25-L$28)&gt;=1000</formula>
    </cfRule>
  </conditionalFormatting>
  <conditionalFormatting sqref="F14">
    <cfRule type="expression" dxfId="1572" priority="2">
      <formula>ABS(F$16-F$19)&gt;=1000</formula>
    </cfRule>
  </conditionalFormatting>
  <conditionalFormatting sqref="AE5">
    <cfRule type="expression" dxfId="1571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92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85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46006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59" t="s" ph="1">
        <v>177</v>
      </c>
      <c r="D6" s="71">
        <v>2286</v>
      </c>
      <c r="E6" s="71">
        <v>0</v>
      </c>
      <c r="F6" s="71">
        <v>5495</v>
      </c>
      <c r="G6" s="71">
        <v>113</v>
      </c>
      <c r="H6" s="71">
        <v>8075</v>
      </c>
      <c r="I6" s="71">
        <v>27.11</v>
      </c>
      <c r="J6" s="71">
        <v>7.02</v>
      </c>
      <c r="K6" s="71">
        <v>6.81</v>
      </c>
      <c r="L6" s="71">
        <v>73.819999999999993</v>
      </c>
      <c r="M6" s="71">
        <v>2857</v>
      </c>
      <c r="N6" s="71">
        <v>133</v>
      </c>
      <c r="O6" s="71">
        <v>2215</v>
      </c>
      <c r="P6" s="71">
        <v>3756</v>
      </c>
      <c r="Q6" s="71">
        <v>7162</v>
      </c>
      <c r="R6" s="71">
        <v>2673</v>
      </c>
      <c r="S6" s="71">
        <v>2168</v>
      </c>
      <c r="T6" s="71">
        <v>0</v>
      </c>
      <c r="U6" s="71">
        <v>0</v>
      </c>
      <c r="V6" s="71">
        <v>0</v>
      </c>
      <c r="W6" s="71">
        <v>2662</v>
      </c>
      <c r="X6" s="71">
        <v>7184</v>
      </c>
      <c r="Y6" s="71">
        <v>5701</v>
      </c>
      <c r="Z6" s="71">
        <v>980</v>
      </c>
      <c r="AA6" s="71">
        <v>1907</v>
      </c>
      <c r="AB6" s="71">
        <v>1140</v>
      </c>
      <c r="AC6" s="71">
        <v>8929</v>
      </c>
      <c r="AD6" s="71">
        <v>4780</v>
      </c>
      <c r="AE6" s="71">
        <v>4419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72040.005635220004</v>
      </c>
      <c r="E7" s="73" ph="1">
        <f>E6*51.53*LOOKUP(E8,密度!$A$2:$A$50,密度!$B$2:$B$50)</f>
        <v>0</v>
      </c>
      <c r="F7" s="73" ph="1">
        <f>F6*33.183*LOOKUP(F8,密度!$A$2:$A$50,密度!$C$2:$C$50)</f>
        <v>203346.22039199999</v>
      </c>
      <c r="G7" s="73" ph="1">
        <f xml:space="preserve"> (G6+2)*51.53*LOOKUP(G8,密度!$A$2:$A$50,密度!$B$2:$B$50)</f>
        <v>4669.6486000000004</v>
      </c>
      <c r="H7" s="73" ph="1">
        <f>(H6)*51.53*LOOKUP(H8,密度!$A$2:$A$50,密度!$B$2:$B$50)</f>
        <v>328597.92107499996</v>
      </c>
      <c r="I7" s="73" ph="1">
        <f>I6*290.8*1.0267</f>
        <v>8094.0797995999992</v>
      </c>
      <c r="J7" s="73" ph="1">
        <f>J6*290.8*0.7892</f>
        <v>1611.0855071999999</v>
      </c>
      <c r="K7" s="73" ph="1">
        <f>K6*290.8*1.1126</f>
        <v>2203.3351848000002</v>
      </c>
      <c r="L7" s="73" ph="1">
        <f>L6*290.8*0.777</f>
        <v>16679.747112000001</v>
      </c>
      <c r="M7" s="73" ph="1">
        <f>M6*33.183*LOOKUP(M8,密度!$A$2:$A$50,密度!$D$2:$D$50)</f>
        <v>98017.680870900003</v>
      </c>
      <c r="N7" s="73" ph="1">
        <f>N6*33.183*LOOKUP(N8,密度!$A$2:$A$50,密度!$E$2:$E$50)</f>
        <v>3502.4258304</v>
      </c>
      <c r="O7" s="73" ph="1">
        <f>O6*20.428*LOOKUP(O8,密度!$A$2:$A$50,密度!$C$2:$C$50)</f>
        <v>50311.273438000011</v>
      </c>
      <c r="P7" s="73" ph="1">
        <f>P6*51.53*LOOKUP(P8,密度!$A$2:$A$50,密度!$B$2:$B$50)</f>
        <v>152514.78383999999</v>
      </c>
      <c r="Q7" s="73" ph="1">
        <f>Q6*1.5*1.5*3.1416*LOOKUP(W8,密度!$A$2:$A$50,密度!$L$2:$L$50)</f>
        <v>47840.920973999993</v>
      </c>
      <c r="R7" s="73" ph="1">
        <f>R6*1.5*1.5*3.1416*LOOKUP(R8,密度!$A$2:$A$50,密度!$L$2:$L$50)</f>
        <v>17779.600099799998</v>
      </c>
      <c r="S7" s="73" ph="1">
        <f>S6*1.5*1.5*3.1416*LOOKUP(S8,密度!$A$2:$A$50,密度!$L$2:$L$50)</f>
        <v>14481.864936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17781.699473999997</v>
      </c>
      <c r="X7" s="73" ph="1">
        <f>X6*1.5*1.5*3.1416*LOOKUP(X8,密度!$A$2:$A$50,密度!$L$2:$L$50)</f>
        <v>47835.534700799995</v>
      </c>
      <c r="Y7" s="73" ph="1">
        <f>Y6*1.5*1.5*3.1416*LOOKUP(Y8,密度!$A$2:$A$50,密度!$L$2:$L$50)</f>
        <v>38081.693726999998</v>
      </c>
      <c r="Z7" s="73" ph="1">
        <f>Z6*33.183*LOOKUP(Z8,密度!$A$2:$A$50,密度!$L$2:$L$50)</f>
        <v>30893.373</v>
      </c>
      <c r="AA7" s="73" ph="1">
        <f>AA6*33.183*LOOKUP(AA8,密度!$A$2:$A$50,密度!$D$2:$D$50)</f>
        <v>65532.748323600004</v>
      </c>
      <c r="AB7" s="73" ph="1">
        <f>AB6*20.428*LOOKUP(AB8,密度!$A$2:$A$50,密度!$D$2:$D$50)</f>
        <v>24219.436800000003</v>
      </c>
      <c r="AC7" s="73" ph="1">
        <f>AC6*51.53*LOOKUP(AC8,密度!$A$2:$A$50,密度!$Q$2:$Q$50)</f>
        <v>439194.70711980003</v>
      </c>
      <c r="AD7" s="73" ph="1">
        <f>AD6*20.428*LOOKUP(AD8,密度!$A$2:$A$50,密度!$V$2:$V$50)</f>
        <v>94130.589760000003</v>
      </c>
      <c r="AE7" s="73" ph="1">
        <f>AE6*20.428</f>
        <v>90271.332000000009</v>
      </c>
    </row>
    <row r="8" spans="1:99" ph="1">
      <c r="B8" s="247" ph="1"/>
      <c r="C8" s="68" t="s" ph="1">
        <v>179</v>
      </c>
      <c r="D8" s="74">
        <v>21</v>
      </c>
      <c r="E8" s="74">
        <v>14</v>
      </c>
      <c r="F8" s="74">
        <v>16</v>
      </c>
      <c r="G8" s="74">
        <v>15</v>
      </c>
      <c r="H8" s="74">
        <v>13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16</v>
      </c>
      <c r="O8" s="74">
        <v>21</v>
      </c>
      <c r="P8" s="74">
        <v>15</v>
      </c>
      <c r="Q8" s="74">
        <v>18</v>
      </c>
      <c r="R8" s="74">
        <v>21</v>
      </c>
      <c r="S8" s="74">
        <v>17</v>
      </c>
      <c r="T8" s="74">
        <v>11</v>
      </c>
      <c r="U8" s="74">
        <v>18</v>
      </c>
      <c r="V8" s="74">
        <v>20</v>
      </c>
      <c r="W8" s="74">
        <v>17</v>
      </c>
      <c r="X8" s="74">
        <v>20</v>
      </c>
      <c r="Y8" s="74">
        <v>17</v>
      </c>
      <c r="Z8" s="74">
        <v>12</v>
      </c>
      <c r="AA8" s="74">
        <v>15</v>
      </c>
      <c r="AB8" s="74">
        <v>10</v>
      </c>
      <c r="AC8" s="74">
        <v>13</v>
      </c>
      <c r="AD8" s="74">
        <v>15</v>
      </c>
      <c r="AE8" s="74">
        <v>19</v>
      </c>
    </row>
    <row r="9" spans="1:99" ht="26.4" ph="1">
      <c r="B9" s="247" ph="1">
        <v>0.66666666666666663</v>
      </c>
      <c r="C9" s="159" t="s" ph="1">
        <v>180</v>
      </c>
      <c r="D9" s="71">
        <v>2630</v>
      </c>
      <c r="E9" s="71">
        <v>0</v>
      </c>
      <c r="F9" s="71">
        <v>5493</v>
      </c>
      <c r="G9" s="71">
        <v>1814</v>
      </c>
      <c r="H9" s="71">
        <v>7795</v>
      </c>
      <c r="I9" s="71">
        <v>27.02</v>
      </c>
      <c r="J9" s="71">
        <v>7.11</v>
      </c>
      <c r="K9" s="71">
        <v>6.91</v>
      </c>
      <c r="L9" s="71">
        <v>22.91</v>
      </c>
      <c r="M9" s="71">
        <v>2854</v>
      </c>
      <c r="N9" s="71">
        <v>131</v>
      </c>
      <c r="O9" s="71">
        <v>2214</v>
      </c>
      <c r="P9" s="71">
        <v>3468</v>
      </c>
      <c r="Q9" s="71">
        <v>7167</v>
      </c>
      <c r="R9" s="71">
        <v>5279</v>
      </c>
      <c r="S9" s="71">
        <v>2168</v>
      </c>
      <c r="T9" s="71">
        <v>2459</v>
      </c>
      <c r="U9" s="71">
        <v>0</v>
      </c>
      <c r="V9" s="71">
        <v>0</v>
      </c>
      <c r="W9" s="71">
        <v>0</v>
      </c>
      <c r="X9" s="71">
        <v>6311</v>
      </c>
      <c r="Y9" s="71">
        <v>5706</v>
      </c>
      <c r="Z9" s="71">
        <v>1849</v>
      </c>
      <c r="AA9" s="71">
        <v>1902</v>
      </c>
      <c r="AB9" s="71">
        <v>983</v>
      </c>
      <c r="AC9" s="71">
        <v>9009</v>
      </c>
      <c r="AD9" s="71">
        <v>4780</v>
      </c>
      <c r="AE9" s="71">
        <v>4182</v>
      </c>
    </row>
    <row r="10" spans="1:99" s="72" customFormat="1" ht="22.2" ph="1">
      <c r="B10" s="247" ph="1"/>
      <c r="C10" s="159" t="s" ph="1">
        <v>178</v>
      </c>
      <c r="D10" s="73" ph="1">
        <f>D9*33.183*LOOKUP(D11,密度!$A$2:$A$50,密度!$Q$2:$Q$50)</f>
        <v>82750.637178000004</v>
      </c>
      <c r="E10" s="73" ph="1">
        <f>E9*51.53*LOOKUP(E11,密度!$A$2:$A$50,密度!$B$2:$B$50)</f>
        <v>0</v>
      </c>
      <c r="F10" s="73" ph="1">
        <f>F9*33.183*LOOKUP(F11,密度!$A$2:$A$50,密度!$C$2:$C$50)</f>
        <v>203035.25254409999</v>
      </c>
      <c r="G10" s="73" ph="1">
        <f xml:space="preserve"> (G9+2)*51.53*LOOKUP(G11,密度!$A$2:$A$50,密度!$B$2:$B$50)</f>
        <v>73449.748951999994</v>
      </c>
      <c r="H10" s="73" ph="1">
        <f>(H9)*51.53*LOOKUP(H11,密度!$A$2:$A$50,密度!$B$2:$B$50)</f>
        <v>315878.28164</v>
      </c>
      <c r="I10" s="73" ph="1">
        <f>I9*290.8*1.0267</f>
        <v>8067.2090072000001</v>
      </c>
      <c r="J10" s="73" ph="1">
        <f>J9*290.8*0.7892</f>
        <v>1631.7404496000001</v>
      </c>
      <c r="K10" s="73" ph="1">
        <f>K9*290.8*1.1126</f>
        <v>2235.6895928000004</v>
      </c>
      <c r="L10" s="73" ph="1">
        <f>L9*290.8*0.777</f>
        <v>5176.5511560000004</v>
      </c>
      <c r="M10" s="73" ph="1">
        <f>M9*33.183*LOOKUP(M11,密度!$A$2:$A$50,密度!$D$2:$D$50)</f>
        <v>97677.996454800013</v>
      </c>
      <c r="N10" s="73" ph="1">
        <f>N9*33.183*LOOKUP(N11,密度!$A$2:$A$50,密度!$E$2:$E$50)</f>
        <v>3414.9819887999997</v>
      </c>
      <c r="O10" s="73" ph="1">
        <f>O9*20.428*LOOKUP(O11,密度!$A$2:$A$50,密度!$C$2:$C$50)</f>
        <v>50220.718156800009</v>
      </c>
      <c r="P10" s="73" ph="1">
        <f>P9*51.53*LOOKUP(P11,密度!$A$2:$A$50,密度!$B$2:$B$50)</f>
        <v>140123.40596400001</v>
      </c>
      <c r="Q10" s="73" ph="1">
        <f>Q9*1.5*1.5*3.1416*LOOKUP(W11,密度!$A$2:$A$50,密度!$L$2:$L$50)</f>
        <v>47469.034859400002</v>
      </c>
      <c r="R10" s="73" ph="1">
        <f>R9*1.5*1.5*3.1416*LOOKUP(R11,密度!$A$2:$A$50,密度!$L$2:$L$50)</f>
        <v>35038.915896599996</v>
      </c>
      <c r="S10" s="73" ph="1">
        <f>S9*1.5*1.5*3.1416*LOOKUP(S11,密度!$A$2:$A$50,密度!$L$2:$L$50)</f>
        <v>14512.5143856</v>
      </c>
      <c r="T10" s="73" ph="1">
        <f>T9*1.5*1.5*3.1416*LOOKUP(T11,密度!$A$2:$A$50,密度!$L$2:$L$50)</f>
        <v>16460.457967799997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42022.558393200001</v>
      </c>
      <c r="Y10" s="73" ph="1">
        <f>Y9*1.5*1.5*3.1416*LOOKUP(Y11,密度!$A$2:$A$50,密度!$L$2:$L$50)</f>
        <v>38074.759430399994</v>
      </c>
      <c r="Z10" s="73" ph="1">
        <f>Z9*33.183*LOOKUP(Z11,密度!$A$2:$A$50,密度!$L$2:$L$50)</f>
        <v>57858.111080999995</v>
      </c>
      <c r="AA10" s="73" ph="1">
        <f>AA9*33.183*LOOKUP(AA11,密度!$A$2:$A$50,密度!$D$2:$D$50)</f>
        <v>65095.847672400007</v>
      </c>
      <c r="AB10" s="73" ph="1">
        <f>AB9*20.428*LOOKUP(AB11,密度!$A$2:$A$50,密度!$D$2:$D$50)</f>
        <v>20813.670426000001</v>
      </c>
      <c r="AC10" s="73" ph="1">
        <f>AC9*51.53*LOOKUP(AC11,密度!$A$2:$A$50,密度!$Q$2:$Q$50)</f>
        <v>441955.19137770002</v>
      </c>
      <c r="AD10" s="73" ph="1">
        <f>AD9*20.428*LOOKUP(AD11,密度!$A$2:$A$50,密度!$V$2:$V$50)</f>
        <v>94130.589760000003</v>
      </c>
      <c r="AE10" s="73" ph="1">
        <f>AE9*20.428</f>
        <v>85429.896000000008</v>
      </c>
    </row>
    <row r="11" spans="1:99" ph="1">
      <c r="A11" s="64" t="s" ph="1">
        <v>162</v>
      </c>
      <c r="B11" s="247" ph="1"/>
      <c r="C11" s="159" t="s" ph="1">
        <v>179</v>
      </c>
      <c r="D11" s="74">
        <v>23</v>
      </c>
      <c r="E11" s="74">
        <v>20</v>
      </c>
      <c r="F11" s="74">
        <v>18</v>
      </c>
      <c r="G11" s="74">
        <v>19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23</v>
      </c>
      <c r="O11" s="74">
        <v>23</v>
      </c>
      <c r="P11" s="74">
        <v>20</v>
      </c>
      <c r="Q11" s="74">
        <v>21</v>
      </c>
      <c r="R11" s="74">
        <v>23</v>
      </c>
      <c r="S11" s="74">
        <v>15</v>
      </c>
      <c r="T11" s="74">
        <v>15</v>
      </c>
      <c r="U11" s="74">
        <v>21</v>
      </c>
      <c r="V11" s="74">
        <v>27</v>
      </c>
      <c r="W11" s="74">
        <v>25</v>
      </c>
      <c r="X11" s="74">
        <v>20</v>
      </c>
      <c r="Y11" s="74">
        <v>18</v>
      </c>
      <c r="Z11" s="74">
        <v>19</v>
      </c>
      <c r="AA11" s="74">
        <v>20</v>
      </c>
      <c r="AB11" s="74">
        <v>14</v>
      </c>
      <c r="AC11" s="74">
        <v>18</v>
      </c>
      <c r="AD11" s="74">
        <v>18</v>
      </c>
      <c r="AE11" s="74">
        <v>23</v>
      </c>
    </row>
    <row r="12" spans="1:99" ht="9.9" customHeight="1" ph="1"/>
    <row r="13" spans="1:99" s="72" customFormat="1" ht="29.25" customHeight="1" ph="1">
      <c r="B13" s="224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59" t="s" ph="1">
        <v>177</v>
      </c>
      <c r="D15" s="78">
        <v>5956</v>
      </c>
      <c r="E15" s="78">
        <v>6205</v>
      </c>
      <c r="F15" s="78">
        <v>1674</v>
      </c>
      <c r="G15" s="78">
        <v>4385</v>
      </c>
      <c r="H15" s="78">
        <v>4136</v>
      </c>
      <c r="I15" s="78">
        <v>1607</v>
      </c>
      <c r="J15" s="78">
        <v>3662</v>
      </c>
      <c r="K15" s="78">
        <v>2383</v>
      </c>
      <c r="L15" s="78">
        <v>4965</v>
      </c>
      <c r="M15" s="78">
        <v>6366</v>
      </c>
      <c r="N15" s="78">
        <v>2917</v>
      </c>
      <c r="O15" s="78">
        <v>1423</v>
      </c>
      <c r="P15" s="78">
        <v>7006</v>
      </c>
      <c r="Q15" s="78">
        <v>6962</v>
      </c>
      <c r="R15" s="78">
        <v>7346</v>
      </c>
      <c r="S15" s="78">
        <v>6140</v>
      </c>
      <c r="T15" s="78">
        <v>2016</v>
      </c>
      <c r="U15" s="78">
        <v>6142</v>
      </c>
      <c r="V15" s="78">
        <v>5010</v>
      </c>
      <c r="W15" s="71">
        <v>3393</v>
      </c>
      <c r="X15" s="78">
        <v>670</v>
      </c>
      <c r="Y15" s="106">
        <v>-9902</v>
      </c>
      <c r="Z15" s="78">
        <v>0</v>
      </c>
      <c r="AA15" s="78">
        <v>11</v>
      </c>
      <c r="AB15" s="78" ph="1">
        <v>1089</v>
      </c>
      <c r="AC15" s="78" ph="1">
        <v>33</v>
      </c>
      <c r="AD15" s="78">
        <v>84.52</v>
      </c>
      <c r="AE15" s="78">
        <v>34.11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59" t="s" ph="1">
        <v>178</v>
      </c>
      <c r="D16" s="73" ph="1">
        <f>D15*7.0686*LOOKUP(D17,密度!$A$2:$A$50,密度!$L$2:$L$50)</f>
        <v>39658.747867199992</v>
      </c>
      <c r="E16" s="73" ph="1">
        <f>E15*7.0686*LOOKUP(E17,密度!$A$2:$A$50,密度!$L$2:$L$50)</f>
        <v>41360.605209000001</v>
      </c>
      <c r="F16" s="73" ph="1">
        <f>F15*9.0746*LOOKUP(F17,密度!$A$2:$A$50,密度!$L$2:$L$50)</f>
        <v>14309.809336799999</v>
      </c>
      <c r="G16" s="73" ph="1">
        <f>G15*9.0746*LOOKUP(G17,密度!$A$2:$A$50,密度!$B$2:$B$50)</f>
        <v>31232.835772900002</v>
      </c>
      <c r="H16" s="73" ph="1">
        <f>H15*9.0746*LOOKUP(H17,密度!$A$2:$A$50,密度!$L$2:$L$50)</f>
        <v>35580.853228799999</v>
      </c>
      <c r="I16" s="73" ph="1">
        <f>I15*9.0746*LOOKUP(I17,密度!$A$2:$A$50,密度!$U$2:$U$50)</f>
        <v>14991.2029016</v>
      </c>
      <c r="J16" s="73" ph="1">
        <f>J15*9.0746*LOOKUP(J17,密度!$A$2:$A$50,密度!$L$2:$L$50)</f>
        <v>31403.470013999999</v>
      </c>
      <c r="K16" s="73" ph="1">
        <f>K15*9.0746*LOOKUP(K17,密度!$A$2:$A$50,密度!$C$2:$C$50)</f>
        <v>24115.945511360002</v>
      </c>
      <c r="L16" s="73" ph="1">
        <f>L15*9.0746*LOOKUP(L17,密度!$A$2:$A$50,密度!$E$2:$E$50)</f>
        <v>35706.395782500003</v>
      </c>
      <c r="M16" s="73" ph="1">
        <f>M15*9.0746*LOOKUP(M17,密度!$A$2:$A$50,密度!$M$2:$M$50)</f>
        <v>50853.965839079996</v>
      </c>
      <c r="N16" s="73" ph="1">
        <f>N15*9.0746*LOOKUP(N17,密度!$A$2:$A$50,密度!$M$2:$M$50)</f>
        <v>23302.076398460002</v>
      </c>
      <c r="O16" s="73" ph="1">
        <f>O15*9.0746*LOOKUP(O17,密度!$A$2:$A$50,密度!$G$2:$G$50)</f>
        <v>12487.021658600001</v>
      </c>
      <c r="P16" s="73" ph="1">
        <f ca="1">P15*9.0746*LOOKUP(P17,密度!$A$2:$A$51,密度!$Q$2:$Q$50)</f>
        <v>60525.604281676002</v>
      </c>
      <c r="Q16" s="73" ph="1">
        <f>Q15*9.0746*LOOKUP(Q17,密度!$A$2:$A$50,密度!$Q$2:$Q$50)</f>
        <v>60195.393562559999</v>
      </c>
      <c r="R16" s="73" ph="1">
        <f>MAX(R15*9.0746*LOOKUP(R17,密度!$A$2:$A$50,密度!$B$2:$B$50),0)</f>
        <v>52323.012904839998</v>
      </c>
      <c r="S16" s="73" ph="1">
        <f>S15*9.0746*LOOKUP(S17,密度!$A$2:$A$50,密度!$Q$2:$Q$50)</f>
        <v>53088.152323200004</v>
      </c>
      <c r="T16" s="73" ph="1">
        <f>T15*9.0746*LOOKUP(T17,密度!$A$2:$A$50,密度!$O$2:$O$50)</f>
        <v>17086.963622399999</v>
      </c>
      <c r="U16" s="73" ph="1">
        <f>U15*9.0746*LOOKUP(U17,密度!$A$2:$A$50,密度!$H$2:$H$50)</f>
        <v>51483.52165884</v>
      </c>
      <c r="V16" s="73" ph="1">
        <f>MAX(5600*LOOKUP(V17,密度!$A$2:$A$50,密度!$Q$2:$Q$50)+V15*9.0476*LOOKUP(V17,密度!$A$2:$A$50,密度!$Q$2:$Q$50),0)</f>
        <v>48484.418436759996</v>
      </c>
      <c r="W16" s="73" ph="1">
        <f>MAX(5600*LOOKUP(W17,密度!$A$2:$A$50,密度!$Q$2:$Q$50)+W15*9.0476*LOOKUP(W17,密度!$A$2:$A$50,密度!$Q$2:$Q$50),0)</f>
        <v>34528.228623363997</v>
      </c>
      <c r="X16" s="73" ph="1">
        <f>MAX(5600*LOOKUP(X17,密度!$A$2:$A$50,密度!$I$2:$I$50)+X15*9.0476*LOOKUP(X17,密度!$A$2:$A$50,密度!$I$2:$I$50),0)</f>
        <v>12024.5768412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78.828327819999998</v>
      </c>
      <c r="AB16" s="73" ph="1">
        <f>AB15*9.0746*LOOKUP(AB17,密度!$A$2:$A$50,密度!$L$2:$L$50)</f>
        <v>9358.4807118000008</v>
      </c>
      <c r="AC16" s="73" ph="1">
        <f>AC15*9.0746*LOOKUP(AC17,密度!$A$2:$A$50,密度!$L$2:$L$50)</f>
        <v>284.18924819999995</v>
      </c>
      <c r="AD16" s="73" ph="1">
        <f>AD15*268.68*LOOKUP(AD17,密度!$A$2:$A$50,密度!B2:B50)+IF(AD15&lt;=0,0,1566*LOOKUP(AD17,密度!$A$2:$A$50,密度!B2:B50))</f>
        <v>18924.660274559996</v>
      </c>
      <c r="AE16" s="73" ph="1">
        <f>AE15*268.68*LOOKUP(AE17,密度!$A$2:$A$50,密度!B2:B50)+IF(AE15&lt;=0,0,1566*LOOKUP(AE17,密度!$A$2:$A$50,密度!B2:B50))</f>
        <v>8365.6340740800006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20</v>
      </c>
      <c r="E17" s="74">
        <v>19</v>
      </c>
      <c r="F17" s="74">
        <v>20</v>
      </c>
      <c r="G17" s="74">
        <v>19</v>
      </c>
      <c r="H17" s="74">
        <v>14</v>
      </c>
      <c r="I17" s="74">
        <v>14</v>
      </c>
      <c r="J17" s="74">
        <v>17</v>
      </c>
      <c r="K17" s="74">
        <v>16</v>
      </c>
      <c r="L17" s="74">
        <v>17</v>
      </c>
      <c r="M17" s="74">
        <v>17</v>
      </c>
      <c r="N17" s="74">
        <v>18</v>
      </c>
      <c r="O17" s="74">
        <v>19</v>
      </c>
      <c r="P17" s="74">
        <v>18</v>
      </c>
      <c r="Q17" s="74">
        <v>17</v>
      </c>
      <c r="R17" s="74">
        <v>19</v>
      </c>
      <c r="S17" s="74">
        <v>17</v>
      </c>
      <c r="T17" s="74">
        <v>17</v>
      </c>
      <c r="U17" s="74">
        <v>16</v>
      </c>
      <c r="V17" s="74">
        <v>18</v>
      </c>
      <c r="W17" s="74">
        <v>19</v>
      </c>
      <c r="X17" s="74">
        <v>35</v>
      </c>
      <c r="Y17" s="108">
        <v>35</v>
      </c>
      <c r="Z17" s="74">
        <v>16</v>
      </c>
      <c r="AA17" s="74">
        <v>13</v>
      </c>
      <c r="AB17" s="74">
        <v>15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5967</v>
      </c>
      <c r="E18" s="71">
        <v>5769</v>
      </c>
      <c r="F18" s="71">
        <v>1758</v>
      </c>
      <c r="G18" s="71">
        <v>4437</v>
      </c>
      <c r="H18" s="71">
        <v>4136</v>
      </c>
      <c r="I18" s="71">
        <v>1607</v>
      </c>
      <c r="J18" s="71">
        <v>2934</v>
      </c>
      <c r="K18" s="71">
        <v>2383</v>
      </c>
      <c r="L18" s="71">
        <v>4969</v>
      </c>
      <c r="M18" s="71">
        <v>3362</v>
      </c>
      <c r="N18" s="71">
        <v>2919</v>
      </c>
      <c r="O18" s="71">
        <v>1725</v>
      </c>
      <c r="P18" s="71">
        <v>7016</v>
      </c>
      <c r="Q18" s="71">
        <v>6967</v>
      </c>
      <c r="R18" s="71">
        <v>7360</v>
      </c>
      <c r="S18" s="71">
        <v>6146</v>
      </c>
      <c r="T18" s="71">
        <v>1163</v>
      </c>
      <c r="U18" s="71">
        <v>6144</v>
      </c>
      <c r="V18" s="71">
        <v>5009</v>
      </c>
      <c r="W18" s="71">
        <v>3391</v>
      </c>
      <c r="X18" s="71">
        <v>669</v>
      </c>
      <c r="Y18" s="109">
        <v>-9903</v>
      </c>
      <c r="Z18" s="71">
        <v>0</v>
      </c>
      <c r="AA18" s="71">
        <v>9</v>
      </c>
      <c r="AB18" s="71">
        <v>1086</v>
      </c>
      <c r="AC18" s="71">
        <v>22</v>
      </c>
      <c r="AD18" s="71">
        <v>5.91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59" t="s" ph="1">
        <v>178</v>
      </c>
      <c r="D19" s="73" ph="1">
        <f>D18*7.0686*LOOKUP(D20,密度!$A$2:$A$50,密度!$L$2:$L$50)</f>
        <v>39731.992700399998</v>
      </c>
      <c r="E19" s="73" ph="1">
        <f>E18*7.0686*LOOKUP(E20,密度!$A$2:$A$50,密度!$L$2:$L$50)</f>
        <v>38372.806949400001</v>
      </c>
      <c r="F19" s="73" ph="1">
        <f>F18*9.0746*LOOKUP(F20,密度!$A$2:$A$50,密度!$L$2:$L$50)</f>
        <v>14980.004845199999</v>
      </c>
      <c r="G19" s="73" ph="1">
        <f>G18*9.0746*LOOKUP(G20,密度!$A$2:$A$50,密度!$B$2:$B$50)</f>
        <v>31534.764956640003</v>
      </c>
      <c r="H19" s="73" ph="1">
        <f>H18*9.0746*LOOKUP(H20,密度!$A$2:$A$50,密度!$L$2:$L$50)</f>
        <v>35167.995227200001</v>
      </c>
      <c r="I19" s="73" ph="1">
        <f>I18*9.0746*LOOKUP(I20,密度!$A$2:$A$50,密度!$U$2:$U$50)</f>
        <v>14991.2029016</v>
      </c>
      <c r="J19" s="73" ph="1">
        <f>J18*9.0746*LOOKUP(J20,密度!$A$2:$A$50,密度!$L$2:$L$50)</f>
        <v>25054.008692399999</v>
      </c>
      <c r="K19" s="73" ph="1">
        <f>K18*9.0746*LOOKUP(K20,密度!$A$2:$A$50,密度!$C$2:$C$50)</f>
        <v>24059.721104680004</v>
      </c>
      <c r="L19" s="73" ph="1">
        <f>L18*9.0746*LOOKUP(L20,密度!$A$2:$A$50,密度!$E$2:$E$50)</f>
        <v>35685.561408360001</v>
      </c>
      <c r="M19" s="73" ph="1">
        <f>M18*9.0746*LOOKUP(M20,密度!$A$2:$A$50,密度!$M$2:$M$50)</f>
        <v>26820.290651320003</v>
      </c>
      <c r="N19" s="73" ph="1">
        <f>N18*9.0746*LOOKUP(N20,密度!$A$2:$A$50,密度!$M$2:$M$50)</f>
        <v>23318.053139220003</v>
      </c>
      <c r="O19" s="73" ph="1">
        <f>O18*9.0746*LOOKUP(O20,密度!$A$2:$A$50,密度!$G$2:$G$50)</f>
        <v>15104.240656499998</v>
      </c>
      <c r="P19" s="73" ph="1">
        <f ca="1">P18*9.0746*LOOKUP(P20,密度!$A$2:$A$51,密度!$Q$2:$Q$50)</f>
        <v>60508.217529568006</v>
      </c>
      <c r="Q19" s="73" ph="1">
        <f>Q18*9.0746*LOOKUP(Q20,密度!$A$2:$A$50,密度!$Q$2:$Q$50)</f>
        <v>60139.365257985999</v>
      </c>
      <c r="R19" s="73" ph="1">
        <f>MAX(R18*9.0746*LOOKUP(R20,密度!$A$2:$A$50,密度!$B$2:$B$50),0)</f>
        <v>52249.078508799998</v>
      </c>
      <c r="S19" s="73" ph="1">
        <f>S18*9.0746*LOOKUP(S20,密度!$A$2:$A$50,密度!$Q$2:$Q$50)</f>
        <v>53005.060566808002</v>
      </c>
      <c r="T19" s="73" ph="1">
        <f>T18*9.0746*LOOKUP(T20,密度!$A$2:$A$50,密度!$O$2:$O$50)</f>
        <v>9705.2375120799989</v>
      </c>
      <c r="U19" s="73" ph="1">
        <f>U18*9.0746*LOOKUP(U20,密度!$A$2:$A$50,密度!$H$2:$H$50)</f>
        <v>51388.777390080002</v>
      </c>
      <c r="V19" s="73" ph="1">
        <f>MAX(5600*LOOKUP(V20,密度!$A$2:$A$50,密度!$Q$2:$Q$50)+V18*9.0476*LOOKUP(V20,密度!$A$2:$A$50,密度!$Q$2:$Q$50),0)</f>
        <v>48281.802008879997</v>
      </c>
      <c r="W19" s="73" ph="1">
        <f>MAX(5600*LOOKUP(W20,密度!$A$2:$A$50,密度!$Q$2:$Q$50)+W18*9.0476*LOOKUP(W20,密度!$A$2:$A$50,密度!$Q$2:$Q$50),0)</f>
        <v>34348.116878183995</v>
      </c>
      <c r="X19" s="73" ph="1">
        <f>MAX(5600*LOOKUP(X20,密度!$A$2:$A$50,密度!$I$2:$I$50)+X18*9.0476*LOOKUP(X20,密度!$A$2:$A$50,密度!$I$2:$I$50),0)</f>
        <v>11962.81006104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63.891536220000006</v>
      </c>
      <c r="AB19" s="73" ph="1">
        <f>AB18*9.0746*LOOKUP(AB20,密度!$A$2:$A$50,密度!$L$2:$L$50)</f>
        <v>9234.1496172000006</v>
      </c>
      <c r="AC19" s="73" ph="1">
        <f>AC18*9.0746*LOOKUP(AC20,密度!$A$2:$A$50,密度!$L$2:$L$50)</f>
        <v>187.86236919999999</v>
      </c>
      <c r="AD19" s="73" ph="1">
        <f>AD18*268.68*LOOKUP(AD20,密度!$A$2:$A$50,密度!B5:B53)+IF(AD18&lt;=0,0,1566*LOOKUP(AD20,密度!$A$2:$A$50,密度!B5:B53))</f>
        <v>2450.5793676000003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20</v>
      </c>
      <c r="E20" s="81">
        <v>21</v>
      </c>
      <c r="F20" s="81">
        <v>23</v>
      </c>
      <c r="G20" s="81">
        <v>21</v>
      </c>
      <c r="H20" s="81">
        <v>25</v>
      </c>
      <c r="I20" s="81">
        <v>21</v>
      </c>
      <c r="J20" s="81">
        <v>21</v>
      </c>
      <c r="K20" s="81">
        <v>20</v>
      </c>
      <c r="L20" s="81">
        <v>18</v>
      </c>
      <c r="M20" s="81">
        <v>21</v>
      </c>
      <c r="N20" s="81">
        <v>20</v>
      </c>
      <c r="O20" s="81">
        <v>21</v>
      </c>
      <c r="P20" s="81">
        <v>20</v>
      </c>
      <c r="Q20" s="81">
        <v>19</v>
      </c>
      <c r="R20" s="81">
        <v>22</v>
      </c>
      <c r="S20" s="81">
        <v>20</v>
      </c>
      <c r="T20" s="81">
        <v>35</v>
      </c>
      <c r="U20" s="81">
        <v>18</v>
      </c>
      <c r="V20" s="81">
        <v>23</v>
      </c>
      <c r="W20" s="81">
        <v>25</v>
      </c>
      <c r="X20" s="81">
        <v>39</v>
      </c>
      <c r="Y20" s="110">
        <v>39</v>
      </c>
      <c r="Z20" s="81">
        <v>28</v>
      </c>
      <c r="AA20" s="81">
        <v>22</v>
      </c>
      <c r="AB20" s="81">
        <v>25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647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59" t="s" ph="1">
        <v>177</v>
      </c>
      <c r="D24" s="71">
        <v>4.92</v>
      </c>
      <c r="E24" s="71">
        <v>5.62</v>
      </c>
      <c r="F24" s="71">
        <v>722</v>
      </c>
      <c r="G24" s="71">
        <v>3895</v>
      </c>
      <c r="H24" s="71">
        <v>1482</v>
      </c>
      <c r="I24" s="71">
        <v>4582</v>
      </c>
      <c r="J24" s="71">
        <v>5267</v>
      </c>
      <c r="K24" s="71">
        <v>4908</v>
      </c>
      <c r="L24" s="71">
        <v>5546</v>
      </c>
      <c r="M24" s="71">
        <v>4873</v>
      </c>
      <c r="N24" s="71">
        <v>3362</v>
      </c>
      <c r="O24" s="71">
        <v>5727</v>
      </c>
      <c r="P24" s="71">
        <v>651</v>
      </c>
      <c r="Q24" s="90">
        <v>1547</v>
      </c>
      <c r="R24" s="71">
        <v>2956</v>
      </c>
      <c r="S24" s="71">
        <v>2442</v>
      </c>
      <c r="T24" s="71">
        <v>161</v>
      </c>
      <c r="U24" s="71">
        <v>4877</v>
      </c>
      <c r="V24" s="71">
        <v>8831</v>
      </c>
      <c r="W24" s="71">
        <v>1400</v>
      </c>
      <c r="X24" s="71">
        <v>3215</v>
      </c>
      <c r="Y24" s="71">
        <v>4257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2734.0957477440002</v>
      </c>
      <c r="E25" s="91" ph="1">
        <f>E24*268.68*LOOKUP(E26,密度!$A$2:$A$50,密度!$C$2:$C$50)+IF(E24&lt;=0,0,1566*LOOKUP(E26,密度!$A$2:$A$50,密度!$C$2:$C$50))</f>
        <v>3410.9559962399999</v>
      </c>
      <c r="F25" s="91" ph="1">
        <f>F24*11.702*LOOKUP(F26,密度!$A$2:$A$50,密度!$Q$2:$Q$50)</f>
        <v>8043.3839764399991</v>
      </c>
      <c r="G25" s="91" ph="1">
        <f>G24*18.322*LOOKUP(G26,密度!$A$2:$A$50,密度!$B$2:$B$50)</f>
        <v>56070.844082999996</v>
      </c>
      <c r="H25" s="91" ph="1">
        <f>H24*18.322*LOOKUP(H26,密度!$A$2:$A$50,密度!$B$2:$B$50)</f>
        <v>21312.549819600001</v>
      </c>
      <c r="I25" s="91" ph="1">
        <f>I24*18.322*LOOKUP(I26,密度!$A$2:$A$50,密度!$Q$2:$Q$50)</f>
        <v>79785.735333520002</v>
      </c>
      <c r="J25" s="91" ph="1">
        <f>J24*18.322*LOOKUP(J26,密度!$A$2:$A$50,密度!$Q$2:$Q$50)</f>
        <v>91870.844267740002</v>
      </c>
      <c r="K25" s="91" ph="1">
        <f>K24*18.322*LOOKUP(K26,密度!$A$2:$A$50,密度!$Q$2:$Q$50)</f>
        <v>85538.764182479994</v>
      </c>
      <c r="L25" s="91" ph="1">
        <f>L24*18.322*LOOKUP(L26,密度!$A$2:$A$50,密度!$Q$2:$Q$50)</f>
        <v>96658.106388759988</v>
      </c>
      <c r="M25" s="91" ph="1">
        <f>M24*18.322*LOOKUP(M26,密度!$A$2:$A$50,密度!$Q$2:$Q$50)</f>
        <v>84998.409743060009</v>
      </c>
      <c r="N25" s="91" ph="1">
        <f>N24*18.322*LOOKUP(N26,密度!$A$2:$A$50,密度!$Q$2:$Q$50)</f>
        <v>58642.448913640001</v>
      </c>
      <c r="O25" s="91" ph="1">
        <f>O24*18.322*LOOKUP(O26,密度!$A$2:$A$50,密度!$C$2:$C$50)</f>
        <v>116944.589763</v>
      </c>
      <c r="P25" s="91" ph="1">
        <f>P24*11.702*LOOKUP(P26,密度!$A$2:$A$50,密度!$B$2:$B$50)</f>
        <v>5990.7967728000003</v>
      </c>
      <c r="Q25" s="92" ph="1">
        <f>Q24*18.322*LOOKUP(Q26,密度!$A$2:$A$50,密度!$B$2:$B$50)</f>
        <v>22269.986083799999</v>
      </c>
      <c r="R25" s="91" ph="1">
        <f>R24*35.891*LOOKUP(R26,密度!$A$2:$A$50,密度!$C$2:$C$50)</f>
        <v>118177.87936439998</v>
      </c>
      <c r="S25" s="91" ph="1">
        <f>S24*35.891*LOOKUP(S26,密度!$A$2:$A$50,密度!$B$2:$B$50)</f>
        <v>68924.674420800002</v>
      </c>
      <c r="T25" s="91" ph="1">
        <f>T24*35.891*LOOKUP(T26,密度!$A$2:$A$50,密度!$Q$2:$Q$50)</f>
        <v>5515.7626175400001</v>
      </c>
      <c r="U25" s="91" ph="1">
        <f>U24*35.891</f>
        <v>175040.40699999998</v>
      </c>
      <c r="V25" s="91" ph="1">
        <f>V24*47.051*LOOKUP(V26,密度!$A$2:$A$50,密度!$B$2:$B$50)</f>
        <v>326464.14925169997</v>
      </c>
      <c r="W25" s="91" ph="1">
        <f>W24*47.051*LOOKUP(W26,密度!$A$2:$A$50,密度!$B$2:$B$50)</f>
        <v>51649.764740000006</v>
      </c>
      <c r="X25" s="91" ph="1">
        <f>X24*47.051*LOOKUP(X26,密度!$A$2:$A$61,密度!$I$2:$I$61)</f>
        <v>154627.136023</v>
      </c>
      <c r="Y25" s="91" ph="1">
        <f>Y24*47.051*LOOKUP(Y26,密度!$A$2:$A$50,密度!$L$2:$L$50)</f>
        <v>188879.22890099999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18</v>
      </c>
      <c r="G26" s="74">
        <v>18</v>
      </c>
      <c r="H26" s="74">
        <v>19</v>
      </c>
      <c r="I26" s="74">
        <v>20</v>
      </c>
      <c r="J26" s="74">
        <v>18</v>
      </c>
      <c r="K26" s="74">
        <v>19</v>
      </c>
      <c r="L26" s="74">
        <v>19</v>
      </c>
      <c r="M26" s="74">
        <v>18</v>
      </c>
      <c r="N26" s="74">
        <v>18</v>
      </c>
      <c r="O26" s="74">
        <v>17</v>
      </c>
      <c r="P26" s="74">
        <v>17</v>
      </c>
      <c r="Q26" s="93">
        <v>18</v>
      </c>
      <c r="R26" s="74">
        <v>18</v>
      </c>
      <c r="S26" s="74">
        <v>17</v>
      </c>
      <c r="T26" s="74">
        <v>15</v>
      </c>
      <c r="U26" s="74">
        <v>17</v>
      </c>
      <c r="V26" s="74">
        <v>18</v>
      </c>
      <c r="W26" s="74">
        <v>20</v>
      </c>
      <c r="X26" s="74">
        <v>43</v>
      </c>
      <c r="Y26" s="74">
        <v>19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59" t="s" ph="1">
        <v>180</v>
      </c>
      <c r="D27" s="71">
        <v>4.92</v>
      </c>
      <c r="E27" s="71">
        <v>5.52</v>
      </c>
      <c r="F27" s="71">
        <v>720</v>
      </c>
      <c r="G27" s="71">
        <v>3434</v>
      </c>
      <c r="H27" s="71">
        <v>2504</v>
      </c>
      <c r="I27" s="71">
        <v>4581</v>
      </c>
      <c r="J27" s="71">
        <v>5266</v>
      </c>
      <c r="K27" s="71">
        <v>4906</v>
      </c>
      <c r="L27" s="71">
        <v>5541</v>
      </c>
      <c r="M27" s="71">
        <v>4872</v>
      </c>
      <c r="N27" s="71">
        <v>3358</v>
      </c>
      <c r="O27" s="71">
        <v>5724</v>
      </c>
      <c r="P27" s="71">
        <v>645</v>
      </c>
      <c r="Q27" s="90">
        <v>1780</v>
      </c>
      <c r="R27" s="71">
        <v>2953</v>
      </c>
      <c r="S27" s="71">
        <v>2438</v>
      </c>
      <c r="T27" s="71">
        <v>158</v>
      </c>
      <c r="U27" s="71">
        <v>4684</v>
      </c>
      <c r="V27" s="71">
        <v>8829</v>
      </c>
      <c r="W27" s="71">
        <v>1393</v>
      </c>
      <c r="X27" s="71">
        <v>3092</v>
      </c>
      <c r="Y27" s="71">
        <v>3722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59" t="s" ph="1">
        <v>178</v>
      </c>
      <c r="D28" s="91" ph="1">
        <f>D27*268.68*LOOKUP(D29,密度!$A$2:$A$50,密度!$Q$2:$Q$50)+IF(D27&lt;=0,0,1566*LOOKUP(D29,密度!$A$2:$A$50,密度!$Q$2:$Q$50))</f>
        <v>2734.0957477440002</v>
      </c>
      <c r="E28" s="91" ph="1">
        <f>E27*268.68*LOOKUP(E29,密度!$A$2:$A$50,密度!$C$2:$C$50)+IF(E27&lt;=0,0,1566*LOOKUP(E29,密度!$A$2:$A$50,密度!$C$2:$C$50))</f>
        <v>3381.1620710399998</v>
      </c>
      <c r="F28" s="91" ph="1">
        <f>F27*11.702*LOOKUP(F29,密度!$A$2:$A$50,密度!$Q$2:$Q$50)</f>
        <v>8014.5312912000009</v>
      </c>
      <c r="G28" s="91" ph="1">
        <f>G27*18.322*LOOKUP(G29,密度!$A$2:$A$50,密度!$B$2:$B$50)</f>
        <v>49434.4746036</v>
      </c>
      <c r="H28" s="91" ph="1">
        <f>H27*18.322*LOOKUP(H29,密度!$A$2:$A$50,密度!$B$2:$B$50)</f>
        <v>36009.868251200001</v>
      </c>
      <c r="I28" s="91" ph="1">
        <f>I27*18.322*LOOKUP(I29,密度!$A$2:$A$50,密度!$Q$2:$Q$50)</f>
        <v>79768.322471159991</v>
      </c>
      <c r="J28" s="91" ph="1">
        <f>J27*18.322*LOOKUP(J29,密度!$A$2:$A$50,密度!$Q$2:$Q$50)</f>
        <v>91778.144291960009</v>
      </c>
      <c r="K28" s="91" ph="1">
        <f>K27*18.322*LOOKUP(K29,密度!$A$2:$A$50,密度!$Q$2:$Q$50)</f>
        <v>85503.907310359995</v>
      </c>
      <c r="L28" s="91" ph="1">
        <f>L27*18.322*LOOKUP(L29,密度!$A$2:$A$50,密度!$Q$2:$Q$50)</f>
        <v>96484.670336759984</v>
      </c>
      <c r="M28" s="91" ph="1">
        <f>M27*18.322*LOOKUP(M29,密度!$A$2:$A$50,密度!$Q$2:$Q$50)</f>
        <v>84980.967015839997</v>
      </c>
      <c r="N28" s="91" ph="1">
        <f>N27*18.322*LOOKUP(N29,密度!$A$2:$A$50,密度!$Q$2:$Q$50)</f>
        <v>58524.68828948</v>
      </c>
      <c r="O28" s="91" ph="1">
        <f>O27*18.322*LOOKUP(O29,密度!$A$2:$A$50,密度!$C$2:$C$50)</f>
        <v>116684.0674128</v>
      </c>
      <c r="P28" s="91" ph="1">
        <f>P27*11.702*LOOKUP(P29,密度!$A$2:$A$50,密度!$B$2:$B$50)</f>
        <v>5911.4291279999998</v>
      </c>
      <c r="Q28" s="92" ph="1">
        <f>Q27*18.322*LOOKUP(Q29,密度!$A$2:$A$50,密度!$B$2:$B$50)</f>
        <v>25571.978756</v>
      </c>
      <c r="R28" s="91" ph="1">
        <f>R27*35.891*LOOKUP(R29,密度!$A$2:$A$50,密度!$C$2:$C$50)</f>
        <v>117845.9701637</v>
      </c>
      <c r="S28" s="91" ph="1">
        <f>S27*35.891*LOOKUP(S29,密度!$A$2:$A$50,密度!$B$2:$B$50)</f>
        <v>68610.520497799997</v>
      </c>
      <c r="T28" s="91" ph="1">
        <f>T27*35.891*LOOKUP(T29,密度!$A$2:$A$50,密度!$Q$2:$Q$50)</f>
        <v>5385.48115882</v>
      </c>
      <c r="U28" s="91" ph="1">
        <f>U27*35.891</f>
        <v>168113.44399999999</v>
      </c>
      <c r="V28" s="91" ph="1">
        <f>V27*47.051*LOOKUP(V29,密度!$A$2:$A$50,密度!$B$2:$B$50)</f>
        <v>325725.55206390005</v>
      </c>
      <c r="W28" s="91" ph="1">
        <f>W27*47.051*LOOKUP(W29,密度!$A$2:$A$50,密度!$B$2:$B$50)</f>
        <v>51443.94955070001</v>
      </c>
      <c r="X28" s="91" ph="1">
        <f>X27*47.051*LOOKUP(X29,密度!$A$2:$A$61,密度!$I$2:$I$61)</f>
        <v>148711.38556240001</v>
      </c>
      <c r="Y28" s="91" ph="1">
        <f>Y27*47.051*LOOKUP(Y29,密度!$A$2:$A$50,密度!$L$2:$L$50)</f>
        <v>164966.64032400001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59" t="s" ph="1">
        <v>179</v>
      </c>
      <c r="D29" s="74">
        <v>25</v>
      </c>
      <c r="E29" s="74">
        <v>25</v>
      </c>
      <c r="F29" s="74">
        <v>19</v>
      </c>
      <c r="G29" s="74">
        <v>18</v>
      </c>
      <c r="H29" s="74">
        <v>19</v>
      </c>
      <c r="I29" s="74">
        <v>20</v>
      </c>
      <c r="J29" s="74">
        <v>19</v>
      </c>
      <c r="K29" s="74">
        <v>19</v>
      </c>
      <c r="L29" s="74">
        <v>20</v>
      </c>
      <c r="M29" s="74">
        <v>18</v>
      </c>
      <c r="N29" s="74">
        <v>19</v>
      </c>
      <c r="O29" s="74">
        <v>20</v>
      </c>
      <c r="P29" s="74">
        <v>21</v>
      </c>
      <c r="Q29" s="93">
        <v>20</v>
      </c>
      <c r="R29" s="74">
        <v>21</v>
      </c>
      <c r="S29" s="74">
        <v>20</v>
      </c>
      <c r="T29" s="74">
        <v>21</v>
      </c>
      <c r="U29" s="74">
        <v>19</v>
      </c>
      <c r="V29" s="74">
        <v>20</v>
      </c>
      <c r="W29" s="74">
        <v>19</v>
      </c>
      <c r="X29" s="74">
        <v>43</v>
      </c>
      <c r="Y29" s="74">
        <v>20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85909.518098400004</v>
      </c>
      <c r="E33" s="196" ph="1">
        <f>M10+I10</f>
        <v>105745.20546200001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22" ph="1">
        <v>0</v>
      </c>
      <c r="H33" s="196" ph="1">
        <f>N19</f>
        <v>23318.053139220003</v>
      </c>
      <c r="I33" s="200" ph="1">
        <v>0</v>
      </c>
      <c r="J33" s="204" ph="1">
        <f>F10+O28</f>
        <v>319719.31995689997</v>
      </c>
      <c r="K33" s="196" ph="1">
        <f>O10+K10+E28+R28</f>
        <v>173683.53998434002</v>
      </c>
      <c r="L33" s="206" ph="1">
        <f>BE27</f>
        <v>7100</v>
      </c>
      <c r="M33" s="204" ph="1">
        <f>G10+H10+W28+S28+V28+E10</f>
        <v>835108.05270440003</v>
      </c>
      <c r="N33" s="196" ph="1">
        <f>L10+P10++G28+H28</f>
        <v>230744.29997480003</v>
      </c>
      <c r="O33" s="200" ph="1">
        <f>BE17</f>
        <v>2270</v>
      </c>
      <c r="P33" s="204" ph="1">
        <f>L19</f>
        <v>35685.561408360001</v>
      </c>
      <c r="Q33" s="196" ph="1">
        <f>J10+N10</f>
        <v>5046.7224384000001</v>
      </c>
      <c r="R33" s="200" ph="1">
        <f>BE23</f>
        <v>890</v>
      </c>
      <c r="S33" s="204" ph="1">
        <f>E10+X28</f>
        <v>148711.38556240001</v>
      </c>
      <c r="T33" s="196" ph="1">
        <f>X19</f>
        <v>11962.81006104</v>
      </c>
      <c r="U33" s="185" ph="1">
        <f>BE21</f>
        <v>730</v>
      </c>
      <c r="V33" s="198" ph="1">
        <f ca="1">P19+Q19+S19+M28+N28+J28</f>
        <v>408936.44295164204</v>
      </c>
      <c r="W33" s="198" ph="1">
        <f>D28+F28+V19+T28</f>
        <v>64415.910206644003</v>
      </c>
      <c r="X33" s="200" ph="1">
        <f>BE29+BE31</f>
        <v>10200</v>
      </c>
      <c r="Y33" s="202" ph="1">
        <f>+Q10+R10+S10+T10+U10+V10+W10+X10+Y10</f>
        <v>193578.24093299999</v>
      </c>
      <c r="Z33" s="183" ph="1">
        <f>D10+T19+U19+Y28+Z10</f>
        <v>366669.40348516003</v>
      </c>
      <c r="AA33" s="185" ph="1">
        <f>BE19</f>
        <v>1440</v>
      </c>
      <c r="AB33" s="187" ph="1">
        <f>I19</f>
        <v>14991.2029016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57" t="s" ph="1">
        <v>185</v>
      </c>
      <c r="AA36" s="157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40" priority="98">
      <formula>ABS(D$7-D$10)&gt;=1000</formula>
    </cfRule>
  </conditionalFormatting>
  <conditionalFormatting sqref="E4 E6:E11">
    <cfRule type="expression" dxfId="1539" priority="97">
      <formula>ABS(E$7-E$10)&gt;=1000</formula>
    </cfRule>
  </conditionalFormatting>
  <conditionalFormatting sqref="F4:F11">
    <cfRule type="expression" dxfId="1538" priority="96">
      <formula>ABS(F$7-F$10)&gt;=1000</formula>
    </cfRule>
  </conditionalFormatting>
  <conditionalFormatting sqref="G4:G11">
    <cfRule type="expression" dxfId="1537" priority="95">
      <formula>ABS(G$7-G$10)&gt;=1000</formula>
    </cfRule>
  </conditionalFormatting>
  <conditionalFormatting sqref="H4:H11">
    <cfRule type="expression" dxfId="1536" priority="94">
      <formula>ABS(H$7-H$10)&gt;=1000</formula>
    </cfRule>
  </conditionalFormatting>
  <conditionalFormatting sqref="I4:I11">
    <cfRule type="expression" dxfId="1535" priority="93">
      <formula>ABS(I$7-I$10)&gt;=1000</formula>
    </cfRule>
  </conditionalFormatting>
  <conditionalFormatting sqref="J4:J11">
    <cfRule type="expression" dxfId="1534" priority="92">
      <formula>ABS(J$7-J$10)&gt;=1000</formula>
    </cfRule>
  </conditionalFormatting>
  <conditionalFormatting sqref="K4:K11">
    <cfRule type="expression" dxfId="1533" priority="91">
      <formula>ABS(K$7-K$10)&gt;=1000</formula>
    </cfRule>
  </conditionalFormatting>
  <conditionalFormatting sqref="L4:L11">
    <cfRule type="expression" dxfId="1532" priority="90">
      <formula>ABS(L$7-L$10)&gt;=1000</formula>
    </cfRule>
  </conditionalFormatting>
  <conditionalFormatting sqref="M4 M6:M11">
    <cfRule type="expression" dxfId="1531" priority="89">
      <formula>ABS(M$7-M$10)&gt;=1000</formula>
    </cfRule>
  </conditionalFormatting>
  <conditionalFormatting sqref="N4 N6:N11">
    <cfRule type="expression" dxfId="1530" priority="88">
      <formula>ABS(N$7-N$10)&gt;=1000</formula>
    </cfRule>
  </conditionalFormatting>
  <conditionalFormatting sqref="O4 O6:O11">
    <cfRule type="expression" dxfId="1529" priority="87">
      <formula>ABS(O$7-O$10)&gt;=1000</formula>
    </cfRule>
  </conditionalFormatting>
  <conditionalFormatting sqref="P4 P6:P11">
    <cfRule type="expression" dxfId="1528" priority="86">
      <formula>ABS(P$7-P$10)&gt;=1000</formula>
    </cfRule>
  </conditionalFormatting>
  <conditionalFormatting sqref="Q4:Q11">
    <cfRule type="expression" dxfId="1527" priority="85">
      <formula>ABS(Q$7-Q$10)&gt;=1000</formula>
    </cfRule>
  </conditionalFormatting>
  <conditionalFormatting sqref="R4:R11">
    <cfRule type="expression" dxfId="1526" priority="84">
      <formula>ABS(R$7-R$10)&gt;=1000</formula>
    </cfRule>
  </conditionalFormatting>
  <conditionalFormatting sqref="S4:S11">
    <cfRule type="expression" dxfId="1525" priority="83">
      <formula>ABS(S$7-S$10)&gt;=1000</formula>
    </cfRule>
  </conditionalFormatting>
  <conditionalFormatting sqref="T4:T9 T11">
    <cfRule type="expression" dxfId="1524" priority="82">
      <formula>ABS(T$7-T$10)&gt;=1000</formula>
    </cfRule>
  </conditionalFormatting>
  <conditionalFormatting sqref="U4:U9 U11">
    <cfRule type="expression" dxfId="1523" priority="81">
      <formula>ABS(U$7-U$10)&gt;=1000</formula>
    </cfRule>
  </conditionalFormatting>
  <conditionalFormatting sqref="V4:V9 V11">
    <cfRule type="expression" dxfId="1522" priority="80">
      <formula>ABS(V$7-V$10)&gt;=1000</formula>
    </cfRule>
  </conditionalFormatting>
  <conditionalFormatting sqref="W4:W9 W11">
    <cfRule type="expression" dxfId="1521" priority="79">
      <formula>ABS(W$7-W$10)&gt;=1000</formula>
    </cfRule>
  </conditionalFormatting>
  <conditionalFormatting sqref="X4:X9 X11">
    <cfRule type="expression" dxfId="1520" priority="78">
      <formula>ABS(X$7-X$10)&gt;=1000</formula>
    </cfRule>
  </conditionalFormatting>
  <conditionalFormatting sqref="Y4:Y9 Y11">
    <cfRule type="expression" dxfId="1519" priority="77">
      <formula>ABS(Y$7-Y$10)&gt;=1000</formula>
    </cfRule>
  </conditionalFormatting>
  <conditionalFormatting sqref="Z4:Z11">
    <cfRule type="expression" dxfId="1518" priority="76">
      <formula>ABS(Z$7-Z$10)&gt;=1000</formula>
    </cfRule>
  </conditionalFormatting>
  <conditionalFormatting sqref="AA4:AA11">
    <cfRule type="expression" dxfId="1517" priority="75">
      <formula>ABS(AA$7-AA$10)&gt;=1000</formula>
    </cfRule>
  </conditionalFormatting>
  <conditionalFormatting sqref="AB4:AB11">
    <cfRule type="expression" dxfId="1516" priority="74">
      <formula>ABS(AB$7-AB$10)&gt;=1000</formula>
    </cfRule>
  </conditionalFormatting>
  <conditionalFormatting sqref="AC4 AC6:AC11">
    <cfRule type="expression" dxfId="1515" priority="73">
      <formula>ABS(AC$7-AC$10)&gt;=1000</formula>
    </cfRule>
  </conditionalFormatting>
  <conditionalFormatting sqref="AD4:AD11">
    <cfRule type="expression" dxfId="1514" priority="72">
      <formula>ABS(AD$7-AD$10)&gt;=1000</formula>
    </cfRule>
  </conditionalFormatting>
  <conditionalFormatting sqref="AE4 AE6:AE11">
    <cfRule type="expression" dxfId="1513" priority="71">
      <formula>ABS(AE$7-AE$10)&gt;=1000</formula>
    </cfRule>
  </conditionalFormatting>
  <conditionalFormatting sqref="D13:D20">
    <cfRule type="expression" dxfId="1512" priority="70">
      <formula>ABS(D$16-D$19)&gt;=1000</formula>
    </cfRule>
  </conditionalFormatting>
  <conditionalFormatting sqref="E13:E20">
    <cfRule type="expression" dxfId="1511" priority="69">
      <formula>ABS(E$16-E$19)&gt;=1000</formula>
    </cfRule>
  </conditionalFormatting>
  <conditionalFormatting sqref="F13 F15:F20">
    <cfRule type="expression" dxfId="1510" priority="68">
      <formula>ABS(F$16-F$19)&gt;=1000</formula>
    </cfRule>
  </conditionalFormatting>
  <conditionalFormatting sqref="G13:G20">
    <cfRule type="expression" dxfId="1509" priority="67">
      <formula>ABS(G$16-G$19)&gt;=1000</formula>
    </cfRule>
  </conditionalFormatting>
  <conditionalFormatting sqref="H13:H20">
    <cfRule type="expression" dxfId="1508" priority="66">
      <formula>ABS(H$16-H$19)&gt;=1000</formula>
    </cfRule>
  </conditionalFormatting>
  <conditionalFormatting sqref="I13:I20">
    <cfRule type="expression" dxfId="1507" priority="65">
      <formula>ABS(I$16-I$19)&gt;=1000</formula>
    </cfRule>
  </conditionalFormatting>
  <conditionalFormatting sqref="J13:J20">
    <cfRule type="expression" dxfId="1506" priority="64">
      <formula>ABS(J$16-J$19)&gt;=1000</formula>
    </cfRule>
  </conditionalFormatting>
  <conditionalFormatting sqref="L13:L20">
    <cfRule type="expression" dxfId="1505" priority="63">
      <formula>ABS(L$16-L$19)&gt;=1000</formula>
    </cfRule>
  </conditionalFormatting>
  <conditionalFormatting sqref="M13 M15 M17:M18 M20">
    <cfRule type="expression" dxfId="1504" priority="62">
      <formula>ABS(M$16-M$19)&gt;=1000</formula>
    </cfRule>
  </conditionalFormatting>
  <conditionalFormatting sqref="N13:N20">
    <cfRule type="expression" dxfId="1503" priority="61">
      <formula>ABS(N$16-N$19)&gt;=1000</formula>
    </cfRule>
  </conditionalFormatting>
  <conditionalFormatting sqref="O13:O20">
    <cfRule type="expression" dxfId="1502" priority="60">
      <formula>ABS(O$16-O$19)&gt;=1000</formula>
    </cfRule>
  </conditionalFormatting>
  <conditionalFormatting sqref="P13:P20">
    <cfRule type="expression" dxfId="1501" priority="59">
      <formula>ABS(P$16-P$19)&gt;=1000</formula>
    </cfRule>
  </conditionalFormatting>
  <conditionalFormatting sqref="Q13 Q15:Q20">
    <cfRule type="expression" dxfId="1500" priority="58">
      <formula>ABS(Q$16-Q$19)&gt;=1000</formula>
    </cfRule>
  </conditionalFormatting>
  <conditionalFormatting sqref="R13:R20">
    <cfRule type="expression" dxfId="1499" priority="57">
      <formula>ABS(R$16-R$19)&gt;=1000</formula>
    </cfRule>
  </conditionalFormatting>
  <conditionalFormatting sqref="S13:S20">
    <cfRule type="expression" dxfId="1498" priority="56">
      <formula>ABS(S$16-S$19)&gt;=1000</formula>
    </cfRule>
  </conditionalFormatting>
  <conditionalFormatting sqref="T13:T20">
    <cfRule type="expression" dxfId="1497" priority="55">
      <formula>ABS(T$16-T$19)&gt;=1000</formula>
    </cfRule>
  </conditionalFormatting>
  <conditionalFormatting sqref="U13:U20">
    <cfRule type="expression" dxfId="1496" priority="54">
      <formula>ABS(U$16-U$19)&gt;=1000</formula>
    </cfRule>
  </conditionalFormatting>
  <conditionalFormatting sqref="V13:V20">
    <cfRule type="expression" dxfId="1495" priority="53">
      <formula>ABS(V$16-V$19)&gt;=1000</formula>
    </cfRule>
  </conditionalFormatting>
  <conditionalFormatting sqref="W13 W20 W15:W18">
    <cfRule type="expression" dxfId="1494" priority="52">
      <formula>ABS(W$16-W$19)&gt;=1000</formula>
    </cfRule>
  </conditionalFormatting>
  <conditionalFormatting sqref="X13 X15:X20 Y19">
    <cfRule type="expression" dxfId="1493" priority="51">
      <formula>ABS(X$16-X$19)&gt;=1000</formula>
    </cfRule>
  </conditionalFormatting>
  <conditionalFormatting sqref="Y13 Y15:Y18 Y20">
    <cfRule type="expression" dxfId="1492" priority="50">
      <formula>ABS(Y$16-Y$19)&gt;=1000</formula>
    </cfRule>
  </conditionalFormatting>
  <conditionalFormatting sqref="Z13:Z20">
    <cfRule type="expression" dxfId="1491" priority="49">
      <formula>ABS(Z$16-Z$19)&gt;=1000</formula>
    </cfRule>
  </conditionalFormatting>
  <conditionalFormatting sqref="AA13:AA20">
    <cfRule type="expression" dxfId="1490" priority="48">
      <formula>ABS(AA$16-AA$19)&gt;=1000</formula>
    </cfRule>
  </conditionalFormatting>
  <conditionalFormatting sqref="AB13 AB15:AB20">
    <cfRule type="expression" dxfId="1489" priority="47">
      <formula>ABS(AB$16-AB$19)&gt;=1000</formula>
    </cfRule>
  </conditionalFormatting>
  <conditionalFormatting sqref="AC13 AC15:AC20">
    <cfRule type="expression" dxfId="1488" priority="46">
      <formula>ABS(AC$16-AC$19)&gt;=1000</formula>
    </cfRule>
  </conditionalFormatting>
  <conditionalFormatting sqref="AD13:AD20">
    <cfRule type="expression" dxfId="1487" priority="45">
      <formula>ABS(AD$16-AD$19)&gt;=1000</formula>
    </cfRule>
  </conditionalFormatting>
  <conditionalFormatting sqref="AE13:AE20">
    <cfRule type="expression" dxfId="1486" priority="44">
      <formula>ABS(AE$16-AE$19)&gt;=1000</formula>
    </cfRule>
  </conditionalFormatting>
  <conditionalFormatting sqref="D22:D29">
    <cfRule type="expression" dxfId="1485" priority="43">
      <formula>ABS(D$25-D$28)&gt;=1000</formula>
    </cfRule>
  </conditionalFormatting>
  <conditionalFormatting sqref="E22:E29">
    <cfRule type="expression" dxfId="1484" priority="42">
      <formula>ABS(E$25-E$28)&gt;=1000</formula>
    </cfRule>
  </conditionalFormatting>
  <conditionalFormatting sqref="F22:F29">
    <cfRule type="expression" dxfId="1483" priority="41">
      <formula>ABS(F$25-F$28)&gt;=1000</formula>
    </cfRule>
  </conditionalFormatting>
  <conditionalFormatting sqref="G22:G29">
    <cfRule type="expression" dxfId="1482" priority="40">
      <formula>ABS(G$25-G$28)&gt;=1000</formula>
    </cfRule>
  </conditionalFormatting>
  <conditionalFormatting sqref="H22:H29">
    <cfRule type="expression" dxfId="1481" priority="39">
      <formula>ABS(H$25-H$28)&gt;=1000</formula>
    </cfRule>
  </conditionalFormatting>
  <conditionalFormatting sqref="I22 I24:I29">
    <cfRule type="expression" dxfId="1480" priority="38">
      <formula>ABS(I$25-I$28)&gt;=1000</formula>
    </cfRule>
  </conditionalFormatting>
  <conditionalFormatting sqref="J22:J29 K22">
    <cfRule type="expression" dxfId="1479" priority="37">
      <formula>ABS(J$25-J$28)&gt;=1000</formula>
    </cfRule>
  </conditionalFormatting>
  <conditionalFormatting sqref="K23:K29 L25 L28">
    <cfRule type="expression" dxfId="1478" priority="36">
      <formula>ABS(K$25-K$28)&gt;=1000</formula>
    </cfRule>
  </conditionalFormatting>
  <conditionalFormatting sqref="L22 L26:L27 L29 L24">
    <cfRule type="expression" dxfId="1477" priority="35">
      <formula>ABS(L$25-L$28)&gt;=1000</formula>
    </cfRule>
  </conditionalFormatting>
  <conditionalFormatting sqref="M22:M29">
    <cfRule type="expression" dxfId="1476" priority="34">
      <formula>ABS(M$25-M$28)&gt;=1000</formula>
    </cfRule>
  </conditionalFormatting>
  <conditionalFormatting sqref="N22:N29">
    <cfRule type="expression" dxfId="1475" priority="33">
      <formula>ABS(N$25-N$28)&gt;=1000</formula>
    </cfRule>
  </conditionalFormatting>
  <conditionalFormatting sqref="O22:O29">
    <cfRule type="expression" dxfId="1474" priority="32">
      <formula>ABS(O$25-O$28)&gt;=1000</formula>
    </cfRule>
  </conditionalFormatting>
  <conditionalFormatting sqref="P22:P29">
    <cfRule type="expression" dxfId="1473" priority="31">
      <formula>ABS(P$25-P$28)&gt;=1000</formula>
    </cfRule>
  </conditionalFormatting>
  <conditionalFormatting sqref="Q22:Q29">
    <cfRule type="expression" dxfId="1472" priority="30">
      <formula>ABS(Q$25-Q$28)&gt;=1000</formula>
    </cfRule>
  </conditionalFormatting>
  <conditionalFormatting sqref="R22:R29">
    <cfRule type="expression" dxfId="1471" priority="29">
      <formula>ABS(R$25-R$28)&gt;=1000</formula>
    </cfRule>
  </conditionalFormatting>
  <conditionalFormatting sqref="S22:S29">
    <cfRule type="expression" dxfId="1470" priority="28">
      <formula>ABS(S$25-S$28)&gt;=1000</formula>
    </cfRule>
  </conditionalFormatting>
  <conditionalFormatting sqref="T22:T29">
    <cfRule type="expression" dxfId="1469" priority="27">
      <formula>ABS(T$25-T$28)&gt;=1000</formula>
    </cfRule>
  </conditionalFormatting>
  <conditionalFormatting sqref="U22:U29">
    <cfRule type="expression" dxfId="1468" priority="26">
      <formula>ABS(U$25-U$28)&gt;=1000</formula>
    </cfRule>
  </conditionalFormatting>
  <conditionalFormatting sqref="V22:V29">
    <cfRule type="expression" dxfId="1467" priority="25">
      <formula>ABS(V$25-V$28)&gt;=1000</formula>
    </cfRule>
  </conditionalFormatting>
  <conditionalFormatting sqref="W22:W29">
    <cfRule type="expression" dxfId="1466" priority="24">
      <formula>ABS(W$25-W$28)&gt;=1000</formula>
    </cfRule>
  </conditionalFormatting>
  <conditionalFormatting sqref="X22:X29">
    <cfRule type="expression" dxfId="1465" priority="23">
      <formula>ABS(X$25-X$28)&gt;=1000</formula>
    </cfRule>
  </conditionalFormatting>
  <conditionalFormatting sqref="Y22:Y29">
    <cfRule type="expression" dxfId="1464" priority="22">
      <formula>ABS(Y$25-Y$28)&gt;=1000</formula>
    </cfRule>
  </conditionalFormatting>
  <conditionalFormatting sqref="I23">
    <cfRule type="expression" dxfId="1463" priority="21">
      <formula>ABS(I$25-I$28)&gt;=1000</formula>
    </cfRule>
  </conditionalFormatting>
  <conditionalFormatting sqref="Q14">
    <cfRule type="expression" dxfId="1462" priority="20">
      <formula>ABS(Q$16-Q$19)&gt;=1000</formula>
    </cfRule>
  </conditionalFormatting>
  <conditionalFormatting sqref="W14">
    <cfRule type="expression" dxfId="1461" priority="19">
      <formula>ABS(W$16-W$19)&gt;=1000</formula>
    </cfRule>
  </conditionalFormatting>
  <conditionalFormatting sqref="Y14">
    <cfRule type="expression" dxfId="1460" priority="18">
      <formula>ABS(Y$16-Y$19)&gt;=1000</formula>
    </cfRule>
  </conditionalFormatting>
  <conditionalFormatting sqref="X14">
    <cfRule type="expression" dxfId="1459" priority="17">
      <formula>ABS(X$16-X$19)&gt;=1000</formula>
    </cfRule>
  </conditionalFormatting>
  <conditionalFormatting sqref="T10:Y10">
    <cfRule type="expression" dxfId="1458" priority="16">
      <formula>ABS(T$7-T$10)&gt;=1000</formula>
    </cfRule>
  </conditionalFormatting>
  <conditionalFormatting sqref="W19">
    <cfRule type="expression" dxfId="1457" priority="15">
      <formula>ABS(W$16-W$19)&gt;=1000</formula>
    </cfRule>
  </conditionalFormatting>
  <conditionalFormatting sqref="AC5">
    <cfRule type="expression" dxfId="1456" priority="14">
      <formula>ABS(AC$7-AC$10)&gt;=1000</formula>
    </cfRule>
  </conditionalFormatting>
  <conditionalFormatting sqref="M14">
    <cfRule type="expression" dxfId="1455" priority="13">
      <formula>ABS(M$16-M$19)&gt;=1000</formula>
    </cfRule>
  </conditionalFormatting>
  <conditionalFormatting sqref="M16">
    <cfRule type="expression" dxfId="1454" priority="12">
      <formula>ABS(M$16-M$19)&gt;=1000</formula>
    </cfRule>
  </conditionalFormatting>
  <conditionalFormatting sqref="M19">
    <cfRule type="expression" dxfId="1453" priority="11">
      <formula>ABS(M$16-M$19)&gt;=1000</formula>
    </cfRule>
  </conditionalFormatting>
  <conditionalFormatting sqref="K13:K20">
    <cfRule type="expression" dxfId="1452" priority="10">
      <formula>ABS(K$16-K$19)&gt;=1000</formula>
    </cfRule>
  </conditionalFormatting>
  <conditionalFormatting sqref="E5">
    <cfRule type="expression" dxfId="1451" priority="9">
      <formula>ABS(E$7-E$10)&gt;=1000</formula>
    </cfRule>
  </conditionalFormatting>
  <conditionalFormatting sqref="AB14:AC14">
    <cfRule type="expression" dxfId="1450" priority="8">
      <formula>ABS(AB$16-AB$19)&gt;=1000</formula>
    </cfRule>
  </conditionalFormatting>
  <conditionalFormatting sqref="M5">
    <cfRule type="expression" dxfId="1449" priority="7">
      <formula>ABS(M$7-M$10)&gt;=1000</formula>
    </cfRule>
  </conditionalFormatting>
  <conditionalFormatting sqref="N5">
    <cfRule type="expression" dxfId="1448" priority="6">
      <formula>ABS(N$7-N$10)&gt;=1000</formula>
    </cfRule>
  </conditionalFormatting>
  <conditionalFormatting sqref="O5">
    <cfRule type="expression" dxfId="1447" priority="5">
      <formula>ABS(O$7-O$10)&gt;=1000</formula>
    </cfRule>
  </conditionalFormatting>
  <conditionalFormatting sqref="P5">
    <cfRule type="expression" dxfId="1446" priority="4">
      <formula>ABS(P$7-P$10)&gt;=1000</formula>
    </cfRule>
  </conditionalFormatting>
  <conditionalFormatting sqref="L23">
    <cfRule type="expression" dxfId="1445" priority="3">
      <formula>ABS(L$25-L$28)&gt;=1000</formula>
    </cfRule>
  </conditionalFormatting>
  <conditionalFormatting sqref="F14">
    <cfRule type="expression" dxfId="1444" priority="2">
      <formula>ABS(F$16-F$19)&gt;=1000</formula>
    </cfRule>
  </conditionalFormatting>
  <conditionalFormatting sqref="AE5">
    <cfRule type="expression" dxfId="1443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13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86">
    <pageSetUpPr fitToPage="1"/>
  </sheetPr>
  <dimension ref="A1:CU223"/>
  <sheetViews>
    <sheetView view="pageBreakPreview" topLeftCell="A13" zoomScale="70" zoomScaleNormal="100" zoomScaleSheetLayoutView="70" workbookViewId="0">
      <selection activeCell="U24" sqref="U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46007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60" t="s" ph="1">
        <v>177</v>
      </c>
      <c r="D6" s="71">
        <v>3396</v>
      </c>
      <c r="E6" s="71">
        <v>0</v>
      </c>
      <c r="F6" s="71">
        <v>5494</v>
      </c>
      <c r="G6" s="71">
        <v>2292</v>
      </c>
      <c r="H6" s="71">
        <v>7245</v>
      </c>
      <c r="I6" s="71">
        <v>27.11</v>
      </c>
      <c r="J6" s="71">
        <v>7.02</v>
      </c>
      <c r="K6" s="71">
        <v>6.82</v>
      </c>
      <c r="L6" s="71">
        <v>8.02</v>
      </c>
      <c r="M6" s="71">
        <v>2857</v>
      </c>
      <c r="N6" s="71">
        <v>130</v>
      </c>
      <c r="O6" s="71">
        <v>2214</v>
      </c>
      <c r="P6" s="71">
        <v>3886</v>
      </c>
      <c r="Q6" s="71">
        <v>7165</v>
      </c>
      <c r="R6" s="71">
        <v>5277</v>
      </c>
      <c r="S6" s="71">
        <v>2169</v>
      </c>
      <c r="T6" s="71">
        <v>2459</v>
      </c>
      <c r="U6" s="71">
        <v>0</v>
      </c>
      <c r="V6" s="71">
        <v>0</v>
      </c>
      <c r="W6" s="71">
        <v>0</v>
      </c>
      <c r="X6" s="71">
        <v>2421</v>
      </c>
      <c r="Y6" s="71">
        <v>5704</v>
      </c>
      <c r="Z6" s="71">
        <v>2673</v>
      </c>
      <c r="AA6" s="71">
        <v>1907</v>
      </c>
      <c r="AB6" s="71">
        <v>985</v>
      </c>
      <c r="AC6" s="71">
        <v>8563</v>
      </c>
      <c r="AD6" s="71">
        <v>4780</v>
      </c>
      <c r="AE6" s="71">
        <v>4285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106687.62693432</v>
      </c>
      <c r="E7" s="73" ph="1">
        <f>E6*51.53*LOOKUP(E8,密度!$A$2:$A$50,密度!$B$2:$B$50)</f>
        <v>0</v>
      </c>
      <c r="F7" s="73" ph="1">
        <f>F6*33.183*LOOKUP(F8,密度!$A$2:$A$50,密度!$C$2:$C$50)</f>
        <v>203309.2147104</v>
      </c>
      <c r="G7" s="73" ph="1">
        <f xml:space="preserve"> (G6+2)*51.53*LOOKUP(G8,密度!$A$2:$A$50,密度!$B$2:$B$50)</f>
        <v>92960.202448000011</v>
      </c>
      <c r="H7" s="73" ph="1">
        <f>(H6)*51.53*LOOKUP(H8,密度!$A$2:$A$50,密度!$B$2:$B$50)</f>
        <v>294187.86180000001</v>
      </c>
      <c r="I7" s="73" ph="1">
        <f>I6*290.8*1.0267</f>
        <v>8094.0797995999992</v>
      </c>
      <c r="J7" s="73" ph="1">
        <f>J6*290.8*0.7892</f>
        <v>1611.0855071999999</v>
      </c>
      <c r="K7" s="73" ph="1">
        <f>K6*290.8*1.1126</f>
        <v>2206.5706256000003</v>
      </c>
      <c r="L7" s="73" ph="1">
        <f>L6*290.8*0.777</f>
        <v>1812.131832</v>
      </c>
      <c r="M7" s="73" ph="1">
        <f>M6*33.183*LOOKUP(M8,密度!$A$2:$A$50,密度!$D$2:$D$50)</f>
        <v>97941.837806099997</v>
      </c>
      <c r="N7" s="73" ph="1">
        <f>N6*33.183*LOOKUP(N8,密度!$A$2:$A$50,密度!$E$2:$E$50)</f>
        <v>3418.6785749999999</v>
      </c>
      <c r="O7" s="73" ph="1">
        <f>O6*20.428*LOOKUP(O8,密度!$A$2:$A$50,密度!$C$2:$C$50)</f>
        <v>50252.377471200001</v>
      </c>
      <c r="P7" s="73" ph="1">
        <f>P6*51.53*LOOKUP(P8,密度!$A$2:$A$50,密度!$B$2:$B$50)</f>
        <v>157473.12411200002</v>
      </c>
      <c r="Q7" s="73" ph="1">
        <f>Q6*1.5*1.5*3.1416*LOOKUP(W8,密度!$A$2:$A$50,密度!$L$2:$L$50)</f>
        <v>47860.960455</v>
      </c>
      <c r="R7" s="73" ph="1">
        <f>R6*1.5*1.5*3.1416*LOOKUP(R8,密度!$A$2:$A$50,密度!$L$2:$L$50)</f>
        <v>35062.942068000004</v>
      </c>
      <c r="S7" s="73" ph="1">
        <f>S6*1.5*1.5*3.1416*LOOKUP(S8,密度!$A$2:$A$50,密度!$L$2:$L$50)</f>
        <v>14457.8811762</v>
      </c>
      <c r="T7" s="73" ph="1">
        <f>T6*1.5*1.5*3.1416*LOOKUP(T8,密度!$A$2:$A$50,密度!$L$2:$L$50)</f>
        <v>16495.221342599998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16137.635005800001</v>
      </c>
      <c r="Y7" s="73" ph="1">
        <f>Y6*1.5*1.5*3.1416*LOOKUP(Y8,密度!$A$2:$A$50,密度!$L$2:$L$50)</f>
        <v>38061.413913599994</v>
      </c>
      <c r="Z7" s="73" ph="1">
        <f>Z6*33.183*LOOKUP(Z8,密度!$A$2:$A$50,密度!$L$2:$L$50)</f>
        <v>83731.062095999994</v>
      </c>
      <c r="AA7" s="73" ph="1">
        <f>AA6*33.183*LOOKUP(AA8,密度!$A$2:$A$50,密度!$D$2:$D$50)</f>
        <v>65482.124338799993</v>
      </c>
      <c r="AB7" s="73" ph="1">
        <f>AB6*20.428*LOOKUP(AB8,密度!$A$2:$A$50,密度!$D$2:$D$50)</f>
        <v>20908.333778</v>
      </c>
      <c r="AC7" s="73" ph="1">
        <f>AC6*51.53*LOOKUP(AC8,密度!$A$2:$A$50,密度!$Q$2:$Q$50)</f>
        <v>421192.10181060003</v>
      </c>
      <c r="AD7" s="73" ph="1">
        <f>AD6*20.428*LOOKUP(AD8,密度!$A$2:$A$50,密度!$V$2:$V$50)</f>
        <v>94130.589760000003</v>
      </c>
      <c r="AE7" s="73" ph="1">
        <f>AE6*20.428</f>
        <v>87533.98000000001</v>
      </c>
    </row>
    <row r="8" spans="1:99" ph="1">
      <c r="B8" s="247" ph="1"/>
      <c r="C8" s="68" t="s" ph="1">
        <v>179</v>
      </c>
      <c r="D8" s="74">
        <v>25</v>
      </c>
      <c r="E8" s="74">
        <v>15</v>
      </c>
      <c r="F8" s="74">
        <v>16</v>
      </c>
      <c r="G8" s="74">
        <v>17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17</v>
      </c>
      <c r="O8" s="74">
        <v>22</v>
      </c>
      <c r="P8" s="74">
        <v>17</v>
      </c>
      <c r="Q8" s="74">
        <v>19</v>
      </c>
      <c r="R8" s="74">
        <v>22</v>
      </c>
      <c r="S8" s="74">
        <v>19</v>
      </c>
      <c r="T8" s="74">
        <v>13</v>
      </c>
      <c r="U8" s="74">
        <v>18</v>
      </c>
      <c r="V8" s="74">
        <v>20</v>
      </c>
      <c r="W8" s="74">
        <v>17</v>
      </c>
      <c r="X8" s="74">
        <v>19</v>
      </c>
      <c r="Y8" s="74">
        <v>18</v>
      </c>
      <c r="Z8" s="74">
        <v>18</v>
      </c>
      <c r="AA8" s="74">
        <v>16</v>
      </c>
      <c r="AB8" s="74">
        <v>11</v>
      </c>
      <c r="AC8" s="74">
        <v>15</v>
      </c>
      <c r="AD8" s="74">
        <v>16</v>
      </c>
      <c r="AE8" s="74">
        <v>20</v>
      </c>
    </row>
    <row r="9" spans="1:99" ht="26.4" ph="1">
      <c r="B9" s="247" ph="1">
        <v>0.66666666666666663</v>
      </c>
      <c r="C9" s="160" t="s" ph="1">
        <v>180</v>
      </c>
      <c r="D9" s="71">
        <v>3782</v>
      </c>
      <c r="E9" s="71">
        <v>115</v>
      </c>
      <c r="F9" s="71">
        <v>5019</v>
      </c>
      <c r="G9" s="71">
        <v>3141</v>
      </c>
      <c r="H9" s="71">
        <v>6967</v>
      </c>
      <c r="I9" s="71">
        <v>27.12</v>
      </c>
      <c r="J9" s="71">
        <v>7.11</v>
      </c>
      <c r="K9" s="71">
        <v>6.91</v>
      </c>
      <c r="L9" s="71">
        <v>86.72</v>
      </c>
      <c r="M9" s="71">
        <v>2855</v>
      </c>
      <c r="N9" s="71">
        <v>129</v>
      </c>
      <c r="O9" s="71">
        <v>1724</v>
      </c>
      <c r="P9" s="71">
        <v>3351</v>
      </c>
      <c r="Q9" s="71">
        <v>7174</v>
      </c>
      <c r="R9" s="71">
        <v>7126</v>
      </c>
      <c r="S9" s="71">
        <v>4878</v>
      </c>
      <c r="T9" s="71">
        <v>4226</v>
      </c>
      <c r="U9" s="71">
        <v>0</v>
      </c>
      <c r="V9" s="71">
        <v>0</v>
      </c>
      <c r="W9" s="71">
        <v>0</v>
      </c>
      <c r="X9" s="71">
        <v>0</v>
      </c>
      <c r="Y9" s="71">
        <v>4590</v>
      </c>
      <c r="Z9" s="71">
        <v>3437</v>
      </c>
      <c r="AA9" s="71">
        <v>2364</v>
      </c>
      <c r="AB9" s="71">
        <v>677</v>
      </c>
      <c r="AC9" s="71">
        <v>8988</v>
      </c>
      <c r="AD9" s="71">
        <v>4780</v>
      </c>
      <c r="AE9" s="71">
        <v>4257</v>
      </c>
    </row>
    <row r="10" spans="1:99" s="72" customFormat="1" ht="22.2" ph="1">
      <c r="B10" s="247" ph="1"/>
      <c r="C10" s="160" t="s" ph="1">
        <v>178</v>
      </c>
      <c r="D10" s="73" ph="1">
        <f>D9*33.183*LOOKUP(D11,密度!$A$2:$A$50,密度!$Q$2:$Q$50)</f>
        <v>118814.07687444</v>
      </c>
      <c r="E10" s="73" ph="1">
        <f>E9*51.53*LOOKUP(E11,密度!$A$2:$A$50,密度!$B$2:$B$50)</f>
        <v>4646.5373950000003</v>
      </c>
      <c r="F10" s="73" ph="1">
        <f>F9*33.183*LOOKUP(F11,密度!$A$2:$A$50,密度!$C$2:$C$50)</f>
        <v>185614.93411650002</v>
      </c>
      <c r="G10" s="73" ph="1">
        <f xml:space="preserve"> (G9+2)*51.53*LOOKUP(G11,密度!$A$2:$A$50,密度!$B$2:$B$50)</f>
        <v>127251.021303</v>
      </c>
      <c r="H10" s="73" ph="1">
        <f>(H9)*51.53*LOOKUP(H11,密度!$A$2:$A$50,密度!$B$2:$B$50)</f>
        <v>282325.07866400003</v>
      </c>
      <c r="I10" s="73" ph="1">
        <f>I9*290.8*1.0267</f>
        <v>8097.065443200001</v>
      </c>
      <c r="J10" s="73" ph="1">
        <f>J9*290.8*0.7892</f>
        <v>1631.7404496000001</v>
      </c>
      <c r="K10" s="73" ph="1">
        <f>K9*290.8*1.1126</f>
        <v>2235.6895928000004</v>
      </c>
      <c r="L10" s="73" ph="1">
        <f>L9*290.8*0.777</f>
        <v>19594.522752000001</v>
      </c>
      <c r="M10" s="73" ph="1">
        <f>M9*33.183*LOOKUP(M11,密度!$A$2:$A$50,密度!$D$2:$D$50)</f>
        <v>97712.221401000003</v>
      </c>
      <c r="N10" s="73" ph="1">
        <f>N9*33.183*LOOKUP(N11,密度!$A$2:$A$50,密度!$E$2:$E$50)</f>
        <v>3373.118316</v>
      </c>
      <c r="O10" s="73" ph="1">
        <f>O9*20.428*LOOKUP(O11,密度!$A$2:$A$50,密度!$C$2:$C$50)</f>
        <v>39105.925068800003</v>
      </c>
      <c r="P10" s="73" ph="1">
        <f>P9*51.53*LOOKUP(P11,密度!$A$2:$A$50,密度!$B$2:$B$50)</f>
        <v>135534.200847</v>
      </c>
      <c r="Q10" s="73" ph="1">
        <f>Q9*1.5*1.5*3.1416*LOOKUP(W11,密度!$A$2:$A$50,密度!$L$2:$L$50)</f>
        <v>47413.977533999998</v>
      </c>
      <c r="R10" s="73" ph="1">
        <f>R9*1.5*1.5*3.1416*LOOKUP(R11,密度!$A$2:$A$50,密度!$L$2:$L$50)</f>
        <v>47247.8512968</v>
      </c>
      <c r="S10" s="73" ph="1">
        <f>S9*1.5*1.5*3.1416*LOOKUP(S11,密度!$A$2:$A$50,密度!$L$2:$L$50)</f>
        <v>32618.676736799996</v>
      </c>
      <c r="T10" s="73" ph="1">
        <f>T9*1.5*1.5*3.1416*LOOKUP(T11,密度!$A$2:$A$50,密度!$L$2:$L$50)</f>
        <v>28258.820805599997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30627.961055999996</v>
      </c>
      <c r="Z10" s="73" ph="1">
        <f>Z9*33.183*LOOKUP(Z11,密度!$A$2:$A$50,密度!$L$2:$L$50)</f>
        <v>107549.122653</v>
      </c>
      <c r="AA10" s="73" ph="1">
        <f>AA9*33.183*LOOKUP(AA11,密度!$A$2:$A$50,密度!$D$2:$D$50)</f>
        <v>80907.772816800003</v>
      </c>
      <c r="AB10" s="73" ph="1">
        <f>AB9*20.428*LOOKUP(AB11,密度!$A$2:$A$50,密度!$D$2:$D$50)</f>
        <v>14322.095313600003</v>
      </c>
      <c r="AC10" s="73" ph="1">
        <f>AC9*51.53*LOOKUP(AC11,密度!$A$2:$A$50,密度!$Q$2:$Q$50)</f>
        <v>440563.73451720004</v>
      </c>
      <c r="AD10" s="73" ph="1">
        <f>AD9*20.428*LOOKUP(AD11,密度!$A$2:$A$50,密度!$V$2:$V$50)</f>
        <v>94130.589760000003</v>
      </c>
      <c r="AE10" s="73" ph="1">
        <f>AE9*20.428</f>
        <v>86961.995999999999</v>
      </c>
    </row>
    <row r="11" spans="1:99" ph="1">
      <c r="A11" s="64" t="s" ph="1">
        <v>162</v>
      </c>
      <c r="B11" s="247" ph="1"/>
      <c r="C11" s="160" t="s" ph="1">
        <v>179</v>
      </c>
      <c r="D11" s="74">
        <v>25</v>
      </c>
      <c r="E11" s="74">
        <v>20</v>
      </c>
      <c r="F11" s="74">
        <v>17</v>
      </c>
      <c r="G11" s="74">
        <v>18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21</v>
      </c>
      <c r="O11" s="74">
        <v>23</v>
      </c>
      <c r="P11" s="74">
        <v>19</v>
      </c>
      <c r="Q11" s="74">
        <v>21</v>
      </c>
      <c r="R11" s="74">
        <v>24</v>
      </c>
      <c r="S11" s="74">
        <v>16</v>
      </c>
      <c r="T11" s="74">
        <v>16</v>
      </c>
      <c r="U11" s="74">
        <v>21</v>
      </c>
      <c r="V11" s="74">
        <v>25</v>
      </c>
      <c r="W11" s="74">
        <v>27</v>
      </c>
      <c r="X11" s="74">
        <v>20</v>
      </c>
      <c r="Y11" s="74">
        <v>18</v>
      </c>
      <c r="Z11" s="74">
        <v>19</v>
      </c>
      <c r="AA11" s="74">
        <v>20</v>
      </c>
      <c r="AB11" s="74">
        <v>15</v>
      </c>
      <c r="AC11" s="74">
        <v>19</v>
      </c>
      <c r="AD11" s="74">
        <v>18</v>
      </c>
      <c r="AE11" s="74">
        <v>22</v>
      </c>
    </row>
    <row r="12" spans="1:99" ht="9.9" customHeight="1" ph="1"/>
    <row r="13" spans="1:99" s="72" customFormat="1" ht="29.25" customHeight="1" ph="1">
      <c r="B13" s="224" t="s" ph="1">
        <v>37</v>
      </c>
      <c r="C13" s="16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60" t="s" ph="1">
        <v>177</v>
      </c>
      <c r="D15" s="78">
        <v>5962</v>
      </c>
      <c r="E15" s="78">
        <v>5426</v>
      </c>
      <c r="F15" s="78">
        <v>2030</v>
      </c>
      <c r="G15" s="78">
        <v>4523</v>
      </c>
      <c r="H15" s="78">
        <v>4136</v>
      </c>
      <c r="I15" s="78">
        <v>1607</v>
      </c>
      <c r="J15" s="78">
        <v>2991</v>
      </c>
      <c r="K15" s="78">
        <v>2383</v>
      </c>
      <c r="L15" s="78">
        <v>4962</v>
      </c>
      <c r="M15" s="78">
        <v>3361</v>
      </c>
      <c r="N15" s="78">
        <v>2919</v>
      </c>
      <c r="O15" s="78">
        <v>2334</v>
      </c>
      <c r="P15" s="78">
        <v>7010</v>
      </c>
      <c r="Q15" s="78">
        <v>6964</v>
      </c>
      <c r="R15" s="78">
        <v>7353</v>
      </c>
      <c r="S15" s="78">
        <v>6142</v>
      </c>
      <c r="T15" s="78">
        <v>655</v>
      </c>
      <c r="U15" s="78">
        <v>6142</v>
      </c>
      <c r="V15" s="78">
        <v>5008</v>
      </c>
      <c r="W15" s="71">
        <v>3388</v>
      </c>
      <c r="X15" s="78">
        <v>672</v>
      </c>
      <c r="Y15" s="106">
        <v>-9902</v>
      </c>
      <c r="Z15" s="78">
        <v>0</v>
      </c>
      <c r="AA15" s="78">
        <v>11</v>
      </c>
      <c r="AB15" s="78" ph="1">
        <v>1090</v>
      </c>
      <c r="AC15" s="78" ph="1">
        <v>31</v>
      </c>
      <c r="AD15" s="78">
        <v>5.72</v>
      </c>
      <c r="AE15" s="78">
        <v>31.02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60" t="s" ph="1">
        <v>178</v>
      </c>
      <c r="D16" s="73" ph="1">
        <f>D15*7.0686*LOOKUP(D17,密度!$A$2:$A$50,密度!$L$2:$L$50)</f>
        <v>39740.842587599996</v>
      </c>
      <c r="E16" s="73" ph="1">
        <f>E15*7.0686*LOOKUP(E17,密度!$A$2:$A$50,密度!$L$2:$L$50)</f>
        <v>36168.032854799996</v>
      </c>
      <c r="F16" s="73" ph="1">
        <f>F15*9.0746*LOOKUP(F17,密度!$A$2:$A$50,密度!$L$2:$L$50)</f>
        <v>17334.573157999999</v>
      </c>
      <c r="G16" s="73" ph="1">
        <f>G15*9.0746*LOOKUP(G17,密度!$A$2:$A$50,密度!$B$2:$B$50)</f>
        <v>32248.597494059999</v>
      </c>
      <c r="H16" s="73" ph="1">
        <f>H15*9.0746*LOOKUP(H17,密度!$A$2:$A$50,密度!$L$2:$L$50)</f>
        <v>35543.3206832</v>
      </c>
      <c r="I16" s="73" ph="1">
        <f>I15*9.0746*LOOKUP(I17,密度!$A$2:$A$50,密度!$U$2:$U$50)</f>
        <v>14991.2029016</v>
      </c>
      <c r="J16" s="73" ph="1">
        <f>J15*9.0746*LOOKUP(J17,密度!$A$2:$A$50,密度!$L$2:$L$50)</f>
        <v>25649.311526999998</v>
      </c>
      <c r="K16" s="73" ph="1">
        <f>K15*9.0746*LOOKUP(K17,密度!$A$2:$A$50,密度!$C$2:$C$50)</f>
        <v>24100.808171100005</v>
      </c>
      <c r="L16" s="73" ph="1">
        <f>L15*9.0746*LOOKUP(L17,密度!$A$2:$A$50,密度!$E$2:$E$50)</f>
        <v>35684.820920999999</v>
      </c>
      <c r="M16" s="73" ph="1">
        <f>M15*9.0746*LOOKUP(M17,密度!$A$2:$A$50,密度!$M$2:$M$50)</f>
        <v>26848.91284718</v>
      </c>
      <c r="N16" s="73" ph="1">
        <f>N15*9.0746*LOOKUP(N17,密度!$A$2:$A$50,密度!$M$2:$M$50)</f>
        <v>23318.053139220003</v>
      </c>
      <c r="O16" s="73" ph="1">
        <f>O15*9.0746*LOOKUP(O17,密度!$A$2:$A$50,密度!$G$2:$G$50)</f>
        <v>20457.874430759999</v>
      </c>
      <c r="P16" s="73" ph="1">
        <f ca="1">P15*9.0746*LOOKUP(P17,密度!$A$2:$A$51,密度!$Q$2:$Q$50)</f>
        <v>60510.542623580004</v>
      </c>
      <c r="Q16" s="73" ph="1">
        <f>Q15*9.0746*LOOKUP(Q17,密度!$A$2:$A$50,密度!$Q$2:$Q$50)</f>
        <v>60162.761663944002</v>
      </c>
      <c r="R16" s="73" ph="1">
        <f>MAX(R15*9.0746*LOOKUP(R17,密度!$A$2:$A$50,密度!$B$2:$B$50),0)</f>
        <v>52319.491052580008</v>
      </c>
      <c r="S16" s="73" ph="1">
        <f>S15*9.0746*LOOKUP(S17,密度!$A$2:$A$50,密度!$Q$2:$Q$50)</f>
        <v>53061.413288332005</v>
      </c>
      <c r="T16" s="73" ph="1">
        <f>T15*9.0746*LOOKUP(T17,密度!$A$2:$A$50,密度!$O$2:$O$50)</f>
        <v>5551.5680420000008</v>
      </c>
      <c r="U16" s="73" ph="1">
        <f>U15*9.0746*LOOKUP(U17,密度!$A$2:$A$50,密度!$H$2:$H$50)</f>
        <v>51539.257852039998</v>
      </c>
      <c r="V16" s="73" ph="1">
        <f>MAX(5600*LOOKUP(V17,密度!$A$2:$A$50,密度!$Q$2:$Q$50)+V15*9.0476*LOOKUP(V17,密度!$A$2:$A$50,密度!$Q$2:$Q$50),0)</f>
        <v>48427.481528384</v>
      </c>
      <c r="W16" s="73" ph="1">
        <f>MAX(5600*LOOKUP(W17,密度!$A$2:$A$50,密度!$Q$2:$Q$50)+W15*9.0476*LOOKUP(W17,密度!$A$2:$A$50,密度!$Q$2:$Q$50),0)</f>
        <v>34454.381602144</v>
      </c>
      <c r="X16" s="73" ph="1">
        <f>MAX(5600*LOOKUP(X17,密度!$A$2:$A$50,密度!$I$2:$I$50)+X15*9.0476*LOOKUP(X17,密度!$A$2:$A$50,密度!$I$2:$I$50),0)</f>
        <v>12108.642730239999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78.748471340000009</v>
      </c>
      <c r="AB16" s="73" ph="1">
        <f>AB15*9.0746*LOOKUP(AB17,密度!$A$2:$A$50,密度!$L$2:$L$50)</f>
        <v>9357.1830439999994</v>
      </c>
      <c r="AC16" s="73" ph="1">
        <f>AC15*9.0746*LOOKUP(AC17,密度!$A$2:$A$50,密度!$L$2:$L$50)</f>
        <v>266.68434480000002</v>
      </c>
      <c r="AD16" s="73" ph="1">
        <f>AD15*268.68*LOOKUP(AD17,密度!$A$2:$A$50,密度!B2:B50)+IF(AD15&lt;=0,0,1566*LOOKUP(AD17,密度!$A$2:$A$50,密度!B2:B50))</f>
        <v>2418.9815481599999</v>
      </c>
      <c r="AE16" s="73" ph="1">
        <f>AE15*268.68*LOOKUP(AE17,密度!$A$2:$A$50,密度!B2:B50)+IF(AE15&lt;=0,0,1566*LOOKUP(AE17,密度!$A$2:$A$50,密度!B2:B50))</f>
        <v>7718.3936265600005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19</v>
      </c>
      <c r="E17" s="74">
        <v>19</v>
      </c>
      <c r="F17" s="74">
        <v>21</v>
      </c>
      <c r="G17" s="74">
        <v>18</v>
      </c>
      <c r="H17" s="74">
        <v>15</v>
      </c>
      <c r="I17" s="74">
        <v>16</v>
      </c>
      <c r="J17" s="74">
        <v>17</v>
      </c>
      <c r="K17" s="74">
        <v>17</v>
      </c>
      <c r="L17" s="74">
        <v>17</v>
      </c>
      <c r="M17" s="74">
        <v>18</v>
      </c>
      <c r="N17" s="74">
        <v>17</v>
      </c>
      <c r="O17" s="74">
        <v>20</v>
      </c>
      <c r="P17" s="74">
        <v>19</v>
      </c>
      <c r="Q17" s="74">
        <v>18</v>
      </c>
      <c r="R17" s="74">
        <v>20</v>
      </c>
      <c r="S17" s="74">
        <v>18</v>
      </c>
      <c r="T17" s="74">
        <v>16</v>
      </c>
      <c r="U17" s="74">
        <v>15</v>
      </c>
      <c r="V17" s="74">
        <v>19</v>
      </c>
      <c r="W17" s="74">
        <v>20</v>
      </c>
      <c r="X17" s="74">
        <v>30</v>
      </c>
      <c r="Y17" s="108">
        <v>30</v>
      </c>
      <c r="Z17" s="74">
        <v>16</v>
      </c>
      <c r="AA17" s="74">
        <v>14</v>
      </c>
      <c r="AB17" s="74">
        <v>16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5976</v>
      </c>
      <c r="E18" s="71">
        <v>5436</v>
      </c>
      <c r="F18" s="71">
        <v>2173</v>
      </c>
      <c r="G18" s="71">
        <v>4570</v>
      </c>
      <c r="H18" s="71">
        <v>4137</v>
      </c>
      <c r="I18" s="71">
        <v>1607</v>
      </c>
      <c r="J18" s="71">
        <v>1297</v>
      </c>
      <c r="K18" s="71">
        <v>2383</v>
      </c>
      <c r="L18" s="71">
        <v>4457</v>
      </c>
      <c r="M18" s="71">
        <v>4279</v>
      </c>
      <c r="N18" s="71">
        <v>3631</v>
      </c>
      <c r="O18" s="71">
        <v>2639</v>
      </c>
      <c r="P18" s="71">
        <v>5210</v>
      </c>
      <c r="Q18" s="71">
        <v>6971</v>
      </c>
      <c r="R18" s="71">
        <v>7365</v>
      </c>
      <c r="S18" s="71">
        <v>6150</v>
      </c>
      <c r="T18" s="71">
        <v>6413</v>
      </c>
      <c r="U18" s="71">
        <v>2076</v>
      </c>
      <c r="V18" s="71">
        <v>5008</v>
      </c>
      <c r="W18" s="71">
        <v>3387</v>
      </c>
      <c r="X18" s="71">
        <v>670</v>
      </c>
      <c r="Y18" s="109">
        <v>-9905</v>
      </c>
      <c r="Z18" s="71">
        <v>0</v>
      </c>
      <c r="AA18" s="71">
        <v>10</v>
      </c>
      <c r="AB18" s="71">
        <v>1087</v>
      </c>
      <c r="AC18" s="71">
        <v>21</v>
      </c>
      <c r="AD18" s="71">
        <v>5.62</v>
      </c>
      <c r="AE18" s="71">
        <v>83.62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60" t="s" ph="1">
        <v>178</v>
      </c>
      <c r="D19" s="73" ph="1">
        <f>D18*7.0686*LOOKUP(D20,密度!$A$2:$A$50,密度!$L$2:$L$50)</f>
        <v>39707.436384000001</v>
      </c>
      <c r="E19" s="73" ph="1">
        <f>E18*7.0686*LOOKUP(E20,密度!$A$2:$A$50,密度!$L$2:$L$50)</f>
        <v>36080.990114399996</v>
      </c>
      <c r="F19" s="73" ph="1">
        <f>F18*9.0746*LOOKUP(F20,密度!$A$2:$A$50,密度!$L$2:$L$50)</f>
        <v>18516.2403462</v>
      </c>
      <c r="G19" s="73" ph="1">
        <f>G18*9.0746*LOOKUP(G20,密度!$A$2:$A$50,密度!$B$2:$B$50)</f>
        <v>32517.349940199998</v>
      </c>
      <c r="H19" s="73" ph="1">
        <f>H18*9.0746*LOOKUP(H20,密度!$A$2:$A$50,密度!$L$2:$L$50)</f>
        <v>35514.372709199997</v>
      </c>
      <c r="I19" s="73" ph="1">
        <f>I18*9.0746*LOOKUP(I20,密度!$A$2:$A$50,密度!$U$2:$U$50)</f>
        <v>14991.2029016</v>
      </c>
      <c r="J19" s="73" ph="1">
        <f>J18*9.0746*LOOKUP(J20,密度!$A$2:$A$50,密度!$L$2:$L$50)</f>
        <v>11075.340584199999</v>
      </c>
      <c r="K19" s="73" ph="1">
        <f>K18*9.0746*LOOKUP(K20,密度!$A$2:$A$50,密度!$C$2:$C$50)</f>
        <v>24059.721104680004</v>
      </c>
      <c r="L19" s="73" ph="1">
        <f>L18*9.0746*LOOKUP(L20,密度!$A$2:$A$50,密度!$E$2:$E$50)</f>
        <v>31964.072485659999</v>
      </c>
      <c r="M19" s="73" ph="1">
        <f>M18*9.0746*LOOKUP(M20,密度!$A$2:$A$50,密度!$M$2:$M$50)</f>
        <v>34135.640599940001</v>
      </c>
      <c r="N19" s="73" ph="1">
        <f>N18*9.0746*LOOKUP(N20,密度!$A$2:$A$50,密度!$M$2:$M$50)</f>
        <v>29005.772849780002</v>
      </c>
      <c r="O19" s="73" ph="1">
        <f>O18*9.0746*LOOKUP(O20,密度!$A$2:$A$50,密度!$G$2:$G$50)</f>
        <v>23042.63993668</v>
      </c>
      <c r="P19" s="73" ph="1">
        <f ca="1">P18*9.0746*LOOKUP(P20,密度!$A$2:$A$51,密度!$Q$2:$Q$50)</f>
        <v>44829.631101200008</v>
      </c>
      <c r="Q19" s="73" ph="1">
        <f>Q18*9.0746*LOOKUP(Q20,密度!$A$2:$A$50,密度!$Q$2:$Q$50)</f>
        <v>60120.123203907999</v>
      </c>
      <c r="R19" s="73" ph="1">
        <f>MAX(R18*9.0746*LOOKUP(R20,密度!$A$2:$A$50,密度!$B$2:$B$50),0)</f>
        <v>52224.422820600004</v>
      </c>
      <c r="S19" s="73" ph="1">
        <f>S18*9.0746*LOOKUP(S20,密度!$A$2:$A$50,密度!$Q$2:$Q$50)</f>
        <v>53039.557840200003</v>
      </c>
      <c r="T19" s="73" ph="1">
        <f>T18*9.0746*LOOKUP(T20,密度!$A$2:$A$50,密度!$O$2:$O$50)</f>
        <v>54121.731114000002</v>
      </c>
      <c r="U19" s="73" ph="1">
        <f>U18*9.0746*LOOKUP(U20,密度!$A$2:$A$50,密度!$H$2:$H$50)</f>
        <v>17344.947240720001</v>
      </c>
      <c r="V19" s="73" ph="1">
        <f>MAX(5600*LOOKUP(V20,密度!$A$2:$A$50,密度!$Q$2:$Q$50)+V18*9.0476*LOOKUP(V20,密度!$A$2:$A$50,密度!$Q$2:$Q$50),0)</f>
        <v>48318.533313471999</v>
      </c>
      <c r="W19" s="73" ph="1">
        <f>MAX(5600*LOOKUP(W20,密度!$A$2:$A$50,密度!$Q$2:$Q$50)+W18*9.0476*LOOKUP(W20,密度!$A$2:$A$50,密度!$Q$2:$Q$50),0)</f>
        <v>34340.312260364</v>
      </c>
      <c r="X19" s="73" ph="1">
        <f>MAX(5600*LOOKUP(X20,密度!$A$2:$A$50,密度!$I$2:$I$50)+X18*9.0476*LOOKUP(X20,密度!$A$2:$A$50,密度!$I$2:$I$50),0)</f>
        <v>12116.705787999999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71.153938600000004</v>
      </c>
      <c r="AB19" s="73" ph="1">
        <f>AB18*9.0746*LOOKUP(AB20,密度!$A$2:$A$50,密度!$L$2:$L$50)</f>
        <v>9242.6525174000017</v>
      </c>
      <c r="AC19" s="73" ph="1">
        <f>AC18*9.0746*LOOKUP(AC20,密度!$A$2:$A$50,密度!$L$2:$L$50)</f>
        <v>179.51373719999998</v>
      </c>
      <c r="AD19" s="73" ph="1">
        <f>AD18*268.68*LOOKUP(AD20,密度!$A$2:$A$50,密度!B5:B53)+IF(AD18&lt;=0,0,1566*LOOKUP(AD20,密度!$A$2:$A$50,密度!B5:B53))</f>
        <v>2390.0377032000001</v>
      </c>
      <c r="AE19" s="73" ph="1">
        <f>AE18*268.68*LOOKUP(AE20,密度!$A$2:$A$50,密度!B5:B53)+IF(AE18&lt;=0,0,1566*LOOKUP(AE20,密度!$A$2:$A$50,密度!B5:B53))</f>
        <v>18673.6577832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22</v>
      </c>
      <c r="E20" s="81">
        <v>23</v>
      </c>
      <c r="F20" s="81">
        <v>23</v>
      </c>
      <c r="G20" s="81">
        <v>20</v>
      </c>
      <c r="H20" s="81">
        <v>16</v>
      </c>
      <c r="I20" s="81">
        <v>21</v>
      </c>
      <c r="J20" s="81">
        <v>21</v>
      </c>
      <c r="K20" s="81">
        <v>20</v>
      </c>
      <c r="L20" s="81">
        <v>19</v>
      </c>
      <c r="M20" s="81">
        <v>21</v>
      </c>
      <c r="N20" s="81">
        <v>20</v>
      </c>
      <c r="O20" s="81">
        <v>23</v>
      </c>
      <c r="P20" s="81">
        <v>23</v>
      </c>
      <c r="Q20" s="81">
        <v>20</v>
      </c>
      <c r="R20" s="81">
        <v>23</v>
      </c>
      <c r="S20" s="81">
        <v>20</v>
      </c>
      <c r="T20" s="81">
        <v>22</v>
      </c>
      <c r="U20" s="81">
        <v>19</v>
      </c>
      <c r="V20" s="81">
        <v>22</v>
      </c>
      <c r="W20" s="81">
        <v>24</v>
      </c>
      <c r="X20" s="81">
        <v>28</v>
      </c>
      <c r="Y20" s="110">
        <v>28</v>
      </c>
      <c r="Z20" s="81">
        <v>26</v>
      </c>
      <c r="AA20" s="81">
        <v>20</v>
      </c>
      <c r="AB20" s="81">
        <v>25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647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60" t="s" ph="1">
        <v>177</v>
      </c>
      <c r="D24" s="71">
        <v>5.0199999999999996</v>
      </c>
      <c r="E24" s="71">
        <v>5.61</v>
      </c>
      <c r="F24" s="71">
        <v>722</v>
      </c>
      <c r="G24" s="71">
        <v>3914</v>
      </c>
      <c r="H24" s="71">
        <v>2277</v>
      </c>
      <c r="I24" s="71">
        <v>4583</v>
      </c>
      <c r="J24" s="71">
        <v>5268</v>
      </c>
      <c r="K24" s="71">
        <v>4908</v>
      </c>
      <c r="L24" s="71">
        <v>5547</v>
      </c>
      <c r="M24" s="71">
        <v>4873</v>
      </c>
      <c r="N24" s="71">
        <v>3362</v>
      </c>
      <c r="O24" s="71">
        <v>5727</v>
      </c>
      <c r="P24" s="71">
        <v>648</v>
      </c>
      <c r="Q24" s="90">
        <v>1828</v>
      </c>
      <c r="R24" s="71">
        <v>2956</v>
      </c>
      <c r="S24" s="71">
        <v>2441</v>
      </c>
      <c r="T24" s="71">
        <v>161</v>
      </c>
      <c r="U24" s="71">
        <v>4852</v>
      </c>
      <c r="V24" s="71">
        <v>8831</v>
      </c>
      <c r="W24" s="71">
        <v>1398</v>
      </c>
      <c r="X24" s="71">
        <v>3088</v>
      </c>
      <c r="Y24" s="71">
        <v>3718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2759.5327580640001</v>
      </c>
      <c r="E25" s="91" ph="1">
        <f>E24*268.68*LOOKUP(E26,密度!$A$2:$A$50,密度!$C$2:$C$50)+IF(E24&lt;=0,0,1566*LOOKUP(E26,密度!$A$2:$A$50,密度!$C$2:$C$50))</f>
        <v>3407.9766037199997</v>
      </c>
      <c r="F25" s="91" ph="1">
        <f>F24*11.702*LOOKUP(F26,密度!$A$2:$A$50,密度!$Q$2:$Q$50)</f>
        <v>8036.7938781199991</v>
      </c>
      <c r="G25" s="91" ph="1">
        <f>G24*18.322*LOOKUP(G26,密度!$A$2:$A$50,密度!$B$2:$B$50)</f>
        <v>56286.990549199996</v>
      </c>
      <c r="H25" s="91" ph="1">
        <f>H24*18.322*LOOKUP(H26,密度!$A$2:$A$50,密度!$B$2:$B$50)</f>
        <v>32745.395370599999</v>
      </c>
      <c r="I25" s="91" ph="1">
        <f>I24*18.322*LOOKUP(I26,密度!$A$2:$A$50,密度!$Q$2:$Q$50)</f>
        <v>79940.018849259999</v>
      </c>
      <c r="J25" s="91" ph="1">
        <f>J24*18.322*LOOKUP(J26,密度!$A$2:$A$50,密度!$Q$2:$Q$50)</f>
        <v>91813.001164080008</v>
      </c>
      <c r="K25" s="91" ph="1">
        <f>K24*18.322*LOOKUP(K26,密度!$A$2:$A$50,密度!$Q$2:$Q$50)</f>
        <v>85462.328462879988</v>
      </c>
      <c r="L25" s="91" ph="1">
        <f>L24*18.322*LOOKUP(L26,密度!$A$2:$A$50,密度!$Q$2:$Q$50)</f>
        <v>96675.534824819988</v>
      </c>
      <c r="M25" s="91" ph="1">
        <f>M24*18.322*LOOKUP(M26,密度!$A$2:$A$50,密度!$Q$2:$Q$50)</f>
        <v>85068.943396799994</v>
      </c>
      <c r="N25" s="91" ph="1">
        <f>N24*18.322*LOOKUP(N26,密度!$A$2:$A$50,密度!$Q$2:$Q$50)</f>
        <v>58594.402033719998</v>
      </c>
      <c r="O25" s="91" ph="1">
        <f>O24*18.322*LOOKUP(O26,密度!$A$2:$A$50,密度!$C$2:$C$50)</f>
        <v>116881.63170659999</v>
      </c>
      <c r="P25" s="91" ph="1">
        <f>P24*11.702*LOOKUP(P26,密度!$A$2:$A$50,密度!$B$2:$B$50)</f>
        <v>5951.8150704</v>
      </c>
      <c r="Q25" s="92" ph="1">
        <f>Q24*18.322*LOOKUP(Q26,密度!$A$2:$A$50,密度!$B$2:$B$50)</f>
        <v>26261.560205600003</v>
      </c>
      <c r="R25" s="91" ph="1">
        <f>R24*35.891*LOOKUP(R26,密度!$A$2:$A$50,密度!$C$2:$C$50)</f>
        <v>118241.53564199999</v>
      </c>
      <c r="S25" s="91" ph="1">
        <f>S24*35.891*LOOKUP(S26,密度!$A$2:$A$50,密度!$B$2:$B$50)</f>
        <v>68765.034841900007</v>
      </c>
      <c r="T25" s="91" ph="1">
        <f>T24*35.891*LOOKUP(T26,密度!$A$2:$A$50,密度!$Q$2:$Q$50)</f>
        <v>5515.7626175400001</v>
      </c>
      <c r="U25" s="91" ph="1">
        <f>U24*35.891</f>
        <v>174143.13199999998</v>
      </c>
      <c r="V25" s="91" ph="1">
        <f>V24*47.051*LOOKUP(V26,密度!$A$2:$A$50,密度!$B$2:$B$50)</f>
        <v>326464.14925169997</v>
      </c>
      <c r="W25" s="91" ph="1">
        <f>W24*47.051*LOOKUP(W26,密度!$A$2:$A$50,密度!$B$2:$B$50)</f>
        <v>51575.979361800011</v>
      </c>
      <c r="X25" s="91" ph="1">
        <f>X24*47.051*LOOKUP(X26,密度!$A$2:$A$61,密度!$I$2:$I$61)</f>
        <v>148678.82627040002</v>
      </c>
      <c r="Y25" s="91" ph="1">
        <f>Y24*47.051*LOOKUP(Y26,密度!$A$2:$A$50,密度!$L$2:$L$50)</f>
        <v>164964.287774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19</v>
      </c>
      <c r="G26" s="74">
        <v>19</v>
      </c>
      <c r="H26" s="74">
        <v>19</v>
      </c>
      <c r="I26" s="74">
        <v>18</v>
      </c>
      <c r="J26" s="74">
        <v>19</v>
      </c>
      <c r="K26" s="74">
        <v>20</v>
      </c>
      <c r="L26" s="74">
        <v>19</v>
      </c>
      <c r="M26" s="74">
        <v>17</v>
      </c>
      <c r="N26" s="74">
        <v>19</v>
      </c>
      <c r="O26" s="74">
        <v>18</v>
      </c>
      <c r="P26" s="74">
        <v>19</v>
      </c>
      <c r="Q26" s="93">
        <v>20</v>
      </c>
      <c r="R26" s="74">
        <v>17</v>
      </c>
      <c r="S26" s="74">
        <v>19</v>
      </c>
      <c r="T26" s="74">
        <v>15</v>
      </c>
      <c r="U26" s="74">
        <v>17</v>
      </c>
      <c r="V26" s="74">
        <v>18</v>
      </c>
      <c r="W26" s="74">
        <v>20</v>
      </c>
      <c r="X26" s="74">
        <v>42</v>
      </c>
      <c r="Y26" s="74">
        <v>19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60" t="s" ph="1">
        <v>180</v>
      </c>
      <c r="D27" s="71">
        <v>5.0199999999999996</v>
      </c>
      <c r="E27" s="71">
        <v>5.81</v>
      </c>
      <c r="F27" s="71">
        <v>721</v>
      </c>
      <c r="G27" s="71">
        <v>3091</v>
      </c>
      <c r="H27" s="71">
        <v>1022</v>
      </c>
      <c r="I27" s="71">
        <v>2802</v>
      </c>
      <c r="J27" s="71">
        <v>5269</v>
      </c>
      <c r="K27" s="71">
        <v>4908</v>
      </c>
      <c r="L27" s="71">
        <v>5543</v>
      </c>
      <c r="M27" s="71">
        <v>4874</v>
      </c>
      <c r="N27" s="71">
        <v>3359</v>
      </c>
      <c r="O27" s="71">
        <v>5725</v>
      </c>
      <c r="P27" s="71">
        <v>644</v>
      </c>
      <c r="Q27" s="90">
        <v>1980</v>
      </c>
      <c r="R27" s="71">
        <v>3387</v>
      </c>
      <c r="S27" s="71">
        <v>2438</v>
      </c>
      <c r="T27" s="71">
        <v>159</v>
      </c>
      <c r="U27" s="71">
        <v>4803</v>
      </c>
      <c r="V27" s="71">
        <v>8833</v>
      </c>
      <c r="W27" s="71">
        <v>1394</v>
      </c>
      <c r="X27" s="71">
        <v>3564</v>
      </c>
      <c r="Y27" s="71">
        <v>2507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60" t="s" ph="1">
        <v>178</v>
      </c>
      <c r="D28" s="91" ph="1">
        <f>D27*268.68*LOOKUP(D29,密度!$A$2:$A$50,密度!$Q$2:$Q$50)+IF(D27&lt;=0,0,1566*LOOKUP(D29,密度!$A$2:$A$50,密度!$Q$2:$Q$50))</f>
        <v>2759.5327580640001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8018.4910139599997</v>
      </c>
      <c r="G28" s="91" ph="1">
        <f>G27*18.322*LOOKUP(G29,密度!$A$2:$A$50,密度!$B$2:$B$50)</f>
        <v>44496.785381399997</v>
      </c>
      <c r="H28" s="91" ph="1">
        <f>H27*18.322*LOOKUP(H29,密度!$A$2:$A$50,密度!$B$2:$B$50)</f>
        <v>14697.318431600001</v>
      </c>
      <c r="I28" s="91" ph="1">
        <f>I27*18.322*LOOKUP(I29,密度!$A$2:$A$50,密度!$Q$2:$Q$50)</f>
        <v>48790.840332719999</v>
      </c>
      <c r="J28" s="91" ph="1">
        <f>J27*18.322*LOOKUP(J29,密度!$A$2:$A$50,密度!$Q$2:$Q$50)</f>
        <v>91830.429600140007</v>
      </c>
      <c r="K28" s="91" ph="1">
        <f>K27*18.322*LOOKUP(K29,密度!$A$2:$A$50,密度!$Q$2:$Q$50)</f>
        <v>85538.764182479994</v>
      </c>
      <c r="L28" s="91" ph="1">
        <f>L27*18.322*LOOKUP(L29,密度!$A$2:$A$50,密度!$Q$2:$Q$50)</f>
        <v>96605.82108057999</v>
      </c>
      <c r="M28" s="91" ph="1">
        <f>M27*18.322*LOOKUP(M29,密度!$A$2:$A$50,密度!$Q$2:$Q$50)</f>
        <v>84870.291142639995</v>
      </c>
      <c r="N28" s="91" ph="1">
        <f>N27*18.322*LOOKUP(N29,密度!$A$2:$A$50,密度!$Q$2:$Q$50)</f>
        <v>58447.33958462</v>
      </c>
      <c r="O28" s="91" ph="1">
        <f>O27*18.322*LOOKUP(O29,密度!$A$2:$A$50,密度!$C$2:$C$50)</f>
        <v>116704.45247</v>
      </c>
      <c r="P28" s="91" ph="1">
        <f>P27*11.702*LOOKUP(P29,密度!$A$2:$A$50,密度!$B$2:$B$50)</f>
        <v>5915.0754711999998</v>
      </c>
      <c r="Q28" s="92" ph="1">
        <f>Q27*18.322*LOOKUP(Q29,密度!$A$2:$A$50,密度!$B$2:$B$50)</f>
        <v>28503.278891999995</v>
      </c>
      <c r="R28" s="91" ph="1">
        <f>R27*35.891*LOOKUP(R29,密度!$A$2:$A$50,密度!$C$2:$C$50)</f>
        <v>135323.7278844</v>
      </c>
      <c r="S28" s="91" ph="1">
        <f>S27*35.891*LOOKUP(S29,密度!$A$2:$A$50,密度!$B$2:$B$50)</f>
        <v>68610.520497799997</v>
      </c>
      <c r="T28" s="91" ph="1">
        <f>T27*35.891*LOOKUP(T29,密度!$A$2:$A$50,密度!$Q$2:$Q$50)</f>
        <v>5419.5664826100001</v>
      </c>
      <c r="U28" s="91" ph="1">
        <f>U27*35.891</f>
        <v>172384.473</v>
      </c>
      <c r="V28" s="91" ph="1">
        <f>V27*47.051*LOOKUP(V29,密度!$A$2:$A$50,密度!$B$2:$B$50)</f>
        <v>326205.60400670004</v>
      </c>
      <c r="W28" s="91" ph="1">
        <f>W27*47.051*LOOKUP(W29,密度!$A$2:$A$50,密度!$B$2:$B$50)</f>
        <v>51428.4086054</v>
      </c>
      <c r="X28" s="91" ph="1">
        <f>X27*47.051*LOOKUP(X29,密度!$A$2:$A$61,密度!$I$2:$I$61)</f>
        <v>173089.37440080001</v>
      </c>
      <c r="Y28" s="91" ph="1">
        <f>Y27*47.051*LOOKUP(Y29,密度!$A$2:$A$50,密度!$L$2:$L$50)</f>
        <v>110997.402437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60" t="s" ph="1">
        <v>179</v>
      </c>
      <c r="D29" s="74">
        <v>25</v>
      </c>
      <c r="E29" s="74">
        <v>25</v>
      </c>
      <c r="F29" s="74">
        <v>20</v>
      </c>
      <c r="G29" s="74">
        <v>18</v>
      </c>
      <c r="H29" s="74">
        <v>19</v>
      </c>
      <c r="I29" s="74">
        <v>20</v>
      </c>
      <c r="J29" s="74">
        <v>19</v>
      </c>
      <c r="K29" s="74">
        <v>19</v>
      </c>
      <c r="L29" s="74">
        <v>19</v>
      </c>
      <c r="M29" s="74">
        <v>20</v>
      </c>
      <c r="N29" s="74">
        <v>21</v>
      </c>
      <c r="O29" s="74">
        <v>20</v>
      </c>
      <c r="P29" s="74">
        <v>19</v>
      </c>
      <c r="Q29" s="93">
        <v>18</v>
      </c>
      <c r="R29" s="74">
        <v>19</v>
      </c>
      <c r="S29" s="74">
        <v>20</v>
      </c>
      <c r="T29" s="74">
        <v>21</v>
      </c>
      <c r="U29" s="74">
        <v>20</v>
      </c>
      <c r="V29" s="74">
        <v>19</v>
      </c>
      <c r="W29" s="74">
        <v>20</v>
      </c>
      <c r="X29" s="74">
        <v>34</v>
      </c>
      <c r="Y29" s="74">
        <v>21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60" t="s" ph="1">
        <v>5</v>
      </c>
      <c r="F32" s="161" t="s" ph="1">
        <v>43</v>
      </c>
      <c r="G32" s="97" t="s" ph="1">
        <v>4</v>
      </c>
      <c r="H32" s="160" t="s" ph="1">
        <v>5</v>
      </c>
      <c r="I32" s="161" t="s" ph="1">
        <v>43</v>
      </c>
      <c r="J32" s="97" t="s" ph="1">
        <v>4</v>
      </c>
      <c r="K32" s="160" t="s" ph="1">
        <v>5</v>
      </c>
      <c r="L32" s="161" t="s" ph="1">
        <v>43</v>
      </c>
      <c r="M32" s="97" t="s" ph="1">
        <v>4</v>
      </c>
      <c r="N32" s="160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0" t="s" ph="1">
        <v>5</v>
      </c>
      <c r="U32" s="99" t="s" ph="1">
        <v>43</v>
      </c>
      <c r="V32" s="97" t="s" ph="1">
        <v>4</v>
      </c>
      <c r="W32" s="160" t="s" ph="1">
        <v>5</v>
      </c>
      <c r="X32" s="99" t="s" ph="1">
        <v>43</v>
      </c>
      <c r="Y32" s="100" t="s" ph="1">
        <v>4</v>
      </c>
      <c r="Z32" s="160" t="s" ph="1">
        <v>5</v>
      </c>
      <c r="AA32" s="161" t="s" ph="1">
        <v>43</v>
      </c>
      <c r="AB32" s="97" t="s" ph="1">
        <v>85</v>
      </c>
      <c r="AC32" s="160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95229.868130400006</v>
      </c>
      <c r="E33" s="196" ph="1">
        <f>M10+I10</f>
        <v>105809.2868442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22" ph="1">
        <v>0</v>
      </c>
      <c r="H33" s="196" ph="1">
        <f>N19</f>
        <v>29005.772849780002</v>
      </c>
      <c r="I33" s="200" ph="1">
        <v>0</v>
      </c>
      <c r="J33" s="204" ph="1">
        <f>F10+O28</f>
        <v>302319.38658650004</v>
      </c>
      <c r="K33" s="196" ph="1">
        <f>O10+K10+E28+R28</f>
        <v>180132.90700012</v>
      </c>
      <c r="L33" s="206" ph="1">
        <f>BE27</f>
        <v>7100</v>
      </c>
      <c r="M33" s="204" ph="1">
        <f>G10+H10+W28+S28+V28+E10</f>
        <v>860467.17047190014</v>
      </c>
      <c r="N33" s="196" ph="1">
        <f>L10+P10++G28+H28</f>
        <v>214322.82741199998</v>
      </c>
      <c r="O33" s="200" ph="1">
        <f>BE17</f>
        <v>2270</v>
      </c>
      <c r="P33" s="204" ph="1">
        <f>L19</f>
        <v>31964.072485659999</v>
      </c>
      <c r="Q33" s="196" ph="1">
        <f>J10+N10</f>
        <v>5004.8587656</v>
      </c>
      <c r="R33" s="200" ph="1">
        <f>BE23</f>
        <v>890</v>
      </c>
      <c r="S33" s="204" ph="1">
        <f>E10+X28</f>
        <v>177735.9117958</v>
      </c>
      <c r="T33" s="196" ph="1">
        <f>X19</f>
        <v>12116.705787999999</v>
      </c>
      <c r="U33" s="185" ph="1">
        <f>BE21</f>
        <v>730</v>
      </c>
      <c r="V33" s="198" ph="1">
        <f ca="1">P19+Q19+S19+M28+N28+J28</f>
        <v>393137.37247270806</v>
      </c>
      <c r="W33" s="198" ph="1">
        <f>D28+F28+V19+T28</f>
        <v>64516.123568105992</v>
      </c>
      <c r="X33" s="200" ph="1">
        <f>BE29+BE31</f>
        <v>10200</v>
      </c>
      <c r="Y33" s="202" ph="1">
        <f>+Q10+R10+S10+T10+U10+V10+W10+X10+Y10</f>
        <v>186167.28742919999</v>
      </c>
      <c r="Z33" s="183" ph="1">
        <f>D10+T19+U19+Y28+Z10</f>
        <v>408827.28031916003</v>
      </c>
      <c r="AA33" s="185" ph="1">
        <f>BE19</f>
        <v>1440</v>
      </c>
      <c r="AB33" s="187" ph="1">
        <f>I19</f>
        <v>14991.2029016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62" t="s" ph="1">
        <v>185</v>
      </c>
      <c r="AA36" s="162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342</v>
      </c>
      <c r="AI37" s="162" t="s" ph="1">
        <v>209</v>
      </c>
      <c r="AJ37" s="162" t="s" ph="1">
        <v>210</v>
      </c>
      <c r="AK37" s="162" t="s" ph="1">
        <v>211</v>
      </c>
      <c r="AM37" s="162" t="s" ph="1">
        <v>210</v>
      </c>
      <c r="AN37" s="162" t="s" ph="1">
        <v>211</v>
      </c>
      <c r="AO37" s="162" t="s" ph="1">
        <v>212</v>
      </c>
      <c r="AP37" s="162" t="s" ph="1">
        <v>210</v>
      </c>
      <c r="AQ37" s="162" t="s" ph="1">
        <v>211</v>
      </c>
      <c r="AR37" s="162" t="s" ph="1">
        <v>212</v>
      </c>
      <c r="AS37" s="162" t="s" ph="1">
        <v>210</v>
      </c>
      <c r="AT37" s="162" t="s" ph="1">
        <v>211</v>
      </c>
      <c r="AU37" s="162" t="s" ph="1">
        <v>212</v>
      </c>
      <c r="AV37" s="162" t="s" ph="1">
        <v>210</v>
      </c>
      <c r="AW37" s="162" t="s" ph="1">
        <v>211</v>
      </c>
      <c r="AX37" s="162" t="s" ph="1">
        <v>212</v>
      </c>
      <c r="AY37" s="162" t="s" ph="1">
        <v>211</v>
      </c>
      <c r="AZ37" s="162" t="s" ph="1">
        <v>213</v>
      </c>
      <c r="BD37" s="162" t="s" ph="1">
        <v>305</v>
      </c>
      <c r="BE37" s="16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412" priority="98">
      <formula>ABS(D$7-D$10)&gt;=1000</formula>
    </cfRule>
  </conditionalFormatting>
  <conditionalFormatting sqref="E4 E6:E11">
    <cfRule type="expression" dxfId="1411" priority="97">
      <formula>ABS(E$7-E$10)&gt;=1000</formula>
    </cfRule>
  </conditionalFormatting>
  <conditionalFormatting sqref="F4:F11">
    <cfRule type="expression" dxfId="1410" priority="96">
      <formula>ABS(F$7-F$10)&gt;=1000</formula>
    </cfRule>
  </conditionalFormatting>
  <conditionalFormatting sqref="G4:G11">
    <cfRule type="expression" dxfId="1409" priority="95">
      <formula>ABS(G$7-G$10)&gt;=1000</formula>
    </cfRule>
  </conditionalFormatting>
  <conditionalFormatting sqref="H4:H11">
    <cfRule type="expression" dxfId="1408" priority="94">
      <formula>ABS(H$7-H$10)&gt;=1000</formula>
    </cfRule>
  </conditionalFormatting>
  <conditionalFormatting sqref="I4:I11">
    <cfRule type="expression" dxfId="1407" priority="93">
      <formula>ABS(I$7-I$10)&gt;=1000</formula>
    </cfRule>
  </conditionalFormatting>
  <conditionalFormatting sqref="J4:J11">
    <cfRule type="expression" dxfId="1406" priority="92">
      <formula>ABS(J$7-J$10)&gt;=1000</formula>
    </cfRule>
  </conditionalFormatting>
  <conditionalFormatting sqref="K4:K11">
    <cfRule type="expression" dxfId="1405" priority="91">
      <formula>ABS(K$7-K$10)&gt;=1000</formula>
    </cfRule>
  </conditionalFormatting>
  <conditionalFormatting sqref="L4:L11">
    <cfRule type="expression" dxfId="1404" priority="90">
      <formula>ABS(L$7-L$10)&gt;=1000</formula>
    </cfRule>
  </conditionalFormatting>
  <conditionalFormatting sqref="M4 M6:M11">
    <cfRule type="expression" dxfId="1403" priority="89">
      <formula>ABS(M$7-M$10)&gt;=1000</formula>
    </cfRule>
  </conditionalFormatting>
  <conditionalFormatting sqref="N4 N6:N11">
    <cfRule type="expression" dxfId="1402" priority="88">
      <formula>ABS(N$7-N$10)&gt;=1000</formula>
    </cfRule>
  </conditionalFormatting>
  <conditionalFormatting sqref="O4 O6:O11">
    <cfRule type="expression" dxfId="1401" priority="87">
      <formula>ABS(O$7-O$10)&gt;=1000</formula>
    </cfRule>
  </conditionalFormatting>
  <conditionalFormatting sqref="P4 P6:P11">
    <cfRule type="expression" dxfId="1400" priority="86">
      <formula>ABS(P$7-P$10)&gt;=1000</formula>
    </cfRule>
  </conditionalFormatting>
  <conditionalFormatting sqref="Q4:Q11">
    <cfRule type="expression" dxfId="1399" priority="85">
      <formula>ABS(Q$7-Q$10)&gt;=1000</formula>
    </cfRule>
  </conditionalFormatting>
  <conditionalFormatting sqref="R4:R11">
    <cfRule type="expression" dxfId="1398" priority="84">
      <formula>ABS(R$7-R$10)&gt;=1000</formula>
    </cfRule>
  </conditionalFormatting>
  <conditionalFormatting sqref="S4:S11">
    <cfRule type="expression" dxfId="1397" priority="83">
      <formula>ABS(S$7-S$10)&gt;=1000</formula>
    </cfRule>
  </conditionalFormatting>
  <conditionalFormatting sqref="T4:T9 T11">
    <cfRule type="expression" dxfId="1396" priority="82">
      <formula>ABS(T$7-T$10)&gt;=1000</formula>
    </cfRule>
  </conditionalFormatting>
  <conditionalFormatting sqref="U4:U9 U11">
    <cfRule type="expression" dxfId="1395" priority="81">
      <formula>ABS(U$7-U$10)&gt;=1000</formula>
    </cfRule>
  </conditionalFormatting>
  <conditionalFormatting sqref="V4:V9 V11">
    <cfRule type="expression" dxfId="1394" priority="80">
      <formula>ABS(V$7-V$10)&gt;=1000</formula>
    </cfRule>
  </conditionalFormatting>
  <conditionalFormatting sqref="W4:W9 W11">
    <cfRule type="expression" dxfId="1393" priority="79">
      <formula>ABS(W$7-W$10)&gt;=1000</formula>
    </cfRule>
  </conditionalFormatting>
  <conditionalFormatting sqref="X4:X9 X11">
    <cfRule type="expression" dxfId="1392" priority="78">
      <formula>ABS(X$7-X$10)&gt;=1000</formula>
    </cfRule>
  </conditionalFormatting>
  <conditionalFormatting sqref="Y4:Y9 Y11">
    <cfRule type="expression" dxfId="1391" priority="77">
      <formula>ABS(Y$7-Y$10)&gt;=1000</formula>
    </cfRule>
  </conditionalFormatting>
  <conditionalFormatting sqref="Z4:Z11">
    <cfRule type="expression" dxfId="1390" priority="76">
      <formula>ABS(Z$7-Z$10)&gt;=1000</formula>
    </cfRule>
  </conditionalFormatting>
  <conditionalFormatting sqref="AA4:AA11">
    <cfRule type="expression" dxfId="1389" priority="75">
      <formula>ABS(AA$7-AA$10)&gt;=1000</formula>
    </cfRule>
  </conditionalFormatting>
  <conditionalFormatting sqref="AB4:AB11">
    <cfRule type="expression" dxfId="1388" priority="74">
      <formula>ABS(AB$7-AB$10)&gt;=1000</formula>
    </cfRule>
  </conditionalFormatting>
  <conditionalFormatting sqref="AC4 AC6:AC11">
    <cfRule type="expression" dxfId="1387" priority="73">
      <formula>ABS(AC$7-AC$10)&gt;=1000</formula>
    </cfRule>
  </conditionalFormatting>
  <conditionalFormatting sqref="AD4:AD11">
    <cfRule type="expression" dxfId="1386" priority="72">
      <formula>ABS(AD$7-AD$10)&gt;=1000</formula>
    </cfRule>
  </conditionalFormatting>
  <conditionalFormatting sqref="AE4 AE6:AE11">
    <cfRule type="expression" dxfId="1385" priority="71">
      <formula>ABS(AE$7-AE$10)&gt;=1000</formula>
    </cfRule>
  </conditionalFormatting>
  <conditionalFormatting sqref="D13:D20">
    <cfRule type="expression" dxfId="1384" priority="70">
      <formula>ABS(D$16-D$19)&gt;=1000</formula>
    </cfRule>
  </conditionalFormatting>
  <conditionalFormatting sqref="E13:E20">
    <cfRule type="expression" dxfId="1383" priority="69">
      <formula>ABS(E$16-E$19)&gt;=1000</formula>
    </cfRule>
  </conditionalFormatting>
  <conditionalFormatting sqref="F13 F15:F20">
    <cfRule type="expression" dxfId="1382" priority="68">
      <formula>ABS(F$16-F$19)&gt;=1000</formula>
    </cfRule>
  </conditionalFormatting>
  <conditionalFormatting sqref="G13:G20">
    <cfRule type="expression" dxfId="1381" priority="67">
      <formula>ABS(G$16-G$19)&gt;=1000</formula>
    </cfRule>
  </conditionalFormatting>
  <conditionalFormatting sqref="H13:H20">
    <cfRule type="expression" dxfId="1380" priority="66">
      <formula>ABS(H$16-H$19)&gt;=1000</formula>
    </cfRule>
  </conditionalFormatting>
  <conditionalFormatting sqref="I13:I20">
    <cfRule type="expression" dxfId="1379" priority="65">
      <formula>ABS(I$16-I$19)&gt;=1000</formula>
    </cfRule>
  </conditionalFormatting>
  <conditionalFormatting sqref="J13:J20">
    <cfRule type="expression" dxfId="1378" priority="64">
      <formula>ABS(J$16-J$19)&gt;=1000</formula>
    </cfRule>
  </conditionalFormatting>
  <conditionalFormatting sqref="L13:L20">
    <cfRule type="expression" dxfId="1377" priority="63">
      <formula>ABS(L$16-L$19)&gt;=1000</formula>
    </cfRule>
  </conditionalFormatting>
  <conditionalFormatting sqref="M13 M15 M17:M18 M20">
    <cfRule type="expression" dxfId="1376" priority="62">
      <formula>ABS(M$16-M$19)&gt;=1000</formula>
    </cfRule>
  </conditionalFormatting>
  <conditionalFormatting sqref="N13:N20">
    <cfRule type="expression" dxfId="1375" priority="61">
      <formula>ABS(N$16-N$19)&gt;=1000</formula>
    </cfRule>
  </conditionalFormatting>
  <conditionalFormatting sqref="O13:O20">
    <cfRule type="expression" dxfId="1374" priority="60">
      <formula>ABS(O$16-O$19)&gt;=1000</formula>
    </cfRule>
  </conditionalFormatting>
  <conditionalFormatting sqref="P13:P20">
    <cfRule type="expression" dxfId="1373" priority="59">
      <formula>ABS(P$16-P$19)&gt;=1000</formula>
    </cfRule>
  </conditionalFormatting>
  <conditionalFormatting sqref="Q13 Q15:Q20">
    <cfRule type="expression" dxfId="1372" priority="58">
      <formula>ABS(Q$16-Q$19)&gt;=1000</formula>
    </cfRule>
  </conditionalFormatting>
  <conditionalFormatting sqref="R13:R20">
    <cfRule type="expression" dxfId="1371" priority="57">
      <formula>ABS(R$16-R$19)&gt;=1000</formula>
    </cfRule>
  </conditionalFormatting>
  <conditionalFormatting sqref="S13:S20">
    <cfRule type="expression" dxfId="1370" priority="56">
      <formula>ABS(S$16-S$19)&gt;=1000</formula>
    </cfRule>
  </conditionalFormatting>
  <conditionalFormatting sqref="T13:T20">
    <cfRule type="expression" dxfId="1369" priority="55">
      <formula>ABS(T$16-T$19)&gt;=1000</formula>
    </cfRule>
  </conditionalFormatting>
  <conditionalFormatting sqref="U13:U20">
    <cfRule type="expression" dxfId="1368" priority="54">
      <formula>ABS(U$16-U$19)&gt;=1000</formula>
    </cfRule>
  </conditionalFormatting>
  <conditionalFormatting sqref="V13:V20">
    <cfRule type="expression" dxfId="1367" priority="53">
      <formula>ABS(V$16-V$19)&gt;=1000</formula>
    </cfRule>
  </conditionalFormatting>
  <conditionalFormatting sqref="W13 W20 W15:W18">
    <cfRule type="expression" dxfId="1366" priority="52">
      <formula>ABS(W$16-W$19)&gt;=1000</formula>
    </cfRule>
  </conditionalFormatting>
  <conditionalFormatting sqref="X13 X15:X20 Y19">
    <cfRule type="expression" dxfId="1365" priority="51">
      <formula>ABS(X$16-X$19)&gt;=1000</formula>
    </cfRule>
  </conditionalFormatting>
  <conditionalFormatting sqref="Y13 Y15:Y18 Y20">
    <cfRule type="expression" dxfId="1364" priority="50">
      <formula>ABS(Y$16-Y$19)&gt;=1000</formula>
    </cfRule>
  </conditionalFormatting>
  <conditionalFormatting sqref="Z13:Z20">
    <cfRule type="expression" dxfId="1363" priority="49">
      <formula>ABS(Z$16-Z$19)&gt;=1000</formula>
    </cfRule>
  </conditionalFormatting>
  <conditionalFormatting sqref="AA13:AA20">
    <cfRule type="expression" dxfId="1362" priority="48">
      <formula>ABS(AA$16-AA$19)&gt;=1000</formula>
    </cfRule>
  </conditionalFormatting>
  <conditionalFormatting sqref="AB13 AB15:AB20">
    <cfRule type="expression" dxfId="1361" priority="47">
      <formula>ABS(AB$16-AB$19)&gt;=1000</formula>
    </cfRule>
  </conditionalFormatting>
  <conditionalFormatting sqref="AC13 AC15:AC20">
    <cfRule type="expression" dxfId="1360" priority="46">
      <formula>ABS(AC$16-AC$19)&gt;=1000</formula>
    </cfRule>
  </conditionalFormatting>
  <conditionalFormatting sqref="AD13:AD20">
    <cfRule type="expression" dxfId="1359" priority="45">
      <formula>ABS(AD$16-AD$19)&gt;=1000</formula>
    </cfRule>
  </conditionalFormatting>
  <conditionalFormatting sqref="AE13:AE20">
    <cfRule type="expression" dxfId="1358" priority="44">
      <formula>ABS(AE$16-AE$19)&gt;=1000</formula>
    </cfRule>
  </conditionalFormatting>
  <conditionalFormatting sqref="D22:D29">
    <cfRule type="expression" dxfId="1357" priority="43">
      <formula>ABS(D$25-D$28)&gt;=1000</formula>
    </cfRule>
  </conditionalFormatting>
  <conditionalFormatting sqref="E22:E29">
    <cfRule type="expression" dxfId="1356" priority="42">
      <formula>ABS(E$25-E$28)&gt;=1000</formula>
    </cfRule>
  </conditionalFormatting>
  <conditionalFormatting sqref="F22:F29">
    <cfRule type="expression" dxfId="1355" priority="41">
      <formula>ABS(F$25-F$28)&gt;=1000</formula>
    </cfRule>
  </conditionalFormatting>
  <conditionalFormatting sqref="G22:G29">
    <cfRule type="expression" dxfId="1354" priority="40">
      <formula>ABS(G$25-G$28)&gt;=1000</formula>
    </cfRule>
  </conditionalFormatting>
  <conditionalFormatting sqref="H22:H29">
    <cfRule type="expression" dxfId="1353" priority="39">
      <formula>ABS(H$25-H$28)&gt;=1000</formula>
    </cfRule>
  </conditionalFormatting>
  <conditionalFormatting sqref="I22 I24:I29">
    <cfRule type="expression" dxfId="1352" priority="38">
      <formula>ABS(I$25-I$28)&gt;=1000</formula>
    </cfRule>
  </conditionalFormatting>
  <conditionalFormatting sqref="J22:J29 K22">
    <cfRule type="expression" dxfId="1351" priority="37">
      <formula>ABS(J$25-J$28)&gt;=1000</formula>
    </cfRule>
  </conditionalFormatting>
  <conditionalFormatting sqref="K23:K29 L25 L28">
    <cfRule type="expression" dxfId="1350" priority="36">
      <formula>ABS(K$25-K$28)&gt;=1000</formula>
    </cfRule>
  </conditionalFormatting>
  <conditionalFormatting sqref="L22 L26:L27 L29 L24">
    <cfRule type="expression" dxfId="1349" priority="35">
      <formula>ABS(L$25-L$28)&gt;=1000</formula>
    </cfRule>
  </conditionalFormatting>
  <conditionalFormatting sqref="M22:M29">
    <cfRule type="expression" dxfId="1348" priority="34">
      <formula>ABS(M$25-M$28)&gt;=1000</formula>
    </cfRule>
  </conditionalFormatting>
  <conditionalFormatting sqref="N22:N29">
    <cfRule type="expression" dxfId="1347" priority="33">
      <formula>ABS(N$25-N$28)&gt;=1000</formula>
    </cfRule>
  </conditionalFormatting>
  <conditionalFormatting sqref="O22:O29">
    <cfRule type="expression" dxfId="1346" priority="32">
      <formula>ABS(O$25-O$28)&gt;=1000</formula>
    </cfRule>
  </conditionalFormatting>
  <conditionalFormatting sqref="P22:P29">
    <cfRule type="expression" dxfId="1345" priority="31">
      <formula>ABS(P$25-P$28)&gt;=1000</formula>
    </cfRule>
  </conditionalFormatting>
  <conditionalFormatting sqref="Q22:Q29">
    <cfRule type="expression" dxfId="1344" priority="30">
      <formula>ABS(Q$25-Q$28)&gt;=1000</formula>
    </cfRule>
  </conditionalFormatting>
  <conditionalFormatting sqref="R22:R29">
    <cfRule type="expression" dxfId="1343" priority="29">
      <formula>ABS(R$25-R$28)&gt;=1000</formula>
    </cfRule>
  </conditionalFormatting>
  <conditionalFormatting sqref="S22:S29">
    <cfRule type="expression" dxfId="1342" priority="28">
      <formula>ABS(S$25-S$28)&gt;=1000</formula>
    </cfRule>
  </conditionalFormatting>
  <conditionalFormatting sqref="T22:T29">
    <cfRule type="expression" dxfId="1341" priority="27">
      <formula>ABS(T$25-T$28)&gt;=1000</formula>
    </cfRule>
  </conditionalFormatting>
  <conditionalFormatting sqref="U22:U29">
    <cfRule type="expression" dxfId="1340" priority="26">
      <formula>ABS(U$25-U$28)&gt;=1000</formula>
    </cfRule>
  </conditionalFormatting>
  <conditionalFormatting sqref="V22:V29">
    <cfRule type="expression" dxfId="1339" priority="25">
      <formula>ABS(V$25-V$28)&gt;=1000</formula>
    </cfRule>
  </conditionalFormatting>
  <conditionalFormatting sqref="W22:W29">
    <cfRule type="expression" dxfId="1338" priority="24">
      <formula>ABS(W$25-W$28)&gt;=1000</formula>
    </cfRule>
  </conditionalFormatting>
  <conditionalFormatting sqref="X22:X29">
    <cfRule type="expression" dxfId="1337" priority="23">
      <formula>ABS(X$25-X$28)&gt;=1000</formula>
    </cfRule>
  </conditionalFormatting>
  <conditionalFormatting sqref="Y22:Y29">
    <cfRule type="expression" dxfId="1336" priority="22">
      <formula>ABS(Y$25-Y$28)&gt;=1000</formula>
    </cfRule>
  </conditionalFormatting>
  <conditionalFormatting sqref="I23">
    <cfRule type="expression" dxfId="1335" priority="21">
      <formula>ABS(I$25-I$28)&gt;=1000</formula>
    </cfRule>
  </conditionalFormatting>
  <conditionalFormatting sqref="Q14">
    <cfRule type="expression" dxfId="1334" priority="20">
      <formula>ABS(Q$16-Q$19)&gt;=1000</formula>
    </cfRule>
  </conditionalFormatting>
  <conditionalFormatting sqref="W14">
    <cfRule type="expression" dxfId="1333" priority="19">
      <formula>ABS(W$16-W$19)&gt;=1000</formula>
    </cfRule>
  </conditionalFormatting>
  <conditionalFormatting sqref="Y14">
    <cfRule type="expression" dxfId="1332" priority="18">
      <formula>ABS(Y$16-Y$19)&gt;=1000</formula>
    </cfRule>
  </conditionalFormatting>
  <conditionalFormatting sqref="X14">
    <cfRule type="expression" dxfId="1331" priority="17">
      <formula>ABS(X$16-X$19)&gt;=1000</formula>
    </cfRule>
  </conditionalFormatting>
  <conditionalFormatting sqref="T10:Y10">
    <cfRule type="expression" dxfId="1330" priority="16">
      <formula>ABS(T$7-T$10)&gt;=1000</formula>
    </cfRule>
  </conditionalFormatting>
  <conditionalFormatting sqref="W19">
    <cfRule type="expression" dxfId="1329" priority="15">
      <formula>ABS(W$16-W$19)&gt;=1000</formula>
    </cfRule>
  </conditionalFormatting>
  <conditionalFormatting sqref="AC5">
    <cfRule type="expression" dxfId="1328" priority="14">
      <formula>ABS(AC$7-AC$10)&gt;=1000</formula>
    </cfRule>
  </conditionalFormatting>
  <conditionalFormatting sqref="M14">
    <cfRule type="expression" dxfId="1327" priority="13">
      <formula>ABS(M$16-M$19)&gt;=1000</formula>
    </cfRule>
  </conditionalFormatting>
  <conditionalFormatting sqref="M16">
    <cfRule type="expression" dxfId="1326" priority="12">
      <formula>ABS(M$16-M$19)&gt;=1000</formula>
    </cfRule>
  </conditionalFormatting>
  <conditionalFormatting sqref="M19">
    <cfRule type="expression" dxfId="1325" priority="11">
      <formula>ABS(M$16-M$19)&gt;=1000</formula>
    </cfRule>
  </conditionalFormatting>
  <conditionalFormatting sqref="K13:K20">
    <cfRule type="expression" dxfId="1324" priority="10">
      <formula>ABS(K$16-K$19)&gt;=1000</formula>
    </cfRule>
  </conditionalFormatting>
  <conditionalFormatting sqref="E5">
    <cfRule type="expression" dxfId="1323" priority="9">
      <formula>ABS(E$7-E$10)&gt;=1000</formula>
    </cfRule>
  </conditionalFormatting>
  <conditionalFormatting sqref="AB14:AC14">
    <cfRule type="expression" dxfId="1322" priority="8">
      <formula>ABS(AB$16-AB$19)&gt;=1000</formula>
    </cfRule>
  </conditionalFormatting>
  <conditionalFormatting sqref="M5">
    <cfRule type="expression" dxfId="1321" priority="7">
      <formula>ABS(M$7-M$10)&gt;=1000</formula>
    </cfRule>
  </conditionalFormatting>
  <conditionalFormatting sqref="N5">
    <cfRule type="expression" dxfId="1320" priority="6">
      <formula>ABS(N$7-N$10)&gt;=1000</formula>
    </cfRule>
  </conditionalFormatting>
  <conditionalFormatting sqref="O5">
    <cfRule type="expression" dxfId="1319" priority="5">
      <formula>ABS(O$7-O$10)&gt;=1000</formula>
    </cfRule>
  </conditionalFormatting>
  <conditionalFormatting sqref="P5">
    <cfRule type="expression" dxfId="1318" priority="4">
      <formula>ABS(P$7-P$10)&gt;=1000</formula>
    </cfRule>
  </conditionalFormatting>
  <conditionalFormatting sqref="L23">
    <cfRule type="expression" dxfId="1317" priority="3">
      <formula>ABS(L$25-L$28)&gt;=1000</formula>
    </cfRule>
  </conditionalFormatting>
  <conditionalFormatting sqref="F14">
    <cfRule type="expression" dxfId="1316" priority="2">
      <formula>ABS(F$16-F$19)&gt;=1000</formula>
    </cfRule>
  </conditionalFormatting>
  <conditionalFormatting sqref="AE5">
    <cfRule type="expression" dxfId="1315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87">
    <pageSetUpPr fitToPage="1"/>
  </sheetPr>
  <dimension ref="A1:CU223"/>
  <sheetViews>
    <sheetView view="pageBreakPreview" topLeftCell="A4" zoomScale="70" zoomScaleNormal="100" zoomScaleSheetLayoutView="70" workbookViewId="0">
      <selection activeCell="E10" sqref="E1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46008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65" t="s" ph="1">
        <v>177</v>
      </c>
      <c r="D6" s="71">
        <v>4553</v>
      </c>
      <c r="E6" s="71">
        <v>117</v>
      </c>
      <c r="F6" s="71">
        <v>4922</v>
      </c>
      <c r="G6" s="71">
        <v>4877</v>
      </c>
      <c r="H6" s="71">
        <v>6422</v>
      </c>
      <c r="I6" s="71">
        <v>27.12</v>
      </c>
      <c r="J6" s="71">
        <v>48.01</v>
      </c>
      <c r="K6" s="71">
        <v>6.81</v>
      </c>
      <c r="L6" s="71">
        <v>8.42</v>
      </c>
      <c r="M6" s="71">
        <v>2855</v>
      </c>
      <c r="N6" s="71">
        <v>129</v>
      </c>
      <c r="O6" s="71">
        <v>1480</v>
      </c>
      <c r="P6" s="71">
        <v>3369</v>
      </c>
      <c r="Q6" s="71">
        <v>7161</v>
      </c>
      <c r="R6" s="71">
        <v>7124</v>
      </c>
      <c r="S6" s="71">
        <v>4877</v>
      </c>
      <c r="T6" s="71">
        <v>6648</v>
      </c>
      <c r="U6" s="71">
        <v>2560</v>
      </c>
      <c r="V6" s="71">
        <v>0</v>
      </c>
      <c r="W6" s="71">
        <v>0</v>
      </c>
      <c r="X6" s="71">
        <v>0</v>
      </c>
      <c r="Y6" s="71">
        <v>0</v>
      </c>
      <c r="Z6" s="71">
        <v>4431</v>
      </c>
      <c r="AA6" s="71">
        <v>2507</v>
      </c>
      <c r="AB6" s="71">
        <v>679</v>
      </c>
      <c r="AC6" s="71">
        <v>8360</v>
      </c>
      <c r="AD6" s="71">
        <v>4780</v>
      </c>
      <c r="AE6" s="71">
        <v>4252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143035.56108126001</v>
      </c>
      <c r="E7" s="73" ph="1">
        <f>E6*51.53*LOOKUP(E8,密度!$A$2:$A$50,密度!$B$2:$B$50)</f>
        <v>4741.2134640000004</v>
      </c>
      <c r="F7" s="73" ph="1">
        <f>F6*33.183*LOOKUP(F8,密度!$A$2:$A$50,密度!$C$2:$C$50)</f>
        <v>181929.64009139998</v>
      </c>
      <c r="G7" s="73" ph="1">
        <f xml:space="preserve"> (G6+2)*51.53*LOOKUP(G8,密度!$A$2:$A$50,密度!$B$2:$B$50)</f>
        <v>197712.65376799999</v>
      </c>
      <c r="H7" s="73" ph="1">
        <f>(H6)*51.53*LOOKUP(H8,密度!$A$2:$A$50,密度!$B$2:$B$50)</f>
        <v>260504.67955200002</v>
      </c>
      <c r="I7" s="73" ph="1">
        <f>I6*290.8*1.0267</f>
        <v>8097.065443200001</v>
      </c>
      <c r="J7" s="73" ph="1">
        <f>J6*290.8*0.7892</f>
        <v>11018.2642736</v>
      </c>
      <c r="K7" s="73" ph="1">
        <f>K6*290.8*1.1126</f>
        <v>2203.3351848000002</v>
      </c>
      <c r="L7" s="73" ph="1">
        <f>L6*290.8*0.777</f>
        <v>1902.5124720000001</v>
      </c>
      <c r="M7" s="73" ph="1">
        <f>M6*33.183*LOOKUP(M8,密度!$A$2:$A$50,密度!$D$2:$D$50)</f>
        <v>97873.275091499992</v>
      </c>
      <c r="N7" s="73" ph="1">
        <f>N6*33.183*LOOKUP(N8,密度!$A$2:$A$50,密度!$E$2:$E$50)</f>
        <v>3382.9637121000001</v>
      </c>
      <c r="O7" s="73" ph="1">
        <f>O6*20.428*LOOKUP(O8,密度!$A$2:$A$50,密度!$C$2:$C$50)</f>
        <v>33592.375184000004</v>
      </c>
      <c r="P7" s="73" ph="1">
        <f>P6*51.53*LOOKUP(P8,密度!$A$2:$A$50,密度!$B$2:$B$50)</f>
        <v>136522.633848</v>
      </c>
      <c r="Q7" s="73" ph="1">
        <f>Q6*1.5*1.5*3.1416*LOOKUP(W8,密度!$A$2:$A$50,密度!$L$2:$L$50)</f>
        <v>47783.622902399999</v>
      </c>
      <c r="R7" s="73" ph="1">
        <f>R6*1.5*1.5*3.1416*LOOKUP(R8,密度!$A$2:$A$50,密度!$L$2:$L$50)</f>
        <v>47284.9473096</v>
      </c>
      <c r="S7" s="73" ph="1">
        <f>S6*1.5*1.5*3.1416*LOOKUP(S8,密度!$A$2:$A$50,密度!$L$2:$L$50)</f>
        <v>32646.463403399997</v>
      </c>
      <c r="T7" s="73" ph="1">
        <f>T6*1.5*1.5*3.1416*LOOKUP(T8,密度!$A$2:$A$50,密度!$L$2:$L$50)</f>
        <v>44454.481948799992</v>
      </c>
      <c r="U7" s="73" ph="1">
        <f>U6*1.5*1.5*3.1416*LOOKUP(U8,密度!$A$2:$A$50,密度!$L$2:$L$50)</f>
        <v>17082.261503999998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138799.97611199997</v>
      </c>
      <c r="AA7" s="73" ph="1">
        <f>AA6*33.183*LOOKUP(AA8,密度!$A$2:$A$50,密度!$D$2:$D$50)</f>
        <v>86009.914575900009</v>
      </c>
      <c r="AB7" s="73" ph="1">
        <f>AB6*20.428*LOOKUP(AB8,密度!$A$2:$A$50,密度!$D$2:$D$50)</f>
        <v>14412.952929200001</v>
      </c>
      <c r="AC7" s="73" ph="1">
        <f>AC6*51.53*LOOKUP(AC8,密度!$A$2:$A$50,密度!$Q$2:$Q$50)</f>
        <v>410457.47423999995</v>
      </c>
      <c r="AD7" s="73" ph="1">
        <f>AD6*20.428*LOOKUP(AD8,密度!$A$2:$A$50,密度!$V$2:$V$50)</f>
        <v>94130.589760000003</v>
      </c>
      <c r="AE7" s="73" ph="1">
        <f>AE6*20.428</f>
        <v>86859.856</v>
      </c>
    </row>
    <row r="8" spans="1:99" ph="1">
      <c r="B8" s="247" ph="1"/>
      <c r="C8" s="68" t="s" ph="1">
        <v>179</v>
      </c>
      <c r="D8" s="74">
        <v>25</v>
      </c>
      <c r="E8" s="74">
        <v>17</v>
      </c>
      <c r="F8" s="74">
        <v>18</v>
      </c>
      <c r="G8" s="74">
        <v>17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19</v>
      </c>
      <c r="O8" s="74">
        <v>22</v>
      </c>
      <c r="P8" s="74">
        <v>17</v>
      </c>
      <c r="Q8" s="74">
        <v>20</v>
      </c>
      <c r="R8" s="74">
        <v>23</v>
      </c>
      <c r="S8" s="74">
        <v>15</v>
      </c>
      <c r="T8" s="74">
        <v>16</v>
      </c>
      <c r="U8" s="74">
        <v>18</v>
      </c>
      <c r="V8" s="74">
        <v>22</v>
      </c>
      <c r="W8" s="74">
        <v>18</v>
      </c>
      <c r="X8" s="74">
        <v>18</v>
      </c>
      <c r="Y8" s="74">
        <v>18</v>
      </c>
      <c r="Z8" s="74">
        <v>18</v>
      </c>
      <c r="AA8" s="74">
        <v>17</v>
      </c>
      <c r="AB8" s="74">
        <v>11</v>
      </c>
      <c r="AC8" s="74">
        <v>17</v>
      </c>
      <c r="AD8" s="74">
        <v>17</v>
      </c>
      <c r="AE8" s="74">
        <v>20</v>
      </c>
    </row>
    <row r="9" spans="1:99" ht="26.4" ph="1">
      <c r="B9" s="247" ph="1">
        <v>0.66666666666666663</v>
      </c>
      <c r="C9" s="165" t="s" ph="1">
        <v>180</v>
      </c>
      <c r="D9" s="71">
        <v>4924</v>
      </c>
      <c r="E9" s="71">
        <v>521</v>
      </c>
      <c r="F9" s="71">
        <v>4917</v>
      </c>
      <c r="G9" s="71">
        <v>5330</v>
      </c>
      <c r="H9" s="71">
        <v>6145</v>
      </c>
      <c r="I9" s="71">
        <v>27.11</v>
      </c>
      <c r="J9" s="71">
        <v>24.82</v>
      </c>
      <c r="K9" s="71">
        <v>6.92</v>
      </c>
      <c r="L9" s="71">
        <v>6.91</v>
      </c>
      <c r="M9" s="71">
        <v>2855</v>
      </c>
      <c r="N9" s="71">
        <v>535</v>
      </c>
      <c r="O9" s="71">
        <v>1471</v>
      </c>
      <c r="P9" s="71">
        <v>2902</v>
      </c>
      <c r="Q9" s="71">
        <v>4143</v>
      </c>
      <c r="R9" s="71">
        <v>7130</v>
      </c>
      <c r="S9" s="71">
        <v>4882</v>
      </c>
      <c r="T9" s="71">
        <v>6654</v>
      </c>
      <c r="U9" s="71">
        <v>5161</v>
      </c>
      <c r="V9" s="71">
        <v>3933</v>
      </c>
      <c r="W9" s="71">
        <v>0</v>
      </c>
      <c r="X9" s="71">
        <v>0</v>
      </c>
      <c r="Y9" s="71">
        <v>0</v>
      </c>
      <c r="Z9" s="71">
        <v>4952</v>
      </c>
      <c r="AA9" s="71">
        <v>2868</v>
      </c>
      <c r="AB9" s="71">
        <v>523</v>
      </c>
      <c r="AC9" s="71">
        <v>8277</v>
      </c>
      <c r="AD9" s="71">
        <v>4780</v>
      </c>
      <c r="AE9" s="71">
        <v>4208</v>
      </c>
    </row>
    <row r="10" spans="1:99" s="72" customFormat="1" ht="22.2" ph="1">
      <c r="B10" s="247" ph="1"/>
      <c r="C10" s="165" t="s" ph="1">
        <v>178</v>
      </c>
      <c r="D10" s="73" ph="1">
        <f>D9*33.183*LOOKUP(D11,密度!$A$2:$A$50,密度!$Q$2:$Q$50)</f>
        <v>154690.77592008002</v>
      </c>
      <c r="E10" s="73" ph="1">
        <f>E9*51.53*LOOKUP(E11,密度!$A$2:$A$50,密度!$B$2:$B$50)</f>
        <v>21050.834633000002</v>
      </c>
      <c r="F10" s="73" ph="1">
        <f>F9*33.183*LOOKUP(F11,密度!$A$2:$A$50,密度!$C$2:$C$50)</f>
        <v>181744.82737289998</v>
      </c>
      <c r="G10" s="73" ph="1">
        <f xml:space="preserve"> (G9+2)*51.53*LOOKUP(G11,密度!$A$2:$A$50,密度!$B$2:$B$50)</f>
        <v>215877.329172</v>
      </c>
      <c r="H10" s="73" ph="1">
        <f>(H9)*51.53*LOOKUP(H11,密度!$A$2:$A$50,密度!$B$2:$B$50)</f>
        <v>248793.35854500002</v>
      </c>
      <c r="I10" s="73" ph="1">
        <f>I9*290.8*1.0267</f>
        <v>8094.0797995999992</v>
      </c>
      <c r="J10" s="73" ph="1">
        <f>J9*290.8*0.7892</f>
        <v>5696.1741152000004</v>
      </c>
      <c r="K10" s="73" ph="1">
        <f>K9*290.8*1.1126</f>
        <v>2238.9250336</v>
      </c>
      <c r="L10" s="73" ph="1">
        <f>L9*290.8*0.777</f>
        <v>1561.3255560000002</v>
      </c>
      <c r="M10" s="73" ph="1">
        <f>M9*33.183*LOOKUP(M11,密度!$A$2:$A$50,密度!$D$2:$D$50)</f>
        <v>97712.221401000003</v>
      </c>
      <c r="N10" s="73" ph="1">
        <f>N9*33.183*LOOKUP(N11,密度!$A$2:$A$50,密度!$E$2:$E$50)</f>
        <v>13946.682167999999</v>
      </c>
      <c r="O10" s="73" ph="1">
        <f>O9*20.428*LOOKUP(O11,密度!$A$2:$A$50,密度!$C$2:$C$50)</f>
        <v>33388.097226799997</v>
      </c>
      <c r="P10" s="73" ph="1">
        <f>P9*51.53*LOOKUP(P11,密度!$A$2:$A$50,密度!$B$2:$B$50)</f>
        <v>117254.36104600001</v>
      </c>
      <c r="Q10" s="73" ph="1">
        <f>Q9*1.5*1.5*3.1416*LOOKUP(W11,密度!$A$2:$A$50,密度!$L$2:$L$50)</f>
        <v>27469.5267924</v>
      </c>
      <c r="R10" s="73" ph="1">
        <f>R9*1.5*1.5*3.1416*LOOKUP(R11,密度!$A$2:$A$50,密度!$L$2:$L$50)</f>
        <v>47274.372684000002</v>
      </c>
      <c r="S10" s="73" ph="1">
        <f>S9*1.5*1.5*3.1416*LOOKUP(S11,密度!$A$2:$A$50,密度!$L$2:$L$50)</f>
        <v>32610.915413999999</v>
      </c>
      <c r="T10" s="73" ph="1">
        <f>T9*1.5*1.5*3.1416*LOOKUP(T11,密度!$A$2:$A$50,密度!$L$2:$L$50)</f>
        <v>44447.568857999991</v>
      </c>
      <c r="U10" s="73" ph="1">
        <f>U9*1.5*1.5*3.1416*LOOKUP(U11,密度!$A$2:$A$50,密度!$L$2:$L$50)</f>
        <v>34365.144013199999</v>
      </c>
      <c r="V10" s="73" ph="1">
        <f>V9*1.5*1.5*3.1416*LOOKUP(V11,密度!$A$2:$A$50,密度!$L$2:$L$50)</f>
        <v>26077.153964399997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154791.52747199999</v>
      </c>
      <c r="AA10" s="73" ph="1">
        <f>AA9*33.183*LOOKUP(AA11,密度!$A$2:$A$50,密度!$D$2:$D$50)</f>
        <v>98157.145701600006</v>
      </c>
      <c r="AB10" s="73" ph="1">
        <f>AB9*20.428*LOOKUP(AB11,密度!$A$2:$A$50,密度!$D$2:$D$50)</f>
        <v>11064.188846400002</v>
      </c>
      <c r="AC10" s="73" ph="1">
        <f>AC9*51.53*LOOKUP(AC11,密度!$A$2:$A$50,密度!$Q$2:$Q$50)</f>
        <v>405712.73148630001</v>
      </c>
      <c r="AD10" s="73" ph="1">
        <f>AD9*20.428*LOOKUP(AD11,密度!$A$2:$A$50,密度!$V$2:$V$50)</f>
        <v>94130.589760000003</v>
      </c>
      <c r="AE10" s="73" ph="1">
        <f>AE9*20.428</f>
        <v>85961.024000000005</v>
      </c>
    </row>
    <row r="11" spans="1:99" ph="1">
      <c r="A11" s="64" t="s" ph="1">
        <v>162</v>
      </c>
      <c r="B11" s="247" ph="1"/>
      <c r="C11" s="165" t="s" ph="1">
        <v>179</v>
      </c>
      <c r="D11" s="74">
        <v>25</v>
      </c>
      <c r="E11" s="74">
        <v>20</v>
      </c>
      <c r="F11" s="74">
        <v>18</v>
      </c>
      <c r="G11" s="74">
        <v>18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23</v>
      </c>
      <c r="O11" s="74">
        <v>22</v>
      </c>
      <c r="P11" s="74">
        <v>20</v>
      </c>
      <c r="Q11" s="74">
        <v>22</v>
      </c>
      <c r="R11" s="74">
        <v>24</v>
      </c>
      <c r="S11" s="74">
        <v>17</v>
      </c>
      <c r="T11" s="74">
        <v>17</v>
      </c>
      <c r="U11" s="74">
        <v>20</v>
      </c>
      <c r="V11" s="74">
        <v>24</v>
      </c>
      <c r="W11" s="74">
        <v>24</v>
      </c>
      <c r="X11" s="74">
        <v>19</v>
      </c>
      <c r="Y11" s="74">
        <v>22</v>
      </c>
      <c r="Z11" s="74">
        <v>20</v>
      </c>
      <c r="AA11" s="74">
        <v>20</v>
      </c>
      <c r="AB11" s="74">
        <v>15</v>
      </c>
      <c r="AC11" s="74">
        <v>19</v>
      </c>
      <c r="AD11" s="74">
        <v>18</v>
      </c>
      <c r="AE11" s="74">
        <v>21</v>
      </c>
    </row>
    <row r="12" spans="1:99" ht="9.9" customHeight="1" ph="1"/>
    <row r="13" spans="1:99" s="72" customFormat="1" ht="29.25" customHeight="1" ph="1">
      <c r="B13" s="224" t="s" ph="1">
        <v>37</v>
      </c>
      <c r="C13" s="16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65" t="s" ph="1">
        <v>177</v>
      </c>
      <c r="D15" s="78">
        <v>5968</v>
      </c>
      <c r="E15" s="78">
        <v>5431</v>
      </c>
      <c r="F15" s="78">
        <v>2463</v>
      </c>
      <c r="G15" s="78">
        <v>4671</v>
      </c>
      <c r="H15" s="78">
        <v>4137</v>
      </c>
      <c r="I15" s="78">
        <v>1607</v>
      </c>
      <c r="J15" s="78">
        <v>159</v>
      </c>
      <c r="K15" s="78">
        <v>2383</v>
      </c>
      <c r="L15" s="78">
        <v>2795</v>
      </c>
      <c r="M15" s="78">
        <v>6826</v>
      </c>
      <c r="N15" s="78">
        <v>1046</v>
      </c>
      <c r="O15" s="78">
        <v>3292</v>
      </c>
      <c r="P15" s="78">
        <v>5207</v>
      </c>
      <c r="Q15" s="78">
        <v>6967</v>
      </c>
      <c r="R15" s="78">
        <v>7356</v>
      </c>
      <c r="S15" s="78">
        <v>6147</v>
      </c>
      <c r="T15" s="78">
        <v>6445</v>
      </c>
      <c r="U15" s="78">
        <v>2085</v>
      </c>
      <c r="V15" s="78">
        <v>5007</v>
      </c>
      <c r="W15" s="71">
        <v>3387</v>
      </c>
      <c r="X15" s="78">
        <v>670</v>
      </c>
      <c r="Y15" s="106">
        <v>-9901</v>
      </c>
      <c r="Z15" s="78">
        <v>0</v>
      </c>
      <c r="AA15" s="78">
        <v>10</v>
      </c>
      <c r="AB15" s="78" ph="1">
        <v>1090</v>
      </c>
      <c r="AC15" s="78" ph="1">
        <v>29</v>
      </c>
      <c r="AD15" s="78">
        <v>5.61</v>
      </c>
      <c r="AE15" s="78">
        <v>28.51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65" t="s" ph="1">
        <v>178</v>
      </c>
      <c r="D16" s="73" ph="1">
        <f>D15*7.0686*LOOKUP(D17,密度!$A$2:$A$50,密度!$L$2:$L$50)</f>
        <v>39780.836726399997</v>
      </c>
      <c r="E16" s="73" ph="1">
        <f>E15*7.0686*LOOKUP(E17,密度!$A$2:$A$50,密度!$L$2:$L$50)</f>
        <v>36239.750870399999</v>
      </c>
      <c r="F16" s="73" ph="1">
        <f>F15*9.0746*LOOKUP(F17,密度!$A$2:$A$50,密度!$L$2:$L$50)</f>
        <v>21009.695411999997</v>
      </c>
      <c r="G16" s="73" ph="1">
        <f>G15*9.0746*LOOKUP(G17,密度!$A$2:$A$50,密度!$B$2:$B$50)</f>
        <v>33303.824650619994</v>
      </c>
      <c r="H16" s="73" ph="1">
        <f>H15*9.0746*LOOKUP(H17,密度!$A$2:$A$50,密度!$L$2:$L$50)</f>
        <v>35514.372709199997</v>
      </c>
      <c r="I16" s="73" ph="1">
        <f>I15*9.0746*LOOKUP(I17,密度!$A$2:$A$50,密度!$U$2:$U$50)</f>
        <v>14991.2029016</v>
      </c>
      <c r="J16" s="73" ph="1">
        <f>J15*9.0746*LOOKUP(J17,密度!$A$2:$A$50,密度!$L$2:$L$50)</f>
        <v>1362.0611615999999</v>
      </c>
      <c r="K16" s="73" ph="1">
        <f>K15*9.0746*LOOKUP(K17,密度!$A$2:$A$50,密度!$C$2:$C$50)</f>
        <v>24100.808171100005</v>
      </c>
      <c r="L16" s="73" ph="1">
        <f>L15*9.0746*LOOKUP(L17,密度!$A$2:$A$50,密度!$E$2:$E$50)</f>
        <v>20044.7795821</v>
      </c>
      <c r="M16" s="73" ph="1">
        <f>M15*9.0746*LOOKUP(M17,密度!$A$2:$A$50,密度!$M$2:$M$50)</f>
        <v>54528.616213879999</v>
      </c>
      <c r="N16" s="73" ph="1">
        <f>N15*9.0746*LOOKUP(N17,密度!$A$2:$A$50,密度!$M$2:$M$50)</f>
        <v>8355.8354174800006</v>
      </c>
      <c r="O16" s="73" ph="1">
        <f>O15*9.0746*LOOKUP(O17,密度!$A$2:$A$50,密度!$G$2:$G$50)</f>
        <v>28825.02042968</v>
      </c>
      <c r="P16" s="73" ph="1">
        <f ca="1">P15*9.0746*LOOKUP(P17,密度!$A$2:$A$51,密度!$Q$2:$Q$50)</f>
        <v>44906.825638035996</v>
      </c>
      <c r="Q16" s="73" ph="1">
        <f>Q15*9.0746*LOOKUP(Q17,密度!$A$2:$A$50,密度!$Q$2:$Q$50)</f>
        <v>60085.625930515998</v>
      </c>
      <c r="R16" s="73" ph="1">
        <f>MAX(R15*9.0746*LOOKUP(R17,密度!$A$2:$A$50,密度!$B$2:$B$50),0)</f>
        <v>52340.837234159997</v>
      </c>
      <c r="S16" s="73" ph="1">
        <f>S15*9.0746*LOOKUP(S17,密度!$A$2:$A$50,密度!$Q$2:$Q$50)</f>
        <v>53104.608838062006</v>
      </c>
      <c r="T16" s="73" ph="1">
        <f>T15*9.0746*LOOKUP(T17,密度!$A$2:$A$50,密度!$O$2:$O$50)</f>
        <v>54625.734398000001</v>
      </c>
      <c r="U16" s="73" ph="1">
        <f>U15*9.0746*LOOKUP(U17,密度!$A$2:$A$50,密度!$H$2:$H$50)</f>
        <v>17457.983180700001</v>
      </c>
      <c r="V16" s="73" ph="1">
        <f>MAX(5600*LOOKUP(V17,密度!$A$2:$A$50,密度!$Q$2:$Q$50)+V15*9.0476*LOOKUP(V17,密度!$A$2:$A$50,密度!$Q$2:$Q$50),0)</f>
        <v>48375.609046615988</v>
      </c>
      <c r="W16" s="73" ph="1">
        <f>MAX(5600*LOOKUP(W17,密度!$A$2:$A$50,密度!$Q$2:$Q$50)+W15*9.0476*LOOKUP(W17,密度!$A$2:$A$50,密度!$Q$2:$Q$50),0)</f>
        <v>34420.774431427999</v>
      </c>
      <c r="X16" s="73" ph="1">
        <f>MAX(5600*LOOKUP(X17,密度!$A$2:$A$50,密度!$I$2:$I$50)+X15*9.0476*LOOKUP(X17,密度!$A$2:$A$50,密度!$I$2:$I$50),0)</f>
        <v>12155.190031599999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71.43525120000001</v>
      </c>
      <c r="AB16" s="73" ph="1">
        <f>AB15*9.0746*LOOKUP(AB17,密度!$A$2:$A$50,密度!$L$2:$L$50)</f>
        <v>9337.4004160000004</v>
      </c>
      <c r="AC16" s="73" ph="1">
        <f>AC15*9.0746*LOOKUP(AC17,密度!$A$2:$A$50,密度!$L$2:$L$50)</f>
        <v>248.9525764</v>
      </c>
      <c r="AD16" s="73" ph="1">
        <f>AD15*268.68*LOOKUP(AD17,密度!$A$2:$A$50,密度!B2:B50)+IF(AD15&lt;=0,0,1566*LOOKUP(AD17,密度!$A$2:$A$50,密度!B2:B50))</f>
        <v>2395.9406260799997</v>
      </c>
      <c r="AE16" s="73" ph="1">
        <f>AE15*268.68*LOOKUP(AE17,密度!$A$2:$A$50,密度!B2:B50)+IF(AE15&lt;=0,0,1566*LOOKUP(AE17,密度!$A$2:$A$50,密度!B2:B50))</f>
        <v>7192.6416772800003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19</v>
      </c>
      <c r="E17" s="74">
        <v>18</v>
      </c>
      <c r="F17" s="74">
        <v>22</v>
      </c>
      <c r="G17" s="74">
        <v>18</v>
      </c>
      <c r="H17" s="74">
        <v>16</v>
      </c>
      <c r="I17" s="74">
        <v>17</v>
      </c>
      <c r="J17" s="74">
        <v>18</v>
      </c>
      <c r="K17" s="74">
        <v>17</v>
      </c>
      <c r="L17" s="74">
        <v>19</v>
      </c>
      <c r="M17" s="74">
        <v>19</v>
      </c>
      <c r="N17" s="74">
        <v>16</v>
      </c>
      <c r="O17" s="74">
        <v>21</v>
      </c>
      <c r="P17" s="74">
        <v>20</v>
      </c>
      <c r="Q17" s="74">
        <v>20</v>
      </c>
      <c r="R17" s="74">
        <v>20</v>
      </c>
      <c r="S17" s="74">
        <v>18</v>
      </c>
      <c r="T17" s="74">
        <v>18</v>
      </c>
      <c r="U17" s="74">
        <v>17</v>
      </c>
      <c r="V17" s="74">
        <v>20</v>
      </c>
      <c r="W17" s="74">
        <v>21</v>
      </c>
      <c r="X17" s="74">
        <v>25</v>
      </c>
      <c r="Y17" s="108">
        <v>25</v>
      </c>
      <c r="Z17" s="74">
        <v>18</v>
      </c>
      <c r="AA17" s="74">
        <v>16</v>
      </c>
      <c r="AB17" s="74">
        <v>18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5979</v>
      </c>
      <c r="E18" s="71">
        <v>3910</v>
      </c>
      <c r="F18" s="71">
        <v>2558</v>
      </c>
      <c r="G18" s="71">
        <v>4722</v>
      </c>
      <c r="H18" s="71">
        <v>4139</v>
      </c>
      <c r="I18" s="71">
        <v>1608</v>
      </c>
      <c r="J18" s="71">
        <v>3186</v>
      </c>
      <c r="K18" s="71">
        <v>2384</v>
      </c>
      <c r="L18" s="71">
        <v>4811</v>
      </c>
      <c r="M18" s="71">
        <v>6841</v>
      </c>
      <c r="N18" s="71">
        <v>3121</v>
      </c>
      <c r="O18" s="71">
        <v>3697</v>
      </c>
      <c r="P18" s="71">
        <v>5214</v>
      </c>
      <c r="Q18" s="71">
        <v>6974</v>
      </c>
      <c r="R18" s="71">
        <v>7373</v>
      </c>
      <c r="S18" s="71">
        <v>6154</v>
      </c>
      <c r="T18" s="71">
        <v>5596</v>
      </c>
      <c r="U18" s="71">
        <v>2084</v>
      </c>
      <c r="V18" s="71">
        <v>5007</v>
      </c>
      <c r="W18" s="71">
        <v>3386</v>
      </c>
      <c r="X18" s="71">
        <v>669</v>
      </c>
      <c r="Y18" s="109">
        <v>-9903</v>
      </c>
      <c r="Z18" s="71">
        <v>0</v>
      </c>
      <c r="AA18" s="71">
        <v>10</v>
      </c>
      <c r="AB18" s="71">
        <v>1088</v>
      </c>
      <c r="AC18" s="71">
        <v>18</v>
      </c>
      <c r="AD18" s="71">
        <v>5.52</v>
      </c>
      <c r="AE18" s="71">
        <v>81.33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65" t="s" ph="1">
        <v>178</v>
      </c>
      <c r="D19" s="73" ph="1">
        <f>D18*7.0686*LOOKUP(D20,密度!$A$2:$A$50,密度!$L$2:$L$50)</f>
        <v>39727.369835999998</v>
      </c>
      <c r="E19" s="73" ph="1">
        <f>E18*7.0686*LOOKUP(E20,密度!$A$2:$A$50,密度!$L$2:$L$50)</f>
        <v>25952.294213999998</v>
      </c>
      <c r="F19" s="73" ph="1">
        <f>F18*9.0746*LOOKUP(F20,密度!$A$2:$A$50,密度!$L$2:$L$50)</f>
        <v>21750.418711599999</v>
      </c>
      <c r="G19" s="73" ph="1">
        <f>G18*9.0746*LOOKUP(G20,密度!$A$2:$A$50,密度!$B$2:$B$50)</f>
        <v>33598.88980692</v>
      </c>
      <c r="H19" s="73" ph="1">
        <f>H18*9.0746*LOOKUP(H20,密度!$A$2:$A$50,密度!$L$2:$L$50)</f>
        <v>35531.541852399998</v>
      </c>
      <c r="I19" s="73" ph="1">
        <f>I18*9.0746*LOOKUP(I20,密度!$A$2:$A$50,密度!$U$2:$U$50)</f>
        <v>15000.5315904</v>
      </c>
      <c r="J19" s="73" ph="1">
        <f>J18*9.0746*LOOKUP(J20,密度!$A$2:$A$50,密度!$L$2:$L$50)</f>
        <v>27205.886739600002</v>
      </c>
      <c r="K19" s="73" ph="1">
        <f>K18*9.0746*LOOKUP(K20,密度!$A$2:$A$50,密度!$C$2:$C$50)</f>
        <v>24069.817504640003</v>
      </c>
      <c r="L19" s="73" ph="1">
        <f>L18*9.0746*LOOKUP(L20,密度!$A$2:$A$50,密度!$E$2:$E$50)</f>
        <v>34402.425672800004</v>
      </c>
      <c r="M19" s="73" ph="1">
        <f>M18*9.0746*LOOKUP(M20,密度!$A$2:$A$50,密度!$M$2:$M$50)</f>
        <v>54505.659290800002</v>
      </c>
      <c r="N19" s="73" ph="1">
        <f>N18*9.0746*LOOKUP(N20,密度!$A$2:$A$50,密度!$M$2:$M$50)</f>
        <v>24931.70395598</v>
      </c>
      <c r="O19" s="73" ph="1">
        <f>O18*9.0746*LOOKUP(O20,密度!$A$2:$A$50,密度!$G$2:$G$50)</f>
        <v>32334.329777560004</v>
      </c>
      <c r="P19" s="73" ph="1">
        <f ca="1">P18*9.0746*LOOKUP(P20,密度!$A$2:$A$51,密度!$Q$2:$Q$50)</f>
        <v>44864.049244080008</v>
      </c>
      <c r="Q19" s="73" ph="1">
        <f>Q18*9.0746*LOOKUP(Q20,密度!$A$2:$A$50,密度!$Q$2:$Q$50)</f>
        <v>60145.996158952003</v>
      </c>
      <c r="R19" s="73" ph="1">
        <f>MAX(R18*9.0746*LOOKUP(R20,密度!$A$2:$A$50,密度!$B$2:$B$50),0)</f>
        <v>52281.149960120005</v>
      </c>
      <c r="S19" s="73" ph="1">
        <f>S18*9.0746*LOOKUP(S20,密度!$A$2:$A$50,密度!$Q$2:$Q$50)</f>
        <v>53074.055113592003</v>
      </c>
      <c r="T19" s="73" ph="1">
        <f>T18*9.0746*LOOKUP(T20,密度!$A$2:$A$50,密度!$O$2:$O$50)</f>
        <v>47226.759288000001</v>
      </c>
      <c r="U19" s="73" ph="1">
        <f>U18*9.0746*LOOKUP(U20,密度!$A$2:$A$50,密度!$H$2:$H$50)</f>
        <v>17411.787114480001</v>
      </c>
      <c r="V19" s="73" ph="1">
        <f>MAX(5600*LOOKUP(V20,密度!$A$2:$A$50,密度!$Q$2:$Q$50)+V18*9.0476*LOOKUP(V20,密度!$A$2:$A$50,密度!$Q$2:$Q$50),0)</f>
        <v>48264.644140239994</v>
      </c>
      <c r="W19" s="73" ph="1">
        <f>MAX(5600*LOOKUP(W20,密度!$A$2:$A$50,密度!$Q$2:$Q$50)+W18*9.0476*LOOKUP(W20,密度!$A$2:$A$50,密度!$Q$2:$Q$50),0)</f>
        <v>34331.739930791999</v>
      </c>
      <c r="X19" s="73" ph="1">
        <f>MAX(5600*LOOKUP(X20,密度!$A$2:$A$50,密度!$I$2:$I$50)+X18*9.0476*LOOKUP(X20,密度!$A$2:$A$50,密度!$I$2:$I$50),0)</f>
        <v>12120.12346044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71.072267200000013</v>
      </c>
      <c r="AB19" s="73" ph="1">
        <f>AB18*9.0746*LOOKUP(AB20,密度!$A$2:$A$50,密度!$L$2:$L$50)</f>
        <v>9251.1554176000009</v>
      </c>
      <c r="AC19" s="73" ph="1">
        <f>AC18*9.0746*LOOKUP(AC20,密度!$A$2:$A$50,密度!$L$2:$L$50)</f>
        <v>153.8689176</v>
      </c>
      <c r="AD19" s="73" ph="1">
        <f>AD18*268.68*LOOKUP(AD20,密度!$A$2:$A$50,密度!B5:B53)+IF(AD18&lt;=0,0,1566*LOOKUP(AD20,密度!$A$2:$A$50,密度!B5:B53))</f>
        <v>2369.1612672000001</v>
      </c>
      <c r="AE19" s="73" ph="1">
        <f>AE18*268.68*LOOKUP(AE20,密度!$A$2:$A$50,密度!B5:B53)+IF(AE18&lt;=0,0,1566*LOOKUP(AE20,密度!$A$2:$A$50,密度!B5:B53))</f>
        <v>18195.587398799998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22</v>
      </c>
      <c r="E20" s="81">
        <v>23</v>
      </c>
      <c r="F20" s="81">
        <v>25</v>
      </c>
      <c r="G20" s="81">
        <v>20</v>
      </c>
      <c r="H20" s="81">
        <v>16</v>
      </c>
      <c r="I20" s="81">
        <v>22</v>
      </c>
      <c r="J20" s="81">
        <v>21</v>
      </c>
      <c r="K20" s="81">
        <v>20</v>
      </c>
      <c r="L20" s="81">
        <v>21</v>
      </c>
      <c r="M20" s="81">
        <v>22</v>
      </c>
      <c r="N20" s="81">
        <v>20</v>
      </c>
      <c r="O20" s="81">
        <v>22</v>
      </c>
      <c r="P20" s="81">
        <v>23</v>
      </c>
      <c r="Q20" s="81">
        <v>20</v>
      </c>
      <c r="R20" s="81">
        <v>23</v>
      </c>
      <c r="S20" s="81">
        <v>20</v>
      </c>
      <c r="T20" s="81">
        <v>24</v>
      </c>
      <c r="U20" s="81">
        <v>19</v>
      </c>
      <c r="V20" s="81">
        <v>23</v>
      </c>
      <c r="W20" s="81">
        <v>24</v>
      </c>
      <c r="X20" s="81">
        <v>27</v>
      </c>
      <c r="Y20" s="110">
        <v>27</v>
      </c>
      <c r="Z20" s="81">
        <v>25</v>
      </c>
      <c r="AA20" s="81">
        <v>21</v>
      </c>
      <c r="AB20" s="81">
        <v>25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646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65" t="s" ph="1">
        <v>177</v>
      </c>
      <c r="D24" s="71">
        <v>5.01</v>
      </c>
      <c r="E24" s="71">
        <v>5.82</v>
      </c>
      <c r="F24" s="71">
        <v>723</v>
      </c>
      <c r="G24" s="71">
        <v>2713</v>
      </c>
      <c r="H24" s="71">
        <v>3299</v>
      </c>
      <c r="I24" s="71">
        <v>2803</v>
      </c>
      <c r="J24" s="71">
        <v>5270</v>
      </c>
      <c r="K24" s="71">
        <v>4909</v>
      </c>
      <c r="L24" s="71">
        <v>5548</v>
      </c>
      <c r="M24" s="71">
        <v>4875</v>
      </c>
      <c r="N24" s="71">
        <v>3362</v>
      </c>
      <c r="O24" s="71">
        <v>5727</v>
      </c>
      <c r="P24" s="71">
        <v>649</v>
      </c>
      <c r="Q24" s="90">
        <v>2014</v>
      </c>
      <c r="R24" s="71">
        <v>3617</v>
      </c>
      <c r="S24" s="71">
        <v>2440</v>
      </c>
      <c r="T24" s="71">
        <v>161</v>
      </c>
      <c r="U24" s="71">
        <v>4594</v>
      </c>
      <c r="V24" s="71">
        <v>8833</v>
      </c>
      <c r="W24" s="71">
        <v>1398</v>
      </c>
      <c r="X24" s="71">
        <v>3563</v>
      </c>
      <c r="Y24" s="71">
        <v>2096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2756.9890570320003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8047.9251715800001</v>
      </c>
      <c r="G25" s="91" ph="1">
        <f>G24*18.322*LOOKUP(G26,密度!$A$2:$A$50,密度!$B$2:$B$50)</f>
        <v>39055.250320199993</v>
      </c>
      <c r="H25" s="91" ph="1">
        <f>H24*18.322*LOOKUP(H26,密度!$A$2:$A$50,密度!$B$2:$B$50)</f>
        <v>47442.7138022</v>
      </c>
      <c r="I25" s="91" ph="1">
        <f>I24*18.322*LOOKUP(I26,密度!$A$2:$A$50,密度!$Q$2:$Q$50)</f>
        <v>48851.906276180001</v>
      </c>
      <c r="J25" s="91" ph="1">
        <f>J24*18.322*LOOKUP(J26,密度!$A$2:$A$50,密度!$Q$2:$Q$50)</f>
        <v>91923.172449400008</v>
      </c>
      <c r="K25" s="91" ph="1">
        <f>K24*18.322*LOOKUP(K26,密度!$A$2:$A$50,密度!$Q$2:$Q$50)</f>
        <v>85556.192618539993</v>
      </c>
      <c r="L25" s="91" ph="1">
        <f>L24*18.322*LOOKUP(L26,密度!$A$2:$A$50,密度!$Q$2:$Q$50)</f>
        <v>96692.963260879988</v>
      </c>
      <c r="M25" s="91" ph="1">
        <f>M24*18.322*LOOKUP(M26,密度!$A$2:$A$50,密度!$Q$2:$Q$50)</f>
        <v>85033.295197500003</v>
      </c>
      <c r="N25" s="91" ph="1">
        <f>N24*18.322*LOOKUP(N26,密度!$A$2:$A$50,密度!$Q$2:$Q$50)</f>
        <v>58691.1117792</v>
      </c>
      <c r="O25" s="91" ph="1">
        <f>O24*18.322*LOOKUP(O26,密度!$A$2:$A$50,密度!$C$2:$C$50)</f>
        <v>116944.589763</v>
      </c>
      <c r="P25" s="91" ph="1">
        <f>P24*11.702*LOOKUP(P26,密度!$A$2:$A$50,密度!$B$2:$B$50)</f>
        <v>5972.3918672</v>
      </c>
      <c r="Q25" s="92" ph="1">
        <f>Q24*18.322*LOOKUP(Q26,密度!$A$2:$A$50,密度!$B$2:$B$50)</f>
        <v>28992.729135599999</v>
      </c>
      <c r="R25" s="91" ph="1">
        <f>R24*35.891*LOOKUP(R26,密度!$A$2:$A$50,密度!$C$2:$C$50)</f>
        <v>144513.11596039997</v>
      </c>
      <c r="S25" s="91" ph="1">
        <f>S24*35.891*LOOKUP(S26,密度!$A$2:$A$50,密度!$B$2:$B$50)</f>
        <v>68666.804764</v>
      </c>
      <c r="T25" s="91" ph="1">
        <f>T24*35.891*LOOKUP(T26,密度!$A$2:$A$50,密度!$Q$2:$Q$50)</f>
        <v>5505.7081128</v>
      </c>
      <c r="U25" s="91" ph="1">
        <f>U24*35.891</f>
        <v>164883.25399999999</v>
      </c>
      <c r="V25" s="91" ph="1">
        <f>V24*47.051*LOOKUP(V26,密度!$A$2:$A$50,密度!$B$2:$B$50)</f>
        <v>326538.08519309998</v>
      </c>
      <c r="W25" s="91" ph="1">
        <f>W24*47.051*LOOKUP(W26,密度!$A$2:$A$50,密度!$B$2:$B$50)</f>
        <v>51575.979361800011</v>
      </c>
      <c r="X25" s="91" ph="1">
        <f>X24*47.051*LOOKUP(X26,密度!$A$2:$A$61,密度!$I$2:$I$61)</f>
        <v>173426.38659850002</v>
      </c>
      <c r="Y25" s="91" ph="1">
        <f>Y24*47.051*LOOKUP(Y26,密度!$A$2:$A$50,密度!$L$2:$L$50)</f>
        <v>92899.000031999996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19</v>
      </c>
      <c r="G26" s="74">
        <v>18</v>
      </c>
      <c r="H26" s="74">
        <v>19</v>
      </c>
      <c r="I26" s="74">
        <v>19</v>
      </c>
      <c r="J26" s="74">
        <v>18</v>
      </c>
      <c r="K26" s="74">
        <v>19</v>
      </c>
      <c r="L26" s="74">
        <v>19</v>
      </c>
      <c r="M26" s="74">
        <v>18</v>
      </c>
      <c r="N26" s="74">
        <v>17</v>
      </c>
      <c r="O26" s="74">
        <v>17</v>
      </c>
      <c r="P26" s="74">
        <v>17</v>
      </c>
      <c r="Q26" s="93">
        <v>18</v>
      </c>
      <c r="R26" s="74">
        <v>19</v>
      </c>
      <c r="S26" s="74">
        <v>20</v>
      </c>
      <c r="T26" s="74">
        <v>17</v>
      </c>
      <c r="U26" s="74">
        <v>19</v>
      </c>
      <c r="V26" s="74">
        <v>18</v>
      </c>
      <c r="W26" s="74">
        <v>20</v>
      </c>
      <c r="X26" s="74">
        <v>32</v>
      </c>
      <c r="Y26" s="74">
        <v>20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65" t="s" ph="1">
        <v>180</v>
      </c>
      <c r="D27" s="71">
        <v>5.0199999999999996</v>
      </c>
      <c r="E27" s="71">
        <v>64.11</v>
      </c>
      <c r="F27" s="71">
        <v>722</v>
      </c>
      <c r="G27" s="71">
        <v>2275</v>
      </c>
      <c r="H27" s="71">
        <v>3218</v>
      </c>
      <c r="I27" s="71">
        <v>1050</v>
      </c>
      <c r="J27" s="71">
        <v>5271</v>
      </c>
      <c r="K27" s="71">
        <v>4910</v>
      </c>
      <c r="L27" s="71">
        <v>5546</v>
      </c>
      <c r="M27" s="71">
        <v>4876</v>
      </c>
      <c r="N27" s="71">
        <v>3361</v>
      </c>
      <c r="O27" s="71">
        <v>5726</v>
      </c>
      <c r="P27" s="71">
        <v>645</v>
      </c>
      <c r="Q27" s="90">
        <v>2227</v>
      </c>
      <c r="R27" s="71">
        <v>3575</v>
      </c>
      <c r="S27" s="71">
        <v>2439</v>
      </c>
      <c r="T27" s="71">
        <v>159</v>
      </c>
      <c r="U27" s="71">
        <v>4522</v>
      </c>
      <c r="V27" s="71">
        <v>8836</v>
      </c>
      <c r="W27" s="71">
        <v>1394</v>
      </c>
      <c r="X27" s="71">
        <v>3570</v>
      </c>
      <c r="Y27" s="71">
        <v>1031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65" t="s" ph="1">
        <v>178</v>
      </c>
      <c r="D28" s="91" ph="1">
        <f>D27*268.68*LOOKUP(D29,密度!$A$2:$A$50,密度!$Q$2:$Q$50)+IF(D27&lt;=0,0,1566*LOOKUP(D29,密度!$A$2:$A$50,密度!$Q$2:$Q$50))</f>
        <v>2759.5327580640001</v>
      </c>
      <c r="E28" s="91" ph="1">
        <f>E27*268.68*LOOKUP(E29,密度!$A$2:$A$50,密度!$C$2:$C$50)+IF(E27&lt;=0,0,1566*LOOKUP(E29,密度!$A$2:$A$50,密度!$C$2:$C$50))</f>
        <v>20837.422845720001</v>
      </c>
      <c r="F28" s="91" ph="1">
        <f>F27*11.702*LOOKUP(F29,密度!$A$2:$A$50,密度!$Q$2:$Q$50)</f>
        <v>8023.7826583599999</v>
      </c>
      <c r="G28" s="91" ph="1">
        <f>G27*18.322*LOOKUP(G29,密度!$A$2:$A$50,密度!$B$2:$B$50)</f>
        <v>32683.287454999998</v>
      </c>
      <c r="H28" s="91" ph="1">
        <f>H27*18.322*LOOKUP(H29,密度!$A$2:$A$50,密度!$B$2:$B$50)</f>
        <v>46277.8578404</v>
      </c>
      <c r="I28" s="91" ph="1">
        <f>I27*18.322*LOOKUP(I29,密度!$A$2:$A$50,密度!$Q$2:$Q$50)</f>
        <v>18283.505477999999</v>
      </c>
      <c r="J28" s="91" ph="1">
        <f>J27*18.322*LOOKUP(J29,密度!$A$2:$A$50,密度!$Q$2:$Q$50)</f>
        <v>91865.286472260006</v>
      </c>
      <c r="K28" s="91" ph="1">
        <f>K27*18.322*LOOKUP(K29,密度!$A$2:$A$50,密度!$Q$2:$Q$50)</f>
        <v>85497.154187599997</v>
      </c>
      <c r="L28" s="91" ph="1">
        <f>L27*18.322*LOOKUP(L29,密度!$A$2:$A$50,密度!$Q$2:$Q$50)</f>
        <v>96658.106388759988</v>
      </c>
      <c r="M28" s="91" ph="1">
        <f>M27*18.322*LOOKUP(M29,密度!$A$2:$A$50,密度!$Q$2:$Q$50)</f>
        <v>84981.054228559995</v>
      </c>
      <c r="N28" s="91" ph="1">
        <f>N27*18.322*LOOKUP(N29,密度!$A$2:$A$50,密度!$Q$2:$Q$50)</f>
        <v>58524.630391959996</v>
      </c>
      <c r="O28" s="91" ph="1">
        <f>O27*18.322*LOOKUP(O29,密度!$A$2:$A$50,密度!$C$2:$C$50)</f>
        <v>116651.39928680001</v>
      </c>
      <c r="P28" s="91" ph="1">
        <f>P27*11.702*LOOKUP(P29,密度!$A$2:$A$50,密度!$B$2:$B$50)</f>
        <v>5918.2221390000004</v>
      </c>
      <c r="Q28" s="92" ph="1">
        <f>Q27*18.322*LOOKUP(Q29,密度!$A$2:$A$50,密度!$B$2:$B$50)</f>
        <v>31956.983220799997</v>
      </c>
      <c r="R28" s="91" ph="1">
        <f>R27*35.891*LOOKUP(R29,密度!$A$2:$A$50,密度!$C$2:$C$50)</f>
        <v>142758.067595</v>
      </c>
      <c r="S28" s="91" ph="1">
        <f>S27*35.891*LOOKUP(S29,密度!$A$2:$A$50,密度!$B$2:$B$50)</f>
        <v>68481.09396269999</v>
      </c>
      <c r="T28" s="91" ph="1">
        <f>T27*35.891*LOOKUP(T29,密度!$A$2:$A$50,密度!$Q$2:$Q$50)</f>
        <v>5419.5664826100001</v>
      </c>
      <c r="U28" s="91" ph="1">
        <f>U27*35.891</f>
        <v>162299.10199999998</v>
      </c>
      <c r="V28" s="91" ph="1">
        <f>V27*47.051*LOOKUP(V29,密度!$A$2:$A$50,密度!$B$2:$B$50)</f>
        <v>326648.98910519999</v>
      </c>
      <c r="W28" s="91" ph="1">
        <f>W27*47.051*LOOKUP(W29,密度!$A$2:$A$50,密度!$B$2:$B$50)</f>
        <v>51428.4086054</v>
      </c>
      <c r="X28" s="91" ph="1">
        <f>X27*47.051*LOOKUP(X29,密度!$A$2:$A$61,密度!$I$2:$I$61)</f>
        <v>172440.12706200001</v>
      </c>
      <c r="Y28" s="91" ph="1">
        <f>Y27*47.051*LOOKUP(Y29,密度!$A$2:$A$50,密度!$L$2:$L$50)</f>
        <v>45696.025302000002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65" t="s" ph="1">
        <v>179</v>
      </c>
      <c r="D29" s="74">
        <v>25</v>
      </c>
      <c r="E29" s="74">
        <v>25</v>
      </c>
      <c r="F29" s="74">
        <v>21</v>
      </c>
      <c r="G29" s="74">
        <v>20</v>
      </c>
      <c r="H29" s="74">
        <v>19</v>
      </c>
      <c r="I29" s="74">
        <v>20</v>
      </c>
      <c r="J29" s="74">
        <v>19</v>
      </c>
      <c r="K29" s="74">
        <v>20</v>
      </c>
      <c r="L29" s="74">
        <v>19</v>
      </c>
      <c r="M29" s="74">
        <v>19</v>
      </c>
      <c r="N29" s="74">
        <v>20</v>
      </c>
      <c r="O29" s="74">
        <v>21</v>
      </c>
      <c r="P29" s="74">
        <v>20</v>
      </c>
      <c r="Q29" s="93">
        <v>21</v>
      </c>
      <c r="R29" s="74">
        <v>20</v>
      </c>
      <c r="S29" s="74">
        <v>22</v>
      </c>
      <c r="T29" s="74">
        <v>21</v>
      </c>
      <c r="U29" s="74">
        <v>20</v>
      </c>
      <c r="V29" s="74">
        <v>18</v>
      </c>
      <c r="W29" s="74">
        <v>20</v>
      </c>
      <c r="X29" s="74">
        <v>39</v>
      </c>
      <c r="Y29" s="74">
        <v>20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65" t="s" ph="1">
        <v>5</v>
      </c>
      <c r="F32" s="164" t="s" ph="1">
        <v>43</v>
      </c>
      <c r="G32" s="97" t="s" ph="1">
        <v>4</v>
      </c>
      <c r="H32" s="165" t="s" ph="1">
        <v>5</v>
      </c>
      <c r="I32" s="164" t="s" ph="1">
        <v>43</v>
      </c>
      <c r="J32" s="97" t="s" ph="1">
        <v>4</v>
      </c>
      <c r="K32" s="165" t="s" ph="1">
        <v>5</v>
      </c>
      <c r="L32" s="164" t="s" ph="1">
        <v>43</v>
      </c>
      <c r="M32" s="97" t="s" ph="1">
        <v>4</v>
      </c>
      <c r="N32" s="165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4" t="s" ph="1">
        <v>43</v>
      </c>
      <c r="AB32" s="97" t="s" ph="1">
        <v>85</v>
      </c>
      <c r="AC32" s="165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109221.33454800001</v>
      </c>
      <c r="E33" s="196" ph="1">
        <f>M10+I10</f>
        <v>105806.30120060001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22" ph="1">
        <v>0</v>
      </c>
      <c r="H33" s="196" ph="1">
        <f>N19</f>
        <v>24931.70395598</v>
      </c>
      <c r="I33" s="200" ph="1">
        <v>0</v>
      </c>
      <c r="J33" s="204" ph="1">
        <f>F10+O28</f>
        <v>298396.22665969998</v>
      </c>
      <c r="K33" s="196" ph="1">
        <f>O10+K10+E28+R28</f>
        <v>199222.51270111999</v>
      </c>
      <c r="L33" s="206" ph="1">
        <f>BE27</f>
        <v>7100</v>
      </c>
      <c r="M33" s="204" ph="1">
        <f>G10+H10+W28+S28+V28+E10</f>
        <v>932280.01402330003</v>
      </c>
      <c r="N33" s="196" ph="1">
        <f>L10+P10++G28+H28</f>
        <v>197776.83189740003</v>
      </c>
      <c r="O33" s="200" ph="1">
        <f>BE17</f>
        <v>2270</v>
      </c>
      <c r="P33" s="204" ph="1">
        <f>L19</f>
        <v>34402.425672800004</v>
      </c>
      <c r="Q33" s="196" ph="1">
        <f>J10+N10</f>
        <v>19642.856283199999</v>
      </c>
      <c r="R33" s="200" ph="1">
        <f>BE23</f>
        <v>890</v>
      </c>
      <c r="S33" s="204" ph="1">
        <f>E10+X28</f>
        <v>193490.96169500001</v>
      </c>
      <c r="T33" s="196" ph="1">
        <f>X19</f>
        <v>12120.12346044</v>
      </c>
      <c r="U33" s="185" ph="1">
        <f>BE21</f>
        <v>730</v>
      </c>
      <c r="V33" s="198" ph="1">
        <f ca="1">P19+Q19+S19+M28+N28+J28</f>
        <v>393455.071609404</v>
      </c>
      <c r="W33" s="198" ph="1">
        <f>D28+F28+V19+T28</f>
        <v>64467.526039273987</v>
      </c>
      <c r="X33" s="200" ph="1">
        <f>BE29+BE31</f>
        <v>10200</v>
      </c>
      <c r="Y33" s="202" ph="1">
        <f>+Q10+R10+S10+T10+U10+V10+W10+X10+Y10</f>
        <v>212244.68172599998</v>
      </c>
      <c r="Z33" s="183" ph="1">
        <f>D10+T19+U19+Y28+Z10</f>
        <v>419816.87509655999</v>
      </c>
      <c r="AA33" s="185" ph="1">
        <f>BE19</f>
        <v>1440</v>
      </c>
      <c r="AB33" s="187" ph="1">
        <f>I19</f>
        <v>15000.5315904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63" t="s" ph="1">
        <v>185</v>
      </c>
      <c r="AA36" s="163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6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3" t="s" ph="1">
        <v>342</v>
      </c>
      <c r="AI37" s="163" t="s" ph="1">
        <v>209</v>
      </c>
      <c r="AJ37" s="163" t="s" ph="1">
        <v>210</v>
      </c>
      <c r="AK37" s="163" t="s" ph="1">
        <v>211</v>
      </c>
      <c r="AM37" s="163" t="s" ph="1">
        <v>210</v>
      </c>
      <c r="AN37" s="163" t="s" ph="1">
        <v>211</v>
      </c>
      <c r="AO37" s="163" t="s" ph="1">
        <v>212</v>
      </c>
      <c r="AP37" s="163" t="s" ph="1">
        <v>210</v>
      </c>
      <c r="AQ37" s="163" t="s" ph="1">
        <v>211</v>
      </c>
      <c r="AR37" s="163" t="s" ph="1">
        <v>212</v>
      </c>
      <c r="AS37" s="163" t="s" ph="1">
        <v>210</v>
      </c>
      <c r="AT37" s="163" t="s" ph="1">
        <v>211</v>
      </c>
      <c r="AU37" s="163" t="s" ph="1">
        <v>212</v>
      </c>
      <c r="AV37" s="163" t="s" ph="1">
        <v>210</v>
      </c>
      <c r="AW37" s="163" t="s" ph="1">
        <v>211</v>
      </c>
      <c r="AX37" s="163" t="s" ph="1">
        <v>212</v>
      </c>
      <c r="AY37" s="163" t="s" ph="1">
        <v>211</v>
      </c>
      <c r="AZ37" s="163" t="s" ph="1">
        <v>213</v>
      </c>
      <c r="BD37" s="163" t="s" ph="1">
        <v>305</v>
      </c>
      <c r="BE37" s="16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84" priority="98">
      <formula>ABS(D$7-D$10)&gt;=1000</formula>
    </cfRule>
  </conditionalFormatting>
  <conditionalFormatting sqref="E4 E6:E11">
    <cfRule type="expression" dxfId="1283" priority="97">
      <formula>ABS(E$7-E$10)&gt;=1000</formula>
    </cfRule>
  </conditionalFormatting>
  <conditionalFormatting sqref="F4:F11">
    <cfRule type="expression" dxfId="1282" priority="96">
      <formula>ABS(F$7-F$10)&gt;=1000</formula>
    </cfRule>
  </conditionalFormatting>
  <conditionalFormatting sqref="G4:G11">
    <cfRule type="expression" dxfId="1281" priority="95">
      <formula>ABS(G$7-G$10)&gt;=1000</formula>
    </cfRule>
  </conditionalFormatting>
  <conditionalFormatting sqref="H4:H11">
    <cfRule type="expression" dxfId="1280" priority="94">
      <formula>ABS(H$7-H$10)&gt;=1000</formula>
    </cfRule>
  </conditionalFormatting>
  <conditionalFormatting sqref="I4:I11">
    <cfRule type="expression" dxfId="1279" priority="93">
      <formula>ABS(I$7-I$10)&gt;=1000</formula>
    </cfRule>
  </conditionalFormatting>
  <conditionalFormatting sqref="J4:J11">
    <cfRule type="expression" dxfId="1278" priority="92">
      <formula>ABS(J$7-J$10)&gt;=1000</formula>
    </cfRule>
  </conditionalFormatting>
  <conditionalFormatting sqref="K4:K11">
    <cfRule type="expression" dxfId="1277" priority="91">
      <formula>ABS(K$7-K$10)&gt;=1000</formula>
    </cfRule>
  </conditionalFormatting>
  <conditionalFormatting sqref="L4:L11">
    <cfRule type="expression" dxfId="1276" priority="90">
      <formula>ABS(L$7-L$10)&gt;=1000</formula>
    </cfRule>
  </conditionalFormatting>
  <conditionalFormatting sqref="M4 M6:M11">
    <cfRule type="expression" dxfId="1275" priority="89">
      <formula>ABS(M$7-M$10)&gt;=1000</formula>
    </cfRule>
  </conditionalFormatting>
  <conditionalFormatting sqref="N4 N6:N11">
    <cfRule type="expression" dxfId="1274" priority="88">
      <formula>ABS(N$7-N$10)&gt;=1000</formula>
    </cfRule>
  </conditionalFormatting>
  <conditionalFormatting sqref="O4 O6:O11">
    <cfRule type="expression" dxfId="1273" priority="87">
      <formula>ABS(O$7-O$10)&gt;=1000</formula>
    </cfRule>
  </conditionalFormatting>
  <conditionalFormatting sqref="P4 P6:P11">
    <cfRule type="expression" dxfId="1272" priority="86">
      <formula>ABS(P$7-P$10)&gt;=1000</formula>
    </cfRule>
  </conditionalFormatting>
  <conditionalFormatting sqref="Q4:Q11">
    <cfRule type="expression" dxfId="1271" priority="85">
      <formula>ABS(Q$7-Q$10)&gt;=1000</formula>
    </cfRule>
  </conditionalFormatting>
  <conditionalFormatting sqref="R4:R11">
    <cfRule type="expression" dxfId="1270" priority="84">
      <formula>ABS(R$7-R$10)&gt;=1000</formula>
    </cfRule>
  </conditionalFormatting>
  <conditionalFormatting sqref="S4:S11">
    <cfRule type="expression" dxfId="1269" priority="83">
      <formula>ABS(S$7-S$10)&gt;=1000</formula>
    </cfRule>
  </conditionalFormatting>
  <conditionalFormatting sqref="T4:T9 T11">
    <cfRule type="expression" dxfId="1268" priority="82">
      <formula>ABS(T$7-T$10)&gt;=1000</formula>
    </cfRule>
  </conditionalFormatting>
  <conditionalFormatting sqref="U4:U9 U11">
    <cfRule type="expression" dxfId="1267" priority="81">
      <formula>ABS(U$7-U$10)&gt;=1000</formula>
    </cfRule>
  </conditionalFormatting>
  <conditionalFormatting sqref="V4:V9 V11">
    <cfRule type="expression" dxfId="1266" priority="80">
      <formula>ABS(V$7-V$10)&gt;=1000</formula>
    </cfRule>
  </conditionalFormatting>
  <conditionalFormatting sqref="W4:W9 W11">
    <cfRule type="expression" dxfId="1265" priority="79">
      <formula>ABS(W$7-W$10)&gt;=1000</formula>
    </cfRule>
  </conditionalFormatting>
  <conditionalFormatting sqref="X4:X9 X11">
    <cfRule type="expression" dxfId="1264" priority="78">
      <formula>ABS(X$7-X$10)&gt;=1000</formula>
    </cfRule>
  </conditionalFormatting>
  <conditionalFormatting sqref="Y4:Y9 Y11">
    <cfRule type="expression" dxfId="1263" priority="77">
      <formula>ABS(Y$7-Y$10)&gt;=1000</formula>
    </cfRule>
  </conditionalFormatting>
  <conditionalFormatting sqref="Z4:Z11">
    <cfRule type="expression" dxfId="1262" priority="76">
      <formula>ABS(Z$7-Z$10)&gt;=1000</formula>
    </cfRule>
  </conditionalFormatting>
  <conditionalFormatting sqref="AA4:AA11">
    <cfRule type="expression" dxfId="1261" priority="75">
      <formula>ABS(AA$7-AA$10)&gt;=1000</formula>
    </cfRule>
  </conditionalFormatting>
  <conditionalFormatting sqref="AB4:AB11">
    <cfRule type="expression" dxfId="1260" priority="74">
      <formula>ABS(AB$7-AB$10)&gt;=1000</formula>
    </cfRule>
  </conditionalFormatting>
  <conditionalFormatting sqref="AC4 AC6:AC11">
    <cfRule type="expression" dxfId="1259" priority="73">
      <formula>ABS(AC$7-AC$10)&gt;=1000</formula>
    </cfRule>
  </conditionalFormatting>
  <conditionalFormatting sqref="AD4:AD11">
    <cfRule type="expression" dxfId="1258" priority="72">
      <formula>ABS(AD$7-AD$10)&gt;=1000</formula>
    </cfRule>
  </conditionalFormatting>
  <conditionalFormatting sqref="AE4 AE6:AE11">
    <cfRule type="expression" dxfId="1257" priority="71">
      <formula>ABS(AE$7-AE$10)&gt;=1000</formula>
    </cfRule>
  </conditionalFormatting>
  <conditionalFormatting sqref="D13:D20">
    <cfRule type="expression" dxfId="1256" priority="70">
      <formula>ABS(D$16-D$19)&gt;=1000</formula>
    </cfRule>
  </conditionalFormatting>
  <conditionalFormatting sqref="E13:E20">
    <cfRule type="expression" dxfId="1255" priority="69">
      <formula>ABS(E$16-E$19)&gt;=1000</formula>
    </cfRule>
  </conditionalFormatting>
  <conditionalFormatting sqref="F13 F15:F20">
    <cfRule type="expression" dxfId="1254" priority="68">
      <formula>ABS(F$16-F$19)&gt;=1000</formula>
    </cfRule>
  </conditionalFormatting>
  <conditionalFormatting sqref="G13:G20">
    <cfRule type="expression" dxfId="1253" priority="67">
      <formula>ABS(G$16-G$19)&gt;=1000</formula>
    </cfRule>
  </conditionalFormatting>
  <conditionalFormatting sqref="H13:H20">
    <cfRule type="expression" dxfId="1252" priority="66">
      <formula>ABS(H$16-H$19)&gt;=1000</formula>
    </cfRule>
  </conditionalFormatting>
  <conditionalFormatting sqref="I13:I20">
    <cfRule type="expression" dxfId="1251" priority="65">
      <formula>ABS(I$16-I$19)&gt;=1000</formula>
    </cfRule>
  </conditionalFormatting>
  <conditionalFormatting sqref="J13:J20">
    <cfRule type="expression" dxfId="1250" priority="64">
      <formula>ABS(J$16-J$19)&gt;=1000</formula>
    </cfRule>
  </conditionalFormatting>
  <conditionalFormatting sqref="L13:L20">
    <cfRule type="expression" dxfId="1249" priority="63">
      <formula>ABS(L$16-L$19)&gt;=1000</formula>
    </cfRule>
  </conditionalFormatting>
  <conditionalFormatting sqref="M13 M15 M17:M18 M20">
    <cfRule type="expression" dxfId="1248" priority="62">
      <formula>ABS(M$16-M$19)&gt;=1000</formula>
    </cfRule>
  </conditionalFormatting>
  <conditionalFormatting sqref="N13:N20">
    <cfRule type="expression" dxfId="1247" priority="61">
      <formula>ABS(N$16-N$19)&gt;=1000</formula>
    </cfRule>
  </conditionalFormatting>
  <conditionalFormatting sqref="O13:O20">
    <cfRule type="expression" dxfId="1246" priority="60">
      <formula>ABS(O$16-O$19)&gt;=1000</formula>
    </cfRule>
  </conditionalFormatting>
  <conditionalFormatting sqref="P13:P20">
    <cfRule type="expression" dxfId="1245" priority="59">
      <formula>ABS(P$16-P$19)&gt;=1000</formula>
    </cfRule>
  </conditionalFormatting>
  <conditionalFormatting sqref="Q13 Q15:Q20">
    <cfRule type="expression" dxfId="1244" priority="58">
      <formula>ABS(Q$16-Q$19)&gt;=1000</formula>
    </cfRule>
  </conditionalFormatting>
  <conditionalFormatting sqref="R13:R20">
    <cfRule type="expression" dxfId="1243" priority="57">
      <formula>ABS(R$16-R$19)&gt;=1000</formula>
    </cfRule>
  </conditionalFormatting>
  <conditionalFormatting sqref="S13:S20">
    <cfRule type="expression" dxfId="1242" priority="56">
      <formula>ABS(S$16-S$19)&gt;=1000</formula>
    </cfRule>
  </conditionalFormatting>
  <conditionalFormatting sqref="T13:T20">
    <cfRule type="expression" dxfId="1241" priority="55">
      <formula>ABS(T$16-T$19)&gt;=1000</formula>
    </cfRule>
  </conditionalFormatting>
  <conditionalFormatting sqref="U13:U20">
    <cfRule type="expression" dxfId="1240" priority="54">
      <formula>ABS(U$16-U$19)&gt;=1000</formula>
    </cfRule>
  </conditionalFormatting>
  <conditionalFormatting sqref="V13:V20">
    <cfRule type="expression" dxfId="1239" priority="53">
      <formula>ABS(V$16-V$19)&gt;=1000</formula>
    </cfRule>
  </conditionalFormatting>
  <conditionalFormatting sqref="W13 W20 W15:W18">
    <cfRule type="expression" dxfId="1238" priority="52">
      <formula>ABS(W$16-W$19)&gt;=1000</formula>
    </cfRule>
  </conditionalFormatting>
  <conditionalFormatting sqref="X13 X15:X20 Y19">
    <cfRule type="expression" dxfId="1237" priority="51">
      <formula>ABS(X$16-X$19)&gt;=1000</formula>
    </cfRule>
  </conditionalFormatting>
  <conditionalFormatting sqref="Y13 Y15:Y18 Y20">
    <cfRule type="expression" dxfId="1236" priority="50">
      <formula>ABS(Y$16-Y$19)&gt;=1000</formula>
    </cfRule>
  </conditionalFormatting>
  <conditionalFormatting sqref="Z13:Z20">
    <cfRule type="expression" dxfId="1235" priority="49">
      <formula>ABS(Z$16-Z$19)&gt;=1000</formula>
    </cfRule>
  </conditionalFormatting>
  <conditionalFormatting sqref="AA13:AA20">
    <cfRule type="expression" dxfId="1234" priority="48">
      <formula>ABS(AA$16-AA$19)&gt;=1000</formula>
    </cfRule>
  </conditionalFormatting>
  <conditionalFormatting sqref="AB13 AB15:AB20">
    <cfRule type="expression" dxfId="1233" priority="47">
      <formula>ABS(AB$16-AB$19)&gt;=1000</formula>
    </cfRule>
  </conditionalFormatting>
  <conditionalFormatting sqref="AC13 AC15:AC20">
    <cfRule type="expression" dxfId="1232" priority="46">
      <formula>ABS(AC$16-AC$19)&gt;=1000</formula>
    </cfRule>
  </conditionalFormatting>
  <conditionalFormatting sqref="AD13:AD20">
    <cfRule type="expression" dxfId="1231" priority="45">
      <formula>ABS(AD$16-AD$19)&gt;=1000</formula>
    </cfRule>
  </conditionalFormatting>
  <conditionalFormatting sqref="AE13:AE20">
    <cfRule type="expression" dxfId="1230" priority="44">
      <formula>ABS(AE$16-AE$19)&gt;=1000</formula>
    </cfRule>
  </conditionalFormatting>
  <conditionalFormatting sqref="D22:D29">
    <cfRule type="expression" dxfId="1229" priority="43">
      <formula>ABS(D$25-D$28)&gt;=1000</formula>
    </cfRule>
  </conditionalFormatting>
  <conditionalFormatting sqref="E22:E29">
    <cfRule type="expression" dxfId="1228" priority="42">
      <formula>ABS(E$25-E$28)&gt;=1000</formula>
    </cfRule>
  </conditionalFormatting>
  <conditionalFormatting sqref="F22:F29">
    <cfRule type="expression" dxfId="1227" priority="41">
      <formula>ABS(F$25-F$28)&gt;=1000</formula>
    </cfRule>
  </conditionalFormatting>
  <conditionalFormatting sqref="G22:G29">
    <cfRule type="expression" dxfId="1226" priority="40">
      <formula>ABS(G$25-G$28)&gt;=1000</formula>
    </cfRule>
  </conditionalFormatting>
  <conditionalFormatting sqref="H22:H29">
    <cfRule type="expression" dxfId="1225" priority="39">
      <formula>ABS(H$25-H$28)&gt;=1000</formula>
    </cfRule>
  </conditionalFormatting>
  <conditionalFormatting sqref="I22 I24:I29">
    <cfRule type="expression" dxfId="1224" priority="38">
      <formula>ABS(I$25-I$28)&gt;=1000</formula>
    </cfRule>
  </conditionalFormatting>
  <conditionalFormatting sqref="J22:J29 K22">
    <cfRule type="expression" dxfId="1223" priority="37">
      <formula>ABS(J$25-J$28)&gt;=1000</formula>
    </cfRule>
  </conditionalFormatting>
  <conditionalFormatting sqref="K23:K29 L25 L28">
    <cfRule type="expression" dxfId="1222" priority="36">
      <formula>ABS(K$25-K$28)&gt;=1000</formula>
    </cfRule>
  </conditionalFormatting>
  <conditionalFormatting sqref="L22 L26:L27 L29 L24">
    <cfRule type="expression" dxfId="1221" priority="35">
      <formula>ABS(L$25-L$28)&gt;=1000</formula>
    </cfRule>
  </conditionalFormatting>
  <conditionalFormatting sqref="M22:M29">
    <cfRule type="expression" dxfId="1220" priority="34">
      <formula>ABS(M$25-M$28)&gt;=1000</formula>
    </cfRule>
  </conditionalFormatting>
  <conditionalFormatting sqref="N22:N29">
    <cfRule type="expression" dxfId="1219" priority="33">
      <formula>ABS(N$25-N$28)&gt;=1000</formula>
    </cfRule>
  </conditionalFormatting>
  <conditionalFormatting sqref="O22:O29">
    <cfRule type="expression" dxfId="1218" priority="32">
      <formula>ABS(O$25-O$28)&gt;=1000</formula>
    </cfRule>
  </conditionalFormatting>
  <conditionalFormatting sqref="P22:P29">
    <cfRule type="expression" dxfId="1217" priority="31">
      <formula>ABS(P$25-P$28)&gt;=1000</formula>
    </cfRule>
  </conditionalFormatting>
  <conditionalFormatting sqref="Q22:Q29">
    <cfRule type="expression" dxfId="1216" priority="30">
      <formula>ABS(Q$25-Q$28)&gt;=1000</formula>
    </cfRule>
  </conditionalFormatting>
  <conditionalFormatting sqref="R22:R29">
    <cfRule type="expression" dxfId="1215" priority="29">
      <formula>ABS(R$25-R$28)&gt;=1000</formula>
    </cfRule>
  </conditionalFormatting>
  <conditionalFormatting sqref="S22:S29">
    <cfRule type="expression" dxfId="1214" priority="28">
      <formula>ABS(S$25-S$28)&gt;=1000</formula>
    </cfRule>
  </conditionalFormatting>
  <conditionalFormatting sqref="T22:T29">
    <cfRule type="expression" dxfId="1213" priority="27">
      <formula>ABS(T$25-T$28)&gt;=1000</formula>
    </cfRule>
  </conditionalFormatting>
  <conditionalFormatting sqref="U22:U29">
    <cfRule type="expression" dxfId="1212" priority="26">
      <formula>ABS(U$25-U$28)&gt;=1000</formula>
    </cfRule>
  </conditionalFormatting>
  <conditionalFormatting sqref="V22:V29">
    <cfRule type="expression" dxfId="1211" priority="25">
      <formula>ABS(V$25-V$28)&gt;=1000</formula>
    </cfRule>
  </conditionalFormatting>
  <conditionalFormatting sqref="W22:W29">
    <cfRule type="expression" dxfId="1210" priority="24">
      <formula>ABS(W$25-W$28)&gt;=1000</formula>
    </cfRule>
  </conditionalFormatting>
  <conditionalFormatting sqref="X22:X29">
    <cfRule type="expression" dxfId="1209" priority="23">
      <formula>ABS(X$25-X$28)&gt;=1000</formula>
    </cfRule>
  </conditionalFormatting>
  <conditionalFormatting sqref="Y22:Y29">
    <cfRule type="expression" dxfId="1208" priority="22">
      <formula>ABS(Y$25-Y$28)&gt;=1000</formula>
    </cfRule>
  </conditionalFormatting>
  <conditionalFormatting sqref="I23">
    <cfRule type="expression" dxfId="1207" priority="21">
      <formula>ABS(I$25-I$28)&gt;=1000</formula>
    </cfRule>
  </conditionalFormatting>
  <conditionalFormatting sqref="Q14">
    <cfRule type="expression" dxfId="1206" priority="20">
      <formula>ABS(Q$16-Q$19)&gt;=1000</formula>
    </cfRule>
  </conditionalFormatting>
  <conditionalFormatting sqref="W14">
    <cfRule type="expression" dxfId="1205" priority="19">
      <formula>ABS(W$16-W$19)&gt;=1000</formula>
    </cfRule>
  </conditionalFormatting>
  <conditionalFormatting sqref="Y14">
    <cfRule type="expression" dxfId="1204" priority="18">
      <formula>ABS(Y$16-Y$19)&gt;=1000</formula>
    </cfRule>
  </conditionalFormatting>
  <conditionalFormatting sqref="X14">
    <cfRule type="expression" dxfId="1203" priority="17">
      <formula>ABS(X$16-X$19)&gt;=1000</formula>
    </cfRule>
  </conditionalFormatting>
  <conditionalFormatting sqref="T10:Y10">
    <cfRule type="expression" dxfId="1202" priority="16">
      <formula>ABS(T$7-T$10)&gt;=1000</formula>
    </cfRule>
  </conditionalFormatting>
  <conditionalFormatting sqref="W19">
    <cfRule type="expression" dxfId="1201" priority="15">
      <formula>ABS(W$16-W$19)&gt;=1000</formula>
    </cfRule>
  </conditionalFormatting>
  <conditionalFormatting sqref="AC5">
    <cfRule type="expression" dxfId="1200" priority="14">
      <formula>ABS(AC$7-AC$10)&gt;=1000</formula>
    </cfRule>
  </conditionalFormatting>
  <conditionalFormatting sqref="M14">
    <cfRule type="expression" dxfId="1199" priority="13">
      <formula>ABS(M$16-M$19)&gt;=1000</formula>
    </cfRule>
  </conditionalFormatting>
  <conditionalFormatting sqref="M16">
    <cfRule type="expression" dxfId="1198" priority="12">
      <formula>ABS(M$16-M$19)&gt;=1000</formula>
    </cfRule>
  </conditionalFormatting>
  <conditionalFormatting sqref="M19">
    <cfRule type="expression" dxfId="1197" priority="11">
      <formula>ABS(M$16-M$19)&gt;=1000</formula>
    </cfRule>
  </conditionalFormatting>
  <conditionalFormatting sqref="K13:K20">
    <cfRule type="expression" dxfId="1196" priority="10">
      <formula>ABS(K$16-K$19)&gt;=1000</formula>
    </cfRule>
  </conditionalFormatting>
  <conditionalFormatting sqref="E5">
    <cfRule type="expression" dxfId="1195" priority="9">
      <formula>ABS(E$7-E$10)&gt;=1000</formula>
    </cfRule>
  </conditionalFormatting>
  <conditionalFormatting sqref="AB14:AC14">
    <cfRule type="expression" dxfId="1194" priority="8">
      <formula>ABS(AB$16-AB$19)&gt;=1000</formula>
    </cfRule>
  </conditionalFormatting>
  <conditionalFormatting sqref="M5">
    <cfRule type="expression" dxfId="1193" priority="7">
      <formula>ABS(M$7-M$10)&gt;=1000</formula>
    </cfRule>
  </conditionalFormatting>
  <conditionalFormatting sqref="N5">
    <cfRule type="expression" dxfId="1192" priority="6">
      <formula>ABS(N$7-N$10)&gt;=1000</formula>
    </cfRule>
  </conditionalFormatting>
  <conditionalFormatting sqref="O5">
    <cfRule type="expression" dxfId="1191" priority="5">
      <formula>ABS(O$7-O$10)&gt;=1000</formula>
    </cfRule>
  </conditionalFormatting>
  <conditionalFormatting sqref="P5">
    <cfRule type="expression" dxfId="1190" priority="4">
      <formula>ABS(P$7-P$10)&gt;=1000</formula>
    </cfRule>
  </conditionalFormatting>
  <conditionalFormatting sqref="L23">
    <cfRule type="expression" dxfId="1189" priority="3">
      <formula>ABS(L$25-L$28)&gt;=1000</formula>
    </cfRule>
  </conditionalFormatting>
  <conditionalFormatting sqref="F14">
    <cfRule type="expression" dxfId="1188" priority="2">
      <formula>ABS(F$16-F$19)&gt;=1000</formula>
    </cfRule>
  </conditionalFormatting>
  <conditionalFormatting sqref="AE5">
    <cfRule type="expression" dxfId="1187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54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88">
    <pageSetUpPr fitToPage="1"/>
  </sheetPr>
  <dimension ref="A1:CU223"/>
  <sheetViews>
    <sheetView view="pageBreakPreview" zoomScale="70" zoomScaleNormal="100" zoomScaleSheetLayoutView="70" workbookViewId="0">
      <selection activeCell="L15" sqref="L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46009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65" t="s" ph="1">
        <v>177</v>
      </c>
      <c r="D6" s="71">
        <v>5705</v>
      </c>
      <c r="E6" s="71">
        <v>519</v>
      </c>
      <c r="F6" s="71">
        <v>4425</v>
      </c>
      <c r="G6" s="71">
        <v>6188</v>
      </c>
      <c r="H6" s="71">
        <v>5597</v>
      </c>
      <c r="I6" s="71">
        <v>27.12</v>
      </c>
      <c r="J6" s="71">
        <v>57.51</v>
      </c>
      <c r="K6" s="71">
        <v>6.82</v>
      </c>
      <c r="L6" s="71">
        <v>22.91</v>
      </c>
      <c r="M6" s="71">
        <v>2856</v>
      </c>
      <c r="N6" s="71">
        <v>1052</v>
      </c>
      <c r="O6" s="71">
        <v>895</v>
      </c>
      <c r="P6" s="71">
        <v>2552</v>
      </c>
      <c r="Q6" s="71">
        <v>0</v>
      </c>
      <c r="R6" s="71">
        <v>6562</v>
      </c>
      <c r="S6" s="71">
        <v>4881</v>
      </c>
      <c r="T6" s="71">
        <v>6653</v>
      </c>
      <c r="U6" s="71">
        <v>7022</v>
      </c>
      <c r="V6" s="71">
        <v>4608</v>
      </c>
      <c r="W6" s="71">
        <v>0</v>
      </c>
      <c r="X6" s="71">
        <v>0</v>
      </c>
      <c r="Y6" s="71">
        <v>0</v>
      </c>
      <c r="Z6" s="71">
        <v>4997</v>
      </c>
      <c r="AA6" s="71">
        <v>3074</v>
      </c>
      <c r="AB6" s="71">
        <v>524</v>
      </c>
      <c r="AC6" s="71">
        <v>7703</v>
      </c>
      <c r="AD6" s="71">
        <v>4780</v>
      </c>
      <c r="AE6" s="71">
        <v>4190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179226.41686109998</v>
      </c>
      <c r="E7" s="73" ph="1">
        <f>E6*51.53*LOOKUP(E8,密度!$A$2:$A$50,密度!$B$2:$B$50)</f>
        <v>21012.815799</v>
      </c>
      <c r="F7" s="73" ph="1">
        <f>F6*33.183*LOOKUP(F8,密度!$A$2:$A$50,密度!$C$2:$C$50)</f>
        <v>163647.3567375</v>
      </c>
      <c r="G7" s="73" ph="1">
        <f xml:space="preserve"> (G6+2)*51.53*LOOKUP(G8,密度!$A$2:$A$50,密度!$B$2:$B$50)</f>
        <v>250615.27898999999</v>
      </c>
      <c r="H7" s="73" ph="1">
        <f>(H6)*51.53*LOOKUP(H8,密度!$A$2:$A$50,密度!$B$2:$B$50)</f>
        <v>227039.03635200002</v>
      </c>
      <c r="I7" s="73" ph="1">
        <f>I6*290.8*1.0267</f>
        <v>8097.065443200001</v>
      </c>
      <c r="J7" s="73" ph="1">
        <f>J6*290.8*0.7892</f>
        <v>13198.508193600001</v>
      </c>
      <c r="K7" s="73" ph="1">
        <f>K6*290.8*1.1126</f>
        <v>2206.5706256000003</v>
      </c>
      <c r="L7" s="73" ph="1">
        <f>L6*290.8*0.777</f>
        <v>5176.5511560000004</v>
      </c>
      <c r="M7" s="73" ph="1">
        <f>M6*33.183*LOOKUP(M8,密度!$A$2:$A$50,密度!$D$2:$D$50)</f>
        <v>97822.262865600002</v>
      </c>
      <c r="N7" s="73" ph="1">
        <f>N6*33.183*LOOKUP(N8,密度!$A$2:$A$50,密度!$E$2:$E$50)</f>
        <v>27549.800827200004</v>
      </c>
      <c r="O7" s="73" ph="1">
        <f>O6*20.428*LOOKUP(O8,密度!$A$2:$A$50,密度!$C$2:$C$50)</f>
        <v>20314.307966</v>
      </c>
      <c r="P7" s="73" ph="1">
        <f>P6*51.53*LOOKUP(P8,密度!$A$2:$A$50,密度!$B$2:$B$50)</f>
        <v>103323.13279199999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43508.335701600001</v>
      </c>
      <c r="S7" s="73" ph="1">
        <f>S6*1.5*1.5*3.1416*LOOKUP(S8,密度!$A$2:$A$50,密度!$L$2:$L$50)</f>
        <v>32638.7374236</v>
      </c>
      <c r="T7" s="73" ph="1">
        <f>T6*1.5*1.5*3.1416*LOOKUP(T8,密度!$A$2:$A$50,密度!$L$2:$L$50)</f>
        <v>44487.916426799995</v>
      </c>
      <c r="U7" s="73" ph="1">
        <f>U6*1.5*1.5*3.1416*LOOKUP(U8,密度!$A$2:$A$50,密度!$L$2:$L$50)</f>
        <v>46905.745193999996</v>
      </c>
      <c r="V7" s="73" ph="1">
        <f>V6*1.5*1.5*3.1416*LOOKUP(V8,密度!$A$2:$A$50,密度!$L$2:$L$50)</f>
        <v>30585.210163199998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156695.601195</v>
      </c>
      <c r="AA7" s="73" ph="1">
        <f>AA6*33.183*LOOKUP(AA8,密度!$A$2:$A$50,密度!$D$2:$D$50)</f>
        <v>105380.89234019999</v>
      </c>
      <c r="AB7" s="73" ph="1">
        <f>AB6*20.428*LOOKUP(AB8,密度!$A$2:$A$50,密度!$D$2:$D$50)</f>
        <v>11122.8090352</v>
      </c>
      <c r="AC7" s="73" ph="1">
        <f>AC6*51.53*LOOKUP(AC8,密度!$A$2:$A$50,密度!$Q$2:$Q$50)</f>
        <v>378200.23015200003</v>
      </c>
      <c r="AD7" s="73" ph="1">
        <f>AD6*20.428*LOOKUP(AD8,密度!$A$2:$A$50,密度!$V$2:$V$50)</f>
        <v>93818.123072000002</v>
      </c>
      <c r="AE7" s="73" ph="1">
        <f>AE6*20.428</f>
        <v>85593.32</v>
      </c>
    </row>
    <row r="8" spans="1:99" ph="1">
      <c r="B8" s="247" ph="1"/>
      <c r="C8" s="68" t="s" ph="1">
        <v>179</v>
      </c>
      <c r="D8" s="74">
        <v>25</v>
      </c>
      <c r="E8" s="74">
        <v>18</v>
      </c>
      <c r="F8" s="74">
        <v>17</v>
      </c>
      <c r="G8" s="74">
        <v>18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20</v>
      </c>
      <c r="O8" s="74">
        <v>22</v>
      </c>
      <c r="P8" s="74">
        <v>18</v>
      </c>
      <c r="Q8" s="74">
        <v>20</v>
      </c>
      <c r="R8" s="74">
        <v>24</v>
      </c>
      <c r="S8" s="74">
        <v>16</v>
      </c>
      <c r="T8" s="74">
        <v>16</v>
      </c>
      <c r="U8" s="74">
        <v>17</v>
      </c>
      <c r="V8" s="74">
        <v>23</v>
      </c>
      <c r="W8" s="74">
        <v>19</v>
      </c>
      <c r="X8" s="74">
        <v>18</v>
      </c>
      <c r="Y8" s="74">
        <v>19</v>
      </c>
      <c r="Z8" s="74">
        <v>17</v>
      </c>
      <c r="AA8" s="74">
        <v>18</v>
      </c>
      <c r="AB8" s="74">
        <v>11</v>
      </c>
      <c r="AC8" s="74">
        <v>17</v>
      </c>
      <c r="AD8" s="74">
        <v>21</v>
      </c>
      <c r="AE8" s="74">
        <v>20</v>
      </c>
    </row>
    <row r="9" spans="1:99" ht="26.4" ph="1">
      <c r="B9" s="247" ph="1">
        <v>0.66666666666666663</v>
      </c>
      <c r="C9" s="165" t="s" ph="1">
        <v>180</v>
      </c>
      <c r="D9" s="71">
        <v>6102</v>
      </c>
      <c r="E9" s="71">
        <v>921</v>
      </c>
      <c r="F9" s="71">
        <v>3957</v>
      </c>
      <c r="G9" s="71">
        <v>6190</v>
      </c>
      <c r="H9" s="71">
        <v>5319</v>
      </c>
      <c r="I9" s="71">
        <v>27.12</v>
      </c>
      <c r="J9" s="71">
        <v>25.11</v>
      </c>
      <c r="K9" s="71">
        <v>6.92</v>
      </c>
      <c r="L9" s="71">
        <v>49.21</v>
      </c>
      <c r="M9" s="71">
        <v>2856</v>
      </c>
      <c r="N9" s="71">
        <v>1716</v>
      </c>
      <c r="O9" s="71">
        <v>264</v>
      </c>
      <c r="P9" s="71">
        <v>2041</v>
      </c>
      <c r="Q9" s="71">
        <v>0</v>
      </c>
      <c r="R9" s="71">
        <v>2551</v>
      </c>
      <c r="S9" s="71">
        <v>4884</v>
      </c>
      <c r="T9" s="71">
        <v>6658</v>
      </c>
      <c r="U9" s="71">
        <v>7025</v>
      </c>
      <c r="V9" s="71">
        <v>5542</v>
      </c>
      <c r="W9" s="71">
        <v>2739</v>
      </c>
      <c r="X9" s="71">
        <v>2238</v>
      </c>
      <c r="Y9" s="71">
        <v>0</v>
      </c>
      <c r="Z9" s="71">
        <v>3439</v>
      </c>
      <c r="AA9" s="71">
        <v>2980</v>
      </c>
      <c r="AB9" s="71">
        <v>523</v>
      </c>
      <c r="AC9" s="71">
        <v>7377</v>
      </c>
      <c r="AD9" s="71">
        <v>4780</v>
      </c>
      <c r="AE9" s="71">
        <v>4159</v>
      </c>
    </row>
    <row r="10" spans="1:99" s="72" customFormat="1" ht="22.2" ph="1">
      <c r="B10" s="247" ph="1"/>
      <c r="C10" s="165" t="s" ph="1">
        <v>178</v>
      </c>
      <c r="D10" s="73" ph="1">
        <f>D9*33.183*LOOKUP(D11,密度!$A$2:$A$50,密度!$Q$2:$Q$50)</f>
        <v>191554.67651598001</v>
      </c>
      <c r="E10" s="73" ph="1">
        <f>E9*51.53*LOOKUP(E11,密度!$A$2:$A$50,密度!$B$2:$B$50)</f>
        <v>37169.990616000003</v>
      </c>
      <c r="F10" s="73" ph="1">
        <f>F9*33.183*LOOKUP(F11,密度!$A$2:$A$50,密度!$C$2:$C$50)</f>
        <v>146260.78542089998</v>
      </c>
      <c r="G10" s="73" ph="1">
        <f xml:space="preserve"> (G9+2)*51.53*LOOKUP(G11,密度!$A$2:$A$50,密度!$B$2:$B$50)</f>
        <v>250440.99422400002</v>
      </c>
      <c r="H10" s="73" ph="1">
        <f>(H9)*51.53*LOOKUP(H11,密度!$A$2:$A$50,密度!$B$2:$B$50)</f>
        <v>215350.99659900001</v>
      </c>
      <c r="I10" s="73" ph="1">
        <f>I9*290.8*1.0267</f>
        <v>8097.065443200001</v>
      </c>
      <c r="J10" s="73" ph="1">
        <f>J9*290.8*0.7892</f>
        <v>5762.7289295999999</v>
      </c>
      <c r="K10" s="73" ph="1">
        <f>K9*290.8*1.1126</f>
        <v>2238.9250336</v>
      </c>
      <c r="L10" s="73" ph="1">
        <f>L9*290.8*0.777</f>
        <v>11119.078236000001</v>
      </c>
      <c r="M10" s="73" ph="1">
        <f>M9*33.183*LOOKUP(M11,密度!$A$2:$A$50,密度!$D$2:$D$50)</f>
        <v>97566.382116000008</v>
      </c>
      <c r="N10" s="73" ph="1">
        <f>N9*33.183*LOOKUP(N11,密度!$A$2:$A$50,密度!$E$2:$E$50)</f>
        <v>44733.657196799999</v>
      </c>
      <c r="O10" s="73" ph="1">
        <f>O9*20.428*LOOKUP(O11,密度!$A$2:$A$50,密度!$C$2:$C$50)</f>
        <v>5980.2888288000004</v>
      </c>
      <c r="P10" s="73" ph="1">
        <f>P9*51.53*LOOKUP(P11,密度!$A$2:$A$50,密度!$B$2:$B$50)</f>
        <v>82465.937592999995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16895.982688200002</v>
      </c>
      <c r="S10" s="73" ph="1">
        <f>S9*1.5*1.5*3.1416*LOOKUP(S11,密度!$A$2:$A$50,密度!$L$2:$L$50)</f>
        <v>32624.275067999995</v>
      </c>
      <c r="T10" s="73" ph="1">
        <f>T9*1.5*1.5*3.1416*LOOKUP(T11,密度!$A$2:$A$50,密度!$L$2:$L$50)</f>
        <v>44474.288165999998</v>
      </c>
      <c r="U10" s="73" ph="1">
        <f>U9*1.5*1.5*3.1416*LOOKUP(U11,密度!$A$2:$A$50,密度!$L$2:$L$50)</f>
        <v>46776.813929999997</v>
      </c>
      <c r="V10" s="73" ph="1">
        <f>V9*1.5*1.5*3.1416*LOOKUP(V11,密度!$A$2:$A$50,密度!$L$2:$L$50)</f>
        <v>36706.207784400001</v>
      </c>
      <c r="W10" s="73" ph="1">
        <f>W9*1.5*1.5*3.1416*LOOKUP(W11,密度!$A$2:$A$50,密度!$L$2:$L$50)</f>
        <v>18257.324362200001</v>
      </c>
      <c r="X10" s="73" ph="1">
        <f>X9*1.5*1.5*3.1416*LOOKUP(X11,密度!$A$2:$A$50,密度!$L$2:$L$50)</f>
        <v>14901.994245599999</v>
      </c>
      <c r="Y10" s="73" ph="1">
        <f>Y9*1.5*1.5*3.1416*LOOKUP(Y11,密度!$A$2:$A$50,密度!$L$2:$L$50)</f>
        <v>0</v>
      </c>
      <c r="Z10" s="73" ph="1">
        <f>Z9*33.183*LOOKUP(Z11,密度!$A$2:$A$50,密度!$L$2:$L$50)</f>
        <v>107725.822128</v>
      </c>
      <c r="AA10" s="73" ph="1">
        <f>AA9*33.183*LOOKUP(AA11,密度!$A$2:$A$50,密度!$D$2:$D$50)</f>
        <v>101990.339676</v>
      </c>
      <c r="AB10" s="73" ph="1">
        <f>AB9*20.428*LOOKUP(AB11,密度!$A$2:$A$50,密度!$D$2:$D$50)</f>
        <v>11064.188846400002</v>
      </c>
      <c r="AC10" s="73" ph="1">
        <f>AC9*51.53*LOOKUP(AC11,密度!$A$2:$A$50,密度!$Q$2:$Q$50)</f>
        <v>361597.53777629999</v>
      </c>
      <c r="AD10" s="73" ph="1">
        <f>AD9*20.428*LOOKUP(AD11,密度!$A$2:$A$50,密度!$V$2:$V$50)</f>
        <v>94130.589760000003</v>
      </c>
      <c r="AE10" s="73" ph="1">
        <f>AE9*20.428</f>
        <v>84960.052000000011</v>
      </c>
    </row>
    <row r="11" spans="1:99" ph="1">
      <c r="A11" s="64" t="s" ph="1">
        <v>162</v>
      </c>
      <c r="B11" s="247" ph="1"/>
      <c r="C11" s="165" t="s" ph="1">
        <v>179</v>
      </c>
      <c r="D11" s="74">
        <v>26</v>
      </c>
      <c r="E11" s="74">
        <v>21</v>
      </c>
      <c r="F11" s="74">
        <v>18</v>
      </c>
      <c r="G11" s="74">
        <v>19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23</v>
      </c>
      <c r="O11" s="74">
        <v>25</v>
      </c>
      <c r="P11" s="74">
        <v>20</v>
      </c>
      <c r="Q11" s="74">
        <v>28</v>
      </c>
      <c r="R11" s="74">
        <v>25</v>
      </c>
      <c r="S11" s="74">
        <v>17</v>
      </c>
      <c r="T11" s="74">
        <v>17</v>
      </c>
      <c r="U11" s="74">
        <v>20</v>
      </c>
      <c r="V11" s="74">
        <v>25</v>
      </c>
      <c r="W11" s="74">
        <v>19</v>
      </c>
      <c r="X11" s="74">
        <v>20</v>
      </c>
      <c r="Y11" s="74">
        <v>22</v>
      </c>
      <c r="Z11" s="74">
        <v>18</v>
      </c>
      <c r="AA11" s="74">
        <v>20</v>
      </c>
      <c r="AB11" s="74">
        <v>15</v>
      </c>
      <c r="AC11" s="74">
        <v>19</v>
      </c>
      <c r="AD11" s="74">
        <v>19</v>
      </c>
      <c r="AE11" s="74">
        <v>22</v>
      </c>
    </row>
    <row r="12" spans="1:99" ht="9.9" customHeight="1" ph="1"/>
    <row r="13" spans="1:99" s="72" customFormat="1" ht="29.25" customHeight="1" ph="1">
      <c r="B13" s="224" t="s" ph="1">
        <v>37</v>
      </c>
      <c r="C13" s="16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65" t="s" ph="1">
        <v>177</v>
      </c>
      <c r="D15" s="78">
        <v>5972</v>
      </c>
      <c r="E15" s="78">
        <v>1282</v>
      </c>
      <c r="F15" s="78">
        <v>2861</v>
      </c>
      <c r="G15" s="78">
        <v>4809</v>
      </c>
      <c r="H15" s="78">
        <v>4138</v>
      </c>
      <c r="I15" s="78">
        <v>432</v>
      </c>
      <c r="J15" s="78">
        <v>5236</v>
      </c>
      <c r="K15" s="78">
        <v>2384</v>
      </c>
      <c r="L15" s="78">
        <v>2529</v>
      </c>
      <c r="M15" s="78">
        <v>6833</v>
      </c>
      <c r="N15" s="78">
        <v>3122</v>
      </c>
      <c r="O15" s="78">
        <v>4282</v>
      </c>
      <c r="P15" s="78">
        <v>5210</v>
      </c>
      <c r="Q15" s="78">
        <v>6972</v>
      </c>
      <c r="R15" s="78">
        <v>7365</v>
      </c>
      <c r="S15" s="78">
        <v>6152</v>
      </c>
      <c r="T15" s="78">
        <v>5081</v>
      </c>
      <c r="U15" s="78">
        <v>2085</v>
      </c>
      <c r="V15" s="78">
        <v>5007</v>
      </c>
      <c r="W15" s="71">
        <v>3386</v>
      </c>
      <c r="X15" s="78">
        <v>669</v>
      </c>
      <c r="Y15" s="106">
        <v>-9903</v>
      </c>
      <c r="Z15" s="78">
        <v>0</v>
      </c>
      <c r="AA15" s="78">
        <v>11</v>
      </c>
      <c r="AB15" s="78" ph="1">
        <v>1091</v>
      </c>
      <c r="AC15" s="78" ph="1">
        <v>28</v>
      </c>
      <c r="AD15" s="78">
        <v>5.92</v>
      </c>
      <c r="AE15" s="78">
        <v>25.91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65" t="s" ph="1">
        <v>178</v>
      </c>
      <c r="D16" s="73" ph="1">
        <f>D15*7.0686*LOOKUP(D17,密度!$A$2:$A$50,密度!$L$2:$L$50)</f>
        <v>39765.285806399996</v>
      </c>
      <c r="E16" s="73" ph="1">
        <f>E15*7.0686*LOOKUP(E17,密度!$A$2:$A$50,密度!$L$2:$L$50)</f>
        <v>8545.4143236</v>
      </c>
      <c r="F16" s="73" ph="1">
        <f>F15*9.0746*LOOKUP(F17,密度!$A$2:$A$50,密度!$L$2:$L$50)</f>
        <v>24404.684763999998</v>
      </c>
      <c r="G16" s="73" ph="1">
        <f>G15*9.0746*LOOKUP(G17,密度!$A$2:$A$50,密度!$B$2:$B$50)</f>
        <v>34252.840873860005</v>
      </c>
      <c r="H16" s="73" ph="1">
        <f>H15*9.0746*LOOKUP(H17,密度!$A$2:$A$50,密度!$L$2:$L$50)</f>
        <v>35522.957280799994</v>
      </c>
      <c r="I16" s="73" ph="1">
        <f>I15*9.0746*LOOKUP(I17,密度!$A$2:$A$50,密度!$U$2:$U$50)</f>
        <v>4029.9935616000002</v>
      </c>
      <c r="J16" s="73" ph="1">
        <f>J15*9.0746*LOOKUP(J17,密度!$A$2:$A$50,密度!$L$2:$L$50)</f>
        <v>44758.758475199997</v>
      </c>
      <c r="K16" s="73" ph="1">
        <f>K15*9.0746*LOOKUP(K17,密度!$A$2:$A$50,密度!$C$2:$C$50)</f>
        <v>24097.941504959999</v>
      </c>
      <c r="L16" s="73" ph="1">
        <f>L15*9.0746*LOOKUP(L17,密度!$A$2:$A$50,密度!$E$2:$E$50)</f>
        <v>18111.874355280001</v>
      </c>
      <c r="M16" s="73" ph="1">
        <f>M15*9.0746*LOOKUP(M17,密度!$A$2:$A$50,密度!$M$2:$M$50)</f>
        <v>54584.534806540003</v>
      </c>
      <c r="N16" s="73" ph="1">
        <f>N15*9.0746*LOOKUP(N17,密度!$A$2:$A$50,密度!$M$2:$M$50)</f>
        <v>24939.69232636</v>
      </c>
      <c r="O16" s="73" ph="1">
        <f>O15*9.0746*LOOKUP(O17,密度!$A$2:$A$50,密度!$G$2:$G$50)</f>
        <v>37450.79797336</v>
      </c>
      <c r="P16" s="73" ph="1">
        <f ca="1">P15*9.0746*LOOKUP(P17,密度!$A$2:$A$51,密度!$Q$2:$Q$50)</f>
        <v>44932.698593080007</v>
      </c>
      <c r="Q16" s="73" ph="1">
        <f>Q15*9.0746*LOOKUP(Q17,密度!$A$2:$A$50,密度!$Q$2:$Q$50)</f>
        <v>60128.747522256002</v>
      </c>
      <c r="R16" s="73" ph="1">
        <f>MAX(R15*9.0746*LOOKUP(R17,密度!$A$2:$A$50,密度!$B$2:$B$50),0)</f>
        <v>52344.724792800007</v>
      </c>
      <c r="S16" s="73" ph="1">
        <f>S15*9.0746*LOOKUP(S17,密度!$A$2:$A$50,密度!$Q$2:$Q$50)</f>
        <v>53104.259375216003</v>
      </c>
      <c r="T16" s="73" ph="1">
        <f>T15*9.0746*LOOKUP(T17,密度!$A$2:$A$50,密度!$O$2:$O$50)</f>
        <v>43064.911788400001</v>
      </c>
      <c r="U16" s="73" ph="1">
        <f>U15*9.0746*LOOKUP(U17,密度!$A$2:$A$50,密度!$H$2:$H$50)</f>
        <v>17457.983180700001</v>
      </c>
      <c r="V16" s="73" ph="1">
        <f>MAX(5600*LOOKUP(V17,密度!$A$2:$A$50,密度!$Q$2:$Q$50)+V15*9.0476*LOOKUP(V17,密度!$A$2:$A$50,密度!$Q$2:$Q$50),0)</f>
        <v>48375.609046615988</v>
      </c>
      <c r="W16" s="73" ph="1">
        <f>MAX(5600*LOOKUP(W17,密度!$A$2:$A$50,密度!$Q$2:$Q$50)+W15*9.0476*LOOKUP(W17,密度!$A$2:$A$50,密度!$Q$2:$Q$50),0)</f>
        <v>34412.182016184001</v>
      </c>
      <c r="X16" s="73" ph="1">
        <f>MAX(5600*LOOKUP(X17,密度!$A$2:$A$50,密度!$I$2:$I$50)+X15*9.0476*LOOKUP(X17,密度!$A$2:$A$50,密度!$I$2:$I$50),0)</f>
        <v>12158.577846960001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78.429045419999994</v>
      </c>
      <c r="AB16" s="73" ph="1">
        <f>AB15*9.0746*LOOKUP(AB17,密度!$A$2:$A$50,密度!$L$2:$L$50)</f>
        <v>9336.0664498000006</v>
      </c>
      <c r="AC16" s="73" ph="1">
        <f>AC15*9.0746*LOOKUP(AC17,密度!$A$2:$A$50,密度!$L$2:$L$50)</f>
        <v>240.11391599999999</v>
      </c>
      <c r="AD16" s="73" ph="1">
        <f>AD15*268.68*LOOKUP(AD17,密度!$A$2:$A$50,密度!B2:B50)+IF(AD15&lt;=0,0,1566*LOOKUP(AD17,密度!$A$2:$A$50,密度!B2:B50))</f>
        <v>2460.8741337599999</v>
      </c>
      <c r="AE16" s="73" ph="1">
        <f>AE15*268.68*LOOKUP(AE17,密度!$A$2:$A$50,密度!B2:B50)+IF(AE15&lt;=0,0,1566*LOOKUP(AE17,密度!$A$2:$A$50,密度!B2:B50))</f>
        <v>6648.0380644800007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20</v>
      </c>
      <c r="E17" s="74">
        <v>19</v>
      </c>
      <c r="F17" s="74">
        <v>22</v>
      </c>
      <c r="G17" s="74">
        <v>19</v>
      </c>
      <c r="H17" s="74">
        <v>16</v>
      </c>
      <c r="I17" s="74">
        <v>17</v>
      </c>
      <c r="J17" s="74">
        <v>20</v>
      </c>
      <c r="K17" s="74">
        <v>18</v>
      </c>
      <c r="L17" s="74">
        <v>20</v>
      </c>
      <c r="M17" s="74">
        <v>20</v>
      </c>
      <c r="N17" s="74">
        <v>19</v>
      </c>
      <c r="O17" s="74">
        <v>22</v>
      </c>
      <c r="P17" s="74">
        <v>20</v>
      </c>
      <c r="Q17" s="74">
        <v>20</v>
      </c>
      <c r="R17" s="74">
        <v>21</v>
      </c>
      <c r="S17" s="74">
        <v>19</v>
      </c>
      <c r="T17" s="74">
        <v>19</v>
      </c>
      <c r="U17" s="74">
        <v>17</v>
      </c>
      <c r="V17" s="74">
        <v>20</v>
      </c>
      <c r="W17" s="74">
        <v>21</v>
      </c>
      <c r="X17" s="74">
        <v>24</v>
      </c>
      <c r="Y17" s="108">
        <v>24</v>
      </c>
      <c r="Z17" s="74">
        <v>19</v>
      </c>
      <c r="AA17" s="74">
        <v>18</v>
      </c>
      <c r="AB17" s="74">
        <v>19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5981</v>
      </c>
      <c r="E18" s="71">
        <v>2741</v>
      </c>
      <c r="F18" s="71">
        <v>3123</v>
      </c>
      <c r="G18" s="71">
        <v>3446</v>
      </c>
      <c r="H18" s="71">
        <v>4140</v>
      </c>
      <c r="I18" s="71">
        <v>2671</v>
      </c>
      <c r="J18" s="71">
        <v>5241</v>
      </c>
      <c r="K18" s="71">
        <v>2384</v>
      </c>
      <c r="L18" s="71">
        <v>5354</v>
      </c>
      <c r="M18" s="71">
        <v>6843</v>
      </c>
      <c r="N18" s="71">
        <v>3124</v>
      </c>
      <c r="O18" s="71">
        <v>4608</v>
      </c>
      <c r="P18" s="71">
        <v>3606</v>
      </c>
      <c r="Q18" s="71">
        <v>6978</v>
      </c>
      <c r="R18" s="71">
        <v>7377</v>
      </c>
      <c r="S18" s="71">
        <v>6159</v>
      </c>
      <c r="T18" s="71">
        <v>3776</v>
      </c>
      <c r="U18" s="71">
        <v>2085</v>
      </c>
      <c r="V18" s="71">
        <v>5007</v>
      </c>
      <c r="W18" s="71">
        <v>3385</v>
      </c>
      <c r="X18" s="71">
        <v>665</v>
      </c>
      <c r="Y18" s="109">
        <v>-9905</v>
      </c>
      <c r="Z18" s="71">
        <v>0</v>
      </c>
      <c r="AA18" s="71">
        <v>10</v>
      </c>
      <c r="AB18" s="71">
        <v>1486</v>
      </c>
      <c r="AC18" s="71">
        <v>20</v>
      </c>
      <c r="AD18" s="71">
        <v>5.82</v>
      </c>
      <c r="AE18" s="71">
        <v>78.11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65" t="s" ph="1">
        <v>178</v>
      </c>
      <c r="D19" s="73" ph="1">
        <f>D18*7.0686*LOOKUP(D20,密度!$A$2:$A$50,密度!$L$2:$L$50)</f>
        <v>39740.658803999999</v>
      </c>
      <c r="E19" s="73" ph="1">
        <f>E18*7.0686*LOOKUP(E20,密度!$A$2:$A$50,密度!$L$2:$L$50)</f>
        <v>18193.155611399998</v>
      </c>
      <c r="F19" s="73" ph="1">
        <f>F18*9.0746*LOOKUP(F20,密度!$A$2:$A$50,密度!$L$2:$L$50)</f>
        <v>26582.8973004</v>
      </c>
      <c r="G19" s="73" ph="1">
        <f>G18*9.0746*LOOKUP(G20,密度!$A$2:$A$50,密度!$B$2:$B$50)</f>
        <v>24491.503277119999</v>
      </c>
      <c r="H19" s="73" ph="1">
        <f>H18*9.0746*LOOKUP(H20,密度!$A$2:$A$50,密度!$L$2:$L$50)</f>
        <v>35540.126423999995</v>
      </c>
      <c r="I19" s="73" ph="1">
        <f>I18*9.0746*LOOKUP(I20,密度!$A$2:$A$50,密度!$U$2:$U$50)</f>
        <v>24916.927784800002</v>
      </c>
      <c r="J19" s="73" ph="1">
        <f>J18*9.0746*LOOKUP(J20,密度!$A$2:$A$50,密度!$L$2:$L$50)</f>
        <v>44706.379884000002</v>
      </c>
      <c r="K19" s="73" ph="1">
        <f>K18*9.0746*LOOKUP(K20,密度!$A$2:$A$50,密度!$C$2:$C$50)</f>
        <v>24054.673812160006</v>
      </c>
      <c r="L19" s="73" ph="1">
        <f>L18*9.0746*LOOKUP(L20,密度!$A$2:$A$50,密度!$E$2:$E$50)</f>
        <v>38285.301819200002</v>
      </c>
      <c r="M19" s="73" ph="1">
        <f>M18*9.0746*LOOKUP(M20,密度!$A$2:$A$50,密度!$M$2:$M$50)</f>
        <v>54521.594288400003</v>
      </c>
      <c r="N19" s="73" ph="1">
        <f>N18*9.0746*LOOKUP(N20,密度!$A$2:$A$50,密度!$M$2:$M$50)</f>
        <v>24921.650206639999</v>
      </c>
      <c r="O19" s="73" ph="1">
        <f>O18*9.0746*LOOKUP(O20,密度!$A$2:$A$50,密度!$G$2:$G$50)</f>
        <v>40302.026403840006</v>
      </c>
      <c r="P19" s="73" ph="1">
        <f ca="1">P18*9.0746*LOOKUP(P20,密度!$A$2:$A$51,密度!$Q$2:$Q$50)</f>
        <v>31027.955806320002</v>
      </c>
      <c r="Q19" s="73" ph="1">
        <f>Q18*9.0746*LOOKUP(Q20,密度!$A$2:$A$50,密度!$Q$2:$Q$50)</f>
        <v>60098.807331491997</v>
      </c>
      <c r="R19" s="73" ph="1">
        <f>MAX(R18*9.0746*LOOKUP(R20,密度!$A$2:$A$50,密度!$B$2:$B$50),0)</f>
        <v>52249.264538100004</v>
      </c>
      <c r="S19" s="73" ph="1">
        <f>S18*9.0746*LOOKUP(S20,密度!$A$2:$A$50,密度!$Q$2:$Q$50)</f>
        <v>53078.612286966003</v>
      </c>
      <c r="T19" s="73" ph="1">
        <f>T18*9.0746*LOOKUP(T20,密度!$A$2:$A$50,密度!$O$2:$O$50)</f>
        <v>31730.028569599999</v>
      </c>
      <c r="U19" s="73" ph="1">
        <f>U18*9.0746*LOOKUP(U20,密度!$A$2:$A$50,密度!$H$2:$H$50)</f>
        <v>17420.142098700002</v>
      </c>
      <c r="V19" s="73" ph="1">
        <f>MAX(5600*LOOKUP(V20,密度!$A$2:$A$50,密度!$Q$2:$Q$50)+V18*9.0476*LOOKUP(V20,密度!$A$2:$A$50,密度!$Q$2:$Q$50),0)</f>
        <v>48309.946326787998</v>
      </c>
      <c r="W19" s="73" ph="1">
        <f>MAX(5600*LOOKUP(W20,密度!$A$2:$A$50,密度!$Q$2:$Q$50)+W18*9.0476*LOOKUP(W20,密度!$A$2:$A$50,密度!$Q$2:$Q$50),0)</f>
        <v>34323.167601219997</v>
      </c>
      <c r="X19" s="73" ph="1">
        <f>MAX(5600*LOOKUP(X20,密度!$A$2:$A$50,密度!$I$2:$I$50)+X18*9.0476*LOOKUP(X20,密度!$A$2:$A$50,密度!$I$2:$I$50),0)</f>
        <v>12120.816783600001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70.990595800000008</v>
      </c>
      <c r="AB19" s="73" ph="1">
        <f>AB18*9.0746*LOOKUP(AB20,密度!$A$2:$A$50,密度!$L$2:$L$50)</f>
        <v>12648.7945528</v>
      </c>
      <c r="AC19" s="73" ph="1">
        <f>AC18*9.0746*LOOKUP(AC20,密度!$A$2:$A$50,密度!$L$2:$L$50)</f>
        <v>170.965464</v>
      </c>
      <c r="AD19" s="73" ph="1">
        <f>AD18*268.68*LOOKUP(AD20,密度!$A$2:$A$50,密度!B5:B53)+IF(AD18&lt;=0,0,1566*LOOKUP(AD20,密度!$A$2:$A$50,密度!B5:B53))</f>
        <v>2431.7905752000001</v>
      </c>
      <c r="AE19" s="73" ph="1">
        <f>AE18*268.68*LOOKUP(AE20,密度!$A$2:$A$50,密度!B5:B53)+IF(AE18&lt;=0,0,1566*LOOKUP(AE20,密度!$A$2:$A$50,密度!B5:B53))</f>
        <v>17523.366159599998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22</v>
      </c>
      <c r="E20" s="81">
        <v>23</v>
      </c>
      <c r="F20" s="81">
        <v>24</v>
      </c>
      <c r="G20" s="81">
        <v>21</v>
      </c>
      <c r="H20" s="81">
        <v>16</v>
      </c>
      <c r="I20" s="81">
        <v>22</v>
      </c>
      <c r="J20" s="81">
        <v>22</v>
      </c>
      <c r="K20" s="81">
        <v>21</v>
      </c>
      <c r="L20" s="81">
        <v>21</v>
      </c>
      <c r="M20" s="81">
        <v>22</v>
      </c>
      <c r="N20" s="81">
        <v>21</v>
      </c>
      <c r="O20" s="81">
        <v>22</v>
      </c>
      <c r="P20" s="81">
        <v>23</v>
      </c>
      <c r="Q20" s="81">
        <v>22</v>
      </c>
      <c r="R20" s="81">
        <v>24</v>
      </c>
      <c r="S20" s="81">
        <v>21</v>
      </c>
      <c r="T20" s="81">
        <v>25</v>
      </c>
      <c r="U20" s="81">
        <v>19</v>
      </c>
      <c r="V20" s="81">
        <v>22</v>
      </c>
      <c r="W20" s="81">
        <v>24</v>
      </c>
      <c r="X20" s="81">
        <v>24</v>
      </c>
      <c r="Y20" s="110">
        <v>24</v>
      </c>
      <c r="Z20" s="81">
        <v>25</v>
      </c>
      <c r="AA20" s="81">
        <v>22</v>
      </c>
      <c r="AB20" s="81">
        <v>24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646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65" t="s" ph="1">
        <v>177</v>
      </c>
      <c r="D24" s="71">
        <v>5.0199999999999996</v>
      </c>
      <c r="E24" s="71">
        <v>5.51</v>
      </c>
      <c r="F24" s="71">
        <v>723</v>
      </c>
      <c r="G24" s="71">
        <v>3845</v>
      </c>
      <c r="H24" s="71">
        <v>2800</v>
      </c>
      <c r="I24" s="71">
        <v>1052</v>
      </c>
      <c r="J24" s="71">
        <v>5272</v>
      </c>
      <c r="K24" s="71">
        <v>4912</v>
      </c>
      <c r="L24" s="71">
        <v>5551</v>
      </c>
      <c r="M24" s="71">
        <v>4878</v>
      </c>
      <c r="N24" s="71">
        <v>3364</v>
      </c>
      <c r="O24" s="71">
        <v>5728</v>
      </c>
      <c r="P24" s="71">
        <v>650</v>
      </c>
      <c r="Q24" s="90">
        <v>3005</v>
      </c>
      <c r="R24" s="71">
        <v>4211</v>
      </c>
      <c r="S24" s="71">
        <v>2441</v>
      </c>
      <c r="T24" s="71">
        <v>160</v>
      </c>
      <c r="U24" s="71">
        <v>4634</v>
      </c>
      <c r="V24" s="71">
        <v>8837</v>
      </c>
      <c r="W24" s="71">
        <v>1397</v>
      </c>
      <c r="X24" s="71">
        <v>3567</v>
      </c>
      <c r="Y24" s="71">
        <v>1705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2759.5327580640001</v>
      </c>
      <c r="E25" s="91" ph="1">
        <f>E24*268.68*LOOKUP(E26,密度!$A$2:$A$50,密度!$C$2:$C$50)+IF(E24&lt;=0,0,1566*LOOKUP(E26,密度!$A$2:$A$50,密度!$C$2:$C$50))</f>
        <v>3378.1826785200001</v>
      </c>
      <c r="F25" s="91" ph="1">
        <f>F24*11.702*LOOKUP(F26,密度!$A$2:$A$50,密度!$Q$2:$Q$50)</f>
        <v>8040.7337074800007</v>
      </c>
      <c r="G25" s="91" ph="1">
        <f>G24*18.322*LOOKUP(G26,密度!$A$2:$A$50,密度!$B$2:$B$50)</f>
        <v>55351.064312999995</v>
      </c>
      <c r="H25" s="91" ph="1">
        <f>H24*18.322*LOOKUP(H26,密度!$A$2:$A$50,密度!$B$2:$B$50)</f>
        <v>40266.625840000001</v>
      </c>
      <c r="I25" s="91" ph="1">
        <f>I24*18.322*LOOKUP(I26,密度!$A$2:$A$50,密度!$Q$2:$Q$50)</f>
        <v>18334.71473512</v>
      </c>
      <c r="J25" s="91" ph="1">
        <f>J24*18.322*LOOKUP(J26,密度!$A$2:$A$50,密度!$Q$2:$Q$50)</f>
        <v>91958.057903840003</v>
      </c>
      <c r="K25" s="91" ph="1">
        <f>K24*18.322*LOOKUP(K26,密度!$A$2:$A$50,密度!$Q$2:$Q$50)</f>
        <v>85608.477926719992</v>
      </c>
      <c r="L25" s="91" ph="1">
        <f>L24*18.322*LOOKUP(L26,密度!$A$2:$A$50,密度!$Q$2:$Q$50)</f>
        <v>96658.798960359985</v>
      </c>
      <c r="M25" s="91" ph="1">
        <f>M24*18.322*LOOKUP(M26,密度!$A$2:$A$50,密度!$Q$2:$Q$50)</f>
        <v>84878.274038040006</v>
      </c>
      <c r="N25" s="91" ph="1">
        <f>N24*18.322*LOOKUP(N26,密度!$A$2:$A$50,密度!$Q$2:$Q$50)</f>
        <v>58576.868979040002</v>
      </c>
      <c r="O25" s="91" ph="1">
        <f>O24*18.322*LOOKUP(O26,密度!$A$2:$A$50,密度!$C$2:$C$50)</f>
        <v>116828.5766912</v>
      </c>
      <c r="P25" s="91" ph="1">
        <f>P24*11.702*LOOKUP(P26,密度!$A$2:$A$50,密度!$B$2:$B$50)</f>
        <v>5976.26991</v>
      </c>
      <c r="Q25" s="92" ph="1">
        <f>Q24*18.322*LOOKUP(Q26,密度!$A$2:$A$50,密度!$B$2:$B$50)</f>
        <v>43214.718089000002</v>
      </c>
      <c r="R25" s="91" ph="1">
        <f>R24*35.891*LOOKUP(R26,密度!$A$2:$A$50,密度!$C$2:$C$50)</f>
        <v>168351.50541389998</v>
      </c>
      <c r="S25" s="91" ph="1">
        <f>S24*35.891*LOOKUP(S26,密度!$A$2:$A$50,密度!$B$2:$B$50)</f>
        <v>68694.946897100002</v>
      </c>
      <c r="T25" s="91" ph="1">
        <f>T24*35.891*LOOKUP(T26,密度!$A$2:$A$50,密度!$Q$2:$Q$50)</f>
        <v>5466.9745456000001</v>
      </c>
      <c r="U25" s="91" ph="1">
        <f>U24*35.891</f>
        <v>166318.894</v>
      </c>
      <c r="V25" s="91" ph="1">
        <f>V24*47.051*LOOKUP(V26,密度!$A$2:$A$50,密度!$B$2:$B$50)</f>
        <v>326685.95707589999</v>
      </c>
      <c r="W25" s="91" ph="1">
        <f>W24*47.051*LOOKUP(W26,密度!$A$2:$A$50,密度!$B$2:$B$50)</f>
        <v>51539.086672700003</v>
      </c>
      <c r="X25" s="91" ph="1">
        <f>X24*47.051*LOOKUP(X26,密度!$A$2:$A$61,密度!$I$2:$I$61)</f>
        <v>172681.23050130002</v>
      </c>
      <c r="Y25" s="91" ph="1">
        <f>Y24*47.051*LOOKUP(Y26,密度!$A$2:$A$50,密度!$L$2:$L$50)</f>
        <v>75569.081609999994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20</v>
      </c>
      <c r="G26" s="74">
        <v>18</v>
      </c>
      <c r="H26" s="74">
        <v>19</v>
      </c>
      <c r="I26" s="74">
        <v>19</v>
      </c>
      <c r="J26" s="74">
        <v>18</v>
      </c>
      <c r="K26" s="74">
        <v>19</v>
      </c>
      <c r="L26" s="74">
        <v>20</v>
      </c>
      <c r="M26" s="74">
        <v>21</v>
      </c>
      <c r="N26" s="74">
        <v>20</v>
      </c>
      <c r="O26" s="74">
        <v>19</v>
      </c>
      <c r="P26" s="74">
        <v>18</v>
      </c>
      <c r="Q26" s="93">
        <v>19</v>
      </c>
      <c r="R26" s="74">
        <v>18</v>
      </c>
      <c r="S26" s="74">
        <v>20</v>
      </c>
      <c r="T26" s="74">
        <v>18</v>
      </c>
      <c r="U26" s="74">
        <v>19</v>
      </c>
      <c r="V26" s="74">
        <v>18</v>
      </c>
      <c r="W26" s="74">
        <v>20</v>
      </c>
      <c r="X26" s="74">
        <v>37</v>
      </c>
      <c r="Y26" s="74">
        <v>20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65" t="s" ph="1">
        <v>180</v>
      </c>
      <c r="D27" s="71">
        <v>5.0199999999999996</v>
      </c>
      <c r="E27" s="71">
        <v>49.01</v>
      </c>
      <c r="F27" s="71">
        <v>722</v>
      </c>
      <c r="G27" s="71">
        <v>3382</v>
      </c>
      <c r="H27" s="71">
        <v>2211</v>
      </c>
      <c r="I27" s="71">
        <v>199</v>
      </c>
      <c r="J27" s="71">
        <v>5274</v>
      </c>
      <c r="K27" s="71">
        <v>4913</v>
      </c>
      <c r="L27" s="71">
        <v>5550</v>
      </c>
      <c r="M27" s="71">
        <v>4879</v>
      </c>
      <c r="N27" s="71">
        <v>5589</v>
      </c>
      <c r="O27" s="71">
        <v>5727</v>
      </c>
      <c r="P27" s="71">
        <v>645</v>
      </c>
      <c r="Q27" s="90">
        <v>3244</v>
      </c>
      <c r="R27" s="71">
        <v>4023</v>
      </c>
      <c r="S27" s="71">
        <v>2440</v>
      </c>
      <c r="T27" s="71">
        <v>158</v>
      </c>
      <c r="U27" s="71">
        <v>4484</v>
      </c>
      <c r="V27" s="71">
        <v>8838</v>
      </c>
      <c r="W27" s="71">
        <v>1395</v>
      </c>
      <c r="X27" s="71">
        <v>3695</v>
      </c>
      <c r="Y27" s="71">
        <v>2319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65" t="s" ph="1">
        <v>178</v>
      </c>
      <c r="D28" s="91" ph="1">
        <f>D27*268.68*LOOKUP(D29,密度!$A$2:$A$50,密度!$Q$2:$Q$50)+IF(D27&lt;=0,0,1566*LOOKUP(D29,密度!$A$2:$A$50,密度!$Q$2:$Q$50))</f>
        <v>2759.5327580640001</v>
      </c>
      <c r="E28" s="91" ph="1">
        <f>E27*268.68*LOOKUP(E29,密度!$A$2:$A$50,密度!$C$2:$C$50)+IF(E27&lt;=0,0,1566*LOOKUP(E29,密度!$A$2:$A$50,密度!$C$2:$C$50))</f>
        <v>16338.540140519999</v>
      </c>
      <c r="F28" s="91" ph="1">
        <f>F27*11.702*LOOKUP(F29,密度!$A$2:$A$50,密度!$Q$2:$Q$50)</f>
        <v>8029.6123607199988</v>
      </c>
      <c r="G28" s="91" ph="1">
        <f>G27*18.322*LOOKUP(G29,密度!$A$2:$A$50,密度!$B$2:$B$50)</f>
        <v>48586.759636399998</v>
      </c>
      <c r="H28" s="91" ph="1">
        <f>H27*18.322*LOOKUP(H29,密度!$A$2:$A$50,密度!$B$2:$B$50)</f>
        <v>31763.845522199998</v>
      </c>
      <c r="I28" s="91" ph="1">
        <f>I27*18.322*LOOKUP(I29,密度!$A$2:$A$50,密度!$Q$2:$Q$50)</f>
        <v>3465.1596096399999</v>
      </c>
      <c r="J28" s="91" ph="1">
        <f>J27*18.322*LOOKUP(J29,密度!$A$2:$A$50,密度!$Q$2:$Q$50)</f>
        <v>91835.436086640009</v>
      </c>
      <c r="K28" s="91" ph="1">
        <f>K27*18.322*LOOKUP(K29,密度!$A$2:$A$50,密度!$Q$2:$Q$50)</f>
        <v>85487.281744339998</v>
      </c>
      <c r="L28" s="91" ph="1">
        <f>L27*18.322*LOOKUP(L29,密度!$A$2:$A$50,密度!$Q$2:$Q$50)</f>
        <v>96727.820132999987</v>
      </c>
      <c r="M28" s="91" ph="1">
        <f>M27*18.322*LOOKUP(M29,密度!$A$2:$A$50,密度!$Q$2:$Q$50)</f>
        <v>84957.355454439996</v>
      </c>
      <c r="N28" s="91" ph="1">
        <f>N27*18.322*LOOKUP(N29,密度!$A$2:$A$50,密度!$Q$2:$Q$50)</f>
        <v>97188.389591219995</v>
      </c>
      <c r="O28" s="91" ph="1">
        <f>O27*18.322*LOOKUP(O29,密度!$A$2:$A$50,密度!$C$2:$C$50)</f>
        <v>116671.77151860001</v>
      </c>
      <c r="P28" s="91" ph="1">
        <f>P27*11.702*LOOKUP(P29,密度!$A$2:$A$50,密度!$B$2:$B$50)</f>
        <v>5904.636117</v>
      </c>
      <c r="Q28" s="92" ph="1">
        <f>Q27*18.322*LOOKUP(Q29,密度!$A$2:$A$50,密度!$B$2:$B$50)</f>
        <v>46651.762223199999</v>
      </c>
      <c r="R28" s="91" ph="1">
        <f>R27*35.891*LOOKUP(R29,密度!$A$2:$A$50,密度!$C$2:$C$50)</f>
        <v>160734.38360759997</v>
      </c>
      <c r="S28" s="91" ph="1">
        <f>S27*35.891*LOOKUP(S29,密度!$A$2:$A$50,密度!$B$2:$B$50)</f>
        <v>68666.804764</v>
      </c>
      <c r="T28" s="91" ph="1">
        <f>T27*35.891*LOOKUP(T29,密度!$A$2:$A$50,密度!$Q$2:$Q$50)</f>
        <v>5385.48115882</v>
      </c>
      <c r="U28" s="91" ph="1">
        <f>U27*35.891</f>
        <v>160935.24400000001</v>
      </c>
      <c r="V28" s="91" ph="1">
        <f>V27*47.051*LOOKUP(V29,密度!$A$2:$A$50,密度!$B$2:$B$50)</f>
        <v>326390.25565620005</v>
      </c>
      <c r="W28" s="91" ph="1">
        <f>W27*47.051*LOOKUP(W29,密度!$A$2:$A$50,密度!$B$2:$B$50)</f>
        <v>51517.810210500007</v>
      </c>
      <c r="X28" s="91" ph="1">
        <f>X27*47.051*LOOKUP(X29,密度!$A$2:$A$61,密度!$I$2:$I$61)</f>
        <v>178686.57077100003</v>
      </c>
      <c r="Y28" s="91" ph="1">
        <f>Y27*47.051*LOOKUP(Y29,密度!$A$2:$A$50,密度!$L$2:$L$50)</f>
        <v>102891.92666699999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65" t="s" ph="1">
        <v>179</v>
      </c>
      <c r="D29" s="74">
        <v>25</v>
      </c>
      <c r="E29" s="74">
        <v>25</v>
      </c>
      <c r="F29" s="74">
        <v>20</v>
      </c>
      <c r="G29" s="74">
        <v>20</v>
      </c>
      <c r="H29" s="74">
        <v>20</v>
      </c>
      <c r="I29" s="74">
        <v>20</v>
      </c>
      <c r="J29" s="74">
        <v>20</v>
      </c>
      <c r="K29" s="74">
        <v>21</v>
      </c>
      <c r="L29" s="74">
        <v>19</v>
      </c>
      <c r="M29" s="74">
        <v>20</v>
      </c>
      <c r="N29" s="74">
        <v>22</v>
      </c>
      <c r="O29" s="74">
        <v>21</v>
      </c>
      <c r="P29" s="74">
        <v>22</v>
      </c>
      <c r="Q29" s="93">
        <v>19</v>
      </c>
      <c r="R29" s="74">
        <v>19</v>
      </c>
      <c r="S29" s="74">
        <v>20</v>
      </c>
      <c r="T29" s="74">
        <v>21</v>
      </c>
      <c r="U29" s="74">
        <v>22</v>
      </c>
      <c r="V29" s="74">
        <v>19</v>
      </c>
      <c r="W29" s="74">
        <v>19</v>
      </c>
      <c r="X29" s="74">
        <v>38</v>
      </c>
      <c r="Y29" s="74">
        <v>19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65" t="s" ph="1">
        <v>5</v>
      </c>
      <c r="F32" s="164" t="s" ph="1">
        <v>43</v>
      </c>
      <c r="G32" s="97" t="s" ph="1">
        <v>4</v>
      </c>
      <c r="H32" s="165" t="s" ph="1">
        <v>5</v>
      </c>
      <c r="I32" s="164" t="s" ph="1">
        <v>43</v>
      </c>
      <c r="J32" s="97" t="s" ph="1">
        <v>4</v>
      </c>
      <c r="K32" s="165" t="s" ph="1">
        <v>5</v>
      </c>
      <c r="L32" s="164" t="s" ph="1">
        <v>43</v>
      </c>
      <c r="M32" s="97" t="s" ph="1">
        <v>4</v>
      </c>
      <c r="N32" s="165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4" t="s" ph="1">
        <v>43</v>
      </c>
      <c r="AB32" s="97" t="s" ph="1">
        <v>85</v>
      </c>
      <c r="AC32" s="165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113054.52852240001</v>
      </c>
      <c r="E33" s="196" ph="1">
        <f>M10+I10</f>
        <v>105663.44755920001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22" ph="1">
        <v>0</v>
      </c>
      <c r="H33" s="196" ph="1">
        <f>N19</f>
        <v>24921.650206639999</v>
      </c>
      <c r="I33" s="200" ph="1">
        <v>0</v>
      </c>
      <c r="J33" s="204" ph="1">
        <f>F10+O28</f>
        <v>262932.55693949998</v>
      </c>
      <c r="K33" s="196" ph="1">
        <f>O10+K10+E28+R28</f>
        <v>185292.13761051997</v>
      </c>
      <c r="L33" s="206" ph="1">
        <f>BE27</f>
        <v>7100</v>
      </c>
      <c r="M33" s="204" ph="1">
        <f>G10+H10+W28+S28+V28+E10</f>
        <v>949536.85206970014</v>
      </c>
      <c r="N33" s="196" ph="1">
        <f>L10+P10++G28+H28</f>
        <v>173935.62098759998</v>
      </c>
      <c r="O33" s="200" ph="1">
        <f>BE17</f>
        <v>2270</v>
      </c>
      <c r="P33" s="204" ph="1">
        <f>L19</f>
        <v>38285.301819200002</v>
      </c>
      <c r="Q33" s="196" ph="1">
        <f>J10+N10</f>
        <v>50496.386126400001</v>
      </c>
      <c r="R33" s="200" ph="1">
        <f>BE23</f>
        <v>890</v>
      </c>
      <c r="S33" s="204" ph="1">
        <f>E10+X28</f>
        <v>215856.56138700002</v>
      </c>
      <c r="T33" s="196" ph="1">
        <f>X19</f>
        <v>12120.816783600001</v>
      </c>
      <c r="U33" s="185" ph="1">
        <f>BE21</f>
        <v>730</v>
      </c>
      <c r="V33" s="198" ph="1">
        <f ca="1">P19+Q19+S19+M28+N28+J28</f>
        <v>418186.55655707797</v>
      </c>
      <c r="W33" s="198" ph="1">
        <f>D28+F28+V19+T28</f>
        <v>64484.572604392</v>
      </c>
      <c r="X33" s="200" ph="1">
        <f>BE29+BE31</f>
        <v>10200</v>
      </c>
      <c r="Y33" s="202" ph="1">
        <f>+Q10+R10+S10+T10+U10+V10+W10+X10+Y10</f>
        <v>210636.8862444</v>
      </c>
      <c r="Z33" s="183" ph="1">
        <f>D10+T19+U19+Y28+Z10</f>
        <v>451322.59597927995</v>
      </c>
      <c r="AA33" s="185" ph="1">
        <f>BE19</f>
        <v>1440</v>
      </c>
      <c r="AB33" s="187" ph="1">
        <f>I19</f>
        <v>24916.927784800002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63" t="s" ph="1">
        <v>185</v>
      </c>
      <c r="AA36" s="163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6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3" t="s" ph="1">
        <v>342</v>
      </c>
      <c r="AI37" s="163" t="s" ph="1">
        <v>209</v>
      </c>
      <c r="AJ37" s="163" t="s" ph="1">
        <v>210</v>
      </c>
      <c r="AK37" s="163" t="s" ph="1">
        <v>211</v>
      </c>
      <c r="AM37" s="163" t="s" ph="1">
        <v>210</v>
      </c>
      <c r="AN37" s="163" t="s" ph="1">
        <v>211</v>
      </c>
      <c r="AO37" s="163" t="s" ph="1">
        <v>212</v>
      </c>
      <c r="AP37" s="163" t="s" ph="1">
        <v>210</v>
      </c>
      <c r="AQ37" s="163" t="s" ph="1">
        <v>211</v>
      </c>
      <c r="AR37" s="163" t="s" ph="1">
        <v>212</v>
      </c>
      <c r="AS37" s="163" t="s" ph="1">
        <v>210</v>
      </c>
      <c r="AT37" s="163" t="s" ph="1">
        <v>211</v>
      </c>
      <c r="AU37" s="163" t="s" ph="1">
        <v>212</v>
      </c>
      <c r="AV37" s="163" t="s" ph="1">
        <v>210</v>
      </c>
      <c r="AW37" s="163" t="s" ph="1">
        <v>211</v>
      </c>
      <c r="AX37" s="163" t="s" ph="1">
        <v>212</v>
      </c>
      <c r="AY37" s="163" t="s" ph="1">
        <v>211</v>
      </c>
      <c r="AZ37" s="163" t="s" ph="1">
        <v>213</v>
      </c>
      <c r="BD37" s="163" t="s" ph="1">
        <v>305</v>
      </c>
      <c r="BE37" s="16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156" priority="98">
      <formula>ABS(D$7-D$10)&gt;=1000</formula>
    </cfRule>
  </conditionalFormatting>
  <conditionalFormatting sqref="E4 E6:E11">
    <cfRule type="expression" dxfId="1155" priority="97">
      <formula>ABS(E$7-E$10)&gt;=1000</formula>
    </cfRule>
  </conditionalFormatting>
  <conditionalFormatting sqref="F4:F11">
    <cfRule type="expression" dxfId="1154" priority="96">
      <formula>ABS(F$7-F$10)&gt;=1000</formula>
    </cfRule>
  </conditionalFormatting>
  <conditionalFormatting sqref="G4:G11">
    <cfRule type="expression" dxfId="1153" priority="95">
      <formula>ABS(G$7-G$10)&gt;=1000</formula>
    </cfRule>
  </conditionalFormatting>
  <conditionalFormatting sqref="H4:H11">
    <cfRule type="expression" dxfId="1152" priority="94">
      <formula>ABS(H$7-H$10)&gt;=1000</formula>
    </cfRule>
  </conditionalFormatting>
  <conditionalFormatting sqref="I4:I11">
    <cfRule type="expression" dxfId="1151" priority="93">
      <formula>ABS(I$7-I$10)&gt;=1000</formula>
    </cfRule>
  </conditionalFormatting>
  <conditionalFormatting sqref="J4:J11">
    <cfRule type="expression" dxfId="1150" priority="92">
      <formula>ABS(J$7-J$10)&gt;=1000</formula>
    </cfRule>
  </conditionalFormatting>
  <conditionalFormatting sqref="K4:K11">
    <cfRule type="expression" dxfId="1149" priority="91">
      <formula>ABS(K$7-K$10)&gt;=1000</formula>
    </cfRule>
  </conditionalFormatting>
  <conditionalFormatting sqref="L4:L11">
    <cfRule type="expression" dxfId="1148" priority="90">
      <formula>ABS(L$7-L$10)&gt;=1000</formula>
    </cfRule>
  </conditionalFormatting>
  <conditionalFormatting sqref="M4 M6:M11">
    <cfRule type="expression" dxfId="1147" priority="89">
      <formula>ABS(M$7-M$10)&gt;=1000</formula>
    </cfRule>
  </conditionalFormatting>
  <conditionalFormatting sqref="N4 N6:N11">
    <cfRule type="expression" dxfId="1146" priority="88">
      <formula>ABS(N$7-N$10)&gt;=1000</formula>
    </cfRule>
  </conditionalFormatting>
  <conditionalFormatting sqref="O4 O6:O11">
    <cfRule type="expression" dxfId="1145" priority="87">
      <formula>ABS(O$7-O$10)&gt;=1000</formula>
    </cfRule>
  </conditionalFormatting>
  <conditionalFormatting sqref="P4 P6:P11">
    <cfRule type="expression" dxfId="1144" priority="86">
      <formula>ABS(P$7-P$10)&gt;=1000</formula>
    </cfRule>
  </conditionalFormatting>
  <conditionalFormatting sqref="Q4:Q11">
    <cfRule type="expression" dxfId="1143" priority="85">
      <formula>ABS(Q$7-Q$10)&gt;=1000</formula>
    </cfRule>
  </conditionalFormatting>
  <conditionalFormatting sqref="R4:R11">
    <cfRule type="expression" dxfId="1142" priority="84">
      <formula>ABS(R$7-R$10)&gt;=1000</formula>
    </cfRule>
  </conditionalFormatting>
  <conditionalFormatting sqref="S4:S11">
    <cfRule type="expression" dxfId="1141" priority="83">
      <formula>ABS(S$7-S$10)&gt;=1000</formula>
    </cfRule>
  </conditionalFormatting>
  <conditionalFormatting sqref="T4:T9 T11">
    <cfRule type="expression" dxfId="1140" priority="82">
      <formula>ABS(T$7-T$10)&gt;=1000</formula>
    </cfRule>
  </conditionalFormatting>
  <conditionalFormatting sqref="U4:U9 U11">
    <cfRule type="expression" dxfId="1139" priority="81">
      <formula>ABS(U$7-U$10)&gt;=1000</formula>
    </cfRule>
  </conditionalFormatting>
  <conditionalFormatting sqref="V4:V9 V11">
    <cfRule type="expression" dxfId="1138" priority="80">
      <formula>ABS(V$7-V$10)&gt;=1000</formula>
    </cfRule>
  </conditionalFormatting>
  <conditionalFormatting sqref="W4:W9 W11">
    <cfRule type="expression" dxfId="1137" priority="79">
      <formula>ABS(W$7-W$10)&gt;=1000</formula>
    </cfRule>
  </conditionalFormatting>
  <conditionalFormatting sqref="X4:X9 X11">
    <cfRule type="expression" dxfId="1136" priority="78">
      <formula>ABS(X$7-X$10)&gt;=1000</formula>
    </cfRule>
  </conditionalFormatting>
  <conditionalFormatting sqref="Y4:Y9 Y11">
    <cfRule type="expression" dxfId="1135" priority="77">
      <formula>ABS(Y$7-Y$10)&gt;=1000</formula>
    </cfRule>
  </conditionalFormatting>
  <conditionalFormatting sqref="Z4:Z11">
    <cfRule type="expression" dxfId="1134" priority="76">
      <formula>ABS(Z$7-Z$10)&gt;=1000</formula>
    </cfRule>
  </conditionalFormatting>
  <conditionalFormatting sqref="AA4:AA11">
    <cfRule type="expression" dxfId="1133" priority="75">
      <formula>ABS(AA$7-AA$10)&gt;=1000</formula>
    </cfRule>
  </conditionalFormatting>
  <conditionalFormatting sqref="AB4:AB11">
    <cfRule type="expression" dxfId="1132" priority="74">
      <formula>ABS(AB$7-AB$10)&gt;=1000</formula>
    </cfRule>
  </conditionalFormatting>
  <conditionalFormatting sqref="AC4 AC6:AC11">
    <cfRule type="expression" dxfId="1131" priority="73">
      <formula>ABS(AC$7-AC$10)&gt;=1000</formula>
    </cfRule>
  </conditionalFormatting>
  <conditionalFormatting sqref="AD4:AD11">
    <cfRule type="expression" dxfId="1130" priority="72">
      <formula>ABS(AD$7-AD$10)&gt;=1000</formula>
    </cfRule>
  </conditionalFormatting>
  <conditionalFormatting sqref="AE4 AE6:AE11">
    <cfRule type="expression" dxfId="1129" priority="71">
      <formula>ABS(AE$7-AE$10)&gt;=1000</formula>
    </cfRule>
  </conditionalFormatting>
  <conditionalFormatting sqref="D13:D20">
    <cfRule type="expression" dxfId="1128" priority="70">
      <formula>ABS(D$16-D$19)&gt;=1000</formula>
    </cfRule>
  </conditionalFormatting>
  <conditionalFormatting sqref="E13:E20">
    <cfRule type="expression" dxfId="1127" priority="69">
      <formula>ABS(E$16-E$19)&gt;=1000</formula>
    </cfRule>
  </conditionalFormatting>
  <conditionalFormatting sqref="F13 F15:F20">
    <cfRule type="expression" dxfId="1126" priority="68">
      <formula>ABS(F$16-F$19)&gt;=1000</formula>
    </cfRule>
  </conditionalFormatting>
  <conditionalFormatting sqref="G13:G20">
    <cfRule type="expression" dxfId="1125" priority="67">
      <formula>ABS(G$16-G$19)&gt;=1000</formula>
    </cfRule>
  </conditionalFormatting>
  <conditionalFormatting sqref="H13:H20">
    <cfRule type="expression" dxfId="1124" priority="66">
      <formula>ABS(H$16-H$19)&gt;=1000</formula>
    </cfRule>
  </conditionalFormatting>
  <conditionalFormatting sqref="I13:I20">
    <cfRule type="expression" dxfId="1123" priority="65">
      <formula>ABS(I$16-I$19)&gt;=1000</formula>
    </cfRule>
  </conditionalFormatting>
  <conditionalFormatting sqref="J13:J20">
    <cfRule type="expression" dxfId="1122" priority="64">
      <formula>ABS(J$16-J$19)&gt;=1000</formula>
    </cfRule>
  </conditionalFormatting>
  <conditionalFormatting sqref="L13:L20">
    <cfRule type="expression" dxfId="1121" priority="63">
      <formula>ABS(L$16-L$19)&gt;=1000</formula>
    </cfRule>
  </conditionalFormatting>
  <conditionalFormatting sqref="M13 M15 M17:M18 M20">
    <cfRule type="expression" dxfId="1120" priority="62">
      <formula>ABS(M$16-M$19)&gt;=1000</formula>
    </cfRule>
  </conditionalFormatting>
  <conditionalFormatting sqref="N13:N20">
    <cfRule type="expression" dxfId="1119" priority="61">
      <formula>ABS(N$16-N$19)&gt;=1000</formula>
    </cfRule>
  </conditionalFormatting>
  <conditionalFormatting sqref="O13:O20">
    <cfRule type="expression" dxfId="1118" priority="60">
      <formula>ABS(O$16-O$19)&gt;=1000</formula>
    </cfRule>
  </conditionalFormatting>
  <conditionalFormatting sqref="P13:P20">
    <cfRule type="expression" dxfId="1117" priority="59">
      <formula>ABS(P$16-P$19)&gt;=1000</formula>
    </cfRule>
  </conditionalFormatting>
  <conditionalFormatting sqref="Q13 Q15:Q20">
    <cfRule type="expression" dxfId="1116" priority="58">
      <formula>ABS(Q$16-Q$19)&gt;=1000</formula>
    </cfRule>
  </conditionalFormatting>
  <conditionalFormatting sqref="R13:R20">
    <cfRule type="expression" dxfId="1115" priority="57">
      <formula>ABS(R$16-R$19)&gt;=1000</formula>
    </cfRule>
  </conditionalFormatting>
  <conditionalFormatting sqref="S13:S20">
    <cfRule type="expression" dxfId="1114" priority="56">
      <formula>ABS(S$16-S$19)&gt;=1000</formula>
    </cfRule>
  </conditionalFormatting>
  <conditionalFormatting sqref="T13:T20">
    <cfRule type="expression" dxfId="1113" priority="55">
      <formula>ABS(T$16-T$19)&gt;=1000</formula>
    </cfRule>
  </conditionalFormatting>
  <conditionalFormatting sqref="U13:U20">
    <cfRule type="expression" dxfId="1112" priority="54">
      <formula>ABS(U$16-U$19)&gt;=1000</formula>
    </cfRule>
  </conditionalFormatting>
  <conditionalFormatting sqref="V13:V20">
    <cfRule type="expression" dxfId="1111" priority="53">
      <formula>ABS(V$16-V$19)&gt;=1000</formula>
    </cfRule>
  </conditionalFormatting>
  <conditionalFormatting sqref="W13 W20 W15:W18">
    <cfRule type="expression" dxfId="1110" priority="52">
      <formula>ABS(W$16-W$19)&gt;=1000</formula>
    </cfRule>
  </conditionalFormatting>
  <conditionalFormatting sqref="X13 X15:X20 Y19">
    <cfRule type="expression" dxfId="1109" priority="51">
      <formula>ABS(X$16-X$19)&gt;=1000</formula>
    </cfRule>
  </conditionalFormatting>
  <conditionalFormatting sqref="Y13 Y15:Y18 Y20">
    <cfRule type="expression" dxfId="1108" priority="50">
      <formula>ABS(Y$16-Y$19)&gt;=1000</formula>
    </cfRule>
  </conditionalFormatting>
  <conditionalFormatting sqref="Z13:Z20">
    <cfRule type="expression" dxfId="1107" priority="49">
      <formula>ABS(Z$16-Z$19)&gt;=1000</formula>
    </cfRule>
  </conditionalFormatting>
  <conditionalFormatting sqref="AA13:AA20">
    <cfRule type="expression" dxfId="1106" priority="48">
      <formula>ABS(AA$16-AA$19)&gt;=1000</formula>
    </cfRule>
  </conditionalFormatting>
  <conditionalFormatting sqref="AB13 AB15:AB20">
    <cfRule type="expression" dxfId="1105" priority="47">
      <formula>ABS(AB$16-AB$19)&gt;=1000</formula>
    </cfRule>
  </conditionalFormatting>
  <conditionalFormatting sqref="AC13 AC15:AC20">
    <cfRule type="expression" dxfId="1104" priority="46">
      <formula>ABS(AC$16-AC$19)&gt;=1000</formula>
    </cfRule>
  </conditionalFormatting>
  <conditionalFormatting sqref="AD13:AD20">
    <cfRule type="expression" dxfId="1103" priority="45">
      <formula>ABS(AD$16-AD$19)&gt;=1000</formula>
    </cfRule>
  </conditionalFormatting>
  <conditionalFormatting sqref="AE13:AE20">
    <cfRule type="expression" dxfId="1102" priority="44">
      <formula>ABS(AE$16-AE$19)&gt;=1000</formula>
    </cfRule>
  </conditionalFormatting>
  <conditionalFormatting sqref="D22:D29">
    <cfRule type="expression" dxfId="1101" priority="43">
      <formula>ABS(D$25-D$28)&gt;=1000</formula>
    </cfRule>
  </conditionalFormatting>
  <conditionalFormatting sqref="E22:E29">
    <cfRule type="expression" dxfId="1100" priority="42">
      <formula>ABS(E$25-E$28)&gt;=1000</formula>
    </cfRule>
  </conditionalFormatting>
  <conditionalFormatting sqref="F22:F29">
    <cfRule type="expression" dxfId="1099" priority="41">
      <formula>ABS(F$25-F$28)&gt;=1000</formula>
    </cfRule>
  </conditionalFormatting>
  <conditionalFormatting sqref="G22:G29">
    <cfRule type="expression" dxfId="1098" priority="40">
      <formula>ABS(G$25-G$28)&gt;=1000</formula>
    </cfRule>
  </conditionalFormatting>
  <conditionalFormatting sqref="H22:H29">
    <cfRule type="expression" dxfId="1097" priority="39">
      <formula>ABS(H$25-H$28)&gt;=1000</formula>
    </cfRule>
  </conditionalFormatting>
  <conditionalFormatting sqref="I22 I24:I29">
    <cfRule type="expression" dxfId="1096" priority="38">
      <formula>ABS(I$25-I$28)&gt;=1000</formula>
    </cfRule>
  </conditionalFormatting>
  <conditionalFormatting sqref="J22:J29 K22">
    <cfRule type="expression" dxfId="1095" priority="37">
      <formula>ABS(J$25-J$28)&gt;=1000</formula>
    </cfRule>
  </conditionalFormatting>
  <conditionalFormatting sqref="K23:K29 L25 L28">
    <cfRule type="expression" dxfId="1094" priority="36">
      <formula>ABS(K$25-K$28)&gt;=1000</formula>
    </cfRule>
  </conditionalFormatting>
  <conditionalFormatting sqref="L22 L26:L27 L29 L24">
    <cfRule type="expression" dxfId="1093" priority="35">
      <formula>ABS(L$25-L$28)&gt;=1000</formula>
    </cfRule>
  </conditionalFormatting>
  <conditionalFormatting sqref="M22:M29">
    <cfRule type="expression" dxfId="1092" priority="34">
      <formula>ABS(M$25-M$28)&gt;=1000</formula>
    </cfRule>
  </conditionalFormatting>
  <conditionalFormatting sqref="N22:N29">
    <cfRule type="expression" dxfId="1091" priority="33">
      <formula>ABS(N$25-N$28)&gt;=1000</formula>
    </cfRule>
  </conditionalFormatting>
  <conditionalFormatting sqref="O22:O29">
    <cfRule type="expression" dxfId="1090" priority="32">
      <formula>ABS(O$25-O$28)&gt;=1000</formula>
    </cfRule>
  </conditionalFormatting>
  <conditionalFormatting sqref="P22:P29">
    <cfRule type="expression" dxfId="1089" priority="31">
      <formula>ABS(P$25-P$28)&gt;=1000</formula>
    </cfRule>
  </conditionalFormatting>
  <conditionalFormatting sqref="Q22:Q29">
    <cfRule type="expression" dxfId="1088" priority="30">
      <formula>ABS(Q$25-Q$28)&gt;=1000</formula>
    </cfRule>
  </conditionalFormatting>
  <conditionalFormatting sqref="R22:R29">
    <cfRule type="expression" dxfId="1087" priority="29">
      <formula>ABS(R$25-R$28)&gt;=1000</formula>
    </cfRule>
  </conditionalFormatting>
  <conditionalFormatting sqref="S22:S29">
    <cfRule type="expression" dxfId="1086" priority="28">
      <formula>ABS(S$25-S$28)&gt;=1000</formula>
    </cfRule>
  </conditionalFormatting>
  <conditionalFormatting sqref="T22:T29">
    <cfRule type="expression" dxfId="1085" priority="27">
      <formula>ABS(T$25-T$28)&gt;=1000</formula>
    </cfRule>
  </conditionalFormatting>
  <conditionalFormatting sqref="U22:U29">
    <cfRule type="expression" dxfId="1084" priority="26">
      <formula>ABS(U$25-U$28)&gt;=1000</formula>
    </cfRule>
  </conditionalFormatting>
  <conditionalFormatting sqref="V22:V29">
    <cfRule type="expression" dxfId="1083" priority="25">
      <formula>ABS(V$25-V$28)&gt;=1000</formula>
    </cfRule>
  </conditionalFormatting>
  <conditionalFormatting sqref="W22:W29">
    <cfRule type="expression" dxfId="1082" priority="24">
      <formula>ABS(W$25-W$28)&gt;=1000</formula>
    </cfRule>
  </conditionalFormatting>
  <conditionalFormatting sqref="X22:X29">
    <cfRule type="expression" dxfId="1081" priority="23">
      <formula>ABS(X$25-X$28)&gt;=1000</formula>
    </cfRule>
  </conditionalFormatting>
  <conditionalFormatting sqref="Y22:Y29">
    <cfRule type="expression" dxfId="1080" priority="22">
      <formula>ABS(Y$25-Y$28)&gt;=1000</formula>
    </cfRule>
  </conditionalFormatting>
  <conditionalFormatting sqref="I23">
    <cfRule type="expression" dxfId="1079" priority="21">
      <formula>ABS(I$25-I$28)&gt;=1000</formula>
    </cfRule>
  </conditionalFormatting>
  <conditionalFormatting sqref="Q14">
    <cfRule type="expression" dxfId="1078" priority="20">
      <formula>ABS(Q$16-Q$19)&gt;=1000</formula>
    </cfRule>
  </conditionalFormatting>
  <conditionalFormatting sqref="W14">
    <cfRule type="expression" dxfId="1077" priority="19">
      <formula>ABS(W$16-W$19)&gt;=1000</formula>
    </cfRule>
  </conditionalFormatting>
  <conditionalFormatting sqref="Y14">
    <cfRule type="expression" dxfId="1076" priority="18">
      <formula>ABS(Y$16-Y$19)&gt;=1000</formula>
    </cfRule>
  </conditionalFormatting>
  <conditionalFormatting sqref="X14">
    <cfRule type="expression" dxfId="1075" priority="17">
      <formula>ABS(X$16-X$19)&gt;=1000</formula>
    </cfRule>
  </conditionalFormatting>
  <conditionalFormatting sqref="T10:Y10">
    <cfRule type="expression" dxfId="1074" priority="16">
      <formula>ABS(T$7-T$10)&gt;=1000</formula>
    </cfRule>
  </conditionalFormatting>
  <conditionalFormatting sqref="W19">
    <cfRule type="expression" dxfId="1073" priority="15">
      <formula>ABS(W$16-W$19)&gt;=1000</formula>
    </cfRule>
  </conditionalFormatting>
  <conditionalFormatting sqref="AC5">
    <cfRule type="expression" dxfId="1072" priority="14">
      <formula>ABS(AC$7-AC$10)&gt;=1000</formula>
    </cfRule>
  </conditionalFormatting>
  <conditionalFormatting sqref="M14">
    <cfRule type="expression" dxfId="1071" priority="13">
      <formula>ABS(M$16-M$19)&gt;=1000</formula>
    </cfRule>
  </conditionalFormatting>
  <conditionalFormatting sqref="M16">
    <cfRule type="expression" dxfId="1070" priority="12">
      <formula>ABS(M$16-M$19)&gt;=1000</formula>
    </cfRule>
  </conditionalFormatting>
  <conditionalFormatting sqref="M19">
    <cfRule type="expression" dxfId="1069" priority="11">
      <formula>ABS(M$16-M$19)&gt;=1000</formula>
    </cfRule>
  </conditionalFormatting>
  <conditionalFormatting sqref="K13:K20">
    <cfRule type="expression" dxfId="1068" priority="10">
      <formula>ABS(K$16-K$19)&gt;=1000</formula>
    </cfRule>
  </conditionalFormatting>
  <conditionalFormatting sqref="E5">
    <cfRule type="expression" dxfId="1067" priority="9">
      <formula>ABS(E$7-E$10)&gt;=1000</formula>
    </cfRule>
  </conditionalFormatting>
  <conditionalFormatting sqref="AB14:AC14">
    <cfRule type="expression" dxfId="1066" priority="8">
      <formula>ABS(AB$16-AB$19)&gt;=1000</formula>
    </cfRule>
  </conditionalFormatting>
  <conditionalFormatting sqref="M5">
    <cfRule type="expression" dxfId="1065" priority="7">
      <formula>ABS(M$7-M$10)&gt;=1000</formula>
    </cfRule>
  </conditionalFormatting>
  <conditionalFormatting sqref="N5">
    <cfRule type="expression" dxfId="1064" priority="6">
      <formula>ABS(N$7-N$10)&gt;=1000</formula>
    </cfRule>
  </conditionalFormatting>
  <conditionalFormatting sqref="O5">
    <cfRule type="expression" dxfId="1063" priority="5">
      <formula>ABS(O$7-O$10)&gt;=1000</formula>
    </cfRule>
  </conditionalFormatting>
  <conditionalFormatting sqref="P5">
    <cfRule type="expression" dxfId="1062" priority="4">
      <formula>ABS(P$7-P$10)&gt;=1000</formula>
    </cfRule>
  </conditionalFormatting>
  <conditionalFormatting sqref="L23">
    <cfRule type="expression" dxfId="1061" priority="3">
      <formula>ABS(L$25-L$28)&gt;=1000</formula>
    </cfRule>
  </conditionalFormatting>
  <conditionalFormatting sqref="F14">
    <cfRule type="expression" dxfId="1060" priority="2">
      <formula>ABS(F$16-F$19)&gt;=1000</formula>
    </cfRule>
  </conditionalFormatting>
  <conditionalFormatting sqref="AE5">
    <cfRule type="expression" dxfId="1059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64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89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46010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66" t="s" ph="1">
        <v>177</v>
      </c>
      <c r="D6" s="71">
        <v>6704</v>
      </c>
      <c r="E6" s="71">
        <v>925</v>
      </c>
      <c r="F6" s="71">
        <v>3929</v>
      </c>
      <c r="G6" s="71">
        <v>6626</v>
      </c>
      <c r="H6" s="71">
        <v>4766</v>
      </c>
      <c r="I6" s="71">
        <v>27.11</v>
      </c>
      <c r="J6" s="71">
        <v>56.92</v>
      </c>
      <c r="K6" s="71">
        <v>6.82</v>
      </c>
      <c r="L6" s="71">
        <v>7.91</v>
      </c>
      <c r="M6" s="71">
        <v>2858</v>
      </c>
      <c r="N6" s="71">
        <v>2014</v>
      </c>
      <c r="O6" s="71">
        <v>265</v>
      </c>
      <c r="P6" s="71">
        <v>2488</v>
      </c>
      <c r="Q6" s="71">
        <v>0</v>
      </c>
      <c r="R6" s="71">
        <v>0</v>
      </c>
      <c r="S6" s="71">
        <v>2736</v>
      </c>
      <c r="T6" s="71">
        <v>6658</v>
      </c>
      <c r="U6" s="71">
        <v>7024</v>
      </c>
      <c r="V6" s="71">
        <v>5542</v>
      </c>
      <c r="W6" s="71">
        <v>2740</v>
      </c>
      <c r="X6" s="71">
        <v>2239</v>
      </c>
      <c r="Y6" s="71">
        <v>0</v>
      </c>
      <c r="Z6" s="71">
        <v>2672</v>
      </c>
      <c r="AA6" s="71">
        <v>2981</v>
      </c>
      <c r="AB6" s="71">
        <v>524</v>
      </c>
      <c r="AC6" s="71">
        <v>6958</v>
      </c>
      <c r="AD6" s="71">
        <v>4780</v>
      </c>
      <c r="AE6" s="71">
        <v>4489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210610.67460768</v>
      </c>
      <c r="E7" s="73" ph="1">
        <f>E6*51.53*LOOKUP(E8,密度!$A$2:$A$50,密度!$B$2:$B$50)</f>
        <v>37374.322525000003</v>
      </c>
      <c r="F7" s="73" ph="1">
        <f>F6*33.183*LOOKUP(F8,密度!$A$2:$A$50,密度!$C$2:$C$50)</f>
        <v>145134.5709924</v>
      </c>
      <c r="G7" s="73" ph="1">
        <f xml:space="preserve"> (G6+2)*51.53*LOOKUP(G8,密度!$A$2:$A$50,密度!$B$2:$B$50)</f>
        <v>268075.40531600005</v>
      </c>
      <c r="H7" s="73" ph="1">
        <f>(H6)*51.53*LOOKUP(H8,密度!$A$2:$A$50,密度!$B$2:$B$50)</f>
        <v>193133.53307199999</v>
      </c>
      <c r="I7" s="73" ph="1">
        <f>I6*290.8*1.0267</f>
        <v>8094.0797995999992</v>
      </c>
      <c r="J7" s="73" ph="1">
        <f>J6*290.8*0.7892</f>
        <v>13063.103571199999</v>
      </c>
      <c r="K7" s="73" ph="1">
        <f>K6*290.8*1.1126</f>
        <v>2206.5706256000003</v>
      </c>
      <c r="L7" s="73" ph="1">
        <f>L6*290.8*0.777</f>
        <v>1787.2771560000001</v>
      </c>
      <c r="M7" s="73" ph="1">
        <f>M6*33.183*LOOKUP(M8,密度!$A$2:$A$50,密度!$D$2:$D$50)</f>
        <v>97814.896239599999</v>
      </c>
      <c r="N7" s="73" ph="1">
        <f>N6*33.183*LOOKUP(N8,密度!$A$2:$A$50,密度!$E$2:$E$50)</f>
        <v>52502.089507199998</v>
      </c>
      <c r="O7" s="73" ph="1">
        <f>O6*20.428*LOOKUP(O8,密度!$A$2:$A$50,密度!$C$2:$C$50)</f>
        <v>6011.0615680000001</v>
      </c>
      <c r="P7" s="73" ph="1">
        <f>P6*51.53*LOOKUP(P8,密度!$A$2:$A$50,密度!$B$2:$B$50)</f>
        <v>100629.39173600001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18276.006671999996</v>
      </c>
      <c r="T7" s="73" ph="1">
        <f>T6*1.5*1.5*3.1416*LOOKUP(T8,密度!$A$2:$A$50,密度!$L$2:$L$50)</f>
        <v>44568.413643599997</v>
      </c>
      <c r="U7" s="73" ph="1">
        <f>U6*1.5*1.5*3.1416*LOOKUP(U8,密度!$A$2:$A$50,密度!$L$2:$L$50)</f>
        <v>46770.1553088</v>
      </c>
      <c r="V7" s="73" ph="1">
        <f>V6*1.5*1.5*3.1416*LOOKUP(V8,密度!$A$2:$A$50,密度!$L$2:$L$50)</f>
        <v>36706.207784400001</v>
      </c>
      <c r="W7" s="73" ph="1">
        <f>W6*1.5*1.5*3.1416*LOOKUP(W8,密度!$A$2:$A$50,密度!$L$2:$L$50)</f>
        <v>18263.990051999997</v>
      </c>
      <c r="X7" s="73" ph="1">
        <f>X6*1.5*1.5*3.1416*LOOKUP(X8,密度!$A$2:$A$50,密度!$L$2:$L$50)</f>
        <v>14908.652866799999</v>
      </c>
      <c r="Y7" s="73" ph="1">
        <f>Y6*1.5*1.5*3.1416*LOOKUP(Y8,密度!$A$2:$A$50,密度!$L$2:$L$50)</f>
        <v>0</v>
      </c>
      <c r="Z7" s="73" ph="1">
        <f>Z6*33.183*LOOKUP(Z8,密度!$A$2:$A$50,密度!$L$2:$L$50)</f>
        <v>83788.402319999994</v>
      </c>
      <c r="AA7" s="73" ph="1">
        <f>AA6*33.183*LOOKUP(AA8,密度!$A$2:$A$50,密度!$D$2:$D$50)</f>
        <v>102024.56462220001</v>
      </c>
      <c r="AB7" s="73" ph="1">
        <f>AB6*20.428*LOOKUP(AB8,密度!$A$2:$A$50,密度!$D$2:$D$50)</f>
        <v>11104.611772800003</v>
      </c>
      <c r="AC7" s="73" ph="1">
        <f>AC6*51.53*LOOKUP(AC8,密度!$A$2:$A$50,密度!$Q$2:$Q$50)</f>
        <v>341059.46426019998</v>
      </c>
      <c r="AD7" s="73" ph="1">
        <f>AD6*20.428*LOOKUP(AD8,密度!$A$2:$A$50,密度!$V$2:$V$50)</f>
        <v>93818.123072000002</v>
      </c>
      <c r="AE7" s="73" ph="1">
        <f>AE6*20.428</f>
        <v>91701.292000000001</v>
      </c>
    </row>
    <row r="8" spans="1:99" ph="1">
      <c r="B8" s="247" ph="1"/>
      <c r="C8" s="68" t="s" ph="1">
        <v>179</v>
      </c>
      <c r="D8" s="74">
        <v>25</v>
      </c>
      <c r="E8" s="74">
        <v>20</v>
      </c>
      <c r="F8" s="74">
        <v>19</v>
      </c>
      <c r="G8" s="74">
        <v>19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23</v>
      </c>
      <c r="O8" s="74">
        <v>23</v>
      </c>
      <c r="P8" s="74">
        <v>19</v>
      </c>
      <c r="Q8" s="74">
        <v>21</v>
      </c>
      <c r="R8" s="74">
        <v>26</v>
      </c>
      <c r="S8" s="74">
        <v>17</v>
      </c>
      <c r="T8" s="74">
        <v>15</v>
      </c>
      <c r="U8" s="74">
        <v>20</v>
      </c>
      <c r="V8" s="74">
        <v>25</v>
      </c>
      <c r="W8" s="74">
        <v>19</v>
      </c>
      <c r="X8" s="74">
        <v>20</v>
      </c>
      <c r="Y8" s="74">
        <v>20</v>
      </c>
      <c r="Z8" s="74">
        <v>17</v>
      </c>
      <c r="AA8" s="74">
        <v>20</v>
      </c>
      <c r="AB8" s="74">
        <v>13</v>
      </c>
      <c r="AC8" s="74">
        <v>19</v>
      </c>
      <c r="AD8" s="74">
        <v>22</v>
      </c>
      <c r="AE8" s="74">
        <v>23</v>
      </c>
    </row>
    <row r="9" spans="1:99" ht="26.4" ph="1">
      <c r="B9" s="247" ph="1">
        <v>0.66666666666666663</v>
      </c>
      <c r="C9" s="166" t="s" ph="1">
        <v>180</v>
      </c>
      <c r="D9" s="71">
        <v>6700</v>
      </c>
      <c r="E9" s="71">
        <v>1334</v>
      </c>
      <c r="F9" s="71">
        <v>3436</v>
      </c>
      <c r="G9" s="71">
        <v>6630</v>
      </c>
      <c r="H9" s="71">
        <v>4503</v>
      </c>
      <c r="I9" s="71">
        <v>27.11</v>
      </c>
      <c r="J9" s="71">
        <v>21.12</v>
      </c>
      <c r="K9" s="71">
        <v>6.82</v>
      </c>
      <c r="L9" s="71">
        <v>22.11</v>
      </c>
      <c r="M9" s="71">
        <v>2677</v>
      </c>
      <c r="N9" s="71">
        <v>2054</v>
      </c>
      <c r="O9" s="71">
        <v>265</v>
      </c>
      <c r="P9" s="71">
        <v>1948</v>
      </c>
      <c r="Q9" s="71">
        <v>0</v>
      </c>
      <c r="R9" s="71">
        <v>0</v>
      </c>
      <c r="S9" s="71">
        <v>0</v>
      </c>
      <c r="T9" s="71">
        <v>6659</v>
      </c>
      <c r="U9" s="71">
        <v>7024</v>
      </c>
      <c r="V9" s="71">
        <v>5554</v>
      </c>
      <c r="W9" s="71">
        <v>5431</v>
      </c>
      <c r="X9" s="71">
        <v>4355</v>
      </c>
      <c r="Y9" s="71">
        <v>2574</v>
      </c>
      <c r="Z9" s="71">
        <v>364</v>
      </c>
      <c r="AA9" s="71">
        <v>2981</v>
      </c>
      <c r="AB9" s="71">
        <v>524</v>
      </c>
      <c r="AC9" s="71">
        <v>7256</v>
      </c>
      <c r="AD9" s="71">
        <v>4780</v>
      </c>
      <c r="AE9" s="71">
        <v>4424</v>
      </c>
    </row>
    <row r="10" spans="1:99" s="72" customFormat="1" ht="22.2" ph="1">
      <c r="B10" s="247" ph="1"/>
      <c r="C10" s="166" t="s" ph="1">
        <v>178</v>
      </c>
      <c r="D10" s="73" ph="1">
        <f>D9*33.183*LOOKUP(D11,密度!$A$2:$A$50,密度!$Q$2:$Q$50)</f>
        <v>210485.011914</v>
      </c>
      <c r="E10" s="73" ph="1">
        <f>E9*51.53*LOOKUP(E11,密度!$A$2:$A$50,密度!$B$2:$B$50)</f>
        <v>53899.833782000002</v>
      </c>
      <c r="F10" s="73" ph="1">
        <f>F9*33.183*LOOKUP(F11,密度!$A$2:$A$50,密度!$C$2:$C$50)</f>
        <v>127003.30015319999</v>
      </c>
      <c r="G10" s="73" ph="1">
        <f xml:space="preserve"> (G9+2)*51.53*LOOKUP(G11,密度!$A$2:$A$50,密度!$B$2:$B$50)</f>
        <v>268237.18890400004</v>
      </c>
      <c r="H10" s="73" ph="1">
        <f>(H9)*51.53*LOOKUP(H11,密度!$A$2:$A$50,密度!$B$2:$B$50)</f>
        <v>182313.505863</v>
      </c>
      <c r="I10" s="73" ph="1">
        <f>I9*290.8*1.0267</f>
        <v>8094.0797995999992</v>
      </c>
      <c r="J10" s="73" ph="1">
        <f>J9*290.8*0.7892</f>
        <v>4847.0264832000012</v>
      </c>
      <c r="K10" s="73" ph="1">
        <f>K9*290.8*1.1126</f>
        <v>2206.5706256000003</v>
      </c>
      <c r="L10" s="73" ph="1">
        <f>L9*290.8*0.777</f>
        <v>4995.7898759999998</v>
      </c>
      <c r="M10" s="73" ph="1">
        <f>M9*33.183*LOOKUP(M11,密度!$A$2:$A$50,密度!$D$2:$D$50)</f>
        <v>91620.180977400014</v>
      </c>
      <c r="N10" s="73" ph="1">
        <f>N9*33.183*LOOKUP(N11,密度!$A$2:$A$50,密度!$E$2:$E$50)</f>
        <v>53544.832099199994</v>
      </c>
      <c r="O10" s="73" ph="1">
        <f>O9*20.428*LOOKUP(O11,密度!$A$2:$A$50,密度!$C$2:$C$50)</f>
        <v>6011.0615680000001</v>
      </c>
      <c r="P10" s="73" ph="1">
        <f>P9*51.53*LOOKUP(P11,密度!$A$2:$A$50,密度!$B$2:$B$50)</f>
        <v>78708.303004000001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44528.037800399994</v>
      </c>
      <c r="U10" s="73" ph="1">
        <f>U9*1.5*1.5*3.1416*LOOKUP(U11,密度!$A$2:$A$50,密度!$L$2:$L$50)</f>
        <v>46770.1553088</v>
      </c>
      <c r="V10" s="73" ph="1">
        <f>V9*1.5*1.5*3.1416*LOOKUP(V11,密度!$A$2:$A$50,密度!$L$2:$L$50)</f>
        <v>36785.687122800002</v>
      </c>
      <c r="W10" s="73" ph="1">
        <f>W9*1.5*1.5*3.1416*LOOKUP(W11,密度!$A$2:$A$50,密度!$L$2:$L$50)</f>
        <v>36162.971737199994</v>
      </c>
      <c r="X10" s="73" ph="1">
        <f>X9*1.5*1.5*3.1416*LOOKUP(X11,密度!$A$2:$A$50,密度!$L$2:$L$50)</f>
        <v>28998.295325999999</v>
      </c>
      <c r="Y10" s="73" ph="1">
        <f>Y9*1.5*1.5*3.1416*LOOKUP(Y11,密度!$A$2:$A$50,密度!$L$2:$L$50)</f>
        <v>17139.290968799996</v>
      </c>
      <c r="Z10" s="73" ph="1">
        <f>Z9*33.183*LOOKUP(Z11,密度!$A$2:$A$50,密度!$L$2:$L$50)</f>
        <v>11426.366951999998</v>
      </c>
      <c r="AA10" s="73" ph="1">
        <f>AA9*33.183*LOOKUP(AA11,密度!$A$2:$A$50,密度!$D$2:$D$50)</f>
        <v>102024.56462220001</v>
      </c>
      <c r="AB10" s="73" ph="1">
        <f>AB9*20.428*LOOKUP(AB11,密度!$A$2:$A$50,密度!$D$2:$D$50)</f>
        <v>11104.611772800003</v>
      </c>
      <c r="AC10" s="73" ph="1">
        <f>AC9*51.53*LOOKUP(AC11,密度!$A$2:$A$50,密度!$Q$2:$Q$50)</f>
        <v>355666.49506639998</v>
      </c>
      <c r="AD10" s="73" ph="1">
        <f>AD9*20.428*LOOKUP(AD11,密度!$A$2:$A$50,密度!$V$2:$V$50)</f>
        <v>94130.589760000003</v>
      </c>
      <c r="AE10" s="73" ph="1">
        <f>AE9*20.428</f>
        <v>90373.472000000009</v>
      </c>
    </row>
    <row r="11" spans="1:99" ph="1">
      <c r="A11" s="64" t="s" ph="1">
        <v>162</v>
      </c>
      <c r="B11" s="247" ph="1"/>
      <c r="C11" s="166" t="s" ph="1">
        <v>179</v>
      </c>
      <c r="D11" s="74">
        <v>25</v>
      </c>
      <c r="E11" s="74">
        <v>20</v>
      </c>
      <c r="F11" s="74">
        <v>18</v>
      </c>
      <c r="G11" s="74">
        <v>19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23</v>
      </c>
      <c r="O11" s="74">
        <v>23</v>
      </c>
      <c r="P11" s="74">
        <v>20</v>
      </c>
      <c r="Q11" s="74">
        <v>23</v>
      </c>
      <c r="R11" s="74">
        <v>25</v>
      </c>
      <c r="S11" s="74">
        <v>17</v>
      </c>
      <c r="T11" s="74">
        <v>16</v>
      </c>
      <c r="U11" s="74">
        <v>20</v>
      </c>
      <c r="V11" s="74">
        <v>25</v>
      </c>
      <c r="W11" s="74">
        <v>20</v>
      </c>
      <c r="X11" s="74">
        <v>20</v>
      </c>
      <c r="Y11" s="74">
        <v>20</v>
      </c>
      <c r="Z11" s="74">
        <v>16</v>
      </c>
      <c r="AA11" s="74">
        <v>20</v>
      </c>
      <c r="AB11" s="74">
        <v>13</v>
      </c>
      <c r="AC11" s="74">
        <v>19</v>
      </c>
      <c r="AD11" s="74">
        <v>18</v>
      </c>
      <c r="AE11" s="74">
        <v>23</v>
      </c>
    </row>
    <row r="12" spans="1:99" ht="9.9" customHeight="1" ph="1"/>
    <row r="13" spans="1:99" s="72" customFormat="1" ht="29.25" customHeight="1" ph="1">
      <c r="B13" s="224" t="s" ph="1">
        <v>37</v>
      </c>
      <c r="C13" s="16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66" t="s" ph="1">
        <v>177</v>
      </c>
      <c r="D15" s="78">
        <v>5977</v>
      </c>
      <c r="E15" s="78">
        <v>3325</v>
      </c>
      <c r="F15" s="78">
        <v>3385</v>
      </c>
      <c r="G15" s="78">
        <v>3534</v>
      </c>
      <c r="H15" s="78">
        <v>4140</v>
      </c>
      <c r="I15" s="78">
        <v>3748</v>
      </c>
      <c r="J15" s="78">
        <v>3862</v>
      </c>
      <c r="K15" s="78">
        <v>2385</v>
      </c>
      <c r="L15" s="78">
        <v>2359</v>
      </c>
      <c r="M15" s="78">
        <v>6839</v>
      </c>
      <c r="N15" s="78">
        <v>3125</v>
      </c>
      <c r="O15" s="78">
        <v>5260</v>
      </c>
      <c r="P15" s="78">
        <v>3604</v>
      </c>
      <c r="Q15" s="78">
        <v>6977</v>
      </c>
      <c r="R15" s="78">
        <v>7372</v>
      </c>
      <c r="S15" s="78">
        <v>6158</v>
      </c>
      <c r="T15" s="78">
        <v>3256</v>
      </c>
      <c r="U15" s="78">
        <v>2086</v>
      </c>
      <c r="V15" s="78">
        <v>5006</v>
      </c>
      <c r="W15" s="71">
        <v>3384</v>
      </c>
      <c r="X15" s="78">
        <v>666</v>
      </c>
      <c r="Y15" s="106">
        <v>-9903</v>
      </c>
      <c r="Z15" s="78">
        <v>0</v>
      </c>
      <c r="AA15" s="78">
        <v>10</v>
      </c>
      <c r="AB15" s="78" ph="1">
        <v>1534</v>
      </c>
      <c r="AC15" s="78" ph="1">
        <v>27</v>
      </c>
      <c r="AD15" s="78">
        <v>5.21</v>
      </c>
      <c r="AE15" s="78">
        <v>23.32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66" t="s" ph="1">
        <v>178</v>
      </c>
      <c r="D16" s="73" ph="1">
        <f>D15*7.0686*LOOKUP(D17,密度!$A$2:$A$50,密度!$L$2:$L$50)</f>
        <v>39756.329890199995</v>
      </c>
      <c r="E16" s="73" ph="1">
        <f>E15*7.0686*LOOKUP(E17,密度!$A$2:$A$50,密度!$L$2:$L$50)</f>
        <v>22116.412394999999</v>
      </c>
      <c r="F16" s="73" ph="1">
        <f>F15*9.0746*LOOKUP(F17,密度!$A$2:$A$50,密度!$L$2:$L$50)</f>
        <v>28874.46974</v>
      </c>
      <c r="G16" s="73" ph="1">
        <f>G15*9.0746*LOOKUP(G17,密度!$A$2:$A$50,密度!$B$2:$B$50)</f>
        <v>25145.80190124</v>
      </c>
      <c r="H16" s="73" ph="1">
        <f>H15*9.0746*LOOKUP(H17,密度!$A$2:$A$50,密度!$L$2:$L$50)</f>
        <v>35540.126423999995</v>
      </c>
      <c r="I16" s="73" ph="1">
        <f>I15*9.0746*LOOKUP(I17,密度!$A$2:$A$50,密度!$U$2:$U$50)</f>
        <v>34895.902420799997</v>
      </c>
      <c r="J16" s="73" ph="1">
        <f>J15*9.0746*LOOKUP(J17,密度!$A$2:$A$50,密度!$L$2:$L$50)</f>
        <v>32978.384993199994</v>
      </c>
      <c r="K16" s="73" ph="1">
        <f>K15*9.0746*LOOKUP(K17,密度!$A$2:$A$50,密度!$C$2:$C$50)</f>
        <v>24079.913904600002</v>
      </c>
      <c r="L16" s="73" ph="1">
        <f>L15*9.0746*LOOKUP(L17,密度!$A$2:$A$50,密度!$E$2:$E$50)</f>
        <v>16868.701343200002</v>
      </c>
      <c r="M16" s="73" ph="1">
        <f>M15*9.0746*LOOKUP(M17,密度!$A$2:$A$50,密度!$M$2:$M$50)</f>
        <v>54557.991601540001</v>
      </c>
      <c r="N16" s="73" ph="1">
        <f>N15*9.0746*LOOKUP(N17,密度!$A$2:$A$50,密度!$M$2:$M$50)</f>
        <v>24963.657437499998</v>
      </c>
      <c r="O16" s="73" ph="1">
        <f>O15*9.0746*LOOKUP(O17,密度!$A$2:$A$50,密度!$G$2:$G$50)</f>
        <v>46056.9889004</v>
      </c>
      <c r="P16" s="73" ph="1">
        <f ca="1">P15*9.0746*LOOKUP(P17,密度!$A$2:$A$51,密度!$Q$2:$Q$50)</f>
        <v>31059.476973896002</v>
      </c>
      <c r="Q16" s="73" ph="1">
        <f>Q15*9.0746*LOOKUP(Q17,密度!$A$2:$A$50,密度!$Q$2:$Q$50)</f>
        <v>60090.194719378</v>
      </c>
      <c r="R16" s="73" ph="1">
        <f>MAX(R15*9.0746*LOOKUP(R17,密度!$A$2:$A$50,密度!$B$2:$B$50),0)</f>
        <v>52334.267223759998</v>
      </c>
      <c r="S16" s="73" ph="1">
        <f>S15*9.0746*LOOKUP(S17,密度!$A$2:$A$50,密度!$Q$2:$Q$50)</f>
        <v>53108.552386984004</v>
      </c>
      <c r="T16" s="73" ph="1">
        <f>T15*9.0746*LOOKUP(T17,密度!$A$2:$A$50,密度!$O$2:$O$50)</f>
        <v>27478.614768000003</v>
      </c>
      <c r="U16" s="73" ph="1">
        <f>U15*9.0746*LOOKUP(U17,密度!$A$2:$A$50,密度!$H$2:$H$50)</f>
        <v>17447.426698520001</v>
      </c>
      <c r="V16" s="73" ph="1">
        <f>MAX(5600*LOOKUP(V17,密度!$A$2:$A$50,密度!$Q$2:$Q$50)+V15*9.0476*LOOKUP(V17,密度!$A$2:$A$50,密度!$Q$2:$Q$50),0)</f>
        <v>48331.894711464003</v>
      </c>
      <c r="W16" s="73" ph="1">
        <f>MAX(5600*LOOKUP(W17,密度!$A$2:$A$50,密度!$Q$2:$Q$50)+W15*9.0476*LOOKUP(W17,密度!$A$2:$A$50,密度!$Q$2:$Q$50),0)</f>
        <v>34373.266938656001</v>
      </c>
      <c r="X16" s="73" ph="1">
        <f>MAX(5600*LOOKUP(X17,密度!$A$2:$A$50,密度!$I$2:$I$50)+X15*9.0476*LOOKUP(X17,密度!$A$2:$A$50,密度!$I$2:$I$50),0)</f>
        <v>12144.20789136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71.299132200000003</v>
      </c>
      <c r="AB16" s="73" ph="1">
        <f>AB15*9.0746*LOOKUP(AB17,密度!$A$2:$A$50,密度!$L$2:$L$50)</f>
        <v>13085.210215999999</v>
      </c>
      <c r="AC16" s="73" ph="1">
        <f>AC15*9.0746*LOOKUP(AC17,密度!$A$2:$A$50,密度!$L$2:$L$50)</f>
        <v>231.29340479999999</v>
      </c>
      <c r="AD16" s="73" ph="1">
        <f>AD15*268.68*LOOKUP(AD17,密度!$A$2:$A$50,密度!B2:B50)+IF(AD15&lt;=0,0,1566*LOOKUP(AD17,密度!$A$2:$A$50,密度!B2:B50))</f>
        <v>2312.1554548799995</v>
      </c>
      <c r="AE16" s="73" ph="1">
        <f>AE15*268.68*LOOKUP(AE17,密度!$A$2:$A$50,密度!B2:B50)+IF(AE15&lt;=0,0,1566*LOOKUP(AE17,密度!$A$2:$A$50,密度!B2:B50))</f>
        <v>6105.5290809599992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21</v>
      </c>
      <c r="E17" s="74">
        <v>21</v>
      </c>
      <c r="F17" s="74">
        <v>22</v>
      </c>
      <c r="G17" s="74">
        <v>20</v>
      </c>
      <c r="H17" s="74">
        <v>16</v>
      </c>
      <c r="I17" s="74">
        <v>24</v>
      </c>
      <c r="J17" s="74">
        <v>21</v>
      </c>
      <c r="K17" s="74">
        <v>20</v>
      </c>
      <c r="L17" s="74">
        <v>21</v>
      </c>
      <c r="M17" s="74">
        <v>21</v>
      </c>
      <c r="N17" s="74">
        <v>20</v>
      </c>
      <c r="O17" s="74">
        <v>21</v>
      </c>
      <c r="P17" s="74">
        <v>21</v>
      </c>
      <c r="Q17" s="74">
        <v>22</v>
      </c>
      <c r="R17" s="74">
        <v>22</v>
      </c>
      <c r="S17" s="74">
        <v>20</v>
      </c>
      <c r="T17" s="74">
        <v>20</v>
      </c>
      <c r="U17" s="74">
        <v>18</v>
      </c>
      <c r="V17" s="74">
        <v>21</v>
      </c>
      <c r="W17" s="74">
        <v>22</v>
      </c>
      <c r="X17" s="74">
        <v>23</v>
      </c>
      <c r="Y17" s="108">
        <v>23</v>
      </c>
      <c r="Z17" s="74">
        <v>20</v>
      </c>
      <c r="AA17" s="74">
        <v>18</v>
      </c>
      <c r="AB17" s="74">
        <v>22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5976</v>
      </c>
      <c r="E18" s="71">
        <v>4593</v>
      </c>
      <c r="F18" s="71">
        <v>3387</v>
      </c>
      <c r="G18" s="71">
        <v>3582</v>
      </c>
      <c r="H18" s="71">
        <v>4140</v>
      </c>
      <c r="I18" s="71">
        <v>3738</v>
      </c>
      <c r="J18" s="71">
        <v>2554</v>
      </c>
      <c r="K18" s="71">
        <v>2385</v>
      </c>
      <c r="L18" s="71">
        <v>5118</v>
      </c>
      <c r="M18" s="71">
        <v>4450</v>
      </c>
      <c r="N18" s="71">
        <v>4266</v>
      </c>
      <c r="O18" s="71">
        <v>5260</v>
      </c>
      <c r="P18" s="71">
        <v>3603</v>
      </c>
      <c r="Q18" s="71">
        <v>6978</v>
      </c>
      <c r="R18" s="71">
        <v>7373</v>
      </c>
      <c r="S18" s="71">
        <v>6157</v>
      </c>
      <c r="T18" s="71">
        <v>2341</v>
      </c>
      <c r="U18" s="71">
        <v>3884</v>
      </c>
      <c r="V18" s="71">
        <v>5006</v>
      </c>
      <c r="W18" s="71">
        <v>3383</v>
      </c>
      <c r="X18" s="71">
        <v>665</v>
      </c>
      <c r="Y18" s="109">
        <v>-9902</v>
      </c>
      <c r="Z18" s="71">
        <v>0</v>
      </c>
      <c r="AA18" s="71">
        <v>10</v>
      </c>
      <c r="AB18" s="71">
        <v>1533</v>
      </c>
      <c r="AC18" s="71">
        <v>23</v>
      </c>
      <c r="AD18" s="71">
        <v>5.21</v>
      </c>
      <c r="AE18" s="71">
        <v>72.709999999999994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66" t="s" ph="1">
        <v>178</v>
      </c>
      <c r="D19" s="73" ph="1">
        <f>D18*7.0686*LOOKUP(D20,密度!$A$2:$A$50,密度!$L$2:$L$50)</f>
        <v>39749.678337599995</v>
      </c>
      <c r="E19" s="73" ph="1">
        <f>E18*7.0686*LOOKUP(E20,密度!$A$2:$A$50,密度!$L$2:$L$50)</f>
        <v>30518.115011999998</v>
      </c>
      <c r="F19" s="73" ph="1">
        <f>F18*9.0746*LOOKUP(F20,密度!$A$2:$A$50,密度!$L$2:$L$50)</f>
        <v>28860.794317799999</v>
      </c>
      <c r="G19" s="73" ph="1">
        <f>G18*9.0746*LOOKUP(G20,密度!$A$2:$A$50,密度!$B$2:$B$50)</f>
        <v>25487.340806519998</v>
      </c>
      <c r="H19" s="73" ph="1">
        <f>H18*9.0746*LOOKUP(H20,密度!$A$2:$A$50,密度!$L$2:$L$50)</f>
        <v>35502.557579999993</v>
      </c>
      <c r="I19" s="73" ph="1">
        <f>I18*9.0746*LOOKUP(I20,密度!$A$2:$A$50,密度!$U$2:$U$50)</f>
        <v>34768.876169999996</v>
      </c>
      <c r="J19" s="73" ph="1">
        <f>J18*9.0746*LOOKUP(J20,密度!$A$2:$A$50,密度!$L$2:$L$50)</f>
        <v>21785.936695999997</v>
      </c>
      <c r="K19" s="73" ph="1">
        <f>K18*9.0746*LOOKUP(K20,密度!$A$2:$A$50,密度!$C$2:$C$50)</f>
        <v>24064.763859900006</v>
      </c>
      <c r="L19" s="73" ph="1">
        <f>L18*9.0746*LOOKUP(L20,密度!$A$2:$A$50,密度!$E$2:$E$50)</f>
        <v>36597.716606399998</v>
      </c>
      <c r="M19" s="73" ph="1">
        <f>M18*9.0746*LOOKUP(M20,密度!$A$2:$A$50,密度!$M$2:$M$50)</f>
        <v>35455.369660000004</v>
      </c>
      <c r="N19" s="73" ph="1">
        <f>N18*9.0746*LOOKUP(N20,密度!$A$2:$A$50,密度!$M$2:$M$50)</f>
        <v>34078.388041079997</v>
      </c>
      <c r="O19" s="73" ph="1">
        <f>O18*9.0746*LOOKUP(O20,密度!$A$2:$A$50,密度!$G$2:$G$50)</f>
        <v>46004.483264800001</v>
      </c>
      <c r="P19" s="73" ph="1">
        <f ca="1">P18*9.0746*LOOKUP(P20,密度!$A$2:$A$51,密度!$Q$2:$Q$50)</f>
        <v>31031.241446742002</v>
      </c>
      <c r="Q19" s="73" ph="1">
        <f>Q18*9.0746*LOOKUP(Q20,密度!$A$2:$A$50,密度!$Q$2:$Q$50)</f>
        <v>60180.493432343996</v>
      </c>
      <c r="R19" s="73" ph="1">
        <f>MAX(R18*9.0746*LOOKUP(R20,密度!$A$2:$A$50,密度!$B$2:$B$50),0)</f>
        <v>52341.366283340001</v>
      </c>
      <c r="S19" s="73" ph="1">
        <f>S18*9.0746*LOOKUP(S20,密度!$A$2:$A$50,密度!$Q$2:$Q$50)</f>
        <v>53099.928068636</v>
      </c>
      <c r="T19" s="73" ph="1">
        <f>T18*9.0746*LOOKUP(T20,密度!$A$2:$A$50,密度!$O$2:$O$50)</f>
        <v>19756.583898000004</v>
      </c>
      <c r="U19" s="73" ph="1">
        <f>U18*9.0746*LOOKUP(U20,密度!$A$2:$A$50,密度!$H$2:$H$50)</f>
        <v>32450.75871048</v>
      </c>
      <c r="V19" s="73" ph="1">
        <f>MAX(5600*LOOKUP(V20,密度!$A$2:$A$50,密度!$Q$2:$Q$50)+V18*9.0476*LOOKUP(V20,密度!$A$2:$A$50,密度!$Q$2:$Q$50),0)</f>
        <v>48301.359340103998</v>
      </c>
      <c r="W19" s="73" ph="1">
        <f>MAX(5600*LOOKUP(W20,密度!$A$2:$A$50,密度!$Q$2:$Q$50)+W18*9.0476*LOOKUP(W20,密度!$A$2:$A$50,密度!$Q$2:$Q$50),0)</f>
        <v>34332.454804559995</v>
      </c>
      <c r="X19" s="73" ph="1">
        <f>MAX(5600*LOOKUP(X20,密度!$A$2:$A$50,密度!$I$2:$I$50)+X18*9.0476*LOOKUP(X20,密度!$A$2:$A$50,密度!$I$2:$I$50),0)</f>
        <v>12134.756768399999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71.153938600000004</v>
      </c>
      <c r="AB19" s="73" ph="1">
        <f>AB18*9.0746*LOOKUP(AB20,密度!$A$2:$A$50,密度!$L$2:$L$50)</f>
        <v>13076.680092000001</v>
      </c>
      <c r="AC19" s="73" ph="1">
        <f>AC18*9.0746*LOOKUP(AC20,密度!$A$2:$A$50,密度!$L$2:$L$50)</f>
        <v>196.6102836</v>
      </c>
      <c r="AD19" s="73" ph="1">
        <f>AD18*268.68*LOOKUP(AD20,密度!$A$2:$A$50,密度!B5:B53)+IF(AD18&lt;=0,0,1566*LOOKUP(AD20,密度!$A$2:$A$50,密度!B5:B53))</f>
        <v>2304.4443155999998</v>
      </c>
      <c r="AE19" s="73" ph="1">
        <f>AE18*268.68*LOOKUP(AE20,密度!$A$2:$A$50,密度!B5:B53)+IF(AE18&lt;=0,0,1566*LOOKUP(AE20,密度!$A$2:$A$50,密度!B5:B53))</f>
        <v>16396.038615599999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21</v>
      </c>
      <c r="E20" s="81">
        <v>22</v>
      </c>
      <c r="F20" s="81">
        <v>23</v>
      </c>
      <c r="G20" s="81">
        <v>20</v>
      </c>
      <c r="H20" s="81">
        <v>17</v>
      </c>
      <c r="I20" s="81">
        <v>25</v>
      </c>
      <c r="J20" s="81">
        <v>22</v>
      </c>
      <c r="K20" s="81">
        <v>21</v>
      </c>
      <c r="L20" s="81">
        <v>21</v>
      </c>
      <c r="M20" s="81">
        <v>22</v>
      </c>
      <c r="N20" s="81">
        <v>20</v>
      </c>
      <c r="O20" s="81">
        <v>22</v>
      </c>
      <c r="P20" s="81">
        <v>22</v>
      </c>
      <c r="Q20" s="81">
        <v>20</v>
      </c>
      <c r="R20" s="81">
        <v>22</v>
      </c>
      <c r="S20" s="81">
        <v>20</v>
      </c>
      <c r="T20" s="81">
        <v>23</v>
      </c>
      <c r="U20" s="81">
        <v>19</v>
      </c>
      <c r="V20" s="81">
        <v>22</v>
      </c>
      <c r="W20" s="81">
        <v>23</v>
      </c>
      <c r="X20" s="81">
        <v>23</v>
      </c>
      <c r="Y20" s="110">
        <v>23</v>
      </c>
      <c r="Z20" s="81">
        <v>22</v>
      </c>
      <c r="AA20" s="81">
        <v>20</v>
      </c>
      <c r="AB20" s="81">
        <v>22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644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66" t="s" ph="1">
        <v>177</v>
      </c>
      <c r="D24" s="71">
        <v>5.01</v>
      </c>
      <c r="E24" s="71">
        <v>5.82</v>
      </c>
      <c r="F24" s="71">
        <v>723</v>
      </c>
      <c r="G24" s="71">
        <v>2687</v>
      </c>
      <c r="H24" s="71">
        <v>3419</v>
      </c>
      <c r="I24" s="71">
        <v>201</v>
      </c>
      <c r="J24" s="71">
        <v>5275</v>
      </c>
      <c r="K24" s="71">
        <v>4914</v>
      </c>
      <c r="L24" s="71">
        <v>5554</v>
      </c>
      <c r="M24" s="71">
        <v>4880</v>
      </c>
      <c r="N24" s="71">
        <v>5596</v>
      </c>
      <c r="O24" s="71">
        <v>5728</v>
      </c>
      <c r="P24" s="71">
        <v>651</v>
      </c>
      <c r="Q24" s="90">
        <v>3963</v>
      </c>
      <c r="R24" s="71">
        <v>4447</v>
      </c>
      <c r="S24" s="71">
        <v>2441</v>
      </c>
      <c r="T24" s="71">
        <v>160</v>
      </c>
      <c r="U24" s="71">
        <v>4259</v>
      </c>
      <c r="V24" s="71">
        <v>8840</v>
      </c>
      <c r="W24" s="71">
        <v>1399</v>
      </c>
      <c r="X24" s="71">
        <v>3691</v>
      </c>
      <c r="Y24" s="71">
        <v>3029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2756.9890570320003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8034.8959307400009</v>
      </c>
      <c r="G25" s="91" ph="1">
        <f>G24*18.322*LOOKUP(G26,密度!$A$2:$A$50,密度!$B$2:$B$50)</f>
        <v>38513.578712199997</v>
      </c>
      <c r="H25" s="91" ph="1">
        <f>H24*18.322*LOOKUP(H26,密度!$A$2:$A$50,密度!$B$2:$B$50)</f>
        <v>49061.933377599998</v>
      </c>
      <c r="I25" s="91" ph="1">
        <f>I24*18.322*LOOKUP(I26,密度!$A$2:$A$50,密度!$Q$2:$Q$50)</f>
        <v>3497.4442561799997</v>
      </c>
      <c r="J25" s="91" ph="1">
        <f>J24*18.322*LOOKUP(J26,密度!$A$2:$A$50,密度!$Q$2:$Q$50)</f>
        <v>91852.848949000007</v>
      </c>
      <c r="K25" s="91" ph="1">
        <f>K24*18.322*LOOKUP(K26,密度!$A$2:$A$50,密度!$Q$2:$Q$50)</f>
        <v>85643.334798839991</v>
      </c>
      <c r="L25" s="91" ph="1">
        <f>L24*18.322*LOOKUP(L26,密度!$A$2:$A$50,密度!$Q$2:$Q$50)</f>
        <v>96711.037547439992</v>
      </c>
      <c r="M25" s="91" ph="1">
        <f>M24*18.322*LOOKUP(M26,密度!$A$2:$A$50,密度!$Q$2:$Q$50)</f>
        <v>84974.768316800008</v>
      </c>
      <c r="N25" s="91" ph="1">
        <f>N24*18.322*LOOKUP(N26,密度!$A$2:$A$50,密度!$Q$2:$Q$50)</f>
        <v>97529.528191759993</v>
      </c>
      <c r="O25" s="91" ph="1">
        <f>O24*18.322*LOOKUP(O26,密度!$A$2:$A$50,密度!$C$2:$C$50)</f>
        <v>116828.5766912</v>
      </c>
      <c r="P25" s="91" ph="1">
        <f>P24*11.702*LOOKUP(P26,密度!$A$2:$A$50,密度!$B$2:$B$50)</f>
        <v>5973.2753682000002</v>
      </c>
      <c r="Q25" s="92" ph="1">
        <f>Q24*18.322*LOOKUP(Q26,密度!$A$2:$A$50,密度!$B$2:$B$50)</f>
        <v>56933.568432599997</v>
      </c>
      <c r="R25" s="91" ph="1">
        <f>R24*35.891*LOOKUP(R26,密度!$A$2:$A$50,密度!$C$2:$C$50)</f>
        <v>177467.33129630002</v>
      </c>
      <c r="S25" s="91" ph="1">
        <f>S24*35.891*LOOKUP(S26,密度!$A$2:$A$50,密度!$B$2:$B$50)</f>
        <v>68616.097959199993</v>
      </c>
      <c r="T25" s="91" ph="1">
        <f>T24*35.891*LOOKUP(T26,密度!$A$2:$A$50,密度!$Q$2:$Q$50)</f>
        <v>5457.6141727999993</v>
      </c>
      <c r="U25" s="91" ph="1">
        <f>U24*35.891</f>
        <v>152859.769</v>
      </c>
      <c r="V25" s="91" ph="1">
        <f>V24*47.051*LOOKUP(V26,密度!$A$2:$A$50,密度!$B$2:$B$50)</f>
        <v>326131.37164400006</v>
      </c>
      <c r="W25" s="91" ph="1">
        <f>W24*47.051*LOOKUP(W26,密度!$A$2:$A$50,密度!$B$2:$B$50)</f>
        <v>51494.388222699999</v>
      </c>
      <c r="X25" s="91" ph="1">
        <f>X24*47.051*LOOKUP(X26,密度!$A$2:$A$61,密度!$I$2:$I$61)</f>
        <v>178493.13469980002</v>
      </c>
      <c r="Y25" s="91" ph="1">
        <f>Y24*47.051*LOOKUP(Y26,密度!$A$2:$A$50,密度!$L$2:$L$50)</f>
        <v>134251.465218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21</v>
      </c>
      <c r="G26" s="74">
        <v>22</v>
      </c>
      <c r="H26" s="74">
        <v>21</v>
      </c>
      <c r="I26" s="74">
        <v>21</v>
      </c>
      <c r="J26" s="74">
        <v>20</v>
      </c>
      <c r="K26" s="74">
        <v>19</v>
      </c>
      <c r="L26" s="74">
        <v>20</v>
      </c>
      <c r="M26" s="74">
        <v>20</v>
      </c>
      <c r="N26" s="74">
        <v>19</v>
      </c>
      <c r="O26" s="74">
        <v>19</v>
      </c>
      <c r="P26" s="74">
        <v>20</v>
      </c>
      <c r="Q26" s="93">
        <v>20</v>
      </c>
      <c r="R26" s="74">
        <v>21</v>
      </c>
      <c r="S26" s="74">
        <v>21</v>
      </c>
      <c r="T26" s="74">
        <v>20</v>
      </c>
      <c r="U26" s="74">
        <v>21</v>
      </c>
      <c r="V26" s="74">
        <v>20</v>
      </c>
      <c r="W26" s="74">
        <v>22</v>
      </c>
      <c r="X26" s="74">
        <v>38</v>
      </c>
      <c r="Y26" s="74">
        <v>20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66" t="s" ph="1">
        <v>180</v>
      </c>
      <c r="D27" s="71">
        <v>5.01</v>
      </c>
      <c r="E27" s="71">
        <v>5.92</v>
      </c>
      <c r="F27" s="71">
        <v>722</v>
      </c>
      <c r="G27" s="71">
        <v>2224</v>
      </c>
      <c r="H27" s="71">
        <v>3176</v>
      </c>
      <c r="I27" s="71">
        <v>200</v>
      </c>
      <c r="J27" s="71">
        <v>4942</v>
      </c>
      <c r="K27" s="71">
        <v>4915</v>
      </c>
      <c r="L27" s="71">
        <v>5553</v>
      </c>
      <c r="M27" s="71">
        <v>4880</v>
      </c>
      <c r="N27" s="71">
        <v>5598</v>
      </c>
      <c r="O27" s="71">
        <v>5728</v>
      </c>
      <c r="P27" s="71">
        <v>649</v>
      </c>
      <c r="Q27" s="90">
        <v>4264</v>
      </c>
      <c r="R27" s="71">
        <v>4873</v>
      </c>
      <c r="S27" s="71">
        <v>2440</v>
      </c>
      <c r="T27" s="71">
        <v>159</v>
      </c>
      <c r="U27" s="71">
        <v>4366</v>
      </c>
      <c r="V27" s="71">
        <v>8838</v>
      </c>
      <c r="W27" s="71">
        <v>1397</v>
      </c>
      <c r="X27" s="71">
        <v>4161</v>
      </c>
      <c r="Y27" s="71">
        <v>3461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66" t="s" ph="1">
        <v>178</v>
      </c>
      <c r="D28" s="91" ph="1">
        <f>D27*268.68*LOOKUP(D29,密度!$A$2:$A$50,密度!$Q$2:$Q$50)+IF(D27&lt;=0,0,1566*LOOKUP(D29,密度!$A$2:$A$50,密度!$Q$2:$Q$50))</f>
        <v>2756.9890570320003</v>
      </c>
      <c r="E28" s="91" ph="1">
        <f>E27*268.68*LOOKUP(E29,密度!$A$2:$A$50,密度!$C$2:$C$50)+IF(E27&lt;=0,0,1566*LOOKUP(E29,密度!$A$2:$A$50,密度!$C$2:$C$50))</f>
        <v>3500.3377718399997</v>
      </c>
      <c r="F28" s="91" ph="1">
        <f>F27*11.702*LOOKUP(F29,密度!$A$2:$A$50,密度!$Q$2:$Q$50)</f>
        <v>8018.7133519599993</v>
      </c>
      <c r="G28" s="91" ph="1">
        <f>G27*18.322*LOOKUP(G29,密度!$A$2:$A$50,密度!$B$2:$B$50)</f>
        <v>31913.933849599998</v>
      </c>
      <c r="H28" s="91" ph="1">
        <f>H27*18.322*LOOKUP(H29,密度!$A$2:$A$50,密度!$B$2:$B$50)</f>
        <v>45574.9343104</v>
      </c>
      <c r="I28" s="91" ph="1">
        <f>I27*18.322*LOOKUP(I29,密度!$A$2:$A$50,密度!$Q$2:$Q$50)</f>
        <v>3482.5724719999998</v>
      </c>
      <c r="J28" s="91" ph="1">
        <f>J27*18.322*LOOKUP(J29,密度!$A$2:$A$50,密度!$Q$2:$Q$50)</f>
        <v>86054.365783119996</v>
      </c>
      <c r="K28" s="91" ph="1">
        <f>K27*18.322*LOOKUP(K29,密度!$A$2:$A$50,密度!$Q$2:$Q$50)</f>
        <v>85660.76323489999</v>
      </c>
      <c r="L28" s="91" ph="1">
        <f>L27*18.322*LOOKUP(L29,密度!$A$2:$A$50,密度!$Q$2:$Q$50)</f>
        <v>96693.624685079994</v>
      </c>
      <c r="M28" s="91" ph="1">
        <f>M27*18.322*LOOKUP(M29,密度!$A$2:$A$50,密度!$Q$2:$Q$50)</f>
        <v>84913.074478399998</v>
      </c>
      <c r="N28" s="91" ph="1">
        <f>N27*18.322*LOOKUP(N29,密度!$A$2:$A$50,密度!$Q$2:$Q$50)</f>
        <v>97477.203491280001</v>
      </c>
      <c r="O28" s="91" ph="1">
        <f>O27*18.322*LOOKUP(O29,密度!$A$2:$A$50,密度!$C$2:$C$50)</f>
        <v>116692.14375040001</v>
      </c>
      <c r="P28" s="91" ph="1">
        <f>P27*11.702*LOOKUP(P29,密度!$A$2:$A$50,密度!$B$2:$B$50)</f>
        <v>5954.9242918</v>
      </c>
      <c r="Q28" s="92" ph="1">
        <f>Q27*18.322*LOOKUP(Q29,密度!$A$2:$A$50,密度!$B$2:$B$50)</f>
        <v>61320.318779200003</v>
      </c>
      <c r="R28" s="91" ph="1">
        <f>R27*35.891*LOOKUP(R29,密度!$A$2:$A$50,密度!$C$2:$C$50)</f>
        <v>194327.88225729999</v>
      </c>
      <c r="S28" s="91" ph="1">
        <f>S27*35.891*LOOKUP(S29,密度!$A$2:$A$50,密度!$B$2:$B$50)</f>
        <v>68509.171491999994</v>
      </c>
      <c r="T28" s="91" ph="1">
        <f>T27*35.891*LOOKUP(T29,密度!$A$2:$A$50,密度!$Q$2:$Q$50)</f>
        <v>5423.5040842199996</v>
      </c>
      <c r="U28" s="91" ph="1">
        <f>U27*35.891</f>
        <v>156700.106</v>
      </c>
      <c r="V28" s="91" ph="1">
        <f>V27*47.051*LOOKUP(V29,密度!$A$2:$A$50,密度!$B$2:$B$50)</f>
        <v>325309.08013740001</v>
      </c>
      <c r="W28" s="91" ph="1">
        <f>W27*47.051*LOOKUP(W29,密度!$A$2:$A$50,密度!$B$2:$B$50)</f>
        <v>51479.929450400006</v>
      </c>
      <c r="X28" s="91" ph="1">
        <f>X27*47.051*LOOKUP(X29,密度!$A$2:$A$61,密度!$I$2:$I$61)</f>
        <v>202083.30159420002</v>
      </c>
      <c r="Y28" s="91" ph="1">
        <f>Y27*47.051*LOOKUP(Y29,密度!$A$2:$A$50,密度!$L$2:$L$50)</f>
        <v>153235.74385099998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66" t="s" ph="1">
        <v>179</v>
      </c>
      <c r="D29" s="74">
        <v>25</v>
      </c>
      <c r="E29" s="74">
        <v>25</v>
      </c>
      <c r="F29" s="74">
        <v>22</v>
      </c>
      <c r="G29" s="74">
        <v>21</v>
      </c>
      <c r="H29" s="74">
        <v>21</v>
      </c>
      <c r="I29" s="74">
        <v>20</v>
      </c>
      <c r="J29" s="74">
        <v>20</v>
      </c>
      <c r="K29" s="74">
        <v>19</v>
      </c>
      <c r="L29" s="74">
        <v>20</v>
      </c>
      <c r="M29" s="74">
        <v>21</v>
      </c>
      <c r="N29" s="74">
        <v>20</v>
      </c>
      <c r="O29" s="74">
        <v>21</v>
      </c>
      <c r="P29" s="74">
        <v>20</v>
      </c>
      <c r="Q29" s="93">
        <v>19</v>
      </c>
      <c r="R29" s="74">
        <v>22</v>
      </c>
      <c r="S29" s="74">
        <v>22</v>
      </c>
      <c r="T29" s="74">
        <v>20</v>
      </c>
      <c r="U29" s="74">
        <v>22</v>
      </c>
      <c r="V29" s="74">
        <v>22</v>
      </c>
      <c r="W29" s="74">
        <v>21</v>
      </c>
      <c r="X29" s="74">
        <v>34</v>
      </c>
      <c r="Y29" s="74">
        <v>21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113129.17639500002</v>
      </c>
      <c r="E33" s="196" ph="1">
        <f>M10+I10</f>
        <v>99714.260777000018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22" ph="1">
        <v>0</v>
      </c>
      <c r="H33" s="196" ph="1">
        <f>N19</f>
        <v>34078.388041079997</v>
      </c>
      <c r="I33" s="200" ph="1">
        <v>0</v>
      </c>
      <c r="J33" s="204" ph="1">
        <f>F10+O28</f>
        <v>243695.44390359998</v>
      </c>
      <c r="K33" s="196" ph="1">
        <f>O10+K10+E28+R28</f>
        <v>206045.85222273998</v>
      </c>
      <c r="L33" s="206" ph="1">
        <f>BE27</f>
        <v>7100</v>
      </c>
      <c r="M33" s="204" ph="1">
        <f>G10+H10+W28+S28+V28+E10</f>
        <v>949748.70962879993</v>
      </c>
      <c r="N33" s="196" ph="1">
        <f>L10+P10++G28+H28</f>
        <v>161192.96103999999</v>
      </c>
      <c r="O33" s="200" ph="1">
        <f>BE17</f>
        <v>2270</v>
      </c>
      <c r="P33" s="204" ph="1">
        <f>L19</f>
        <v>36597.716606399998</v>
      </c>
      <c r="Q33" s="196" ph="1">
        <f>J10+N10</f>
        <v>58391.858582399997</v>
      </c>
      <c r="R33" s="200" ph="1">
        <f>BE23</f>
        <v>890</v>
      </c>
      <c r="S33" s="204" ph="1">
        <f>E10+X28</f>
        <v>255983.13537620002</v>
      </c>
      <c r="T33" s="196" ph="1">
        <f>X19</f>
        <v>12134.756768399999</v>
      </c>
      <c r="U33" s="185" ph="1">
        <f>BE21</f>
        <v>730</v>
      </c>
      <c r="V33" s="198" ph="1">
        <f ca="1">P19+Q19+S19+M28+N28+J28</f>
        <v>412756.30670052202</v>
      </c>
      <c r="W33" s="198" ph="1">
        <f>D28+F28+V19+T28</f>
        <v>64500.565833315995</v>
      </c>
      <c r="X33" s="200" ph="1">
        <f>BE29+BE31</f>
        <v>10200</v>
      </c>
      <c r="Y33" s="202" ph="1">
        <f>+Q10+R10+S10+T10+U10+V10+W10+X10+Y10</f>
        <v>210384.43826399997</v>
      </c>
      <c r="Z33" s="183" ph="1">
        <f>D10+T19+U19+Y28+Z10</f>
        <v>427354.46532547998</v>
      </c>
      <c r="AA33" s="185" ph="1">
        <f>BE19</f>
        <v>1440</v>
      </c>
      <c r="AB33" s="187" ph="1">
        <f>I19</f>
        <v>34768.876169999996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68" t="s" ph="1">
        <v>185</v>
      </c>
      <c r="AA36" s="168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342</v>
      </c>
      <c r="AI37" s="168" t="s" ph="1">
        <v>209</v>
      </c>
      <c r="AJ37" s="168" t="s" ph="1">
        <v>210</v>
      </c>
      <c r="AK37" s="168" t="s" ph="1">
        <v>211</v>
      </c>
      <c r="AM37" s="168" t="s" ph="1">
        <v>210</v>
      </c>
      <c r="AN37" s="168" t="s" ph="1">
        <v>211</v>
      </c>
      <c r="AO37" s="168" t="s" ph="1">
        <v>212</v>
      </c>
      <c r="AP37" s="168" t="s" ph="1">
        <v>210</v>
      </c>
      <c r="AQ37" s="168" t="s" ph="1">
        <v>211</v>
      </c>
      <c r="AR37" s="168" t="s" ph="1">
        <v>212</v>
      </c>
      <c r="AS37" s="168" t="s" ph="1">
        <v>210</v>
      </c>
      <c r="AT37" s="168" t="s" ph="1">
        <v>211</v>
      </c>
      <c r="AU37" s="168" t="s" ph="1">
        <v>212</v>
      </c>
      <c r="AV37" s="168" t="s" ph="1">
        <v>210</v>
      </c>
      <c r="AW37" s="168" t="s" ph="1">
        <v>211</v>
      </c>
      <c r="AX37" s="168" t="s" ph="1">
        <v>212</v>
      </c>
      <c r="AY37" s="168" t="s" ph="1">
        <v>211</v>
      </c>
      <c r="AZ37" s="168" t="s" ph="1">
        <v>213</v>
      </c>
      <c r="BD37" s="168" t="s" ph="1">
        <v>305</v>
      </c>
      <c r="BE37" s="16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028" priority="98">
      <formula>ABS(D$7-D$10)&gt;=1000</formula>
    </cfRule>
  </conditionalFormatting>
  <conditionalFormatting sqref="E4 E6:E11">
    <cfRule type="expression" dxfId="1027" priority="97">
      <formula>ABS(E$7-E$10)&gt;=1000</formula>
    </cfRule>
  </conditionalFormatting>
  <conditionalFormatting sqref="F4:F11">
    <cfRule type="expression" dxfId="1026" priority="96">
      <formula>ABS(F$7-F$10)&gt;=1000</formula>
    </cfRule>
  </conditionalFormatting>
  <conditionalFormatting sqref="G4:G11">
    <cfRule type="expression" dxfId="1025" priority="95">
      <formula>ABS(G$7-G$10)&gt;=1000</formula>
    </cfRule>
  </conditionalFormatting>
  <conditionalFormatting sqref="H4:H11">
    <cfRule type="expression" dxfId="1024" priority="94">
      <formula>ABS(H$7-H$10)&gt;=1000</formula>
    </cfRule>
  </conditionalFormatting>
  <conditionalFormatting sqref="I4:I11">
    <cfRule type="expression" dxfId="1023" priority="93">
      <formula>ABS(I$7-I$10)&gt;=1000</formula>
    </cfRule>
  </conditionalFormatting>
  <conditionalFormatting sqref="J4:J11">
    <cfRule type="expression" dxfId="1022" priority="92">
      <formula>ABS(J$7-J$10)&gt;=1000</formula>
    </cfRule>
  </conditionalFormatting>
  <conditionalFormatting sqref="K4:K11">
    <cfRule type="expression" dxfId="1021" priority="91">
      <formula>ABS(K$7-K$10)&gt;=1000</formula>
    </cfRule>
  </conditionalFormatting>
  <conditionalFormatting sqref="L4:L11">
    <cfRule type="expression" dxfId="1020" priority="90">
      <formula>ABS(L$7-L$10)&gt;=1000</formula>
    </cfRule>
  </conditionalFormatting>
  <conditionalFormatting sqref="M4 M6:M11">
    <cfRule type="expression" dxfId="1019" priority="89">
      <formula>ABS(M$7-M$10)&gt;=1000</formula>
    </cfRule>
  </conditionalFormatting>
  <conditionalFormatting sqref="N4 N6:N11">
    <cfRule type="expression" dxfId="1018" priority="88">
      <formula>ABS(N$7-N$10)&gt;=1000</formula>
    </cfRule>
  </conditionalFormatting>
  <conditionalFormatting sqref="O4 O6:O11">
    <cfRule type="expression" dxfId="1017" priority="87">
      <formula>ABS(O$7-O$10)&gt;=1000</formula>
    </cfRule>
  </conditionalFormatting>
  <conditionalFormatting sqref="P4 P6:P11">
    <cfRule type="expression" dxfId="1016" priority="86">
      <formula>ABS(P$7-P$10)&gt;=1000</formula>
    </cfRule>
  </conditionalFormatting>
  <conditionalFormatting sqref="Q4:Q11">
    <cfRule type="expression" dxfId="1015" priority="85">
      <formula>ABS(Q$7-Q$10)&gt;=1000</formula>
    </cfRule>
  </conditionalFormatting>
  <conditionalFormatting sqref="R4:R11">
    <cfRule type="expression" dxfId="1014" priority="84">
      <formula>ABS(R$7-R$10)&gt;=1000</formula>
    </cfRule>
  </conditionalFormatting>
  <conditionalFormatting sqref="S4:S11">
    <cfRule type="expression" dxfId="1013" priority="83">
      <formula>ABS(S$7-S$10)&gt;=1000</formula>
    </cfRule>
  </conditionalFormatting>
  <conditionalFormatting sqref="T4:T9 T11">
    <cfRule type="expression" dxfId="1012" priority="82">
      <formula>ABS(T$7-T$10)&gt;=1000</formula>
    </cfRule>
  </conditionalFormatting>
  <conditionalFormatting sqref="U4:U9 U11">
    <cfRule type="expression" dxfId="1011" priority="81">
      <formula>ABS(U$7-U$10)&gt;=1000</formula>
    </cfRule>
  </conditionalFormatting>
  <conditionalFormatting sqref="V4:V9 V11">
    <cfRule type="expression" dxfId="1010" priority="80">
      <formula>ABS(V$7-V$10)&gt;=1000</formula>
    </cfRule>
  </conditionalFormatting>
  <conditionalFormatting sqref="W4:W9 W11">
    <cfRule type="expression" dxfId="1009" priority="79">
      <formula>ABS(W$7-W$10)&gt;=1000</formula>
    </cfRule>
  </conditionalFormatting>
  <conditionalFormatting sqref="X4:X9 X11">
    <cfRule type="expression" dxfId="1008" priority="78">
      <formula>ABS(X$7-X$10)&gt;=1000</formula>
    </cfRule>
  </conditionalFormatting>
  <conditionalFormatting sqref="Y4:Y9 Y11">
    <cfRule type="expression" dxfId="1007" priority="77">
      <formula>ABS(Y$7-Y$10)&gt;=1000</formula>
    </cfRule>
  </conditionalFormatting>
  <conditionalFormatting sqref="Z4:Z11">
    <cfRule type="expression" dxfId="1006" priority="76">
      <formula>ABS(Z$7-Z$10)&gt;=1000</formula>
    </cfRule>
  </conditionalFormatting>
  <conditionalFormatting sqref="AA4:AA11">
    <cfRule type="expression" dxfId="1005" priority="75">
      <formula>ABS(AA$7-AA$10)&gt;=1000</formula>
    </cfRule>
  </conditionalFormatting>
  <conditionalFormatting sqref="AB4:AB11">
    <cfRule type="expression" dxfId="1004" priority="74">
      <formula>ABS(AB$7-AB$10)&gt;=1000</formula>
    </cfRule>
  </conditionalFormatting>
  <conditionalFormatting sqref="AC4 AC6:AC11">
    <cfRule type="expression" dxfId="1003" priority="73">
      <formula>ABS(AC$7-AC$10)&gt;=1000</formula>
    </cfRule>
  </conditionalFormatting>
  <conditionalFormatting sqref="AD4:AD11">
    <cfRule type="expression" dxfId="1002" priority="72">
      <formula>ABS(AD$7-AD$10)&gt;=1000</formula>
    </cfRule>
  </conditionalFormatting>
  <conditionalFormatting sqref="AE4 AE6:AE11">
    <cfRule type="expression" dxfId="1001" priority="71">
      <formula>ABS(AE$7-AE$10)&gt;=1000</formula>
    </cfRule>
  </conditionalFormatting>
  <conditionalFormatting sqref="D13:D20">
    <cfRule type="expression" dxfId="1000" priority="70">
      <formula>ABS(D$16-D$19)&gt;=1000</formula>
    </cfRule>
  </conditionalFormatting>
  <conditionalFormatting sqref="E13:E20">
    <cfRule type="expression" dxfId="999" priority="69">
      <formula>ABS(E$16-E$19)&gt;=1000</formula>
    </cfRule>
  </conditionalFormatting>
  <conditionalFormatting sqref="F13 F15:F20">
    <cfRule type="expression" dxfId="998" priority="68">
      <formula>ABS(F$16-F$19)&gt;=1000</formula>
    </cfRule>
  </conditionalFormatting>
  <conditionalFormatting sqref="G13:G20">
    <cfRule type="expression" dxfId="997" priority="67">
      <formula>ABS(G$16-G$19)&gt;=1000</formula>
    </cfRule>
  </conditionalFormatting>
  <conditionalFormatting sqref="H13:H20">
    <cfRule type="expression" dxfId="996" priority="66">
      <formula>ABS(H$16-H$19)&gt;=1000</formula>
    </cfRule>
  </conditionalFormatting>
  <conditionalFormatting sqref="I13:I20">
    <cfRule type="expression" dxfId="995" priority="65">
      <formula>ABS(I$16-I$19)&gt;=1000</formula>
    </cfRule>
  </conditionalFormatting>
  <conditionalFormatting sqref="J13:J20">
    <cfRule type="expression" dxfId="994" priority="64">
      <formula>ABS(J$16-J$19)&gt;=1000</formula>
    </cfRule>
  </conditionalFormatting>
  <conditionalFormatting sqref="L13:L20">
    <cfRule type="expression" dxfId="993" priority="63">
      <formula>ABS(L$16-L$19)&gt;=1000</formula>
    </cfRule>
  </conditionalFormatting>
  <conditionalFormatting sqref="M13 M15 M17:M18 M20">
    <cfRule type="expression" dxfId="992" priority="62">
      <formula>ABS(M$16-M$19)&gt;=1000</formula>
    </cfRule>
  </conditionalFormatting>
  <conditionalFormatting sqref="N13:N20">
    <cfRule type="expression" dxfId="991" priority="61">
      <formula>ABS(N$16-N$19)&gt;=1000</formula>
    </cfRule>
  </conditionalFormatting>
  <conditionalFormatting sqref="O13:O20">
    <cfRule type="expression" dxfId="990" priority="60">
      <formula>ABS(O$16-O$19)&gt;=1000</formula>
    </cfRule>
  </conditionalFormatting>
  <conditionalFormatting sqref="P13:P20">
    <cfRule type="expression" dxfId="989" priority="59">
      <formula>ABS(P$16-P$19)&gt;=1000</formula>
    </cfRule>
  </conditionalFormatting>
  <conditionalFormatting sqref="Q13 Q15:Q20">
    <cfRule type="expression" dxfId="988" priority="58">
      <formula>ABS(Q$16-Q$19)&gt;=1000</formula>
    </cfRule>
  </conditionalFormatting>
  <conditionalFormatting sqref="R13:R20">
    <cfRule type="expression" dxfId="987" priority="57">
      <formula>ABS(R$16-R$19)&gt;=1000</formula>
    </cfRule>
  </conditionalFormatting>
  <conditionalFormatting sqref="S13:S20">
    <cfRule type="expression" dxfId="986" priority="56">
      <formula>ABS(S$16-S$19)&gt;=1000</formula>
    </cfRule>
  </conditionalFormatting>
  <conditionalFormatting sqref="T13:T20">
    <cfRule type="expression" dxfId="985" priority="55">
      <formula>ABS(T$16-T$19)&gt;=1000</formula>
    </cfRule>
  </conditionalFormatting>
  <conditionalFormatting sqref="U13:U20">
    <cfRule type="expression" dxfId="984" priority="54">
      <formula>ABS(U$16-U$19)&gt;=1000</formula>
    </cfRule>
  </conditionalFormatting>
  <conditionalFormatting sqref="V13:V20">
    <cfRule type="expression" dxfId="983" priority="53">
      <formula>ABS(V$16-V$19)&gt;=1000</formula>
    </cfRule>
  </conditionalFormatting>
  <conditionalFormatting sqref="W13 W20 W15:W18">
    <cfRule type="expression" dxfId="982" priority="52">
      <formula>ABS(W$16-W$19)&gt;=1000</formula>
    </cfRule>
  </conditionalFormatting>
  <conditionalFormatting sqref="X13 X15:X20 Y19">
    <cfRule type="expression" dxfId="981" priority="51">
      <formula>ABS(X$16-X$19)&gt;=1000</formula>
    </cfRule>
  </conditionalFormatting>
  <conditionalFormatting sqref="Y13 Y15:Y18 Y20">
    <cfRule type="expression" dxfId="980" priority="50">
      <formula>ABS(Y$16-Y$19)&gt;=1000</formula>
    </cfRule>
  </conditionalFormatting>
  <conditionalFormatting sqref="Z13:Z20">
    <cfRule type="expression" dxfId="979" priority="49">
      <formula>ABS(Z$16-Z$19)&gt;=1000</formula>
    </cfRule>
  </conditionalFormatting>
  <conditionalFormatting sqref="AA13:AA20">
    <cfRule type="expression" dxfId="978" priority="48">
      <formula>ABS(AA$16-AA$19)&gt;=1000</formula>
    </cfRule>
  </conditionalFormatting>
  <conditionalFormatting sqref="AB13 AB15:AB20">
    <cfRule type="expression" dxfId="977" priority="47">
      <formula>ABS(AB$16-AB$19)&gt;=1000</formula>
    </cfRule>
  </conditionalFormatting>
  <conditionalFormatting sqref="AC13 AC15:AC20">
    <cfRule type="expression" dxfId="976" priority="46">
      <formula>ABS(AC$16-AC$19)&gt;=1000</formula>
    </cfRule>
  </conditionalFormatting>
  <conditionalFormatting sqref="AD13:AD20">
    <cfRule type="expression" dxfId="975" priority="45">
      <formula>ABS(AD$16-AD$19)&gt;=1000</formula>
    </cfRule>
  </conditionalFormatting>
  <conditionalFormatting sqref="AE13:AE20">
    <cfRule type="expression" dxfId="974" priority="44">
      <formula>ABS(AE$16-AE$19)&gt;=1000</formula>
    </cfRule>
  </conditionalFormatting>
  <conditionalFormatting sqref="D22:D29">
    <cfRule type="expression" dxfId="973" priority="43">
      <formula>ABS(D$25-D$28)&gt;=1000</formula>
    </cfRule>
  </conditionalFormatting>
  <conditionalFormatting sqref="E22:E29">
    <cfRule type="expression" dxfId="972" priority="42">
      <formula>ABS(E$25-E$28)&gt;=1000</formula>
    </cfRule>
  </conditionalFormatting>
  <conditionalFormatting sqref="F22:F29">
    <cfRule type="expression" dxfId="971" priority="41">
      <formula>ABS(F$25-F$28)&gt;=1000</formula>
    </cfRule>
  </conditionalFormatting>
  <conditionalFormatting sqref="G22:G29">
    <cfRule type="expression" dxfId="970" priority="40">
      <formula>ABS(G$25-G$28)&gt;=1000</formula>
    </cfRule>
  </conditionalFormatting>
  <conditionalFormatting sqref="H22:H29">
    <cfRule type="expression" dxfId="969" priority="39">
      <formula>ABS(H$25-H$28)&gt;=1000</formula>
    </cfRule>
  </conditionalFormatting>
  <conditionalFormatting sqref="I22 I24:I29">
    <cfRule type="expression" dxfId="968" priority="38">
      <formula>ABS(I$25-I$28)&gt;=1000</formula>
    </cfRule>
  </conditionalFormatting>
  <conditionalFormatting sqref="J22:J29 K22">
    <cfRule type="expression" dxfId="967" priority="37">
      <formula>ABS(J$25-J$28)&gt;=1000</formula>
    </cfRule>
  </conditionalFormatting>
  <conditionalFormatting sqref="K23:K29 L25 L28">
    <cfRule type="expression" dxfId="966" priority="36">
      <formula>ABS(K$25-K$28)&gt;=1000</formula>
    </cfRule>
  </conditionalFormatting>
  <conditionalFormatting sqref="L22 L26:L27 L29 L24">
    <cfRule type="expression" dxfId="965" priority="35">
      <formula>ABS(L$25-L$28)&gt;=1000</formula>
    </cfRule>
  </conditionalFormatting>
  <conditionalFormatting sqref="M22:M29">
    <cfRule type="expression" dxfId="964" priority="34">
      <formula>ABS(M$25-M$28)&gt;=1000</formula>
    </cfRule>
  </conditionalFormatting>
  <conditionalFormatting sqref="N22:N29">
    <cfRule type="expression" dxfId="963" priority="33">
      <formula>ABS(N$25-N$28)&gt;=1000</formula>
    </cfRule>
  </conditionalFormatting>
  <conditionalFormatting sqref="O22:O29">
    <cfRule type="expression" dxfId="962" priority="32">
      <formula>ABS(O$25-O$28)&gt;=1000</formula>
    </cfRule>
  </conditionalFormatting>
  <conditionalFormatting sqref="P22:P29">
    <cfRule type="expression" dxfId="961" priority="31">
      <formula>ABS(P$25-P$28)&gt;=1000</formula>
    </cfRule>
  </conditionalFormatting>
  <conditionalFormatting sqref="Q22:Q29">
    <cfRule type="expression" dxfId="960" priority="30">
      <formula>ABS(Q$25-Q$28)&gt;=1000</formula>
    </cfRule>
  </conditionalFormatting>
  <conditionalFormatting sqref="R22:R29">
    <cfRule type="expression" dxfId="959" priority="29">
      <formula>ABS(R$25-R$28)&gt;=1000</formula>
    </cfRule>
  </conditionalFormatting>
  <conditionalFormatting sqref="S22:S29">
    <cfRule type="expression" dxfId="958" priority="28">
      <formula>ABS(S$25-S$28)&gt;=1000</formula>
    </cfRule>
  </conditionalFormatting>
  <conditionalFormatting sqref="T22:T29">
    <cfRule type="expression" dxfId="957" priority="27">
      <formula>ABS(T$25-T$28)&gt;=1000</formula>
    </cfRule>
  </conditionalFormatting>
  <conditionalFormatting sqref="U22:U29">
    <cfRule type="expression" dxfId="956" priority="26">
      <formula>ABS(U$25-U$28)&gt;=1000</formula>
    </cfRule>
  </conditionalFormatting>
  <conditionalFormatting sqref="V22:V29">
    <cfRule type="expression" dxfId="955" priority="25">
      <formula>ABS(V$25-V$28)&gt;=1000</formula>
    </cfRule>
  </conditionalFormatting>
  <conditionalFormatting sqref="W22:W29">
    <cfRule type="expression" dxfId="954" priority="24">
      <formula>ABS(W$25-W$28)&gt;=1000</formula>
    </cfRule>
  </conditionalFormatting>
  <conditionalFormatting sqref="X22:X29">
    <cfRule type="expression" dxfId="953" priority="23">
      <formula>ABS(X$25-X$28)&gt;=1000</formula>
    </cfRule>
  </conditionalFormatting>
  <conditionalFormatting sqref="Y22:Y29">
    <cfRule type="expression" dxfId="952" priority="22">
      <formula>ABS(Y$25-Y$28)&gt;=1000</formula>
    </cfRule>
  </conditionalFormatting>
  <conditionalFormatting sqref="I23">
    <cfRule type="expression" dxfId="951" priority="21">
      <formula>ABS(I$25-I$28)&gt;=1000</formula>
    </cfRule>
  </conditionalFormatting>
  <conditionalFormatting sqref="Q14">
    <cfRule type="expression" dxfId="950" priority="20">
      <formula>ABS(Q$16-Q$19)&gt;=1000</formula>
    </cfRule>
  </conditionalFormatting>
  <conditionalFormatting sqref="W14">
    <cfRule type="expression" dxfId="949" priority="19">
      <formula>ABS(W$16-W$19)&gt;=1000</formula>
    </cfRule>
  </conditionalFormatting>
  <conditionalFormatting sqref="Y14">
    <cfRule type="expression" dxfId="948" priority="18">
      <formula>ABS(Y$16-Y$19)&gt;=1000</formula>
    </cfRule>
  </conditionalFormatting>
  <conditionalFormatting sqref="X14">
    <cfRule type="expression" dxfId="947" priority="17">
      <formula>ABS(X$16-X$19)&gt;=1000</formula>
    </cfRule>
  </conditionalFormatting>
  <conditionalFormatting sqref="T10:Y10">
    <cfRule type="expression" dxfId="946" priority="16">
      <formula>ABS(T$7-T$10)&gt;=1000</formula>
    </cfRule>
  </conditionalFormatting>
  <conditionalFormatting sqref="W19">
    <cfRule type="expression" dxfId="945" priority="15">
      <formula>ABS(W$16-W$19)&gt;=1000</formula>
    </cfRule>
  </conditionalFormatting>
  <conditionalFormatting sqref="AC5">
    <cfRule type="expression" dxfId="944" priority="14">
      <formula>ABS(AC$7-AC$10)&gt;=1000</formula>
    </cfRule>
  </conditionalFormatting>
  <conditionalFormatting sqref="M14">
    <cfRule type="expression" dxfId="943" priority="13">
      <formula>ABS(M$16-M$19)&gt;=1000</formula>
    </cfRule>
  </conditionalFormatting>
  <conditionalFormatting sqref="M16">
    <cfRule type="expression" dxfId="942" priority="12">
      <formula>ABS(M$16-M$19)&gt;=1000</formula>
    </cfRule>
  </conditionalFormatting>
  <conditionalFormatting sqref="M19">
    <cfRule type="expression" dxfId="941" priority="11">
      <formula>ABS(M$16-M$19)&gt;=1000</formula>
    </cfRule>
  </conditionalFormatting>
  <conditionalFormatting sqref="K13:K20">
    <cfRule type="expression" dxfId="940" priority="10">
      <formula>ABS(K$16-K$19)&gt;=1000</formula>
    </cfRule>
  </conditionalFormatting>
  <conditionalFormatting sqref="E5">
    <cfRule type="expression" dxfId="939" priority="9">
      <formula>ABS(E$7-E$10)&gt;=1000</formula>
    </cfRule>
  </conditionalFormatting>
  <conditionalFormatting sqref="AB14:AC14">
    <cfRule type="expression" dxfId="938" priority="8">
      <formula>ABS(AB$16-AB$19)&gt;=1000</formula>
    </cfRule>
  </conditionalFormatting>
  <conditionalFormatting sqref="M5">
    <cfRule type="expression" dxfId="937" priority="7">
      <formula>ABS(M$7-M$10)&gt;=1000</formula>
    </cfRule>
  </conditionalFormatting>
  <conditionalFormatting sqref="N5">
    <cfRule type="expression" dxfId="936" priority="6">
      <formula>ABS(N$7-N$10)&gt;=1000</formula>
    </cfRule>
  </conditionalFormatting>
  <conditionalFormatting sqref="O5">
    <cfRule type="expression" dxfId="935" priority="5">
      <formula>ABS(O$7-O$10)&gt;=1000</formula>
    </cfRule>
  </conditionalFormatting>
  <conditionalFormatting sqref="P5">
    <cfRule type="expression" dxfId="934" priority="4">
      <formula>ABS(P$7-P$10)&gt;=1000</formula>
    </cfRule>
  </conditionalFormatting>
  <conditionalFormatting sqref="L23">
    <cfRule type="expression" dxfId="933" priority="3">
      <formula>ABS(L$25-L$28)&gt;=1000</formula>
    </cfRule>
  </conditionalFormatting>
  <conditionalFormatting sqref="F14">
    <cfRule type="expression" dxfId="932" priority="2">
      <formula>ABS(F$16-F$19)&gt;=1000</formula>
    </cfRule>
  </conditionalFormatting>
  <conditionalFormatting sqref="AE5">
    <cfRule type="expression" dxfId="931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84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90">
    <pageSetUpPr fitToPage="1"/>
  </sheetPr>
  <dimension ref="A1:CU223"/>
  <sheetViews>
    <sheetView view="pageBreakPreview" topLeftCell="A4" zoomScale="70" zoomScaleNormal="100" zoomScaleSheetLayoutView="70" workbookViewId="0">
      <selection activeCell="AG32" sqref="AG32:BH3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46013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66" t="s" ph="1">
        <v>177</v>
      </c>
      <c r="D6" s="71">
        <v>6670</v>
      </c>
      <c r="E6" s="71">
        <v>1742</v>
      </c>
      <c r="F6" s="71">
        <v>2937</v>
      </c>
      <c r="G6" s="71">
        <v>6633</v>
      </c>
      <c r="H6" s="71">
        <v>2295</v>
      </c>
      <c r="I6" s="71">
        <v>27.11</v>
      </c>
      <c r="J6" s="71">
        <v>56.02</v>
      </c>
      <c r="K6" s="71">
        <v>7.32</v>
      </c>
      <c r="L6" s="71">
        <v>7.92</v>
      </c>
      <c r="M6" s="71">
        <v>2673</v>
      </c>
      <c r="N6" s="71">
        <v>3228</v>
      </c>
      <c r="O6" s="71">
        <v>2541</v>
      </c>
      <c r="P6" s="71">
        <v>1011</v>
      </c>
      <c r="Q6" s="71">
        <v>5409</v>
      </c>
      <c r="R6" s="71">
        <v>2410</v>
      </c>
      <c r="S6" s="71">
        <v>1808</v>
      </c>
      <c r="T6" s="71">
        <v>1166</v>
      </c>
      <c r="U6" s="71">
        <v>7018</v>
      </c>
      <c r="V6" s="71">
        <v>5541</v>
      </c>
      <c r="W6" s="71">
        <v>7006</v>
      </c>
      <c r="X6" s="71">
        <v>7119</v>
      </c>
      <c r="Y6" s="71">
        <v>5984</v>
      </c>
      <c r="Z6" s="71">
        <v>1247</v>
      </c>
      <c r="AA6" s="71">
        <v>2981</v>
      </c>
      <c r="AB6" s="71">
        <v>524</v>
      </c>
      <c r="AC6" s="71">
        <v>7931</v>
      </c>
      <c r="AD6" s="71">
        <v>4780</v>
      </c>
      <c r="AE6" s="71">
        <v>4220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210062.6686449</v>
      </c>
      <c r="E7" s="73" ph="1">
        <f>E6*51.53*LOOKUP(E8,密度!$A$2:$A$50,密度!$B$2:$B$50)</f>
        <v>70456.752573999998</v>
      </c>
      <c r="F7" s="73" ph="1">
        <f>F6*33.183*LOOKUP(F8,密度!$A$2:$A$50,密度!$C$2:$C$50)</f>
        <v>108558.99084689999</v>
      </c>
      <c r="G7" s="73" ph="1">
        <f xml:space="preserve"> (G6+2)*51.53*LOOKUP(G8,密度!$A$2:$A$50,密度!$B$2:$B$50)</f>
        <v>268358.526595</v>
      </c>
      <c r="H7" s="73" ph="1">
        <f>(H6)*51.53*LOOKUP(H8,密度!$A$2:$A$50,密度!$B$2:$B$50)</f>
        <v>93095.334719999999</v>
      </c>
      <c r="I7" s="73" ph="1">
        <f>I6*290.8*1.0267</f>
        <v>8094.0797995999992</v>
      </c>
      <c r="J7" s="73" ph="1">
        <f>J6*290.8*0.7892</f>
        <v>12856.554147200002</v>
      </c>
      <c r="K7" s="73" ph="1">
        <f>K6*290.8*1.1126</f>
        <v>2368.3426656000001</v>
      </c>
      <c r="L7" s="73" ph="1">
        <f>L6*290.8*0.777</f>
        <v>1789.536672</v>
      </c>
      <c r="M7" s="73" ph="1">
        <f>M6*33.183*LOOKUP(M8,密度!$A$2:$A$50,密度!$D$2:$D$50)</f>
        <v>91554.239719799996</v>
      </c>
      <c r="N7" s="73" ph="1">
        <f>N6*33.183*LOOKUP(N8,密度!$A$2:$A$50,密度!$E$2:$E$50)</f>
        <v>84406.402512000001</v>
      </c>
      <c r="O7" s="73" ph="1">
        <f>O6*20.428*LOOKUP(O8,密度!$A$2:$A$50,密度!$C$2:$C$50)</f>
        <v>57638.141299200004</v>
      </c>
      <c r="P7" s="73" ph="1">
        <f>P6*51.53*LOOKUP(P8,密度!$A$2:$A$50,密度!$B$2:$B$50)</f>
        <v>40968.947112000002</v>
      </c>
      <c r="Q7" s="73" ph="1">
        <f>Q6*1.5*1.5*3.1416*LOOKUP(W8,密度!$A$2:$A$50,密度!$L$2:$L$50)</f>
        <v>36016.482070799997</v>
      </c>
      <c r="R7" s="73" ph="1">
        <f>R6*1.5*1.5*3.1416*LOOKUP(R8,密度!$A$2:$A$50,密度!$L$2:$L$50)</f>
        <v>15996.171114000001</v>
      </c>
      <c r="S7" s="73" ph="1">
        <f>S6*1.5*1.5*3.1416*LOOKUP(S8,密度!$A$2:$A$50,密度!$L$2:$L$50)</f>
        <v>12089.907244799999</v>
      </c>
      <c r="T7" s="73" ph="1">
        <f>T6*1.5*1.5*3.1416*LOOKUP(T8,密度!$A$2:$A$50,密度!$L$2:$L$50)</f>
        <v>7788.6782819999999</v>
      </c>
      <c r="U7" s="73" ph="1">
        <f>U6*1.5*1.5*3.1416*LOOKUP(U8,密度!$A$2:$A$50,密度!$L$2:$L$50)</f>
        <v>46730.203581599999</v>
      </c>
      <c r="V7" s="73" ph="1">
        <f>V6*1.5*1.5*3.1416*LOOKUP(V8,密度!$A$2:$A$50,密度!$L$2:$L$50)</f>
        <v>36699.584506200001</v>
      </c>
      <c r="W7" s="73" ph="1">
        <f>W6*1.5*1.5*3.1416*LOOKUP(W8,密度!$A$2:$A$50,密度!$L$2:$L$50)</f>
        <v>46650.300127199996</v>
      </c>
      <c r="X7" s="73" ph="1">
        <f>X6*1.5*1.5*3.1416*LOOKUP(X8,密度!$A$2:$A$50,密度!$L$2:$L$50)</f>
        <v>47654.331139800001</v>
      </c>
      <c r="Y7" s="73" ph="1">
        <f>Y6*1.5*1.5*3.1416*LOOKUP(Y8,密度!$A$2:$A$50,密度!$L$2:$L$50)</f>
        <v>39887.487763199999</v>
      </c>
      <c r="Z7" s="73" ph="1">
        <f>Z6*33.183*LOOKUP(Z8,密度!$A$2:$A$50,密度!$L$2:$L$50)</f>
        <v>39103.344944999997</v>
      </c>
      <c r="AA7" s="73" ph="1">
        <f>AA6*33.183*LOOKUP(AA8,密度!$A$2:$A$50,密度!$D$2:$D$50)</f>
        <v>102360.88760039999</v>
      </c>
      <c r="AB7" s="73" ph="1">
        <f>AB6*20.428*LOOKUP(AB8,密度!$A$2:$A$50,密度!$D$2:$D$50)</f>
        <v>11122.8090352</v>
      </c>
      <c r="AC7" s="73" ph="1">
        <f>AC6*51.53*LOOKUP(AC8,密度!$A$2:$A$50,密度!$Q$2:$Q$50)</f>
        <v>389721.47244799999</v>
      </c>
      <c r="AD7" s="73" ph="1">
        <f>AD6*20.428*LOOKUP(AD8,密度!$A$2:$A$50,密度!$V$2:$V$50)</f>
        <v>93818.123072000002</v>
      </c>
      <c r="AE7" s="73" ph="1">
        <f>AE6*20.428</f>
        <v>86206.16</v>
      </c>
    </row>
    <row r="8" spans="1:99" ph="1">
      <c r="B8" s="247" ph="1"/>
      <c r="C8" s="68" t="s" ph="1">
        <v>179</v>
      </c>
      <c r="D8" s="74">
        <v>22</v>
      </c>
      <c r="E8" s="74">
        <v>19</v>
      </c>
      <c r="F8" s="74">
        <v>18</v>
      </c>
      <c r="G8" s="74">
        <v>19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21</v>
      </c>
      <c r="O8" s="74">
        <v>23</v>
      </c>
      <c r="P8" s="74">
        <v>17</v>
      </c>
      <c r="Q8" s="74">
        <v>21</v>
      </c>
      <c r="R8" s="74">
        <v>23</v>
      </c>
      <c r="S8" s="74">
        <v>16</v>
      </c>
      <c r="T8" s="74">
        <v>17</v>
      </c>
      <c r="U8" s="74">
        <v>20</v>
      </c>
      <c r="V8" s="74">
        <v>25</v>
      </c>
      <c r="W8" s="74">
        <v>20</v>
      </c>
      <c r="X8" s="74">
        <v>15</v>
      </c>
      <c r="Y8" s="74">
        <v>19</v>
      </c>
      <c r="Z8" s="74">
        <v>17</v>
      </c>
      <c r="AA8" s="74">
        <v>16</v>
      </c>
      <c r="AB8" s="74">
        <v>11</v>
      </c>
      <c r="AC8" s="74">
        <v>16</v>
      </c>
      <c r="AD8" s="74">
        <v>21</v>
      </c>
      <c r="AE8" s="74">
        <v>21</v>
      </c>
    </row>
    <row r="9" spans="1:99" ht="26.4" ph="1">
      <c r="B9" s="247" ph="1">
        <v>0.66666666666666663</v>
      </c>
      <c r="C9" s="166" t="s" ph="1">
        <v>180</v>
      </c>
      <c r="D9" s="71">
        <v>6671</v>
      </c>
      <c r="E9" s="71">
        <v>1740</v>
      </c>
      <c r="F9" s="71">
        <v>2444</v>
      </c>
      <c r="G9" s="71">
        <v>6635</v>
      </c>
      <c r="H9" s="71">
        <v>2018</v>
      </c>
      <c r="I9" s="71">
        <v>17.61</v>
      </c>
      <c r="J9" s="71">
        <v>26.32</v>
      </c>
      <c r="K9" s="71">
        <v>13.91</v>
      </c>
      <c r="L9" s="71">
        <v>8.7100000000000009</v>
      </c>
      <c r="M9" s="71">
        <v>2672</v>
      </c>
      <c r="N9" s="71">
        <v>3696</v>
      </c>
      <c r="O9" s="71">
        <v>2540</v>
      </c>
      <c r="P9" s="71">
        <v>1050</v>
      </c>
      <c r="Q9" s="71">
        <v>7254</v>
      </c>
      <c r="R9" s="71">
        <v>4990</v>
      </c>
      <c r="S9" s="71">
        <v>4312</v>
      </c>
      <c r="T9" s="71">
        <v>0</v>
      </c>
      <c r="U9" s="71">
        <v>3936</v>
      </c>
      <c r="V9" s="71">
        <v>5545</v>
      </c>
      <c r="W9" s="71">
        <v>7015</v>
      </c>
      <c r="X9" s="71">
        <v>7127</v>
      </c>
      <c r="Y9" s="71">
        <v>5990</v>
      </c>
      <c r="Z9" s="71">
        <v>2171</v>
      </c>
      <c r="AA9" s="71">
        <v>2981</v>
      </c>
      <c r="AB9" s="71">
        <v>426</v>
      </c>
      <c r="AC9" s="71">
        <v>8177</v>
      </c>
      <c r="AD9" s="71">
        <v>4780</v>
      </c>
      <c r="AE9" s="71">
        <v>4108</v>
      </c>
    </row>
    <row r="10" spans="1:99" s="72" customFormat="1" ht="22.2" ph="1">
      <c r="B10" s="247" ph="1"/>
      <c r="C10" s="166" t="s" ph="1">
        <v>178</v>
      </c>
      <c r="D10" s="73" ph="1">
        <f>D9*33.183*LOOKUP(D11,密度!$A$2:$A$50,密度!$Q$2:$Q$50)</f>
        <v>210094.16229837001</v>
      </c>
      <c r="E10" s="73" ph="1">
        <f>E9*51.53*LOOKUP(E11,密度!$A$2:$A$50,密度!$B$2:$B$50)</f>
        <v>70304.131020000001</v>
      </c>
      <c r="F10" s="73" ph="1">
        <f>F9*33.183*LOOKUP(F11,密度!$A$2:$A$50,密度!$C$2:$C$50)</f>
        <v>90336.456802799978</v>
      </c>
      <c r="G10" s="73" ph="1">
        <f xml:space="preserve"> (G9+2)*51.53*LOOKUP(G11,密度!$A$2:$A$50,密度!$B$2:$B$50)</f>
        <v>268165.814701</v>
      </c>
      <c r="H10" s="73" ph="1">
        <f>(H9)*51.53*LOOKUP(H11,密度!$A$2:$A$50,密度!$B$2:$B$50)</f>
        <v>81703.010177999997</v>
      </c>
      <c r="I10" s="73" ph="1">
        <f>I9*290.8*1.0267</f>
        <v>5257.7183795999999</v>
      </c>
      <c r="J10" s="73" ph="1">
        <f>J9*290.8*0.7892</f>
        <v>6040.423155200001</v>
      </c>
      <c r="K10" s="73" ph="1">
        <f>K9*290.8*1.1126</f>
        <v>4500.4981528000008</v>
      </c>
      <c r="L10" s="73" ph="1">
        <f>L9*290.8*0.777</f>
        <v>1968.0384360000003</v>
      </c>
      <c r="M10" s="73" ph="1">
        <f>M9*33.183*LOOKUP(M11,密度!$A$2:$A$50,密度!$D$2:$D$50)</f>
        <v>91369.257767999996</v>
      </c>
      <c r="N10" s="73" ph="1">
        <f>N9*33.183*LOOKUP(N11,密度!$A$2:$A$50,密度!$E$2:$E$50)</f>
        <v>96496.58874240001</v>
      </c>
      <c r="O10" s="73" ph="1">
        <f>O9*20.428*LOOKUP(O11,密度!$A$2:$A$50,密度!$C$2:$C$50)</f>
        <v>57573.948351999999</v>
      </c>
      <c r="P10" s="73" ph="1">
        <f>P9*51.53*LOOKUP(P11,密度!$A$2:$A$50,密度!$B$2:$B$50)</f>
        <v>42376.210800000001</v>
      </c>
      <c r="Q10" s="73" ph="1">
        <f>Q9*1.5*1.5*3.1416*LOOKUP(W11,密度!$A$2:$A$50,密度!$L$2:$L$50)</f>
        <v>48250.362560399997</v>
      </c>
      <c r="R10" s="73" ph="1">
        <f>R9*1.5*1.5*3.1416*LOOKUP(R11,密度!$A$2:$A$50,密度!$L$2:$L$50)</f>
        <v>33050.158218000004</v>
      </c>
      <c r="S10" s="73" ph="1">
        <f>S9*1.5*1.5*3.1416*LOOKUP(S11,密度!$A$2:$A$50,密度!$L$2:$L$50)</f>
        <v>28772.934220799998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26208.3330432</v>
      </c>
      <c r="V10" s="73" ph="1">
        <f>V9*1.5*1.5*3.1416*LOOKUP(V11,密度!$A$2:$A$50,密度!$L$2:$L$50)</f>
        <v>36843.663780000003</v>
      </c>
      <c r="W10" s="73" ph="1">
        <f>W9*1.5*1.5*3.1416*LOOKUP(W11,密度!$A$2:$A$50,密度!$L$2:$L$50)</f>
        <v>46660.641488999994</v>
      </c>
      <c r="X10" s="73" ph="1">
        <f>X9*1.5*1.5*3.1416*LOOKUP(X11,密度!$A$2:$A$50,密度!$L$2:$L$50)</f>
        <v>47758.260765599996</v>
      </c>
      <c r="Y10" s="73" ph="1">
        <f>Y9*1.5*1.5*3.1416*LOOKUP(Y11,密度!$A$2:$A$50,密度!$L$2:$L$50)</f>
        <v>39885.140987999992</v>
      </c>
      <c r="Z10" s="73" ph="1">
        <f>Z9*33.183*LOOKUP(Z11,密度!$A$2:$A$50,密度!$L$2:$L$50)</f>
        <v>67861.956006000008</v>
      </c>
      <c r="AA10" s="73" ph="1">
        <f>AA9*33.183*LOOKUP(AA11,密度!$A$2:$A$50,密度!$D$2:$D$50)</f>
        <v>102024.56462220001</v>
      </c>
      <c r="AB10" s="73" ph="1">
        <f>AB9*20.428*LOOKUP(AB11,密度!$A$2:$A$50,密度!$D$2:$D$50)</f>
        <v>9012.1308767999999</v>
      </c>
      <c r="AC10" s="73" ph="1">
        <f>AC9*51.53*LOOKUP(AC11,密度!$A$2:$A$50,密度!$Q$2:$Q$50)</f>
        <v>400811.04329629999</v>
      </c>
      <c r="AD10" s="73" ph="1">
        <f>AD9*20.428*LOOKUP(AD11,密度!$A$2:$A$50,密度!$V$2:$V$50)</f>
        <v>94130.589760000003</v>
      </c>
      <c r="AE10" s="73" ph="1">
        <f>AE9*20.428</f>
        <v>83918.224000000002</v>
      </c>
    </row>
    <row r="11" spans="1:99" ph="1">
      <c r="A11" s="64" t="s" ph="1">
        <v>162</v>
      </c>
      <c r="B11" s="247" ph="1"/>
      <c r="C11" s="166" t="s" ph="1">
        <v>179</v>
      </c>
      <c r="D11" s="74">
        <v>22</v>
      </c>
      <c r="E11" s="74">
        <v>20</v>
      </c>
      <c r="F11" s="74">
        <v>18</v>
      </c>
      <c r="G11" s="74">
        <v>20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22</v>
      </c>
      <c r="O11" s="74">
        <v>24</v>
      </c>
      <c r="P11" s="74">
        <v>21</v>
      </c>
      <c r="Q11" s="74">
        <v>22</v>
      </c>
      <c r="R11" s="74">
        <v>25</v>
      </c>
      <c r="S11" s="74">
        <v>18</v>
      </c>
      <c r="T11" s="74">
        <v>25</v>
      </c>
      <c r="U11" s="74">
        <v>20</v>
      </c>
      <c r="V11" s="74">
        <v>22</v>
      </c>
      <c r="W11" s="74">
        <v>21</v>
      </c>
      <c r="X11" s="74">
        <v>14</v>
      </c>
      <c r="Y11" s="74">
        <v>20</v>
      </c>
      <c r="Z11" s="74">
        <v>20</v>
      </c>
      <c r="AA11" s="74">
        <v>20</v>
      </c>
      <c r="AB11" s="74">
        <v>15</v>
      </c>
      <c r="AC11" s="74">
        <v>19</v>
      </c>
      <c r="AD11" s="74">
        <v>19</v>
      </c>
      <c r="AE11" s="74">
        <v>23</v>
      </c>
    </row>
    <row r="12" spans="1:99" ht="9.9" customHeight="1" ph="1"/>
    <row r="13" spans="1:99" s="72" customFormat="1" ht="29.25" customHeight="1" ph="1">
      <c r="B13" s="224" t="s" ph="1">
        <v>37</v>
      </c>
      <c r="C13" s="16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66" t="s" ph="1">
        <v>177</v>
      </c>
      <c r="D15" s="78">
        <v>5969</v>
      </c>
      <c r="E15" s="78">
        <v>4733</v>
      </c>
      <c r="F15" s="78">
        <v>4392</v>
      </c>
      <c r="G15" s="78">
        <v>3959</v>
      </c>
      <c r="H15" s="78">
        <v>4140</v>
      </c>
      <c r="I15" s="78">
        <v>3690</v>
      </c>
      <c r="J15" s="78">
        <v>2896</v>
      </c>
      <c r="K15" s="78">
        <v>2385</v>
      </c>
      <c r="L15" s="78">
        <v>909</v>
      </c>
      <c r="M15" s="78">
        <v>6625</v>
      </c>
      <c r="N15" s="78">
        <v>6034</v>
      </c>
      <c r="O15" s="78">
        <v>5252</v>
      </c>
      <c r="P15" s="78">
        <v>3600</v>
      </c>
      <c r="Q15" s="78">
        <v>6971</v>
      </c>
      <c r="R15" s="78">
        <v>7362</v>
      </c>
      <c r="S15" s="78">
        <v>6412</v>
      </c>
      <c r="T15" s="78">
        <v>2336</v>
      </c>
      <c r="U15" s="78">
        <v>5686</v>
      </c>
      <c r="V15" s="78">
        <v>5003</v>
      </c>
      <c r="W15" s="71">
        <v>3380</v>
      </c>
      <c r="X15" s="78">
        <v>664</v>
      </c>
      <c r="Y15" s="106">
        <v>-9902</v>
      </c>
      <c r="Z15" s="78">
        <v>0</v>
      </c>
      <c r="AA15" s="78">
        <v>10</v>
      </c>
      <c r="AB15" s="78" ph="1">
        <v>1532</v>
      </c>
      <c r="AC15" s="78" ph="1">
        <v>31</v>
      </c>
      <c r="AD15" s="78">
        <v>84.51</v>
      </c>
      <c r="AE15" s="78">
        <v>37.119999999999997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66" t="s" ph="1">
        <v>178</v>
      </c>
      <c r="D16" s="73" ph="1">
        <f>D15*7.0686*LOOKUP(D17,密度!$A$2:$A$50,密度!$L$2:$L$50)</f>
        <v>39745.309942799999</v>
      </c>
      <c r="E16" s="73" ph="1">
        <f>E15*7.0686*LOOKUP(E17,密度!$A$2:$A$50,密度!$L$2:$L$50)</f>
        <v>31481.798455799999</v>
      </c>
      <c r="F16" s="73" ph="1">
        <f>F15*9.0746*LOOKUP(F17,密度!$A$2:$A$50,密度!$L$2:$L$50)</f>
        <v>37544.0158944</v>
      </c>
      <c r="G16" s="73" ph="1">
        <f>G15*9.0746*LOOKUP(G17,密度!$A$2:$A$50,密度!$B$2:$B$50)</f>
        <v>28198.585364859999</v>
      </c>
      <c r="H16" s="73" ph="1">
        <f>H15*9.0746*LOOKUP(H17,密度!$A$2:$A$50,密度!$L$2:$L$50)</f>
        <v>35540.126423999995</v>
      </c>
      <c r="I16" s="73" ph="1">
        <f>I15*9.0746*LOOKUP(I17,密度!$A$2:$A$50,密度!$U$2:$U$50)</f>
        <v>34422.861671999999</v>
      </c>
      <c r="J16" s="73" ph="1">
        <f>J15*9.0746*LOOKUP(J17,密度!$A$2:$A$50,密度!$L$2:$L$50)</f>
        <v>24755.799187199998</v>
      </c>
      <c r="K16" s="73" ph="1">
        <f>K15*9.0746*LOOKUP(K17,密度!$A$2:$A$50,密度!$C$2:$C$50)</f>
        <v>24079.913904600002</v>
      </c>
      <c r="L16" s="73" ph="1">
        <f>L15*9.0746*LOOKUP(L17,密度!$A$2:$A$50,密度!$E$2:$E$50)</f>
        <v>6537.1830344999998</v>
      </c>
      <c r="M16" s="73" ph="1">
        <f>M15*9.0746*LOOKUP(M17,密度!$A$2:$A$50,密度!$M$2:$M$50)</f>
        <v>52922.953767499996</v>
      </c>
      <c r="N16" s="73" ph="1">
        <f>N15*9.0746*LOOKUP(N17,密度!$A$2:$A$50,密度!$M$2:$M$50)</f>
        <v>48201.826872919999</v>
      </c>
      <c r="O16" s="73" ph="1">
        <f>O15*9.0746*LOOKUP(O17,密度!$A$2:$A$50,密度!$G$2:$G$50)</f>
        <v>45986.940248079998</v>
      </c>
      <c r="P16" s="73" ph="1">
        <f ca="1">P15*9.0746*LOOKUP(P17,密度!$A$2:$A$51,密度!$Q$2:$Q$50)</f>
        <v>31047.5460528</v>
      </c>
      <c r="Q16" s="73" ph="1">
        <f>Q15*9.0746*LOOKUP(Q17,密度!$A$2:$A$50,密度!$Q$2:$Q$50)</f>
        <v>60173.893385018004</v>
      </c>
      <c r="R16" s="73" ph="1">
        <f>MAX(R15*9.0746*LOOKUP(R17,密度!$A$2:$A$50,密度!$B$2:$B$50),0)</f>
        <v>52323.40311264</v>
      </c>
      <c r="S16" s="73" ph="1">
        <f>S15*9.0746*LOOKUP(S17,密度!$A$2:$A$50,密度!$Q$2:$Q$50)</f>
        <v>55299.129247376004</v>
      </c>
      <c r="T16" s="73" ph="1">
        <f>T15*9.0746*LOOKUP(T17,密度!$A$2:$A$50,密度!$O$2:$O$50)</f>
        <v>19799.180070400002</v>
      </c>
      <c r="U16" s="73" ph="1">
        <f>U15*9.0746*LOOKUP(U17,密度!$A$2:$A$50,密度!$H$2:$H$50)</f>
        <v>47609.636626120002</v>
      </c>
      <c r="V16" s="73" ph="1">
        <f>MAX(5600*LOOKUP(V17,密度!$A$2:$A$50,密度!$Q$2:$Q$50)+V15*9.0476*LOOKUP(V17,密度!$A$2:$A$50,密度!$Q$2:$Q$50),0)</f>
        <v>48341.214414263988</v>
      </c>
      <c r="W16" s="73" ph="1">
        <f>MAX(5600*LOOKUP(W17,密度!$A$2:$A$50,密度!$Q$2:$Q$50)+W15*9.0476*LOOKUP(W17,密度!$A$2:$A$50,密度!$Q$2:$Q$50),0)</f>
        <v>34360.627524720003</v>
      </c>
      <c r="X16" s="73" ph="1">
        <f>MAX(5600*LOOKUP(X17,密度!$A$2:$A$50,密度!$I$2:$I$50)+X15*9.0476*LOOKUP(X17,密度!$A$2:$A$50,密度!$I$2:$I$50),0)</f>
        <v>12138.07401248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71.362654400000011</v>
      </c>
      <c r="AB16" s="73" ph="1">
        <f>AB15*9.0746*LOOKUP(AB17,密度!$A$2:$A$50,密度!$L$2:$L$50)</f>
        <v>13095.954542400001</v>
      </c>
      <c r="AC16" s="73" ph="1">
        <f>AC15*9.0746*LOOKUP(AC17,密度!$A$2:$A$50,密度!$L$2:$L$50)</f>
        <v>265.84040700000003</v>
      </c>
      <c r="AD16" s="73" ph="1">
        <f>AD15*268.68*LOOKUP(AD17,密度!$A$2:$A$50,密度!B2:B50)+IF(AD15&lt;=0,0,1566*LOOKUP(AD17,密度!$A$2:$A$50,密度!B2:B50))</f>
        <v>18922.565645279999</v>
      </c>
      <c r="AE16" s="73" ph="1">
        <f>AE15*268.68*LOOKUP(AE17,密度!$A$2:$A$50,密度!B2:B50)+IF(AE15&lt;=0,0,1566*LOOKUP(AE17,密度!$A$2:$A$50,密度!B2:B50))</f>
        <v>8996.1174873599994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20</v>
      </c>
      <c r="E17" s="74">
        <v>21</v>
      </c>
      <c r="F17" s="74">
        <v>20</v>
      </c>
      <c r="G17" s="74">
        <v>19</v>
      </c>
      <c r="H17" s="74">
        <v>16</v>
      </c>
      <c r="I17" s="74">
        <v>18</v>
      </c>
      <c r="J17" s="74">
        <v>20</v>
      </c>
      <c r="K17" s="74">
        <v>20</v>
      </c>
      <c r="L17" s="74">
        <v>17</v>
      </c>
      <c r="M17" s="74">
        <v>20</v>
      </c>
      <c r="N17" s="74">
        <v>18</v>
      </c>
      <c r="O17" s="74">
        <v>21</v>
      </c>
      <c r="P17" s="74">
        <v>20</v>
      </c>
      <c r="Q17" s="74">
        <v>19</v>
      </c>
      <c r="R17" s="74">
        <v>21</v>
      </c>
      <c r="S17" s="74">
        <v>20</v>
      </c>
      <c r="T17" s="74">
        <v>18</v>
      </c>
      <c r="U17" s="74">
        <v>17</v>
      </c>
      <c r="V17" s="74">
        <v>20</v>
      </c>
      <c r="W17" s="74">
        <v>21</v>
      </c>
      <c r="X17" s="74">
        <v>22</v>
      </c>
      <c r="Y17" s="108">
        <v>22</v>
      </c>
      <c r="Z17" s="74">
        <v>18</v>
      </c>
      <c r="AA17" s="74">
        <v>17</v>
      </c>
      <c r="AB17" s="74">
        <v>20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5981</v>
      </c>
      <c r="E18" s="71">
        <v>563</v>
      </c>
      <c r="F18" s="71">
        <v>4390</v>
      </c>
      <c r="G18" s="71">
        <v>4006</v>
      </c>
      <c r="H18" s="71">
        <v>2033</v>
      </c>
      <c r="I18" s="71">
        <v>3690</v>
      </c>
      <c r="J18" s="71">
        <v>4895</v>
      </c>
      <c r="K18" s="71">
        <v>2385</v>
      </c>
      <c r="L18" s="71">
        <v>3842</v>
      </c>
      <c r="M18" s="71">
        <v>2544</v>
      </c>
      <c r="N18" s="71">
        <v>4226</v>
      </c>
      <c r="O18" s="71">
        <v>5257</v>
      </c>
      <c r="P18" s="71">
        <v>3603</v>
      </c>
      <c r="Q18" s="71">
        <v>6977</v>
      </c>
      <c r="R18" s="71">
        <v>7377</v>
      </c>
      <c r="S18" s="71">
        <v>6418</v>
      </c>
      <c r="T18" s="71">
        <v>1569</v>
      </c>
      <c r="U18" s="71">
        <v>5687</v>
      </c>
      <c r="V18" s="71">
        <v>5004</v>
      </c>
      <c r="W18" s="71">
        <v>3380</v>
      </c>
      <c r="X18" s="71">
        <v>663</v>
      </c>
      <c r="Y18" s="109">
        <v>-9904</v>
      </c>
      <c r="Z18" s="71">
        <v>0</v>
      </c>
      <c r="AA18" s="71">
        <v>10</v>
      </c>
      <c r="AB18" s="71">
        <v>1531</v>
      </c>
      <c r="AC18" s="71">
        <v>22</v>
      </c>
      <c r="AD18" s="71">
        <v>9.11</v>
      </c>
      <c r="AE18" s="71">
        <v>85.12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66" t="s" ph="1">
        <v>178</v>
      </c>
      <c r="D19" s="73" ph="1">
        <f>D18*7.0686*LOOKUP(D20,密度!$A$2:$A$50,密度!$L$2:$L$50)</f>
        <v>39740.658803999999</v>
      </c>
      <c r="E19" s="73" ph="1">
        <f>E18*7.0686*LOOKUP(E20,密度!$A$2:$A$50,密度!$L$2:$L$50)</f>
        <v>3744.8241137999999</v>
      </c>
      <c r="F19" s="73" ph="1">
        <f>F18*9.0746*LOOKUP(F20,密度!$A$2:$A$50,密度!$L$2:$L$50)</f>
        <v>37327.731877999999</v>
      </c>
      <c r="G19" s="73" ph="1">
        <f>G18*9.0746*LOOKUP(G20,密度!$A$2:$A$50,密度!$B$2:$B$50)</f>
        <v>28504.267803160001</v>
      </c>
      <c r="H19" s="73" ph="1">
        <f>H18*9.0746*LOOKUP(H20,密度!$A$2:$A$50,密度!$L$2:$L$50)</f>
        <v>17433.985401000002</v>
      </c>
      <c r="I19" s="73" ph="1">
        <f>I18*9.0746*LOOKUP(I20,密度!$A$2:$A$50,密度!$U$2:$U$50)</f>
        <v>34422.861671999999</v>
      </c>
      <c r="J19" s="73" ph="1">
        <f>J18*9.0746*LOOKUP(J20,密度!$A$2:$A$50,密度!$L$2:$L$50)</f>
        <v>41754.956979999995</v>
      </c>
      <c r="K19" s="73" ph="1">
        <f>K18*9.0746*LOOKUP(K20,密度!$A$2:$A$50,密度!$C$2:$C$50)</f>
        <v>24079.913904600002</v>
      </c>
      <c r="L19" s="73" ph="1">
        <f>L18*9.0746*LOOKUP(L20,密度!$A$2:$A$50,密度!$E$2:$E$50)</f>
        <v>27431.477665760001</v>
      </c>
      <c r="M19" s="73" ph="1">
        <f>M18*9.0746*LOOKUP(M20,密度!$A$2:$A$50,密度!$M$2:$M$50)</f>
        <v>20246.2311648</v>
      </c>
      <c r="N19" s="73" ph="1">
        <f>N18*9.0746*LOOKUP(N20,密度!$A$2:$A$50,密度!$M$2:$M$50)</f>
        <v>33712.834114359997</v>
      </c>
      <c r="O19" s="73" ph="1">
        <f>O18*9.0746*LOOKUP(O20,密度!$A$2:$A$50,密度!$G$2:$G$50)</f>
        <v>45901.91669084</v>
      </c>
      <c r="P19" s="73" ph="1">
        <f ca="1">P18*9.0746*LOOKUP(P20,密度!$A$2:$A$51,密度!$Q$2:$Q$50)</f>
        <v>31002.142199160004</v>
      </c>
      <c r="Q19" s="73" ph="1">
        <f>Q18*9.0746*LOOKUP(Q20,密度!$A$2:$A$50,密度!$Q$2:$Q$50)</f>
        <v>60128.182809898004</v>
      </c>
      <c r="R19" s="73" ph="1">
        <f>MAX(R18*9.0746*LOOKUP(R20,密度!$A$2:$A$50,密度!$B$2:$B$50),0)</f>
        <v>52249.264538100004</v>
      </c>
      <c r="S19" s="73" ph="1">
        <f>S18*9.0746*LOOKUP(S20,密度!$A$2:$A$50,密度!$Q$2:$Q$50)</f>
        <v>55310.689017332006</v>
      </c>
      <c r="T19" s="73" ph="1">
        <f>T18*9.0746*LOOKUP(T20,密度!$A$2:$A$50,密度!$O$2:$O$50)</f>
        <v>13184.4318924</v>
      </c>
      <c r="U19" s="73" ph="1">
        <f>U18*9.0746*LOOKUP(U20,密度!$A$2:$A$50,密度!$H$2:$H$50)</f>
        <v>47514.795259140003</v>
      </c>
      <c r="V19" s="73" ph="1">
        <f>MAX(5600*LOOKUP(V20,密度!$A$2:$A$50,密度!$Q$2:$Q$50)+V18*9.0476*LOOKUP(V20,密度!$A$2:$A$50,密度!$Q$2:$Q$50),0)</f>
        <v>48284.185366736005</v>
      </c>
      <c r="W19" s="73" ph="1">
        <f>MAX(5600*LOOKUP(W20,密度!$A$2:$A$50,密度!$Q$2:$Q$50)+W18*9.0476*LOOKUP(W20,密度!$A$2:$A$50,密度!$Q$2:$Q$50),0)</f>
        <v>34306.718001599998</v>
      </c>
      <c r="X19" s="73" ph="1">
        <f>MAX(5600*LOOKUP(X20,密度!$A$2:$A$50,密度!$I$2:$I$50)+X18*9.0476*LOOKUP(X20,密度!$A$2:$A$50,密度!$I$2:$I$50),0)</f>
        <v>12089.17783724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70.990595800000008</v>
      </c>
      <c r="AB19" s="73" ph="1">
        <f>AB18*9.0746*LOOKUP(AB20,密度!$A$2:$A$50,密度!$L$2:$L$50)</f>
        <v>13059.619844000001</v>
      </c>
      <c r="AC19" s="73" ph="1">
        <f>AC18*9.0746*LOOKUP(AC20,密度!$A$2:$A$50,密度!$L$2:$L$50)</f>
        <v>188.06201039999999</v>
      </c>
      <c r="AD19" s="73" ph="1">
        <f>AD18*268.68*LOOKUP(AD20,密度!$A$2:$A$50,密度!B5:B53)+IF(AD18&lt;=0,0,1566*LOOKUP(AD20,密度!$A$2:$A$50,密度!B5:B53))</f>
        <v>3118.6253195999998</v>
      </c>
      <c r="AE19" s="73" ph="1">
        <f>AE18*268.68*LOOKUP(AE20,密度!$A$2:$A$50,密度!B5:B53)+IF(AE18&lt;=0,0,1566*LOOKUP(AE20,密度!$A$2:$A$50,密度!B5:B53))</f>
        <v>18986.804323200002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22</v>
      </c>
      <c r="E20" s="81">
        <v>21</v>
      </c>
      <c r="F20" s="81">
        <v>25</v>
      </c>
      <c r="G20" s="81">
        <v>20</v>
      </c>
      <c r="H20" s="81">
        <v>17</v>
      </c>
      <c r="I20" s="81">
        <v>21</v>
      </c>
      <c r="J20" s="81">
        <v>22</v>
      </c>
      <c r="K20" s="81">
        <v>20</v>
      </c>
      <c r="L20" s="81">
        <v>22</v>
      </c>
      <c r="M20" s="81">
        <v>23</v>
      </c>
      <c r="N20" s="81">
        <v>21</v>
      </c>
      <c r="O20" s="81">
        <v>23</v>
      </c>
      <c r="P20" s="81">
        <v>23</v>
      </c>
      <c r="Q20" s="81">
        <v>21</v>
      </c>
      <c r="R20" s="81">
        <v>24</v>
      </c>
      <c r="S20" s="81">
        <v>21</v>
      </c>
      <c r="T20" s="81">
        <v>25</v>
      </c>
      <c r="U20" s="81">
        <v>19</v>
      </c>
      <c r="V20" s="81">
        <v>22</v>
      </c>
      <c r="W20" s="81">
        <v>23</v>
      </c>
      <c r="X20" s="81">
        <v>25</v>
      </c>
      <c r="Y20" s="110">
        <v>25</v>
      </c>
      <c r="Z20" s="81">
        <v>25</v>
      </c>
      <c r="AA20" s="81">
        <v>22</v>
      </c>
      <c r="AB20" s="81">
        <v>22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646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66" t="s" ph="1">
        <v>177</v>
      </c>
      <c r="D24" s="71">
        <v>5.01</v>
      </c>
      <c r="E24" s="71">
        <v>3.21</v>
      </c>
      <c r="F24" s="71">
        <v>20</v>
      </c>
      <c r="G24" s="71">
        <v>2587</v>
      </c>
      <c r="H24" s="71">
        <v>3634</v>
      </c>
      <c r="I24" s="71">
        <v>202</v>
      </c>
      <c r="J24" s="71">
        <v>4807</v>
      </c>
      <c r="K24" s="71">
        <v>4913</v>
      </c>
      <c r="L24" s="71">
        <v>5553</v>
      </c>
      <c r="M24" s="71">
        <v>4880</v>
      </c>
      <c r="N24" s="71">
        <v>5602</v>
      </c>
      <c r="O24" s="71">
        <v>5729</v>
      </c>
      <c r="P24" s="71">
        <v>650</v>
      </c>
      <c r="Q24" s="90">
        <v>4891</v>
      </c>
      <c r="R24" s="71">
        <v>5340</v>
      </c>
      <c r="S24" s="71">
        <v>2444</v>
      </c>
      <c r="T24" s="71">
        <v>161</v>
      </c>
      <c r="U24" s="71">
        <v>3546</v>
      </c>
      <c r="V24" s="71">
        <v>8837</v>
      </c>
      <c r="W24" s="71">
        <v>1400</v>
      </c>
      <c r="X24" s="71">
        <v>4157</v>
      </c>
      <c r="Y24" s="71">
        <v>3449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2756.9890570320003</v>
      </c>
      <c r="E25" s="91" ph="1">
        <f>E24*268.68*LOOKUP(E26,密度!$A$2:$A$50,密度!$C$2:$C$50)+IF(E24&lt;=0,0,1566*LOOKUP(E26,密度!$A$2:$A$50,密度!$C$2:$C$50))</f>
        <v>2692.92239892</v>
      </c>
      <c r="F25" s="91" ph="1">
        <f>F24*11.702*LOOKUP(F26,密度!$A$2:$A$50,密度!$Q$2:$Q$50)</f>
        <v>222.4269352</v>
      </c>
      <c r="G25" s="91" ph="1">
        <f>G24*18.322*LOOKUP(G26,密度!$A$2:$A$50,密度!$B$2:$B$50)</f>
        <v>37203.486088599995</v>
      </c>
      <c r="H25" s="91" ph="1">
        <f>H24*18.322*LOOKUP(H26,密度!$A$2:$A$50,密度!$B$2:$B$50)</f>
        <v>52207.0622468</v>
      </c>
      <c r="I25" s="91" ph="1">
        <f>I24*18.322*LOOKUP(I26,密度!$A$2:$A$50,密度!$Q$2:$Q$50)</f>
        <v>3520.5440841199998</v>
      </c>
      <c r="J25" s="91" ph="1">
        <f>J24*18.322*LOOKUP(J26,密度!$A$2:$A$50,密度!$Q$2:$Q$50)</f>
        <v>83703.629364519991</v>
      </c>
      <c r="K25" s="91" ph="1">
        <f>K24*18.322*LOOKUP(K26,密度!$A$2:$A$50,密度!$Q$2:$Q$50)</f>
        <v>85625.906362779991</v>
      </c>
      <c r="L25" s="91" ph="1">
        <f>L24*18.322*LOOKUP(L26,密度!$A$2:$A$50,密度!$Q$2:$Q$50)</f>
        <v>96780.10544118</v>
      </c>
      <c r="M25" s="91" ph="1">
        <f>M24*18.322*LOOKUP(M26,密度!$A$2:$A$50,密度!$Q$2:$Q$50)</f>
        <v>85120.508833600004</v>
      </c>
      <c r="N25" s="91" ph="1">
        <f>N24*18.322*LOOKUP(N26,密度!$A$2:$A$50,密度!$Q$2:$Q$50)</f>
        <v>97634.098808120005</v>
      </c>
      <c r="O25" s="91" ph="1">
        <f>O24*18.322*LOOKUP(O26,密度!$A$2:$A$50,密度!$C$2:$C$50)</f>
        <v>116785.99269880001</v>
      </c>
      <c r="P25" s="91" ph="1">
        <f>P24*11.702*LOOKUP(P26,密度!$A$2:$A$50,密度!$B$2:$B$50)</f>
        <v>5970.18487</v>
      </c>
      <c r="Q25" s="92" ph="1">
        <f>Q24*18.322*LOOKUP(Q26,密度!$A$2:$A$50,密度!$B$2:$B$50)</f>
        <v>70408.857101400004</v>
      </c>
      <c r="R25" s="91" ph="1">
        <f>R24*35.891*LOOKUP(R26,密度!$A$2:$A$50,密度!$C$2:$C$50)</f>
        <v>213602.77413000001</v>
      </c>
      <c r="S25" s="91" ph="1">
        <f>S24*35.891*LOOKUP(S26,密度!$A$2:$A$50,密度!$B$2:$B$50)</f>
        <v>68849.547379600001</v>
      </c>
      <c r="T25" s="91" ph="1">
        <f>T24*35.891*LOOKUP(T26,密度!$A$2:$A$50,密度!$Q$2:$Q$50)</f>
        <v>5505.7081128</v>
      </c>
      <c r="U25" s="91" ph="1">
        <f>U24*35.891</f>
        <v>127269.48599999999</v>
      </c>
      <c r="V25" s="91" ph="1">
        <f>V24*47.051*LOOKUP(V26,密度!$A$2:$A$50,密度!$B$2:$B$50)</f>
        <v>326353.32532630005</v>
      </c>
      <c r="W25" s="91" ph="1">
        <f>W24*47.051*LOOKUP(W26,密度!$A$2:$A$50,密度!$B$2:$B$50)</f>
        <v>51590.480480000006</v>
      </c>
      <c r="X25" s="91" ph="1">
        <f>X24*47.051*LOOKUP(X26,密度!$A$2:$A$61,密度!$I$2:$I$61)</f>
        <v>202554.04684920004</v>
      </c>
      <c r="Y25" s="91" ph="1">
        <f>Y24*47.051*LOOKUP(Y26,密度!$A$2:$A$50,密度!$L$2:$L$50)</f>
        <v>152866.72285799999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20</v>
      </c>
      <c r="G26" s="74">
        <v>19</v>
      </c>
      <c r="H26" s="74">
        <v>20</v>
      </c>
      <c r="I26" s="74">
        <v>19</v>
      </c>
      <c r="J26" s="74">
        <v>20</v>
      </c>
      <c r="K26" s="74">
        <v>19</v>
      </c>
      <c r="L26" s="74">
        <v>19</v>
      </c>
      <c r="M26" s="74">
        <v>18</v>
      </c>
      <c r="N26" s="74">
        <v>19</v>
      </c>
      <c r="O26" s="74">
        <v>20</v>
      </c>
      <c r="P26" s="74">
        <v>19</v>
      </c>
      <c r="Q26" s="93">
        <v>18</v>
      </c>
      <c r="R26" s="74">
        <v>17</v>
      </c>
      <c r="S26" s="74">
        <v>19</v>
      </c>
      <c r="T26" s="74">
        <v>17</v>
      </c>
      <c r="U26" s="74">
        <v>17</v>
      </c>
      <c r="V26" s="74">
        <v>19</v>
      </c>
      <c r="W26" s="74">
        <v>21</v>
      </c>
      <c r="X26" s="74">
        <v>31</v>
      </c>
      <c r="Y26" s="74">
        <v>20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66" t="s" ph="1">
        <v>180</v>
      </c>
      <c r="D27" s="71">
        <v>5.01</v>
      </c>
      <c r="E27" s="71">
        <v>63.51</v>
      </c>
      <c r="F27" s="71">
        <v>18</v>
      </c>
      <c r="G27" s="71">
        <v>2125</v>
      </c>
      <c r="H27" s="71">
        <v>3453</v>
      </c>
      <c r="I27" s="71">
        <v>199</v>
      </c>
      <c r="J27" s="71">
        <v>4516</v>
      </c>
      <c r="K27" s="71">
        <v>4915</v>
      </c>
      <c r="L27" s="71">
        <v>5551</v>
      </c>
      <c r="M27" s="71">
        <v>4880</v>
      </c>
      <c r="N27" s="71">
        <v>5602</v>
      </c>
      <c r="O27" s="71">
        <v>5726</v>
      </c>
      <c r="P27" s="71">
        <v>645</v>
      </c>
      <c r="Q27" s="90">
        <v>440</v>
      </c>
      <c r="R27" s="71">
        <v>4923</v>
      </c>
      <c r="S27" s="71">
        <v>4829</v>
      </c>
      <c r="T27" s="71">
        <v>158</v>
      </c>
      <c r="U27" s="71">
        <v>3400</v>
      </c>
      <c r="V27" s="71">
        <v>8840</v>
      </c>
      <c r="W27" s="71">
        <v>1395</v>
      </c>
      <c r="X27" s="71">
        <v>4759</v>
      </c>
      <c r="Y27" s="71">
        <v>2388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66" t="s" ph="1">
        <v>178</v>
      </c>
      <c r="D28" s="91" ph="1">
        <f>D27*268.68*LOOKUP(D29,密度!$A$2:$A$50,密度!$Q$2:$Q$50)+IF(D27&lt;=0,0,1566*LOOKUP(D29,密度!$A$2:$A$50,密度!$Q$2:$Q$50))</f>
        <v>2756.9890570320003</v>
      </c>
      <c r="E28" s="91" ph="1">
        <f>E27*268.68*LOOKUP(E29,密度!$A$2:$A$50,密度!$C$2:$C$50)+IF(E27&lt;=0,0,1566*LOOKUP(E29,密度!$A$2:$A$50,密度!$C$2:$C$50))</f>
        <v>20658.659294519999</v>
      </c>
      <c r="F28" s="91" ph="1">
        <f>F27*11.702*LOOKUP(F29,密度!$A$2:$A$50,密度!$Q$2:$Q$50)</f>
        <v>200.18424167999999</v>
      </c>
      <c r="G28" s="91" ph="1">
        <f>G27*18.322*LOOKUP(G29,密度!$A$2:$A$50,密度!$B$2:$B$50)</f>
        <v>30493.304599999999</v>
      </c>
      <c r="H28" s="91" ph="1">
        <f>H27*18.322*LOOKUP(H29,密度!$A$2:$A$50,密度!$B$2:$B$50)</f>
        <v>49549.826251199993</v>
      </c>
      <c r="I28" s="91" ph="1">
        <f>I27*18.322*LOOKUP(I29,密度!$A$2:$A$50,密度!$Q$2:$Q$50)</f>
        <v>3465.1596096399999</v>
      </c>
      <c r="J28" s="91" ph="1">
        <f>J27*18.322*LOOKUP(J29,密度!$A$2:$A$50,密度!$Q$2:$Q$50)</f>
        <v>78529.749041679999</v>
      </c>
      <c r="K28" s="91" ph="1">
        <f>K27*18.322*LOOKUP(K29,密度!$A$2:$A$50,密度!$Q$2:$Q$50)</f>
        <v>85522.08218469999</v>
      </c>
      <c r="L28" s="91" ph="1">
        <f>L27*18.322*LOOKUP(L29,密度!$A$2:$A$50,密度!$Q$2:$Q$50)</f>
        <v>96527.598965979996</v>
      </c>
      <c r="M28" s="91" ph="1">
        <f>M27*18.322*LOOKUP(M29,密度!$A$2:$A$50,密度!$Q$2:$Q$50)</f>
        <v>84913.074478399998</v>
      </c>
      <c r="N28" s="91" ph="1">
        <f>N27*18.322*LOOKUP(N29,密度!$A$2:$A$50,密度!$Q$2:$Q$50)</f>
        <v>97476.033448360002</v>
      </c>
      <c r="O28" s="91" ph="1">
        <f>O27*18.322*LOOKUP(O29,密度!$A$2:$A$50,密度!$C$2:$C$50)</f>
        <v>116724.8375272</v>
      </c>
      <c r="P28" s="91" ph="1">
        <f>P27*11.702*LOOKUP(P29,密度!$A$2:$A$50,密度!$B$2:$B$50)</f>
        <v>5904.636117</v>
      </c>
      <c r="Q28" s="92" ph="1">
        <f>Q27*18.322*LOOKUP(Q29,密度!$A$2:$A$50,密度!$B$2:$B$50)</f>
        <v>6321.1632879999997</v>
      </c>
      <c r="R28" s="91" ph="1">
        <f>R27*35.891*LOOKUP(R29,密度!$A$2:$A$50,密度!$C$2:$C$50)</f>
        <v>196463.1598767</v>
      </c>
      <c r="S28" s="91" ph="1">
        <f>S27*35.891*LOOKUP(S29,密度!$A$2:$A$50,密度!$B$2:$B$50)</f>
        <v>135586.3889897</v>
      </c>
      <c r="T28" s="91" ph="1">
        <f>T27*35.891*LOOKUP(T29,密度!$A$2:$A$50,密度!$Q$2:$Q$50)</f>
        <v>5385.48115882</v>
      </c>
      <c r="U28" s="91" ph="1">
        <f>U27*35.891</f>
        <v>122029.4</v>
      </c>
      <c r="V28" s="91" ph="1">
        <f>V27*47.051*LOOKUP(V29,密度!$A$2:$A$50,密度!$B$2:$B$50)</f>
        <v>326464.11631600006</v>
      </c>
      <c r="W28" s="91" ph="1">
        <f>W27*47.051*LOOKUP(W29,密度!$A$2:$A$50,密度!$B$2:$B$50)</f>
        <v>51406.228764000007</v>
      </c>
      <c r="X28" s="91" ph="1">
        <f>X27*47.051*LOOKUP(X29,密度!$A$2:$A$61,密度!$I$2:$I$61)</f>
        <v>230879.48754989999</v>
      </c>
      <c r="Y28" s="91" ph="1">
        <f>Y27*47.051*LOOKUP(Y29,密度!$A$2:$A$50,密度!$L$2:$L$50)</f>
        <v>105841.03629599999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66" t="s" ph="1">
        <v>179</v>
      </c>
      <c r="D29" s="74">
        <v>25</v>
      </c>
      <c r="E29" s="74">
        <v>25</v>
      </c>
      <c r="F29" s="74">
        <v>20</v>
      </c>
      <c r="G29" s="74">
        <v>21</v>
      </c>
      <c r="H29" s="74">
        <v>21</v>
      </c>
      <c r="I29" s="74">
        <v>20</v>
      </c>
      <c r="J29" s="74">
        <v>22</v>
      </c>
      <c r="K29" s="74">
        <v>21</v>
      </c>
      <c r="L29" s="74">
        <v>22</v>
      </c>
      <c r="M29" s="74">
        <v>21</v>
      </c>
      <c r="N29" s="74">
        <v>21</v>
      </c>
      <c r="O29" s="74">
        <v>20</v>
      </c>
      <c r="P29" s="74">
        <v>22</v>
      </c>
      <c r="Q29" s="93">
        <v>20</v>
      </c>
      <c r="R29" s="74">
        <v>21</v>
      </c>
      <c r="S29" s="74">
        <v>22</v>
      </c>
      <c r="T29" s="74">
        <v>21</v>
      </c>
      <c r="U29" s="74">
        <v>20</v>
      </c>
      <c r="V29" s="74">
        <v>19</v>
      </c>
      <c r="W29" s="74">
        <v>21</v>
      </c>
      <c r="X29" s="74">
        <v>35</v>
      </c>
      <c r="Y29" s="74">
        <v>20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111036.69549900001</v>
      </c>
      <c r="E33" s="196" ph="1">
        <f>M10+I10</f>
        <v>96626.976147599999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22" ph="1">
        <v>0</v>
      </c>
      <c r="H33" s="196" ph="1">
        <f>N19</f>
        <v>33712.834114359997</v>
      </c>
      <c r="I33" s="200" ph="1">
        <v>0</v>
      </c>
      <c r="J33" s="204" ph="1">
        <f>F10+O28</f>
        <v>207061.29432999998</v>
      </c>
      <c r="K33" s="196" ph="1">
        <f>O10+K10+E28+R28</f>
        <v>279196.26567602</v>
      </c>
      <c r="L33" s="206" ph="1">
        <f>BE27</f>
        <v>7100</v>
      </c>
      <c r="M33" s="204" ph="1">
        <f>G10+H10+W28+S28+V28+E10</f>
        <v>933629.68996870006</v>
      </c>
      <c r="N33" s="196" ph="1">
        <f>L10+P10++G28+H28</f>
        <v>124387.3800872</v>
      </c>
      <c r="O33" s="200" ph="1">
        <f>BE17</f>
        <v>2270</v>
      </c>
      <c r="P33" s="204" ph="1">
        <f>L19</f>
        <v>27431.477665760001</v>
      </c>
      <c r="Q33" s="196" ph="1">
        <f>J10+N10</f>
        <v>102537.01189760001</v>
      </c>
      <c r="R33" s="200" ph="1">
        <f>BE23</f>
        <v>890</v>
      </c>
      <c r="S33" s="204" ph="1">
        <f>E10+X28</f>
        <v>301183.61856989999</v>
      </c>
      <c r="T33" s="196" ph="1">
        <f>X19</f>
        <v>12089.17783724</v>
      </c>
      <c r="U33" s="185" ph="1">
        <f>BE21</f>
        <v>730</v>
      </c>
      <c r="V33" s="198" ph="1">
        <f ca="1">P19+Q19+S19+M28+N28+J28</f>
        <v>407359.87099483004</v>
      </c>
      <c r="W33" s="198" ph="1">
        <f>D28+F28+V19+T28</f>
        <v>56626.839824268005</v>
      </c>
      <c r="X33" s="200" ph="1">
        <f>BE29+BE31</f>
        <v>10200</v>
      </c>
      <c r="Y33" s="202" ph="1">
        <f>+Q10+R10+S10+T10+U10+V10+W10+X10+Y10</f>
        <v>307429.49506499997</v>
      </c>
      <c r="Z33" s="183" ph="1">
        <f>D10+T19+U19+Y28+Z10</f>
        <v>444496.38175191003</v>
      </c>
      <c r="AA33" s="185" ph="1">
        <f>BE19</f>
        <v>1440</v>
      </c>
      <c r="AB33" s="187" ph="1">
        <f>I19</f>
        <v>34422.861671999999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68" t="s" ph="1">
        <v>185</v>
      </c>
      <c r="AA36" s="168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342</v>
      </c>
      <c r="AI37" s="168" t="s" ph="1">
        <v>209</v>
      </c>
      <c r="AJ37" s="168" t="s" ph="1">
        <v>210</v>
      </c>
      <c r="AK37" s="168" t="s" ph="1">
        <v>211</v>
      </c>
      <c r="AM37" s="168" t="s" ph="1">
        <v>210</v>
      </c>
      <c r="AN37" s="168" t="s" ph="1">
        <v>211</v>
      </c>
      <c r="AO37" s="168" t="s" ph="1">
        <v>212</v>
      </c>
      <c r="AP37" s="168" t="s" ph="1">
        <v>210</v>
      </c>
      <c r="AQ37" s="168" t="s" ph="1">
        <v>211</v>
      </c>
      <c r="AR37" s="168" t="s" ph="1">
        <v>212</v>
      </c>
      <c r="AS37" s="168" t="s" ph="1">
        <v>210</v>
      </c>
      <c r="AT37" s="168" t="s" ph="1">
        <v>211</v>
      </c>
      <c r="AU37" s="168" t="s" ph="1">
        <v>212</v>
      </c>
      <c r="AV37" s="168" t="s" ph="1">
        <v>210</v>
      </c>
      <c r="AW37" s="168" t="s" ph="1">
        <v>211</v>
      </c>
      <c r="AX37" s="168" t="s" ph="1">
        <v>212</v>
      </c>
      <c r="AY37" s="168" t="s" ph="1">
        <v>211</v>
      </c>
      <c r="AZ37" s="168" t="s" ph="1">
        <v>213</v>
      </c>
      <c r="BD37" s="168" t="s" ph="1">
        <v>305</v>
      </c>
      <c r="BE37" s="16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900" priority="98">
      <formula>ABS(D$7-D$10)&gt;=1000</formula>
    </cfRule>
  </conditionalFormatting>
  <conditionalFormatting sqref="E4 E6:E11">
    <cfRule type="expression" dxfId="899" priority="97">
      <formula>ABS(E$7-E$10)&gt;=1000</formula>
    </cfRule>
  </conditionalFormatting>
  <conditionalFormatting sqref="F4:F11">
    <cfRule type="expression" dxfId="898" priority="96">
      <formula>ABS(F$7-F$10)&gt;=1000</formula>
    </cfRule>
  </conditionalFormatting>
  <conditionalFormatting sqref="G4:G11">
    <cfRule type="expression" dxfId="897" priority="95">
      <formula>ABS(G$7-G$10)&gt;=1000</formula>
    </cfRule>
  </conditionalFormatting>
  <conditionalFormatting sqref="H4:H11">
    <cfRule type="expression" dxfId="896" priority="94">
      <formula>ABS(H$7-H$10)&gt;=1000</formula>
    </cfRule>
  </conditionalFormatting>
  <conditionalFormatting sqref="I4:I11">
    <cfRule type="expression" dxfId="895" priority="93">
      <formula>ABS(I$7-I$10)&gt;=1000</formula>
    </cfRule>
  </conditionalFormatting>
  <conditionalFormatting sqref="J4:J11">
    <cfRule type="expression" dxfId="894" priority="92">
      <formula>ABS(J$7-J$10)&gt;=1000</formula>
    </cfRule>
  </conditionalFormatting>
  <conditionalFormatting sqref="K4:K11">
    <cfRule type="expression" dxfId="893" priority="91">
      <formula>ABS(K$7-K$10)&gt;=1000</formula>
    </cfRule>
  </conditionalFormatting>
  <conditionalFormatting sqref="L4:L11">
    <cfRule type="expression" dxfId="892" priority="90">
      <formula>ABS(L$7-L$10)&gt;=1000</formula>
    </cfRule>
  </conditionalFormatting>
  <conditionalFormatting sqref="M4 M6:M11">
    <cfRule type="expression" dxfId="891" priority="89">
      <formula>ABS(M$7-M$10)&gt;=1000</formula>
    </cfRule>
  </conditionalFormatting>
  <conditionalFormatting sqref="N4 N6:N11">
    <cfRule type="expression" dxfId="890" priority="88">
      <formula>ABS(N$7-N$10)&gt;=1000</formula>
    </cfRule>
  </conditionalFormatting>
  <conditionalFormatting sqref="O4 O6:O11">
    <cfRule type="expression" dxfId="889" priority="87">
      <formula>ABS(O$7-O$10)&gt;=1000</formula>
    </cfRule>
  </conditionalFormatting>
  <conditionalFormatting sqref="P4 P6:P11">
    <cfRule type="expression" dxfId="888" priority="86">
      <formula>ABS(P$7-P$10)&gt;=1000</formula>
    </cfRule>
  </conditionalFormatting>
  <conditionalFormatting sqref="Q4:Q11">
    <cfRule type="expression" dxfId="887" priority="85">
      <formula>ABS(Q$7-Q$10)&gt;=1000</formula>
    </cfRule>
  </conditionalFormatting>
  <conditionalFormatting sqref="R4:R11">
    <cfRule type="expression" dxfId="886" priority="84">
      <formula>ABS(R$7-R$10)&gt;=1000</formula>
    </cfRule>
  </conditionalFormatting>
  <conditionalFormatting sqref="S4:S11">
    <cfRule type="expression" dxfId="885" priority="83">
      <formula>ABS(S$7-S$10)&gt;=1000</formula>
    </cfRule>
  </conditionalFormatting>
  <conditionalFormatting sqref="T4:T9 T11">
    <cfRule type="expression" dxfId="884" priority="82">
      <formula>ABS(T$7-T$10)&gt;=1000</formula>
    </cfRule>
  </conditionalFormatting>
  <conditionalFormatting sqref="U4:U9 U11">
    <cfRule type="expression" dxfId="883" priority="81">
      <formula>ABS(U$7-U$10)&gt;=1000</formula>
    </cfRule>
  </conditionalFormatting>
  <conditionalFormatting sqref="V4:V9 V11">
    <cfRule type="expression" dxfId="882" priority="80">
      <formula>ABS(V$7-V$10)&gt;=1000</formula>
    </cfRule>
  </conditionalFormatting>
  <conditionalFormatting sqref="W4:W9 W11">
    <cfRule type="expression" dxfId="881" priority="79">
      <formula>ABS(W$7-W$10)&gt;=1000</formula>
    </cfRule>
  </conditionalFormatting>
  <conditionalFormatting sqref="X4:X9 X11">
    <cfRule type="expression" dxfId="880" priority="78">
      <formula>ABS(X$7-X$10)&gt;=1000</formula>
    </cfRule>
  </conditionalFormatting>
  <conditionalFormatting sqref="Y4:Y9 Y11">
    <cfRule type="expression" dxfId="879" priority="77">
      <formula>ABS(Y$7-Y$10)&gt;=1000</formula>
    </cfRule>
  </conditionalFormatting>
  <conditionalFormatting sqref="Z4:Z11">
    <cfRule type="expression" dxfId="878" priority="76">
      <formula>ABS(Z$7-Z$10)&gt;=1000</formula>
    </cfRule>
  </conditionalFormatting>
  <conditionalFormatting sqref="AA4:AA11">
    <cfRule type="expression" dxfId="877" priority="75">
      <formula>ABS(AA$7-AA$10)&gt;=1000</formula>
    </cfRule>
  </conditionalFormatting>
  <conditionalFormatting sqref="AB4:AB11">
    <cfRule type="expression" dxfId="876" priority="74">
      <formula>ABS(AB$7-AB$10)&gt;=1000</formula>
    </cfRule>
  </conditionalFormatting>
  <conditionalFormatting sqref="AC4 AC6:AC11">
    <cfRule type="expression" dxfId="875" priority="73">
      <formula>ABS(AC$7-AC$10)&gt;=1000</formula>
    </cfRule>
  </conditionalFormatting>
  <conditionalFormatting sqref="AD4:AD11">
    <cfRule type="expression" dxfId="874" priority="72">
      <formula>ABS(AD$7-AD$10)&gt;=1000</formula>
    </cfRule>
  </conditionalFormatting>
  <conditionalFormatting sqref="AE4 AE6:AE11">
    <cfRule type="expression" dxfId="873" priority="71">
      <formula>ABS(AE$7-AE$10)&gt;=1000</formula>
    </cfRule>
  </conditionalFormatting>
  <conditionalFormatting sqref="D13:D20">
    <cfRule type="expression" dxfId="872" priority="70">
      <formula>ABS(D$16-D$19)&gt;=1000</formula>
    </cfRule>
  </conditionalFormatting>
  <conditionalFormatting sqref="E13:E20">
    <cfRule type="expression" dxfId="871" priority="69">
      <formula>ABS(E$16-E$19)&gt;=1000</formula>
    </cfRule>
  </conditionalFormatting>
  <conditionalFormatting sqref="F13 F15:F20">
    <cfRule type="expression" dxfId="870" priority="68">
      <formula>ABS(F$16-F$19)&gt;=1000</formula>
    </cfRule>
  </conditionalFormatting>
  <conditionalFormatting sqref="G13:G20">
    <cfRule type="expression" dxfId="869" priority="67">
      <formula>ABS(G$16-G$19)&gt;=1000</formula>
    </cfRule>
  </conditionalFormatting>
  <conditionalFormatting sqref="H13:H20">
    <cfRule type="expression" dxfId="868" priority="66">
      <formula>ABS(H$16-H$19)&gt;=1000</formula>
    </cfRule>
  </conditionalFormatting>
  <conditionalFormatting sqref="I13:I20">
    <cfRule type="expression" dxfId="867" priority="65">
      <formula>ABS(I$16-I$19)&gt;=1000</formula>
    </cfRule>
  </conditionalFormatting>
  <conditionalFormatting sqref="J13:J20">
    <cfRule type="expression" dxfId="866" priority="64">
      <formula>ABS(J$16-J$19)&gt;=1000</formula>
    </cfRule>
  </conditionalFormatting>
  <conditionalFormatting sqref="L13:L20">
    <cfRule type="expression" dxfId="865" priority="63">
      <formula>ABS(L$16-L$19)&gt;=1000</formula>
    </cfRule>
  </conditionalFormatting>
  <conditionalFormatting sqref="M13 M15 M17:M18 M20">
    <cfRule type="expression" dxfId="864" priority="62">
      <formula>ABS(M$16-M$19)&gt;=1000</formula>
    </cfRule>
  </conditionalFormatting>
  <conditionalFormatting sqref="N13:N20">
    <cfRule type="expression" dxfId="863" priority="61">
      <formula>ABS(N$16-N$19)&gt;=1000</formula>
    </cfRule>
  </conditionalFormatting>
  <conditionalFormatting sqref="O13:O20">
    <cfRule type="expression" dxfId="862" priority="60">
      <formula>ABS(O$16-O$19)&gt;=1000</formula>
    </cfRule>
  </conditionalFormatting>
  <conditionalFormatting sqref="P13:P20">
    <cfRule type="expression" dxfId="861" priority="59">
      <formula>ABS(P$16-P$19)&gt;=1000</formula>
    </cfRule>
  </conditionalFormatting>
  <conditionalFormatting sqref="Q13 Q15:Q20">
    <cfRule type="expression" dxfId="860" priority="58">
      <formula>ABS(Q$16-Q$19)&gt;=1000</formula>
    </cfRule>
  </conditionalFormatting>
  <conditionalFormatting sqref="R13:R20">
    <cfRule type="expression" dxfId="859" priority="57">
      <formula>ABS(R$16-R$19)&gt;=1000</formula>
    </cfRule>
  </conditionalFormatting>
  <conditionalFormatting sqref="S13:S20">
    <cfRule type="expression" dxfId="858" priority="56">
      <formula>ABS(S$16-S$19)&gt;=1000</formula>
    </cfRule>
  </conditionalFormatting>
  <conditionalFormatting sqref="T13:T20">
    <cfRule type="expression" dxfId="857" priority="55">
      <formula>ABS(T$16-T$19)&gt;=1000</formula>
    </cfRule>
  </conditionalFormatting>
  <conditionalFormatting sqref="U13:U20">
    <cfRule type="expression" dxfId="856" priority="54">
      <formula>ABS(U$16-U$19)&gt;=1000</formula>
    </cfRule>
  </conditionalFormatting>
  <conditionalFormatting sqref="V13:V20">
    <cfRule type="expression" dxfId="855" priority="53">
      <formula>ABS(V$16-V$19)&gt;=1000</formula>
    </cfRule>
  </conditionalFormatting>
  <conditionalFormatting sqref="W13 W20 W15:W18">
    <cfRule type="expression" dxfId="854" priority="52">
      <formula>ABS(W$16-W$19)&gt;=1000</formula>
    </cfRule>
  </conditionalFormatting>
  <conditionalFormatting sqref="X13 X15:X20 Y19">
    <cfRule type="expression" dxfId="853" priority="51">
      <formula>ABS(X$16-X$19)&gt;=1000</formula>
    </cfRule>
  </conditionalFormatting>
  <conditionalFormatting sqref="Y13 Y15:Y18 Y20">
    <cfRule type="expression" dxfId="852" priority="50">
      <formula>ABS(Y$16-Y$19)&gt;=1000</formula>
    </cfRule>
  </conditionalFormatting>
  <conditionalFormatting sqref="Z13:Z20">
    <cfRule type="expression" dxfId="851" priority="49">
      <formula>ABS(Z$16-Z$19)&gt;=1000</formula>
    </cfRule>
  </conditionalFormatting>
  <conditionalFormatting sqref="AA13:AA20">
    <cfRule type="expression" dxfId="850" priority="48">
      <formula>ABS(AA$16-AA$19)&gt;=1000</formula>
    </cfRule>
  </conditionalFormatting>
  <conditionalFormatting sqref="AB13 AB15:AB20">
    <cfRule type="expression" dxfId="849" priority="47">
      <formula>ABS(AB$16-AB$19)&gt;=1000</formula>
    </cfRule>
  </conditionalFormatting>
  <conditionalFormatting sqref="AC13 AC15:AC20">
    <cfRule type="expression" dxfId="848" priority="46">
      <formula>ABS(AC$16-AC$19)&gt;=1000</formula>
    </cfRule>
  </conditionalFormatting>
  <conditionalFormatting sqref="AD13:AD20">
    <cfRule type="expression" dxfId="847" priority="45">
      <formula>ABS(AD$16-AD$19)&gt;=1000</formula>
    </cfRule>
  </conditionalFormatting>
  <conditionalFormatting sqref="AE13:AE20">
    <cfRule type="expression" dxfId="846" priority="44">
      <formula>ABS(AE$16-AE$19)&gt;=1000</formula>
    </cfRule>
  </conditionalFormatting>
  <conditionalFormatting sqref="D22:D29">
    <cfRule type="expression" dxfId="845" priority="43">
      <formula>ABS(D$25-D$28)&gt;=1000</formula>
    </cfRule>
  </conditionalFormatting>
  <conditionalFormatting sqref="E22:E29">
    <cfRule type="expression" dxfId="844" priority="42">
      <formula>ABS(E$25-E$28)&gt;=1000</formula>
    </cfRule>
  </conditionalFormatting>
  <conditionalFormatting sqref="F22:F29">
    <cfRule type="expression" dxfId="843" priority="41">
      <formula>ABS(F$25-F$28)&gt;=1000</formula>
    </cfRule>
  </conditionalFormatting>
  <conditionalFormatting sqref="G22:G29">
    <cfRule type="expression" dxfId="842" priority="40">
      <formula>ABS(G$25-G$28)&gt;=1000</formula>
    </cfRule>
  </conditionalFormatting>
  <conditionalFormatting sqref="H22:H29">
    <cfRule type="expression" dxfId="841" priority="39">
      <formula>ABS(H$25-H$28)&gt;=1000</formula>
    </cfRule>
  </conditionalFormatting>
  <conditionalFormatting sqref="I22 I24:I29">
    <cfRule type="expression" dxfId="840" priority="38">
      <formula>ABS(I$25-I$28)&gt;=1000</formula>
    </cfRule>
  </conditionalFormatting>
  <conditionalFormatting sqref="J22:J29 K22">
    <cfRule type="expression" dxfId="839" priority="37">
      <formula>ABS(J$25-J$28)&gt;=1000</formula>
    </cfRule>
  </conditionalFormatting>
  <conditionalFormatting sqref="K23:K29 L25 L28">
    <cfRule type="expression" dxfId="838" priority="36">
      <formula>ABS(K$25-K$28)&gt;=1000</formula>
    </cfRule>
  </conditionalFormatting>
  <conditionalFormatting sqref="L22 L26:L27 L29 L24">
    <cfRule type="expression" dxfId="837" priority="35">
      <formula>ABS(L$25-L$28)&gt;=1000</formula>
    </cfRule>
  </conditionalFormatting>
  <conditionalFormatting sqref="M22:M29">
    <cfRule type="expression" dxfId="836" priority="34">
      <formula>ABS(M$25-M$28)&gt;=1000</formula>
    </cfRule>
  </conditionalFormatting>
  <conditionalFormatting sqref="N22:N29">
    <cfRule type="expression" dxfId="835" priority="33">
      <formula>ABS(N$25-N$28)&gt;=1000</formula>
    </cfRule>
  </conditionalFormatting>
  <conditionalFormatting sqref="O22:O29">
    <cfRule type="expression" dxfId="834" priority="32">
      <formula>ABS(O$25-O$28)&gt;=1000</formula>
    </cfRule>
  </conditionalFormatting>
  <conditionalFormatting sqref="P22:P29">
    <cfRule type="expression" dxfId="833" priority="31">
      <formula>ABS(P$25-P$28)&gt;=1000</formula>
    </cfRule>
  </conditionalFormatting>
  <conditionalFormatting sqref="Q22:Q29">
    <cfRule type="expression" dxfId="832" priority="30">
      <formula>ABS(Q$25-Q$28)&gt;=1000</formula>
    </cfRule>
  </conditionalFormatting>
  <conditionalFormatting sqref="R22:R29">
    <cfRule type="expression" dxfId="831" priority="29">
      <formula>ABS(R$25-R$28)&gt;=1000</formula>
    </cfRule>
  </conditionalFormatting>
  <conditionalFormatting sqref="S22:S29">
    <cfRule type="expression" dxfId="830" priority="28">
      <formula>ABS(S$25-S$28)&gt;=1000</formula>
    </cfRule>
  </conditionalFormatting>
  <conditionalFormatting sqref="T22:T29">
    <cfRule type="expression" dxfId="829" priority="27">
      <formula>ABS(T$25-T$28)&gt;=1000</formula>
    </cfRule>
  </conditionalFormatting>
  <conditionalFormatting sqref="U22:U29">
    <cfRule type="expression" dxfId="828" priority="26">
      <formula>ABS(U$25-U$28)&gt;=1000</formula>
    </cfRule>
  </conditionalFormatting>
  <conditionalFormatting sqref="V22:V29">
    <cfRule type="expression" dxfId="827" priority="25">
      <formula>ABS(V$25-V$28)&gt;=1000</formula>
    </cfRule>
  </conditionalFormatting>
  <conditionalFormatting sqref="W22:W29">
    <cfRule type="expression" dxfId="826" priority="24">
      <formula>ABS(W$25-W$28)&gt;=1000</formula>
    </cfRule>
  </conditionalFormatting>
  <conditionalFormatting sqref="X22:X29">
    <cfRule type="expression" dxfId="825" priority="23">
      <formula>ABS(X$25-X$28)&gt;=1000</formula>
    </cfRule>
  </conditionalFormatting>
  <conditionalFormatting sqref="Y22:Y29">
    <cfRule type="expression" dxfId="824" priority="22">
      <formula>ABS(Y$25-Y$28)&gt;=1000</formula>
    </cfRule>
  </conditionalFormatting>
  <conditionalFormatting sqref="I23">
    <cfRule type="expression" dxfId="823" priority="21">
      <formula>ABS(I$25-I$28)&gt;=1000</formula>
    </cfRule>
  </conditionalFormatting>
  <conditionalFormatting sqref="Q14">
    <cfRule type="expression" dxfId="822" priority="20">
      <formula>ABS(Q$16-Q$19)&gt;=1000</formula>
    </cfRule>
  </conditionalFormatting>
  <conditionalFormatting sqref="W14">
    <cfRule type="expression" dxfId="821" priority="19">
      <formula>ABS(W$16-W$19)&gt;=1000</formula>
    </cfRule>
  </conditionalFormatting>
  <conditionalFormatting sqref="Y14">
    <cfRule type="expression" dxfId="820" priority="18">
      <formula>ABS(Y$16-Y$19)&gt;=1000</formula>
    </cfRule>
  </conditionalFormatting>
  <conditionalFormatting sqref="X14">
    <cfRule type="expression" dxfId="819" priority="17">
      <formula>ABS(X$16-X$19)&gt;=1000</formula>
    </cfRule>
  </conditionalFormatting>
  <conditionalFormatting sqref="T10:Y10">
    <cfRule type="expression" dxfId="818" priority="16">
      <formula>ABS(T$7-T$10)&gt;=1000</formula>
    </cfRule>
  </conditionalFormatting>
  <conditionalFormatting sqref="W19">
    <cfRule type="expression" dxfId="817" priority="15">
      <formula>ABS(W$16-W$19)&gt;=1000</formula>
    </cfRule>
  </conditionalFormatting>
  <conditionalFormatting sqref="AC5">
    <cfRule type="expression" dxfId="816" priority="14">
      <formula>ABS(AC$7-AC$10)&gt;=1000</formula>
    </cfRule>
  </conditionalFormatting>
  <conditionalFormatting sqref="M14">
    <cfRule type="expression" dxfId="815" priority="13">
      <formula>ABS(M$16-M$19)&gt;=1000</formula>
    </cfRule>
  </conditionalFormatting>
  <conditionalFormatting sqref="M16">
    <cfRule type="expression" dxfId="814" priority="12">
      <formula>ABS(M$16-M$19)&gt;=1000</formula>
    </cfRule>
  </conditionalFormatting>
  <conditionalFormatting sqref="M19">
    <cfRule type="expression" dxfId="813" priority="11">
      <formula>ABS(M$16-M$19)&gt;=1000</formula>
    </cfRule>
  </conditionalFormatting>
  <conditionalFormatting sqref="K13:K20">
    <cfRule type="expression" dxfId="812" priority="10">
      <formula>ABS(K$16-K$19)&gt;=1000</formula>
    </cfRule>
  </conditionalFormatting>
  <conditionalFormatting sqref="E5">
    <cfRule type="expression" dxfId="811" priority="9">
      <formula>ABS(E$7-E$10)&gt;=1000</formula>
    </cfRule>
  </conditionalFormatting>
  <conditionalFormatting sqref="AB14:AC14">
    <cfRule type="expression" dxfId="810" priority="8">
      <formula>ABS(AB$16-AB$19)&gt;=1000</formula>
    </cfRule>
  </conditionalFormatting>
  <conditionalFormatting sqref="M5">
    <cfRule type="expression" dxfId="809" priority="7">
      <formula>ABS(M$7-M$10)&gt;=1000</formula>
    </cfRule>
  </conditionalFormatting>
  <conditionalFormatting sqref="N5">
    <cfRule type="expression" dxfId="808" priority="6">
      <formula>ABS(N$7-N$10)&gt;=1000</formula>
    </cfRule>
  </conditionalFormatting>
  <conditionalFormatting sqref="O5">
    <cfRule type="expression" dxfId="807" priority="5">
      <formula>ABS(O$7-O$10)&gt;=1000</formula>
    </cfRule>
  </conditionalFormatting>
  <conditionalFormatting sqref="P5">
    <cfRule type="expression" dxfId="806" priority="4">
      <formula>ABS(P$7-P$10)&gt;=1000</formula>
    </cfRule>
  </conditionalFormatting>
  <conditionalFormatting sqref="L23">
    <cfRule type="expression" dxfId="805" priority="3">
      <formula>ABS(L$25-L$28)&gt;=1000</formula>
    </cfRule>
  </conditionalFormatting>
  <conditionalFormatting sqref="F14">
    <cfRule type="expression" dxfId="804" priority="2">
      <formula>ABS(F$16-F$19)&gt;=1000</formula>
    </cfRule>
  </conditionalFormatting>
  <conditionalFormatting sqref="AE5">
    <cfRule type="expression" dxfId="803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95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91">
    <pageSetUpPr fitToPage="1"/>
  </sheetPr>
  <dimension ref="A1:CU223"/>
  <sheetViews>
    <sheetView view="pageBreakPreview" topLeftCell="A10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46014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66" t="s" ph="1">
        <v>177</v>
      </c>
      <c r="D6" s="71">
        <v>6667</v>
      </c>
      <c r="E6" s="71">
        <v>1740</v>
      </c>
      <c r="F6" s="71">
        <v>2444</v>
      </c>
      <c r="G6" s="71">
        <v>6633</v>
      </c>
      <c r="H6" s="71">
        <v>1468</v>
      </c>
      <c r="I6" s="71">
        <v>14.12</v>
      </c>
      <c r="J6" s="71">
        <v>59.81</v>
      </c>
      <c r="K6" s="71">
        <v>7.41</v>
      </c>
      <c r="L6" s="71">
        <v>7.62</v>
      </c>
      <c r="M6" s="71">
        <v>2672</v>
      </c>
      <c r="N6" s="71">
        <v>4006</v>
      </c>
      <c r="O6" s="71">
        <v>3304</v>
      </c>
      <c r="P6" s="71">
        <v>1221</v>
      </c>
      <c r="Q6" s="71">
        <v>7250</v>
      </c>
      <c r="R6" s="71">
        <v>7273</v>
      </c>
      <c r="S6" s="71">
        <v>4531</v>
      </c>
      <c r="T6" s="71">
        <v>0</v>
      </c>
      <c r="U6" s="71">
        <v>0</v>
      </c>
      <c r="V6" s="71">
        <v>2469</v>
      </c>
      <c r="W6" s="71">
        <v>7009</v>
      </c>
      <c r="X6" s="71">
        <v>7122</v>
      </c>
      <c r="Y6" s="71">
        <v>5986</v>
      </c>
      <c r="Z6" s="71">
        <v>3675</v>
      </c>
      <c r="AA6" s="71">
        <v>2984</v>
      </c>
      <c r="AB6" s="71">
        <v>427</v>
      </c>
      <c r="AC6" s="71">
        <v>8360</v>
      </c>
      <c r="AD6" s="71">
        <v>4780</v>
      </c>
      <c r="AE6" s="71">
        <v>4105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210100.92632109</v>
      </c>
      <c r="E7" s="73" ph="1">
        <f>E6*51.53*LOOKUP(E8,密度!$A$2:$A$50,密度!$B$2:$B$50)</f>
        <v>70375.860780000003</v>
      </c>
      <c r="F7" s="73" ph="1">
        <f>F6*33.183*LOOKUP(F8,密度!$A$2:$A$50,密度!$C$2:$C$50)</f>
        <v>90336.456802799978</v>
      </c>
      <c r="G7" s="73" ph="1">
        <f xml:space="preserve"> (G6+2)*51.53*LOOKUP(G8,密度!$A$2:$A$50,密度!$B$2:$B$50)</f>
        <v>268632.04783499998</v>
      </c>
      <c r="H7" s="73" ph="1">
        <f>(H6)*51.53*LOOKUP(H8,密度!$A$2:$A$50,密度!$B$2:$B$50)</f>
        <v>59488.045856000004</v>
      </c>
      <c r="I7" s="73" ph="1">
        <f>I6*290.8*1.0267</f>
        <v>4215.7287631999989</v>
      </c>
      <c r="J7" s="73" ph="1">
        <f>J6*290.8*0.7892</f>
        <v>13726.356721599999</v>
      </c>
      <c r="K7" s="73" ph="1">
        <f>K6*290.8*1.1126</f>
        <v>2397.4616328000002</v>
      </c>
      <c r="L7" s="73" ph="1">
        <f>L6*290.8*0.777</f>
        <v>1721.7511920000002</v>
      </c>
      <c r="M7" s="73" ph="1">
        <f>M6*33.183*LOOKUP(M8,密度!$A$2:$A$50,密度!$D$2:$D$50)</f>
        <v>91519.988227199996</v>
      </c>
      <c r="N7" s="73" ph="1">
        <f>N6*33.183*LOOKUP(N8,密度!$A$2:$A$50,密度!$E$2:$E$50)</f>
        <v>104590.18790640001</v>
      </c>
      <c r="O7" s="73" ph="1">
        <f>O6*20.428*LOOKUP(O8,密度!$A$2:$A$50,密度!$C$2:$C$50)</f>
        <v>74945.461964800008</v>
      </c>
      <c r="P7" s="73" ph="1">
        <f>P6*51.53*LOOKUP(P8,密度!$A$2:$A$50,密度!$B$2:$B$50)</f>
        <v>49434.774741000001</v>
      </c>
      <c r="Q7" s="73" ph="1">
        <f>Q6*1.5*1.5*3.1416*LOOKUP(W8,密度!$A$2:$A$50,密度!$L$2:$L$50)</f>
        <v>48275.003699999994</v>
      </c>
      <c r="R7" s="73" ph="1">
        <f>R6*1.5*1.5*3.1416*LOOKUP(R8,密度!$A$2:$A$50,密度!$L$2:$L$50)</f>
        <v>48222.512276399997</v>
      </c>
      <c r="S7" s="73" ph="1">
        <f>S6*1.5*1.5*3.1416*LOOKUP(S8,密度!$A$2:$A$50,密度!$L$2:$L$50)</f>
        <v>30298.3239636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16370.326249199999</v>
      </c>
      <c r="W7" s="73" ph="1">
        <f>W6*1.5*1.5*3.1416*LOOKUP(W8,密度!$A$2:$A$50,密度!$L$2:$L$50)</f>
        <v>46670.275990800001</v>
      </c>
      <c r="X7" s="73" ph="1">
        <f>X6*1.5*1.5*3.1416*LOOKUP(X8,密度!$A$2:$A$50,密度!$L$2:$L$50)</f>
        <v>47674.413032399993</v>
      </c>
      <c r="Y7" s="73" ph="1">
        <f>Y6*1.5*1.5*3.1416*LOOKUP(Y8,密度!$A$2:$A$50,密度!$L$2:$L$50)</f>
        <v>39858.506503199998</v>
      </c>
      <c r="Z7" s="73" ph="1">
        <f>Z6*33.183*LOOKUP(Z8,密度!$A$2:$A$50,密度!$L$2:$L$50)</f>
        <v>114996.51607499999</v>
      </c>
      <c r="AA7" s="73" ph="1">
        <f>AA6*33.183*LOOKUP(AA8,密度!$A$2:$A$50,密度!$D$2:$D$50)</f>
        <v>102295.57018319999</v>
      </c>
      <c r="AB7" s="73" ph="1">
        <f>AB6*20.428*LOOKUP(AB8,密度!$A$2:$A$50,密度!$D$2:$D$50)</f>
        <v>9041.1365940000014</v>
      </c>
      <c r="AC7" s="73" ph="1">
        <f>AC6*51.53*LOOKUP(AC8,密度!$A$2:$A$50,密度!$Q$2:$Q$50)</f>
        <v>409781.13268400001</v>
      </c>
      <c r="AD7" s="73" ph="1">
        <f>AD6*20.428*LOOKUP(AD8,密度!$A$2:$A$50,密度!$V$2:$V$50)</f>
        <v>94130.589760000003</v>
      </c>
      <c r="AE7" s="73" ph="1">
        <f>AE6*20.428</f>
        <v>83856.94</v>
      </c>
    </row>
    <row r="8" spans="1:99" ph="1">
      <c r="B8" s="247" ph="1"/>
      <c r="C8" s="68" t="s" ph="1">
        <v>179</v>
      </c>
      <c r="D8" s="74">
        <v>21</v>
      </c>
      <c r="E8" s="74">
        <v>19</v>
      </c>
      <c r="F8" s="74">
        <v>18</v>
      </c>
      <c r="G8" s="74">
        <v>18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22</v>
      </c>
      <c r="O8" s="74">
        <v>23</v>
      </c>
      <c r="P8" s="74">
        <v>18</v>
      </c>
      <c r="Q8" s="74">
        <v>21</v>
      </c>
      <c r="R8" s="74">
        <v>24</v>
      </c>
      <c r="S8" s="74">
        <v>16</v>
      </c>
      <c r="T8" s="74">
        <v>14</v>
      </c>
      <c r="U8" s="74">
        <v>20</v>
      </c>
      <c r="V8" s="74">
        <v>24</v>
      </c>
      <c r="W8" s="74">
        <v>20</v>
      </c>
      <c r="X8" s="74">
        <v>15</v>
      </c>
      <c r="Y8" s="74">
        <v>20</v>
      </c>
      <c r="Z8" s="74">
        <v>19</v>
      </c>
      <c r="AA8" s="74">
        <v>18</v>
      </c>
      <c r="AB8" s="74">
        <v>14</v>
      </c>
      <c r="AC8" s="74">
        <v>19</v>
      </c>
      <c r="AD8" s="74">
        <v>18</v>
      </c>
      <c r="AE8" s="74">
        <v>21</v>
      </c>
    </row>
    <row r="9" spans="1:99" ht="26.4" ph="1">
      <c r="B9" s="247" ph="1">
        <v>0.66666666666666663</v>
      </c>
      <c r="C9" s="166" t="s" ph="1">
        <v>180</v>
      </c>
      <c r="D9" s="71">
        <v>6668</v>
      </c>
      <c r="E9" s="71">
        <v>1832</v>
      </c>
      <c r="F9" s="71">
        <v>2444</v>
      </c>
      <c r="G9" s="71">
        <v>6637</v>
      </c>
      <c r="H9" s="71">
        <v>1182</v>
      </c>
      <c r="I9" s="71">
        <v>14.11</v>
      </c>
      <c r="J9" s="71">
        <v>28.21</v>
      </c>
      <c r="K9" s="71">
        <v>7.41</v>
      </c>
      <c r="L9" s="71">
        <v>48.52</v>
      </c>
      <c r="M9" s="71">
        <v>2672</v>
      </c>
      <c r="N9" s="71">
        <v>4696</v>
      </c>
      <c r="O9" s="71">
        <v>3305</v>
      </c>
      <c r="P9" s="71">
        <v>682</v>
      </c>
      <c r="Q9" s="71">
        <v>7255</v>
      </c>
      <c r="R9" s="71">
        <v>7278</v>
      </c>
      <c r="S9" s="71">
        <v>4533</v>
      </c>
      <c r="T9" s="71">
        <v>7127</v>
      </c>
      <c r="U9" s="71">
        <v>0</v>
      </c>
      <c r="V9" s="71">
        <v>0</v>
      </c>
      <c r="W9" s="71">
        <v>5614</v>
      </c>
      <c r="X9" s="71">
        <v>7130</v>
      </c>
      <c r="Y9" s="71">
        <v>5991</v>
      </c>
      <c r="Z9" s="71">
        <v>4355</v>
      </c>
      <c r="AA9" s="71">
        <v>2982</v>
      </c>
      <c r="AB9" s="71">
        <v>330</v>
      </c>
      <c r="AC9" s="71">
        <v>8655</v>
      </c>
      <c r="AD9" s="71">
        <v>4780</v>
      </c>
      <c r="AE9" s="71">
        <v>4011</v>
      </c>
    </row>
    <row r="10" spans="1:99" s="72" customFormat="1" ht="22.2" ph="1">
      <c r="B10" s="247" ph="1"/>
      <c r="C10" s="166" t="s" ph="1">
        <v>178</v>
      </c>
      <c r="D10" s="73" ph="1">
        <f>D9*33.183*LOOKUP(D11,密度!$A$2:$A$50,密度!$Q$2:$Q$50)</f>
        <v>209999.68133796001</v>
      </c>
      <c r="E10" s="73" ph="1">
        <f>E9*51.53*LOOKUP(E11,密度!$A$2:$A$50,密度!$B$2:$B$50)</f>
        <v>74021.360936000012</v>
      </c>
      <c r="F10" s="73" ph="1">
        <f>F9*33.183*LOOKUP(F11,密度!$A$2:$A$50,密度!$C$2:$C$50)</f>
        <v>90336.456802799978</v>
      </c>
      <c r="G10" s="73" ph="1">
        <f xml:space="preserve"> (G9+2)*51.53*LOOKUP(G11,密度!$A$2:$A$50,密度!$B$2:$B$50)</f>
        <v>268520.31018299999</v>
      </c>
      <c r="H10" s="73" ph="1">
        <f>(H9)*51.53*LOOKUP(H11,密度!$A$2:$A$50,密度!$B$2:$B$50)</f>
        <v>47855.777021999995</v>
      </c>
      <c r="I10" s="73" ph="1">
        <f>I9*290.8*1.0267</f>
        <v>4212.7431195999998</v>
      </c>
      <c r="J10" s="73" ph="1">
        <f>J9*290.8*0.7892</f>
        <v>6474.1769456000011</v>
      </c>
      <c r="K10" s="73" ph="1">
        <f>K9*290.8*1.1126</f>
        <v>2397.4616328000002</v>
      </c>
      <c r="L10" s="73" ph="1">
        <f>L9*290.8*0.777</f>
        <v>10963.171632000001</v>
      </c>
      <c r="M10" s="73" ph="1">
        <f>M9*33.183*LOOKUP(M11,密度!$A$2:$A$50,密度!$D$2:$D$50)</f>
        <v>91369.257767999996</v>
      </c>
      <c r="N10" s="73" ph="1">
        <f>N9*33.183*LOOKUP(N11,密度!$A$2:$A$50,密度!$E$2:$E$50)</f>
        <v>122417.98030079999</v>
      </c>
      <c r="O10" s="73" ph="1">
        <f>O9*20.428*LOOKUP(O11,密度!$A$2:$A$50,密度!$C$2:$C$50)</f>
        <v>74914.13358400001</v>
      </c>
      <c r="P10" s="73" ph="1">
        <f>P9*51.53*LOOKUP(P11,密度!$A$2:$A$50,密度!$B$2:$B$50)</f>
        <v>27524.357872</v>
      </c>
      <c r="Q10" s="73" ph="1">
        <f>Q9*1.5*1.5*3.1416*LOOKUP(W11,密度!$A$2:$A$50,密度!$L$2:$L$50)</f>
        <v>48257.014112999997</v>
      </c>
      <c r="R10" s="73" ph="1">
        <f>R9*1.5*1.5*3.1416*LOOKUP(R11,密度!$A$2:$A$50,密度!$L$2:$L$50)</f>
        <v>48409.999822799997</v>
      </c>
      <c r="S10" s="73" ph="1">
        <f>S9*1.5*1.5*3.1416*LOOKUP(S11,密度!$A$2:$A$50,密度!$L$2:$L$50)</f>
        <v>30279.655790999997</v>
      </c>
      <c r="T10" s="73" ph="1">
        <f>T9*1.5*1.5*3.1416*LOOKUP(T11,密度!$A$2:$A$50,密度!$L$2:$L$50)</f>
        <v>47556.749116799998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37341.8162964</v>
      </c>
      <c r="X10" s="73" ph="1">
        <f>X9*1.5*1.5*3.1416*LOOKUP(X11,密度!$A$2:$A$50,密度!$L$2:$L$50)</f>
        <v>47727.964745999998</v>
      </c>
      <c r="Y10" s="73" ph="1">
        <f>Y9*1.5*1.5*3.1416*LOOKUP(Y11,密度!$A$2:$A$50,密度!$L$2:$L$50)</f>
        <v>39891.799609199996</v>
      </c>
      <c r="Z10" s="73" ph="1">
        <f>Z9*33.183*LOOKUP(Z11,密度!$A$2:$A$50,密度!$L$2:$L$50)</f>
        <v>136130.27103</v>
      </c>
      <c r="AA10" s="73" ph="1">
        <f>AA9*33.183*LOOKUP(AA11,密度!$A$2:$A$50,密度!$D$2:$D$50)</f>
        <v>102058.78956840001</v>
      </c>
      <c r="AB10" s="73" ph="1">
        <f>AB9*20.428*LOOKUP(AB11,密度!$A$2:$A$50,密度!$D$2:$D$50)</f>
        <v>6981.2281440000015</v>
      </c>
      <c r="AC10" s="73" ph="1">
        <f>AC9*51.53*LOOKUP(AC11,密度!$A$2:$A$50,密度!$Q$2:$Q$50)</f>
        <v>424241.11284450005</v>
      </c>
      <c r="AD10" s="73" ph="1">
        <f>AD9*20.428*LOOKUP(AD11,密度!$A$2:$A$50,密度!$V$2:$V$50)</f>
        <v>93818.123072000002</v>
      </c>
      <c r="AE10" s="73" ph="1">
        <f>AE9*20.428</f>
        <v>81936.707999999999</v>
      </c>
    </row>
    <row r="11" spans="1:99" ph="1">
      <c r="A11" s="64" t="s" ph="1">
        <v>162</v>
      </c>
      <c r="B11" s="247" ph="1"/>
      <c r="C11" s="166" t="s" ph="1">
        <v>179</v>
      </c>
      <c r="D11" s="74">
        <v>22</v>
      </c>
      <c r="E11" s="74">
        <v>20</v>
      </c>
      <c r="F11" s="74">
        <v>18</v>
      </c>
      <c r="G11" s="74">
        <v>19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23</v>
      </c>
      <c r="O11" s="74">
        <v>24</v>
      </c>
      <c r="P11" s="74">
        <v>21</v>
      </c>
      <c r="Q11" s="74">
        <v>22</v>
      </c>
      <c r="R11" s="74">
        <v>21</v>
      </c>
      <c r="S11" s="74">
        <v>17</v>
      </c>
      <c r="T11" s="74">
        <v>18</v>
      </c>
      <c r="U11" s="74">
        <v>20</v>
      </c>
      <c r="V11" s="74">
        <v>25</v>
      </c>
      <c r="W11" s="74">
        <v>21</v>
      </c>
      <c r="X11" s="74">
        <v>15</v>
      </c>
      <c r="Y11" s="74">
        <v>20</v>
      </c>
      <c r="Z11" s="74">
        <v>20</v>
      </c>
      <c r="AA11" s="74">
        <v>20</v>
      </c>
      <c r="AB11" s="74">
        <v>15</v>
      </c>
      <c r="AC11" s="74">
        <v>19</v>
      </c>
      <c r="AD11" s="74">
        <v>21</v>
      </c>
      <c r="AE11" s="74">
        <v>23</v>
      </c>
    </row>
    <row r="12" spans="1:99" ht="9.9" customHeight="1" ph="1"/>
    <row r="13" spans="1:99" s="72" customFormat="1" ht="29.25" customHeight="1" ph="1">
      <c r="B13" s="224" t="s" ph="1">
        <v>37</v>
      </c>
      <c r="C13" s="16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66" t="s" ph="1">
        <v>177</v>
      </c>
      <c r="D15" s="78">
        <v>5972</v>
      </c>
      <c r="E15" s="78">
        <v>115</v>
      </c>
      <c r="F15" s="78">
        <v>4384</v>
      </c>
      <c r="G15" s="78">
        <v>4102</v>
      </c>
      <c r="H15" s="78">
        <v>2031</v>
      </c>
      <c r="I15" s="78">
        <v>3685</v>
      </c>
      <c r="J15" s="78">
        <v>4112</v>
      </c>
      <c r="K15" s="78">
        <v>2385</v>
      </c>
      <c r="L15" s="78">
        <v>4066</v>
      </c>
      <c r="M15" s="78">
        <v>6381</v>
      </c>
      <c r="N15" s="78">
        <v>355</v>
      </c>
      <c r="O15" s="78">
        <v>5253</v>
      </c>
      <c r="P15" s="78">
        <v>3602</v>
      </c>
      <c r="Q15" s="78">
        <v>6973</v>
      </c>
      <c r="R15" s="78">
        <v>7368</v>
      </c>
      <c r="S15" s="78">
        <v>6413</v>
      </c>
      <c r="T15" s="78">
        <v>977</v>
      </c>
      <c r="U15" s="78">
        <v>5685</v>
      </c>
      <c r="V15" s="78">
        <v>5003</v>
      </c>
      <c r="W15" s="71">
        <v>3380</v>
      </c>
      <c r="X15" s="78">
        <v>665</v>
      </c>
      <c r="Y15" s="106">
        <v>-9903</v>
      </c>
      <c r="Z15" s="78">
        <v>0</v>
      </c>
      <c r="AA15" s="78">
        <v>10</v>
      </c>
      <c r="AB15" s="78" ph="1">
        <v>1532</v>
      </c>
      <c r="AC15" s="78" ph="1">
        <v>31</v>
      </c>
      <c r="AD15" s="78">
        <v>5.71</v>
      </c>
      <c r="AE15" s="78">
        <v>32.01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66" t="s" ph="1">
        <v>178</v>
      </c>
      <c r="D16" s="73" ph="1">
        <f>D15*7.0686*LOOKUP(D17,密度!$A$2:$A$50,密度!$L$2:$L$50)</f>
        <v>39765.285806399996</v>
      </c>
      <c r="E16" s="73" ph="1">
        <f>E15*7.0686*LOOKUP(E17,密度!$A$2:$A$50,密度!$L$2:$L$50)</f>
        <v>766.55432699999994</v>
      </c>
      <c r="F16" s="73" ph="1">
        <f>F15*9.0746*LOOKUP(F17,密度!$A$2:$A$50,密度!$L$2:$L$50)</f>
        <v>37316.4975232</v>
      </c>
      <c r="G16" s="73" ph="1">
        <f>G15*9.0746*LOOKUP(G17,密度!$A$2:$A$50,密度!$B$2:$B$50)</f>
        <v>29217.12482108</v>
      </c>
      <c r="H16" s="73" ph="1">
        <f>H15*9.0746*LOOKUP(H17,密度!$A$2:$A$50,密度!$L$2:$L$50)</f>
        <v>17416.834407000002</v>
      </c>
      <c r="I16" s="73" ph="1">
        <f>I15*9.0746*LOOKUP(I17,密度!$A$2:$A$50,密度!$U$2:$U$50)</f>
        <v>34376.218227999998</v>
      </c>
      <c r="J16" s="73" ph="1">
        <f>J15*9.0746*LOOKUP(J17,密度!$A$2:$A$50,密度!$L$2:$L$50)</f>
        <v>35150.499398399996</v>
      </c>
      <c r="K16" s="73" ph="1">
        <f>K15*9.0746*LOOKUP(K17,密度!$A$2:$A$50,密度!$C$2:$C$50)</f>
        <v>24092.899657200003</v>
      </c>
      <c r="L16" s="73" ph="1">
        <f>L15*9.0746*LOOKUP(L17,密度!$A$2:$A$50,密度!$E$2:$E$50)</f>
        <v>29119.367785120005</v>
      </c>
      <c r="M16" s="73" ph="1">
        <f>M15*9.0746*LOOKUP(M17,密度!$A$2:$A$50,密度!$M$2:$M$50)</f>
        <v>50973.791394780004</v>
      </c>
      <c r="N16" s="73" ph="1">
        <f>N15*9.0746*LOOKUP(N17,密度!$A$2:$A$50,密度!$M$2:$M$50)</f>
        <v>2835.8714849000003</v>
      </c>
      <c r="O16" s="73" ph="1">
        <f>O15*9.0746*LOOKUP(O17,密度!$A$2:$A$50,密度!$G$2:$G$50)</f>
        <v>45995.696329619997</v>
      </c>
      <c r="P16" s="73" ph="1">
        <f ca="1">P15*9.0746*LOOKUP(P17,密度!$A$2:$A$51,密度!$Q$2:$Q$50)</f>
        <v>31064.794689496001</v>
      </c>
      <c r="Q16" s="73" ph="1">
        <f>Q15*9.0746*LOOKUP(Q17,密度!$A$2:$A$50,密度!$Q$2:$Q$50)</f>
        <v>60240.513653458001</v>
      </c>
      <c r="R16" s="73" ph="1">
        <f>MAX(R15*9.0746*LOOKUP(R17,密度!$A$2:$A$50,密度!$B$2:$B$50),0)</f>
        <v>52305.870985439993</v>
      </c>
      <c r="S16" s="73" ph="1">
        <f>S15*9.0746*LOOKUP(S17,密度!$A$2:$A$50,密度!$Q$2:$Q$50)</f>
        <v>55357.219664054006</v>
      </c>
      <c r="T16" s="73" ph="1">
        <f>T15*9.0746*LOOKUP(T17,密度!$A$2:$A$50,密度!$O$2:$O$50)</f>
        <v>8280.7358428000007</v>
      </c>
      <c r="U16" s="73" ph="1">
        <f>U15*9.0746*LOOKUP(U17,密度!$A$2:$A$50,密度!$H$2:$H$50)</f>
        <v>47549.674391699999</v>
      </c>
      <c r="V16" s="73" ph="1">
        <f>MAX(5600*LOOKUP(V17,密度!$A$2:$A$50,密度!$Q$2:$Q$50)+V15*9.0476*LOOKUP(V17,密度!$A$2:$A$50,密度!$Q$2:$Q$50),0)</f>
        <v>48341.214414263988</v>
      </c>
      <c r="W16" s="73" ph="1">
        <f>MAX(5600*LOOKUP(W17,密度!$A$2:$A$50,密度!$Q$2:$Q$50)+W15*9.0476*LOOKUP(W17,密度!$A$2:$A$50,密度!$Q$2:$Q$50),0)</f>
        <v>34360.627524720003</v>
      </c>
      <c r="X16" s="73" ph="1">
        <f>MAX(5600*LOOKUP(X17,密度!$A$2:$A$50,密度!$I$2:$I$50)+X15*9.0476*LOOKUP(X17,密度!$A$2:$A$50,密度!$I$2:$I$50),0)</f>
        <v>12147.535087799999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71.362654400000011</v>
      </c>
      <c r="AB16" s="73" ph="1">
        <f>AB15*9.0746*LOOKUP(AB17,密度!$A$2:$A$50,密度!$L$2:$L$50)</f>
        <v>13095.954542400001</v>
      </c>
      <c r="AC16" s="73" ph="1">
        <f>AC15*9.0746*LOOKUP(AC17,密度!$A$2:$A$50,密度!$L$2:$L$50)</f>
        <v>266.12171960000001</v>
      </c>
      <c r="AD16" s="73" ph="1">
        <f>AD15*268.68*LOOKUP(AD17,密度!$A$2:$A$50,密度!B2:B50)+IF(AD15&lt;=0,0,1566*LOOKUP(AD17,密度!$A$2:$A$50,密度!B2:B50))</f>
        <v>2416.8869188799999</v>
      </c>
      <c r="AE16" s="73" ph="1">
        <f>AE15*268.68*LOOKUP(AE17,密度!$A$2:$A$50,密度!B2:B50)+IF(AE15&lt;=0,0,1566*LOOKUP(AE17,密度!$A$2:$A$50,密度!B2:B50))</f>
        <v>7925.7619252799996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20</v>
      </c>
      <c r="E17" s="74">
        <v>19</v>
      </c>
      <c r="F17" s="74">
        <v>24</v>
      </c>
      <c r="G17" s="74">
        <v>19</v>
      </c>
      <c r="H17" s="74">
        <v>17</v>
      </c>
      <c r="I17" s="74">
        <v>18</v>
      </c>
      <c r="J17" s="74">
        <v>20</v>
      </c>
      <c r="K17" s="74">
        <v>19</v>
      </c>
      <c r="L17" s="74">
        <v>20</v>
      </c>
      <c r="M17" s="74">
        <v>20</v>
      </c>
      <c r="N17" s="74">
        <v>18</v>
      </c>
      <c r="O17" s="74">
        <v>21</v>
      </c>
      <c r="P17" s="74">
        <v>20</v>
      </c>
      <c r="Q17" s="74">
        <v>18</v>
      </c>
      <c r="R17" s="74">
        <v>22</v>
      </c>
      <c r="S17" s="74">
        <v>19</v>
      </c>
      <c r="T17" s="74">
        <v>17</v>
      </c>
      <c r="U17" s="74">
        <v>18</v>
      </c>
      <c r="V17" s="74">
        <v>20</v>
      </c>
      <c r="W17" s="74">
        <v>21</v>
      </c>
      <c r="X17" s="74">
        <v>22</v>
      </c>
      <c r="Y17" s="108">
        <v>22</v>
      </c>
      <c r="Z17" s="74">
        <v>18</v>
      </c>
      <c r="AA17" s="74">
        <v>17</v>
      </c>
      <c r="AB17" s="74">
        <v>20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5983</v>
      </c>
      <c r="E18" s="71">
        <v>3475</v>
      </c>
      <c r="F18" s="71">
        <v>4383</v>
      </c>
      <c r="G18" s="71">
        <v>4149</v>
      </c>
      <c r="H18" s="71">
        <v>0</v>
      </c>
      <c r="I18" s="71">
        <v>3685</v>
      </c>
      <c r="J18" s="71">
        <v>2781</v>
      </c>
      <c r="K18" s="71">
        <v>2385</v>
      </c>
      <c r="L18" s="71">
        <v>4922</v>
      </c>
      <c r="M18" s="71">
        <v>4421</v>
      </c>
      <c r="N18" s="71">
        <v>654</v>
      </c>
      <c r="O18" s="71">
        <v>5258</v>
      </c>
      <c r="P18" s="71">
        <v>3606</v>
      </c>
      <c r="Q18" s="71">
        <v>6979</v>
      </c>
      <c r="R18" s="71">
        <v>7380</v>
      </c>
      <c r="S18" s="71">
        <v>6419</v>
      </c>
      <c r="T18" s="71">
        <v>6584</v>
      </c>
      <c r="U18" s="71">
        <v>1725</v>
      </c>
      <c r="V18" s="71">
        <v>5003</v>
      </c>
      <c r="W18" s="71">
        <v>3379</v>
      </c>
      <c r="X18" s="71">
        <v>663</v>
      </c>
      <c r="Y18" s="109">
        <v>-9905</v>
      </c>
      <c r="Z18" s="71">
        <v>0</v>
      </c>
      <c r="AA18" s="71">
        <v>10</v>
      </c>
      <c r="AB18" s="71">
        <v>1532</v>
      </c>
      <c r="AC18" s="71">
        <v>21</v>
      </c>
      <c r="AD18" s="71">
        <v>5.61</v>
      </c>
      <c r="AE18" s="71">
        <v>82.91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66" t="s" ph="1">
        <v>178</v>
      </c>
      <c r="D19" s="73" ph="1">
        <f>D18*7.0686*LOOKUP(D20,密度!$A$2:$A$50,密度!$L$2:$L$50)</f>
        <v>39796.239205799997</v>
      </c>
      <c r="E19" s="73" ph="1">
        <f>E18*7.0686*LOOKUP(E20,密度!$A$2:$A$50,密度!$L$2:$L$50)</f>
        <v>23089.581899999997</v>
      </c>
      <c r="F19" s="73" ph="1">
        <f>F18*9.0746*LOOKUP(F20,密度!$A$2:$A$50,密度!$L$2:$L$50)</f>
        <v>37268.211576599999</v>
      </c>
      <c r="G19" s="73" ph="1">
        <f>G18*9.0746*LOOKUP(G20,密度!$A$2:$A$50,密度!$B$2:$B$50)</f>
        <v>29453.998197420002</v>
      </c>
      <c r="H19" s="73" ph="1">
        <f>H18*9.0746*LOOKUP(H20,密度!$A$2:$A$50,密度!$L$2:$L$50)</f>
        <v>0</v>
      </c>
      <c r="I19" s="73" ph="1">
        <f>I18*9.0746*LOOKUP(I20,密度!$A$2:$A$50,密度!$U$2:$U$50)</f>
        <v>34376.218227999998</v>
      </c>
      <c r="J19" s="73" ph="1">
        <f>J18*9.0746*LOOKUP(J20,密度!$A$2:$A$50,密度!$L$2:$L$50)</f>
        <v>23747.511306599998</v>
      </c>
      <c r="K19" s="73" ph="1">
        <f>K18*9.0746*LOOKUP(K20,密度!$A$2:$A$50,密度!$C$2:$C$50)</f>
        <v>24064.763859900006</v>
      </c>
      <c r="L19" s="73" ph="1">
        <f>L18*9.0746*LOOKUP(L20,密度!$A$2:$A$50,密度!$E$2:$E$50)</f>
        <v>35088.966350719995</v>
      </c>
      <c r="M19" s="73" ph="1">
        <f>M18*9.0746*LOOKUP(M20,密度!$A$2:$A$50,密度!$M$2:$M$50)</f>
        <v>35184.193388200001</v>
      </c>
      <c r="N19" s="73" ph="1">
        <f>N18*9.0746*LOOKUP(N20,密度!$A$2:$A$50,密度!$M$2:$M$50)</f>
        <v>5210.7442152000003</v>
      </c>
      <c r="O19" s="73" ph="1">
        <f>O18*9.0746*LOOKUP(O20,密度!$A$2:$A$50,密度!$G$2:$G$50)</f>
        <v>45986.991065839997</v>
      </c>
      <c r="P19" s="73" ph="1">
        <f ca="1">P18*9.0746*LOOKUP(P20,密度!$A$2:$A$51,密度!$Q$2:$Q$50)</f>
        <v>31057.079283084</v>
      </c>
      <c r="Q19" s="73" ph="1">
        <f>Q18*9.0746*LOOKUP(Q20,密度!$A$2:$A$50,密度!$Q$2:$Q$50)</f>
        <v>60145.418923646001</v>
      </c>
      <c r="R19" s="73" ph="1">
        <f>MAX(R18*9.0746*LOOKUP(R20,密度!$A$2:$A$50,密度!$B$2:$B$50),0)</f>
        <v>52270.512713999997</v>
      </c>
      <c r="S19" s="73" ph="1">
        <f>S18*9.0746*LOOKUP(S20,密度!$A$2:$A$50,密度!$Q$2:$Q$50)</f>
        <v>55359.499475812001</v>
      </c>
      <c r="T19" s="73" ph="1">
        <f>T18*9.0746*LOOKUP(T20,密度!$A$2:$A$50,密度!$O$2:$O$50)</f>
        <v>55564.864752000001</v>
      </c>
      <c r="U19" s="73" ph="1">
        <f>U18*9.0746*LOOKUP(U20,密度!$A$2:$A$50,密度!$H$2:$H$50)</f>
        <v>14396.694094499999</v>
      </c>
      <c r="V19" s="73" ph="1">
        <f>MAX(5600*LOOKUP(V20,密度!$A$2:$A$50,密度!$Q$2:$Q$50)+V18*9.0476*LOOKUP(V20,密度!$A$2:$A$50,密度!$Q$2:$Q$50),0)</f>
        <v>48230.328402959996</v>
      </c>
      <c r="W19" s="73" ph="1">
        <f>MAX(5600*LOOKUP(W20,密度!$A$2:$A$50,密度!$Q$2:$Q$50)+W18*9.0476*LOOKUP(W20,密度!$A$2:$A$50,密度!$Q$2:$Q$50),0)</f>
        <v>34271.733623788001</v>
      </c>
      <c r="X19" s="73" ph="1">
        <f>MAX(5600*LOOKUP(X20,密度!$A$2:$A$50,密度!$I$2:$I$50)+X18*9.0476*LOOKUP(X20,密度!$A$2:$A$50,密度!$I$2:$I$50),0)</f>
        <v>12089.17783724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70.990595800000008</v>
      </c>
      <c r="AB19" s="73" ph="1">
        <f>AB18*9.0746*LOOKUP(AB20,密度!$A$2:$A$50,密度!$L$2:$L$50)</f>
        <v>13068.149968</v>
      </c>
      <c r="AC19" s="73" ph="1">
        <f>AC18*9.0746*LOOKUP(AC20,密度!$A$2:$A$50,密度!$L$2:$L$50)</f>
        <v>179.3231706</v>
      </c>
      <c r="AD19" s="73" ph="1">
        <f>AD18*268.68*LOOKUP(AD20,密度!$A$2:$A$50,密度!B5:B53)+IF(AD18&lt;=0,0,1566*LOOKUP(AD20,密度!$A$2:$A$50,密度!B5:B53))</f>
        <v>2387.9500595999998</v>
      </c>
      <c r="AE19" s="73" ph="1">
        <f>AE18*268.68*LOOKUP(AE20,密度!$A$2:$A$50,密度!B5:B53)+IF(AE18&lt;=0,0,1566*LOOKUP(AE20,密度!$A$2:$A$50,密度!B5:B53))</f>
        <v>18525.435087599999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21</v>
      </c>
      <c r="E20" s="81">
        <v>22</v>
      </c>
      <c r="F20" s="81">
        <v>25</v>
      </c>
      <c r="G20" s="81">
        <v>22</v>
      </c>
      <c r="H20" s="81">
        <v>18</v>
      </c>
      <c r="I20" s="81">
        <v>22</v>
      </c>
      <c r="J20" s="81">
        <v>21</v>
      </c>
      <c r="K20" s="81">
        <v>21</v>
      </c>
      <c r="L20" s="81">
        <v>23</v>
      </c>
      <c r="M20" s="81">
        <v>23</v>
      </c>
      <c r="N20" s="81">
        <v>22</v>
      </c>
      <c r="O20" s="81">
        <v>22</v>
      </c>
      <c r="P20" s="81">
        <v>22</v>
      </c>
      <c r="Q20" s="81">
        <v>21</v>
      </c>
      <c r="R20" s="81">
        <v>24</v>
      </c>
      <c r="S20" s="81">
        <v>20</v>
      </c>
      <c r="T20" s="81">
        <v>22</v>
      </c>
      <c r="U20" s="81">
        <v>20</v>
      </c>
      <c r="V20" s="81">
        <v>23</v>
      </c>
      <c r="W20" s="81">
        <v>24</v>
      </c>
      <c r="X20" s="81">
        <v>25</v>
      </c>
      <c r="Y20" s="110">
        <v>25</v>
      </c>
      <c r="Z20" s="81">
        <v>24</v>
      </c>
      <c r="AA20" s="81">
        <v>22</v>
      </c>
      <c r="AB20" s="81">
        <v>22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644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66" t="s" ph="1">
        <v>177</v>
      </c>
      <c r="D24" s="71">
        <v>57.71</v>
      </c>
      <c r="E24" s="71">
        <v>5.72</v>
      </c>
      <c r="F24" s="71">
        <v>20</v>
      </c>
      <c r="G24" s="71">
        <v>3781</v>
      </c>
      <c r="H24" s="71">
        <v>2210</v>
      </c>
      <c r="I24" s="71">
        <v>202</v>
      </c>
      <c r="J24" s="71">
        <v>3801</v>
      </c>
      <c r="K24" s="71">
        <v>4914</v>
      </c>
      <c r="L24" s="71">
        <v>5554</v>
      </c>
      <c r="M24" s="71">
        <v>4881</v>
      </c>
      <c r="N24" s="71">
        <v>5603</v>
      </c>
      <c r="O24" s="71">
        <v>5727</v>
      </c>
      <c r="P24" s="71">
        <v>650</v>
      </c>
      <c r="Q24" s="90">
        <v>490</v>
      </c>
      <c r="R24" s="71">
        <v>5238</v>
      </c>
      <c r="S24" s="71">
        <v>4831</v>
      </c>
      <c r="T24" s="71">
        <v>160</v>
      </c>
      <c r="U24" s="71">
        <v>3657</v>
      </c>
      <c r="V24" s="71">
        <v>8839</v>
      </c>
      <c r="W24" s="71">
        <v>1400</v>
      </c>
      <c r="X24" s="71">
        <v>4780</v>
      </c>
      <c r="Y24" s="71">
        <v>2391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16162.293495672</v>
      </c>
      <c r="E25" s="91" ph="1">
        <f>E24*268.68*LOOKUP(E26,密度!$A$2:$A$50,密度!$C$2:$C$50)+IF(E24&lt;=0,0,1566*LOOKUP(E26,密度!$A$2:$A$50,密度!$C$2:$C$50))</f>
        <v>3440.74992144</v>
      </c>
      <c r="F25" s="91" ph="1">
        <f>F24*11.702*LOOKUP(F26,密度!$A$2:$A$50,密度!$Q$2:$Q$50)</f>
        <v>222.62586920000001</v>
      </c>
      <c r="G25" s="91" ph="1">
        <f>G24*18.322*LOOKUP(G26,密度!$A$2:$A$50,密度!$B$2:$B$50)</f>
        <v>54318.905436200002</v>
      </c>
      <c r="H25" s="91" ph="1">
        <f>H24*18.322*LOOKUP(H26,密度!$A$2:$A$50,密度!$B$2:$B$50)</f>
        <v>31713.036783999996</v>
      </c>
      <c r="I25" s="91" ph="1">
        <f>I24*18.322*LOOKUP(I26,密度!$A$2:$A$50,密度!$Q$2:$Q$50)</f>
        <v>3520.5440841199998</v>
      </c>
      <c r="J25" s="91" ph="1">
        <f>J24*18.322*LOOKUP(J26,密度!$A$2:$A$50,密度!$Q$2:$Q$50)</f>
        <v>66245.485464059995</v>
      </c>
      <c r="K25" s="91" ph="1">
        <f>K24*18.322*LOOKUP(K26,密度!$A$2:$A$50,密度!$Q$2:$Q$50)</f>
        <v>85643.334798839991</v>
      </c>
      <c r="L25" s="91" ph="1">
        <f>L24*18.322*LOOKUP(L26,密度!$A$2:$A$50,密度!$Q$2:$Q$50)</f>
        <v>96711.037547439992</v>
      </c>
      <c r="M25" s="91" ph="1">
        <f>M24*18.322*LOOKUP(M26,密度!$A$2:$A$50,密度!$Q$2:$Q$50)</f>
        <v>84930.474698580001</v>
      </c>
      <c r="N25" s="91" ph="1">
        <f>N24*18.322*LOOKUP(N26,密度!$A$2:$A$50,密度!$Q$2:$Q$50)</f>
        <v>97564.267803080002</v>
      </c>
      <c r="O25" s="91" ph="1">
        <f>O24*18.322*LOOKUP(O26,密度!$A$2:$A$50,密度!$C$2:$C$50)</f>
        <v>116808.1806408</v>
      </c>
      <c r="P25" s="91" ph="1">
        <f>P24*11.702*LOOKUP(P26,密度!$A$2:$A$50,密度!$B$2:$B$50)</f>
        <v>5970.18487</v>
      </c>
      <c r="Q25" s="92" ph="1">
        <f>Q24*18.322*LOOKUP(Q26,密度!$A$2:$A$50,密度!$B$2:$B$50)</f>
        <v>7053.8417459999982</v>
      </c>
      <c r="R25" s="91" ph="1">
        <f>R24*35.891*LOOKUP(R26,密度!$A$2:$A$50,密度!$C$2:$C$50)</f>
        <v>209409.92290619996</v>
      </c>
      <c r="S25" s="91" ph="1">
        <f>S24*35.891*LOOKUP(S26,密度!$A$2:$A$50,密度!$B$2:$B$50)</f>
        <v>136093.3565429</v>
      </c>
      <c r="T25" s="91" ph="1">
        <f>T24*35.891*LOOKUP(T26,密度!$A$2:$A$50,密度!$Q$2:$Q$50)</f>
        <v>5466.9745456000001</v>
      </c>
      <c r="U25" s="91" ph="1">
        <f>U24*35.891</f>
        <v>131253.38699999999</v>
      </c>
      <c r="V25" s="91" ph="1">
        <f>V24*47.051*LOOKUP(V26,密度!$A$2:$A$50,密度!$B$2:$B$50)</f>
        <v>326094.4789549</v>
      </c>
      <c r="W25" s="91" ph="1">
        <f>W24*47.051*LOOKUP(W26,密度!$A$2:$A$50,密度!$B$2:$B$50)</f>
        <v>51590.480480000006</v>
      </c>
      <c r="X25" s="91" ph="1">
        <f>X24*47.051*LOOKUP(X26,密度!$A$2:$A$61,密度!$I$2:$I$61)</f>
        <v>231156.10508400001</v>
      </c>
      <c r="Y25" s="91" ph="1">
        <f>Y24*47.051*LOOKUP(Y26,密度!$A$2:$A$50,密度!$L$2:$L$50)</f>
        <v>106086.501363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19</v>
      </c>
      <c r="G26" s="74">
        <v>20</v>
      </c>
      <c r="H26" s="74">
        <v>21</v>
      </c>
      <c r="I26" s="74">
        <v>19</v>
      </c>
      <c r="J26" s="74">
        <v>19</v>
      </c>
      <c r="K26" s="74">
        <v>19</v>
      </c>
      <c r="L26" s="74">
        <v>20</v>
      </c>
      <c r="M26" s="74">
        <v>21</v>
      </c>
      <c r="N26" s="74">
        <v>20</v>
      </c>
      <c r="O26" s="74">
        <v>19</v>
      </c>
      <c r="P26" s="74">
        <v>19</v>
      </c>
      <c r="Q26" s="93">
        <v>18</v>
      </c>
      <c r="R26" s="74">
        <v>18</v>
      </c>
      <c r="S26" s="74">
        <v>19</v>
      </c>
      <c r="T26" s="74">
        <v>18</v>
      </c>
      <c r="U26" s="74">
        <v>19</v>
      </c>
      <c r="V26" s="74">
        <v>20</v>
      </c>
      <c r="W26" s="74">
        <v>21</v>
      </c>
      <c r="X26" s="74">
        <v>38</v>
      </c>
      <c r="Y26" s="74">
        <v>19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66" t="s" ph="1">
        <v>180</v>
      </c>
      <c r="D27" s="71">
        <v>22.71</v>
      </c>
      <c r="E27" s="71">
        <v>65.62</v>
      </c>
      <c r="F27" s="71">
        <v>363</v>
      </c>
      <c r="G27" s="71">
        <v>3066</v>
      </c>
      <c r="H27" s="71">
        <v>1172</v>
      </c>
      <c r="I27" s="71">
        <v>199</v>
      </c>
      <c r="J27" s="71">
        <v>3145</v>
      </c>
      <c r="K27" s="71">
        <v>4915</v>
      </c>
      <c r="L27" s="71">
        <v>5551</v>
      </c>
      <c r="M27" s="71">
        <v>4881</v>
      </c>
      <c r="N27" s="71">
        <v>5602</v>
      </c>
      <c r="O27" s="71">
        <v>5725</v>
      </c>
      <c r="P27" s="71">
        <v>646</v>
      </c>
      <c r="Q27" s="90">
        <v>784</v>
      </c>
      <c r="R27" s="71">
        <v>4704</v>
      </c>
      <c r="S27" s="71">
        <v>4829</v>
      </c>
      <c r="T27" s="71">
        <v>158</v>
      </c>
      <c r="U27" s="71">
        <v>3626</v>
      </c>
      <c r="V27" s="71">
        <v>8842</v>
      </c>
      <c r="W27" s="71">
        <v>1396</v>
      </c>
      <c r="X27" s="71">
        <v>5014</v>
      </c>
      <c r="Y27" s="71">
        <v>1367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66" t="s" ph="1">
        <v>178</v>
      </c>
      <c r="D28" s="91" ph="1">
        <f>D27*268.68*LOOKUP(D29,密度!$A$2:$A$50,密度!$Q$2:$Q$50)+IF(D27&lt;=0,0,1566*LOOKUP(D29,密度!$A$2:$A$50,密度!$Q$2:$Q$50))</f>
        <v>7259.3398836720007</v>
      </c>
      <c r="E28" s="91" ph="1">
        <f>E27*268.68*LOOKUP(E29,密度!$A$2:$A$50,密度!$C$2:$C$50)+IF(E27&lt;=0,0,1566*LOOKUP(E29,密度!$A$2:$A$50,密度!$C$2:$C$50))</f>
        <v>21287.311116240002</v>
      </c>
      <c r="F28" s="91" ph="1">
        <f>F27*11.702*LOOKUP(F29,密度!$A$2:$A$50,密度!$Q$2:$Q$50)</f>
        <v>4034.1178739400002</v>
      </c>
      <c r="G28" s="91" ph="1">
        <f>G27*18.322*LOOKUP(G29,密度!$A$2:$A$50,密度!$B$2:$B$50)</f>
        <v>43996.457366399998</v>
      </c>
      <c r="H28" s="91" ph="1">
        <f>H27*18.322*LOOKUP(H29,密度!$A$2:$A$50,密度!$B$2:$B$50)</f>
        <v>16817.954348799998</v>
      </c>
      <c r="I28" s="91" ph="1">
        <f>I27*18.322*LOOKUP(I29,密度!$A$2:$A$50,密度!$Q$2:$Q$50)</f>
        <v>3465.1596096399999</v>
      </c>
      <c r="J28" s="91" ph="1">
        <f>J27*18.322*LOOKUP(J29,密度!$A$2:$A$50,密度!$Q$2:$Q$50)</f>
        <v>54637.834658</v>
      </c>
      <c r="K28" s="91" ph="1">
        <f>K27*18.322*LOOKUP(K29,密度!$A$2:$A$50,密度!$Q$2:$Q$50)</f>
        <v>85468.050606699995</v>
      </c>
      <c r="L28" s="91" ph="1">
        <f>L27*18.322*LOOKUP(L29,密度!$A$2:$A$50,密度!$Q$2:$Q$50)</f>
        <v>96588.62221917999</v>
      </c>
      <c r="M28" s="91" ph="1">
        <f>M27*18.322*LOOKUP(M29,密度!$A$2:$A$50,密度!$Q$2:$Q$50)</f>
        <v>84930.474698580001</v>
      </c>
      <c r="N28" s="91" ph="1">
        <f>N27*18.322*LOOKUP(N29,密度!$A$2:$A$50,密度!$Q$2:$Q$50)</f>
        <v>97546.854940720004</v>
      </c>
      <c r="O28" s="91" ph="1">
        <f>O27*18.322*LOOKUP(O29,密度!$A$2:$A$50,密度!$C$2:$C$50)</f>
        <v>116631.02705500001</v>
      </c>
      <c r="P28" s="91" ph="1">
        <f>P27*11.702*LOOKUP(P29,密度!$A$2:$A$50,密度!$B$2:$B$50)</f>
        <v>5913.7905916</v>
      </c>
      <c r="Q28" s="92" ph="1">
        <f>Q27*18.322*LOOKUP(Q29,密度!$A$2:$A$50,密度!$B$2:$B$50)</f>
        <v>11274.6552352</v>
      </c>
      <c r="R28" s="91" ph="1">
        <f>R27*35.891*LOOKUP(R29,密度!$A$2:$A$50,密度!$C$2:$C$50)</f>
        <v>187841.6643264</v>
      </c>
      <c r="S28" s="91" ph="1">
        <f>S27*35.891*LOOKUP(S29,密度!$A$2:$A$50,密度!$B$2:$B$50)</f>
        <v>135586.3889897</v>
      </c>
      <c r="T28" s="91" ph="1">
        <f>T27*35.891*LOOKUP(T29,密度!$A$2:$A$50,密度!$Q$2:$Q$50)</f>
        <v>5377.0316995999992</v>
      </c>
      <c r="U28" s="91" ph="1">
        <f>U27*35.891</f>
        <v>130140.76599999999</v>
      </c>
      <c r="V28" s="91" ph="1">
        <f>V27*47.051*LOOKUP(V29,密度!$A$2:$A$50,密度!$B$2:$B$50)</f>
        <v>326205.15702220006</v>
      </c>
      <c r="W28" s="91" ph="1">
        <f>W27*47.051*LOOKUP(W29,密度!$A$2:$A$50,密度!$B$2:$B$50)</f>
        <v>51443.079107199999</v>
      </c>
      <c r="X28" s="91" ph="1">
        <f>X27*47.051*LOOKUP(X29,密度!$A$2:$A$61,密度!$I$2:$I$61)</f>
        <v>242189.01879239999</v>
      </c>
      <c r="Y28" s="91" ph="1">
        <f>Y27*47.051*LOOKUP(Y29,密度!$A$2:$A$50,密度!$L$2:$L$50)</f>
        <v>60588.231414000002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66" t="s" ph="1">
        <v>179</v>
      </c>
      <c r="D29" s="74">
        <v>25</v>
      </c>
      <c r="E29" s="74">
        <v>25</v>
      </c>
      <c r="F29" s="74">
        <v>21</v>
      </c>
      <c r="G29" s="74">
        <v>21</v>
      </c>
      <c r="H29" s="74">
        <v>21</v>
      </c>
      <c r="I29" s="74">
        <v>20</v>
      </c>
      <c r="J29" s="74">
        <v>23</v>
      </c>
      <c r="K29" s="74">
        <v>22</v>
      </c>
      <c r="L29" s="74">
        <v>21</v>
      </c>
      <c r="M29" s="74">
        <v>21</v>
      </c>
      <c r="N29" s="74">
        <v>20</v>
      </c>
      <c r="O29" s="74">
        <v>21</v>
      </c>
      <c r="P29" s="74">
        <v>22</v>
      </c>
      <c r="Q29" s="93">
        <v>19</v>
      </c>
      <c r="R29" s="74">
        <v>20</v>
      </c>
      <c r="S29" s="74">
        <v>22</v>
      </c>
      <c r="T29" s="74">
        <v>23</v>
      </c>
      <c r="U29" s="74">
        <v>22</v>
      </c>
      <c r="V29" s="74">
        <v>20</v>
      </c>
      <c r="W29" s="74">
        <v>21</v>
      </c>
      <c r="X29" s="74">
        <v>39</v>
      </c>
      <c r="Y29" s="74">
        <v>20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109040.01771240002</v>
      </c>
      <c r="E33" s="196" ph="1">
        <f>M10+I10</f>
        <v>95582.000887599992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22" ph="1">
        <v>0</v>
      </c>
      <c r="H33" s="196" ph="1">
        <f>N19</f>
        <v>5210.7442152000003</v>
      </c>
      <c r="I33" s="200" ph="1">
        <v>0</v>
      </c>
      <c r="J33" s="204" ph="1">
        <f>F10+O28</f>
        <v>206967.48385779999</v>
      </c>
      <c r="K33" s="196" ph="1">
        <f>O10+K10+E28+R28</f>
        <v>286440.57065944001</v>
      </c>
      <c r="L33" s="206" ph="1">
        <f>BE27</f>
        <v>7100</v>
      </c>
      <c r="M33" s="204" ph="1">
        <f>G10+H10+W28+S28+V28+E10</f>
        <v>903632.07326010009</v>
      </c>
      <c r="N33" s="196" ph="1">
        <f>L10+P10++G28+H28</f>
        <v>99301.941219200002</v>
      </c>
      <c r="O33" s="200" ph="1">
        <f>BE17</f>
        <v>2270</v>
      </c>
      <c r="P33" s="204" ph="1">
        <f>L19</f>
        <v>35088.966350719995</v>
      </c>
      <c r="Q33" s="196" ph="1">
        <f>J10+N10</f>
        <v>128892.15724639999</v>
      </c>
      <c r="R33" s="200" ph="1">
        <f>BE23</f>
        <v>890</v>
      </c>
      <c r="S33" s="204" ph="1">
        <f>E10+X28</f>
        <v>316210.37972840003</v>
      </c>
      <c r="T33" s="196" ph="1">
        <f>X19</f>
        <v>12089.17783724</v>
      </c>
      <c r="U33" s="185" ph="1">
        <f>BE21</f>
        <v>730</v>
      </c>
      <c r="V33" s="198" ph="1">
        <f ca="1">P19+Q19+S19+M28+N28+J28</f>
        <v>383677.161979842</v>
      </c>
      <c r="W33" s="198" ph="1">
        <f>D28+F28+V19+T28</f>
        <v>64900.817860171992</v>
      </c>
      <c r="X33" s="200" ph="1">
        <f>BE29+BE31</f>
        <v>10200</v>
      </c>
      <c r="Y33" s="202" ph="1">
        <f>+Q10+R10+S10+T10+U10+V10+W10+X10+Y10</f>
        <v>299464.9994952</v>
      </c>
      <c r="Z33" s="183" ph="1">
        <f>D10+T19+U19+Y28+Z10</f>
        <v>476679.74262845999</v>
      </c>
      <c r="AA33" s="185" ph="1">
        <f>BE19</f>
        <v>1440</v>
      </c>
      <c r="AB33" s="187" ph="1">
        <f>I19</f>
        <v>34376.218227999998</v>
      </c>
      <c r="AC33" s="189" ph="1">
        <f>AD10</f>
        <v>93818.123072000002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68" t="s" ph="1">
        <v>185</v>
      </c>
      <c r="AA36" s="168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342</v>
      </c>
      <c r="AI37" s="168" t="s" ph="1">
        <v>209</v>
      </c>
      <c r="AJ37" s="168" t="s" ph="1">
        <v>210</v>
      </c>
      <c r="AK37" s="168" t="s" ph="1">
        <v>211</v>
      </c>
      <c r="AM37" s="168" t="s" ph="1">
        <v>210</v>
      </c>
      <c r="AN37" s="168" t="s" ph="1">
        <v>211</v>
      </c>
      <c r="AO37" s="168" t="s" ph="1">
        <v>212</v>
      </c>
      <c r="AP37" s="168" t="s" ph="1">
        <v>210</v>
      </c>
      <c r="AQ37" s="168" t="s" ph="1">
        <v>211</v>
      </c>
      <c r="AR37" s="168" t="s" ph="1">
        <v>212</v>
      </c>
      <c r="AS37" s="168" t="s" ph="1">
        <v>210</v>
      </c>
      <c r="AT37" s="168" t="s" ph="1">
        <v>211</v>
      </c>
      <c r="AU37" s="168" t="s" ph="1">
        <v>212</v>
      </c>
      <c r="AV37" s="168" t="s" ph="1">
        <v>210</v>
      </c>
      <c r="AW37" s="168" t="s" ph="1">
        <v>211</v>
      </c>
      <c r="AX37" s="168" t="s" ph="1">
        <v>212</v>
      </c>
      <c r="AY37" s="168" t="s" ph="1">
        <v>211</v>
      </c>
      <c r="AZ37" s="168" t="s" ph="1">
        <v>213</v>
      </c>
      <c r="BD37" s="168" t="s" ph="1">
        <v>305</v>
      </c>
      <c r="BE37" s="16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72" priority="98">
      <formula>ABS(D$7-D$10)&gt;=1000</formula>
    </cfRule>
  </conditionalFormatting>
  <conditionalFormatting sqref="E4 E6:E11">
    <cfRule type="expression" dxfId="771" priority="97">
      <formula>ABS(E$7-E$10)&gt;=1000</formula>
    </cfRule>
  </conditionalFormatting>
  <conditionalFormatting sqref="F4:F11">
    <cfRule type="expression" dxfId="770" priority="96">
      <formula>ABS(F$7-F$10)&gt;=1000</formula>
    </cfRule>
  </conditionalFormatting>
  <conditionalFormatting sqref="G4:G11">
    <cfRule type="expression" dxfId="769" priority="95">
      <formula>ABS(G$7-G$10)&gt;=1000</formula>
    </cfRule>
  </conditionalFormatting>
  <conditionalFormatting sqref="H4:H11">
    <cfRule type="expression" dxfId="768" priority="94">
      <formula>ABS(H$7-H$10)&gt;=1000</formula>
    </cfRule>
  </conditionalFormatting>
  <conditionalFormatting sqref="I4:I11">
    <cfRule type="expression" dxfId="767" priority="93">
      <formula>ABS(I$7-I$10)&gt;=1000</formula>
    </cfRule>
  </conditionalFormatting>
  <conditionalFormatting sqref="J4:J11">
    <cfRule type="expression" dxfId="766" priority="92">
      <formula>ABS(J$7-J$10)&gt;=1000</formula>
    </cfRule>
  </conditionalFormatting>
  <conditionalFormatting sqref="K4:K11">
    <cfRule type="expression" dxfId="765" priority="91">
      <formula>ABS(K$7-K$10)&gt;=1000</formula>
    </cfRule>
  </conditionalFormatting>
  <conditionalFormatting sqref="L4:L11">
    <cfRule type="expression" dxfId="764" priority="90">
      <formula>ABS(L$7-L$10)&gt;=1000</formula>
    </cfRule>
  </conditionalFormatting>
  <conditionalFormatting sqref="M4 M6:M11">
    <cfRule type="expression" dxfId="763" priority="89">
      <formula>ABS(M$7-M$10)&gt;=1000</formula>
    </cfRule>
  </conditionalFormatting>
  <conditionalFormatting sqref="N4 N6:N11">
    <cfRule type="expression" dxfId="762" priority="88">
      <formula>ABS(N$7-N$10)&gt;=1000</formula>
    </cfRule>
  </conditionalFormatting>
  <conditionalFormatting sqref="O4 O6:O11">
    <cfRule type="expression" dxfId="761" priority="87">
      <formula>ABS(O$7-O$10)&gt;=1000</formula>
    </cfRule>
  </conditionalFormatting>
  <conditionalFormatting sqref="P4 P6:P11">
    <cfRule type="expression" dxfId="760" priority="86">
      <formula>ABS(P$7-P$10)&gt;=1000</formula>
    </cfRule>
  </conditionalFormatting>
  <conditionalFormatting sqref="Q4:Q11">
    <cfRule type="expression" dxfId="759" priority="85">
      <formula>ABS(Q$7-Q$10)&gt;=1000</formula>
    </cfRule>
  </conditionalFormatting>
  <conditionalFormatting sqref="R4:R11">
    <cfRule type="expression" dxfId="758" priority="84">
      <formula>ABS(R$7-R$10)&gt;=1000</formula>
    </cfRule>
  </conditionalFormatting>
  <conditionalFormatting sqref="S4:S11">
    <cfRule type="expression" dxfId="757" priority="83">
      <formula>ABS(S$7-S$10)&gt;=1000</formula>
    </cfRule>
  </conditionalFormatting>
  <conditionalFormatting sqref="T4:T9 T11">
    <cfRule type="expression" dxfId="756" priority="82">
      <formula>ABS(T$7-T$10)&gt;=1000</formula>
    </cfRule>
  </conditionalFormatting>
  <conditionalFormatting sqref="U4:U9 U11">
    <cfRule type="expression" dxfId="755" priority="81">
      <formula>ABS(U$7-U$10)&gt;=1000</formula>
    </cfRule>
  </conditionalFormatting>
  <conditionalFormatting sqref="V4:V9 V11">
    <cfRule type="expression" dxfId="754" priority="80">
      <formula>ABS(V$7-V$10)&gt;=1000</formula>
    </cfRule>
  </conditionalFormatting>
  <conditionalFormatting sqref="W4:W9 W11">
    <cfRule type="expression" dxfId="753" priority="79">
      <formula>ABS(W$7-W$10)&gt;=1000</formula>
    </cfRule>
  </conditionalFormatting>
  <conditionalFormatting sqref="X4:X9 X11">
    <cfRule type="expression" dxfId="752" priority="78">
      <formula>ABS(X$7-X$10)&gt;=1000</formula>
    </cfRule>
  </conditionalFormatting>
  <conditionalFormatting sqref="Y4:Y9 Y11">
    <cfRule type="expression" dxfId="751" priority="77">
      <formula>ABS(Y$7-Y$10)&gt;=1000</formula>
    </cfRule>
  </conditionalFormatting>
  <conditionalFormatting sqref="Z4:Z11">
    <cfRule type="expression" dxfId="750" priority="76">
      <formula>ABS(Z$7-Z$10)&gt;=1000</formula>
    </cfRule>
  </conditionalFormatting>
  <conditionalFormatting sqref="AA4:AA11">
    <cfRule type="expression" dxfId="749" priority="75">
      <formula>ABS(AA$7-AA$10)&gt;=1000</formula>
    </cfRule>
  </conditionalFormatting>
  <conditionalFormatting sqref="AB4:AB11">
    <cfRule type="expression" dxfId="748" priority="74">
      <formula>ABS(AB$7-AB$10)&gt;=1000</formula>
    </cfRule>
  </conditionalFormatting>
  <conditionalFormatting sqref="AC4 AC6:AC11">
    <cfRule type="expression" dxfId="747" priority="73">
      <formula>ABS(AC$7-AC$10)&gt;=1000</formula>
    </cfRule>
  </conditionalFormatting>
  <conditionalFormatting sqref="AD4:AD11">
    <cfRule type="expression" dxfId="746" priority="72">
      <formula>ABS(AD$7-AD$10)&gt;=1000</formula>
    </cfRule>
  </conditionalFormatting>
  <conditionalFormatting sqref="AE4 AE6:AE11">
    <cfRule type="expression" dxfId="745" priority="71">
      <formula>ABS(AE$7-AE$10)&gt;=1000</formula>
    </cfRule>
  </conditionalFormatting>
  <conditionalFormatting sqref="D13:D20">
    <cfRule type="expression" dxfId="744" priority="70">
      <formula>ABS(D$16-D$19)&gt;=1000</formula>
    </cfRule>
  </conditionalFormatting>
  <conditionalFormatting sqref="E13:E20">
    <cfRule type="expression" dxfId="743" priority="69">
      <formula>ABS(E$16-E$19)&gt;=1000</formula>
    </cfRule>
  </conditionalFormatting>
  <conditionalFormatting sqref="F13 F15:F20">
    <cfRule type="expression" dxfId="742" priority="68">
      <formula>ABS(F$16-F$19)&gt;=1000</formula>
    </cfRule>
  </conditionalFormatting>
  <conditionalFormatting sqref="G13:G20">
    <cfRule type="expression" dxfId="741" priority="67">
      <formula>ABS(G$16-G$19)&gt;=1000</formula>
    </cfRule>
  </conditionalFormatting>
  <conditionalFormatting sqref="H13:H20">
    <cfRule type="expression" dxfId="740" priority="66">
      <formula>ABS(H$16-H$19)&gt;=1000</formula>
    </cfRule>
  </conditionalFormatting>
  <conditionalFormatting sqref="I13:I20">
    <cfRule type="expression" dxfId="739" priority="65">
      <formula>ABS(I$16-I$19)&gt;=1000</formula>
    </cfRule>
  </conditionalFormatting>
  <conditionalFormatting sqref="J13:J20">
    <cfRule type="expression" dxfId="738" priority="64">
      <formula>ABS(J$16-J$19)&gt;=1000</formula>
    </cfRule>
  </conditionalFormatting>
  <conditionalFormatting sqref="L13:L20">
    <cfRule type="expression" dxfId="737" priority="63">
      <formula>ABS(L$16-L$19)&gt;=1000</formula>
    </cfRule>
  </conditionalFormatting>
  <conditionalFormatting sqref="M13 M15 M17:M18 M20">
    <cfRule type="expression" dxfId="736" priority="62">
      <formula>ABS(M$16-M$19)&gt;=1000</formula>
    </cfRule>
  </conditionalFormatting>
  <conditionalFormatting sqref="N13:N20">
    <cfRule type="expression" dxfId="735" priority="61">
      <formula>ABS(N$16-N$19)&gt;=1000</formula>
    </cfRule>
  </conditionalFormatting>
  <conditionalFormatting sqref="O13:O20">
    <cfRule type="expression" dxfId="734" priority="60">
      <formula>ABS(O$16-O$19)&gt;=1000</formula>
    </cfRule>
  </conditionalFormatting>
  <conditionalFormatting sqref="P13:P20">
    <cfRule type="expression" dxfId="733" priority="59">
      <formula>ABS(P$16-P$19)&gt;=1000</formula>
    </cfRule>
  </conditionalFormatting>
  <conditionalFormatting sqref="Q13 Q15:Q20">
    <cfRule type="expression" dxfId="732" priority="58">
      <formula>ABS(Q$16-Q$19)&gt;=1000</formula>
    </cfRule>
  </conditionalFormatting>
  <conditionalFormatting sqref="R13:R20">
    <cfRule type="expression" dxfId="731" priority="57">
      <formula>ABS(R$16-R$19)&gt;=1000</formula>
    </cfRule>
  </conditionalFormatting>
  <conditionalFormatting sqref="S13:S20">
    <cfRule type="expression" dxfId="730" priority="56">
      <formula>ABS(S$16-S$19)&gt;=1000</formula>
    </cfRule>
  </conditionalFormatting>
  <conditionalFormatting sqref="T13:T20">
    <cfRule type="expression" dxfId="729" priority="55">
      <formula>ABS(T$16-T$19)&gt;=1000</formula>
    </cfRule>
  </conditionalFormatting>
  <conditionalFormatting sqref="U13:U20">
    <cfRule type="expression" dxfId="728" priority="54">
      <formula>ABS(U$16-U$19)&gt;=1000</formula>
    </cfRule>
  </conditionalFormatting>
  <conditionalFormatting sqref="V13:V20">
    <cfRule type="expression" dxfId="727" priority="53">
      <formula>ABS(V$16-V$19)&gt;=1000</formula>
    </cfRule>
  </conditionalFormatting>
  <conditionalFormatting sqref="W13 W20 W15:W18">
    <cfRule type="expression" dxfId="726" priority="52">
      <formula>ABS(W$16-W$19)&gt;=1000</formula>
    </cfRule>
  </conditionalFormatting>
  <conditionalFormatting sqref="X13 X15:X20 Y19">
    <cfRule type="expression" dxfId="725" priority="51">
      <formula>ABS(X$16-X$19)&gt;=1000</formula>
    </cfRule>
  </conditionalFormatting>
  <conditionalFormatting sqref="Y13 Y15:Y18 Y20">
    <cfRule type="expression" dxfId="724" priority="50">
      <formula>ABS(Y$16-Y$19)&gt;=1000</formula>
    </cfRule>
  </conditionalFormatting>
  <conditionalFormatting sqref="Z13:Z20">
    <cfRule type="expression" dxfId="723" priority="49">
      <formula>ABS(Z$16-Z$19)&gt;=1000</formula>
    </cfRule>
  </conditionalFormatting>
  <conditionalFormatting sqref="AA13:AA20">
    <cfRule type="expression" dxfId="722" priority="48">
      <formula>ABS(AA$16-AA$19)&gt;=1000</formula>
    </cfRule>
  </conditionalFormatting>
  <conditionalFormatting sqref="AB13 AB15:AB20">
    <cfRule type="expression" dxfId="721" priority="47">
      <formula>ABS(AB$16-AB$19)&gt;=1000</formula>
    </cfRule>
  </conditionalFormatting>
  <conditionalFormatting sqref="AC13 AC15:AC20">
    <cfRule type="expression" dxfId="720" priority="46">
      <formula>ABS(AC$16-AC$19)&gt;=1000</formula>
    </cfRule>
  </conditionalFormatting>
  <conditionalFormatting sqref="AD13:AD20">
    <cfRule type="expression" dxfId="719" priority="45">
      <formula>ABS(AD$16-AD$19)&gt;=1000</formula>
    </cfRule>
  </conditionalFormatting>
  <conditionalFormatting sqref="AE13:AE20">
    <cfRule type="expression" dxfId="718" priority="44">
      <formula>ABS(AE$16-AE$19)&gt;=1000</formula>
    </cfRule>
  </conditionalFormatting>
  <conditionalFormatting sqref="D22:D29">
    <cfRule type="expression" dxfId="717" priority="43">
      <formula>ABS(D$25-D$28)&gt;=1000</formula>
    </cfRule>
  </conditionalFormatting>
  <conditionalFormatting sqref="E22:E29">
    <cfRule type="expression" dxfId="716" priority="42">
      <formula>ABS(E$25-E$28)&gt;=1000</formula>
    </cfRule>
  </conditionalFormatting>
  <conditionalFormatting sqref="F22:F29">
    <cfRule type="expression" dxfId="715" priority="41">
      <formula>ABS(F$25-F$28)&gt;=1000</formula>
    </cfRule>
  </conditionalFormatting>
  <conditionalFormatting sqref="G22:G29">
    <cfRule type="expression" dxfId="714" priority="40">
      <formula>ABS(G$25-G$28)&gt;=1000</formula>
    </cfRule>
  </conditionalFormatting>
  <conditionalFormatting sqref="H22:H29">
    <cfRule type="expression" dxfId="713" priority="39">
      <formula>ABS(H$25-H$28)&gt;=1000</formula>
    </cfRule>
  </conditionalFormatting>
  <conditionalFormatting sqref="I22 I24:I29">
    <cfRule type="expression" dxfId="712" priority="38">
      <formula>ABS(I$25-I$28)&gt;=1000</formula>
    </cfRule>
  </conditionalFormatting>
  <conditionalFormatting sqref="J22:J29 K22">
    <cfRule type="expression" dxfId="711" priority="37">
      <formula>ABS(J$25-J$28)&gt;=1000</formula>
    </cfRule>
  </conditionalFormatting>
  <conditionalFormatting sqref="K23:K29 L25 L28">
    <cfRule type="expression" dxfId="710" priority="36">
      <formula>ABS(K$25-K$28)&gt;=1000</formula>
    </cfRule>
  </conditionalFormatting>
  <conditionalFormatting sqref="L22 L26:L27 L29 L24">
    <cfRule type="expression" dxfId="709" priority="35">
      <formula>ABS(L$25-L$28)&gt;=1000</formula>
    </cfRule>
  </conditionalFormatting>
  <conditionalFormatting sqref="M22:M29">
    <cfRule type="expression" dxfId="708" priority="34">
      <formula>ABS(M$25-M$28)&gt;=1000</formula>
    </cfRule>
  </conditionalFormatting>
  <conditionalFormatting sqref="N22:N29">
    <cfRule type="expression" dxfId="707" priority="33">
      <formula>ABS(N$25-N$28)&gt;=1000</formula>
    </cfRule>
  </conditionalFormatting>
  <conditionalFormatting sqref="O22:O29">
    <cfRule type="expression" dxfId="706" priority="32">
      <formula>ABS(O$25-O$28)&gt;=1000</formula>
    </cfRule>
  </conditionalFormatting>
  <conditionalFormatting sqref="P22:P29">
    <cfRule type="expression" dxfId="705" priority="31">
      <formula>ABS(P$25-P$28)&gt;=1000</formula>
    </cfRule>
  </conditionalFormatting>
  <conditionalFormatting sqref="Q22:Q29">
    <cfRule type="expression" dxfId="704" priority="30">
      <formula>ABS(Q$25-Q$28)&gt;=1000</formula>
    </cfRule>
  </conditionalFormatting>
  <conditionalFormatting sqref="R22:R29">
    <cfRule type="expression" dxfId="703" priority="29">
      <formula>ABS(R$25-R$28)&gt;=1000</formula>
    </cfRule>
  </conditionalFormatting>
  <conditionalFormatting sqref="S22:S29">
    <cfRule type="expression" dxfId="702" priority="28">
      <formula>ABS(S$25-S$28)&gt;=1000</formula>
    </cfRule>
  </conditionalFormatting>
  <conditionalFormatting sqref="T22:T29">
    <cfRule type="expression" dxfId="701" priority="27">
      <formula>ABS(T$25-T$28)&gt;=1000</formula>
    </cfRule>
  </conditionalFormatting>
  <conditionalFormatting sqref="U22:U29">
    <cfRule type="expression" dxfId="700" priority="26">
      <formula>ABS(U$25-U$28)&gt;=1000</formula>
    </cfRule>
  </conditionalFormatting>
  <conditionalFormatting sqref="V22:V29">
    <cfRule type="expression" dxfId="699" priority="25">
      <formula>ABS(V$25-V$28)&gt;=1000</formula>
    </cfRule>
  </conditionalFormatting>
  <conditionalFormatting sqref="W22:W29">
    <cfRule type="expression" dxfId="698" priority="24">
      <formula>ABS(W$25-W$28)&gt;=1000</formula>
    </cfRule>
  </conditionalFormatting>
  <conditionalFormatting sqref="X22:X29">
    <cfRule type="expression" dxfId="697" priority="23">
      <formula>ABS(X$25-X$28)&gt;=1000</formula>
    </cfRule>
  </conditionalFormatting>
  <conditionalFormatting sqref="Y22:Y29">
    <cfRule type="expression" dxfId="696" priority="22">
      <formula>ABS(Y$25-Y$28)&gt;=1000</formula>
    </cfRule>
  </conditionalFormatting>
  <conditionalFormatting sqref="I23">
    <cfRule type="expression" dxfId="695" priority="21">
      <formula>ABS(I$25-I$28)&gt;=1000</formula>
    </cfRule>
  </conditionalFormatting>
  <conditionalFormatting sqref="Q14">
    <cfRule type="expression" dxfId="694" priority="20">
      <formula>ABS(Q$16-Q$19)&gt;=1000</formula>
    </cfRule>
  </conditionalFormatting>
  <conditionalFormatting sqref="W14">
    <cfRule type="expression" dxfId="693" priority="19">
      <formula>ABS(W$16-W$19)&gt;=1000</formula>
    </cfRule>
  </conditionalFormatting>
  <conditionalFormatting sqref="Y14">
    <cfRule type="expression" dxfId="692" priority="18">
      <formula>ABS(Y$16-Y$19)&gt;=1000</formula>
    </cfRule>
  </conditionalFormatting>
  <conditionalFormatting sqref="X14">
    <cfRule type="expression" dxfId="691" priority="17">
      <formula>ABS(X$16-X$19)&gt;=1000</formula>
    </cfRule>
  </conditionalFormatting>
  <conditionalFormatting sqref="T10:Y10">
    <cfRule type="expression" dxfId="690" priority="16">
      <formula>ABS(T$7-T$10)&gt;=1000</formula>
    </cfRule>
  </conditionalFormatting>
  <conditionalFormatting sqref="W19">
    <cfRule type="expression" dxfId="689" priority="15">
      <formula>ABS(W$16-W$19)&gt;=1000</formula>
    </cfRule>
  </conditionalFormatting>
  <conditionalFormatting sqref="AC5">
    <cfRule type="expression" dxfId="688" priority="14">
      <formula>ABS(AC$7-AC$10)&gt;=1000</formula>
    </cfRule>
  </conditionalFormatting>
  <conditionalFormatting sqref="M14">
    <cfRule type="expression" dxfId="687" priority="13">
      <formula>ABS(M$16-M$19)&gt;=1000</formula>
    </cfRule>
  </conditionalFormatting>
  <conditionalFormatting sqref="M16">
    <cfRule type="expression" dxfId="686" priority="12">
      <formula>ABS(M$16-M$19)&gt;=1000</formula>
    </cfRule>
  </conditionalFormatting>
  <conditionalFormatting sqref="M19">
    <cfRule type="expression" dxfId="685" priority="11">
      <formula>ABS(M$16-M$19)&gt;=1000</formula>
    </cfRule>
  </conditionalFormatting>
  <conditionalFormatting sqref="K13:K20">
    <cfRule type="expression" dxfId="684" priority="10">
      <formula>ABS(K$16-K$19)&gt;=1000</formula>
    </cfRule>
  </conditionalFormatting>
  <conditionalFormatting sqref="E5">
    <cfRule type="expression" dxfId="683" priority="9">
      <formula>ABS(E$7-E$10)&gt;=1000</formula>
    </cfRule>
  </conditionalFormatting>
  <conditionalFormatting sqref="AB14:AC14">
    <cfRule type="expression" dxfId="682" priority="8">
      <formula>ABS(AB$16-AB$19)&gt;=1000</formula>
    </cfRule>
  </conditionalFormatting>
  <conditionalFormatting sqref="M5">
    <cfRule type="expression" dxfId="681" priority="7">
      <formula>ABS(M$7-M$10)&gt;=1000</formula>
    </cfRule>
  </conditionalFormatting>
  <conditionalFormatting sqref="N5">
    <cfRule type="expression" dxfId="680" priority="6">
      <formula>ABS(N$7-N$10)&gt;=1000</formula>
    </cfRule>
  </conditionalFormatting>
  <conditionalFormatting sqref="O5">
    <cfRule type="expression" dxfId="679" priority="5">
      <formula>ABS(O$7-O$10)&gt;=1000</formula>
    </cfRule>
  </conditionalFormatting>
  <conditionalFormatting sqref="P5">
    <cfRule type="expression" dxfId="678" priority="4">
      <formula>ABS(P$7-P$10)&gt;=1000</formula>
    </cfRule>
  </conditionalFormatting>
  <conditionalFormatting sqref="L23">
    <cfRule type="expression" dxfId="677" priority="3">
      <formula>ABS(L$25-L$28)&gt;=1000</formula>
    </cfRule>
  </conditionalFormatting>
  <conditionalFormatting sqref="F14">
    <cfRule type="expression" dxfId="676" priority="2">
      <formula>ABS(F$16-F$19)&gt;=1000</formula>
    </cfRule>
  </conditionalFormatting>
  <conditionalFormatting sqref="AE5">
    <cfRule type="expression" dxfId="675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05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92">
    <pageSetUpPr fitToPage="1"/>
  </sheetPr>
  <dimension ref="A1:CU223"/>
  <sheetViews>
    <sheetView view="pageBreakPreview" zoomScale="70" zoomScaleNormal="100" zoomScaleSheetLayoutView="70" workbookViewId="0">
      <selection activeCell="H14" sqref="H1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46015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66" t="s" ph="1">
        <v>177</v>
      </c>
      <c r="D6" s="71">
        <v>6666</v>
      </c>
      <c r="E6" s="71">
        <v>1832</v>
      </c>
      <c r="F6" s="71">
        <v>2445</v>
      </c>
      <c r="G6" s="71">
        <v>6635</v>
      </c>
      <c r="H6" s="71">
        <v>642</v>
      </c>
      <c r="I6" s="71">
        <v>14.11</v>
      </c>
      <c r="J6" s="71">
        <v>58.21</v>
      </c>
      <c r="K6" s="71">
        <v>7.52</v>
      </c>
      <c r="L6" s="71">
        <v>7.71</v>
      </c>
      <c r="M6" s="71">
        <v>2673</v>
      </c>
      <c r="N6" s="71">
        <v>5080</v>
      </c>
      <c r="O6" s="71">
        <v>3305</v>
      </c>
      <c r="P6" s="71">
        <v>705</v>
      </c>
      <c r="Q6" s="71">
        <v>7253</v>
      </c>
      <c r="R6" s="71">
        <v>7277</v>
      </c>
      <c r="S6" s="71">
        <v>4533</v>
      </c>
      <c r="T6" s="71">
        <v>7126</v>
      </c>
      <c r="U6" s="71">
        <v>0</v>
      </c>
      <c r="V6" s="71">
        <v>0</v>
      </c>
      <c r="W6" s="71">
        <v>0</v>
      </c>
      <c r="X6" s="71">
        <v>4649</v>
      </c>
      <c r="Y6" s="71">
        <v>5989</v>
      </c>
      <c r="Z6" s="71">
        <v>4344</v>
      </c>
      <c r="AA6" s="71">
        <v>2982</v>
      </c>
      <c r="AB6" s="71">
        <v>332</v>
      </c>
      <c r="AC6" s="71">
        <v>8786</v>
      </c>
      <c r="AD6" s="71">
        <v>4780</v>
      </c>
      <c r="AE6" s="71">
        <v>4010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210069.41275782001</v>
      </c>
      <c r="E7" s="73" ph="1">
        <f>E6*51.53*LOOKUP(E8,密度!$A$2:$A$50,密度!$B$2:$B$50)</f>
        <v>74096.883304000003</v>
      </c>
      <c r="F7" s="73" ph="1">
        <f>F6*33.183*LOOKUP(F8,密度!$A$2:$A$50,密度!$C$2:$C$50)</f>
        <v>90373.419346499984</v>
      </c>
      <c r="G7" s="73" ph="1">
        <f xml:space="preserve"> (G6+2)*51.53*LOOKUP(G8,密度!$A$2:$A$50,密度!$B$2:$B$50)</f>
        <v>268439.418389</v>
      </c>
      <c r="H7" s="73" ph="1">
        <f>(H6)*51.53*LOOKUP(H8,密度!$A$2:$A$50,密度!$B$2:$B$50)</f>
        <v>26015.889264000001</v>
      </c>
      <c r="I7" s="73" ph="1">
        <f>I6*290.8*1.0267</f>
        <v>4212.7431195999998</v>
      </c>
      <c r="J7" s="73" ph="1">
        <f>J6*290.8*0.7892</f>
        <v>13359.157745600001</v>
      </c>
      <c r="K7" s="73" ph="1">
        <f>K6*290.8*1.1126</f>
        <v>2433.0514816</v>
      </c>
      <c r="L7" s="73" ph="1">
        <f>L6*290.8*0.777</f>
        <v>1742.0868360000002</v>
      </c>
      <c r="M7" s="73" ph="1">
        <f>M6*33.183*LOOKUP(M8,密度!$A$2:$A$50,密度!$D$2:$D$50)</f>
        <v>91483.281192600014</v>
      </c>
      <c r="N7" s="73" ph="1">
        <f>N6*33.183*LOOKUP(N8,密度!$A$2:$A$50,密度!$E$2:$E$50)</f>
        <v>132630.592752</v>
      </c>
      <c r="O7" s="73" ph="1">
        <f>O6*20.428*LOOKUP(O8,密度!$A$2:$A$50,密度!$C$2:$C$50)</f>
        <v>74914.13358400001</v>
      </c>
      <c r="P7" s="73" ph="1">
        <f>P6*51.53*LOOKUP(P8,密度!$A$2:$A$50,密度!$B$2:$B$50)</f>
        <v>28543.420305</v>
      </c>
      <c r="Q7" s="73" ph="1">
        <f>Q6*1.5*1.5*3.1416*LOOKUP(W8,密度!$A$2:$A$50,密度!$L$2:$L$50)</f>
        <v>48346.248119399999</v>
      </c>
      <c r="R7" s="73" ph="1">
        <f>R6*1.5*1.5*3.1416*LOOKUP(R8,密度!$A$2:$A$50,密度!$L$2:$L$50)</f>
        <v>48197.5954614</v>
      </c>
      <c r="S7" s="73" ph="1">
        <f>S6*1.5*1.5*3.1416*LOOKUP(S8,密度!$A$2:$A$50,密度!$L$2:$L$50)</f>
        <v>30279.655790999997</v>
      </c>
      <c r="T7" s="73" ph="1">
        <f>T6*1.5*1.5*3.1416*LOOKUP(T8,密度!$A$2:$A$50,密度!$L$2:$L$50)</f>
        <v>47650.818045599997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31120.239565799999</v>
      </c>
      <c r="Y7" s="73" ph="1">
        <f>Y6*1.5*1.5*3.1416*LOOKUP(Y8,密度!$A$2:$A$50,密度!$L$2:$L$50)</f>
        <v>39878.482366799995</v>
      </c>
      <c r="Z7" s="73" ph="1">
        <f>Z6*33.183*LOOKUP(Z8,密度!$A$2:$A$50,密度!$L$2:$L$50)</f>
        <v>136074.72268799998</v>
      </c>
      <c r="AA7" s="73" ph="1">
        <f>AA6*33.183*LOOKUP(AA8,密度!$A$2:$A$50,密度!$D$2:$D$50)</f>
        <v>102137.9509332</v>
      </c>
      <c r="AB7" s="73" ph="1">
        <f>AB6*20.428*LOOKUP(AB8,密度!$A$2:$A$50,密度!$D$2:$D$50)</f>
        <v>7047.2759536000003</v>
      </c>
      <c r="AC7" s="73" ph="1">
        <f>AC6*51.53*LOOKUP(AC8,密度!$A$2:$A$50,密度!$Q$2:$Q$50)</f>
        <v>431015.46358580003</v>
      </c>
      <c r="AD7" s="73" ph="1">
        <f>AD6*20.428*LOOKUP(AD8,密度!$A$2:$A$50,密度!$V$2:$V$50)</f>
        <v>94130.589760000003</v>
      </c>
      <c r="AE7" s="73" ph="1">
        <f>AE6*20.428</f>
        <v>81916.28</v>
      </c>
    </row>
    <row r="8" spans="1:99" ph="1">
      <c r="B8" s="247" ph="1"/>
      <c r="C8" s="68" t="s" ph="1">
        <v>179</v>
      </c>
      <c r="D8" s="74">
        <v>21</v>
      </c>
      <c r="E8" s="74">
        <v>19</v>
      </c>
      <c r="F8" s="74">
        <v>18</v>
      </c>
      <c r="G8" s="74">
        <v>19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22</v>
      </c>
      <c r="O8" s="74">
        <v>24</v>
      </c>
      <c r="P8" s="74">
        <v>18</v>
      </c>
      <c r="Q8" s="74">
        <v>21</v>
      </c>
      <c r="R8" s="74">
        <v>25</v>
      </c>
      <c r="S8" s="74">
        <v>17</v>
      </c>
      <c r="T8" s="74">
        <v>16</v>
      </c>
      <c r="U8" s="74">
        <v>17</v>
      </c>
      <c r="V8" s="74">
        <v>25</v>
      </c>
      <c r="W8" s="74">
        <v>19</v>
      </c>
      <c r="X8" s="74">
        <v>15</v>
      </c>
      <c r="Y8" s="74">
        <v>20</v>
      </c>
      <c r="Z8" s="74">
        <v>18</v>
      </c>
      <c r="AA8" s="74">
        <v>19</v>
      </c>
      <c r="AB8" s="74">
        <v>11</v>
      </c>
      <c r="AC8" s="74">
        <v>18</v>
      </c>
      <c r="AD8" s="74">
        <v>18</v>
      </c>
      <c r="AE8" s="74">
        <v>21</v>
      </c>
    </row>
    <row r="9" spans="1:99" ht="26.4" ph="1">
      <c r="B9" s="247" ph="1">
        <v>0.66666666666666663</v>
      </c>
      <c r="C9" s="166" t="s" ph="1">
        <v>180</v>
      </c>
      <c r="D9" s="71">
        <v>6668</v>
      </c>
      <c r="E9" s="71">
        <v>1960</v>
      </c>
      <c r="F9" s="71">
        <v>2444</v>
      </c>
      <c r="G9" s="71">
        <v>6639</v>
      </c>
      <c r="H9" s="71">
        <v>374</v>
      </c>
      <c r="I9" s="71">
        <v>14.11</v>
      </c>
      <c r="J9" s="71">
        <v>27.01</v>
      </c>
      <c r="K9" s="71">
        <v>7.42</v>
      </c>
      <c r="L9" s="71">
        <v>7.61</v>
      </c>
      <c r="M9" s="71">
        <v>2672</v>
      </c>
      <c r="N9" s="71">
        <v>5777</v>
      </c>
      <c r="O9" s="71">
        <v>3305</v>
      </c>
      <c r="P9" s="71">
        <v>269</v>
      </c>
      <c r="Q9" s="71">
        <v>7258</v>
      </c>
      <c r="R9" s="71">
        <v>7282</v>
      </c>
      <c r="S9" s="71">
        <v>4535</v>
      </c>
      <c r="T9" s="71">
        <v>7131</v>
      </c>
      <c r="U9" s="71">
        <v>2358</v>
      </c>
      <c r="V9" s="71">
        <v>2445</v>
      </c>
      <c r="W9" s="71">
        <v>0</v>
      </c>
      <c r="X9" s="71">
        <v>0</v>
      </c>
      <c r="Y9" s="71">
        <v>5565</v>
      </c>
      <c r="Z9" s="71">
        <v>2794</v>
      </c>
      <c r="AA9" s="71">
        <v>2888</v>
      </c>
      <c r="AB9" s="71">
        <v>329</v>
      </c>
      <c r="AC9" s="71">
        <v>9040</v>
      </c>
      <c r="AD9" s="71">
        <v>4780</v>
      </c>
      <c r="AE9" s="71">
        <v>3976</v>
      </c>
    </row>
    <row r="10" spans="1:99" s="72" customFormat="1" ht="22.2" ph="1">
      <c r="B10" s="247" ph="1"/>
      <c r="C10" s="166" t="s" ph="1">
        <v>178</v>
      </c>
      <c r="D10" s="73" ph="1">
        <f>D9*33.183*LOOKUP(D11,密度!$A$2:$A$50,密度!$Q$2:$Q$50)</f>
        <v>209999.68133796001</v>
      </c>
      <c r="E10" s="73" ph="1">
        <f>E9*51.53*LOOKUP(E11,密度!$A$2:$A$50,密度!$B$2:$B$50)</f>
        <v>79193.159079999998</v>
      </c>
      <c r="F10" s="73" ph="1">
        <f>F9*33.183*LOOKUP(F11,密度!$A$2:$A$50,密度!$C$2:$C$50)</f>
        <v>90279.687326399988</v>
      </c>
      <c r="G10" s="73" ph="1">
        <f xml:space="preserve"> (G9+2)*51.53*LOOKUP(G11,密度!$A$2:$A$50,密度!$B$2:$B$50)</f>
        <v>268327.43339299998</v>
      </c>
      <c r="H10" s="73" ph="1">
        <f>(H9)*51.53*LOOKUP(H11,密度!$A$2:$A$50,密度!$B$2:$B$50)</f>
        <v>15111.347702000001</v>
      </c>
      <c r="I10" s="73" ph="1">
        <f>I9*290.8*1.0267</f>
        <v>4212.7431195999998</v>
      </c>
      <c r="J10" s="73" ph="1">
        <f>J9*290.8*0.7892</f>
        <v>6198.7777136000004</v>
      </c>
      <c r="K10" s="73" ph="1">
        <f>K9*290.8*1.1126</f>
        <v>2400.6970735999998</v>
      </c>
      <c r="L10" s="73" ph="1">
        <f>L9*290.8*0.777</f>
        <v>1719.4916760000003</v>
      </c>
      <c r="M10" s="73" ph="1">
        <f>M9*33.183*LOOKUP(M11,密度!$A$2:$A$50,密度!$D$2:$D$50)</f>
        <v>91280.592791999996</v>
      </c>
      <c r="N10" s="73" ph="1">
        <f>N9*33.183*LOOKUP(N11,密度!$A$2:$A$50,密度!$E$2:$E$50)</f>
        <v>150598.09884959998</v>
      </c>
      <c r="O10" s="73" ph="1">
        <f>O9*20.428*LOOKUP(O11,密度!$A$2:$A$50,密度!$C$2:$C$50)</f>
        <v>74914.13358400001</v>
      </c>
      <c r="P10" s="73" ph="1">
        <f>P9*51.53*LOOKUP(P11,密度!$A$2:$A$50,密度!$B$2:$B$50)</f>
        <v>10843.906211</v>
      </c>
      <c r="Q10" s="73" ph="1">
        <f>Q9*1.5*1.5*3.1416*LOOKUP(W11,密度!$A$2:$A$50,密度!$L$2:$L$50)</f>
        <v>47815.233681600002</v>
      </c>
      <c r="R10" s="73" ph="1">
        <f>R9*1.5*1.5*3.1416*LOOKUP(R11,密度!$A$2:$A$50,密度!$L$2:$L$50)</f>
        <v>48230.711852400003</v>
      </c>
      <c r="S10" s="73" ph="1">
        <f>S9*1.5*1.5*3.1416*LOOKUP(S11,密度!$A$2:$A$50,密度!$L$2:$L$50)</f>
        <v>30260.959343999999</v>
      </c>
      <c r="T10" s="73" ph="1">
        <f>T9*1.5*1.5*3.1416*LOOKUP(T11,密度!$A$2:$A$50,密度!$L$2:$L$50)</f>
        <v>47583.440150399998</v>
      </c>
      <c r="U10" s="73" ph="1">
        <f>U9*1.5*1.5*3.1416*LOOKUP(U11,密度!$A$2:$A$50,密度!$L$2:$L$50)</f>
        <v>15701.028789599999</v>
      </c>
      <c r="V10" s="73" ph="1">
        <f>V9*1.5*1.5*3.1416*LOOKUP(V11,密度!$A$2:$A$50,密度!$L$2:$L$50)</f>
        <v>16142.067018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37055.226977999999</v>
      </c>
      <c r="Z10" s="73" ph="1">
        <f>Z9*33.183*LOOKUP(Z11,密度!$A$2:$A$50,密度!$L$2:$L$50)</f>
        <v>87335.930483999997</v>
      </c>
      <c r="AA10" s="73" ph="1">
        <f>AA9*33.183*LOOKUP(AA11,密度!$A$2:$A$50,密度!$D$2:$D$50)</f>
        <v>98659.562868000008</v>
      </c>
      <c r="AB10" s="73" ph="1">
        <f>AB9*20.428*LOOKUP(AB11,密度!$A$2:$A$50,密度!$D$2:$D$50)</f>
        <v>6954.6962575999996</v>
      </c>
      <c r="AC10" s="73" ph="1">
        <f>AC9*51.53*LOOKUP(AC11,密度!$A$2:$A$50,密度!$Q$2:$Q$50)</f>
        <v>442716.65585600003</v>
      </c>
      <c r="AD10" s="73" ph="1">
        <f>AD9*20.428*LOOKUP(AD11,密度!$A$2:$A$50,密度!$V$2:$V$50)</f>
        <v>94130.589760000003</v>
      </c>
      <c r="AE10" s="73" ph="1">
        <f>AE9*20.428</f>
        <v>81221.728000000003</v>
      </c>
    </row>
    <row r="11" spans="1:99" ph="1">
      <c r="A11" s="64" t="s" ph="1">
        <v>162</v>
      </c>
      <c r="B11" s="247" ph="1"/>
      <c r="C11" s="166" t="s" ph="1">
        <v>179</v>
      </c>
      <c r="D11" s="74">
        <v>22</v>
      </c>
      <c r="E11" s="74">
        <v>20</v>
      </c>
      <c r="F11" s="74">
        <v>19</v>
      </c>
      <c r="G11" s="74">
        <v>20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23</v>
      </c>
      <c r="O11" s="74">
        <v>24</v>
      </c>
      <c r="P11" s="74">
        <v>22</v>
      </c>
      <c r="Q11" s="74">
        <v>23</v>
      </c>
      <c r="R11" s="74">
        <v>25</v>
      </c>
      <c r="S11" s="74">
        <v>18</v>
      </c>
      <c r="T11" s="74">
        <v>18</v>
      </c>
      <c r="U11" s="74">
        <v>20</v>
      </c>
      <c r="V11" s="74">
        <v>28</v>
      </c>
      <c r="W11" s="74">
        <v>30</v>
      </c>
      <c r="X11" s="74">
        <v>22</v>
      </c>
      <c r="Y11" s="74">
        <v>20</v>
      </c>
      <c r="Z11" s="74">
        <v>20</v>
      </c>
      <c r="AA11" s="74">
        <v>22</v>
      </c>
      <c r="AB11" s="74">
        <v>16</v>
      </c>
      <c r="AC11" s="74">
        <v>20</v>
      </c>
      <c r="AD11" s="74">
        <v>20</v>
      </c>
      <c r="AE11" s="74">
        <v>23</v>
      </c>
    </row>
    <row r="12" spans="1:99" ht="9.9" customHeight="1" ph="1"/>
    <row r="13" spans="1:99" s="72" customFormat="1" ht="29.25" customHeight="1" ph="1">
      <c r="B13" s="224" t="s" ph="1">
        <v>37</v>
      </c>
      <c r="C13" s="16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0" t="s" ph="1">
        <v>615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66" t="s" ph="1">
        <v>177</v>
      </c>
      <c r="D15" s="78">
        <v>5978</v>
      </c>
      <c r="E15" s="78">
        <v>3474</v>
      </c>
      <c r="F15" s="78">
        <v>4379</v>
      </c>
      <c r="G15" s="78">
        <v>4248</v>
      </c>
      <c r="H15" s="78">
        <v>0</v>
      </c>
      <c r="I15" s="78">
        <v>3683</v>
      </c>
      <c r="J15" s="78">
        <v>1814</v>
      </c>
      <c r="K15" s="78">
        <v>2386</v>
      </c>
      <c r="L15" s="78">
        <v>3896</v>
      </c>
      <c r="M15" s="78">
        <v>4416</v>
      </c>
      <c r="N15" s="78">
        <v>1157</v>
      </c>
      <c r="O15" s="78">
        <v>5256</v>
      </c>
      <c r="P15" s="78">
        <v>3603</v>
      </c>
      <c r="Q15" s="78">
        <v>6977</v>
      </c>
      <c r="R15" s="78">
        <v>7373</v>
      </c>
      <c r="S15" s="78">
        <v>6417</v>
      </c>
      <c r="T15" s="78">
        <v>6617</v>
      </c>
      <c r="U15" s="78">
        <v>1734</v>
      </c>
      <c r="V15" s="78">
        <v>5003</v>
      </c>
      <c r="W15" s="71">
        <v>3378</v>
      </c>
      <c r="X15" s="78">
        <v>663</v>
      </c>
      <c r="Y15" s="106">
        <v>-9903</v>
      </c>
      <c r="Z15" s="78">
        <v>0</v>
      </c>
      <c r="AA15" s="78">
        <v>18</v>
      </c>
      <c r="AB15" s="78" ph="1">
        <v>1532</v>
      </c>
      <c r="AC15" s="78" ph="1">
        <v>29</v>
      </c>
      <c r="AD15" s="78">
        <v>5.62</v>
      </c>
      <c r="AE15" s="78">
        <v>29.51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66" t="s" ph="1">
        <v>178</v>
      </c>
      <c r="D16" s="73" ph="1">
        <f>D15*7.0686*LOOKUP(D17,密度!$A$2:$A$50,密度!$L$2:$L$50)</f>
        <v>39805.237533599997</v>
      </c>
      <c r="E16" s="73" ph="1">
        <f>E15*7.0686*LOOKUP(E17,密度!$A$2:$A$50,密度!$L$2:$L$50)</f>
        <v>23132.0500488</v>
      </c>
      <c r="F16" s="73" ph="1">
        <f>F15*9.0746*LOOKUP(F17,密度!$A$2:$A$50,密度!$L$2:$L$50)</f>
        <v>37353.412995999999</v>
      </c>
      <c r="G16" s="73" ph="1">
        <f>G15*9.0746*LOOKUP(G17,密度!$A$2:$A$50,密度!$B$2:$B$50)</f>
        <v>30191.499106560004</v>
      </c>
      <c r="H16" s="73" ph="1">
        <f>H15*9.0746*LOOKUP(H17,密度!$A$2:$A$50,密度!$L$2:$L$50)</f>
        <v>0</v>
      </c>
      <c r="I16" s="73" ph="1">
        <f>I15*9.0746*LOOKUP(I17,密度!$A$2:$A$50,密度!$U$2:$U$50)</f>
        <v>34357.560850399997</v>
      </c>
      <c r="J16" s="73" ph="1">
        <f>J15*9.0746*LOOKUP(J17,密度!$A$2:$A$50,密度!$L$2:$L$50)</f>
        <v>15490.1062604</v>
      </c>
      <c r="K16" s="73" ph="1">
        <f>K15*9.0746*LOOKUP(K17,密度!$A$2:$A$50,密度!$C$2:$C$50)</f>
        <v>24103.00150192</v>
      </c>
      <c r="L16" s="73" ph="1">
        <f>L15*9.0746*LOOKUP(L17,密度!$A$2:$A$50,密度!$E$2:$E$50)</f>
        <v>27859.457580800005</v>
      </c>
      <c r="M16" s="73" ph="1">
        <f>M15*9.0746*LOOKUP(M17,密度!$A$2:$A$50,密度!$M$2:$M$50)</f>
        <v>35276.643598080002</v>
      </c>
      <c r="N16" s="73" ph="1">
        <f>N15*9.0746*LOOKUP(N17,密度!$A$2:$A$50,密度!$M$2:$M$50)</f>
        <v>9242.5445296599992</v>
      </c>
      <c r="O16" s="73" ph="1">
        <f>O15*9.0746*LOOKUP(O17,密度!$A$2:$A$50,密度!$G$2:$G$50)</f>
        <v>46021.964574240003</v>
      </c>
      <c r="P16" s="73" ph="1">
        <f ca="1">P15*9.0746*LOOKUP(P17,密度!$A$2:$A$51,密度!$Q$2:$Q$50)</f>
        <v>31050.858917022004</v>
      </c>
      <c r="Q16" s="73" ph="1">
        <f>Q15*9.0746*LOOKUP(Q17,密度!$A$2:$A$50,密度!$Q$2:$Q$50)</f>
        <v>60171.869113995999</v>
      </c>
      <c r="R16" s="73" ph="1">
        <f>MAX(R15*9.0746*LOOKUP(R17,密度!$A$2:$A$50,密度!$B$2:$B$50),0)</f>
        <v>52401.582606560005</v>
      </c>
      <c r="S16" s="73" ph="1">
        <f>S15*9.0746*LOOKUP(S17,密度!$A$2:$A$50,密度!$Q$2:$Q$50)</f>
        <v>55391.747791086003</v>
      </c>
      <c r="T16" s="73" ph="1">
        <f>T15*9.0746*LOOKUP(T17,密度!$A$2:$A$50,密度!$O$2:$O$50)</f>
        <v>56083.550738800004</v>
      </c>
      <c r="U16" s="73" ph="1">
        <f>U15*9.0746*LOOKUP(U17,密度!$A$2:$A$50,密度!$H$2:$H$50)</f>
        <v>14519.01335028</v>
      </c>
      <c r="V16" s="73" ph="1">
        <f>MAX(5600*LOOKUP(V17,密度!$A$2:$A$50,密度!$Q$2:$Q$50)+V15*9.0476*LOOKUP(V17,密度!$A$2:$A$50,密度!$Q$2:$Q$50),0)</f>
        <v>48341.214414263988</v>
      </c>
      <c r="W16" s="73" ph="1">
        <f>MAX(5600*LOOKUP(W17,密度!$A$2:$A$50,密度!$Q$2:$Q$50)+W15*9.0476*LOOKUP(W17,密度!$A$2:$A$50,密度!$Q$2:$Q$50),0)</f>
        <v>34343.442694231999</v>
      </c>
      <c r="X16" s="73" ph="1">
        <f>MAX(5600*LOOKUP(X17,密度!$A$2:$A$50,密度!$I$2:$I$50)+X15*9.0476*LOOKUP(X17,密度!$A$2:$A$50,密度!$I$2:$I$50),0)</f>
        <v>12128.61293716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128.45277792000002</v>
      </c>
      <c r="AB16" s="73" ph="1">
        <f>AB15*9.0746*LOOKUP(AB17,密度!$A$2:$A$50,密度!$L$2:$L$50)</f>
        <v>13082.0522552</v>
      </c>
      <c r="AC16" s="73" ph="1">
        <f>AC15*9.0746*LOOKUP(AC17,密度!$A$2:$A$50,密度!$L$2:$L$50)</f>
        <v>248.689413</v>
      </c>
      <c r="AD16" s="73" ph="1">
        <f>AD15*268.68*LOOKUP(AD17,密度!$A$2:$A$50,密度!B2:B50)+IF(AD15&lt;=0,0,1566*LOOKUP(AD17,密度!$A$2:$A$50,密度!B2:B50))</f>
        <v>2398.0352553599996</v>
      </c>
      <c r="AE16" s="73" ph="1">
        <f>AE15*268.68*LOOKUP(AE17,密度!$A$2:$A$50,密度!B2:B50)+IF(AE15&lt;=0,0,1566*LOOKUP(AE17,密度!$A$2:$A$50,密度!B2:B50))</f>
        <v>7402.1046052800011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20</v>
      </c>
      <c r="E17" s="74">
        <v>20</v>
      </c>
      <c r="F17" s="74">
        <v>22</v>
      </c>
      <c r="G17" s="74">
        <v>21</v>
      </c>
      <c r="H17" s="74">
        <v>16</v>
      </c>
      <c r="I17" s="74">
        <v>19</v>
      </c>
      <c r="J17" s="74">
        <v>21</v>
      </c>
      <c r="K17" s="74">
        <v>19</v>
      </c>
      <c r="L17" s="74">
        <v>21</v>
      </c>
      <c r="M17" s="74">
        <v>20</v>
      </c>
      <c r="N17" s="74">
        <v>19</v>
      </c>
      <c r="O17" s="74">
        <v>21</v>
      </c>
      <c r="P17" s="74">
        <v>21</v>
      </c>
      <c r="Q17" s="74">
        <v>20</v>
      </c>
      <c r="R17" s="74">
        <v>21</v>
      </c>
      <c r="S17" s="74">
        <v>19</v>
      </c>
      <c r="T17" s="74">
        <v>19</v>
      </c>
      <c r="U17" s="74">
        <v>17</v>
      </c>
      <c r="V17" s="74">
        <v>20</v>
      </c>
      <c r="W17" s="74">
        <v>21</v>
      </c>
      <c r="X17" s="74">
        <v>22</v>
      </c>
      <c r="Y17" s="108">
        <v>22</v>
      </c>
      <c r="Z17" s="74">
        <v>20</v>
      </c>
      <c r="AA17" s="74">
        <v>17</v>
      </c>
      <c r="AB17" s="74">
        <v>21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5989</v>
      </c>
      <c r="E18" s="71">
        <v>5541</v>
      </c>
      <c r="F18" s="71">
        <v>2113</v>
      </c>
      <c r="G18" s="71">
        <v>4308</v>
      </c>
      <c r="H18" s="71">
        <v>0</v>
      </c>
      <c r="I18" s="71">
        <v>3684</v>
      </c>
      <c r="J18" s="71">
        <v>79</v>
      </c>
      <c r="K18" s="71">
        <v>2386</v>
      </c>
      <c r="L18" s="71">
        <v>2357</v>
      </c>
      <c r="M18" s="71">
        <v>2042</v>
      </c>
      <c r="N18" s="71">
        <v>1611</v>
      </c>
      <c r="O18" s="71">
        <v>5266</v>
      </c>
      <c r="P18" s="71">
        <v>3606</v>
      </c>
      <c r="Q18" s="71">
        <v>6983</v>
      </c>
      <c r="R18" s="71">
        <v>7385</v>
      </c>
      <c r="S18" s="71">
        <v>6422</v>
      </c>
      <c r="T18" s="71">
        <v>5757</v>
      </c>
      <c r="U18" s="71">
        <v>1732</v>
      </c>
      <c r="V18" s="71">
        <v>5003</v>
      </c>
      <c r="W18" s="71">
        <v>3378</v>
      </c>
      <c r="X18" s="71">
        <v>662</v>
      </c>
      <c r="Y18" s="109">
        <v>-9906</v>
      </c>
      <c r="Z18" s="71">
        <v>0</v>
      </c>
      <c r="AA18" s="71">
        <v>13</v>
      </c>
      <c r="AB18" s="71">
        <v>1532</v>
      </c>
      <c r="AC18" s="71">
        <v>22</v>
      </c>
      <c r="AD18" s="71">
        <v>5.51</v>
      </c>
      <c r="AE18" s="71">
        <v>80.31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66" t="s" ph="1">
        <v>178</v>
      </c>
      <c r="D19" s="73" ph="1">
        <f>D18*7.0686*LOOKUP(D20,密度!$A$2:$A$50,密度!$L$2:$L$50)</f>
        <v>39751.480830599998</v>
      </c>
      <c r="E19" s="73" ph="1">
        <f>E18*7.0686*LOOKUP(E20,密度!$A$2:$A$50,密度!$L$2:$L$50)</f>
        <v>36738.751618800001</v>
      </c>
      <c r="F19" s="73" ph="1">
        <f>F18*9.0746*LOOKUP(F20,密度!$A$2:$A$50,密度!$L$2:$L$50)</f>
        <v>17966.628122599999</v>
      </c>
      <c r="G19" s="73" ph="1">
        <f>G18*9.0746*LOOKUP(G20,密度!$A$2:$A$50,密度!$B$2:$B$50)</f>
        <v>30617.93270976</v>
      </c>
      <c r="H19" s="73" ph="1">
        <f>H18*9.0746*LOOKUP(H20,密度!$A$2:$A$50,密度!$L$2:$L$50)</f>
        <v>0</v>
      </c>
      <c r="I19" s="73" ph="1">
        <f>I18*9.0746*LOOKUP(I20,密度!$A$2:$A$50,密度!$U$2:$U$50)</f>
        <v>34333.458712799998</v>
      </c>
      <c r="J19" s="73" ph="1">
        <f>J18*9.0746*LOOKUP(J20,密度!$A$2:$A$50,密度!$L$2:$L$50)</f>
        <v>672.44600920000005</v>
      </c>
      <c r="K19" s="73" ph="1">
        <f>K18*9.0746*LOOKUP(K20,密度!$A$2:$A$50,密度!$C$2:$C$50)</f>
        <v>24057.532311160001</v>
      </c>
      <c r="L19" s="73" ph="1">
        <f>L18*9.0746*LOOKUP(L20,密度!$A$2:$A$50,密度!$E$2:$E$50)</f>
        <v>16803.066576320001</v>
      </c>
      <c r="M19" s="73" ph="1">
        <f>M18*9.0746*LOOKUP(M20,密度!$A$2:$A$50,密度!$M$2:$M$50)</f>
        <v>16230.718849880001</v>
      </c>
      <c r="N19" s="73" ph="1">
        <f>N18*9.0746*LOOKUP(N20,密度!$A$2:$A$50,密度!$M$2:$M$50)</f>
        <v>12835.640566800001</v>
      </c>
      <c r="O19" s="73" ph="1">
        <f>O18*9.0746*LOOKUP(O20,密度!$A$2:$A$50,密度!$G$2:$G$50)</f>
        <v>45980.500911920004</v>
      </c>
      <c r="P19" s="73" ph="1">
        <f ca="1">P18*9.0746*LOOKUP(P20,密度!$A$2:$A$51,密度!$Q$2:$Q$50)</f>
        <v>31027.955806320002</v>
      </c>
      <c r="Q19" s="73" ph="1">
        <f>Q18*9.0746*LOOKUP(Q20,密度!$A$2:$A$50,密度!$Q$2:$Q$50)</f>
        <v>60179.891151142001</v>
      </c>
      <c r="R19" s="73" ph="1">
        <f>MAX(R18*9.0746*LOOKUP(R20,密度!$A$2:$A$50,密度!$B$2:$B$50),0)</f>
        <v>52245.612011600002</v>
      </c>
      <c r="S19" s="73" ph="1">
        <f>S18*9.0746*LOOKUP(S20,密度!$A$2:$A$50,密度!$Q$2:$Q$50)</f>
        <v>55310.194996108003</v>
      </c>
      <c r="T19" s="73" ph="1">
        <f>T18*9.0746*LOOKUP(T20,密度!$A$2:$A$50,密度!$O$2:$O$50)</f>
        <v>48376.529257200003</v>
      </c>
      <c r="U19" s="73" ph="1">
        <f>U18*9.0746*LOOKUP(U20,密度!$A$2:$A$50,密度!$H$2:$H$50)</f>
        <v>14455.11546184</v>
      </c>
      <c r="V19" s="73" ph="1">
        <f>MAX(5600*LOOKUP(V20,密度!$A$2:$A$50,密度!$Q$2:$Q$50)+V18*9.0476*LOOKUP(V20,密度!$A$2:$A$50,密度!$Q$2:$Q$50),0)</f>
        <v>48230.328402959996</v>
      </c>
      <c r="W19" s="73" ph="1">
        <f>MAX(5600*LOOKUP(W20,密度!$A$2:$A$50,密度!$Q$2:$Q$50)+W18*9.0476*LOOKUP(W20,密度!$A$2:$A$50,密度!$Q$2:$Q$50),0)</f>
        <v>34263.161294215999</v>
      </c>
      <c r="X19" s="73" ph="1">
        <f>MAX(5600*LOOKUP(X20,密度!$A$2:$A$50,密度!$I$2:$I$50)+X18*9.0476*LOOKUP(X20,密度!$A$2:$A$50,密度!$I$2:$I$50),0)</f>
        <v>12079.747523760001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92.287774540000001</v>
      </c>
      <c r="AB19" s="73" ph="1">
        <f>AB18*9.0746*LOOKUP(AB20,密度!$A$2:$A$50,密度!$L$2:$L$50)</f>
        <v>13054.247680799999</v>
      </c>
      <c r="AC19" s="73" ph="1">
        <f>AC18*9.0746*LOOKUP(AC20,密度!$A$2:$A$50,密度!$L$2:$L$50)</f>
        <v>187.66272799999999</v>
      </c>
      <c r="AD19" s="73" ph="1">
        <f>AD18*268.68*LOOKUP(AD20,密度!$A$2:$A$50,密度!B5:B53)+IF(AD18&lt;=0,0,1566*LOOKUP(AD20,密度!$A$2:$A$50,密度!B5:B53))</f>
        <v>2367.0736236000002</v>
      </c>
      <c r="AE19" s="73" ph="1">
        <f>AE18*268.68*LOOKUP(AE20,密度!$A$2:$A$50,密度!B5:B53)+IF(AE18&lt;=0,0,1566*LOOKUP(AE20,密度!$A$2:$A$50,密度!B5:B53))</f>
        <v>17982.647751600001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23</v>
      </c>
      <c r="E20" s="81">
        <v>24</v>
      </c>
      <c r="F20" s="81">
        <v>25</v>
      </c>
      <c r="G20" s="81">
        <v>21</v>
      </c>
      <c r="H20" s="81">
        <v>19</v>
      </c>
      <c r="I20" s="81">
        <v>23</v>
      </c>
      <c r="J20" s="81">
        <v>24</v>
      </c>
      <c r="K20" s="81">
        <v>22</v>
      </c>
      <c r="L20" s="81">
        <v>23</v>
      </c>
      <c r="M20" s="81">
        <v>24</v>
      </c>
      <c r="N20" s="81">
        <v>22</v>
      </c>
      <c r="O20" s="81">
        <v>23</v>
      </c>
      <c r="P20" s="81">
        <v>23</v>
      </c>
      <c r="Q20" s="81">
        <v>21</v>
      </c>
      <c r="R20" s="81">
        <v>25</v>
      </c>
      <c r="S20" s="81">
        <v>22</v>
      </c>
      <c r="T20" s="81">
        <v>25</v>
      </c>
      <c r="U20" s="81">
        <v>20</v>
      </c>
      <c r="V20" s="81">
        <v>23</v>
      </c>
      <c r="W20" s="81">
        <v>24</v>
      </c>
      <c r="X20" s="81">
        <v>25</v>
      </c>
      <c r="Y20" s="110">
        <v>25</v>
      </c>
      <c r="Z20" s="81">
        <v>28</v>
      </c>
      <c r="AA20" s="81">
        <v>22</v>
      </c>
      <c r="AB20" s="81">
        <v>23</v>
      </c>
      <c r="AC20" s="81">
        <v>22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644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66" t="s" ph="1">
        <v>177</v>
      </c>
      <c r="D24" s="71">
        <v>83.11</v>
      </c>
      <c r="E24" s="71">
        <v>65.510000000000005</v>
      </c>
      <c r="F24" s="71">
        <v>363</v>
      </c>
      <c r="G24" s="71">
        <v>3670</v>
      </c>
      <c r="H24" s="71">
        <v>1690</v>
      </c>
      <c r="I24" s="71">
        <v>202</v>
      </c>
      <c r="J24" s="71">
        <v>2293</v>
      </c>
      <c r="K24" s="71">
        <v>4916</v>
      </c>
      <c r="L24" s="71">
        <v>5555</v>
      </c>
      <c r="M24" s="71">
        <v>4881</v>
      </c>
      <c r="N24" s="71">
        <v>5605</v>
      </c>
      <c r="O24" s="71">
        <v>5727</v>
      </c>
      <c r="P24" s="71">
        <v>651</v>
      </c>
      <c r="Q24" s="90">
        <v>842</v>
      </c>
      <c r="R24" s="71">
        <v>4705</v>
      </c>
      <c r="S24" s="71">
        <v>4831</v>
      </c>
      <c r="T24" s="71">
        <v>160</v>
      </c>
      <c r="U24" s="71">
        <v>3874</v>
      </c>
      <c r="V24" s="71">
        <v>8842</v>
      </c>
      <c r="W24" s="71">
        <v>1400</v>
      </c>
      <c r="X24" s="71">
        <v>5033</v>
      </c>
      <c r="Y24" s="71">
        <v>2575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22623.294116952002</v>
      </c>
      <c r="E25" s="91" ph="1">
        <f>E24*268.68*LOOKUP(E26,密度!$A$2:$A$50,密度!$C$2:$C$50)+IF(E24&lt;=0,0,1566*LOOKUP(E26,密度!$A$2:$A$50,密度!$C$2:$C$50))</f>
        <v>21254.537798520003</v>
      </c>
      <c r="F25" s="91" ph="1">
        <f>F24*11.702*LOOKUP(F26,密度!$A$2:$A$50,密度!$Q$2:$Q$50)</f>
        <v>4034.1178739400002</v>
      </c>
      <c r="G25" s="91" ph="1">
        <f>G24*18.322*LOOKUP(G26,密度!$A$2:$A$50,密度!$B$2:$B$50)</f>
        <v>52724.248333999996</v>
      </c>
      <c r="H25" s="91" ph="1">
        <f>H24*18.322*LOOKUP(H26,密度!$A$2:$A$50,密度!$B$2:$B$50)</f>
        <v>24251.145776000001</v>
      </c>
      <c r="I25" s="91" ph="1">
        <f>I24*18.322*LOOKUP(I26,密度!$A$2:$A$50,密度!$Q$2:$Q$50)</f>
        <v>3520.5440841199998</v>
      </c>
      <c r="J25" s="91" ph="1">
        <f>J24*18.322*LOOKUP(J26,密度!$A$2:$A$50,密度!$Q$2:$Q$50)</f>
        <v>39963.403885579995</v>
      </c>
      <c r="K25" s="91" ph="1">
        <f>K24*18.322*LOOKUP(K26,密度!$A$2:$A$50,密度!$Q$2:$Q$50)</f>
        <v>85678.19167095999</v>
      </c>
      <c r="L25" s="91" ph="1">
        <f>L24*18.322*LOOKUP(L26,密度!$A$2:$A$50,密度!$Q$2:$Q$50)</f>
        <v>96728.450409799989</v>
      </c>
      <c r="M25" s="91" ph="1">
        <f>M24*18.322*LOOKUP(M26,密度!$A$2:$A$50,密度!$Q$2:$Q$50)</f>
        <v>85137.951560820002</v>
      </c>
      <c r="N25" s="91" ph="1">
        <f>N24*18.322*LOOKUP(N26,密度!$A$2:$A$50,密度!$Q$2:$Q$50)</f>
        <v>97686.384116300003</v>
      </c>
      <c r="O25" s="91" ph="1">
        <f>O24*18.322*LOOKUP(O26,密度!$A$2:$A$50,密度!$C$2:$C$50)</f>
        <v>116745.22258440001</v>
      </c>
      <c r="P25" s="91" ph="1">
        <f>P24*11.702*LOOKUP(P26,密度!$A$2:$A$50,密度!$B$2:$B$50)</f>
        <v>5973.2753682000002</v>
      </c>
      <c r="Q25" s="92" ph="1">
        <f>Q24*18.322*LOOKUP(Q26,密度!$A$2:$A$50,密度!$B$2:$B$50)</f>
        <v>12082.5235168</v>
      </c>
      <c r="R25" s="91" ph="1">
        <f>R24*35.891*LOOKUP(R26,密度!$A$2:$A$50,密度!$C$2:$C$50)</f>
        <v>187881.59665300002</v>
      </c>
      <c r="S25" s="91" ph="1">
        <f>S24*35.891*LOOKUP(S26,密度!$A$2:$A$50,密度!$B$2:$B$50)</f>
        <v>136093.3565429</v>
      </c>
      <c r="T25" s="91" ph="1">
        <f>T24*35.891*LOOKUP(T26,密度!$A$2:$A$50,密度!$Q$2:$Q$50)</f>
        <v>5462.4953487999992</v>
      </c>
      <c r="U25" s="91" ph="1">
        <f>U24*35.891</f>
        <v>139041.734</v>
      </c>
      <c r="V25" s="91" ph="1">
        <f>V24*47.051*LOOKUP(V26,密度!$A$2:$A$50,密度!$B$2:$B$50)</f>
        <v>326205.15702220006</v>
      </c>
      <c r="W25" s="91" ph="1">
        <f>W24*47.051*LOOKUP(W26,密度!$A$2:$A$50,密度!$B$2:$B$50)</f>
        <v>51590.480480000006</v>
      </c>
      <c r="X25" s="91" ph="1">
        <f>X24*47.051*LOOKUP(X26,密度!$A$2:$A$61,密度!$I$2:$I$61)</f>
        <v>242064.81356260003</v>
      </c>
      <c r="Y25" s="91" ph="1">
        <f>Y24*47.051*LOOKUP(Y26,密度!$A$2:$A$50,密度!$L$2:$L$50)</f>
        <v>114129.25815000001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21</v>
      </c>
      <c r="G26" s="74">
        <v>20</v>
      </c>
      <c r="H26" s="74">
        <v>21</v>
      </c>
      <c r="I26" s="74">
        <v>19</v>
      </c>
      <c r="J26" s="74">
        <v>19</v>
      </c>
      <c r="K26" s="74">
        <v>19</v>
      </c>
      <c r="L26" s="74">
        <v>20</v>
      </c>
      <c r="M26" s="74">
        <v>18</v>
      </c>
      <c r="N26" s="74">
        <v>19</v>
      </c>
      <c r="O26" s="74">
        <v>20</v>
      </c>
      <c r="P26" s="74">
        <v>20</v>
      </c>
      <c r="Q26" s="93">
        <v>21</v>
      </c>
      <c r="R26" s="74">
        <v>20</v>
      </c>
      <c r="S26" s="74">
        <v>19</v>
      </c>
      <c r="T26" s="74">
        <v>19</v>
      </c>
      <c r="U26" s="74">
        <v>20</v>
      </c>
      <c r="V26" s="74">
        <v>20</v>
      </c>
      <c r="W26" s="74">
        <v>21</v>
      </c>
      <c r="X26" s="74">
        <v>43</v>
      </c>
      <c r="Y26" s="74">
        <v>20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66" t="s" ph="1">
        <v>180</v>
      </c>
      <c r="D27" s="71">
        <v>21.21</v>
      </c>
      <c r="E27" s="71">
        <v>47.21</v>
      </c>
      <c r="F27" s="71">
        <v>1468</v>
      </c>
      <c r="G27" s="71">
        <v>2963</v>
      </c>
      <c r="H27" s="71">
        <v>1508</v>
      </c>
      <c r="I27" s="71">
        <v>199</v>
      </c>
      <c r="J27" s="71">
        <v>4529</v>
      </c>
      <c r="K27" s="71">
        <v>4304</v>
      </c>
      <c r="L27" s="71">
        <v>5552</v>
      </c>
      <c r="M27" s="71">
        <v>4881</v>
      </c>
      <c r="N27" s="71">
        <v>5604</v>
      </c>
      <c r="O27" s="71">
        <v>5726</v>
      </c>
      <c r="P27" s="71">
        <v>646</v>
      </c>
      <c r="Q27" s="90">
        <v>1061</v>
      </c>
      <c r="R27" s="71">
        <v>4856</v>
      </c>
      <c r="S27" s="71">
        <v>4830</v>
      </c>
      <c r="T27" s="71">
        <v>158</v>
      </c>
      <c r="U27" s="71">
        <v>4095</v>
      </c>
      <c r="V27" s="71">
        <v>8844</v>
      </c>
      <c r="W27" s="71">
        <v>1393</v>
      </c>
      <c r="X27" s="71">
        <v>4910</v>
      </c>
      <c r="Y27" s="71">
        <v>3344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66" t="s" ph="1">
        <v>178</v>
      </c>
      <c r="D28" s="91" ph="1">
        <f>D27*268.68*LOOKUP(D29,密度!$A$2:$A$50,密度!$Q$2:$Q$50)+IF(D27&lt;=0,0,1566*LOOKUP(D29,密度!$A$2:$A$50,密度!$Q$2:$Q$50))</f>
        <v>6877.7847288719995</v>
      </c>
      <c r="E28" s="91" ph="1">
        <f>E27*268.68*LOOKUP(E29,密度!$A$2:$A$50,密度!$C$2:$C$50)+IF(E27&lt;=0,0,1566*LOOKUP(E29,密度!$A$2:$A$50,密度!$C$2:$C$50))</f>
        <v>15802.24948692</v>
      </c>
      <c r="F28" s="91" ph="1">
        <f>F27*11.702*LOOKUP(F29,密度!$A$2:$A$50,密度!$Q$2:$Q$50)</f>
        <v>16314.283853840001</v>
      </c>
      <c r="G28" s="91" ph="1">
        <f>G27*18.322*LOOKUP(G29,密度!$A$2:$A$50,密度!$B$2:$B$50)</f>
        <v>42518.428955199997</v>
      </c>
      <c r="H28" s="91" ph="1">
        <f>H27*18.322*LOOKUP(H29,密度!$A$2:$A$50,密度!$B$2:$B$50)</f>
        <v>21664.350541599997</v>
      </c>
      <c r="I28" s="91" ph="1">
        <f>I27*18.322*LOOKUP(I29,密度!$A$2:$A$50,密度!$Q$2:$Q$50)</f>
        <v>3462.6438158200003</v>
      </c>
      <c r="J28" s="91" ph="1">
        <f>J27*18.322*LOOKUP(J29,密度!$A$2:$A$50,密度!$Q$2:$Q$50)</f>
        <v>78805.597195220005</v>
      </c>
      <c r="K28" s="91" ph="1">
        <f>K27*18.322*LOOKUP(K29,密度!$A$2:$A$50,密度!$Q$2:$Q$50)</f>
        <v>74843.232921919989</v>
      </c>
      <c r="L28" s="91" ph="1">
        <f>L27*18.322*LOOKUP(L29,密度!$A$2:$A$50,密度!$Q$2:$Q$50)</f>
        <v>96544.988192959994</v>
      </c>
      <c r="M28" s="91" ph="1">
        <f>M27*18.322*LOOKUP(M29,密度!$A$2:$A$50,密度!$Q$2:$Q$50)</f>
        <v>84930.474698580001</v>
      </c>
      <c r="N28" s="91" ph="1">
        <f>N27*18.322*LOOKUP(N29,密度!$A$2:$A$50,密度!$Q$2:$Q$50)</f>
        <v>97581.680665439999</v>
      </c>
      <c r="O28" s="91" ph="1">
        <f>O27*18.322*LOOKUP(O29,密度!$A$2:$A$50,密度!$C$2:$C$50)</f>
        <v>116567.46986919999</v>
      </c>
      <c r="P28" s="91" ph="1">
        <f>P27*11.702*LOOKUP(P29,密度!$A$2:$A$50,密度!$B$2:$B$50)</f>
        <v>5920.5941344000003</v>
      </c>
      <c r="Q28" s="92" ph="1">
        <f>Q27*18.322*LOOKUP(Q29,密度!$A$2:$A$50,密度!$B$2:$B$50)</f>
        <v>15207.631936599999</v>
      </c>
      <c r="R28" s="91" ph="1">
        <f>R27*35.891*LOOKUP(R29,密度!$A$2:$A$50,密度!$C$2:$C$50)</f>
        <v>193789.3772824</v>
      </c>
      <c r="S28" s="91" ph="1">
        <f>S27*35.891*LOOKUP(S29,密度!$A$2:$A$50,密度!$B$2:$B$50)</f>
        <v>135614.46651900001</v>
      </c>
      <c r="T28" s="91" ph="1">
        <f>T27*35.891*LOOKUP(T29,密度!$A$2:$A$50,密度!$Q$2:$Q$50)</f>
        <v>5382.0786920199989</v>
      </c>
      <c r="U28" s="91" ph="1">
        <f>U27*35.891</f>
        <v>146973.64499999999</v>
      </c>
      <c r="V28" s="91" ph="1">
        <f>V27*47.051*LOOKUP(V29,密度!$A$2:$A$50,密度!$B$2:$B$50)</f>
        <v>325904.4352608</v>
      </c>
      <c r="W28" s="91" ph="1">
        <f>W27*47.051*LOOKUP(W29,密度!$A$2:$A$50,密度!$B$2:$B$50)</f>
        <v>51332.528077600007</v>
      </c>
      <c r="X28" s="91" ph="1">
        <f>X27*47.051*LOOKUP(X29,密度!$A$2:$A$61,密度!$I$2:$I$61)</f>
        <v>236149.06310200001</v>
      </c>
      <c r="Y28" s="91" ph="1">
        <f>Y27*47.051*LOOKUP(Y29,密度!$A$2:$A$50,密度!$L$2:$L$50)</f>
        <v>148055.56990399997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66" t="s" ph="1">
        <v>179</v>
      </c>
      <c r="D29" s="74">
        <v>25</v>
      </c>
      <c r="E29" s="74">
        <v>25</v>
      </c>
      <c r="F29" s="74">
        <v>21</v>
      </c>
      <c r="G29" s="74">
        <v>21</v>
      </c>
      <c r="H29" s="74">
        <v>20</v>
      </c>
      <c r="I29" s="74">
        <v>21</v>
      </c>
      <c r="J29" s="74">
        <v>21</v>
      </c>
      <c r="K29" s="74">
        <v>22</v>
      </c>
      <c r="L29" s="74">
        <v>22</v>
      </c>
      <c r="M29" s="74">
        <v>21</v>
      </c>
      <c r="N29" s="74">
        <v>20</v>
      </c>
      <c r="O29" s="74">
        <v>22</v>
      </c>
      <c r="P29" s="74">
        <v>21</v>
      </c>
      <c r="Q29" s="93">
        <v>22</v>
      </c>
      <c r="R29" s="74">
        <v>21</v>
      </c>
      <c r="S29" s="74">
        <v>22</v>
      </c>
      <c r="T29" s="74">
        <v>22</v>
      </c>
      <c r="U29" s="74">
        <v>20</v>
      </c>
      <c r="V29" s="74">
        <v>21</v>
      </c>
      <c r="W29" s="74">
        <v>21</v>
      </c>
      <c r="X29" s="74">
        <v>43</v>
      </c>
      <c r="Y29" s="74">
        <v>21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105614.2591256</v>
      </c>
      <c r="E33" s="196" ph="1">
        <f>M10+I10</f>
        <v>95493.335911599992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22" ph="1">
        <v>0</v>
      </c>
      <c r="H33" s="196" ph="1">
        <f>N19</f>
        <v>12835.640566800001</v>
      </c>
      <c r="I33" s="200" ph="1">
        <v>0</v>
      </c>
      <c r="J33" s="204" ph="1">
        <f>F10+O28</f>
        <v>206847.15719559998</v>
      </c>
      <c r="K33" s="196" ph="1">
        <f>O10+K10+E28+R28</f>
        <v>286906.45742692001</v>
      </c>
      <c r="L33" s="206" ph="1">
        <f>BE27</f>
        <v>7100</v>
      </c>
      <c r="M33" s="204" ph="1">
        <f>G10+H10+W28+S28+V28+E10</f>
        <v>875483.37003240001</v>
      </c>
      <c r="N33" s="196" ph="1">
        <f>L10+P10++G28+H28</f>
        <v>76746.177383799994</v>
      </c>
      <c r="O33" s="200" ph="1">
        <f>BE17</f>
        <v>2270</v>
      </c>
      <c r="P33" s="204" ph="1">
        <f>L19</f>
        <v>16803.066576320001</v>
      </c>
      <c r="Q33" s="196" ph="1">
        <f>J10+N10</f>
        <v>156796.87656319997</v>
      </c>
      <c r="R33" s="200" ph="1">
        <f>BE23</f>
        <v>890</v>
      </c>
      <c r="S33" s="204" ph="1">
        <f>E10+X28</f>
        <v>315342.222182</v>
      </c>
      <c r="T33" s="196" ph="1">
        <f>X19</f>
        <v>12079.747523760001</v>
      </c>
      <c r="U33" s="185" ph="1">
        <f>BE21</f>
        <v>730</v>
      </c>
      <c r="V33" s="198" ph="1">
        <f ca="1">P19+Q19+S19+M28+N28+J28</f>
        <v>407835.79451281001</v>
      </c>
      <c r="W33" s="198" ph="1">
        <f>D28+F28+V19+T28</f>
        <v>76804.475677691997</v>
      </c>
      <c r="X33" s="200" ph="1">
        <f>BE29+BE31</f>
        <v>10200</v>
      </c>
      <c r="Y33" s="202" ph="1">
        <f>+Q10+R10+S10+T10+U10+V10+W10+X10+Y10</f>
        <v>242788.66781400001</v>
      </c>
      <c r="Z33" s="183" ph="1">
        <f>D10+T19+U19+Y28+Z10</f>
        <v>508222.82644500001</v>
      </c>
      <c r="AA33" s="185" ph="1">
        <f>BE19</f>
        <v>1440</v>
      </c>
      <c r="AB33" s="187" ph="1">
        <f>I19</f>
        <v>34333.458712799998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68" t="s" ph="1">
        <v>185</v>
      </c>
      <c r="AA36" s="168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342</v>
      </c>
      <c r="AI37" s="168" t="s" ph="1">
        <v>209</v>
      </c>
      <c r="AJ37" s="168" t="s" ph="1">
        <v>210</v>
      </c>
      <c r="AK37" s="168" t="s" ph="1">
        <v>211</v>
      </c>
      <c r="AM37" s="168" t="s" ph="1">
        <v>210</v>
      </c>
      <c r="AN37" s="168" t="s" ph="1">
        <v>211</v>
      </c>
      <c r="AO37" s="168" t="s" ph="1">
        <v>212</v>
      </c>
      <c r="AP37" s="168" t="s" ph="1">
        <v>210</v>
      </c>
      <c r="AQ37" s="168" t="s" ph="1">
        <v>211</v>
      </c>
      <c r="AR37" s="168" t="s" ph="1">
        <v>212</v>
      </c>
      <c r="AS37" s="168" t="s" ph="1">
        <v>210</v>
      </c>
      <c r="AT37" s="168" t="s" ph="1">
        <v>211</v>
      </c>
      <c r="AU37" s="168" t="s" ph="1">
        <v>212</v>
      </c>
      <c r="AV37" s="168" t="s" ph="1">
        <v>210</v>
      </c>
      <c r="AW37" s="168" t="s" ph="1">
        <v>211</v>
      </c>
      <c r="AX37" s="168" t="s" ph="1">
        <v>212</v>
      </c>
      <c r="AY37" s="168" t="s" ph="1">
        <v>211</v>
      </c>
      <c r="AZ37" s="168" t="s" ph="1">
        <v>213</v>
      </c>
      <c r="BD37" s="168" t="s" ph="1">
        <v>305</v>
      </c>
      <c r="BE37" s="16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44" priority="99">
      <formula>ABS(D$7-D$10)&gt;=1000</formula>
    </cfRule>
  </conditionalFormatting>
  <conditionalFormatting sqref="E4 E6:E11">
    <cfRule type="expression" dxfId="643" priority="98">
      <formula>ABS(E$7-E$10)&gt;=1000</formula>
    </cfRule>
  </conditionalFormatting>
  <conditionalFormatting sqref="F4:F11">
    <cfRule type="expression" dxfId="642" priority="97">
      <formula>ABS(F$7-F$10)&gt;=1000</formula>
    </cfRule>
  </conditionalFormatting>
  <conditionalFormatting sqref="G4:G11">
    <cfRule type="expression" dxfId="641" priority="96">
      <formula>ABS(G$7-G$10)&gt;=1000</formula>
    </cfRule>
  </conditionalFormatting>
  <conditionalFormatting sqref="H4:H11">
    <cfRule type="expression" dxfId="640" priority="95">
      <formula>ABS(H$7-H$10)&gt;=1000</formula>
    </cfRule>
  </conditionalFormatting>
  <conditionalFormatting sqref="I4:I11">
    <cfRule type="expression" dxfId="639" priority="94">
      <formula>ABS(I$7-I$10)&gt;=1000</formula>
    </cfRule>
  </conditionalFormatting>
  <conditionalFormatting sqref="J4:J11">
    <cfRule type="expression" dxfId="638" priority="93">
      <formula>ABS(J$7-J$10)&gt;=1000</formula>
    </cfRule>
  </conditionalFormatting>
  <conditionalFormatting sqref="K4:K11">
    <cfRule type="expression" dxfId="637" priority="92">
      <formula>ABS(K$7-K$10)&gt;=1000</formula>
    </cfRule>
  </conditionalFormatting>
  <conditionalFormatting sqref="L4:L11">
    <cfRule type="expression" dxfId="636" priority="91">
      <formula>ABS(L$7-L$10)&gt;=1000</formula>
    </cfRule>
  </conditionalFormatting>
  <conditionalFormatting sqref="M4 M6:M11">
    <cfRule type="expression" dxfId="635" priority="90">
      <formula>ABS(M$7-M$10)&gt;=1000</formula>
    </cfRule>
  </conditionalFormatting>
  <conditionalFormatting sqref="N4 N6:N11">
    <cfRule type="expression" dxfId="634" priority="89">
      <formula>ABS(N$7-N$10)&gt;=1000</formula>
    </cfRule>
  </conditionalFormatting>
  <conditionalFormatting sqref="O4 O6:O11">
    <cfRule type="expression" dxfId="633" priority="88">
      <formula>ABS(O$7-O$10)&gt;=1000</formula>
    </cfRule>
  </conditionalFormatting>
  <conditionalFormatting sqref="P4 P6:P11">
    <cfRule type="expression" dxfId="632" priority="87">
      <formula>ABS(P$7-P$10)&gt;=1000</formula>
    </cfRule>
  </conditionalFormatting>
  <conditionalFormatting sqref="Q4:Q11">
    <cfRule type="expression" dxfId="631" priority="86">
      <formula>ABS(Q$7-Q$10)&gt;=1000</formula>
    </cfRule>
  </conditionalFormatting>
  <conditionalFormatting sqref="R4:R11">
    <cfRule type="expression" dxfId="630" priority="85">
      <formula>ABS(R$7-R$10)&gt;=1000</formula>
    </cfRule>
  </conditionalFormatting>
  <conditionalFormatting sqref="S4:S11">
    <cfRule type="expression" dxfId="629" priority="84">
      <formula>ABS(S$7-S$10)&gt;=1000</formula>
    </cfRule>
  </conditionalFormatting>
  <conditionalFormatting sqref="T4:T9 T11">
    <cfRule type="expression" dxfId="628" priority="83">
      <formula>ABS(T$7-T$10)&gt;=1000</formula>
    </cfRule>
  </conditionalFormatting>
  <conditionalFormatting sqref="U4:U9 U11">
    <cfRule type="expression" dxfId="627" priority="82">
      <formula>ABS(U$7-U$10)&gt;=1000</formula>
    </cfRule>
  </conditionalFormatting>
  <conditionalFormatting sqref="V4:V9 V11">
    <cfRule type="expression" dxfId="626" priority="81">
      <formula>ABS(V$7-V$10)&gt;=1000</formula>
    </cfRule>
  </conditionalFormatting>
  <conditionalFormatting sqref="W4:W9 W11">
    <cfRule type="expression" dxfId="625" priority="80">
      <formula>ABS(W$7-W$10)&gt;=1000</formula>
    </cfRule>
  </conditionalFormatting>
  <conditionalFormatting sqref="X4:X9 X11">
    <cfRule type="expression" dxfId="624" priority="79">
      <formula>ABS(X$7-X$10)&gt;=1000</formula>
    </cfRule>
  </conditionalFormatting>
  <conditionalFormatting sqref="Y4:Y9 Y11">
    <cfRule type="expression" dxfId="623" priority="78">
      <formula>ABS(Y$7-Y$10)&gt;=1000</formula>
    </cfRule>
  </conditionalFormatting>
  <conditionalFormatting sqref="Z4:Z11">
    <cfRule type="expression" dxfId="622" priority="77">
      <formula>ABS(Z$7-Z$10)&gt;=1000</formula>
    </cfRule>
  </conditionalFormatting>
  <conditionalFormatting sqref="AA4:AA11">
    <cfRule type="expression" dxfId="621" priority="76">
      <formula>ABS(AA$7-AA$10)&gt;=1000</formula>
    </cfRule>
  </conditionalFormatting>
  <conditionalFormatting sqref="AB4:AB11">
    <cfRule type="expression" dxfId="620" priority="75">
      <formula>ABS(AB$7-AB$10)&gt;=1000</formula>
    </cfRule>
  </conditionalFormatting>
  <conditionalFormatting sqref="AC4 AC6:AC11">
    <cfRule type="expression" dxfId="619" priority="74">
      <formula>ABS(AC$7-AC$10)&gt;=1000</formula>
    </cfRule>
  </conditionalFormatting>
  <conditionalFormatting sqref="AD4:AD11">
    <cfRule type="expression" dxfId="618" priority="73">
      <formula>ABS(AD$7-AD$10)&gt;=1000</formula>
    </cfRule>
  </conditionalFormatting>
  <conditionalFormatting sqref="AE4 AE6:AE11">
    <cfRule type="expression" dxfId="617" priority="72">
      <formula>ABS(AE$7-AE$10)&gt;=1000</formula>
    </cfRule>
  </conditionalFormatting>
  <conditionalFormatting sqref="D13:D20">
    <cfRule type="expression" dxfId="616" priority="71">
      <formula>ABS(D$16-D$19)&gt;=1000</formula>
    </cfRule>
  </conditionalFormatting>
  <conditionalFormatting sqref="E13:E20">
    <cfRule type="expression" dxfId="615" priority="70">
      <formula>ABS(E$16-E$19)&gt;=1000</formula>
    </cfRule>
  </conditionalFormatting>
  <conditionalFormatting sqref="F13 F15:F20">
    <cfRule type="expression" dxfId="614" priority="69">
      <formula>ABS(F$16-F$19)&gt;=1000</formula>
    </cfRule>
  </conditionalFormatting>
  <conditionalFormatting sqref="G13:G20">
    <cfRule type="expression" dxfId="613" priority="68">
      <formula>ABS(G$16-G$19)&gt;=1000</formula>
    </cfRule>
  </conditionalFormatting>
  <conditionalFormatting sqref="H13 H15:H20">
    <cfRule type="expression" dxfId="612" priority="67">
      <formula>ABS(H$16-H$19)&gt;=1000</formula>
    </cfRule>
  </conditionalFormatting>
  <conditionalFormatting sqref="I13:I20">
    <cfRule type="expression" dxfId="611" priority="66">
      <formula>ABS(I$16-I$19)&gt;=1000</formula>
    </cfRule>
  </conditionalFormatting>
  <conditionalFormatting sqref="J13:J20">
    <cfRule type="expression" dxfId="610" priority="65">
      <formula>ABS(J$16-J$19)&gt;=1000</formula>
    </cfRule>
  </conditionalFormatting>
  <conditionalFormatting sqref="L13:L20">
    <cfRule type="expression" dxfId="609" priority="64">
      <formula>ABS(L$16-L$19)&gt;=1000</formula>
    </cfRule>
  </conditionalFormatting>
  <conditionalFormatting sqref="M13 M15 M17:M18 M20">
    <cfRule type="expression" dxfId="608" priority="63">
      <formula>ABS(M$16-M$19)&gt;=1000</formula>
    </cfRule>
  </conditionalFormatting>
  <conditionalFormatting sqref="N13:N20">
    <cfRule type="expression" dxfId="607" priority="62">
      <formula>ABS(N$16-N$19)&gt;=1000</formula>
    </cfRule>
  </conditionalFormatting>
  <conditionalFormatting sqref="O13:O20">
    <cfRule type="expression" dxfId="606" priority="61">
      <formula>ABS(O$16-O$19)&gt;=1000</formula>
    </cfRule>
  </conditionalFormatting>
  <conditionalFormatting sqref="P13:P20">
    <cfRule type="expression" dxfId="605" priority="60">
      <formula>ABS(P$16-P$19)&gt;=1000</formula>
    </cfRule>
  </conditionalFormatting>
  <conditionalFormatting sqref="Q13 Q15:Q20">
    <cfRule type="expression" dxfId="604" priority="59">
      <formula>ABS(Q$16-Q$19)&gt;=1000</formula>
    </cfRule>
  </conditionalFormatting>
  <conditionalFormatting sqref="R13:R20">
    <cfRule type="expression" dxfId="603" priority="58">
      <formula>ABS(R$16-R$19)&gt;=1000</formula>
    </cfRule>
  </conditionalFormatting>
  <conditionalFormatting sqref="S13:S20">
    <cfRule type="expression" dxfId="602" priority="57">
      <formula>ABS(S$16-S$19)&gt;=1000</formula>
    </cfRule>
  </conditionalFormatting>
  <conditionalFormatting sqref="T13:T20">
    <cfRule type="expression" dxfId="601" priority="56">
      <formula>ABS(T$16-T$19)&gt;=1000</formula>
    </cfRule>
  </conditionalFormatting>
  <conditionalFormatting sqref="U13:U20">
    <cfRule type="expression" dxfId="600" priority="55">
      <formula>ABS(U$16-U$19)&gt;=1000</formula>
    </cfRule>
  </conditionalFormatting>
  <conditionalFormatting sqref="V13:V20">
    <cfRule type="expression" dxfId="599" priority="54">
      <formula>ABS(V$16-V$19)&gt;=1000</formula>
    </cfRule>
  </conditionalFormatting>
  <conditionalFormatting sqref="W13 W20 W15:W18">
    <cfRule type="expression" dxfId="598" priority="53">
      <formula>ABS(W$16-W$19)&gt;=1000</formula>
    </cfRule>
  </conditionalFormatting>
  <conditionalFormatting sqref="X13 X15:X20 Y19">
    <cfRule type="expression" dxfId="597" priority="52">
      <formula>ABS(X$16-X$19)&gt;=1000</formula>
    </cfRule>
  </conditionalFormatting>
  <conditionalFormatting sqref="Y13 Y15:Y18 Y20">
    <cfRule type="expression" dxfId="596" priority="51">
      <formula>ABS(Y$16-Y$19)&gt;=1000</formula>
    </cfRule>
  </conditionalFormatting>
  <conditionalFormatting sqref="Z13:Z20">
    <cfRule type="expression" dxfId="595" priority="50">
      <formula>ABS(Z$16-Z$19)&gt;=1000</formula>
    </cfRule>
  </conditionalFormatting>
  <conditionalFormatting sqref="AA13:AA20">
    <cfRule type="expression" dxfId="594" priority="49">
      <formula>ABS(AA$16-AA$19)&gt;=1000</formula>
    </cfRule>
  </conditionalFormatting>
  <conditionalFormatting sqref="AB13 AB15:AB20">
    <cfRule type="expression" dxfId="593" priority="48">
      <formula>ABS(AB$16-AB$19)&gt;=1000</formula>
    </cfRule>
  </conditionalFormatting>
  <conditionalFormatting sqref="AC13 AC15:AC20">
    <cfRule type="expression" dxfId="592" priority="47">
      <formula>ABS(AC$16-AC$19)&gt;=1000</formula>
    </cfRule>
  </conditionalFormatting>
  <conditionalFormatting sqref="AD13:AD20">
    <cfRule type="expression" dxfId="591" priority="46">
      <formula>ABS(AD$16-AD$19)&gt;=1000</formula>
    </cfRule>
  </conditionalFormatting>
  <conditionalFormatting sqref="AE13:AE20">
    <cfRule type="expression" dxfId="590" priority="45">
      <formula>ABS(AE$16-AE$19)&gt;=1000</formula>
    </cfRule>
  </conditionalFormatting>
  <conditionalFormatting sqref="D22:D29">
    <cfRule type="expression" dxfId="589" priority="44">
      <formula>ABS(D$25-D$28)&gt;=1000</formula>
    </cfRule>
  </conditionalFormatting>
  <conditionalFormatting sqref="E22:E29">
    <cfRule type="expression" dxfId="588" priority="43">
      <formula>ABS(E$25-E$28)&gt;=1000</formula>
    </cfRule>
  </conditionalFormatting>
  <conditionalFormatting sqref="F22:F29">
    <cfRule type="expression" dxfId="587" priority="42">
      <formula>ABS(F$25-F$28)&gt;=1000</formula>
    </cfRule>
  </conditionalFormatting>
  <conditionalFormatting sqref="G22:G29">
    <cfRule type="expression" dxfId="586" priority="41">
      <formula>ABS(G$25-G$28)&gt;=1000</formula>
    </cfRule>
  </conditionalFormatting>
  <conditionalFormatting sqref="H22:H29">
    <cfRule type="expression" dxfId="585" priority="40">
      <formula>ABS(H$25-H$28)&gt;=1000</formula>
    </cfRule>
  </conditionalFormatting>
  <conditionalFormatting sqref="I22 I24:I29">
    <cfRule type="expression" dxfId="584" priority="39">
      <formula>ABS(I$25-I$28)&gt;=1000</formula>
    </cfRule>
  </conditionalFormatting>
  <conditionalFormatting sqref="J22:J29 K22">
    <cfRule type="expression" dxfId="583" priority="38">
      <formula>ABS(J$25-J$28)&gt;=1000</formula>
    </cfRule>
  </conditionalFormatting>
  <conditionalFormatting sqref="K23:K29 L25 L28">
    <cfRule type="expression" dxfId="582" priority="37">
      <formula>ABS(K$25-K$28)&gt;=1000</formula>
    </cfRule>
  </conditionalFormatting>
  <conditionalFormatting sqref="L22 L26:L27 L29 L24">
    <cfRule type="expression" dxfId="581" priority="36">
      <formula>ABS(L$25-L$28)&gt;=1000</formula>
    </cfRule>
  </conditionalFormatting>
  <conditionalFormatting sqref="M22:M29">
    <cfRule type="expression" dxfId="580" priority="35">
      <formula>ABS(M$25-M$28)&gt;=1000</formula>
    </cfRule>
  </conditionalFormatting>
  <conditionalFormatting sqref="N22:N29">
    <cfRule type="expression" dxfId="579" priority="34">
      <formula>ABS(N$25-N$28)&gt;=1000</formula>
    </cfRule>
  </conditionalFormatting>
  <conditionalFormatting sqref="O22:O29">
    <cfRule type="expression" dxfId="578" priority="33">
      <formula>ABS(O$25-O$28)&gt;=1000</formula>
    </cfRule>
  </conditionalFormatting>
  <conditionalFormatting sqref="P22:P29">
    <cfRule type="expression" dxfId="577" priority="32">
      <formula>ABS(P$25-P$28)&gt;=1000</formula>
    </cfRule>
  </conditionalFormatting>
  <conditionalFormatting sqref="Q22:Q29">
    <cfRule type="expression" dxfId="576" priority="31">
      <formula>ABS(Q$25-Q$28)&gt;=1000</formula>
    </cfRule>
  </conditionalFormatting>
  <conditionalFormatting sqref="R22:R29">
    <cfRule type="expression" dxfId="575" priority="30">
      <formula>ABS(R$25-R$28)&gt;=1000</formula>
    </cfRule>
  </conditionalFormatting>
  <conditionalFormatting sqref="S22:S29">
    <cfRule type="expression" dxfId="574" priority="29">
      <formula>ABS(S$25-S$28)&gt;=1000</formula>
    </cfRule>
  </conditionalFormatting>
  <conditionalFormatting sqref="T22:T29">
    <cfRule type="expression" dxfId="573" priority="28">
      <formula>ABS(T$25-T$28)&gt;=1000</formula>
    </cfRule>
  </conditionalFormatting>
  <conditionalFormatting sqref="U22:U29">
    <cfRule type="expression" dxfId="572" priority="27">
      <formula>ABS(U$25-U$28)&gt;=1000</formula>
    </cfRule>
  </conditionalFormatting>
  <conditionalFormatting sqref="V22:V29">
    <cfRule type="expression" dxfId="571" priority="26">
      <formula>ABS(V$25-V$28)&gt;=1000</formula>
    </cfRule>
  </conditionalFormatting>
  <conditionalFormatting sqref="W22:W29">
    <cfRule type="expression" dxfId="570" priority="25">
      <formula>ABS(W$25-W$28)&gt;=1000</formula>
    </cfRule>
  </conditionalFormatting>
  <conditionalFormatting sqref="X22:X29">
    <cfRule type="expression" dxfId="569" priority="24">
      <formula>ABS(X$25-X$28)&gt;=1000</formula>
    </cfRule>
  </conditionalFormatting>
  <conditionalFormatting sqref="Y22:Y29">
    <cfRule type="expression" dxfId="568" priority="23">
      <formula>ABS(Y$25-Y$28)&gt;=1000</formula>
    </cfRule>
  </conditionalFormatting>
  <conditionalFormatting sqref="I23">
    <cfRule type="expression" dxfId="567" priority="22">
      <formula>ABS(I$25-I$28)&gt;=1000</formula>
    </cfRule>
  </conditionalFormatting>
  <conditionalFormatting sqref="Q14">
    <cfRule type="expression" dxfId="566" priority="21">
      <formula>ABS(Q$16-Q$19)&gt;=1000</formula>
    </cfRule>
  </conditionalFormatting>
  <conditionalFormatting sqref="W14">
    <cfRule type="expression" dxfId="565" priority="20">
      <formula>ABS(W$16-W$19)&gt;=1000</formula>
    </cfRule>
  </conditionalFormatting>
  <conditionalFormatting sqref="Y14">
    <cfRule type="expression" dxfId="564" priority="19">
      <formula>ABS(Y$16-Y$19)&gt;=1000</formula>
    </cfRule>
  </conditionalFormatting>
  <conditionalFormatting sqref="X14">
    <cfRule type="expression" dxfId="563" priority="18">
      <formula>ABS(X$16-X$19)&gt;=1000</formula>
    </cfRule>
  </conditionalFormatting>
  <conditionalFormatting sqref="T10:Y10">
    <cfRule type="expression" dxfId="562" priority="17">
      <formula>ABS(T$7-T$10)&gt;=1000</formula>
    </cfRule>
  </conditionalFormatting>
  <conditionalFormatting sqref="W19">
    <cfRule type="expression" dxfId="561" priority="16">
      <formula>ABS(W$16-W$19)&gt;=1000</formula>
    </cfRule>
  </conditionalFormatting>
  <conditionalFormatting sqref="AC5">
    <cfRule type="expression" dxfId="560" priority="15">
      <formula>ABS(AC$7-AC$10)&gt;=1000</formula>
    </cfRule>
  </conditionalFormatting>
  <conditionalFormatting sqref="M14">
    <cfRule type="expression" dxfId="559" priority="14">
      <formula>ABS(M$16-M$19)&gt;=1000</formula>
    </cfRule>
  </conditionalFormatting>
  <conditionalFormatting sqref="M16">
    <cfRule type="expression" dxfId="558" priority="13">
      <formula>ABS(M$16-M$19)&gt;=1000</formula>
    </cfRule>
  </conditionalFormatting>
  <conditionalFormatting sqref="M19">
    <cfRule type="expression" dxfId="557" priority="12">
      <formula>ABS(M$16-M$19)&gt;=1000</formula>
    </cfRule>
  </conditionalFormatting>
  <conditionalFormatting sqref="K13:K20">
    <cfRule type="expression" dxfId="556" priority="11">
      <formula>ABS(K$16-K$19)&gt;=1000</formula>
    </cfRule>
  </conditionalFormatting>
  <conditionalFormatting sqref="E5">
    <cfRule type="expression" dxfId="555" priority="10">
      <formula>ABS(E$7-E$10)&gt;=1000</formula>
    </cfRule>
  </conditionalFormatting>
  <conditionalFormatting sqref="AB14:AC14">
    <cfRule type="expression" dxfId="554" priority="9">
      <formula>ABS(AB$16-AB$19)&gt;=1000</formula>
    </cfRule>
  </conditionalFormatting>
  <conditionalFormatting sqref="M5">
    <cfRule type="expression" dxfId="553" priority="8">
      <formula>ABS(M$7-M$10)&gt;=1000</formula>
    </cfRule>
  </conditionalFormatting>
  <conditionalFormatting sqref="N5">
    <cfRule type="expression" dxfId="552" priority="7">
      <formula>ABS(N$7-N$10)&gt;=1000</formula>
    </cfRule>
  </conditionalFormatting>
  <conditionalFormatting sqref="O5">
    <cfRule type="expression" dxfId="551" priority="6">
      <formula>ABS(O$7-O$10)&gt;=1000</formula>
    </cfRule>
  </conditionalFormatting>
  <conditionalFormatting sqref="P5">
    <cfRule type="expression" dxfId="550" priority="5">
      <formula>ABS(P$7-P$10)&gt;=1000</formula>
    </cfRule>
  </conditionalFormatting>
  <conditionalFormatting sqref="L23">
    <cfRule type="expression" dxfId="549" priority="4">
      <formula>ABS(L$25-L$28)&gt;=1000</formula>
    </cfRule>
  </conditionalFormatting>
  <conditionalFormatting sqref="F14">
    <cfRule type="expression" dxfId="548" priority="3">
      <formula>ABS(F$16-F$19)&gt;=1000</formula>
    </cfRule>
  </conditionalFormatting>
  <conditionalFormatting sqref="AE5">
    <cfRule type="expression" dxfId="547" priority="2">
      <formula>ABS(AE$25-AE$28)&gt;=1000</formula>
    </cfRule>
  </conditionalFormatting>
  <conditionalFormatting sqref="H14">
    <cfRule type="expression" dxfId="546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15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93">
    <pageSetUpPr fitToPage="1"/>
  </sheetPr>
  <dimension ref="A1:CU223"/>
  <sheetViews>
    <sheetView view="pageBreakPreview" topLeftCell="A4" zoomScale="70" zoomScaleNormal="100" zoomScaleSheetLayoutView="70" workbookViewId="0">
      <selection activeCell="H14" sqref="H1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46017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66" t="s" ph="1">
        <v>177</v>
      </c>
      <c r="D6" s="71">
        <v>6652</v>
      </c>
      <c r="E6" s="71">
        <v>2241</v>
      </c>
      <c r="F6" s="71">
        <v>2444</v>
      </c>
      <c r="G6" s="71">
        <v>6941</v>
      </c>
      <c r="H6" s="71">
        <v>405</v>
      </c>
      <c r="I6" s="71">
        <v>14.11</v>
      </c>
      <c r="J6" s="71">
        <v>6.62</v>
      </c>
      <c r="K6" s="71">
        <v>7.41</v>
      </c>
      <c r="L6" s="71">
        <v>8.2100000000000009</v>
      </c>
      <c r="M6" s="71">
        <v>2670</v>
      </c>
      <c r="N6" s="71">
        <v>6624</v>
      </c>
      <c r="O6" s="71">
        <v>3301</v>
      </c>
      <c r="P6" s="71">
        <v>601</v>
      </c>
      <c r="Q6" s="71">
        <v>0</v>
      </c>
      <c r="R6" s="71">
        <v>432</v>
      </c>
      <c r="S6" s="71">
        <v>4517</v>
      </c>
      <c r="T6" s="71">
        <v>7104</v>
      </c>
      <c r="U6" s="71">
        <v>6532</v>
      </c>
      <c r="V6" s="71">
        <v>2600</v>
      </c>
      <c r="W6" s="71">
        <v>2458</v>
      </c>
      <c r="X6" s="71">
        <v>0</v>
      </c>
      <c r="Y6" s="71">
        <v>0</v>
      </c>
      <c r="Z6" s="71">
        <v>2755</v>
      </c>
      <c r="AA6" s="71">
        <v>2886</v>
      </c>
      <c r="AB6" s="71">
        <v>332</v>
      </c>
      <c r="AC6" s="71">
        <v>9300</v>
      </c>
      <c r="AD6" s="71">
        <v>4780</v>
      </c>
      <c r="AE6" s="71">
        <v>4205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210140.32416516001</v>
      </c>
      <c r="E7" s="73" ph="1">
        <f>E6*51.53*LOOKUP(E8,密度!$A$2:$A$50,密度!$B$2:$B$50)</f>
        <v>90997.239239999995</v>
      </c>
      <c r="F7" s="73" ph="1">
        <f>F6*33.183*LOOKUP(F8,密度!$A$2:$A$50,密度!$C$2:$C$50)</f>
        <v>90490.545381599979</v>
      </c>
      <c r="G7" s="73" ph="1">
        <f xml:space="preserve"> (G6+2)*51.53*LOOKUP(G8,密度!$A$2:$A$50,密度!$B$2:$B$50)</f>
        <v>281352.52205599996</v>
      </c>
      <c r="H7" s="73" ph="1">
        <f>(H6)*51.53*LOOKUP(H8,密度!$A$2:$A$50,密度!$B$2:$B$50)</f>
        <v>16464.066885000004</v>
      </c>
      <c r="I7" s="73" ph="1">
        <f>I6*290.8*1.0267</f>
        <v>4212.7431195999998</v>
      </c>
      <c r="J7" s="73" ph="1">
        <f>J6*290.8*0.7892</f>
        <v>1519.2857632</v>
      </c>
      <c r="K7" s="73" ph="1">
        <f>K6*290.8*1.1126</f>
        <v>2397.4616328000002</v>
      </c>
      <c r="L7" s="73" ph="1">
        <f>L6*290.8*0.777</f>
        <v>1855.0626360000003</v>
      </c>
      <c r="M7" s="73" ph="1">
        <f>M6*33.183*LOOKUP(M8,密度!$A$2:$A$50,密度!$D$2:$D$50)</f>
        <v>91681.841627999995</v>
      </c>
      <c r="N7" s="73" ph="1">
        <f>N6*33.183*LOOKUP(N8,密度!$A$2:$A$50,密度!$E$2:$E$50)</f>
        <v>173469.46832640001</v>
      </c>
      <c r="O7" s="73" ph="1">
        <f>O6*20.428*LOOKUP(O8,密度!$A$2:$A$50,密度!$C$2:$C$50)</f>
        <v>74978.561453200018</v>
      </c>
      <c r="P7" s="73" ph="1">
        <f>P6*51.53*LOOKUP(P8,密度!$A$2:$A$50,密度!$B$2:$B$50)</f>
        <v>24456.637841</v>
      </c>
      <c r="Q7" s="73" ph="1">
        <f>Q6*1.5*1.5*3.1416*LOOKUP(W8,密度!$A$2:$A$50,密度!$L$2:$L$50)</f>
        <v>0</v>
      </c>
      <c r="R7" s="73" ph="1">
        <f>R6*1.5*1.5*3.1416*LOOKUP(R8,密度!$A$2:$A$50,密度!$L$2:$L$50)</f>
        <v>2876.5243584</v>
      </c>
      <c r="S7" s="73" ph="1">
        <f>S6*1.5*1.5*3.1416*LOOKUP(S8,密度!$A$2:$A$50,密度!$L$2:$L$50)</f>
        <v>30300.494023799998</v>
      </c>
      <c r="T7" s="73" ph="1">
        <f>T6*1.5*1.5*3.1416*LOOKUP(T8,密度!$A$2:$A$50,密度!$L$2:$L$50)</f>
        <v>47654.352345599997</v>
      </c>
      <c r="U7" s="73" ph="1">
        <f>U6*1.5*1.5*3.1416*LOOKUP(U8,密度!$A$2:$A$50,密度!$L$2:$L$50)</f>
        <v>43678.802059199996</v>
      </c>
      <c r="V7" s="73" ph="1">
        <f>V6*1.5*1.5*3.1416*LOOKUP(V8,密度!$A$2:$A$50,密度!$L$2:$L$50)</f>
        <v>17312.415119999998</v>
      </c>
      <c r="W7" s="73" ph="1">
        <f>W6*1.5*1.5*3.1416*LOOKUP(W8,密度!$A$2:$A$50,密度!$L$2:$L$50)</f>
        <v>16419.014766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86848.206749999983</v>
      </c>
      <c r="AA7" s="73" ph="1">
        <f>AA6*33.183*LOOKUP(AA8,密度!$A$2:$A$50,密度!$D$2:$D$50)</f>
        <v>99175.412512800016</v>
      </c>
      <c r="AB7" s="73" ph="1">
        <f>AB6*20.428*LOOKUP(AB8,密度!$A$2:$A$50,密度!$D$2:$D$50)</f>
        <v>7053.3798400000005</v>
      </c>
      <c r="AC7" s="73" ph="1">
        <f>AC6*51.53*LOOKUP(AC8,密度!$A$2:$A$50,密度!$Q$2:$Q$50)</f>
        <v>457443.24966000003</v>
      </c>
      <c r="AD7" s="73" ph="1">
        <f>AD6*20.428*LOOKUP(AD8,密度!$A$2:$A$50,密度!$V$2:$V$50)</f>
        <v>94130.589760000003</v>
      </c>
      <c r="AE7" s="73" ph="1">
        <f>AE6*20.428</f>
        <v>85899.74</v>
      </c>
    </row>
    <row r="8" spans="1:99" ph="1">
      <c r="B8" s="247" ph="1"/>
      <c r="C8" s="68" t="s" ph="1">
        <v>179</v>
      </c>
      <c r="D8" s="74">
        <v>18</v>
      </c>
      <c r="E8" s="74">
        <v>15</v>
      </c>
      <c r="F8" s="74">
        <v>15</v>
      </c>
      <c r="G8" s="74">
        <v>17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20</v>
      </c>
      <c r="O8" s="74">
        <v>21</v>
      </c>
      <c r="P8" s="74">
        <v>13</v>
      </c>
      <c r="Q8" s="74">
        <v>16</v>
      </c>
      <c r="R8" s="74">
        <v>20</v>
      </c>
      <c r="S8" s="74">
        <v>13</v>
      </c>
      <c r="T8" s="74">
        <v>13</v>
      </c>
      <c r="U8" s="74">
        <v>16</v>
      </c>
      <c r="V8" s="74">
        <v>20</v>
      </c>
      <c r="W8" s="74">
        <v>17</v>
      </c>
      <c r="X8" s="74">
        <v>11</v>
      </c>
      <c r="Y8" s="74">
        <v>15</v>
      </c>
      <c r="Z8" s="74">
        <v>12</v>
      </c>
      <c r="AA8" s="74">
        <v>15</v>
      </c>
      <c r="AB8" s="74">
        <v>10</v>
      </c>
      <c r="AC8" s="74">
        <v>12</v>
      </c>
      <c r="AD8" s="74">
        <v>14</v>
      </c>
      <c r="AE8" s="74">
        <v>18</v>
      </c>
    </row>
    <row r="9" spans="1:99" ht="26.4" ph="1">
      <c r="B9" s="247" ph="1">
        <v>0.66666666666666663</v>
      </c>
      <c r="C9" s="166" t="s" ph="1">
        <v>180</v>
      </c>
      <c r="D9" s="71">
        <v>6651</v>
      </c>
      <c r="E9" s="71">
        <v>2240</v>
      </c>
      <c r="F9" s="71">
        <v>2442</v>
      </c>
      <c r="G9" s="71">
        <v>6662</v>
      </c>
      <c r="H9" s="71">
        <v>405</v>
      </c>
      <c r="I9" s="71">
        <v>14.01</v>
      </c>
      <c r="J9" s="71">
        <v>6.71</v>
      </c>
      <c r="K9" s="71">
        <v>7.41</v>
      </c>
      <c r="L9" s="71">
        <v>25.61</v>
      </c>
      <c r="M9" s="71">
        <v>2669</v>
      </c>
      <c r="N9" s="71">
        <v>6619</v>
      </c>
      <c r="O9" s="71">
        <v>3299</v>
      </c>
      <c r="P9" s="71">
        <v>228</v>
      </c>
      <c r="Q9" s="71">
        <v>0</v>
      </c>
      <c r="R9" s="71">
        <v>0</v>
      </c>
      <c r="S9" s="71">
        <v>117</v>
      </c>
      <c r="T9" s="71">
        <v>7102</v>
      </c>
      <c r="U9" s="71">
        <v>6529</v>
      </c>
      <c r="V9" s="71">
        <v>4810</v>
      </c>
      <c r="W9" s="71">
        <v>5182</v>
      </c>
      <c r="X9" s="71">
        <v>4456</v>
      </c>
      <c r="Y9" s="71">
        <v>0</v>
      </c>
      <c r="Z9" s="71">
        <v>469</v>
      </c>
      <c r="AA9" s="71">
        <v>2886</v>
      </c>
      <c r="AB9" s="71">
        <v>330</v>
      </c>
      <c r="AC9" s="71">
        <v>9296</v>
      </c>
      <c r="AD9" s="71">
        <v>4780</v>
      </c>
      <c r="AE9" s="71">
        <v>4296</v>
      </c>
    </row>
    <row r="10" spans="1:99" s="72" customFormat="1" ht="22.2" ph="1">
      <c r="B10" s="247" ph="1"/>
      <c r="C10" s="166" t="s" ph="1">
        <v>178</v>
      </c>
      <c r="D10" s="73" ph="1">
        <f>D9*33.183*LOOKUP(D11,密度!$A$2:$A$50,密度!$Q$2:$Q$50)</f>
        <v>210108.73361733</v>
      </c>
      <c r="E10" s="73" ph="1">
        <f>E9*51.53*LOOKUP(E11,密度!$A$2:$A$50,密度!$B$2:$B$50)</f>
        <v>90090.929599999989</v>
      </c>
      <c r="F10" s="73" ph="1">
        <f>F9*33.183*LOOKUP(F11,密度!$A$2:$A$50,密度!$C$2:$C$50)</f>
        <v>90367.874467200003</v>
      </c>
      <c r="G10" s="73" ph="1">
        <f xml:space="preserve"> (G9+2)*51.53*LOOKUP(G11,密度!$A$2:$A$50,密度!$B$2:$B$50)</f>
        <v>269806.174344</v>
      </c>
      <c r="H10" s="73" ph="1">
        <f>(H9)*51.53*LOOKUP(H11,密度!$A$2:$A$50,密度!$B$2:$B$50)</f>
        <v>16445.284200000002</v>
      </c>
      <c r="I10" s="73" ph="1">
        <f>I9*290.8*1.0267</f>
        <v>4182.8866835999997</v>
      </c>
      <c r="J10" s="73" ph="1">
        <f>J9*290.8*0.7892</f>
        <v>1539.9407056</v>
      </c>
      <c r="K10" s="73" ph="1">
        <f>K9*290.8*1.1126</f>
        <v>2397.4616328000002</v>
      </c>
      <c r="L10" s="73" ph="1">
        <f>L9*290.8*0.777</f>
        <v>5786.6204760000001</v>
      </c>
      <c r="M10" s="73" ph="1">
        <f>M9*33.183*LOOKUP(M11,密度!$A$2:$A$50,密度!$D$2:$D$50)</f>
        <v>91567.794975299999</v>
      </c>
      <c r="N10" s="73" ph="1">
        <f>N9*33.183*LOOKUP(N11,密度!$A$2:$A$50,密度!$E$2:$E$50)</f>
        <v>173338.52820840001</v>
      </c>
      <c r="O10" s="73" ph="1">
        <f>O9*20.428*LOOKUP(O11,密度!$A$2:$A$50,密度!$C$2:$C$50)</f>
        <v>74879.220089200011</v>
      </c>
      <c r="P10" s="73" ph="1">
        <f>P9*51.53*LOOKUP(P11,密度!$A$2:$A$50,密度!$B$2:$B$50)</f>
        <v>9258.0859200000014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779.05868039999996</v>
      </c>
      <c r="T10" s="73" ph="1">
        <f>T9*1.5*1.5*3.1416*LOOKUP(T11,密度!$A$2:$A$50,密度!$L$2:$L$50)</f>
        <v>47540.533748399997</v>
      </c>
      <c r="U10" s="73" ph="1">
        <f>U9*1.5*1.5*3.1416*LOOKUP(U11,密度!$A$2:$A$50,密度!$L$2:$L$50)</f>
        <v>43566.4395936</v>
      </c>
      <c r="V10" s="73" ph="1">
        <f>V9*1.5*1.5*3.1416*LOOKUP(V11,密度!$A$2:$A$50,密度!$L$2:$L$50)</f>
        <v>31925.968073999997</v>
      </c>
      <c r="W10" s="73" ph="1">
        <f>W9*1.5*1.5*3.1416*LOOKUP(W11,密度!$A$2:$A$50,密度!$L$2:$L$50)</f>
        <v>34614.863514000004</v>
      </c>
      <c r="X10" s="73" ph="1">
        <f>X9*1.5*1.5*3.1416*LOOKUP(X11,密度!$A$2:$A$50,密度!$L$2:$L$50)</f>
        <v>29922.79752</v>
      </c>
      <c r="Y10" s="73" ph="1">
        <f>Y9*1.5*1.5*3.1416*LOOKUP(Y11,密度!$A$2:$A$50,密度!$L$2:$L$50)</f>
        <v>0</v>
      </c>
      <c r="Z10" s="73" ph="1">
        <f>Z9*33.183*LOOKUP(Z11,密度!$A$2:$A$50,密度!$L$2:$L$50)</f>
        <v>14753.559995999998</v>
      </c>
      <c r="AA10" s="73" ph="1">
        <f>AA9*33.183*LOOKUP(AA11,密度!$A$2:$A$50,密度!$D$2:$D$50)</f>
        <v>99175.412512800016</v>
      </c>
      <c r="AB10" s="73" ph="1">
        <f>AB9*20.428*LOOKUP(AB11,密度!$A$2:$A$50,密度!$D$2:$D$50)</f>
        <v>6999.4294920000011</v>
      </c>
      <c r="AC10" s="73" ph="1">
        <f>AC9*51.53*LOOKUP(AC11,密度!$A$2:$A$50,密度!$Q$2:$Q$50)</f>
        <v>457246.49987520004</v>
      </c>
      <c r="AD10" s="73" ph="1">
        <f>AD9*20.428*LOOKUP(AD11,密度!$A$2:$A$50,密度!$V$2:$V$50)</f>
        <v>94130.589760000003</v>
      </c>
      <c r="AE10" s="73" ph="1">
        <f>AE9*20.428</f>
        <v>87758.688000000009</v>
      </c>
    </row>
    <row r="11" spans="1:99" ph="1">
      <c r="A11" s="64" t="s" ph="1">
        <v>162</v>
      </c>
      <c r="B11" s="247" ph="1"/>
      <c r="C11" s="166" t="s" ph="1">
        <v>179</v>
      </c>
      <c r="D11" s="74">
        <v>18</v>
      </c>
      <c r="E11" s="74">
        <v>24</v>
      </c>
      <c r="F11" s="74">
        <v>16</v>
      </c>
      <c r="G11" s="74">
        <v>18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20</v>
      </c>
      <c r="O11" s="74">
        <v>22</v>
      </c>
      <c r="P11" s="74">
        <v>15</v>
      </c>
      <c r="Q11" s="74">
        <v>21</v>
      </c>
      <c r="R11" s="74">
        <v>22</v>
      </c>
      <c r="S11" s="74">
        <v>20</v>
      </c>
      <c r="T11" s="74">
        <v>15</v>
      </c>
      <c r="U11" s="74">
        <v>18</v>
      </c>
      <c r="V11" s="74">
        <v>23</v>
      </c>
      <c r="W11" s="74">
        <v>17</v>
      </c>
      <c r="X11" s="74">
        <v>12</v>
      </c>
      <c r="Y11" s="74">
        <v>19</v>
      </c>
      <c r="Z11" s="74">
        <v>14</v>
      </c>
      <c r="AA11" s="74">
        <v>15</v>
      </c>
      <c r="AB11" s="74">
        <v>12</v>
      </c>
      <c r="AC11" s="74">
        <v>15</v>
      </c>
      <c r="AD11" s="74">
        <v>16</v>
      </c>
      <c r="AE11" s="74">
        <v>20</v>
      </c>
    </row>
    <row r="12" spans="1:99" ht="9.9" customHeight="1" ph="1"/>
    <row r="13" spans="1:99" s="72" customFormat="1" ht="29.25" customHeight="1" ph="1">
      <c r="B13" s="224" t="s" ph="1">
        <v>37</v>
      </c>
      <c r="C13" s="16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0" t="s" ph="1">
        <v>615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66" t="s" ph="1">
        <v>177</v>
      </c>
      <c r="D15" s="78">
        <v>5956</v>
      </c>
      <c r="E15" s="78">
        <v>2933</v>
      </c>
      <c r="F15" s="78">
        <v>2106</v>
      </c>
      <c r="G15" s="78">
        <v>4520</v>
      </c>
      <c r="H15" s="78">
        <v>384</v>
      </c>
      <c r="I15" s="78">
        <v>3673</v>
      </c>
      <c r="J15" s="78">
        <v>125</v>
      </c>
      <c r="K15" s="78">
        <v>2383</v>
      </c>
      <c r="L15" s="78">
        <v>254</v>
      </c>
      <c r="M15" s="78">
        <v>3267</v>
      </c>
      <c r="N15" s="78">
        <v>1808</v>
      </c>
      <c r="O15" s="78">
        <v>5246</v>
      </c>
      <c r="P15" s="78">
        <v>3592</v>
      </c>
      <c r="Q15" s="78">
        <v>6955</v>
      </c>
      <c r="R15" s="78">
        <v>7345</v>
      </c>
      <c r="S15" s="78">
        <v>6395</v>
      </c>
      <c r="T15" s="78">
        <v>5225</v>
      </c>
      <c r="U15" s="78">
        <v>3546</v>
      </c>
      <c r="V15" s="78">
        <v>4998</v>
      </c>
      <c r="W15" s="71">
        <v>3377</v>
      </c>
      <c r="X15" s="78">
        <v>665</v>
      </c>
      <c r="Y15" s="106">
        <v>-9900</v>
      </c>
      <c r="Z15" s="78">
        <v>0</v>
      </c>
      <c r="AA15" s="78">
        <v>14</v>
      </c>
      <c r="AB15" s="78" ph="1">
        <v>1529</v>
      </c>
      <c r="AC15" s="78" ph="1">
        <v>29</v>
      </c>
      <c r="AD15" s="78">
        <v>86.61</v>
      </c>
      <c r="AE15" s="78">
        <v>22.41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66" t="s" ph="1">
        <v>178</v>
      </c>
      <c r="D16" s="73" ph="1">
        <f>D15*7.0686*LOOKUP(D17,密度!$A$2:$A$50,密度!$L$2:$L$50)</f>
        <v>39742.949030399999</v>
      </c>
      <c r="E16" s="73" ph="1">
        <f>E15*7.0686*LOOKUP(E17,密度!$A$2:$A$50,密度!$L$2:$L$50)</f>
        <v>19591.932590999997</v>
      </c>
      <c r="F16" s="73" ph="1">
        <f>F15*9.0746*LOOKUP(F17,密度!$A$2:$A$50,密度!$L$2:$L$50)</f>
        <v>18002.6633592</v>
      </c>
      <c r="G16" s="73" ph="1">
        <f>G15*9.0746*LOOKUP(G17,密度!$A$2:$A$50,密度!$B$2:$B$50)</f>
        <v>32255.919788800002</v>
      </c>
      <c r="H16" s="73" ph="1">
        <f>H15*9.0746*LOOKUP(H17,密度!$A$2:$A$50,密度!$L$2:$L$50)</f>
        <v>3310.41408</v>
      </c>
      <c r="I16" s="73" ph="1">
        <f>I15*9.0746*LOOKUP(I17,密度!$A$2:$A$50,密度!$U$2:$U$50)</f>
        <v>34264.273962400002</v>
      </c>
      <c r="J16" s="73" ph="1">
        <f>J15*9.0746*LOOKUP(J17,密度!$A$2:$A$50,密度!$L$2:$L$50)</f>
        <v>1074.2057749999999</v>
      </c>
      <c r="K16" s="73" ph="1">
        <f>K15*9.0746*LOOKUP(K17,密度!$A$2:$A$50,密度!$C$2:$C$50)</f>
        <v>24115.945511360002</v>
      </c>
      <c r="L16" s="73" ph="1">
        <f>L15*9.0746*LOOKUP(L17,密度!$A$2:$A$50,密度!$E$2:$E$50)</f>
        <v>1826.6716070000002</v>
      </c>
      <c r="M16" s="73" ph="1">
        <f>M15*9.0746*LOOKUP(M17,密度!$A$2:$A$50,密度!$M$2:$M$50)</f>
        <v>26098.006031459998</v>
      </c>
      <c r="N16" s="73" ph="1">
        <f>N15*9.0746*LOOKUP(N17,密度!$A$2:$A$50,密度!$M$2:$M$50)</f>
        <v>14442.97364704</v>
      </c>
      <c r="O16" s="73" ph="1">
        <f>O15*9.0746*LOOKUP(O17,密度!$A$2:$A$50,密度!$G$2:$G$50)</f>
        <v>46081.980348800003</v>
      </c>
      <c r="P16" s="73" ph="1">
        <f ca="1">P15*9.0746*LOOKUP(P17,密度!$A$2:$A$51,密度!$Q$2:$Q$50)</f>
        <v>31006.258074736001</v>
      </c>
      <c r="Q16" s="73" ph="1">
        <f>Q15*9.0746*LOOKUP(Q17,密度!$A$2:$A$50,密度!$Q$2:$Q$50)</f>
        <v>60244.687697220004</v>
      </c>
      <c r="R16" s="73" ph="1">
        <f>MAX(R15*9.0746*LOOKUP(R17,密度!$A$2:$A$50,密度!$B$2:$B$50),0)</f>
        <v>52315.890251300007</v>
      </c>
      <c r="S16" s="73" ph="1">
        <f>S15*9.0746*LOOKUP(S17,密度!$A$2:$A$50,密度!$Q$2:$Q$50)</f>
        <v>55292.953437600001</v>
      </c>
      <c r="T16" s="73" ph="1">
        <f>T15*9.0746*LOOKUP(T17,密度!$A$2:$A$50,密度!$O$2:$O$50)</f>
        <v>44285.409190000006</v>
      </c>
      <c r="U16" s="73" ph="1">
        <f>U15*9.0746*LOOKUP(U17,密度!$A$2:$A$50,密度!$H$2:$H$50)</f>
        <v>29787.666702120001</v>
      </c>
      <c r="V16" s="73" ph="1">
        <f>MAX(5600*LOOKUP(V17,密度!$A$2:$A$50,密度!$Q$2:$Q$50)+V15*9.0476*LOOKUP(V17,密度!$A$2:$A$50,密度!$Q$2:$Q$50),0)</f>
        <v>48421.205293439998</v>
      </c>
      <c r="W16" s="73" ph="1">
        <f>MAX(5600*LOOKUP(W17,密度!$A$2:$A$50,密度!$Q$2:$Q$50)+W15*9.0476*LOOKUP(W17,密度!$A$2:$A$50,密度!$Q$2:$Q$50),0)</f>
        <v>34447.288426560001</v>
      </c>
      <c r="X16" s="73" ph="1">
        <f>MAX(5600*LOOKUP(X17,密度!$A$2:$A$50,密度!$I$2:$I$50)+X15*9.0476*LOOKUP(X17,密度!$A$2:$A$50,密度!$I$2:$I$50),0)</f>
        <v>12185.870046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100.32696267999999</v>
      </c>
      <c r="AB16" s="73" ph="1">
        <f>AB15*9.0746*LOOKUP(AB17,密度!$A$2:$A$50,密度!$L$2:$L$50)</f>
        <v>13098.0598496</v>
      </c>
      <c r="AC16" s="73" ph="1">
        <f>AC15*9.0746*LOOKUP(AC17,密度!$A$2:$A$50,密度!$L$2:$L$50)</f>
        <v>249.74206660000002</v>
      </c>
      <c r="AD16" s="73" ph="1">
        <f>AD15*268.68*LOOKUP(AD17,密度!$A$2:$A$50,密度!B2:B50)+IF(AD15&lt;=0,0,1566*LOOKUP(AD17,密度!$A$2:$A$50,密度!B2:B50))</f>
        <v>19362.43779408</v>
      </c>
      <c r="AE16" s="73" ph="1">
        <f>AE15*268.68*LOOKUP(AE17,密度!$A$2:$A$50,密度!B2:B50)+IF(AE15&lt;=0,0,1566*LOOKUP(AE17,密度!$A$2:$A$50,密度!B2:B50))</f>
        <v>5914.9178164799996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18</v>
      </c>
      <c r="E17" s="74">
        <v>17</v>
      </c>
      <c r="F17" s="74">
        <v>20</v>
      </c>
      <c r="G17" s="74">
        <v>17</v>
      </c>
      <c r="H17" s="74">
        <v>12</v>
      </c>
      <c r="I17" s="74">
        <v>15</v>
      </c>
      <c r="J17" s="74">
        <v>15</v>
      </c>
      <c r="K17" s="74">
        <v>16</v>
      </c>
      <c r="L17" s="74">
        <v>17</v>
      </c>
      <c r="M17" s="74">
        <v>18</v>
      </c>
      <c r="N17" s="74">
        <v>17</v>
      </c>
      <c r="O17" s="74">
        <v>18</v>
      </c>
      <c r="P17" s="74">
        <v>19</v>
      </c>
      <c r="Q17" s="74">
        <v>15</v>
      </c>
      <c r="R17" s="74">
        <v>19</v>
      </c>
      <c r="S17" s="74">
        <v>17</v>
      </c>
      <c r="T17" s="74">
        <v>17</v>
      </c>
      <c r="U17" s="74">
        <v>14</v>
      </c>
      <c r="V17" s="74">
        <v>17</v>
      </c>
      <c r="W17" s="74">
        <v>17</v>
      </c>
      <c r="X17" s="74">
        <v>19</v>
      </c>
      <c r="Y17" s="108">
        <v>19</v>
      </c>
      <c r="Z17" s="74">
        <v>15</v>
      </c>
      <c r="AA17" s="74">
        <v>13</v>
      </c>
      <c r="AB17" s="74">
        <v>18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5954</v>
      </c>
      <c r="E18" s="71">
        <v>4173</v>
      </c>
      <c r="F18" s="71">
        <v>2105</v>
      </c>
      <c r="G18" s="71">
        <v>4574</v>
      </c>
      <c r="H18" s="71">
        <v>1713</v>
      </c>
      <c r="I18" s="71">
        <v>3672</v>
      </c>
      <c r="J18" s="71">
        <v>189</v>
      </c>
      <c r="K18" s="71">
        <v>2382</v>
      </c>
      <c r="L18" s="71">
        <v>3551</v>
      </c>
      <c r="M18" s="71">
        <v>1778</v>
      </c>
      <c r="N18" s="71">
        <v>3137</v>
      </c>
      <c r="O18" s="71">
        <v>5224</v>
      </c>
      <c r="P18" s="71">
        <v>3589</v>
      </c>
      <c r="Q18" s="71">
        <v>6953</v>
      </c>
      <c r="R18" s="71">
        <v>7343</v>
      </c>
      <c r="S18" s="71">
        <v>6395</v>
      </c>
      <c r="T18" s="71">
        <v>4453</v>
      </c>
      <c r="U18" s="71">
        <v>5373</v>
      </c>
      <c r="V18" s="71">
        <v>4997</v>
      </c>
      <c r="W18" s="71">
        <v>3375</v>
      </c>
      <c r="X18" s="71">
        <v>661</v>
      </c>
      <c r="Y18" s="109">
        <v>-9902</v>
      </c>
      <c r="Z18" s="71">
        <v>0</v>
      </c>
      <c r="AA18" s="71">
        <v>10</v>
      </c>
      <c r="AB18" s="71">
        <v>1527</v>
      </c>
      <c r="AC18" s="71">
        <v>32</v>
      </c>
      <c r="AD18" s="71">
        <v>5.52</v>
      </c>
      <c r="AE18" s="71">
        <v>73.91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66" t="s" ph="1">
        <v>178</v>
      </c>
      <c r="D19" s="73" ph="1">
        <f>D18*7.0686*LOOKUP(D20,密度!$A$2:$A$50,密度!$L$2:$L$50)</f>
        <v>39687.517069199996</v>
      </c>
      <c r="E19" s="73" ph="1">
        <f>E18*7.0686*LOOKUP(E20,密度!$A$2:$A$50,密度!$L$2:$L$50)</f>
        <v>27845.420803199999</v>
      </c>
      <c r="F19" s="73" ph="1">
        <f>F18*9.0746*LOOKUP(F20,密度!$A$2:$A$50,密度!$L$2:$L$50)</f>
        <v>17955.91102</v>
      </c>
      <c r="G19" s="73" ph="1">
        <f>G18*9.0746*LOOKUP(G20,密度!$A$2:$A$50,密度!$B$2:$B$50)</f>
        <v>32641.278122559997</v>
      </c>
      <c r="H19" s="73" ph="1">
        <f>H18*9.0746*LOOKUP(H20,密度!$A$2:$A$50,密度!$L$2:$L$50)</f>
        <v>14674.281571199999</v>
      </c>
      <c r="I19" s="73" ph="1">
        <f>I18*9.0746*LOOKUP(I20,密度!$A$2:$A$50,密度!$U$2:$U$50)</f>
        <v>34254.945273600002</v>
      </c>
      <c r="J19" s="73" ph="1">
        <f>J18*9.0746*LOOKUP(J20,密度!$A$2:$A$50,密度!$L$2:$L$50)</f>
        <v>1619.0538336</v>
      </c>
      <c r="K19" s="73" ph="1">
        <f>K18*9.0746*LOOKUP(K20,密度!$A$2:$A$50,密度!$C$2:$C$50)</f>
        <v>24090.694529400003</v>
      </c>
      <c r="L19" s="73" ph="1">
        <f>L18*9.0746*LOOKUP(L20,密度!$A$2:$A$50,密度!$E$2:$E$50)</f>
        <v>25501.99810044</v>
      </c>
      <c r="M19" s="73" ph="1">
        <f>M18*9.0746*LOOKUP(M20,密度!$A$2:$A$50,密度!$M$2:$M$50)</f>
        <v>14203.32253564</v>
      </c>
      <c r="N19" s="73" ph="1">
        <f>N18*9.0746*LOOKUP(N20,密度!$A$2:$A$50,密度!$M$2:$M$50)</f>
        <v>25059.517882059998</v>
      </c>
      <c r="O19" s="73" ph="1">
        <f>O18*9.0746*LOOKUP(O20,密度!$A$2:$A$50,密度!$G$2:$G$50)</f>
        <v>45789.175675360006</v>
      </c>
      <c r="P19" s="73" ph="1">
        <f ca="1">P18*9.0746*LOOKUP(P20,密度!$A$2:$A$51,密度!$Q$2:$Q$50)</f>
        <v>30980.361979462003</v>
      </c>
      <c r="Q19" s="73" ph="1">
        <f>Q18*9.0746*LOOKUP(Q20,密度!$A$2:$A$50,密度!$Q$2:$Q$50)</f>
        <v>60067.731454538</v>
      </c>
      <c r="R19" s="73" ph="1">
        <f>MAX(R18*9.0746*LOOKUP(R20,密度!$A$2:$A$50,密度!$B$2:$B$50),0)</f>
        <v>52188.365804960005</v>
      </c>
      <c r="S19" s="73" ph="1">
        <f>S18*9.0746*LOOKUP(S20,密度!$A$2:$A$50,密度!$Q$2:$Q$50)</f>
        <v>55201.843092410003</v>
      </c>
      <c r="T19" s="73" ph="1">
        <f>T18*9.0746*LOOKUP(T20,密度!$A$2:$A$50,密度!$O$2:$O$50)</f>
        <v>37580.550234000002</v>
      </c>
      <c r="U19" s="73" ph="1">
        <f>U18*9.0746*LOOKUP(U20,密度!$A$2:$A$50,密度!$H$2:$H$50)</f>
        <v>45037.603691459997</v>
      </c>
      <c r="V19" s="73" ph="1">
        <f>MAX(5600*LOOKUP(V20,密度!$A$2:$A$50,密度!$Q$2:$Q$50)+V18*9.0476*LOOKUP(V20,密度!$A$2:$A$50,密度!$Q$2:$Q$50),0)</f>
        <v>48372.444162972002</v>
      </c>
      <c r="W19" s="73" ph="1">
        <f>MAX(5600*LOOKUP(W20,密度!$A$2:$A$50,密度!$Q$2:$Q$50)+W18*9.0476*LOOKUP(W20,密度!$A$2:$A$50,密度!$Q$2:$Q$50),0)</f>
        <v>34373.314349499997</v>
      </c>
      <c r="X19" s="73" ph="1">
        <f>MAX(5600*LOOKUP(X20,密度!$A$2:$A$50,密度!$I$2:$I$50)+X18*9.0476*LOOKUP(X20,密度!$A$2:$A$50,密度!$I$2:$I$50),0)</f>
        <v>12032.101680399999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71.50784800000001</v>
      </c>
      <c r="AB19" s="73" ph="1">
        <f>AB18*9.0746*LOOKUP(AB20,密度!$A$2:$A$50,密度!$L$2:$L$50)</f>
        <v>13080.9270048</v>
      </c>
      <c r="AC19" s="73" ph="1">
        <f>AC18*9.0746*LOOKUP(AC20,密度!$A$2:$A$50,密度!$L$2:$L$50)</f>
        <v>274.70629120000001</v>
      </c>
      <c r="AD19" s="73" ph="1">
        <f>AD18*268.68*LOOKUP(AD20,密度!$A$2:$A$50,密度!B5:B53)+IF(AD18&lt;=0,0,1566*LOOKUP(AD20,密度!$A$2:$A$50,密度!B5:B53))</f>
        <v>2369.1612672000001</v>
      </c>
      <c r="AE19" s="73" ph="1">
        <f>AE18*268.68*LOOKUP(AE20,密度!$A$2:$A$50,密度!B5:B53)+IF(AE18&lt;=0,0,1566*LOOKUP(AE20,密度!$A$2:$A$50,密度!B5:B53))</f>
        <v>16646.555847600001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19</v>
      </c>
      <c r="E20" s="81">
        <v>18</v>
      </c>
      <c r="F20" s="81">
        <v>22</v>
      </c>
      <c r="G20" s="81">
        <v>17</v>
      </c>
      <c r="H20" s="81">
        <v>18</v>
      </c>
      <c r="I20" s="81">
        <v>17</v>
      </c>
      <c r="J20" s="81">
        <v>18</v>
      </c>
      <c r="K20" s="81">
        <v>17</v>
      </c>
      <c r="L20" s="81">
        <v>18</v>
      </c>
      <c r="M20" s="81">
        <v>18</v>
      </c>
      <c r="N20" s="81">
        <v>16</v>
      </c>
      <c r="O20" s="81">
        <v>20</v>
      </c>
      <c r="P20" s="81">
        <v>19</v>
      </c>
      <c r="Q20" s="81">
        <v>18</v>
      </c>
      <c r="R20" s="81">
        <v>21</v>
      </c>
      <c r="S20" s="81">
        <v>19</v>
      </c>
      <c r="T20" s="81">
        <v>21</v>
      </c>
      <c r="U20" s="81">
        <v>16</v>
      </c>
      <c r="V20" s="81">
        <v>18</v>
      </c>
      <c r="W20" s="81">
        <v>19</v>
      </c>
      <c r="X20" s="81">
        <v>28</v>
      </c>
      <c r="Y20" s="110">
        <v>28</v>
      </c>
      <c r="Z20" s="81">
        <v>21</v>
      </c>
      <c r="AA20" s="81">
        <v>15</v>
      </c>
      <c r="AB20" s="81">
        <v>18</v>
      </c>
      <c r="AC20" s="81">
        <v>16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648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66" t="s" ph="1">
        <v>177</v>
      </c>
      <c r="D24" s="71">
        <v>51.82</v>
      </c>
      <c r="E24" s="71">
        <v>5.71</v>
      </c>
      <c r="F24" s="71">
        <v>1483</v>
      </c>
      <c r="G24" s="71">
        <v>2860</v>
      </c>
      <c r="H24" s="71">
        <v>877</v>
      </c>
      <c r="I24" s="71">
        <v>203</v>
      </c>
      <c r="J24" s="71">
        <v>3101</v>
      </c>
      <c r="K24" s="71">
        <v>2440</v>
      </c>
      <c r="L24" s="71">
        <v>5545</v>
      </c>
      <c r="M24" s="71">
        <v>4873</v>
      </c>
      <c r="N24" s="71">
        <v>5596</v>
      </c>
      <c r="O24" s="71">
        <v>5724</v>
      </c>
      <c r="P24" s="71">
        <v>651</v>
      </c>
      <c r="Q24" s="90">
        <v>1375</v>
      </c>
      <c r="R24" s="71">
        <v>6013</v>
      </c>
      <c r="S24" s="71">
        <v>4827</v>
      </c>
      <c r="T24" s="71">
        <v>161</v>
      </c>
      <c r="U24" s="71">
        <v>4723</v>
      </c>
      <c r="V24" s="71">
        <v>8831</v>
      </c>
      <c r="W24" s="71">
        <v>1399</v>
      </c>
      <c r="X24" s="71">
        <v>4904</v>
      </c>
      <c r="Y24" s="71">
        <v>6097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14664.053587824001</v>
      </c>
      <c r="E25" s="91" ph="1">
        <f>E24*268.68*LOOKUP(E26,密度!$A$2:$A$50,密度!$C$2:$C$50)+IF(E24&lt;=0,0,1566*LOOKUP(E26,密度!$A$2:$A$50,密度!$C$2:$C$50))</f>
        <v>3437.7705289200003</v>
      </c>
      <c r="F25" s="91" ph="1">
        <f>F24*11.702*LOOKUP(F26,密度!$A$2:$A$50,密度!$Q$2:$Q$50)</f>
        <v>16521.244372659999</v>
      </c>
      <c r="G25" s="91" ph="1">
        <f>G24*18.322*LOOKUP(G26,密度!$A$2:$A$50,密度!$B$2:$B$50)</f>
        <v>41208.083487999997</v>
      </c>
      <c r="H25" s="91" ph="1">
        <f>H24*18.322*LOOKUP(H26,密度!$A$2:$A$50,密度!$B$2:$B$50)</f>
        <v>12649.039756799999</v>
      </c>
      <c r="I25" s="91" ph="1">
        <f>I24*18.322*LOOKUP(I26,密度!$A$2:$A$50,密度!$Q$2:$Q$50)</f>
        <v>3546.7874176</v>
      </c>
      <c r="J25" s="91" ph="1">
        <f>J24*18.322*LOOKUP(J26,密度!$A$2:$A$50,密度!$Q$2:$Q$50)</f>
        <v>54233.64290988</v>
      </c>
      <c r="K25" s="91" ph="1">
        <f>K24*18.322*LOOKUP(K26,密度!$A$2:$A$50,密度!$Q$2:$Q$50)</f>
        <v>42631.336448000002</v>
      </c>
      <c r="L25" s="91" ph="1">
        <f>L24*18.322*LOOKUP(L26,密度!$A$2:$A$50,密度!$Q$2:$Q$50)</f>
        <v>96881.45926399999</v>
      </c>
      <c r="M25" s="91" ph="1">
        <f>M24*18.322*LOOKUP(M26,密度!$A$2:$A$50,密度!$Q$2:$Q$50)</f>
        <v>85068.943396799994</v>
      </c>
      <c r="N25" s="91" ph="1">
        <f>N24*18.322*LOOKUP(N26,密度!$A$2:$A$50,密度!$Q$2:$Q$50)</f>
        <v>97690.500153599991</v>
      </c>
      <c r="O25" s="91" ph="1">
        <f>O24*18.322*LOOKUP(O26,密度!$A$2:$A$50,密度!$C$2:$C$50)</f>
        <v>116956.7427456</v>
      </c>
      <c r="P25" s="91" ph="1">
        <f>P24*11.702*LOOKUP(P26,密度!$A$2:$A$50,密度!$B$2:$B$50)</f>
        <v>5990.7967728000003</v>
      </c>
      <c r="Q25" s="92" ph="1">
        <f>Q24*18.322*LOOKUP(Q26,密度!$A$2:$A$50,密度!$B$2:$B$50)</f>
        <v>19793.943674999999</v>
      </c>
      <c r="R25" s="91" ph="1">
        <f>R24*35.891*LOOKUP(R26,密度!$A$2:$A$50,密度!$C$2:$C$50)</f>
        <v>240523.1237535</v>
      </c>
      <c r="S25" s="91" ph="1">
        <f>S24*35.891*LOOKUP(S26,密度!$A$2:$A$50,密度!$B$2:$B$50)</f>
        <v>136379.1386304</v>
      </c>
      <c r="T25" s="91" ph="1">
        <f>T24*35.891*LOOKUP(T26,密度!$A$2:$A$50,密度!$Q$2:$Q$50)</f>
        <v>5515.7626175400001</v>
      </c>
      <c r="U25" s="91" ph="1">
        <f>U24*35.891</f>
        <v>169513.193</v>
      </c>
      <c r="V25" s="91" ph="1">
        <f>V24*47.051*LOOKUP(V26,密度!$A$2:$A$50,密度!$B$2:$B$50)</f>
        <v>325799.33744209999</v>
      </c>
      <c r="W25" s="91" ph="1">
        <f>W24*47.051*LOOKUP(W26,密度!$A$2:$A$50,密度!$B$2:$B$50)</f>
        <v>51665.531530100001</v>
      </c>
      <c r="X25" s="91" ph="1">
        <f>X24*47.051*LOOKUP(X26,密度!$A$2:$A$61,密度!$I$2:$I$61)</f>
        <v>236621.92565200003</v>
      </c>
      <c r="Y25" s="91" ph="1">
        <f>Y24*47.051*LOOKUP(Y26,密度!$A$2:$A$50,密度!$L$2:$L$50)</f>
        <v>271092.09991499997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18</v>
      </c>
      <c r="G26" s="74">
        <v>17</v>
      </c>
      <c r="H26" s="74">
        <v>16</v>
      </c>
      <c r="I26" s="74">
        <v>16</v>
      </c>
      <c r="J26" s="74">
        <v>15</v>
      </c>
      <c r="K26" s="74">
        <v>16</v>
      </c>
      <c r="L26" s="74">
        <v>16</v>
      </c>
      <c r="M26" s="74">
        <v>17</v>
      </c>
      <c r="N26" s="74">
        <v>17</v>
      </c>
      <c r="O26" s="74">
        <v>16</v>
      </c>
      <c r="P26" s="74">
        <v>17</v>
      </c>
      <c r="Q26" s="93">
        <v>18</v>
      </c>
      <c r="R26" s="74">
        <v>17</v>
      </c>
      <c r="S26" s="74">
        <v>16</v>
      </c>
      <c r="T26" s="74">
        <v>14</v>
      </c>
      <c r="U26" s="74">
        <v>16</v>
      </c>
      <c r="V26" s="74">
        <v>20</v>
      </c>
      <c r="W26" s="74">
        <v>19</v>
      </c>
      <c r="X26" s="74">
        <v>40</v>
      </c>
      <c r="Y26" s="74">
        <v>17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66" t="s" ph="1">
        <v>180</v>
      </c>
      <c r="D27" s="71">
        <v>20.420000000000002</v>
      </c>
      <c r="E27" s="71">
        <v>66.11</v>
      </c>
      <c r="F27" s="71">
        <v>1789</v>
      </c>
      <c r="G27" s="71">
        <v>2279</v>
      </c>
      <c r="H27" s="71">
        <v>1804</v>
      </c>
      <c r="I27" s="71">
        <v>200</v>
      </c>
      <c r="J27" s="71">
        <v>2445</v>
      </c>
      <c r="K27" s="71">
        <v>2438</v>
      </c>
      <c r="L27" s="71">
        <v>5539</v>
      </c>
      <c r="M27" s="71">
        <v>4870</v>
      </c>
      <c r="N27" s="71">
        <v>5592</v>
      </c>
      <c r="O27" s="71">
        <v>5721</v>
      </c>
      <c r="P27" s="71">
        <v>646</v>
      </c>
      <c r="Q27" s="90">
        <v>1539</v>
      </c>
      <c r="R27" s="71">
        <v>5471</v>
      </c>
      <c r="S27" s="71">
        <v>4823</v>
      </c>
      <c r="T27" s="71">
        <v>159</v>
      </c>
      <c r="U27" s="71">
        <v>4785</v>
      </c>
      <c r="V27" s="71">
        <v>8825</v>
      </c>
      <c r="W27" s="71">
        <v>1391</v>
      </c>
      <c r="X27" s="71">
        <v>4784</v>
      </c>
      <c r="Y27" s="71">
        <v>6831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66" t="s" ph="1">
        <v>178</v>
      </c>
      <c r="D28" s="91" ph="1">
        <f>D27*268.68*LOOKUP(D29,密度!$A$2:$A$50,密度!$Q$2:$Q$50)+IF(D27&lt;=0,0,1566*LOOKUP(D29,密度!$A$2:$A$50,密度!$Q$2:$Q$50))</f>
        <v>6676.8323473440005</v>
      </c>
      <c r="E28" s="91" ph="1">
        <f>E27*268.68*LOOKUP(E29,密度!$A$2:$A$50,密度!$C$2:$C$50)+IF(E27&lt;=0,0,1566*LOOKUP(E29,密度!$A$2:$A$50,密度!$C$2:$C$50))</f>
        <v>21433.301349720001</v>
      </c>
      <c r="F28" s="91" ph="1">
        <f>F27*11.702*LOOKUP(F29,密度!$A$2:$A$50,密度!$Q$2:$Q$50)</f>
        <v>19913.883999940001</v>
      </c>
      <c r="G28" s="91" ph="1">
        <f>G27*18.322*LOOKUP(G29,密度!$A$2:$A$50,密度!$B$2:$B$50)</f>
        <v>32807.561916599996</v>
      </c>
      <c r="H28" s="91" ph="1">
        <f>H27*18.322*LOOKUP(H29,密度!$A$2:$A$50,密度!$B$2:$B$50)</f>
        <v>25969.654101599997</v>
      </c>
      <c r="I28" s="91" ph="1">
        <f>I27*18.322*LOOKUP(I29,密度!$A$2:$A$50,密度!$Q$2:$Q$50)</f>
        <v>3491.4403199999997</v>
      </c>
      <c r="J28" s="91" ph="1">
        <f>J27*18.322*LOOKUP(J29,密度!$A$2:$A$50,密度!$Q$2:$Q$50)</f>
        <v>42647.468052900003</v>
      </c>
      <c r="K28" s="91" ph="1">
        <f>K27*18.322*LOOKUP(K29,密度!$A$2:$A$50,密度!$Q$2:$Q$50)</f>
        <v>42490.527114279997</v>
      </c>
      <c r="L28" s="91" ph="1">
        <f>L27*18.322*LOOKUP(L29,密度!$A$2:$A$50,密度!$Q$2:$Q$50)</f>
        <v>96449.844612039989</v>
      </c>
      <c r="M28" s="91" ph="1">
        <f>M27*18.322*LOOKUP(M29,密度!$A$2:$A$50,密度!$Q$2:$Q$50)</f>
        <v>84876.483612199998</v>
      </c>
      <c r="N28" s="91" ph="1">
        <f>N27*18.322*LOOKUP(N29,密度!$A$2:$A$50,密度!$Q$2:$Q$50)</f>
        <v>97539.730614240005</v>
      </c>
      <c r="O28" s="91" ph="1">
        <f>O27*18.322*LOOKUP(O29,密度!$A$2:$A$50,密度!$C$2:$C$50)</f>
        <v>116822.070549</v>
      </c>
      <c r="P28" s="91" ph="1">
        <f>P27*11.702*LOOKUP(P29,密度!$A$2:$A$50,密度!$B$2:$B$50)</f>
        <v>5944.7845088000004</v>
      </c>
      <c r="Q28" s="92" ph="1">
        <f>Q27*18.322*LOOKUP(Q29,密度!$A$2:$A$50,密度!$B$2:$B$50)</f>
        <v>22132.263274199999</v>
      </c>
      <c r="R28" s="91" ph="1">
        <f>R27*35.891*LOOKUP(R29,密度!$A$2:$A$50,密度!$C$2:$C$50)</f>
        <v>218842.84218450001</v>
      </c>
      <c r="S28" s="91" ph="1">
        <f>S27*35.891*LOOKUP(S29,密度!$A$2:$A$50,密度!$B$2:$B$50)</f>
        <v>136006.47161010001</v>
      </c>
      <c r="T28" s="91" ph="1">
        <f>T27*35.891*LOOKUP(T29,密度!$A$2:$A$50,密度!$Q$2:$Q$50)</f>
        <v>5437.3142232</v>
      </c>
      <c r="U28" s="91" ph="1">
        <f>U27*35.891</f>
        <v>171738.435</v>
      </c>
      <c r="V28" s="91" ph="1">
        <f>V27*47.051*LOOKUP(V29,密度!$A$2:$A$50,密度!$B$2:$B$50)</f>
        <v>326242.34142750001</v>
      </c>
      <c r="W28" s="91" ph="1">
        <f>W27*47.051*LOOKUP(W29,密度!$A$2:$A$50,密度!$B$2:$B$50)</f>
        <v>51422.4472437</v>
      </c>
      <c r="X28" s="91" ph="1">
        <f>X27*47.051*LOOKUP(X29,密度!$A$2:$A$61,密度!$I$2:$I$61)</f>
        <v>230089.0260448</v>
      </c>
      <c r="Y28" s="91" ph="1">
        <f>Y27*47.051*LOOKUP(Y29,密度!$A$2:$A$50,密度!$L$2:$L$50)</f>
        <v>303406.679664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66" t="s" ph="1">
        <v>179</v>
      </c>
      <c r="D29" s="74">
        <v>25</v>
      </c>
      <c r="E29" s="74">
        <v>25</v>
      </c>
      <c r="F29" s="74">
        <v>19</v>
      </c>
      <c r="G29" s="74">
        <v>18</v>
      </c>
      <c r="H29" s="74">
        <v>18</v>
      </c>
      <c r="I29" s="74">
        <v>17</v>
      </c>
      <c r="J29" s="74">
        <v>18</v>
      </c>
      <c r="K29" s="74">
        <v>19</v>
      </c>
      <c r="L29" s="74">
        <v>20</v>
      </c>
      <c r="M29" s="74">
        <v>19</v>
      </c>
      <c r="N29" s="74">
        <v>18</v>
      </c>
      <c r="O29" s="74">
        <v>17</v>
      </c>
      <c r="P29" s="74">
        <v>17</v>
      </c>
      <c r="Q29" s="93">
        <v>19</v>
      </c>
      <c r="R29" s="74">
        <v>17</v>
      </c>
      <c r="S29" s="74">
        <v>18</v>
      </c>
      <c r="T29" s="74">
        <v>17</v>
      </c>
      <c r="U29" s="74">
        <v>18</v>
      </c>
      <c r="V29" s="74">
        <v>18</v>
      </c>
      <c r="W29" s="74">
        <v>18</v>
      </c>
      <c r="X29" s="74">
        <v>43</v>
      </c>
      <c r="Y29" s="74">
        <v>18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106174.84200480001</v>
      </c>
      <c r="E33" s="196" ph="1">
        <f>M10+I10</f>
        <v>95750.681658899994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22" ph="1">
        <v>0</v>
      </c>
      <c r="H33" s="196" ph="1">
        <f>N19</f>
        <v>25059.517882059998</v>
      </c>
      <c r="I33" s="200" ph="1">
        <v>0</v>
      </c>
      <c r="J33" s="204" ph="1">
        <f>F10+O28</f>
        <v>207189.94501620001</v>
      </c>
      <c r="K33" s="196" ph="1">
        <f>O10+K10+E28+R28</f>
        <v>317552.82525622001</v>
      </c>
      <c r="L33" s="206" ph="1">
        <f>BE27</f>
        <v>7100</v>
      </c>
      <c r="M33" s="204" ph="1">
        <f>G10+H10+W28+S28+V28+E10</f>
        <v>890013.64842530002</v>
      </c>
      <c r="N33" s="196" ph="1">
        <f>L10+P10++G28+H28</f>
        <v>73821.922414200002</v>
      </c>
      <c r="O33" s="200" ph="1">
        <f>BE17</f>
        <v>2270</v>
      </c>
      <c r="P33" s="204" ph="1">
        <f>L19</f>
        <v>25501.99810044</v>
      </c>
      <c r="Q33" s="196" ph="1">
        <f>J10+N10</f>
        <v>174878.468914</v>
      </c>
      <c r="R33" s="200" ph="1">
        <f>BE23</f>
        <v>890</v>
      </c>
      <c r="S33" s="204" ph="1">
        <f>E10+X28</f>
        <v>320179.95564479998</v>
      </c>
      <c r="T33" s="196" ph="1">
        <f>X19</f>
        <v>12032.101680399999</v>
      </c>
      <c r="U33" s="185" ph="1">
        <f>BE21</f>
        <v>730</v>
      </c>
      <c r="V33" s="198" ph="1">
        <f ca="1">P19+Q19+S19+M28+N28+J28</f>
        <v>371313.61880574998</v>
      </c>
      <c r="W33" s="198" ph="1">
        <f>D28+F28+V19+T28</f>
        <v>80400.474733455994</v>
      </c>
      <c r="X33" s="200" ph="1">
        <f>BE29+BE31</f>
        <v>10200</v>
      </c>
      <c r="Y33" s="202" ph="1">
        <f>+Q10+R10+S10+T10+U10+V10+W10+X10+Y10</f>
        <v>188349.6611304</v>
      </c>
      <c r="Z33" s="183" ph="1">
        <f>D10+T19+U19+Y28+Z10</f>
        <v>610887.12720279</v>
      </c>
      <c r="AA33" s="185" ph="1">
        <f>BE19</f>
        <v>1440</v>
      </c>
      <c r="AB33" s="187" ph="1">
        <f>I19</f>
        <v>34254.945273600002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68" t="s" ph="1">
        <v>185</v>
      </c>
      <c r="AA36" s="168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342</v>
      </c>
      <c r="AI37" s="168" t="s" ph="1">
        <v>209</v>
      </c>
      <c r="AJ37" s="168" t="s" ph="1">
        <v>210</v>
      </c>
      <c r="AK37" s="168" t="s" ph="1">
        <v>211</v>
      </c>
      <c r="AM37" s="168" t="s" ph="1">
        <v>210</v>
      </c>
      <c r="AN37" s="168" t="s" ph="1">
        <v>211</v>
      </c>
      <c r="AO37" s="168" t="s" ph="1">
        <v>212</v>
      </c>
      <c r="AP37" s="168" t="s" ph="1">
        <v>210</v>
      </c>
      <c r="AQ37" s="168" t="s" ph="1">
        <v>211</v>
      </c>
      <c r="AR37" s="168" t="s" ph="1">
        <v>212</v>
      </c>
      <c r="AS37" s="168" t="s" ph="1">
        <v>210</v>
      </c>
      <c r="AT37" s="168" t="s" ph="1">
        <v>211</v>
      </c>
      <c r="AU37" s="168" t="s" ph="1">
        <v>212</v>
      </c>
      <c r="AV37" s="168" t="s" ph="1">
        <v>210</v>
      </c>
      <c r="AW37" s="168" t="s" ph="1">
        <v>211</v>
      </c>
      <c r="AX37" s="168" t="s" ph="1">
        <v>212</v>
      </c>
      <c r="AY37" s="168" t="s" ph="1">
        <v>211</v>
      </c>
      <c r="AZ37" s="168" t="s" ph="1">
        <v>213</v>
      </c>
      <c r="BD37" s="168" t="s" ph="1">
        <v>305</v>
      </c>
      <c r="BE37" s="16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15" priority="99">
      <formula>ABS(D$7-D$10)&gt;=1000</formula>
    </cfRule>
  </conditionalFormatting>
  <conditionalFormatting sqref="E4 E6:E11">
    <cfRule type="expression" dxfId="514" priority="98">
      <formula>ABS(E$7-E$10)&gt;=1000</formula>
    </cfRule>
  </conditionalFormatting>
  <conditionalFormatting sqref="F4:F11">
    <cfRule type="expression" dxfId="513" priority="97">
      <formula>ABS(F$7-F$10)&gt;=1000</formula>
    </cfRule>
  </conditionalFormatting>
  <conditionalFormatting sqref="G4:G11">
    <cfRule type="expression" dxfId="512" priority="96">
      <formula>ABS(G$7-G$10)&gt;=1000</formula>
    </cfRule>
  </conditionalFormatting>
  <conditionalFormatting sqref="H4:H11">
    <cfRule type="expression" dxfId="511" priority="95">
      <formula>ABS(H$7-H$10)&gt;=1000</formula>
    </cfRule>
  </conditionalFormatting>
  <conditionalFormatting sqref="I4:I11">
    <cfRule type="expression" dxfId="510" priority="94">
      <formula>ABS(I$7-I$10)&gt;=1000</formula>
    </cfRule>
  </conditionalFormatting>
  <conditionalFormatting sqref="J4:J11">
    <cfRule type="expression" dxfId="509" priority="93">
      <formula>ABS(J$7-J$10)&gt;=1000</formula>
    </cfRule>
  </conditionalFormatting>
  <conditionalFormatting sqref="K4:K11">
    <cfRule type="expression" dxfId="508" priority="92">
      <formula>ABS(K$7-K$10)&gt;=1000</formula>
    </cfRule>
  </conditionalFormatting>
  <conditionalFormatting sqref="L4:L11">
    <cfRule type="expression" dxfId="507" priority="91">
      <formula>ABS(L$7-L$10)&gt;=1000</formula>
    </cfRule>
  </conditionalFormatting>
  <conditionalFormatting sqref="M4 M6:M11">
    <cfRule type="expression" dxfId="506" priority="90">
      <formula>ABS(M$7-M$10)&gt;=1000</formula>
    </cfRule>
  </conditionalFormatting>
  <conditionalFormatting sqref="N4 N6:N11">
    <cfRule type="expression" dxfId="505" priority="89">
      <formula>ABS(N$7-N$10)&gt;=1000</formula>
    </cfRule>
  </conditionalFormatting>
  <conditionalFormatting sqref="O4 O6:O11">
    <cfRule type="expression" dxfId="504" priority="88">
      <formula>ABS(O$7-O$10)&gt;=1000</formula>
    </cfRule>
  </conditionalFormatting>
  <conditionalFormatting sqref="P4 P6:P11">
    <cfRule type="expression" dxfId="503" priority="87">
      <formula>ABS(P$7-P$10)&gt;=1000</formula>
    </cfRule>
  </conditionalFormatting>
  <conditionalFormatting sqref="Q4:Q11">
    <cfRule type="expression" dxfId="502" priority="86">
      <formula>ABS(Q$7-Q$10)&gt;=1000</formula>
    </cfRule>
  </conditionalFormatting>
  <conditionalFormatting sqref="R4:R11">
    <cfRule type="expression" dxfId="501" priority="85">
      <formula>ABS(R$7-R$10)&gt;=1000</formula>
    </cfRule>
  </conditionalFormatting>
  <conditionalFormatting sqref="S4:S11">
    <cfRule type="expression" dxfId="500" priority="84">
      <formula>ABS(S$7-S$10)&gt;=1000</formula>
    </cfRule>
  </conditionalFormatting>
  <conditionalFormatting sqref="T4:T9 T11">
    <cfRule type="expression" dxfId="499" priority="83">
      <formula>ABS(T$7-T$10)&gt;=1000</formula>
    </cfRule>
  </conditionalFormatting>
  <conditionalFormatting sqref="U4:U9 U11">
    <cfRule type="expression" dxfId="498" priority="82">
      <formula>ABS(U$7-U$10)&gt;=1000</formula>
    </cfRule>
  </conditionalFormatting>
  <conditionalFormatting sqref="V4:V9 V11">
    <cfRule type="expression" dxfId="497" priority="81">
      <formula>ABS(V$7-V$10)&gt;=1000</formula>
    </cfRule>
  </conditionalFormatting>
  <conditionalFormatting sqref="W4:W9 W11">
    <cfRule type="expression" dxfId="496" priority="80">
      <formula>ABS(W$7-W$10)&gt;=1000</formula>
    </cfRule>
  </conditionalFormatting>
  <conditionalFormatting sqref="X4:X9 X11">
    <cfRule type="expression" dxfId="495" priority="79">
      <formula>ABS(X$7-X$10)&gt;=1000</formula>
    </cfRule>
  </conditionalFormatting>
  <conditionalFormatting sqref="Y4:Y9 Y11">
    <cfRule type="expression" dxfId="494" priority="78">
      <formula>ABS(Y$7-Y$10)&gt;=1000</formula>
    </cfRule>
  </conditionalFormatting>
  <conditionalFormatting sqref="Z4:Z11">
    <cfRule type="expression" dxfId="493" priority="77">
      <formula>ABS(Z$7-Z$10)&gt;=1000</formula>
    </cfRule>
  </conditionalFormatting>
  <conditionalFormatting sqref="AA4:AA11">
    <cfRule type="expression" dxfId="492" priority="76">
      <formula>ABS(AA$7-AA$10)&gt;=1000</formula>
    </cfRule>
  </conditionalFormatting>
  <conditionalFormatting sqref="AB4:AB11">
    <cfRule type="expression" dxfId="491" priority="75">
      <formula>ABS(AB$7-AB$10)&gt;=1000</formula>
    </cfRule>
  </conditionalFormatting>
  <conditionalFormatting sqref="AC4 AC6:AC11">
    <cfRule type="expression" dxfId="490" priority="74">
      <formula>ABS(AC$7-AC$10)&gt;=1000</formula>
    </cfRule>
  </conditionalFormatting>
  <conditionalFormatting sqref="AD4:AD11">
    <cfRule type="expression" dxfId="489" priority="73">
      <formula>ABS(AD$7-AD$10)&gt;=1000</formula>
    </cfRule>
  </conditionalFormatting>
  <conditionalFormatting sqref="AE4 AE6:AE11">
    <cfRule type="expression" dxfId="488" priority="72">
      <formula>ABS(AE$7-AE$10)&gt;=1000</formula>
    </cfRule>
  </conditionalFormatting>
  <conditionalFormatting sqref="D13:D20">
    <cfRule type="expression" dxfId="487" priority="71">
      <formula>ABS(D$16-D$19)&gt;=1000</formula>
    </cfRule>
  </conditionalFormatting>
  <conditionalFormatting sqref="E13:E20">
    <cfRule type="expression" dxfId="486" priority="70">
      <formula>ABS(E$16-E$19)&gt;=1000</formula>
    </cfRule>
  </conditionalFormatting>
  <conditionalFormatting sqref="F13 F15:F20">
    <cfRule type="expression" dxfId="485" priority="69">
      <formula>ABS(F$16-F$19)&gt;=1000</formula>
    </cfRule>
  </conditionalFormatting>
  <conditionalFormatting sqref="G13:G20">
    <cfRule type="expression" dxfId="484" priority="68">
      <formula>ABS(G$16-G$19)&gt;=1000</formula>
    </cfRule>
  </conditionalFormatting>
  <conditionalFormatting sqref="H13 H15:H20">
    <cfRule type="expression" dxfId="483" priority="67">
      <formula>ABS(H$16-H$19)&gt;=1000</formula>
    </cfRule>
  </conditionalFormatting>
  <conditionalFormatting sqref="I13:I20">
    <cfRule type="expression" dxfId="482" priority="66">
      <formula>ABS(I$16-I$19)&gt;=1000</formula>
    </cfRule>
  </conditionalFormatting>
  <conditionalFormatting sqref="J13:J20">
    <cfRule type="expression" dxfId="481" priority="65">
      <formula>ABS(J$16-J$19)&gt;=1000</formula>
    </cfRule>
  </conditionalFormatting>
  <conditionalFormatting sqref="L13:L20">
    <cfRule type="expression" dxfId="480" priority="64">
      <formula>ABS(L$16-L$19)&gt;=1000</formula>
    </cfRule>
  </conditionalFormatting>
  <conditionalFormatting sqref="M13 M15 M17:M18 M20">
    <cfRule type="expression" dxfId="479" priority="63">
      <formula>ABS(M$16-M$19)&gt;=1000</formula>
    </cfRule>
  </conditionalFormatting>
  <conditionalFormatting sqref="N13:N20">
    <cfRule type="expression" dxfId="478" priority="62">
      <formula>ABS(N$16-N$19)&gt;=1000</formula>
    </cfRule>
  </conditionalFormatting>
  <conditionalFormatting sqref="O13:O20">
    <cfRule type="expression" dxfId="477" priority="61">
      <formula>ABS(O$16-O$19)&gt;=1000</formula>
    </cfRule>
  </conditionalFormatting>
  <conditionalFormatting sqref="P13:P20">
    <cfRule type="expression" dxfId="476" priority="60">
      <formula>ABS(P$16-P$19)&gt;=1000</formula>
    </cfRule>
  </conditionalFormatting>
  <conditionalFormatting sqref="Q13 Q15:Q20">
    <cfRule type="expression" dxfId="475" priority="59">
      <formula>ABS(Q$16-Q$19)&gt;=1000</formula>
    </cfRule>
  </conditionalFormatting>
  <conditionalFormatting sqref="R13:R20">
    <cfRule type="expression" dxfId="474" priority="58">
      <formula>ABS(R$16-R$19)&gt;=1000</formula>
    </cfRule>
  </conditionalFormatting>
  <conditionalFormatting sqref="S13:S20">
    <cfRule type="expression" dxfId="473" priority="57">
      <formula>ABS(S$16-S$19)&gt;=1000</formula>
    </cfRule>
  </conditionalFormatting>
  <conditionalFormatting sqref="T13:T20">
    <cfRule type="expression" dxfId="472" priority="56">
      <formula>ABS(T$16-T$19)&gt;=1000</formula>
    </cfRule>
  </conditionalFormatting>
  <conditionalFormatting sqref="U13:U20">
    <cfRule type="expression" dxfId="471" priority="55">
      <formula>ABS(U$16-U$19)&gt;=1000</formula>
    </cfRule>
  </conditionalFormatting>
  <conditionalFormatting sqref="V13:V20">
    <cfRule type="expression" dxfId="470" priority="54">
      <formula>ABS(V$16-V$19)&gt;=1000</formula>
    </cfRule>
  </conditionalFormatting>
  <conditionalFormatting sqref="W13 W20 W15:W18">
    <cfRule type="expression" dxfId="469" priority="53">
      <formula>ABS(W$16-W$19)&gt;=1000</formula>
    </cfRule>
  </conditionalFormatting>
  <conditionalFormatting sqref="X13 X15:X20 Y19">
    <cfRule type="expression" dxfId="468" priority="52">
      <formula>ABS(X$16-X$19)&gt;=1000</formula>
    </cfRule>
  </conditionalFormatting>
  <conditionalFormatting sqref="Y13 Y15:Y18 Y20">
    <cfRule type="expression" dxfId="467" priority="51">
      <formula>ABS(Y$16-Y$19)&gt;=1000</formula>
    </cfRule>
  </conditionalFormatting>
  <conditionalFormatting sqref="Z13:Z20">
    <cfRule type="expression" dxfId="466" priority="50">
      <formula>ABS(Z$16-Z$19)&gt;=1000</formula>
    </cfRule>
  </conditionalFormatting>
  <conditionalFormatting sqref="AA13:AA20">
    <cfRule type="expression" dxfId="465" priority="49">
      <formula>ABS(AA$16-AA$19)&gt;=1000</formula>
    </cfRule>
  </conditionalFormatting>
  <conditionalFormatting sqref="AB13 AB15:AB20">
    <cfRule type="expression" dxfId="464" priority="48">
      <formula>ABS(AB$16-AB$19)&gt;=1000</formula>
    </cfRule>
  </conditionalFormatting>
  <conditionalFormatting sqref="AC13 AC15:AC20">
    <cfRule type="expression" dxfId="463" priority="47">
      <formula>ABS(AC$16-AC$19)&gt;=1000</formula>
    </cfRule>
  </conditionalFormatting>
  <conditionalFormatting sqref="AD13:AD20">
    <cfRule type="expression" dxfId="462" priority="46">
      <formula>ABS(AD$16-AD$19)&gt;=1000</formula>
    </cfRule>
  </conditionalFormatting>
  <conditionalFormatting sqref="AE13:AE20">
    <cfRule type="expression" dxfId="461" priority="45">
      <formula>ABS(AE$16-AE$19)&gt;=1000</formula>
    </cfRule>
  </conditionalFormatting>
  <conditionalFormatting sqref="D22:D29">
    <cfRule type="expression" dxfId="460" priority="44">
      <formula>ABS(D$25-D$28)&gt;=1000</formula>
    </cfRule>
  </conditionalFormatting>
  <conditionalFormatting sqref="E22:E29">
    <cfRule type="expression" dxfId="459" priority="43">
      <formula>ABS(E$25-E$28)&gt;=1000</formula>
    </cfRule>
  </conditionalFormatting>
  <conditionalFormatting sqref="F22:F29">
    <cfRule type="expression" dxfId="458" priority="42">
      <formula>ABS(F$25-F$28)&gt;=1000</formula>
    </cfRule>
  </conditionalFormatting>
  <conditionalFormatting sqref="G22:G29">
    <cfRule type="expression" dxfId="457" priority="41">
      <formula>ABS(G$25-G$28)&gt;=1000</formula>
    </cfRule>
  </conditionalFormatting>
  <conditionalFormatting sqref="H22:H29">
    <cfRule type="expression" dxfId="456" priority="40">
      <formula>ABS(H$25-H$28)&gt;=1000</formula>
    </cfRule>
  </conditionalFormatting>
  <conditionalFormatting sqref="I22 I24:I29">
    <cfRule type="expression" dxfId="455" priority="39">
      <formula>ABS(I$25-I$28)&gt;=1000</formula>
    </cfRule>
  </conditionalFormatting>
  <conditionalFormatting sqref="J22:J29 K22">
    <cfRule type="expression" dxfId="454" priority="38">
      <formula>ABS(J$25-J$28)&gt;=1000</formula>
    </cfRule>
  </conditionalFormatting>
  <conditionalFormatting sqref="K23:K29 L25 L28">
    <cfRule type="expression" dxfId="453" priority="37">
      <formula>ABS(K$25-K$28)&gt;=1000</formula>
    </cfRule>
  </conditionalFormatting>
  <conditionalFormatting sqref="L22 L26:L27 L29 L24">
    <cfRule type="expression" dxfId="452" priority="36">
      <formula>ABS(L$25-L$28)&gt;=1000</formula>
    </cfRule>
  </conditionalFormatting>
  <conditionalFormatting sqref="M22:M29">
    <cfRule type="expression" dxfId="451" priority="35">
      <formula>ABS(M$25-M$28)&gt;=1000</formula>
    </cfRule>
  </conditionalFormatting>
  <conditionalFormatting sqref="N22:N29">
    <cfRule type="expression" dxfId="450" priority="34">
      <formula>ABS(N$25-N$28)&gt;=1000</formula>
    </cfRule>
  </conditionalFormatting>
  <conditionalFormatting sqref="O22:O29">
    <cfRule type="expression" dxfId="449" priority="33">
      <formula>ABS(O$25-O$28)&gt;=1000</formula>
    </cfRule>
  </conditionalFormatting>
  <conditionalFormatting sqref="P22:P29">
    <cfRule type="expression" dxfId="448" priority="32">
      <formula>ABS(P$25-P$28)&gt;=1000</formula>
    </cfRule>
  </conditionalFormatting>
  <conditionalFormatting sqref="Q22:Q29">
    <cfRule type="expression" dxfId="447" priority="31">
      <formula>ABS(Q$25-Q$28)&gt;=1000</formula>
    </cfRule>
  </conditionalFormatting>
  <conditionalFormatting sqref="R22:R29">
    <cfRule type="expression" dxfId="446" priority="30">
      <formula>ABS(R$25-R$28)&gt;=1000</formula>
    </cfRule>
  </conditionalFormatting>
  <conditionalFormatting sqref="S22:S29">
    <cfRule type="expression" dxfId="445" priority="29">
      <formula>ABS(S$25-S$28)&gt;=1000</formula>
    </cfRule>
  </conditionalFormatting>
  <conditionalFormatting sqref="T22:T29">
    <cfRule type="expression" dxfId="444" priority="28">
      <formula>ABS(T$25-T$28)&gt;=1000</formula>
    </cfRule>
  </conditionalFormatting>
  <conditionalFormatting sqref="U22:U29">
    <cfRule type="expression" dxfId="443" priority="27">
      <formula>ABS(U$25-U$28)&gt;=1000</formula>
    </cfRule>
  </conditionalFormatting>
  <conditionalFormatting sqref="V22:V29">
    <cfRule type="expression" dxfId="442" priority="26">
      <formula>ABS(V$25-V$28)&gt;=1000</formula>
    </cfRule>
  </conditionalFormatting>
  <conditionalFormatting sqref="W22:W29">
    <cfRule type="expression" dxfId="441" priority="25">
      <formula>ABS(W$25-W$28)&gt;=1000</formula>
    </cfRule>
  </conditionalFormatting>
  <conditionalFormatting sqref="X22:X29">
    <cfRule type="expression" dxfId="440" priority="24">
      <formula>ABS(X$25-X$28)&gt;=1000</formula>
    </cfRule>
  </conditionalFormatting>
  <conditionalFormatting sqref="Y22:Y29">
    <cfRule type="expression" dxfId="439" priority="23">
      <formula>ABS(Y$25-Y$28)&gt;=1000</formula>
    </cfRule>
  </conditionalFormatting>
  <conditionalFormatting sqref="I23">
    <cfRule type="expression" dxfId="438" priority="22">
      <formula>ABS(I$25-I$28)&gt;=1000</formula>
    </cfRule>
  </conditionalFormatting>
  <conditionalFormatting sqref="Q14">
    <cfRule type="expression" dxfId="437" priority="21">
      <formula>ABS(Q$16-Q$19)&gt;=1000</formula>
    </cfRule>
  </conditionalFormatting>
  <conditionalFormatting sqref="W14">
    <cfRule type="expression" dxfId="436" priority="20">
      <formula>ABS(W$16-W$19)&gt;=1000</formula>
    </cfRule>
  </conditionalFormatting>
  <conditionalFormatting sqref="Y14">
    <cfRule type="expression" dxfId="435" priority="19">
      <formula>ABS(Y$16-Y$19)&gt;=1000</formula>
    </cfRule>
  </conditionalFormatting>
  <conditionalFormatting sqref="X14">
    <cfRule type="expression" dxfId="434" priority="18">
      <formula>ABS(X$16-X$19)&gt;=1000</formula>
    </cfRule>
  </conditionalFormatting>
  <conditionalFormatting sqref="T10:Y10">
    <cfRule type="expression" dxfId="433" priority="17">
      <formula>ABS(T$7-T$10)&gt;=1000</formula>
    </cfRule>
  </conditionalFormatting>
  <conditionalFormatting sqref="W19">
    <cfRule type="expression" dxfId="432" priority="16">
      <formula>ABS(W$16-W$19)&gt;=1000</formula>
    </cfRule>
  </conditionalFormatting>
  <conditionalFormatting sqref="AC5">
    <cfRule type="expression" dxfId="431" priority="15">
      <formula>ABS(AC$7-AC$10)&gt;=1000</formula>
    </cfRule>
  </conditionalFormatting>
  <conditionalFormatting sqref="M14">
    <cfRule type="expression" dxfId="430" priority="14">
      <formula>ABS(M$16-M$19)&gt;=1000</formula>
    </cfRule>
  </conditionalFormatting>
  <conditionalFormatting sqref="M16">
    <cfRule type="expression" dxfId="429" priority="13">
      <formula>ABS(M$16-M$19)&gt;=1000</formula>
    </cfRule>
  </conditionalFormatting>
  <conditionalFormatting sqref="M19">
    <cfRule type="expression" dxfId="428" priority="12">
      <formula>ABS(M$16-M$19)&gt;=1000</formula>
    </cfRule>
  </conditionalFormatting>
  <conditionalFormatting sqref="K13:K20">
    <cfRule type="expression" dxfId="427" priority="11">
      <formula>ABS(K$16-K$19)&gt;=1000</formula>
    </cfRule>
  </conditionalFormatting>
  <conditionalFormatting sqref="E5">
    <cfRule type="expression" dxfId="426" priority="10">
      <formula>ABS(E$7-E$10)&gt;=1000</formula>
    </cfRule>
  </conditionalFormatting>
  <conditionalFormatting sqref="AB14:AC14">
    <cfRule type="expression" dxfId="425" priority="9">
      <formula>ABS(AB$16-AB$19)&gt;=1000</formula>
    </cfRule>
  </conditionalFormatting>
  <conditionalFormatting sqref="M5">
    <cfRule type="expression" dxfId="424" priority="8">
      <formula>ABS(M$7-M$10)&gt;=1000</formula>
    </cfRule>
  </conditionalFormatting>
  <conditionalFormatting sqref="N5">
    <cfRule type="expression" dxfId="423" priority="7">
      <formula>ABS(N$7-N$10)&gt;=1000</formula>
    </cfRule>
  </conditionalFormatting>
  <conditionalFormatting sqref="O5">
    <cfRule type="expression" dxfId="422" priority="6">
      <formula>ABS(O$7-O$10)&gt;=1000</formula>
    </cfRule>
  </conditionalFormatting>
  <conditionalFormatting sqref="P5">
    <cfRule type="expression" dxfId="421" priority="5">
      <formula>ABS(P$7-P$10)&gt;=1000</formula>
    </cfRule>
  </conditionalFormatting>
  <conditionalFormatting sqref="L23">
    <cfRule type="expression" dxfId="420" priority="4">
      <formula>ABS(L$25-L$28)&gt;=1000</formula>
    </cfRule>
  </conditionalFormatting>
  <conditionalFormatting sqref="F14">
    <cfRule type="expression" dxfId="419" priority="3">
      <formula>ABS(F$16-F$19)&gt;=1000</formula>
    </cfRule>
  </conditionalFormatting>
  <conditionalFormatting sqref="AE5">
    <cfRule type="expression" dxfId="418" priority="2">
      <formula>ABS(AE$25-AE$28)&gt;=1000</formula>
    </cfRule>
  </conditionalFormatting>
  <conditionalFormatting sqref="H14">
    <cfRule type="expression" dxfId="417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25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94">
    <pageSetUpPr fitToPage="1"/>
  </sheetPr>
  <dimension ref="A1:CU223"/>
  <sheetViews>
    <sheetView view="pageBreakPreview" topLeftCell="A7" zoomScale="70" zoomScaleNormal="100" zoomScaleSheetLayoutView="70" workbookViewId="0">
      <selection activeCell="H14" sqref="H1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46020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66" t="s" ph="1">
        <v>177</v>
      </c>
      <c r="D6" s="71">
        <v>6644</v>
      </c>
      <c r="E6" s="71">
        <v>1712</v>
      </c>
      <c r="F6" s="71">
        <v>2442</v>
      </c>
      <c r="G6" s="71">
        <v>4439</v>
      </c>
      <c r="H6" s="71">
        <v>405</v>
      </c>
      <c r="I6" s="71">
        <v>14.11</v>
      </c>
      <c r="J6" s="71">
        <v>6.62</v>
      </c>
      <c r="K6" s="71">
        <v>7.41</v>
      </c>
      <c r="L6" s="71">
        <v>47.02</v>
      </c>
      <c r="M6" s="71">
        <v>2667</v>
      </c>
      <c r="N6" s="71">
        <v>6606</v>
      </c>
      <c r="O6" s="71">
        <v>3297</v>
      </c>
      <c r="P6" s="71">
        <v>422</v>
      </c>
      <c r="Q6" s="71">
        <v>7156</v>
      </c>
      <c r="R6" s="71">
        <v>739</v>
      </c>
      <c r="S6" s="71">
        <v>0</v>
      </c>
      <c r="T6" s="71">
        <v>0</v>
      </c>
      <c r="U6" s="71">
        <v>0</v>
      </c>
      <c r="V6" s="71">
        <v>3354</v>
      </c>
      <c r="W6" s="71">
        <v>7031</v>
      </c>
      <c r="X6" s="71">
        <v>7107</v>
      </c>
      <c r="Y6" s="71">
        <v>4853</v>
      </c>
      <c r="Z6" s="71">
        <v>469</v>
      </c>
      <c r="AA6" s="71">
        <v>2884</v>
      </c>
      <c r="AB6" s="71">
        <v>332</v>
      </c>
      <c r="AC6" s="71">
        <v>9285</v>
      </c>
      <c r="AD6" s="71">
        <v>4780</v>
      </c>
      <c r="AE6" s="71">
        <v>3751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209715.63485795999</v>
      </c>
      <c r="E7" s="73" ph="1">
        <f>E6*51.53*LOOKUP(E8,密度!$A$2:$A$50,密度!$B$2:$B$50)</f>
        <v>69375.704704000003</v>
      </c>
      <c r="F7" s="73" ph="1">
        <f>F6*33.183*LOOKUP(F8,密度!$A$2:$A$50,密度!$C$2:$C$50)</f>
        <v>90311.151446999997</v>
      </c>
      <c r="G7" s="73" ph="1">
        <f xml:space="preserve"> (G6+2)*51.53*LOOKUP(G8,密度!$A$2:$A$50,密度!$B$2:$B$50)</f>
        <v>179803.30436099999</v>
      </c>
      <c r="H7" s="73" ph="1">
        <f>(H6)*51.53*LOOKUP(H8,密度!$A$2:$A$50,密度!$B$2:$B$50)</f>
        <v>16380.588285000002</v>
      </c>
      <c r="I7" s="73" ph="1">
        <f>I6*290.8*1.0267</f>
        <v>4212.7431195999998</v>
      </c>
      <c r="J7" s="73" ph="1">
        <f>J6*290.8*0.7892</f>
        <v>1519.2857632</v>
      </c>
      <c r="K7" s="73" ph="1">
        <f>K6*290.8*1.1126</f>
        <v>2397.4616328000002</v>
      </c>
      <c r="L7" s="73" ph="1">
        <f>L6*290.8*0.777</f>
        <v>10624.244232000001</v>
      </c>
      <c r="M7" s="73" ph="1">
        <f>M6*33.183*LOOKUP(M8,密度!$A$2:$A$50,密度!$D$2:$D$50)</f>
        <v>91428.3799191</v>
      </c>
      <c r="N7" s="73" ph="1">
        <f>N6*33.183*LOOKUP(N8,密度!$A$2:$A$50,密度!$E$2:$E$50)</f>
        <v>173239.21148939998</v>
      </c>
      <c r="O7" s="73" ph="1">
        <f>O6*20.428*LOOKUP(O8,密度!$A$2:$A$50,密度!$C$2:$C$50)</f>
        <v>74833.824987600005</v>
      </c>
      <c r="P7" s="73" ph="1">
        <f>P6*51.53*LOOKUP(P8,密度!$A$2:$A$50,密度!$B$2:$B$50)</f>
        <v>17118.183551999999</v>
      </c>
      <c r="Q7" s="73" ph="1">
        <f>Q6*1.5*1.5*3.1416*LOOKUP(W8,密度!$A$2:$A$50,密度!$L$2:$L$50)</f>
        <v>47750.259110399995</v>
      </c>
      <c r="R7" s="73" ph="1">
        <f>R6*1.5*1.5*3.1416*LOOKUP(R8,密度!$A$2:$A$50,密度!$L$2:$L$50)</f>
        <v>4910.2736759999998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22333.015504799998</v>
      </c>
      <c r="W7" s="73" ph="1">
        <f>W6*1.5*1.5*3.1416*LOOKUP(W8,密度!$A$2:$A$50,密度!$L$2:$L$50)</f>
        <v>46916.164310399996</v>
      </c>
      <c r="X7" s="73" ph="1">
        <f>X6*1.5*1.5*3.1416*LOOKUP(X8,密度!$A$2:$A$50,密度!$L$2:$L$50)</f>
        <v>47574.003569399996</v>
      </c>
      <c r="Y7" s="73" ph="1">
        <f>Y6*1.5*1.5*3.1416*LOOKUP(Y8,密度!$A$2:$A$50,密度!$L$2:$L$50)</f>
        <v>32382.896515200002</v>
      </c>
      <c r="Z7" s="73" ph="1">
        <f>Z6*33.183*LOOKUP(Z8,密度!$A$2:$A$50,密度!$L$2:$L$50)</f>
        <v>14769.122822999998</v>
      </c>
      <c r="AA7" s="73" ph="1">
        <f>AA6*33.183*LOOKUP(AA8,密度!$A$2:$A$50,密度!$D$2:$D$50)</f>
        <v>98943.994270800002</v>
      </c>
      <c r="AB7" s="73" ph="1">
        <f>AB6*20.428*LOOKUP(AB8,密度!$A$2:$A$50,密度!$D$2:$D$50)</f>
        <v>7047.2759536000003</v>
      </c>
      <c r="AC7" s="73" ph="1">
        <f>AC6*51.53*LOOKUP(AC8,密度!$A$2:$A$50,密度!$Q$2:$Q$50)</f>
        <v>455494.94416050002</v>
      </c>
      <c r="AD7" s="73" ph="1">
        <f>AD6*20.428*LOOKUP(AD8,密度!$A$2:$A$50,密度!$V$2:$V$50)</f>
        <v>94130.589760000003</v>
      </c>
      <c r="AE7" s="73" ph="1">
        <f>AE6*20.428</f>
        <v>76625.428</v>
      </c>
    </row>
    <row r="8" spans="1:99" ph="1">
      <c r="B8" s="247" ph="1"/>
      <c r="C8" s="68" t="s" ph="1">
        <v>179</v>
      </c>
      <c r="D8" s="74">
        <v>19</v>
      </c>
      <c r="E8" s="74">
        <v>17</v>
      </c>
      <c r="F8" s="74">
        <v>17</v>
      </c>
      <c r="G8" s="74">
        <v>18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19</v>
      </c>
      <c r="O8" s="74">
        <v>22</v>
      </c>
      <c r="P8" s="74">
        <v>16</v>
      </c>
      <c r="Q8" s="74">
        <v>19</v>
      </c>
      <c r="R8" s="74">
        <v>22</v>
      </c>
      <c r="S8" s="74">
        <v>16</v>
      </c>
      <c r="T8" s="74">
        <v>13</v>
      </c>
      <c r="U8" s="74">
        <v>19</v>
      </c>
      <c r="V8" s="74">
        <v>20</v>
      </c>
      <c r="W8" s="74">
        <v>18</v>
      </c>
      <c r="X8" s="74">
        <v>15</v>
      </c>
      <c r="Y8" s="74">
        <v>18</v>
      </c>
      <c r="Z8" s="74">
        <v>13</v>
      </c>
      <c r="AA8" s="74">
        <v>17</v>
      </c>
      <c r="AB8" s="74">
        <v>11</v>
      </c>
      <c r="AC8" s="74">
        <v>18</v>
      </c>
      <c r="AD8" s="74">
        <v>15</v>
      </c>
      <c r="AE8" s="74">
        <v>19</v>
      </c>
    </row>
    <row r="9" spans="1:99" ht="26.4" ph="1">
      <c r="B9" s="247" ph="1">
        <v>0.66666666666666663</v>
      </c>
      <c r="C9" s="166" t="s" ph="1">
        <v>180</v>
      </c>
      <c r="D9" s="71">
        <v>6648</v>
      </c>
      <c r="E9" s="71">
        <v>1447</v>
      </c>
      <c r="F9" s="71">
        <v>2441</v>
      </c>
      <c r="G9" s="71">
        <v>4170</v>
      </c>
      <c r="H9" s="71">
        <v>404</v>
      </c>
      <c r="I9" s="71">
        <v>14.01</v>
      </c>
      <c r="J9" s="71">
        <v>6.82</v>
      </c>
      <c r="K9" s="71">
        <v>7.52</v>
      </c>
      <c r="L9" s="71">
        <v>29.62</v>
      </c>
      <c r="M9" s="71">
        <v>2668</v>
      </c>
      <c r="N9" s="71">
        <v>6615</v>
      </c>
      <c r="O9" s="71">
        <v>3297</v>
      </c>
      <c r="P9" s="71">
        <v>772</v>
      </c>
      <c r="Q9" s="71">
        <v>7164</v>
      </c>
      <c r="R9" s="71">
        <v>7120</v>
      </c>
      <c r="S9" s="71">
        <v>944</v>
      </c>
      <c r="T9" s="71">
        <v>0</v>
      </c>
      <c r="U9" s="71">
        <v>0</v>
      </c>
      <c r="V9" s="71">
        <v>0</v>
      </c>
      <c r="W9" s="71">
        <v>7045</v>
      </c>
      <c r="X9" s="71">
        <v>7118</v>
      </c>
      <c r="Y9" s="71">
        <v>4859</v>
      </c>
      <c r="Z9" s="71">
        <v>1301</v>
      </c>
      <c r="AA9" s="71">
        <v>2882</v>
      </c>
      <c r="AB9" s="71">
        <v>1233</v>
      </c>
      <c r="AC9" s="71">
        <v>9289</v>
      </c>
      <c r="AD9" s="71">
        <v>4780</v>
      </c>
      <c r="AE9" s="71">
        <v>3751</v>
      </c>
    </row>
    <row r="10" spans="1:99" s="72" customFormat="1" ht="22.2" ph="1">
      <c r="B10" s="247" ph="1"/>
      <c r="C10" s="166" t="s" ph="1">
        <v>178</v>
      </c>
      <c r="D10" s="73" ph="1">
        <f>D9*33.183*LOOKUP(D11,密度!$A$2:$A$50,密度!$Q$2:$Q$50)</f>
        <v>209841.89351831999</v>
      </c>
      <c r="E10" s="73" ph="1">
        <f>E9*51.53*LOOKUP(E11,密度!$A$2:$A$50,密度!$B$2:$B$50)</f>
        <v>58525.212959000004</v>
      </c>
      <c r="F10" s="73" ph="1">
        <f>F9*33.183*LOOKUP(F11,密度!$A$2:$A$50,密度!$C$2:$C$50)</f>
        <v>90225.569171699986</v>
      </c>
      <c r="G10" s="73" ph="1">
        <f xml:space="preserve"> (G9+2)*51.53*LOOKUP(G11,密度!$A$2:$A$50,密度!$B$2:$B$50)</f>
        <v>168740.28228400002</v>
      </c>
      <c r="H10" s="73" ph="1">
        <f>(H9)*51.53*LOOKUP(H11,密度!$A$2:$A$50,密度!$B$2:$B$50)</f>
        <v>16356.796883999998</v>
      </c>
      <c r="I10" s="73" ph="1">
        <f>I9*290.8*1.0267</f>
        <v>4182.8866835999997</v>
      </c>
      <c r="J10" s="73" ph="1">
        <f>J9*290.8*0.7892</f>
        <v>1565.1856352</v>
      </c>
      <c r="K10" s="73" ph="1">
        <f>K9*290.8*1.1126</f>
        <v>2433.0514816</v>
      </c>
      <c r="L10" s="73" ph="1">
        <f>L9*290.8*0.777</f>
        <v>6692.6863920000014</v>
      </c>
      <c r="M10" s="73" ph="1">
        <f>M9*33.183*LOOKUP(M11,密度!$A$2:$A$50,密度!$D$2:$D$50)</f>
        <v>91232.477442000003</v>
      </c>
      <c r="N10" s="73" ph="1">
        <f>N9*33.183*LOOKUP(N11,密度!$A$2:$A$50,密度!$E$2:$E$50)</f>
        <v>173233.77611400001</v>
      </c>
      <c r="O10" s="73" ph="1">
        <f>O9*20.428*LOOKUP(O11,密度!$A$2:$A$50,密度!$C$2:$C$50)</f>
        <v>74786.679206400018</v>
      </c>
      <c r="P10" s="73" ph="1">
        <f>P9*51.53*LOOKUP(P11,密度!$A$2:$A$50,密度!$B$2:$B$50)</f>
        <v>31192.407556000002</v>
      </c>
      <c r="Q10" s="73" ph="1">
        <f>Q9*1.5*1.5*3.1416*LOOKUP(W11,密度!$A$2:$A$50,密度!$L$2:$L$50)</f>
        <v>47803.641177600002</v>
      </c>
      <c r="R10" s="73" ph="1">
        <f>R9*1.5*1.5*3.1416*LOOKUP(R11,密度!$A$2:$A$50,密度!$L$2:$L$50)</f>
        <v>47157.740784000001</v>
      </c>
      <c r="S10" s="73" ph="1">
        <f>S9*1.5*1.5*3.1416*LOOKUP(S11,密度!$A$2:$A$50,密度!$L$2:$L$50)</f>
        <v>6305.7566879999995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47009.582927999996</v>
      </c>
      <c r="X10" s="73" ph="1">
        <f>X9*1.5*1.5*3.1416*LOOKUP(X11,密度!$A$2:$A$50,密度!$L$2:$L$50)</f>
        <v>47798.580059999993</v>
      </c>
      <c r="Y10" s="73" ph="1">
        <f>Y9*1.5*1.5*3.1416*LOOKUP(Y11,密度!$A$2:$A$50,密度!$L$2:$L$50)</f>
        <v>32422.933065599998</v>
      </c>
      <c r="Z10" s="73" ph="1">
        <f>Z9*33.183*LOOKUP(Z11,密度!$A$2:$A$50,密度!$L$2:$L$50)</f>
        <v>40667.160185999994</v>
      </c>
      <c r="AA10" s="73" ph="1">
        <f>AA9*33.183*LOOKUP(AA11,密度!$A$2:$A$50,密度!$D$2:$D$50)</f>
        <v>98636.294948400013</v>
      </c>
      <c r="AB10" s="73" ph="1">
        <f>AB9*20.428*LOOKUP(AB11,密度!$A$2:$A$50,密度!$D$2:$D$50)</f>
        <v>26152.413829200003</v>
      </c>
      <c r="AC10" s="73" ph="1">
        <f>AC9*51.53*LOOKUP(AC11,密度!$A$2:$A$50,密度!$Q$2:$Q$50)</f>
        <v>454910.9531246</v>
      </c>
      <c r="AD10" s="73" ph="1">
        <f>AD9*20.428*LOOKUP(AD11,密度!$A$2:$A$50,密度!$V$2:$V$50)</f>
        <v>94130.589760000003</v>
      </c>
      <c r="AE10" s="73" ph="1">
        <f>AE9*20.428</f>
        <v>76625.428</v>
      </c>
    </row>
    <row r="11" spans="1:99" ph="1">
      <c r="A11" s="64" t="s" ph="1">
        <v>162</v>
      </c>
      <c r="B11" s="247" ph="1"/>
      <c r="C11" s="166" t="s" ph="1">
        <v>179</v>
      </c>
      <c r="D11" s="74">
        <v>19</v>
      </c>
      <c r="E11" s="74">
        <v>19</v>
      </c>
      <c r="F11" s="74">
        <v>18</v>
      </c>
      <c r="G11" s="74">
        <v>19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20</v>
      </c>
      <c r="O11" s="74">
        <v>23</v>
      </c>
      <c r="P11" s="74">
        <v>20</v>
      </c>
      <c r="Q11" s="74">
        <v>22</v>
      </c>
      <c r="R11" s="74">
        <v>25</v>
      </c>
      <c r="S11" s="74">
        <v>17</v>
      </c>
      <c r="T11" s="74">
        <v>30</v>
      </c>
      <c r="U11" s="74">
        <v>17</v>
      </c>
      <c r="V11" s="74">
        <v>25</v>
      </c>
      <c r="W11" s="74">
        <v>18</v>
      </c>
      <c r="X11" s="74">
        <v>12</v>
      </c>
      <c r="Y11" s="74">
        <v>18</v>
      </c>
      <c r="Z11" s="74">
        <v>20</v>
      </c>
      <c r="AA11" s="74">
        <v>20</v>
      </c>
      <c r="AB11" s="74">
        <v>12</v>
      </c>
      <c r="AC11" s="74">
        <v>20</v>
      </c>
      <c r="AD11" s="74">
        <v>18</v>
      </c>
      <c r="AE11" s="74">
        <v>21</v>
      </c>
    </row>
    <row r="12" spans="1:99" ht="9.9" customHeight="1" ph="1"/>
    <row r="13" spans="1:99" s="72" customFormat="1" ht="29.25" customHeight="1" ph="1">
      <c r="B13" s="224" t="s" ph="1">
        <v>37</v>
      </c>
      <c r="C13" s="16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0" t="s" ph="1">
        <v>615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66" t="s" ph="1">
        <v>177</v>
      </c>
      <c r="D15" s="78">
        <v>4989</v>
      </c>
      <c r="E15" s="78">
        <v>5975</v>
      </c>
      <c r="F15" s="78">
        <v>2112</v>
      </c>
      <c r="G15" s="78">
        <v>5257</v>
      </c>
      <c r="H15" s="78">
        <v>3942</v>
      </c>
      <c r="I15" s="78">
        <v>3668</v>
      </c>
      <c r="J15" s="78">
        <v>918</v>
      </c>
      <c r="K15" s="78">
        <v>2381</v>
      </c>
      <c r="L15" s="78">
        <v>2641</v>
      </c>
      <c r="M15" s="78">
        <v>4669</v>
      </c>
      <c r="N15" s="78">
        <v>1576</v>
      </c>
      <c r="O15" s="78">
        <v>5243</v>
      </c>
      <c r="P15" s="78">
        <v>3590</v>
      </c>
      <c r="Q15" s="78">
        <v>6956</v>
      </c>
      <c r="R15" s="78">
        <v>7340</v>
      </c>
      <c r="S15" s="78">
        <v>6396</v>
      </c>
      <c r="T15" s="78">
        <v>3567</v>
      </c>
      <c r="U15" s="78">
        <v>5370</v>
      </c>
      <c r="V15" s="78">
        <v>-817</v>
      </c>
      <c r="W15" s="71">
        <v>2433</v>
      </c>
      <c r="X15" s="78">
        <v>663</v>
      </c>
      <c r="Y15" s="106">
        <v>-9901</v>
      </c>
      <c r="Z15" s="78">
        <v>0</v>
      </c>
      <c r="AA15" s="78">
        <v>11</v>
      </c>
      <c r="AB15" s="78" ph="1">
        <v>1528</v>
      </c>
      <c r="AC15" s="78" ph="1">
        <v>30</v>
      </c>
      <c r="AD15" s="78">
        <v>84.62</v>
      </c>
      <c r="AE15" s="78">
        <v>17.809999999999999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66" t="s" ph="1">
        <v>178</v>
      </c>
      <c r="D16" s="73" ph="1">
        <f>D15*7.0686*LOOKUP(D17,密度!$A$2:$A$50,密度!$L$2:$L$50)</f>
        <v>33290.391657599997</v>
      </c>
      <c r="E16" s="73" ph="1">
        <f>E15*7.0686*LOOKUP(E17,密度!$A$2:$A$50,密度!$L$2:$L$50)</f>
        <v>39911.966325000001</v>
      </c>
      <c r="F16" s="73" ph="1">
        <f>F15*9.0746*LOOKUP(F17,密度!$A$2:$A$50,密度!$L$2:$L$50)</f>
        <v>18034.787443199999</v>
      </c>
      <c r="G16" s="73" ph="1">
        <f>G15*9.0746*LOOKUP(G17,密度!$A$2:$A$50,密度!$B$2:$B$50)</f>
        <v>37515.347418079997</v>
      </c>
      <c r="H16" s="73" ph="1">
        <f>H15*9.0746*LOOKUP(H17,密度!$A$2:$A$50,密度!$L$2:$L$50)</f>
        <v>33840.381247199999</v>
      </c>
      <c r="I16" s="73" ph="1">
        <f>I15*9.0746*LOOKUP(I17,密度!$A$2:$A$50,密度!$U$2:$U$50)</f>
        <v>34217.630518400001</v>
      </c>
      <c r="J16" s="73" ph="1">
        <f>J15*9.0746*LOOKUP(J17,密度!$A$2:$A$50,密度!$L$2:$L$50)</f>
        <v>7872.3062459999992</v>
      </c>
      <c r="K16" s="73" ph="1">
        <f>K15*9.0746*LOOKUP(K17,密度!$A$2:$A$50,密度!$C$2:$C$50)</f>
        <v>24080.580887699998</v>
      </c>
      <c r="L16" s="73" ph="1">
        <f>L15*9.0746*LOOKUP(L17,密度!$A$2:$A$50,密度!$E$2:$E$50)</f>
        <v>18966.707120039999</v>
      </c>
      <c r="M16" s="73" ph="1">
        <f>M15*9.0746*LOOKUP(M17,密度!$A$2:$A$50,密度!$M$2:$M$50)</f>
        <v>37297.701304219998</v>
      </c>
      <c r="N16" s="73" ph="1">
        <f>N15*9.0746*LOOKUP(N17,密度!$A$2:$A$50,密度!$M$2:$M$50)</f>
        <v>12589.671718879999</v>
      </c>
      <c r="O16" s="73" ph="1">
        <f>O15*9.0746*LOOKUP(O17,密度!$A$2:$A$50,密度!$G$2:$G$50)</f>
        <v>46008.049582599997</v>
      </c>
      <c r="P16" s="73" ph="1">
        <f ca="1">P15*9.0746*LOOKUP(P17,密度!$A$2:$A$51,密度!$Q$2:$Q$50)</f>
        <v>31014.404706140002</v>
      </c>
      <c r="Q16" s="73" ph="1">
        <f>Q15*9.0746*LOOKUP(Q17,密度!$A$2:$A$50,密度!$Q$2:$Q$50)</f>
        <v>60143.515889280003</v>
      </c>
      <c r="R16" s="73" ph="1">
        <f>MAX(R15*9.0746*LOOKUP(R17,密度!$A$2:$A$50,密度!$B$2:$B$50),0)</f>
        <v>52280.276983600001</v>
      </c>
      <c r="S16" s="73" ph="1">
        <f>S15*9.0746*LOOKUP(S17,密度!$A$2:$A$50,密度!$Q$2:$Q$50)</f>
        <v>55255.747214616007</v>
      </c>
      <c r="T16" s="73" ph="1">
        <f>T15*9.0746*LOOKUP(T17,密度!$A$2:$A$50,密度!$O$2:$O$50)</f>
        <v>30232.737718800003</v>
      </c>
      <c r="U16" s="73" ph="1">
        <f>U15*9.0746*LOOKUP(U17,密度!$A$2:$A$50,密度!$H$2:$H$50)</f>
        <v>45012.457067399999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26242.663128103999</v>
      </c>
      <c r="X16" s="73" ph="1">
        <f>MAX(5600*LOOKUP(X17,密度!$A$2:$A$50,密度!$I$2:$I$50)+X15*9.0476*LOOKUP(X17,密度!$A$2:$A$50,密度!$I$2:$I$50),0)</f>
        <v>11933.757149319998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78.498919839999999</v>
      </c>
      <c r="AB16" s="73" ph="1">
        <f>AB15*9.0746*LOOKUP(AB17,密度!$A$2:$A$50,密度!$L$2:$L$50)</f>
        <v>13089.493427200001</v>
      </c>
      <c r="AC16" s="73" ph="1">
        <f>AC15*9.0746*LOOKUP(AC17,密度!$A$2:$A$50,密度!$L$2:$L$50)</f>
        <v>257.80938599999996</v>
      </c>
      <c r="AD16" s="73" ph="1">
        <f>AD15*268.68*LOOKUP(AD17,密度!$A$2:$A$50,密度!B2:B50)+IF(AD15&lt;=0,0,1566*LOOKUP(AD17,密度!$A$2:$A$50,密度!B2:B50))</f>
        <v>18945.606567359999</v>
      </c>
      <c r="AE16" s="73" ph="1">
        <f>AE15*268.68*LOOKUP(AE17,密度!$A$2:$A$50,密度!B2:B50)+IF(AE15&lt;=0,0,1566*LOOKUP(AE17,密度!$A$2:$A$50,密度!B2:B50))</f>
        <v>4951.3883476799992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18</v>
      </c>
      <c r="E17" s="74">
        <v>17</v>
      </c>
      <c r="F17" s="74">
        <v>21</v>
      </c>
      <c r="G17" s="74">
        <v>17</v>
      </c>
      <c r="H17" s="74">
        <v>16</v>
      </c>
      <c r="I17" s="74">
        <v>17</v>
      </c>
      <c r="J17" s="74">
        <v>17</v>
      </c>
      <c r="K17" s="74">
        <v>17</v>
      </c>
      <c r="L17" s="74">
        <v>18</v>
      </c>
      <c r="M17" s="74">
        <v>19</v>
      </c>
      <c r="N17" s="74">
        <v>17</v>
      </c>
      <c r="O17" s="74">
        <v>19</v>
      </c>
      <c r="P17" s="74">
        <v>18</v>
      </c>
      <c r="Q17" s="74">
        <v>17</v>
      </c>
      <c r="R17" s="74">
        <v>19</v>
      </c>
      <c r="S17" s="74">
        <v>18</v>
      </c>
      <c r="T17" s="74">
        <v>17</v>
      </c>
      <c r="U17" s="74">
        <v>16</v>
      </c>
      <c r="V17" s="74">
        <v>18</v>
      </c>
      <c r="W17" s="74">
        <v>20</v>
      </c>
      <c r="X17" s="74">
        <v>37</v>
      </c>
      <c r="Y17" s="108">
        <v>37</v>
      </c>
      <c r="Z17" s="74">
        <v>18</v>
      </c>
      <c r="AA17" s="74">
        <v>17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4495</v>
      </c>
      <c r="E18" s="71">
        <v>5886</v>
      </c>
      <c r="F18" s="71">
        <v>2112</v>
      </c>
      <c r="G18" s="71">
        <v>5347</v>
      </c>
      <c r="H18" s="71">
        <v>5349</v>
      </c>
      <c r="I18" s="71">
        <v>3671</v>
      </c>
      <c r="J18" s="71">
        <v>1227</v>
      </c>
      <c r="K18" s="71">
        <v>2382</v>
      </c>
      <c r="L18" s="71">
        <v>937</v>
      </c>
      <c r="M18" s="71">
        <v>1710</v>
      </c>
      <c r="N18" s="71">
        <v>3157</v>
      </c>
      <c r="O18" s="71">
        <v>2435</v>
      </c>
      <c r="P18" s="71">
        <v>3596</v>
      </c>
      <c r="Q18" s="71">
        <v>5184</v>
      </c>
      <c r="R18" s="71">
        <v>7359</v>
      </c>
      <c r="S18" s="71">
        <v>6405</v>
      </c>
      <c r="T18" s="71">
        <v>2719</v>
      </c>
      <c r="U18" s="71">
        <v>5374</v>
      </c>
      <c r="V18" s="71">
        <v>-817</v>
      </c>
      <c r="W18" s="71">
        <v>1066</v>
      </c>
      <c r="X18" s="71">
        <v>663</v>
      </c>
      <c r="Y18" s="109">
        <v>-9904</v>
      </c>
      <c r="Z18" s="71">
        <v>0</v>
      </c>
      <c r="AA18" s="71">
        <v>10</v>
      </c>
      <c r="AB18" s="71">
        <v>1528</v>
      </c>
      <c r="AC18" s="71">
        <v>22</v>
      </c>
      <c r="AD18" s="71">
        <v>5.21</v>
      </c>
      <c r="AE18" s="71">
        <v>69.010000000000005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66" t="s" ph="1">
        <v>178</v>
      </c>
      <c r="D19" s="73" ph="1">
        <f>D18*7.0686*LOOKUP(D20,密度!$A$2:$A$50,密度!$L$2:$L$50)</f>
        <v>29898.728937</v>
      </c>
      <c r="E19" s="73" ph="1">
        <f>E18*7.0686*LOOKUP(E20,密度!$A$2:$A$50,密度!$L$2:$L$50)</f>
        <v>39192.6443832</v>
      </c>
      <c r="F19" s="73" ph="1">
        <f>F18*9.0746*LOOKUP(F20,密度!$A$2:$A$50,密度!$L$2:$L$50)</f>
        <v>18034.787443199999</v>
      </c>
      <c r="G19" s="73" ph="1">
        <f>G18*9.0746*LOOKUP(G20,密度!$A$2:$A$50,密度!$B$2:$B$50)</f>
        <v>38084.828478380005</v>
      </c>
      <c r="H19" s="73" ph="1">
        <f>H18*9.0746*LOOKUP(H20,密度!$A$2:$A$50,密度!$L$2:$L$50)</f>
        <v>45821.793417599998</v>
      </c>
      <c r="I19" s="73" ph="1">
        <f>I18*9.0746*LOOKUP(I20,密度!$A$2:$A$50,密度!$U$2:$U$50)</f>
        <v>34245.616584800002</v>
      </c>
      <c r="J19" s="73" ph="1">
        <f>J18*9.0746*LOOKUP(J20,密度!$A$2:$A$50,密度!$L$2:$L$50)</f>
        <v>10466.462147999999</v>
      </c>
      <c r="K19" s="73" ph="1">
        <f>K18*9.0746*LOOKUP(K20,密度!$A$2:$A$50,密度!$C$2:$C$50)</f>
        <v>24034.493716680005</v>
      </c>
      <c r="L19" s="73" ph="1">
        <f>L18*9.0746*LOOKUP(L20,密度!$A$2:$A$50,密度!$E$2:$E$50)</f>
        <v>6710.4888378400001</v>
      </c>
      <c r="M19" s="73" ph="1">
        <f>M18*9.0746*LOOKUP(M20,密度!$A$2:$A$50,密度!$M$2:$M$50)</f>
        <v>13608.905382000001</v>
      </c>
      <c r="N19" s="73" ph="1">
        <f>N18*9.0746*LOOKUP(N20,密度!$A$2:$A$50,密度!$M$2:$M$50)</f>
        <v>25219.285289660002</v>
      </c>
      <c r="O19" s="73" ph="1">
        <f>O18*9.0746*LOOKUP(O20,密度!$A$2:$A$50,密度!$G$2:$G$50)</f>
        <v>21343.155200900001</v>
      </c>
      <c r="P19" s="73" ph="1">
        <f ca="1">P18*9.0746*LOOKUP(P20,密度!$A$2:$A$51,密度!$Q$2:$Q$50)</f>
        <v>30990.532518904001</v>
      </c>
      <c r="Q19" s="73" ph="1">
        <f>Q18*9.0746*LOOKUP(Q20,密度!$A$2:$A$50,密度!$Q$2:$Q$50)</f>
        <v>44708.466316031998</v>
      </c>
      <c r="R19" s="73" ph="1">
        <f>MAX(R18*9.0746*LOOKUP(R20,密度!$A$2:$A$50,密度!$B$2:$B$50),0)</f>
        <v>52181.877465960002</v>
      </c>
      <c r="S19" s="73" ph="1">
        <f>S18*9.0746*LOOKUP(S20,密度!$A$2:$A$50,密度!$Q$2:$Q$50)</f>
        <v>55238.75901894</v>
      </c>
      <c r="T19" s="73" ph="1">
        <f>T18*9.0746*LOOKUP(T20,密度!$A$2:$A$50,密度!$O$2:$O$50)</f>
        <v>22946.668782000001</v>
      </c>
      <c r="U19" s="73" ph="1">
        <f>U18*9.0746*LOOKUP(U20,密度!$A$2:$A$50,密度!$H$2:$H$50)</f>
        <v>44948.452098679998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14455.063985119999</v>
      </c>
      <c r="X19" s="73" ph="1">
        <f>MAX(5600*LOOKUP(X20,密度!$A$2:$A$50,密度!$I$2:$I$50)+X18*9.0476*LOOKUP(X20,密度!$A$2:$A$50,密度!$I$2:$I$50),0)</f>
        <v>11985.950663920001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71.072267200000013</v>
      </c>
      <c r="AB19" s="73" ph="1">
        <f>AB18*9.0746*LOOKUP(AB20,密度!$A$2:$A$50,密度!$L$2:$L$50)</f>
        <v>13047.8954608</v>
      </c>
      <c r="AC19" s="73" ph="1">
        <f>AC18*9.0746*LOOKUP(AC20,密度!$A$2:$A$50,密度!$L$2:$L$50)</f>
        <v>187.66272799999999</v>
      </c>
      <c r="AD19" s="73" ph="1">
        <f>AD18*268.68*LOOKUP(AD20,密度!$A$2:$A$50,密度!B5:B53)+IF(AD18&lt;=0,0,1566*LOOKUP(AD20,密度!$A$2:$A$50,密度!B5:B53))</f>
        <v>2304.4443155999998</v>
      </c>
      <c r="AE19" s="73" ph="1">
        <f>AE18*268.68*LOOKUP(AE20,密度!$A$2:$A$50,密度!B5:B53)+IF(AE18&lt;=0,0,1566*LOOKUP(AE20,密度!$A$2:$A$50,密度!B5:B53))</f>
        <v>15623.610483600001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21</v>
      </c>
      <c r="E20" s="81">
        <v>20</v>
      </c>
      <c r="F20" s="81">
        <v>21</v>
      </c>
      <c r="G20" s="81">
        <v>19</v>
      </c>
      <c r="H20" s="81">
        <v>18</v>
      </c>
      <c r="I20" s="81">
        <v>21</v>
      </c>
      <c r="J20" s="81">
        <v>22</v>
      </c>
      <c r="K20" s="81">
        <v>21</v>
      </c>
      <c r="L20" s="81">
        <v>20</v>
      </c>
      <c r="M20" s="81">
        <v>23</v>
      </c>
      <c r="N20" s="81">
        <v>20</v>
      </c>
      <c r="O20" s="81">
        <v>20</v>
      </c>
      <c r="P20" s="81">
        <v>21</v>
      </c>
      <c r="Q20" s="81">
        <v>20</v>
      </c>
      <c r="R20" s="81">
        <v>23</v>
      </c>
      <c r="S20" s="81">
        <v>20</v>
      </c>
      <c r="T20" s="81">
        <v>24</v>
      </c>
      <c r="U20" s="81">
        <v>18</v>
      </c>
      <c r="V20" s="81">
        <v>22</v>
      </c>
      <c r="W20" s="81">
        <v>23</v>
      </c>
      <c r="X20" s="81">
        <v>33</v>
      </c>
      <c r="Y20" s="110">
        <v>33</v>
      </c>
      <c r="Z20" s="81">
        <v>25</v>
      </c>
      <c r="AA20" s="81">
        <v>21</v>
      </c>
      <c r="AB20" s="81">
        <v>21</v>
      </c>
      <c r="AC20" s="81">
        <v>22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646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66" t="s" ph="1">
        <v>177</v>
      </c>
      <c r="D24" s="71">
        <v>3.71</v>
      </c>
      <c r="E24" s="71">
        <v>5.71</v>
      </c>
      <c r="F24" s="71">
        <v>576</v>
      </c>
      <c r="G24" s="71">
        <v>2539</v>
      </c>
      <c r="H24" s="71">
        <v>377</v>
      </c>
      <c r="I24" s="71">
        <v>1199</v>
      </c>
      <c r="J24" s="71">
        <v>1265</v>
      </c>
      <c r="K24" s="71">
        <v>2439</v>
      </c>
      <c r="L24" s="71">
        <v>5542</v>
      </c>
      <c r="M24" s="71">
        <v>4869</v>
      </c>
      <c r="N24" s="71">
        <v>5592</v>
      </c>
      <c r="O24" s="71">
        <v>5720</v>
      </c>
      <c r="P24" s="71">
        <v>652</v>
      </c>
      <c r="Q24" s="90">
        <v>2260</v>
      </c>
      <c r="R24" s="71">
        <v>6355</v>
      </c>
      <c r="S24" s="71">
        <v>4821</v>
      </c>
      <c r="T24" s="71">
        <v>160</v>
      </c>
      <c r="U24" s="71">
        <v>4391</v>
      </c>
      <c r="V24" s="71">
        <v>8820</v>
      </c>
      <c r="W24" s="71">
        <v>1395</v>
      </c>
      <c r="X24" s="71">
        <v>4782</v>
      </c>
      <c r="Y24" s="71">
        <v>9052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2426.3079228719998</v>
      </c>
      <c r="E25" s="91" ph="1">
        <f>E24*268.68*LOOKUP(E26,密度!$A$2:$A$50,密度!$C$2:$C$50)+IF(E24&lt;=0,0,1566*LOOKUP(E26,密度!$A$2:$A$50,密度!$C$2:$C$50))</f>
        <v>3437.7705289200003</v>
      </c>
      <c r="F25" s="91" ph="1">
        <f>F24*11.702*LOOKUP(F26,密度!$A$2:$A$50,密度!$Q$2:$Q$50)</f>
        <v>6416.8825075200002</v>
      </c>
      <c r="G25" s="91" ph="1">
        <f>G24*18.322*LOOKUP(G26,密度!$A$2:$A$50,密度!$B$2:$B$50)</f>
        <v>36513.201074199998</v>
      </c>
      <c r="H25" s="91" ph="1">
        <f>H24*18.322*LOOKUP(H26,密度!$A$2:$A$50,密度!$B$2:$B$50)</f>
        <v>5427.139465799999</v>
      </c>
      <c r="I25" s="91" ph="1">
        <f>I24*18.322*LOOKUP(I26,密度!$A$2:$A$50,密度!$Q$2:$Q$50)</f>
        <v>20913.829936779999</v>
      </c>
      <c r="J25" s="91" ph="1">
        <f>J24*18.322*LOOKUP(J26,密度!$A$2:$A$50,密度!$Q$2:$Q$50)</f>
        <v>22046.971615899998</v>
      </c>
      <c r="K25" s="91" ph="1">
        <f>K24*18.322*LOOKUP(K26,密度!$A$2:$A$50,密度!$Q$2:$Q$50)</f>
        <v>42507.955550340004</v>
      </c>
      <c r="L25" s="91" ph="1">
        <f>L24*18.322*LOOKUP(L26,密度!$A$2:$A$50,密度!$Q$2:$Q$50)</f>
        <v>96747.811267199984</v>
      </c>
      <c r="M25" s="91" ph="1">
        <f>M24*18.322*LOOKUP(M26,密度!$A$2:$A$50,密度!$Q$2:$Q$50)</f>
        <v>84783.226830839994</v>
      </c>
      <c r="N25" s="91" ph="1">
        <f>N24*18.322*LOOKUP(N26,密度!$A$2:$A$50,密度!$Q$2:$Q$50)</f>
        <v>97459.814447519995</v>
      </c>
      <c r="O25" s="91" ph="1">
        <f>O24*18.322*LOOKUP(O26,密度!$A$2:$A$50,密度!$C$2:$C$50)</f>
        <v>116665.40828799999</v>
      </c>
      <c r="P25" s="91" ph="1">
        <f>P24*11.702*LOOKUP(P26,密度!$A$2:$A$50,密度!$B$2:$B$50)</f>
        <v>5982.4509064000003</v>
      </c>
      <c r="Q25" s="92" ph="1">
        <f>Q24*18.322*LOOKUP(Q26,密度!$A$2:$A$50,密度!$B$2:$B$50)</f>
        <v>32500.919428000001</v>
      </c>
      <c r="R25" s="91" ph="1">
        <f>R24*35.891*LOOKUP(R26,密度!$A$2:$A$50,密度!$C$2:$C$50)</f>
        <v>254203.30142249999</v>
      </c>
      <c r="S25" s="91" ph="1">
        <f>S24*35.891*LOOKUP(S26,密度!$A$2:$A$50,密度!$B$2:$B$50)</f>
        <v>135950.07249269998</v>
      </c>
      <c r="T25" s="91" ph="1">
        <f>T24*35.891*LOOKUP(T26,密度!$A$2:$A$50,密度!$Q$2:$Q$50)</f>
        <v>5476.1052159999999</v>
      </c>
      <c r="U25" s="91" ph="1">
        <f>U24*35.891</f>
        <v>157597.38099999999</v>
      </c>
      <c r="V25" s="91" ph="1">
        <f>V24*47.051*LOOKUP(V26,密度!$A$2:$A$50,密度!$B$2:$B$50)</f>
        <v>326347.99444799998</v>
      </c>
      <c r="W25" s="91" ph="1">
        <f>W24*47.051*LOOKUP(W26,密度!$A$2:$A$50,密度!$B$2:$B$50)</f>
        <v>51517.810210500007</v>
      </c>
      <c r="X25" s="91" ph="1">
        <f>X24*47.051*LOOKUP(X26,密度!$A$2:$A$61,密度!$I$2:$I$61)</f>
        <v>230487.83032080001</v>
      </c>
      <c r="Y25" s="91" ph="1">
        <f>Y24*47.051*LOOKUP(Y26,密度!$A$2:$A$50,密度!$L$2:$L$50)</f>
        <v>401629.029836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18</v>
      </c>
      <c r="G26" s="74">
        <v>19</v>
      </c>
      <c r="H26" s="74">
        <v>18</v>
      </c>
      <c r="I26" s="74">
        <v>18</v>
      </c>
      <c r="J26" s="74">
        <v>19</v>
      </c>
      <c r="K26" s="74">
        <v>19</v>
      </c>
      <c r="L26" s="74">
        <v>17</v>
      </c>
      <c r="M26" s="74">
        <v>20</v>
      </c>
      <c r="N26" s="74">
        <v>19</v>
      </c>
      <c r="O26" s="74">
        <v>19</v>
      </c>
      <c r="P26" s="74">
        <v>20</v>
      </c>
      <c r="Q26" s="93">
        <v>19</v>
      </c>
      <c r="R26" s="74">
        <v>17</v>
      </c>
      <c r="S26" s="74">
        <v>18</v>
      </c>
      <c r="T26" s="74">
        <v>16</v>
      </c>
      <c r="U26" s="74">
        <v>19</v>
      </c>
      <c r="V26" s="74">
        <v>17</v>
      </c>
      <c r="W26" s="74">
        <v>19</v>
      </c>
      <c r="X26" s="74">
        <v>41</v>
      </c>
      <c r="Y26" s="74">
        <v>19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66" t="s" ph="1">
        <v>180</v>
      </c>
      <c r="D27" s="71">
        <v>3.71</v>
      </c>
      <c r="E27" s="71">
        <v>65.91</v>
      </c>
      <c r="F27" s="71">
        <v>576</v>
      </c>
      <c r="G27" s="71">
        <v>2076</v>
      </c>
      <c r="H27" s="71">
        <v>1134</v>
      </c>
      <c r="I27" s="71">
        <v>839</v>
      </c>
      <c r="J27" s="71">
        <v>1263</v>
      </c>
      <c r="K27" s="71">
        <v>2439</v>
      </c>
      <c r="L27" s="71">
        <v>5541</v>
      </c>
      <c r="M27" s="71">
        <v>4870</v>
      </c>
      <c r="N27" s="71">
        <v>5592</v>
      </c>
      <c r="O27" s="71">
        <v>5720</v>
      </c>
      <c r="P27" s="71">
        <v>649</v>
      </c>
      <c r="Q27" s="90">
        <v>2439</v>
      </c>
      <c r="R27" s="71">
        <v>5840</v>
      </c>
      <c r="S27" s="71">
        <v>4820</v>
      </c>
      <c r="T27" s="71">
        <v>159</v>
      </c>
      <c r="U27" s="71">
        <v>4520</v>
      </c>
      <c r="V27" s="71">
        <v>8822</v>
      </c>
      <c r="W27" s="71">
        <v>1391</v>
      </c>
      <c r="X27" s="71">
        <v>4074</v>
      </c>
      <c r="Y27" s="71">
        <v>7970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66" t="s" ph="1">
        <v>178</v>
      </c>
      <c r="D28" s="91" ph="1">
        <f>D27*268.68*LOOKUP(D29,密度!$A$2:$A$50,密度!$Q$2:$Q$50)+IF(D27&lt;=0,0,1566*LOOKUP(D29,密度!$A$2:$A$50,密度!$Q$2:$Q$50))</f>
        <v>2426.3079228719998</v>
      </c>
      <c r="E28" s="91" ph="1">
        <f>E27*268.68*LOOKUP(E29,密度!$A$2:$A$50,密度!$C$2:$C$50)+IF(E27&lt;=0,0,1566*LOOKUP(E29,密度!$A$2:$A$50,密度!$C$2:$C$50))</f>
        <v>21373.713499319998</v>
      </c>
      <c r="F28" s="91" ph="1">
        <f>F27*11.702*LOOKUP(F29,密度!$A$2:$A$50,密度!$Q$2:$Q$50)</f>
        <v>6405.8957337599995</v>
      </c>
      <c r="G28" s="91" ph="1">
        <f>G27*18.322*LOOKUP(G29,密度!$A$2:$A$50,密度!$B$2:$B$50)</f>
        <v>29885.256050399999</v>
      </c>
      <c r="H28" s="91" ph="1">
        <f>H27*18.322*LOOKUP(H29,密度!$A$2:$A$50,密度!$B$2:$B$50)</f>
        <v>16307.983465199999</v>
      </c>
      <c r="I28" s="91" ph="1">
        <f>I27*18.322*LOOKUP(I29,密度!$A$2:$A$50,密度!$Q$2:$Q$50)</f>
        <v>14622.45785434</v>
      </c>
      <c r="J28" s="91" ph="1">
        <f>J27*18.322*LOOKUP(J29,密度!$A$2:$A$50,密度!$Q$2:$Q$50)</f>
        <v>22012.114743779999</v>
      </c>
      <c r="K28" s="91" ph="1">
        <f>K27*18.322*LOOKUP(K29,密度!$A$2:$A$50,密度!$Q$2:$Q$50)</f>
        <v>42469.971296039999</v>
      </c>
      <c r="L28" s="91" ph="1">
        <f>L27*18.322*LOOKUP(L29,密度!$A$2:$A$50,密度!$Q$2:$Q$50)</f>
        <v>96570.964208459991</v>
      </c>
      <c r="M28" s="91" ph="1">
        <f>M27*18.322*LOOKUP(M29,密度!$A$2:$A$50,密度!$Q$2:$Q$50)</f>
        <v>84946.081561400002</v>
      </c>
      <c r="N28" s="91" ph="1">
        <f>N27*18.322*LOOKUP(N29,密度!$A$2:$A$50,密度!$Q$2:$Q$50)</f>
        <v>97459.814447519995</v>
      </c>
      <c r="O28" s="91" ph="1">
        <f>O27*18.322*LOOKUP(O29,密度!$A$2:$A$50,密度!$C$2:$C$50)</f>
        <v>116602.52718400001</v>
      </c>
      <c r="P28" s="91" ph="1">
        <f>P27*11.702*LOOKUP(P29,密度!$A$2:$A$50,密度!$B$2:$B$50)</f>
        <v>5960.9999702000005</v>
      </c>
      <c r="Q28" s="92" ph="1">
        <f>Q27*18.322*LOOKUP(Q29,密度!$A$2:$A$50,密度!$B$2:$B$50)</f>
        <v>35039.357407800002</v>
      </c>
      <c r="R28" s="91" ph="1">
        <f>R27*35.891*LOOKUP(R29,密度!$A$2:$A$50,密度!$C$2:$C$50)</f>
        <v>233330.54940799999</v>
      </c>
      <c r="S28" s="91" ph="1">
        <f>S27*35.891*LOOKUP(S29,密度!$A$2:$A$50,密度!$B$2:$B$50)</f>
        <v>135645.081542</v>
      </c>
      <c r="T28" s="91" ph="1">
        <f>T27*35.891*LOOKUP(T29,密度!$A$2:$A$50,密度!$Q$2:$Q$50)</f>
        <v>5419.5664826100001</v>
      </c>
      <c r="U28" s="91" ph="1">
        <f>U27*35.891</f>
        <v>162227.31999999998</v>
      </c>
      <c r="V28" s="91" ph="1">
        <f>V27*47.051*LOOKUP(V29,密度!$A$2:$A$50,密度!$B$2:$B$50)</f>
        <v>326131.4375154</v>
      </c>
      <c r="W28" s="91" ph="1">
        <f>W27*47.051*LOOKUP(W29,密度!$A$2:$A$50,密度!$B$2:$B$50)</f>
        <v>51370.088890900006</v>
      </c>
      <c r="X28" s="91" ph="1">
        <f>X27*47.051*LOOKUP(X29,密度!$A$2:$A$61,密度!$I$2:$I$61)</f>
        <v>195500.32090260001</v>
      </c>
      <c r="Y28" s="91" ph="1">
        <f>Y27*47.051*LOOKUP(Y29,密度!$A$2:$A$50,密度!$L$2:$L$50)</f>
        <v>353621.67121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66" t="s" ph="1">
        <v>179</v>
      </c>
      <c r="D29" s="74">
        <v>25</v>
      </c>
      <c r="E29" s="74">
        <v>25</v>
      </c>
      <c r="F29" s="74">
        <v>20</v>
      </c>
      <c r="G29" s="74">
        <v>18</v>
      </c>
      <c r="H29" s="74">
        <v>19</v>
      </c>
      <c r="I29" s="74">
        <v>19</v>
      </c>
      <c r="J29" s="74">
        <v>19</v>
      </c>
      <c r="K29" s="74">
        <v>20</v>
      </c>
      <c r="L29" s="74">
        <v>19</v>
      </c>
      <c r="M29" s="74">
        <v>18</v>
      </c>
      <c r="N29" s="74">
        <v>19</v>
      </c>
      <c r="O29" s="74">
        <v>20</v>
      </c>
      <c r="P29" s="74">
        <v>19</v>
      </c>
      <c r="Q29" s="93">
        <v>20</v>
      </c>
      <c r="R29" s="74">
        <v>19</v>
      </c>
      <c r="S29" s="74">
        <v>20</v>
      </c>
      <c r="T29" s="74">
        <v>21</v>
      </c>
      <c r="U29" s="74">
        <v>20</v>
      </c>
      <c r="V29" s="74">
        <v>18</v>
      </c>
      <c r="W29" s="74">
        <v>19</v>
      </c>
      <c r="X29" s="74">
        <v>45</v>
      </c>
      <c r="Y29" s="74">
        <v>19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124788.70877760001</v>
      </c>
      <c r="E33" s="196" ph="1">
        <f>M10+I10</f>
        <v>95415.364125599997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22" ph="1">
        <v>0</v>
      </c>
      <c r="H33" s="196" ph="1">
        <f>N19</f>
        <v>25219.285289660002</v>
      </c>
      <c r="I33" s="200" ph="1">
        <v>0</v>
      </c>
      <c r="J33" s="204" ph="1">
        <f>F10+O28</f>
        <v>206828.09635569999</v>
      </c>
      <c r="K33" s="196" ph="1">
        <f>O10+K10+E28+R28</f>
        <v>331923.99359532003</v>
      </c>
      <c r="L33" s="206" ph="1">
        <f>BE27</f>
        <v>7100</v>
      </c>
      <c r="M33" s="204" ph="1">
        <f>G10+H10+W28+S28+V28+E10</f>
        <v>756768.90007530001</v>
      </c>
      <c r="N33" s="196" ph="1">
        <f>L10+P10++G28+H28</f>
        <v>84078.333463599993</v>
      </c>
      <c r="O33" s="200" ph="1">
        <f>BE17</f>
        <v>2270</v>
      </c>
      <c r="P33" s="204" ph="1">
        <f>L19</f>
        <v>6710.4888378400001</v>
      </c>
      <c r="Q33" s="196" ph="1">
        <f>J10+N10</f>
        <v>174798.96174920001</v>
      </c>
      <c r="R33" s="200" ph="1">
        <f>BE23</f>
        <v>890</v>
      </c>
      <c r="S33" s="204" ph="1">
        <f>E10+X28</f>
        <v>254025.53386160001</v>
      </c>
      <c r="T33" s="196" ph="1">
        <f>X19</f>
        <v>11985.950663920001</v>
      </c>
      <c r="U33" s="185" ph="1">
        <f>BE21</f>
        <v>730</v>
      </c>
      <c r="V33" s="198" ph="1">
        <f ca="1">P19+Q19+S19+M28+N28+J28</f>
        <v>335355.76860657602</v>
      </c>
      <c r="W33" s="198" ph="1">
        <f>D28+F28+V19+T28</f>
        <v>14251.770139241999</v>
      </c>
      <c r="X33" s="200" ph="1">
        <f>BE29+BE31</f>
        <v>10200</v>
      </c>
      <c r="Y33" s="202" ph="1">
        <f>+Q10+R10+S10+T10+U10+V10+W10+X10+Y10</f>
        <v>228498.2347032</v>
      </c>
      <c r="Z33" s="183" ph="1">
        <f>D10+T19+U19+Y28+Z10</f>
        <v>672025.84579499997</v>
      </c>
      <c r="AA33" s="185" ph="1">
        <f>BE19</f>
        <v>1440</v>
      </c>
      <c r="AB33" s="187" ph="1">
        <f>I19</f>
        <v>34245.616584800002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68" t="s" ph="1">
        <v>185</v>
      </c>
      <c r="AA36" s="168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342</v>
      </c>
      <c r="AI37" s="168" t="s" ph="1">
        <v>209</v>
      </c>
      <c r="AJ37" s="168" t="s" ph="1">
        <v>210</v>
      </c>
      <c r="AK37" s="168" t="s" ph="1">
        <v>211</v>
      </c>
      <c r="AM37" s="168" t="s" ph="1">
        <v>210</v>
      </c>
      <c r="AN37" s="168" t="s" ph="1">
        <v>211</v>
      </c>
      <c r="AO37" s="168" t="s" ph="1">
        <v>212</v>
      </c>
      <c r="AP37" s="168" t="s" ph="1">
        <v>210</v>
      </c>
      <c r="AQ37" s="168" t="s" ph="1">
        <v>211</v>
      </c>
      <c r="AR37" s="168" t="s" ph="1">
        <v>212</v>
      </c>
      <c r="AS37" s="168" t="s" ph="1">
        <v>210</v>
      </c>
      <c r="AT37" s="168" t="s" ph="1">
        <v>211</v>
      </c>
      <c r="AU37" s="168" t="s" ph="1">
        <v>212</v>
      </c>
      <c r="AV37" s="168" t="s" ph="1">
        <v>210</v>
      </c>
      <c r="AW37" s="168" t="s" ph="1">
        <v>211</v>
      </c>
      <c r="AX37" s="168" t="s" ph="1">
        <v>212</v>
      </c>
      <c r="AY37" s="168" t="s" ph="1">
        <v>211</v>
      </c>
      <c r="AZ37" s="168" t="s" ph="1">
        <v>213</v>
      </c>
      <c r="BD37" s="168" t="s" ph="1">
        <v>305</v>
      </c>
      <c r="BE37" s="16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86" priority="99">
      <formula>ABS(D$7-D$10)&gt;=1000</formula>
    </cfRule>
  </conditionalFormatting>
  <conditionalFormatting sqref="E4 E6:E11">
    <cfRule type="expression" dxfId="385" priority="98">
      <formula>ABS(E$7-E$10)&gt;=1000</formula>
    </cfRule>
  </conditionalFormatting>
  <conditionalFormatting sqref="F4:F11">
    <cfRule type="expression" dxfId="384" priority="97">
      <formula>ABS(F$7-F$10)&gt;=1000</formula>
    </cfRule>
  </conditionalFormatting>
  <conditionalFormatting sqref="G4:G11">
    <cfRule type="expression" dxfId="383" priority="96">
      <formula>ABS(G$7-G$10)&gt;=1000</formula>
    </cfRule>
  </conditionalFormatting>
  <conditionalFormatting sqref="H4:H11">
    <cfRule type="expression" dxfId="382" priority="95">
      <formula>ABS(H$7-H$10)&gt;=1000</formula>
    </cfRule>
  </conditionalFormatting>
  <conditionalFormatting sqref="I4:I11">
    <cfRule type="expression" dxfId="381" priority="94">
      <formula>ABS(I$7-I$10)&gt;=1000</formula>
    </cfRule>
  </conditionalFormatting>
  <conditionalFormatting sqref="J4:J11">
    <cfRule type="expression" dxfId="380" priority="93">
      <formula>ABS(J$7-J$10)&gt;=1000</formula>
    </cfRule>
  </conditionalFormatting>
  <conditionalFormatting sqref="K4:K11">
    <cfRule type="expression" dxfId="379" priority="92">
      <formula>ABS(K$7-K$10)&gt;=1000</formula>
    </cfRule>
  </conditionalFormatting>
  <conditionalFormatting sqref="L4:L11">
    <cfRule type="expression" dxfId="378" priority="91">
      <formula>ABS(L$7-L$10)&gt;=1000</formula>
    </cfRule>
  </conditionalFormatting>
  <conditionalFormatting sqref="M4 M6:M11">
    <cfRule type="expression" dxfId="377" priority="90">
      <formula>ABS(M$7-M$10)&gt;=1000</formula>
    </cfRule>
  </conditionalFormatting>
  <conditionalFormatting sqref="N4 N6:N11">
    <cfRule type="expression" dxfId="376" priority="89">
      <formula>ABS(N$7-N$10)&gt;=1000</formula>
    </cfRule>
  </conditionalFormatting>
  <conditionalFormatting sqref="O4 O6:O11">
    <cfRule type="expression" dxfId="375" priority="88">
      <formula>ABS(O$7-O$10)&gt;=1000</formula>
    </cfRule>
  </conditionalFormatting>
  <conditionalFormatting sqref="P4 P6:P11">
    <cfRule type="expression" dxfId="374" priority="87">
      <formula>ABS(P$7-P$10)&gt;=1000</formula>
    </cfRule>
  </conditionalFormatting>
  <conditionalFormatting sqref="Q4:Q11">
    <cfRule type="expression" dxfId="373" priority="86">
      <formula>ABS(Q$7-Q$10)&gt;=1000</formula>
    </cfRule>
  </conditionalFormatting>
  <conditionalFormatting sqref="R4:R11">
    <cfRule type="expression" dxfId="372" priority="85">
      <formula>ABS(R$7-R$10)&gt;=1000</formula>
    </cfRule>
  </conditionalFormatting>
  <conditionalFormatting sqref="S4:S11">
    <cfRule type="expression" dxfId="371" priority="84">
      <formula>ABS(S$7-S$10)&gt;=1000</formula>
    </cfRule>
  </conditionalFormatting>
  <conditionalFormatting sqref="T4:T9 T11">
    <cfRule type="expression" dxfId="370" priority="83">
      <formula>ABS(T$7-T$10)&gt;=1000</formula>
    </cfRule>
  </conditionalFormatting>
  <conditionalFormatting sqref="U4:U9 U11">
    <cfRule type="expression" dxfId="369" priority="82">
      <formula>ABS(U$7-U$10)&gt;=1000</formula>
    </cfRule>
  </conditionalFormatting>
  <conditionalFormatting sqref="V4:V9 V11">
    <cfRule type="expression" dxfId="368" priority="81">
      <formula>ABS(V$7-V$10)&gt;=1000</formula>
    </cfRule>
  </conditionalFormatting>
  <conditionalFormatting sqref="W4:W9 W11">
    <cfRule type="expression" dxfId="367" priority="80">
      <formula>ABS(W$7-W$10)&gt;=1000</formula>
    </cfRule>
  </conditionalFormatting>
  <conditionalFormatting sqref="X4:X9 X11">
    <cfRule type="expression" dxfId="366" priority="79">
      <formula>ABS(X$7-X$10)&gt;=1000</formula>
    </cfRule>
  </conditionalFormatting>
  <conditionalFormatting sqref="Y4:Y9 Y11">
    <cfRule type="expression" dxfId="365" priority="78">
      <formula>ABS(Y$7-Y$10)&gt;=1000</formula>
    </cfRule>
  </conditionalFormatting>
  <conditionalFormatting sqref="Z4:Z11">
    <cfRule type="expression" dxfId="364" priority="77">
      <formula>ABS(Z$7-Z$10)&gt;=1000</formula>
    </cfRule>
  </conditionalFormatting>
  <conditionalFormatting sqref="AA4:AA11">
    <cfRule type="expression" dxfId="363" priority="76">
      <formula>ABS(AA$7-AA$10)&gt;=1000</formula>
    </cfRule>
  </conditionalFormatting>
  <conditionalFormatting sqref="AB4:AB11">
    <cfRule type="expression" dxfId="362" priority="75">
      <formula>ABS(AB$7-AB$10)&gt;=1000</formula>
    </cfRule>
  </conditionalFormatting>
  <conditionalFormatting sqref="AC4 AC6:AC11">
    <cfRule type="expression" dxfId="361" priority="74">
      <formula>ABS(AC$7-AC$10)&gt;=1000</formula>
    </cfRule>
  </conditionalFormatting>
  <conditionalFormatting sqref="AD4:AD11">
    <cfRule type="expression" dxfId="360" priority="73">
      <formula>ABS(AD$7-AD$10)&gt;=1000</formula>
    </cfRule>
  </conditionalFormatting>
  <conditionalFormatting sqref="AE4 AE6:AE11">
    <cfRule type="expression" dxfId="359" priority="72">
      <formula>ABS(AE$7-AE$10)&gt;=1000</formula>
    </cfRule>
  </conditionalFormatting>
  <conditionalFormatting sqref="D13:D20">
    <cfRule type="expression" dxfId="358" priority="71">
      <formula>ABS(D$16-D$19)&gt;=1000</formula>
    </cfRule>
  </conditionalFormatting>
  <conditionalFormatting sqref="E13:E20">
    <cfRule type="expression" dxfId="357" priority="70">
      <formula>ABS(E$16-E$19)&gt;=1000</formula>
    </cfRule>
  </conditionalFormatting>
  <conditionalFormatting sqref="F13 F15:F20">
    <cfRule type="expression" dxfId="356" priority="69">
      <formula>ABS(F$16-F$19)&gt;=1000</formula>
    </cfRule>
  </conditionalFormatting>
  <conditionalFormatting sqref="G13:G20">
    <cfRule type="expression" dxfId="355" priority="68">
      <formula>ABS(G$16-G$19)&gt;=1000</formula>
    </cfRule>
  </conditionalFormatting>
  <conditionalFormatting sqref="H13 H15:H20">
    <cfRule type="expression" dxfId="354" priority="67">
      <formula>ABS(H$16-H$19)&gt;=1000</formula>
    </cfRule>
  </conditionalFormatting>
  <conditionalFormatting sqref="I13:I20">
    <cfRule type="expression" dxfId="353" priority="66">
      <formula>ABS(I$16-I$19)&gt;=1000</formula>
    </cfRule>
  </conditionalFormatting>
  <conditionalFormatting sqref="J13:J20">
    <cfRule type="expression" dxfId="352" priority="65">
      <formula>ABS(J$16-J$19)&gt;=1000</formula>
    </cfRule>
  </conditionalFormatting>
  <conditionalFormatting sqref="L13:L20">
    <cfRule type="expression" dxfId="351" priority="64">
      <formula>ABS(L$16-L$19)&gt;=1000</formula>
    </cfRule>
  </conditionalFormatting>
  <conditionalFormatting sqref="M13 M15 M17:M18 M20">
    <cfRule type="expression" dxfId="350" priority="63">
      <formula>ABS(M$16-M$19)&gt;=1000</formula>
    </cfRule>
  </conditionalFormatting>
  <conditionalFormatting sqref="N13:N20">
    <cfRule type="expression" dxfId="349" priority="62">
      <formula>ABS(N$16-N$19)&gt;=1000</formula>
    </cfRule>
  </conditionalFormatting>
  <conditionalFormatting sqref="O13:O20">
    <cfRule type="expression" dxfId="348" priority="61">
      <formula>ABS(O$16-O$19)&gt;=1000</formula>
    </cfRule>
  </conditionalFormatting>
  <conditionalFormatting sqref="P13:P20">
    <cfRule type="expression" dxfId="347" priority="60">
      <formula>ABS(P$16-P$19)&gt;=1000</formula>
    </cfRule>
  </conditionalFormatting>
  <conditionalFormatting sqref="Q13 Q15:Q20">
    <cfRule type="expression" dxfId="346" priority="59">
      <formula>ABS(Q$16-Q$19)&gt;=1000</formula>
    </cfRule>
  </conditionalFormatting>
  <conditionalFormatting sqref="R13:R20">
    <cfRule type="expression" dxfId="345" priority="58">
      <formula>ABS(R$16-R$19)&gt;=1000</formula>
    </cfRule>
  </conditionalFormatting>
  <conditionalFormatting sqref="S13:S20">
    <cfRule type="expression" dxfId="344" priority="57">
      <formula>ABS(S$16-S$19)&gt;=1000</formula>
    </cfRule>
  </conditionalFormatting>
  <conditionalFormatting sqref="T13:T20">
    <cfRule type="expression" dxfId="343" priority="56">
      <formula>ABS(T$16-T$19)&gt;=1000</formula>
    </cfRule>
  </conditionalFormatting>
  <conditionalFormatting sqref="U13:U20">
    <cfRule type="expression" dxfId="342" priority="55">
      <formula>ABS(U$16-U$19)&gt;=1000</formula>
    </cfRule>
  </conditionalFormatting>
  <conditionalFormatting sqref="V13:V20">
    <cfRule type="expression" dxfId="341" priority="54">
      <formula>ABS(V$16-V$19)&gt;=1000</formula>
    </cfRule>
  </conditionalFormatting>
  <conditionalFormatting sqref="W13 W20 W15:W18">
    <cfRule type="expression" dxfId="340" priority="53">
      <formula>ABS(W$16-W$19)&gt;=1000</formula>
    </cfRule>
  </conditionalFormatting>
  <conditionalFormatting sqref="X13 X15:X20 Y19">
    <cfRule type="expression" dxfId="339" priority="52">
      <formula>ABS(X$16-X$19)&gt;=1000</formula>
    </cfRule>
  </conditionalFormatting>
  <conditionalFormatting sqref="Y13 Y15:Y18 Y20">
    <cfRule type="expression" dxfId="338" priority="51">
      <formula>ABS(Y$16-Y$19)&gt;=1000</formula>
    </cfRule>
  </conditionalFormatting>
  <conditionalFormatting sqref="Z13:Z20">
    <cfRule type="expression" dxfId="337" priority="50">
      <formula>ABS(Z$16-Z$19)&gt;=1000</formula>
    </cfRule>
  </conditionalFormatting>
  <conditionalFormatting sqref="AA13:AA20">
    <cfRule type="expression" dxfId="336" priority="49">
      <formula>ABS(AA$16-AA$19)&gt;=1000</formula>
    </cfRule>
  </conditionalFormatting>
  <conditionalFormatting sqref="AB13 AB15:AB20">
    <cfRule type="expression" dxfId="335" priority="48">
      <formula>ABS(AB$16-AB$19)&gt;=1000</formula>
    </cfRule>
  </conditionalFormatting>
  <conditionalFormatting sqref="AC13 AC15:AC20">
    <cfRule type="expression" dxfId="334" priority="47">
      <formula>ABS(AC$16-AC$19)&gt;=1000</formula>
    </cfRule>
  </conditionalFormatting>
  <conditionalFormatting sqref="AD13:AD20">
    <cfRule type="expression" dxfId="333" priority="46">
      <formula>ABS(AD$16-AD$19)&gt;=1000</formula>
    </cfRule>
  </conditionalFormatting>
  <conditionalFormatting sqref="AE13:AE20">
    <cfRule type="expression" dxfId="332" priority="45">
      <formula>ABS(AE$16-AE$19)&gt;=1000</formula>
    </cfRule>
  </conditionalFormatting>
  <conditionalFormatting sqref="D22:D29">
    <cfRule type="expression" dxfId="331" priority="44">
      <formula>ABS(D$25-D$28)&gt;=1000</formula>
    </cfRule>
  </conditionalFormatting>
  <conditionalFormatting sqref="E22:E29">
    <cfRule type="expression" dxfId="330" priority="43">
      <formula>ABS(E$25-E$28)&gt;=1000</formula>
    </cfRule>
  </conditionalFormatting>
  <conditionalFormatting sqref="F22:F29">
    <cfRule type="expression" dxfId="329" priority="42">
      <formula>ABS(F$25-F$28)&gt;=1000</formula>
    </cfRule>
  </conditionalFormatting>
  <conditionalFormatting sqref="G22:G29">
    <cfRule type="expression" dxfId="328" priority="41">
      <formula>ABS(G$25-G$28)&gt;=1000</formula>
    </cfRule>
  </conditionalFormatting>
  <conditionalFormatting sqref="H22:H29">
    <cfRule type="expression" dxfId="327" priority="40">
      <formula>ABS(H$25-H$28)&gt;=1000</formula>
    </cfRule>
  </conditionalFormatting>
  <conditionalFormatting sqref="I22 I24:I29">
    <cfRule type="expression" dxfId="326" priority="39">
      <formula>ABS(I$25-I$28)&gt;=1000</formula>
    </cfRule>
  </conditionalFormatting>
  <conditionalFormatting sqref="J22:J29 K22">
    <cfRule type="expression" dxfId="325" priority="38">
      <formula>ABS(J$25-J$28)&gt;=1000</formula>
    </cfRule>
  </conditionalFormatting>
  <conditionalFormatting sqref="K23:K29 L25 L28">
    <cfRule type="expression" dxfId="324" priority="37">
      <formula>ABS(K$25-K$28)&gt;=1000</formula>
    </cfRule>
  </conditionalFormatting>
  <conditionalFormatting sqref="L22 L26:L27 L29 L24">
    <cfRule type="expression" dxfId="323" priority="36">
      <formula>ABS(L$25-L$28)&gt;=1000</formula>
    </cfRule>
  </conditionalFormatting>
  <conditionalFormatting sqref="M22:M29">
    <cfRule type="expression" dxfId="322" priority="35">
      <formula>ABS(M$25-M$28)&gt;=1000</formula>
    </cfRule>
  </conditionalFormatting>
  <conditionalFormatting sqref="N22:N29">
    <cfRule type="expression" dxfId="321" priority="34">
      <formula>ABS(N$25-N$28)&gt;=1000</formula>
    </cfRule>
  </conditionalFormatting>
  <conditionalFormatting sqref="O22:O29">
    <cfRule type="expression" dxfId="320" priority="33">
      <formula>ABS(O$25-O$28)&gt;=1000</formula>
    </cfRule>
  </conditionalFormatting>
  <conditionalFormatting sqref="P22:P29">
    <cfRule type="expression" dxfId="319" priority="32">
      <formula>ABS(P$25-P$28)&gt;=1000</formula>
    </cfRule>
  </conditionalFormatting>
  <conditionalFormatting sqref="Q22:Q29">
    <cfRule type="expression" dxfId="318" priority="31">
      <formula>ABS(Q$25-Q$28)&gt;=1000</formula>
    </cfRule>
  </conditionalFormatting>
  <conditionalFormatting sqref="R22:R29">
    <cfRule type="expression" dxfId="317" priority="30">
      <formula>ABS(R$25-R$28)&gt;=1000</formula>
    </cfRule>
  </conditionalFormatting>
  <conditionalFormatting sqref="S22:S29">
    <cfRule type="expression" dxfId="316" priority="29">
      <formula>ABS(S$25-S$28)&gt;=1000</formula>
    </cfRule>
  </conditionalFormatting>
  <conditionalFormatting sqref="T22:T29">
    <cfRule type="expression" dxfId="315" priority="28">
      <formula>ABS(T$25-T$28)&gt;=1000</formula>
    </cfRule>
  </conditionalFormatting>
  <conditionalFormatting sqref="U22:U29">
    <cfRule type="expression" dxfId="314" priority="27">
      <formula>ABS(U$25-U$28)&gt;=1000</formula>
    </cfRule>
  </conditionalFormatting>
  <conditionalFormatting sqref="V22:V29">
    <cfRule type="expression" dxfId="313" priority="26">
      <formula>ABS(V$25-V$28)&gt;=1000</formula>
    </cfRule>
  </conditionalFormatting>
  <conditionalFormatting sqref="W22:W29">
    <cfRule type="expression" dxfId="312" priority="25">
      <formula>ABS(W$25-W$28)&gt;=1000</formula>
    </cfRule>
  </conditionalFormatting>
  <conditionalFormatting sqref="X22:X29">
    <cfRule type="expression" dxfId="311" priority="24">
      <formula>ABS(X$25-X$28)&gt;=1000</formula>
    </cfRule>
  </conditionalFormatting>
  <conditionalFormatting sqref="Y22:Y29">
    <cfRule type="expression" dxfId="310" priority="23">
      <formula>ABS(Y$25-Y$28)&gt;=1000</formula>
    </cfRule>
  </conditionalFormatting>
  <conditionalFormatting sqref="I23">
    <cfRule type="expression" dxfId="309" priority="22">
      <formula>ABS(I$25-I$28)&gt;=1000</formula>
    </cfRule>
  </conditionalFormatting>
  <conditionalFormatting sqref="Q14">
    <cfRule type="expression" dxfId="308" priority="21">
      <formula>ABS(Q$16-Q$19)&gt;=1000</formula>
    </cfRule>
  </conditionalFormatting>
  <conditionalFormatting sqref="W14">
    <cfRule type="expression" dxfId="307" priority="20">
      <formula>ABS(W$16-W$19)&gt;=1000</formula>
    </cfRule>
  </conditionalFormatting>
  <conditionalFormatting sqref="Y14">
    <cfRule type="expression" dxfId="306" priority="19">
      <formula>ABS(Y$16-Y$19)&gt;=1000</formula>
    </cfRule>
  </conditionalFormatting>
  <conditionalFormatting sqref="X14">
    <cfRule type="expression" dxfId="305" priority="18">
      <formula>ABS(X$16-X$19)&gt;=1000</formula>
    </cfRule>
  </conditionalFormatting>
  <conditionalFormatting sqref="T10:Y10">
    <cfRule type="expression" dxfId="304" priority="17">
      <formula>ABS(T$7-T$10)&gt;=1000</formula>
    </cfRule>
  </conditionalFormatting>
  <conditionalFormatting sqref="W19">
    <cfRule type="expression" dxfId="303" priority="16">
      <formula>ABS(W$16-W$19)&gt;=1000</formula>
    </cfRule>
  </conditionalFormatting>
  <conditionalFormatting sqref="AC5">
    <cfRule type="expression" dxfId="302" priority="15">
      <formula>ABS(AC$7-AC$10)&gt;=1000</formula>
    </cfRule>
  </conditionalFormatting>
  <conditionalFormatting sqref="M14">
    <cfRule type="expression" dxfId="301" priority="14">
      <formula>ABS(M$16-M$19)&gt;=1000</formula>
    </cfRule>
  </conditionalFormatting>
  <conditionalFormatting sqref="M16">
    <cfRule type="expression" dxfId="300" priority="13">
      <formula>ABS(M$16-M$19)&gt;=1000</formula>
    </cfRule>
  </conditionalFormatting>
  <conditionalFormatting sqref="M19">
    <cfRule type="expression" dxfId="299" priority="12">
      <formula>ABS(M$16-M$19)&gt;=1000</formula>
    </cfRule>
  </conditionalFormatting>
  <conditionalFormatting sqref="K13:K20">
    <cfRule type="expression" dxfId="298" priority="11">
      <formula>ABS(K$16-K$19)&gt;=1000</formula>
    </cfRule>
  </conditionalFormatting>
  <conditionalFormatting sqref="E5">
    <cfRule type="expression" dxfId="297" priority="10">
      <formula>ABS(E$7-E$10)&gt;=1000</formula>
    </cfRule>
  </conditionalFormatting>
  <conditionalFormatting sqref="AB14:AC14">
    <cfRule type="expression" dxfId="296" priority="9">
      <formula>ABS(AB$16-AB$19)&gt;=1000</formula>
    </cfRule>
  </conditionalFormatting>
  <conditionalFormatting sqref="M5">
    <cfRule type="expression" dxfId="295" priority="8">
      <formula>ABS(M$7-M$10)&gt;=1000</formula>
    </cfRule>
  </conditionalFormatting>
  <conditionalFormatting sqref="N5">
    <cfRule type="expression" dxfId="294" priority="7">
      <formula>ABS(N$7-N$10)&gt;=1000</formula>
    </cfRule>
  </conditionalFormatting>
  <conditionalFormatting sqref="O5">
    <cfRule type="expression" dxfId="293" priority="6">
      <formula>ABS(O$7-O$10)&gt;=1000</formula>
    </cfRule>
  </conditionalFormatting>
  <conditionalFormatting sqref="P5">
    <cfRule type="expression" dxfId="292" priority="5">
      <formula>ABS(P$7-P$10)&gt;=1000</formula>
    </cfRule>
  </conditionalFormatting>
  <conditionalFormatting sqref="L23">
    <cfRule type="expression" dxfId="291" priority="4">
      <formula>ABS(L$25-L$28)&gt;=1000</formula>
    </cfRule>
  </conditionalFormatting>
  <conditionalFormatting sqref="F14">
    <cfRule type="expression" dxfId="290" priority="3">
      <formula>ABS(F$16-F$19)&gt;=1000</formula>
    </cfRule>
  </conditionalFormatting>
  <conditionalFormatting sqref="AE5">
    <cfRule type="expression" dxfId="289" priority="2">
      <formula>ABS(AE$25-AE$28)&gt;=1000</formula>
    </cfRule>
  </conditionalFormatting>
  <conditionalFormatting sqref="H14">
    <cfRule type="expression" dxfId="288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36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95">
    <pageSetUpPr fitToPage="1"/>
  </sheetPr>
  <dimension ref="A1:CU223"/>
  <sheetViews>
    <sheetView view="pageBreakPreview" topLeftCell="A4" zoomScale="70" zoomScaleNormal="100" zoomScaleSheetLayoutView="70" workbookViewId="0">
      <selection activeCell="H14" sqref="H1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46021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66" t="s" ph="1">
        <v>177</v>
      </c>
      <c r="D6" s="71">
        <v>6649</v>
      </c>
      <c r="E6" s="71">
        <v>890</v>
      </c>
      <c r="F6" s="71">
        <v>2442</v>
      </c>
      <c r="G6" s="71">
        <v>3610</v>
      </c>
      <c r="H6" s="71">
        <v>404</v>
      </c>
      <c r="I6" s="71">
        <v>14.11</v>
      </c>
      <c r="J6" s="71">
        <v>6.61</v>
      </c>
      <c r="K6" s="71">
        <v>7.42</v>
      </c>
      <c r="L6" s="71">
        <v>56.21</v>
      </c>
      <c r="M6" s="71">
        <v>2669</v>
      </c>
      <c r="N6" s="71">
        <v>6614</v>
      </c>
      <c r="O6" s="71">
        <v>3298</v>
      </c>
      <c r="P6" s="71">
        <v>1186</v>
      </c>
      <c r="Q6" s="71">
        <v>7164</v>
      </c>
      <c r="R6" s="71">
        <v>7120</v>
      </c>
      <c r="S6" s="71">
        <v>961</v>
      </c>
      <c r="T6" s="71">
        <v>0</v>
      </c>
      <c r="U6" s="71">
        <v>0</v>
      </c>
      <c r="V6" s="71">
        <v>0</v>
      </c>
      <c r="W6" s="71">
        <v>7036</v>
      </c>
      <c r="X6" s="71">
        <v>7119</v>
      </c>
      <c r="Y6" s="71">
        <v>4861</v>
      </c>
      <c r="Z6" s="71">
        <v>1315</v>
      </c>
      <c r="AA6" s="71">
        <v>2886</v>
      </c>
      <c r="AB6" s="71">
        <v>1237</v>
      </c>
      <c r="AC6" s="71">
        <v>9350</v>
      </c>
      <c r="AD6" s="71">
        <v>4780</v>
      </c>
      <c r="AE6" s="71">
        <v>3891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209873.45818341</v>
      </c>
      <c r="E7" s="73" ph="1">
        <f>E6*51.53*LOOKUP(E8,密度!$A$2:$A$50,密度!$B$2:$B$50)</f>
        <v>36033.537690000005</v>
      </c>
      <c r="F7" s="73" ph="1">
        <f>F6*33.183*LOOKUP(F8,密度!$A$2:$A$50,密度!$C$2:$C$50)</f>
        <v>90311.151446999997</v>
      </c>
      <c r="G7" s="73" ph="1">
        <f xml:space="preserve"> (G6+2)*51.53*LOOKUP(G8,密度!$A$2:$A$50,密度!$B$2:$B$50)</f>
        <v>146239.48105200002</v>
      </c>
      <c r="H7" s="73" ph="1">
        <f>(H6)*51.53*LOOKUP(H8,密度!$A$2:$A$50,密度!$B$2:$B$50)</f>
        <v>16388.024064000001</v>
      </c>
      <c r="I7" s="73" ph="1">
        <f>I6*290.8*1.0267</f>
        <v>4212.7431195999998</v>
      </c>
      <c r="J7" s="73" ph="1">
        <f>J6*290.8*0.7892</f>
        <v>1516.9907696</v>
      </c>
      <c r="K7" s="73" ph="1">
        <f>K6*290.8*1.1126</f>
        <v>2400.6970735999998</v>
      </c>
      <c r="L7" s="73" ph="1">
        <f>L6*290.8*0.777</f>
        <v>12700.739436</v>
      </c>
      <c r="M7" s="73" ph="1">
        <f>M6*33.183*LOOKUP(M8,密度!$A$2:$A$50,密度!$D$2:$D$50)</f>
        <v>91417.233749399995</v>
      </c>
      <c r="N7" s="73" ph="1">
        <f>N6*33.183*LOOKUP(N8,密度!$A$2:$A$50,密度!$E$2:$E$50)</f>
        <v>173207.58809040001</v>
      </c>
      <c r="O7" s="73" ph="1">
        <f>O6*20.428*LOOKUP(O8,密度!$A$2:$A$50,密度!$C$2:$C$50)</f>
        <v>74856.522538400008</v>
      </c>
      <c r="P7" s="73" ph="1">
        <f>P6*51.53*LOOKUP(P8,密度!$A$2:$A$50,密度!$B$2:$B$50)</f>
        <v>47968.833842000007</v>
      </c>
      <c r="Q7" s="73" ph="1">
        <f>Q6*1.5*1.5*3.1416*LOOKUP(W8,密度!$A$2:$A$50,密度!$L$2:$L$50)</f>
        <v>47803.641177600002</v>
      </c>
      <c r="R7" s="73" ph="1">
        <f>R6*1.5*1.5*3.1416*LOOKUP(R8,密度!$A$2:$A$50,密度!$L$2:$L$50)</f>
        <v>47157.740784000001</v>
      </c>
      <c r="S7" s="73" ph="1">
        <f>S6*1.5*1.5*3.1416*LOOKUP(S8,密度!$A$2:$A$50,密度!$L$2:$L$50)</f>
        <v>6419.3137470000001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46949.5281024</v>
      </c>
      <c r="X7" s="73" ph="1">
        <f>X6*1.5*1.5*3.1416*LOOKUP(X8,密度!$A$2:$A$50,密度!$L$2:$L$50)</f>
        <v>47654.331139800001</v>
      </c>
      <c r="Y7" s="73" ph="1">
        <f>Y6*1.5*1.5*3.1416*LOOKUP(Y8,密度!$A$2:$A$50,密度!$L$2:$L$50)</f>
        <v>32436.278582399998</v>
      </c>
      <c r="Z7" s="73" ph="1">
        <f>Z6*33.183*LOOKUP(Z8,密度!$A$2:$A$50,密度!$L$2:$L$50)</f>
        <v>41235.684524999997</v>
      </c>
      <c r="AA7" s="73" ph="1">
        <f>AA6*33.183*LOOKUP(AA8,密度!$A$2:$A$50,密度!$D$2:$D$50)</f>
        <v>98935.9971678</v>
      </c>
      <c r="AB7" s="73" ph="1">
        <f>AB6*20.428*LOOKUP(AB8,密度!$A$2:$A$50,密度!$D$2:$D$50)</f>
        <v>26237.2553988</v>
      </c>
      <c r="AC7" s="73" ph="1">
        <f>AC6*51.53*LOOKUP(AC8,密度!$A$2:$A$50,密度!$Q$2:$Q$50)</f>
        <v>458683.65405499999</v>
      </c>
      <c r="AD7" s="73" ph="1">
        <f>AD6*20.428*LOOKUP(AD8,密度!$A$2:$A$50,密度!$V$2:$V$50)</f>
        <v>93818.123072000002</v>
      </c>
      <c r="AE7" s="73" ph="1">
        <f>AE6*20.428</f>
        <v>79485.347999999998</v>
      </c>
    </row>
    <row r="8" spans="1:99" ph="1">
      <c r="B8" s="247" ph="1"/>
      <c r="C8" s="68" t="s" ph="1">
        <v>179</v>
      </c>
      <c r="D8" s="74">
        <v>19</v>
      </c>
      <c r="E8" s="74">
        <v>18</v>
      </c>
      <c r="F8" s="74">
        <v>17</v>
      </c>
      <c r="G8" s="74">
        <v>18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20</v>
      </c>
      <c r="O8" s="74">
        <v>22</v>
      </c>
      <c r="P8" s="74">
        <v>19</v>
      </c>
      <c r="Q8" s="74">
        <v>20</v>
      </c>
      <c r="R8" s="74">
        <v>25</v>
      </c>
      <c r="S8" s="74">
        <v>17</v>
      </c>
      <c r="T8" s="74">
        <v>16</v>
      </c>
      <c r="U8" s="74">
        <v>17</v>
      </c>
      <c r="V8" s="74">
        <v>23</v>
      </c>
      <c r="W8" s="74">
        <v>18</v>
      </c>
      <c r="X8" s="74">
        <v>15</v>
      </c>
      <c r="Y8" s="74">
        <v>18</v>
      </c>
      <c r="Z8" s="74">
        <v>17</v>
      </c>
      <c r="AA8" s="74">
        <v>18</v>
      </c>
      <c r="AB8" s="74">
        <v>12</v>
      </c>
      <c r="AC8" s="74">
        <v>18</v>
      </c>
      <c r="AD8" s="74">
        <v>21</v>
      </c>
      <c r="AE8" s="74">
        <v>19</v>
      </c>
    </row>
    <row r="9" spans="1:99" ht="26.4" ph="1">
      <c r="B9" s="247" ph="1">
        <v>0.66666666666666663</v>
      </c>
      <c r="C9" s="166" t="s" ph="1">
        <v>180</v>
      </c>
      <c r="D9" s="71">
        <v>6652</v>
      </c>
      <c r="E9" s="71">
        <v>609</v>
      </c>
      <c r="F9" s="71">
        <v>2441</v>
      </c>
      <c r="G9" s="71">
        <v>3342</v>
      </c>
      <c r="H9" s="71">
        <v>1265</v>
      </c>
      <c r="I9" s="71">
        <v>14.11</v>
      </c>
      <c r="J9" s="71">
        <v>6.71</v>
      </c>
      <c r="K9" s="71">
        <v>7.41</v>
      </c>
      <c r="L9" s="71">
        <v>28.81</v>
      </c>
      <c r="M9" s="71">
        <v>2669</v>
      </c>
      <c r="N9" s="71">
        <v>6620</v>
      </c>
      <c r="O9" s="71">
        <v>3298</v>
      </c>
      <c r="P9" s="71">
        <v>952</v>
      </c>
      <c r="Q9" s="71">
        <v>7169</v>
      </c>
      <c r="R9" s="71">
        <v>7124</v>
      </c>
      <c r="S9" s="71">
        <v>3608</v>
      </c>
      <c r="T9" s="71">
        <v>2819</v>
      </c>
      <c r="U9" s="71">
        <v>0</v>
      </c>
      <c r="V9" s="71">
        <v>0</v>
      </c>
      <c r="W9" s="71">
        <v>5842</v>
      </c>
      <c r="X9" s="71">
        <v>7127</v>
      </c>
      <c r="Y9" s="71">
        <v>4865</v>
      </c>
      <c r="Z9" s="71">
        <v>1309</v>
      </c>
      <c r="AA9" s="71">
        <v>2885</v>
      </c>
      <c r="AB9" s="71">
        <v>2760</v>
      </c>
      <c r="AC9" s="71">
        <v>9355</v>
      </c>
      <c r="AD9" s="71">
        <v>4780</v>
      </c>
      <c r="AE9" s="71">
        <v>3691</v>
      </c>
    </row>
    <row r="10" spans="1:99" s="72" customFormat="1" ht="22.2" ph="1">
      <c r="B10" s="247" ph="1"/>
      <c r="C10" s="166" t="s" ph="1">
        <v>178</v>
      </c>
      <c r="D10" s="73" ph="1">
        <f>D9*33.183*LOOKUP(D11,密度!$A$2:$A$50,密度!$Q$2:$Q$50)</f>
        <v>209968.15217868</v>
      </c>
      <c r="E10" s="73" ph="1">
        <f>E9*51.53*LOOKUP(E11,密度!$A$2:$A$50,密度!$B$2:$B$50)</f>
        <v>24606.445857000002</v>
      </c>
      <c r="F10" s="73" ph="1">
        <f>F9*33.183*LOOKUP(F11,密度!$A$2:$A$50,密度!$C$2:$C$50)</f>
        <v>90274.168993500003</v>
      </c>
      <c r="G10" s="73" ph="1">
        <f xml:space="preserve"> (G9+2)*51.53*LOOKUP(G11,密度!$A$2:$A$50,密度!$B$2:$B$50)</f>
        <v>135251.07956800002</v>
      </c>
      <c r="H10" s="73" ph="1">
        <f>(H9)*51.53*LOOKUP(H11,密度!$A$2:$A$50,密度!$B$2:$B$50)</f>
        <v>51261.837879999999</v>
      </c>
      <c r="I10" s="73" ph="1">
        <f>I9*290.8*1.0267</f>
        <v>4212.7431195999998</v>
      </c>
      <c r="J10" s="73" ph="1">
        <f>J9*290.8*0.7892</f>
        <v>1539.9407056</v>
      </c>
      <c r="K10" s="73" ph="1">
        <f>K9*290.8*1.1126</f>
        <v>2397.4616328000002</v>
      </c>
      <c r="L10" s="73" ph="1">
        <f>L9*290.8*0.777</f>
        <v>6509.6655960000007</v>
      </c>
      <c r="M10" s="73" ph="1">
        <f>M9*33.183*LOOKUP(M11,密度!$A$2:$A$50,密度!$D$2:$D$50)</f>
        <v>91346.3814078</v>
      </c>
      <c r="N10" s="73" ph="1">
        <f>N9*33.183*LOOKUP(N11,密度!$A$2:$A$50,密度!$E$2:$E$50)</f>
        <v>173364.71623200001</v>
      </c>
      <c r="O10" s="73" ph="1">
        <f>O9*20.428*LOOKUP(O11,密度!$A$2:$A$50,密度!$C$2:$C$50)</f>
        <v>74809.362457600015</v>
      </c>
      <c r="P10" s="73" ph="1">
        <f>P9*51.53*LOOKUP(P11,密度!$A$2:$A$50,密度!$B$2:$B$50)</f>
        <v>38376.946887999999</v>
      </c>
      <c r="Q10" s="73" ph="1">
        <f>Q9*1.5*1.5*3.1416*LOOKUP(W11,密度!$A$2:$A$50,密度!$L$2:$L$50)</f>
        <v>47735.655382799996</v>
      </c>
      <c r="R10" s="73" ph="1">
        <f>R9*1.5*1.5*3.1416*LOOKUP(R11,密度!$A$2:$A$50,密度!$L$2:$L$50)</f>
        <v>47184.233896800004</v>
      </c>
      <c r="S10" s="73" ph="1">
        <f>S9*1.5*1.5*3.1416*LOOKUP(S11,密度!$A$2:$A$50,密度!$L$2:$L$50)</f>
        <v>24075.312307199998</v>
      </c>
      <c r="T10" s="73" ph="1">
        <f>T9*1.5*1.5*3.1416*LOOKUP(T11,密度!$A$2:$A$50,密度!$L$2:$L$50)</f>
        <v>18830.432312999998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38899.665050399999</v>
      </c>
      <c r="X10" s="73" ph="1">
        <f>X9*1.5*1.5*3.1416*LOOKUP(X11,密度!$A$2:$A$50,密度!$L$2:$L$50)</f>
        <v>47808.638677799994</v>
      </c>
      <c r="Y10" s="73" ph="1">
        <f>Y9*1.5*1.5*3.1416*LOOKUP(Y11,密度!$A$2:$A$50,密度!$L$2:$L$50)</f>
        <v>32394.192137999999</v>
      </c>
      <c r="Z10" s="73" ph="1">
        <f>Z9*33.183*LOOKUP(Z11,密度!$A$2:$A$50,密度!$L$2:$L$50)</f>
        <v>41004.100367999999</v>
      </c>
      <c r="AA10" s="73" ph="1">
        <f>AA9*33.183*LOOKUP(AA11,密度!$A$2:$A$50,密度!$D$2:$D$50)</f>
        <v>98815.556150999997</v>
      </c>
      <c r="AB10" s="73" ph="1">
        <f>AB9*20.428*LOOKUP(AB11,密度!$A$2:$A$50,密度!$D$2:$D$50)</f>
        <v>58489.939872000003</v>
      </c>
      <c r="AC10" s="73" ph="1">
        <f>AC9*51.53*LOOKUP(AC11,密度!$A$2:$A$50,密度!$Q$2:$Q$50)</f>
        <v>458143.17649700004</v>
      </c>
      <c r="AD10" s="73" ph="1">
        <f>AD9*20.428*LOOKUP(AD11,密度!$A$2:$A$50,密度!$V$2:$V$50)</f>
        <v>94130.589760000003</v>
      </c>
      <c r="AE10" s="73" ph="1">
        <f>AE9*20.428</f>
        <v>75399.748000000007</v>
      </c>
    </row>
    <row r="11" spans="1:99" ph="1">
      <c r="A11" s="64" t="s" ph="1">
        <v>162</v>
      </c>
      <c r="B11" s="247" ph="1"/>
      <c r="C11" s="166" t="s" ph="1">
        <v>179</v>
      </c>
      <c r="D11" s="74">
        <v>19</v>
      </c>
      <c r="E11" s="74">
        <v>20</v>
      </c>
      <c r="F11" s="74">
        <v>17</v>
      </c>
      <c r="G11" s="74">
        <v>19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20</v>
      </c>
      <c r="O11" s="74">
        <v>23</v>
      </c>
      <c r="P11" s="74">
        <v>22</v>
      </c>
      <c r="Q11" s="74">
        <v>22</v>
      </c>
      <c r="R11" s="74">
        <v>25</v>
      </c>
      <c r="S11" s="74">
        <v>18</v>
      </c>
      <c r="T11" s="74">
        <v>17</v>
      </c>
      <c r="U11" s="74">
        <v>20</v>
      </c>
      <c r="V11" s="74">
        <v>25</v>
      </c>
      <c r="W11" s="74">
        <v>20</v>
      </c>
      <c r="X11" s="74">
        <v>13</v>
      </c>
      <c r="Y11" s="74">
        <v>20</v>
      </c>
      <c r="Z11" s="74">
        <v>18</v>
      </c>
      <c r="AA11" s="74">
        <v>19</v>
      </c>
      <c r="AB11" s="74">
        <v>13</v>
      </c>
      <c r="AC11" s="74">
        <v>20</v>
      </c>
      <c r="AD11" s="74">
        <v>18</v>
      </c>
      <c r="AE11" s="74">
        <v>21</v>
      </c>
    </row>
    <row r="12" spans="1:99" ht="9.9" customHeight="1" ph="1"/>
    <row r="13" spans="1:99" s="72" customFormat="1" ht="29.25" customHeight="1" ph="1">
      <c r="B13" s="224" t="s" ph="1">
        <v>37</v>
      </c>
      <c r="C13" s="16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0" t="s" ph="1">
        <v>615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66" t="s" ph="1">
        <v>177</v>
      </c>
      <c r="D15" s="78">
        <v>4294</v>
      </c>
      <c r="E15" s="78">
        <v>6205</v>
      </c>
      <c r="F15" s="78">
        <v>2501</v>
      </c>
      <c r="G15" s="78">
        <v>5436</v>
      </c>
      <c r="H15" s="78">
        <v>5395</v>
      </c>
      <c r="I15" s="78">
        <v>3671</v>
      </c>
      <c r="J15" s="78">
        <v>2265</v>
      </c>
      <c r="K15" s="78">
        <v>2383</v>
      </c>
      <c r="L15" s="78">
        <v>936</v>
      </c>
      <c r="M15" s="78">
        <v>4379</v>
      </c>
      <c r="N15" s="78">
        <v>482</v>
      </c>
      <c r="O15" s="78">
        <v>2436</v>
      </c>
      <c r="P15" s="78">
        <v>3598</v>
      </c>
      <c r="Q15" s="78">
        <v>3908</v>
      </c>
      <c r="R15" s="78">
        <v>7357</v>
      </c>
      <c r="S15" s="78">
        <v>6405</v>
      </c>
      <c r="T15" s="78">
        <v>2213</v>
      </c>
      <c r="U15" s="78">
        <v>5377</v>
      </c>
      <c r="V15" s="78">
        <v>-817</v>
      </c>
      <c r="W15" s="71">
        <v>-817</v>
      </c>
      <c r="X15" s="78">
        <v>665</v>
      </c>
      <c r="Y15" s="106">
        <v>-9903</v>
      </c>
      <c r="Z15" s="78">
        <v>0</v>
      </c>
      <c r="AA15" s="78">
        <v>10</v>
      </c>
      <c r="AB15" s="78" ph="1">
        <v>1530</v>
      </c>
      <c r="AC15" s="78" ph="1">
        <v>27</v>
      </c>
      <c r="AD15" s="78">
        <v>33.51</v>
      </c>
      <c r="AE15" s="78">
        <v>5.71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66" t="s" ph="1">
        <v>178</v>
      </c>
      <c r="D16" s="73" ph="1">
        <f>D15*7.0686*LOOKUP(D17,密度!$A$2:$A$50,密度!$L$2:$L$50)</f>
        <v>28622.4720012</v>
      </c>
      <c r="E16" s="73" ph="1">
        <f>E15*7.0686*LOOKUP(E17,密度!$A$2:$A$50,密度!$L$2:$L$50)</f>
        <v>41316.744546000002</v>
      </c>
      <c r="F16" s="73" ph="1">
        <f>F15*9.0746*LOOKUP(F17,密度!$A$2:$A$50,密度!$L$2:$L$50)</f>
        <v>21288.448974799998</v>
      </c>
      <c r="G16" s="73" ph="1">
        <f>G15*9.0746*LOOKUP(G17,密度!$A$2:$A$50,密度!$B$2:$B$50)</f>
        <v>38758.208263920002</v>
      </c>
      <c r="H16" s="73" ph="1">
        <f>H15*9.0746*LOOKUP(H17,密度!$A$2:$A$50,密度!$L$2:$L$50)</f>
        <v>46264.806315000002</v>
      </c>
      <c r="I16" s="73" ph="1">
        <f>I15*9.0746*LOOKUP(I17,密度!$A$2:$A$50,密度!$U$2:$U$50)</f>
        <v>34245.616584800002</v>
      </c>
      <c r="J16" s="73" ph="1">
        <f>J15*9.0746*LOOKUP(J17,密度!$A$2:$A$50,密度!$L$2:$L$50)</f>
        <v>19341.284829</v>
      </c>
      <c r="K16" s="73" ph="1">
        <f>K15*9.0746*LOOKUP(K17,密度!$A$2:$A$50,密度!$C$2:$C$50)</f>
        <v>24087.833308019999</v>
      </c>
      <c r="L16" s="73" ph="1">
        <f>L15*9.0746*LOOKUP(L17,密度!$A$2:$A$50,密度!$E$2:$E$50)</f>
        <v>6722.0135798399997</v>
      </c>
      <c r="M16" s="73" ph="1">
        <f>M15*9.0746*LOOKUP(M17,密度!$A$2:$A$50,密度!$M$2:$M$50)</f>
        <v>34981.073894019995</v>
      </c>
      <c r="N16" s="73" ph="1">
        <f>N15*9.0746*LOOKUP(N17,密度!$A$2:$A$50,密度!$M$2:$M$50)</f>
        <v>3850.3945231599996</v>
      </c>
      <c r="O16" s="73" ph="1">
        <f>O15*9.0746*LOOKUP(O17,密度!$A$2:$A$50,密度!$G$2:$G$50)</f>
        <v>21351.920357040002</v>
      </c>
      <c r="P16" s="73" ph="1">
        <f ca="1">P15*9.0746*LOOKUP(P17,密度!$A$2:$A$51,密度!$Q$2:$Q$50)</f>
        <v>31058.050265284</v>
      </c>
      <c r="Q16" s="73" ph="1">
        <f>Q15*9.0746*LOOKUP(Q17,密度!$A$2:$A$50,密度!$Q$2:$Q$50)</f>
        <v>33761.641668968005</v>
      </c>
      <c r="R16" s="73" ph="1">
        <f>MAX(R15*9.0746*LOOKUP(R17,密度!$A$2:$A$50,密度!$B$2:$B$50),0)</f>
        <v>52287.866979040002</v>
      </c>
      <c r="S16" s="73" ph="1">
        <f>S15*9.0746*LOOKUP(S17,密度!$A$2:$A$50,密度!$Q$2:$Q$50)</f>
        <v>55288.163409990004</v>
      </c>
      <c r="T16" s="73" ph="1">
        <f>T15*9.0746*LOOKUP(T17,密度!$A$2:$A$50,密度!$O$2:$O$50)</f>
        <v>18756.671873200001</v>
      </c>
      <c r="U16" s="73" ph="1">
        <f>U15*9.0746*LOOKUP(U17,密度!$A$2:$A$50,密度!$H$2:$H$50)</f>
        <v>45071.13252354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12069.703505999998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71.362654400000011</v>
      </c>
      <c r="AB16" s="73" ph="1">
        <f>AB15*9.0746*LOOKUP(AB17,密度!$A$2:$A$50,密度!$L$2:$L$50)</f>
        <v>13078.857996000001</v>
      </c>
      <c r="AC16" s="73" ph="1">
        <f>AC15*9.0746*LOOKUP(AC17,密度!$A$2:$A$50,密度!$L$2:$L$50)</f>
        <v>231.538419</v>
      </c>
      <c r="AD16" s="73" ph="1">
        <f>AD15*268.68*LOOKUP(AD17,密度!$A$2:$A$50,密度!B2:B50)+IF(AD15&lt;=0,0,1566*LOOKUP(AD17,密度!$A$2:$A$50,密度!B2:B50))</f>
        <v>8239.956317279999</v>
      </c>
      <c r="AE16" s="73" ph="1">
        <f>AE15*268.68*LOOKUP(AE17,密度!$A$2:$A$50,密度!B2:B50)+IF(AE15&lt;=0,0,1566*LOOKUP(AE17,密度!$A$2:$A$50,密度!B2:B50))</f>
        <v>2416.8869188799999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19</v>
      </c>
      <c r="E17" s="74">
        <v>20</v>
      </c>
      <c r="F17" s="74">
        <v>24</v>
      </c>
      <c r="G17" s="74">
        <v>18</v>
      </c>
      <c r="H17" s="74">
        <v>17</v>
      </c>
      <c r="I17" s="74">
        <v>17</v>
      </c>
      <c r="J17" s="74">
        <v>21</v>
      </c>
      <c r="K17" s="74">
        <v>18</v>
      </c>
      <c r="L17" s="74">
        <v>18</v>
      </c>
      <c r="M17" s="74">
        <v>19</v>
      </c>
      <c r="N17" s="74">
        <v>18</v>
      </c>
      <c r="O17" s="74">
        <v>20</v>
      </c>
      <c r="P17" s="74">
        <v>19</v>
      </c>
      <c r="Q17" s="74">
        <v>18</v>
      </c>
      <c r="R17" s="74">
        <v>21</v>
      </c>
      <c r="S17" s="74">
        <v>19</v>
      </c>
      <c r="T17" s="74">
        <v>19</v>
      </c>
      <c r="U17" s="74">
        <v>16</v>
      </c>
      <c r="V17" s="74">
        <v>19</v>
      </c>
      <c r="W17" s="74">
        <v>19</v>
      </c>
      <c r="X17" s="74">
        <v>28</v>
      </c>
      <c r="Y17" s="108">
        <v>28</v>
      </c>
      <c r="Z17" s="74">
        <v>19</v>
      </c>
      <c r="AA17" s="74">
        <v>17</v>
      </c>
      <c r="AB17" s="74">
        <v>20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5695</v>
      </c>
      <c r="E18" s="71">
        <v>5342</v>
      </c>
      <c r="F18" s="71">
        <v>3127</v>
      </c>
      <c r="G18" s="71">
        <v>5506</v>
      </c>
      <c r="H18" s="71">
        <v>5396</v>
      </c>
      <c r="I18" s="71">
        <v>3673</v>
      </c>
      <c r="J18" s="71">
        <v>3227</v>
      </c>
      <c r="K18" s="71">
        <v>2383</v>
      </c>
      <c r="L18" s="71">
        <v>934</v>
      </c>
      <c r="M18" s="71">
        <v>5558</v>
      </c>
      <c r="N18" s="71">
        <v>2975</v>
      </c>
      <c r="O18" s="71">
        <v>0</v>
      </c>
      <c r="P18" s="71">
        <v>2371</v>
      </c>
      <c r="Q18" s="71">
        <v>1947</v>
      </c>
      <c r="R18" s="71">
        <v>7371</v>
      </c>
      <c r="S18" s="71">
        <v>6411</v>
      </c>
      <c r="T18" s="71">
        <v>2214</v>
      </c>
      <c r="U18" s="71">
        <v>5373</v>
      </c>
      <c r="V18" s="71">
        <v>-817</v>
      </c>
      <c r="W18" s="71">
        <v>-817</v>
      </c>
      <c r="X18" s="71">
        <v>664</v>
      </c>
      <c r="Y18" s="109">
        <v>-9906</v>
      </c>
      <c r="Z18" s="71">
        <v>0</v>
      </c>
      <c r="AA18" s="71">
        <v>11</v>
      </c>
      <c r="AB18" s="71">
        <v>1530</v>
      </c>
      <c r="AC18" s="71">
        <v>21</v>
      </c>
      <c r="AD18" s="71">
        <v>84.71</v>
      </c>
      <c r="AE18" s="71">
        <v>5.61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66" t="s" ph="1">
        <v>178</v>
      </c>
      <c r="D19" s="73" ph="1">
        <f>D18*7.0686*LOOKUP(D20,密度!$A$2:$A$50,密度!$L$2:$L$50)</f>
        <v>37880.592057000002</v>
      </c>
      <c r="E19" s="73" ph="1">
        <f>E18*7.0686*LOOKUP(E20,密度!$A$2:$A$50,密度!$L$2:$L$50)</f>
        <v>35532.593989199995</v>
      </c>
      <c r="F19" s="73" ph="1">
        <f>F18*9.0746*LOOKUP(F20,密度!$A$2:$A$50,密度!$L$2:$L$50)</f>
        <v>26560.192651200003</v>
      </c>
      <c r="G19" s="73" ph="1">
        <f>G18*9.0746*LOOKUP(G20,密度!$A$2:$A$50,密度!$B$2:$B$50)</f>
        <v>39177.358593160003</v>
      </c>
      <c r="H19" s="73" ph="1">
        <f>H18*9.0746*LOOKUP(H20,密度!$A$2:$A$50,密度!$L$2:$L$50)</f>
        <v>46224.415270400001</v>
      </c>
      <c r="I19" s="73" ph="1">
        <f>I18*9.0746*LOOKUP(I20,密度!$A$2:$A$50,密度!$U$2:$U$50)</f>
        <v>34264.273962400002</v>
      </c>
      <c r="J19" s="73" ph="1">
        <f>J18*9.0746*LOOKUP(J20,密度!$A$2:$A$50,密度!$L$2:$L$50)</f>
        <v>27497.426413799996</v>
      </c>
      <c r="K19" s="73" ph="1">
        <f>K18*9.0746*LOOKUP(K20,密度!$A$2:$A$50,密度!$C$2:$C$50)</f>
        <v>24059.721104680004</v>
      </c>
      <c r="L19" s="73" ph="1">
        <f>L18*9.0746*LOOKUP(L20,密度!$A$2:$A$50,密度!$E$2:$E$50)</f>
        <v>6678.8330032000003</v>
      </c>
      <c r="M19" s="73" ph="1">
        <f>M18*9.0746*LOOKUP(M20,密度!$A$2:$A$50,密度!$M$2:$M$50)</f>
        <v>44283.358330399999</v>
      </c>
      <c r="N19" s="73" ph="1">
        <f>N18*9.0746*LOOKUP(N20,密度!$A$2:$A$50,密度!$M$2:$M$50)</f>
        <v>23733.005558500001</v>
      </c>
      <c r="O19" s="73" ph="1">
        <f>O18*9.0746*LOOKUP(O20,密度!$A$2:$A$50,密度!$G$2:$G$50)</f>
        <v>0</v>
      </c>
      <c r="P19" s="73" ph="1">
        <f ca="1">P18*9.0746*LOOKUP(P20,密度!$A$2:$A$51,密度!$Q$2:$Q$50)</f>
        <v>20401.354192120001</v>
      </c>
      <c r="Q19" s="73" ph="1">
        <f>Q18*9.0746*LOOKUP(Q20,密度!$A$2:$A$50,密度!$Q$2:$Q$50)</f>
        <v>16779.356733678003</v>
      </c>
      <c r="R19" s="73" ph="1">
        <f>MAX(R18*9.0746*LOOKUP(R20,密度!$A$2:$A$50,密度!$B$2:$B$50),0)</f>
        <v>52266.968175239999</v>
      </c>
      <c r="S19" s="73" ph="1">
        <f>S18*9.0746*LOOKUP(S20,密度!$A$2:$A$50,密度!$Q$2:$Q$50)</f>
        <v>55290.504929028</v>
      </c>
      <c r="T19" s="73" ph="1">
        <f>T18*9.0746*LOOKUP(T20,密度!$A$2:$A$50,密度!$O$2:$O$50)</f>
        <v>18604.418234400004</v>
      </c>
      <c r="U19" s="73" ph="1">
        <f>U18*9.0746*LOOKUP(U20,密度!$A$2:$A$50,密度!$H$2:$H$50)</f>
        <v>44940.088039859998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12060.303049599999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78.269332460000001</v>
      </c>
      <c r="AB19" s="73" ph="1">
        <f>AB18*9.0746*LOOKUP(AB20,密度!$A$2:$A$50,密度!$L$2:$L$50)</f>
        <v>13064.973857999999</v>
      </c>
      <c r="AC19" s="73" ph="1">
        <f>AC18*9.0746*LOOKUP(AC20,密度!$A$2:$A$50,密度!$L$2:$L$50)</f>
        <v>179.70430379999999</v>
      </c>
      <c r="AD19" s="73" ph="1">
        <f>AD18*268.68*LOOKUP(AD20,密度!$A$2:$A$50,密度!B5:B53)+IF(AD18&lt;=0,0,1566*LOOKUP(AD20,密度!$A$2:$A$50,密度!B5:B53))</f>
        <v>18901.2109356</v>
      </c>
      <c r="AE19" s="73" ph="1">
        <f>AE18*268.68*LOOKUP(AE20,密度!$A$2:$A$50,密度!B5:B53)+IF(AE18&lt;=0,0,1566*LOOKUP(AE20,密度!$A$2:$A$50,密度!B5:B53))</f>
        <v>2387.9500595999998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21</v>
      </c>
      <c r="E20" s="81">
        <v>21</v>
      </c>
      <c r="F20" s="81">
        <v>26</v>
      </c>
      <c r="G20" s="81">
        <v>20</v>
      </c>
      <c r="H20" s="81">
        <v>18</v>
      </c>
      <c r="I20" s="81">
        <v>20</v>
      </c>
      <c r="J20" s="81">
        <v>23</v>
      </c>
      <c r="K20" s="81">
        <v>20</v>
      </c>
      <c r="L20" s="81">
        <v>21</v>
      </c>
      <c r="M20" s="81">
        <v>22</v>
      </c>
      <c r="N20" s="81">
        <v>21</v>
      </c>
      <c r="O20" s="81">
        <v>23</v>
      </c>
      <c r="P20" s="81">
        <v>23</v>
      </c>
      <c r="Q20" s="81">
        <v>21</v>
      </c>
      <c r="R20" s="81">
        <v>23</v>
      </c>
      <c r="S20" s="81">
        <v>20</v>
      </c>
      <c r="T20" s="81">
        <v>25</v>
      </c>
      <c r="U20" s="81">
        <v>18</v>
      </c>
      <c r="V20" s="81">
        <v>21</v>
      </c>
      <c r="W20" s="81">
        <v>22</v>
      </c>
      <c r="X20" s="81">
        <v>28</v>
      </c>
      <c r="Y20" s="110">
        <v>28</v>
      </c>
      <c r="Z20" s="81">
        <v>25</v>
      </c>
      <c r="AA20" s="81">
        <v>20</v>
      </c>
      <c r="AB20" s="81">
        <v>21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646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66" t="s" ph="1">
        <v>177</v>
      </c>
      <c r="D24" s="71">
        <v>3.72</v>
      </c>
      <c r="E24" s="71">
        <v>5.01</v>
      </c>
      <c r="F24" s="71">
        <v>577</v>
      </c>
      <c r="G24" s="71">
        <v>3262</v>
      </c>
      <c r="H24" s="71">
        <v>88</v>
      </c>
      <c r="I24" s="71">
        <v>1070</v>
      </c>
      <c r="J24" s="71">
        <v>1267</v>
      </c>
      <c r="K24" s="71">
        <v>2442</v>
      </c>
      <c r="L24" s="71">
        <v>5547</v>
      </c>
      <c r="M24" s="71">
        <v>4875</v>
      </c>
      <c r="N24" s="71">
        <v>5597</v>
      </c>
      <c r="O24" s="71">
        <v>5722</v>
      </c>
      <c r="P24" s="71">
        <v>653</v>
      </c>
      <c r="Q24" s="90">
        <v>2696</v>
      </c>
      <c r="R24" s="71">
        <v>6292</v>
      </c>
      <c r="S24" s="71">
        <v>4823</v>
      </c>
      <c r="T24" s="71">
        <v>160</v>
      </c>
      <c r="U24" s="71">
        <v>4694</v>
      </c>
      <c r="V24" s="71">
        <v>8827</v>
      </c>
      <c r="W24" s="71">
        <v>1397</v>
      </c>
      <c r="X24" s="71">
        <v>4070</v>
      </c>
      <c r="Y24" s="71">
        <v>7973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2428.851623904</v>
      </c>
      <c r="E25" s="91" ph="1">
        <f>E24*268.68*LOOKUP(E26,密度!$A$2:$A$50,密度!$C$2:$C$50)+IF(E24&lt;=0,0,1566*LOOKUP(E26,密度!$A$2:$A$50,密度!$C$2:$C$50))</f>
        <v>3229.21305252</v>
      </c>
      <c r="F25" s="91" ph="1">
        <f>F24*11.702*LOOKUP(F26,密度!$A$2:$A$50,密度!$Q$2:$Q$50)</f>
        <v>6422.7563264199998</v>
      </c>
      <c r="G25" s="91" ph="1">
        <f>G24*18.322*LOOKUP(G26,密度!$A$2:$A$50,密度!$B$2:$B$50)</f>
        <v>46910.619103599995</v>
      </c>
      <c r="H25" s="91" ph="1">
        <f>H24*18.322*LOOKUP(H26,密度!$A$2:$A$50,密度!$B$2:$B$50)</f>
        <v>1266.8123951999999</v>
      </c>
      <c r="I25" s="91" ph="1">
        <f>I24*18.322*LOOKUP(I26,密度!$A$2:$A$50,密度!$Q$2:$Q$50)</f>
        <v>18663.718125400002</v>
      </c>
      <c r="J25" s="91" ph="1">
        <f>J24*18.322*LOOKUP(J26,密度!$A$2:$A$50,密度!$Q$2:$Q$50)</f>
        <v>22099.935387739999</v>
      </c>
      <c r="K25" s="91" ph="1">
        <f>K24*18.322*LOOKUP(K26,密度!$A$2:$A$50,密度!$Q$2:$Q$50)</f>
        <v>42560.240858520003</v>
      </c>
      <c r="L25" s="91" ph="1">
        <f>L24*18.322*LOOKUP(L26,密度!$A$2:$A$50,密度!$Q$2:$Q$50)</f>
        <v>96675.534824819988</v>
      </c>
      <c r="M25" s="91" ph="1">
        <f>M24*18.322*LOOKUP(M26,密度!$A$2:$A$50,密度!$Q$2:$Q$50)</f>
        <v>84887.704005000007</v>
      </c>
      <c r="N25" s="91" ph="1">
        <f>N24*18.322*LOOKUP(N26,密度!$A$2:$A$50,密度!$Q$2:$Q$50)</f>
        <v>97546.956627819993</v>
      </c>
      <c r="O25" s="91" ph="1">
        <f>O24*18.322*LOOKUP(O26,密度!$A$2:$A$50,密度!$C$2:$C$50)</f>
        <v>116643.29729839999</v>
      </c>
      <c r="P25" s="91" ph="1">
        <f>P24*11.702*LOOKUP(P26,密度!$A$2:$A$50,密度!$B$2:$B$50)</f>
        <v>6003.8526941999999</v>
      </c>
      <c r="Q25" s="92" ph="1">
        <f>Q24*18.322*LOOKUP(Q26,密度!$A$2:$A$50,密度!$B$2:$B$50)</f>
        <v>38771.008308800003</v>
      </c>
      <c r="R25" s="91" ph="1">
        <f>R24*35.891*LOOKUP(R26,密度!$A$2:$A$50,密度!$C$2:$C$50)</f>
        <v>251254.19896720001</v>
      </c>
      <c r="S25" s="91" ph="1">
        <f>S24*35.891*LOOKUP(S26,密度!$A$2:$A$50,密度!$B$2:$B$50)</f>
        <v>135867.9897757</v>
      </c>
      <c r="T25" s="91" ph="1">
        <f>T24*35.891*LOOKUP(T26,密度!$A$2:$A$50,密度!$Q$2:$Q$50)</f>
        <v>5466.9745456000001</v>
      </c>
      <c r="U25" s="91" ph="1">
        <f>U24*35.891</f>
        <v>168472.35399999999</v>
      </c>
      <c r="V25" s="91" ph="1">
        <f>V24*47.051*LOOKUP(V26,密度!$A$2:$A$50,密度!$B$2:$B$50)</f>
        <v>326316.27736890002</v>
      </c>
      <c r="W25" s="91" ph="1">
        <f>W24*47.051*LOOKUP(W26,密度!$A$2:$A$50,密度!$B$2:$B$50)</f>
        <v>51539.086672700003</v>
      </c>
      <c r="X25" s="91" ph="1">
        <f>X24*47.051*LOOKUP(X26,密度!$A$2:$A$61,密度!$I$2:$I$61)</f>
        <v>195308.37164300002</v>
      </c>
      <c r="Y25" s="91" ph="1">
        <f>Y24*47.051*LOOKUP(Y26,密度!$A$2:$A$50,密度!$L$2:$L$50)</f>
        <v>353754.77848899999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19</v>
      </c>
      <c r="G26" s="74">
        <v>19</v>
      </c>
      <c r="H26" s="74">
        <v>18</v>
      </c>
      <c r="I26" s="74">
        <v>18</v>
      </c>
      <c r="J26" s="74">
        <v>18</v>
      </c>
      <c r="K26" s="74">
        <v>19</v>
      </c>
      <c r="L26" s="74">
        <v>19</v>
      </c>
      <c r="M26" s="74">
        <v>20</v>
      </c>
      <c r="N26" s="74">
        <v>19</v>
      </c>
      <c r="O26" s="74">
        <v>20</v>
      </c>
      <c r="P26" s="74">
        <v>18</v>
      </c>
      <c r="Q26" s="93">
        <v>19</v>
      </c>
      <c r="R26" s="74">
        <v>20</v>
      </c>
      <c r="S26" s="74">
        <v>19</v>
      </c>
      <c r="T26" s="74">
        <v>18</v>
      </c>
      <c r="U26" s="74">
        <v>18</v>
      </c>
      <c r="V26" s="74">
        <v>18</v>
      </c>
      <c r="W26" s="74">
        <v>20</v>
      </c>
      <c r="X26" s="74">
        <v>45</v>
      </c>
      <c r="Y26" s="74">
        <v>19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66" t="s" ph="1">
        <v>180</v>
      </c>
      <c r="D27" s="71">
        <v>3.71</v>
      </c>
      <c r="E27" s="71">
        <v>5.01</v>
      </c>
      <c r="F27" s="71">
        <v>576</v>
      </c>
      <c r="G27" s="71">
        <v>2612</v>
      </c>
      <c r="H27" s="71">
        <v>85</v>
      </c>
      <c r="I27" s="71">
        <v>236</v>
      </c>
      <c r="J27" s="71">
        <v>1265</v>
      </c>
      <c r="K27" s="71">
        <v>2440</v>
      </c>
      <c r="L27" s="71">
        <v>5546</v>
      </c>
      <c r="M27" s="71">
        <v>4875</v>
      </c>
      <c r="N27" s="71">
        <v>5596</v>
      </c>
      <c r="O27" s="71">
        <v>5722</v>
      </c>
      <c r="P27" s="71">
        <v>648</v>
      </c>
      <c r="Q27" s="90">
        <v>3149</v>
      </c>
      <c r="R27" s="71">
        <v>6290</v>
      </c>
      <c r="S27" s="71">
        <v>4823</v>
      </c>
      <c r="T27" s="71">
        <v>159</v>
      </c>
      <c r="U27" s="71">
        <v>4183</v>
      </c>
      <c r="V27" s="71">
        <v>8428</v>
      </c>
      <c r="W27" s="71">
        <v>1393</v>
      </c>
      <c r="X27" s="71">
        <v>3695</v>
      </c>
      <c r="Y27" s="71">
        <v>6229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66" t="s" ph="1">
        <v>178</v>
      </c>
      <c r="D28" s="91" ph="1">
        <f>D27*268.68*LOOKUP(D29,密度!$A$2:$A$50,密度!$Q$2:$Q$50)+IF(D27&lt;=0,0,1566*LOOKUP(D29,密度!$A$2:$A$50,密度!$Q$2:$Q$50))</f>
        <v>2426.3079228719998</v>
      </c>
      <c r="E28" s="91" ph="1">
        <f>E27*268.68*LOOKUP(E29,密度!$A$2:$A$50,密度!$C$2:$C$50)+IF(E27&lt;=0,0,1566*LOOKUP(E29,密度!$A$2:$A$50,密度!$C$2:$C$50))</f>
        <v>3229.21305252</v>
      </c>
      <c r="F28" s="91" ph="1">
        <f>F27*11.702*LOOKUP(F29,密度!$A$2:$A$50,密度!$Q$2:$Q$50)</f>
        <v>6405.8957337599995</v>
      </c>
      <c r="G28" s="91" ph="1">
        <f>G27*18.322*LOOKUP(G29,密度!$A$2:$A$50,密度!$B$2:$B$50)</f>
        <v>37481.652524799996</v>
      </c>
      <c r="H28" s="91" ph="1">
        <f>H27*18.322*LOOKUP(H29,密度!$A$2:$A$50,密度!$B$2:$B$50)</f>
        <v>1219.732184</v>
      </c>
      <c r="I28" s="91" ph="1">
        <f>I27*18.322*LOOKUP(I29,密度!$A$2:$A$50,密度!$Q$2:$Q$50)</f>
        <v>4109.4355169600003</v>
      </c>
      <c r="J28" s="91" ph="1">
        <f>J27*18.322*LOOKUP(J29,密度!$A$2:$A$50,密度!$Q$2:$Q$50)</f>
        <v>22046.971615899998</v>
      </c>
      <c r="K28" s="91" ph="1">
        <f>K27*18.322*LOOKUP(K29,密度!$A$2:$A$50,密度!$Q$2:$Q$50)</f>
        <v>42525.383986400004</v>
      </c>
      <c r="L28" s="91" ph="1">
        <f>L27*18.322*LOOKUP(L29,密度!$A$2:$A$50,密度!$Q$2:$Q$50)</f>
        <v>96571.734648559985</v>
      </c>
      <c r="M28" s="91" ph="1">
        <f>M27*18.322*LOOKUP(M29,密度!$A$2:$A$50,密度!$Q$2:$Q$50)</f>
        <v>84963.625792499995</v>
      </c>
      <c r="N28" s="91" ph="1">
        <f>N27*18.322*LOOKUP(N29,密度!$A$2:$A$50,密度!$Q$2:$Q$50)</f>
        <v>97442.377766559992</v>
      </c>
      <c r="O28" s="91" ph="1">
        <f>O27*18.322*LOOKUP(O29,密度!$A$2:$A$50,密度!$C$2:$C$50)</f>
        <v>116569.91035960001</v>
      </c>
      <c r="P28" s="91" ph="1">
        <f>P27*11.702*LOOKUP(P29,密度!$A$2:$A$50,密度!$B$2:$B$50)</f>
        <v>5938.9241471999994</v>
      </c>
      <c r="Q28" s="92" ph="1">
        <f>Q27*18.322*LOOKUP(Q29,密度!$A$2:$A$50,密度!$B$2:$B$50)</f>
        <v>45239.416349799998</v>
      </c>
      <c r="R28" s="91" ph="1">
        <f>R27*35.891*LOOKUP(R29,密度!$A$2:$A$50,密度!$C$2:$C$50)</f>
        <v>251174.33431399998</v>
      </c>
      <c r="S28" s="91" ph="1">
        <f>S27*35.891*LOOKUP(S29,密度!$A$2:$A$50,密度!$B$2:$B$50)</f>
        <v>135867.9897757</v>
      </c>
      <c r="T28" s="91" ph="1">
        <f>T27*35.891*LOOKUP(T29,密度!$A$2:$A$50,密度!$Q$2:$Q$50)</f>
        <v>5423.5040842199996</v>
      </c>
      <c r="U28" s="91" ph="1">
        <f>U27*35.891</f>
        <v>150132.05299999999</v>
      </c>
      <c r="V28" s="91" ph="1">
        <f>V27*47.051*LOOKUP(V29,密度!$A$2:$A$50,密度!$B$2:$B$50)</f>
        <v>310574.69248960004</v>
      </c>
      <c r="W28" s="91" ph="1">
        <f>W27*47.051*LOOKUP(W29,密度!$A$2:$A$50,密度!$B$2:$B$50)</f>
        <v>51391.515916300006</v>
      </c>
      <c r="X28" s="91" ph="1">
        <f>X27*47.051*LOOKUP(X29,密度!$A$2:$A$61,密度!$I$2:$I$61)</f>
        <v>177313.12855550001</v>
      </c>
      <c r="Y28" s="91" ph="1">
        <f>Y27*47.051*LOOKUP(Y29,密度!$A$2:$A$50,密度!$L$2:$L$50)</f>
        <v>276081.999618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66" t="s" ph="1">
        <v>179</v>
      </c>
      <c r="D29" s="74">
        <v>25</v>
      </c>
      <c r="E29" s="74">
        <v>25</v>
      </c>
      <c r="F29" s="74">
        <v>20</v>
      </c>
      <c r="G29" s="74">
        <v>21</v>
      </c>
      <c r="H29" s="74">
        <v>21</v>
      </c>
      <c r="I29" s="74">
        <v>20</v>
      </c>
      <c r="J29" s="74">
        <v>19</v>
      </c>
      <c r="K29" s="74">
        <v>19</v>
      </c>
      <c r="L29" s="74">
        <v>20</v>
      </c>
      <c r="M29" s="74">
        <v>19</v>
      </c>
      <c r="N29" s="74">
        <v>20</v>
      </c>
      <c r="O29" s="74">
        <v>21</v>
      </c>
      <c r="P29" s="74">
        <v>21</v>
      </c>
      <c r="Q29" s="93">
        <v>20</v>
      </c>
      <c r="R29" s="74">
        <v>20</v>
      </c>
      <c r="S29" s="74">
        <v>19</v>
      </c>
      <c r="T29" s="74">
        <v>20</v>
      </c>
      <c r="U29" s="74">
        <v>19</v>
      </c>
      <c r="V29" s="74">
        <v>21</v>
      </c>
      <c r="W29" s="74">
        <v>20</v>
      </c>
      <c r="X29" s="74">
        <v>45</v>
      </c>
      <c r="Y29" s="74">
        <v>20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66" t="s" ph="1">
        <v>5</v>
      </c>
      <c r="F32" s="167" t="s" ph="1">
        <v>43</v>
      </c>
      <c r="G32" s="97" t="s" ph="1">
        <v>4</v>
      </c>
      <c r="H32" s="166" t="s" ph="1">
        <v>5</v>
      </c>
      <c r="I32" s="167" t="s" ph="1">
        <v>43</v>
      </c>
      <c r="J32" s="97" t="s" ph="1">
        <v>4</v>
      </c>
      <c r="K32" s="166" t="s" ph="1">
        <v>5</v>
      </c>
      <c r="L32" s="167" t="s" ph="1">
        <v>43</v>
      </c>
      <c r="M32" s="97" t="s" ph="1">
        <v>4</v>
      </c>
      <c r="N32" s="166" t="s" ph="1">
        <v>5</v>
      </c>
      <c r="O32" s="16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6" t="s" ph="1">
        <v>5</v>
      </c>
      <c r="U32" s="99" t="s" ph="1">
        <v>43</v>
      </c>
      <c r="V32" s="97" t="s" ph="1">
        <v>4</v>
      </c>
      <c r="W32" s="166" t="s" ph="1">
        <v>5</v>
      </c>
      <c r="X32" s="99" t="s" ph="1">
        <v>43</v>
      </c>
      <c r="Y32" s="100" t="s" ph="1">
        <v>4</v>
      </c>
      <c r="Z32" s="166" t="s" ph="1">
        <v>5</v>
      </c>
      <c r="AA32" s="167" t="s" ph="1">
        <v>43</v>
      </c>
      <c r="AB32" s="97" t="s" ph="1">
        <v>85</v>
      </c>
      <c r="AC32" s="166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157305.49602299999</v>
      </c>
      <c r="E33" s="196" ph="1">
        <f>M10+I10</f>
        <v>95559.124527399996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[[#This Row],[F25]]</f>
        <v>3880</v>
      </c>
      <c r="G33" s="222" ph="1">
        <v>0</v>
      </c>
      <c r="H33" s="196" ph="1">
        <f>N19</f>
        <v>23733.005558500001</v>
      </c>
      <c r="I33" s="200" ph="1">
        <v>0</v>
      </c>
      <c r="J33" s="204" ph="1">
        <f>F10+O28</f>
        <v>206844.07935310001</v>
      </c>
      <c r="K33" s="196" ph="1">
        <f>O10+K10+E28+R28</f>
        <v>331610.37145691999</v>
      </c>
      <c r="L33" s="206" ph="1">
        <f>BE27</f>
        <v>7100</v>
      </c>
      <c r="M33" s="204" ph="1">
        <f>G10+H10+W28+S28+V28+E10</f>
        <v>708953.56148660008</v>
      </c>
      <c r="N33" s="196" ph="1">
        <f>L10+P10++G28+H28</f>
        <v>83587.997192799987</v>
      </c>
      <c r="O33" s="200" ph="1">
        <f>BE17</f>
        <v>2270</v>
      </c>
      <c r="P33" s="204" ph="1">
        <f>L19</f>
        <v>6678.8330032000003</v>
      </c>
      <c r="Q33" s="196" ph="1">
        <f>J10+N10</f>
        <v>174904.6569376</v>
      </c>
      <c r="R33" s="200" ph="1">
        <f>BE23</f>
        <v>890</v>
      </c>
      <c r="S33" s="204" ph="1">
        <f>E10+X28</f>
        <v>201919.57441250002</v>
      </c>
      <c r="T33" s="196" ph="1">
        <f>X19</f>
        <v>12060.303049599999</v>
      </c>
      <c r="U33" s="185" ph="1">
        <f>BE21</f>
        <v>730</v>
      </c>
      <c r="V33" s="198" ph="1">
        <f ca="1">P19+Q19+S19+M28+N28+J28</f>
        <v>296924.19102978602</v>
      </c>
      <c r="W33" s="198" ph="1">
        <f>D28+F28+V19+T28</f>
        <v>14255.707740851998</v>
      </c>
      <c r="X33" s="200" ph="1">
        <f>BE29+BE31</f>
        <v>10200</v>
      </c>
      <c r="Y33" s="202" ph="1">
        <f>+Q10+R10+S10+T10+U10+V10+W10+X10+Y10</f>
        <v>256928.12976600003</v>
      </c>
      <c r="Z33" s="183" ph="1">
        <f>D10+T19+U19+Y28+Z10</f>
        <v>590598.75843894004</v>
      </c>
      <c r="AA33" s="185" ph="1">
        <f>BE19</f>
        <v>1440</v>
      </c>
      <c r="AB33" s="187" ph="1">
        <f>I19</f>
        <v>34264.273962400002</v>
      </c>
      <c r="AC33" s="189" ph="1">
        <f>AD10</f>
        <v>94130.589760000003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68" t="s" ph="1">
        <v>185</v>
      </c>
      <c r="AA36" s="168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342</v>
      </c>
      <c r="AI37" s="168" t="s" ph="1">
        <v>209</v>
      </c>
      <c r="AJ37" s="168" t="s" ph="1">
        <v>210</v>
      </c>
      <c r="AK37" s="168" t="s" ph="1">
        <v>211</v>
      </c>
      <c r="AM37" s="168" t="s" ph="1">
        <v>210</v>
      </c>
      <c r="AN37" s="168" t="s" ph="1">
        <v>211</v>
      </c>
      <c r="AO37" s="168" t="s" ph="1">
        <v>212</v>
      </c>
      <c r="AP37" s="168" t="s" ph="1">
        <v>210</v>
      </c>
      <c r="AQ37" s="168" t="s" ph="1">
        <v>211</v>
      </c>
      <c r="AR37" s="168" t="s" ph="1">
        <v>212</v>
      </c>
      <c r="AS37" s="168" t="s" ph="1">
        <v>210</v>
      </c>
      <c r="AT37" s="168" t="s" ph="1">
        <v>211</v>
      </c>
      <c r="AU37" s="168" t="s" ph="1">
        <v>212</v>
      </c>
      <c r="AV37" s="168" t="s" ph="1">
        <v>210</v>
      </c>
      <c r="AW37" s="168" t="s" ph="1">
        <v>211</v>
      </c>
      <c r="AX37" s="168" t="s" ph="1">
        <v>212</v>
      </c>
      <c r="AY37" s="168" t="s" ph="1">
        <v>211</v>
      </c>
      <c r="AZ37" s="168" t="s" ph="1">
        <v>213</v>
      </c>
      <c r="BD37" s="168" t="s" ph="1">
        <v>305</v>
      </c>
      <c r="BE37" s="16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7" priority="99">
      <formula>ABS(D$7-D$10)&gt;=1000</formula>
    </cfRule>
  </conditionalFormatting>
  <conditionalFormatting sqref="E4 E6:E11">
    <cfRule type="expression" dxfId="256" priority="98">
      <formula>ABS(E$7-E$10)&gt;=1000</formula>
    </cfRule>
  </conditionalFormatting>
  <conditionalFormatting sqref="F4:F11">
    <cfRule type="expression" dxfId="255" priority="97">
      <formula>ABS(F$7-F$10)&gt;=1000</formula>
    </cfRule>
  </conditionalFormatting>
  <conditionalFormatting sqref="G4:G11">
    <cfRule type="expression" dxfId="254" priority="96">
      <formula>ABS(G$7-G$10)&gt;=1000</formula>
    </cfRule>
  </conditionalFormatting>
  <conditionalFormatting sqref="H4:H11">
    <cfRule type="expression" dxfId="253" priority="95">
      <formula>ABS(H$7-H$10)&gt;=1000</formula>
    </cfRule>
  </conditionalFormatting>
  <conditionalFormatting sqref="I4:I11">
    <cfRule type="expression" dxfId="252" priority="94">
      <formula>ABS(I$7-I$10)&gt;=1000</formula>
    </cfRule>
  </conditionalFormatting>
  <conditionalFormatting sqref="J4:J11">
    <cfRule type="expression" dxfId="251" priority="93">
      <formula>ABS(J$7-J$10)&gt;=1000</formula>
    </cfRule>
  </conditionalFormatting>
  <conditionalFormatting sqref="K4:K11">
    <cfRule type="expression" dxfId="250" priority="92">
      <formula>ABS(K$7-K$10)&gt;=1000</formula>
    </cfRule>
  </conditionalFormatting>
  <conditionalFormatting sqref="L4:L11">
    <cfRule type="expression" dxfId="249" priority="91">
      <formula>ABS(L$7-L$10)&gt;=1000</formula>
    </cfRule>
  </conditionalFormatting>
  <conditionalFormatting sqref="M4 M6:M11">
    <cfRule type="expression" dxfId="248" priority="90">
      <formula>ABS(M$7-M$10)&gt;=1000</formula>
    </cfRule>
  </conditionalFormatting>
  <conditionalFormatting sqref="N4 N6:N11">
    <cfRule type="expression" dxfId="247" priority="89">
      <formula>ABS(N$7-N$10)&gt;=1000</formula>
    </cfRule>
  </conditionalFormatting>
  <conditionalFormatting sqref="O4 O6:O11">
    <cfRule type="expression" dxfId="246" priority="88">
      <formula>ABS(O$7-O$10)&gt;=1000</formula>
    </cfRule>
  </conditionalFormatting>
  <conditionalFormatting sqref="P4 P6:P11">
    <cfRule type="expression" dxfId="245" priority="87">
      <formula>ABS(P$7-P$10)&gt;=1000</formula>
    </cfRule>
  </conditionalFormatting>
  <conditionalFormatting sqref="Q4:Q11">
    <cfRule type="expression" dxfId="244" priority="86">
      <formula>ABS(Q$7-Q$10)&gt;=1000</formula>
    </cfRule>
  </conditionalFormatting>
  <conditionalFormatting sqref="R4:R11">
    <cfRule type="expression" dxfId="243" priority="85">
      <formula>ABS(R$7-R$10)&gt;=1000</formula>
    </cfRule>
  </conditionalFormatting>
  <conditionalFormatting sqref="S4:S11">
    <cfRule type="expression" dxfId="242" priority="84">
      <formula>ABS(S$7-S$10)&gt;=1000</formula>
    </cfRule>
  </conditionalFormatting>
  <conditionalFormatting sqref="T4:T9 T11">
    <cfRule type="expression" dxfId="241" priority="83">
      <formula>ABS(T$7-T$10)&gt;=1000</formula>
    </cfRule>
  </conditionalFormatting>
  <conditionalFormatting sqref="U4:U9 U11">
    <cfRule type="expression" dxfId="240" priority="82">
      <formula>ABS(U$7-U$10)&gt;=1000</formula>
    </cfRule>
  </conditionalFormatting>
  <conditionalFormatting sqref="V4:V9 V11">
    <cfRule type="expression" dxfId="239" priority="81">
      <formula>ABS(V$7-V$10)&gt;=1000</formula>
    </cfRule>
  </conditionalFormatting>
  <conditionalFormatting sqref="W4:W9 W11">
    <cfRule type="expression" dxfId="238" priority="80">
      <formula>ABS(W$7-W$10)&gt;=1000</formula>
    </cfRule>
  </conditionalFormatting>
  <conditionalFormatting sqref="X4:X9 X11">
    <cfRule type="expression" dxfId="237" priority="79">
      <formula>ABS(X$7-X$10)&gt;=1000</formula>
    </cfRule>
  </conditionalFormatting>
  <conditionalFormatting sqref="Y4:Y9 Y11">
    <cfRule type="expression" dxfId="236" priority="78">
      <formula>ABS(Y$7-Y$10)&gt;=1000</formula>
    </cfRule>
  </conditionalFormatting>
  <conditionalFormatting sqref="Z4:Z11">
    <cfRule type="expression" dxfId="235" priority="77">
      <formula>ABS(Z$7-Z$10)&gt;=1000</formula>
    </cfRule>
  </conditionalFormatting>
  <conditionalFormatting sqref="AA4:AA11">
    <cfRule type="expression" dxfId="234" priority="76">
      <formula>ABS(AA$7-AA$10)&gt;=1000</formula>
    </cfRule>
  </conditionalFormatting>
  <conditionalFormatting sqref="AB4:AB11">
    <cfRule type="expression" dxfId="233" priority="75">
      <formula>ABS(AB$7-AB$10)&gt;=1000</formula>
    </cfRule>
  </conditionalFormatting>
  <conditionalFormatting sqref="AC4 AC6:AC11">
    <cfRule type="expression" dxfId="232" priority="74">
      <formula>ABS(AC$7-AC$10)&gt;=1000</formula>
    </cfRule>
  </conditionalFormatting>
  <conditionalFormatting sqref="AD4:AD11">
    <cfRule type="expression" dxfId="231" priority="73">
      <formula>ABS(AD$7-AD$10)&gt;=1000</formula>
    </cfRule>
  </conditionalFormatting>
  <conditionalFormatting sqref="AE4 AE6:AE11">
    <cfRule type="expression" dxfId="230" priority="72">
      <formula>ABS(AE$7-AE$10)&gt;=1000</formula>
    </cfRule>
  </conditionalFormatting>
  <conditionalFormatting sqref="D13:D20">
    <cfRule type="expression" dxfId="229" priority="71">
      <formula>ABS(D$16-D$19)&gt;=1000</formula>
    </cfRule>
  </conditionalFormatting>
  <conditionalFormatting sqref="E13:E20">
    <cfRule type="expression" dxfId="228" priority="70">
      <formula>ABS(E$16-E$19)&gt;=1000</formula>
    </cfRule>
  </conditionalFormatting>
  <conditionalFormatting sqref="F13 F15:F20">
    <cfRule type="expression" dxfId="227" priority="69">
      <formula>ABS(F$16-F$19)&gt;=1000</formula>
    </cfRule>
  </conditionalFormatting>
  <conditionalFormatting sqref="G13:G20">
    <cfRule type="expression" dxfId="226" priority="68">
      <formula>ABS(G$16-G$19)&gt;=1000</formula>
    </cfRule>
  </conditionalFormatting>
  <conditionalFormatting sqref="H13 H15:H20">
    <cfRule type="expression" dxfId="225" priority="67">
      <formula>ABS(H$16-H$19)&gt;=1000</formula>
    </cfRule>
  </conditionalFormatting>
  <conditionalFormatting sqref="I13:I20">
    <cfRule type="expression" dxfId="224" priority="66">
      <formula>ABS(I$16-I$19)&gt;=1000</formula>
    </cfRule>
  </conditionalFormatting>
  <conditionalFormatting sqref="J13:J20">
    <cfRule type="expression" dxfId="223" priority="65">
      <formula>ABS(J$16-J$19)&gt;=1000</formula>
    </cfRule>
  </conditionalFormatting>
  <conditionalFormatting sqref="L13:L20">
    <cfRule type="expression" dxfId="222" priority="64">
      <formula>ABS(L$16-L$19)&gt;=1000</formula>
    </cfRule>
  </conditionalFormatting>
  <conditionalFormatting sqref="M13 M15 M17:M18 M20">
    <cfRule type="expression" dxfId="221" priority="63">
      <formula>ABS(M$16-M$19)&gt;=1000</formula>
    </cfRule>
  </conditionalFormatting>
  <conditionalFormatting sqref="N13:N20">
    <cfRule type="expression" dxfId="220" priority="62">
      <formula>ABS(N$16-N$19)&gt;=1000</formula>
    </cfRule>
  </conditionalFormatting>
  <conditionalFormatting sqref="O13:O20">
    <cfRule type="expression" dxfId="219" priority="61">
      <formula>ABS(O$16-O$19)&gt;=1000</formula>
    </cfRule>
  </conditionalFormatting>
  <conditionalFormatting sqref="P13:P20">
    <cfRule type="expression" dxfId="218" priority="60">
      <formula>ABS(P$16-P$19)&gt;=1000</formula>
    </cfRule>
  </conditionalFormatting>
  <conditionalFormatting sqref="Q13 Q15:Q20">
    <cfRule type="expression" dxfId="217" priority="59">
      <formula>ABS(Q$16-Q$19)&gt;=1000</formula>
    </cfRule>
  </conditionalFormatting>
  <conditionalFormatting sqref="R13:R20">
    <cfRule type="expression" dxfId="216" priority="58">
      <formula>ABS(R$16-R$19)&gt;=1000</formula>
    </cfRule>
  </conditionalFormatting>
  <conditionalFormatting sqref="S13:S20">
    <cfRule type="expression" dxfId="215" priority="57">
      <formula>ABS(S$16-S$19)&gt;=1000</formula>
    </cfRule>
  </conditionalFormatting>
  <conditionalFormatting sqref="T13:T20">
    <cfRule type="expression" dxfId="214" priority="56">
      <formula>ABS(T$16-T$19)&gt;=1000</formula>
    </cfRule>
  </conditionalFormatting>
  <conditionalFormatting sqref="U13:U20">
    <cfRule type="expression" dxfId="213" priority="55">
      <formula>ABS(U$16-U$19)&gt;=1000</formula>
    </cfRule>
  </conditionalFormatting>
  <conditionalFormatting sqref="V13:V20">
    <cfRule type="expression" dxfId="212" priority="54">
      <formula>ABS(V$16-V$19)&gt;=1000</formula>
    </cfRule>
  </conditionalFormatting>
  <conditionalFormatting sqref="W13 W20 W15:W18">
    <cfRule type="expression" dxfId="211" priority="53">
      <formula>ABS(W$16-W$19)&gt;=1000</formula>
    </cfRule>
  </conditionalFormatting>
  <conditionalFormatting sqref="X13 X15:X20 Y19">
    <cfRule type="expression" dxfId="210" priority="52">
      <formula>ABS(X$16-X$19)&gt;=1000</formula>
    </cfRule>
  </conditionalFormatting>
  <conditionalFormatting sqref="Y13 Y15:Y18 Y20">
    <cfRule type="expression" dxfId="209" priority="51">
      <formula>ABS(Y$16-Y$19)&gt;=1000</formula>
    </cfRule>
  </conditionalFormatting>
  <conditionalFormatting sqref="Z13:Z20">
    <cfRule type="expression" dxfId="208" priority="50">
      <formula>ABS(Z$16-Z$19)&gt;=1000</formula>
    </cfRule>
  </conditionalFormatting>
  <conditionalFormatting sqref="AA13:AA20">
    <cfRule type="expression" dxfId="207" priority="49">
      <formula>ABS(AA$16-AA$19)&gt;=1000</formula>
    </cfRule>
  </conditionalFormatting>
  <conditionalFormatting sqref="AB13 AB15:AB20">
    <cfRule type="expression" dxfId="206" priority="48">
      <formula>ABS(AB$16-AB$19)&gt;=1000</formula>
    </cfRule>
  </conditionalFormatting>
  <conditionalFormatting sqref="AC13 AC15:AC20">
    <cfRule type="expression" dxfId="205" priority="47">
      <formula>ABS(AC$16-AC$19)&gt;=1000</formula>
    </cfRule>
  </conditionalFormatting>
  <conditionalFormatting sqref="AD13:AD20">
    <cfRule type="expression" dxfId="204" priority="46">
      <formula>ABS(AD$16-AD$19)&gt;=1000</formula>
    </cfRule>
  </conditionalFormatting>
  <conditionalFormatting sqref="AE13:AE20">
    <cfRule type="expression" dxfId="203" priority="45">
      <formula>ABS(AE$16-AE$19)&gt;=1000</formula>
    </cfRule>
  </conditionalFormatting>
  <conditionalFormatting sqref="D22:D29">
    <cfRule type="expression" dxfId="202" priority="44">
      <formula>ABS(D$25-D$28)&gt;=1000</formula>
    </cfRule>
  </conditionalFormatting>
  <conditionalFormatting sqref="E22:E29">
    <cfRule type="expression" dxfId="201" priority="43">
      <formula>ABS(E$25-E$28)&gt;=1000</formula>
    </cfRule>
  </conditionalFormatting>
  <conditionalFormatting sqref="F22:F29">
    <cfRule type="expression" dxfId="200" priority="42">
      <formula>ABS(F$25-F$28)&gt;=1000</formula>
    </cfRule>
  </conditionalFormatting>
  <conditionalFormatting sqref="G22:G29">
    <cfRule type="expression" dxfId="199" priority="41">
      <formula>ABS(G$25-G$28)&gt;=1000</formula>
    </cfRule>
  </conditionalFormatting>
  <conditionalFormatting sqref="H22:H29">
    <cfRule type="expression" dxfId="198" priority="40">
      <formula>ABS(H$25-H$28)&gt;=1000</formula>
    </cfRule>
  </conditionalFormatting>
  <conditionalFormatting sqref="I22 I24:I29">
    <cfRule type="expression" dxfId="197" priority="39">
      <formula>ABS(I$25-I$28)&gt;=1000</formula>
    </cfRule>
  </conditionalFormatting>
  <conditionalFormatting sqref="J22:J29 K22">
    <cfRule type="expression" dxfId="196" priority="38">
      <formula>ABS(J$25-J$28)&gt;=1000</formula>
    </cfRule>
  </conditionalFormatting>
  <conditionalFormatting sqref="K23:K29 L25 L28">
    <cfRule type="expression" dxfId="195" priority="37">
      <formula>ABS(K$25-K$28)&gt;=1000</formula>
    </cfRule>
  </conditionalFormatting>
  <conditionalFormatting sqref="L22 L26:L27 L29 L24">
    <cfRule type="expression" dxfId="194" priority="36">
      <formula>ABS(L$25-L$28)&gt;=1000</formula>
    </cfRule>
  </conditionalFormatting>
  <conditionalFormatting sqref="M22:M29">
    <cfRule type="expression" dxfId="193" priority="35">
      <formula>ABS(M$25-M$28)&gt;=1000</formula>
    </cfRule>
  </conditionalFormatting>
  <conditionalFormatting sqref="N22:N29">
    <cfRule type="expression" dxfId="192" priority="34">
      <formula>ABS(N$25-N$28)&gt;=1000</formula>
    </cfRule>
  </conditionalFormatting>
  <conditionalFormatting sqref="O22:O29">
    <cfRule type="expression" dxfId="191" priority="33">
      <formula>ABS(O$25-O$28)&gt;=1000</formula>
    </cfRule>
  </conditionalFormatting>
  <conditionalFormatting sqref="P22:P29">
    <cfRule type="expression" dxfId="190" priority="32">
      <formula>ABS(P$25-P$28)&gt;=1000</formula>
    </cfRule>
  </conditionalFormatting>
  <conditionalFormatting sqref="Q22:Q29">
    <cfRule type="expression" dxfId="189" priority="31">
      <formula>ABS(Q$25-Q$28)&gt;=1000</formula>
    </cfRule>
  </conditionalFormatting>
  <conditionalFormatting sqref="R22:R29">
    <cfRule type="expression" dxfId="188" priority="30">
      <formula>ABS(R$25-R$28)&gt;=1000</formula>
    </cfRule>
  </conditionalFormatting>
  <conditionalFormatting sqref="S22:S29">
    <cfRule type="expression" dxfId="187" priority="29">
      <formula>ABS(S$25-S$28)&gt;=1000</formula>
    </cfRule>
  </conditionalFormatting>
  <conditionalFormatting sqref="T22:T29">
    <cfRule type="expression" dxfId="186" priority="28">
      <formula>ABS(T$25-T$28)&gt;=1000</formula>
    </cfRule>
  </conditionalFormatting>
  <conditionalFormatting sqref="U22:U29">
    <cfRule type="expression" dxfId="185" priority="27">
      <formula>ABS(U$25-U$28)&gt;=1000</formula>
    </cfRule>
  </conditionalFormatting>
  <conditionalFormatting sqref="V22:V29">
    <cfRule type="expression" dxfId="184" priority="26">
      <formula>ABS(V$25-V$28)&gt;=1000</formula>
    </cfRule>
  </conditionalFormatting>
  <conditionalFormatting sqref="W22:W29">
    <cfRule type="expression" dxfId="183" priority="25">
      <formula>ABS(W$25-W$28)&gt;=1000</formula>
    </cfRule>
  </conditionalFormatting>
  <conditionalFormatting sqref="X22:X29">
    <cfRule type="expression" dxfId="182" priority="24">
      <formula>ABS(X$25-X$28)&gt;=1000</formula>
    </cfRule>
  </conditionalFormatting>
  <conditionalFormatting sqref="Y22:Y29">
    <cfRule type="expression" dxfId="181" priority="23">
      <formula>ABS(Y$25-Y$28)&gt;=1000</formula>
    </cfRule>
  </conditionalFormatting>
  <conditionalFormatting sqref="I23">
    <cfRule type="expression" dxfId="180" priority="22">
      <formula>ABS(I$25-I$28)&gt;=1000</formula>
    </cfRule>
  </conditionalFormatting>
  <conditionalFormatting sqref="Q14">
    <cfRule type="expression" dxfId="179" priority="21">
      <formula>ABS(Q$16-Q$19)&gt;=1000</formula>
    </cfRule>
  </conditionalFormatting>
  <conditionalFormatting sqref="W14">
    <cfRule type="expression" dxfId="178" priority="20">
      <formula>ABS(W$16-W$19)&gt;=1000</formula>
    </cfRule>
  </conditionalFormatting>
  <conditionalFormatting sqref="Y14">
    <cfRule type="expression" dxfId="177" priority="19">
      <formula>ABS(Y$16-Y$19)&gt;=1000</formula>
    </cfRule>
  </conditionalFormatting>
  <conditionalFormatting sqref="X14">
    <cfRule type="expression" dxfId="176" priority="18">
      <formula>ABS(X$16-X$19)&gt;=1000</formula>
    </cfRule>
  </conditionalFormatting>
  <conditionalFormatting sqref="T10:Y10">
    <cfRule type="expression" dxfId="175" priority="17">
      <formula>ABS(T$7-T$10)&gt;=1000</formula>
    </cfRule>
  </conditionalFormatting>
  <conditionalFormatting sqref="W19">
    <cfRule type="expression" dxfId="174" priority="16">
      <formula>ABS(W$16-W$19)&gt;=1000</formula>
    </cfRule>
  </conditionalFormatting>
  <conditionalFormatting sqref="AC5">
    <cfRule type="expression" dxfId="173" priority="15">
      <formula>ABS(AC$7-AC$10)&gt;=1000</formula>
    </cfRule>
  </conditionalFormatting>
  <conditionalFormatting sqref="M14">
    <cfRule type="expression" dxfId="172" priority="14">
      <formula>ABS(M$16-M$19)&gt;=1000</formula>
    </cfRule>
  </conditionalFormatting>
  <conditionalFormatting sqref="M16">
    <cfRule type="expression" dxfId="171" priority="13">
      <formula>ABS(M$16-M$19)&gt;=1000</formula>
    </cfRule>
  </conditionalFormatting>
  <conditionalFormatting sqref="M19">
    <cfRule type="expression" dxfId="170" priority="12">
      <formula>ABS(M$16-M$19)&gt;=1000</formula>
    </cfRule>
  </conditionalFormatting>
  <conditionalFormatting sqref="K13:K20">
    <cfRule type="expression" dxfId="169" priority="11">
      <formula>ABS(K$16-K$19)&gt;=1000</formula>
    </cfRule>
  </conditionalFormatting>
  <conditionalFormatting sqref="E5">
    <cfRule type="expression" dxfId="168" priority="10">
      <formula>ABS(E$7-E$10)&gt;=1000</formula>
    </cfRule>
  </conditionalFormatting>
  <conditionalFormatting sqref="AB14:AC14">
    <cfRule type="expression" dxfId="167" priority="9">
      <formula>ABS(AB$16-AB$19)&gt;=1000</formula>
    </cfRule>
  </conditionalFormatting>
  <conditionalFormatting sqref="M5">
    <cfRule type="expression" dxfId="166" priority="8">
      <formula>ABS(M$7-M$10)&gt;=1000</formula>
    </cfRule>
  </conditionalFormatting>
  <conditionalFormatting sqref="N5">
    <cfRule type="expression" dxfId="165" priority="7">
      <formula>ABS(N$7-N$10)&gt;=1000</formula>
    </cfRule>
  </conditionalFormatting>
  <conditionalFormatting sqref="O5">
    <cfRule type="expression" dxfId="164" priority="6">
      <formula>ABS(O$7-O$10)&gt;=1000</formula>
    </cfRule>
  </conditionalFormatting>
  <conditionalFormatting sqref="P5">
    <cfRule type="expression" dxfId="163" priority="5">
      <formula>ABS(P$7-P$10)&gt;=1000</formula>
    </cfRule>
  </conditionalFormatting>
  <conditionalFormatting sqref="L23">
    <cfRule type="expression" dxfId="162" priority="4">
      <formula>ABS(L$25-L$28)&gt;=1000</formula>
    </cfRule>
  </conditionalFormatting>
  <conditionalFormatting sqref="F14">
    <cfRule type="expression" dxfId="161" priority="3">
      <formula>ABS(F$16-F$19)&gt;=1000</formula>
    </cfRule>
  </conditionalFormatting>
  <conditionalFormatting sqref="AE5">
    <cfRule type="expression" dxfId="160" priority="2">
      <formula>ABS(AE$25-AE$28)&gt;=1000</formula>
    </cfRule>
  </conditionalFormatting>
  <conditionalFormatting sqref="H14">
    <cfRule type="expression" dxfId="159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46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96">
    <pageSetUpPr fitToPage="1"/>
  </sheetPr>
  <dimension ref="A1:CU223"/>
  <sheetViews>
    <sheetView tabSelected="1" view="pageBreakPreview" topLeftCell="A11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8" t="s" ph="1">
        <v>161</v>
      </c>
      <c r="C1" s="248" ph="1"/>
      <c r="D1" s="248" ph="1"/>
      <c r="E1" s="248" ph="1"/>
      <c r="F1" s="248" ph="1"/>
      <c r="G1" s="248" ph="1"/>
      <c r="H1" s="248" ph="1"/>
      <c r="I1" s="248" ph="1"/>
      <c r="J1" s="248" ph="1"/>
      <c r="K1" s="248" ph="1"/>
      <c r="L1" s="248" ph="1"/>
      <c r="M1" s="248" ph="1"/>
      <c r="N1" s="248" ph="1"/>
      <c r="O1" s="248" ph="1"/>
      <c r="P1" s="248" ph="1"/>
      <c r="Q1" s="248" ph="1"/>
      <c r="R1" s="248" ph="1"/>
      <c r="S1" s="248" ph="1"/>
      <c r="T1" s="248" ph="1"/>
      <c r="U1" s="248" ph="1"/>
      <c r="V1" s="248" ph="1"/>
      <c r="W1" s="248" ph="1"/>
      <c r="X1" s="248" ph="1"/>
      <c r="Y1" s="248" ph="1"/>
      <c r="Z1" s="248" ph="1"/>
      <c r="AA1" s="248" ph="1"/>
      <c r="AB1" s="248" ph="1"/>
      <c r="AC1" s="248" ph="1"/>
      <c r="AD1" s="248" ph="1"/>
      <c r="AE1" s="248" ph="1"/>
    </row>
    <row r="2" spans="1:99" s="66" customFormat="1" ht="24" customHeight="1" ph="1">
      <c r="B2" s="249" t="s" ph="1">
        <v>82</v>
      </c>
      <c r="C2" s="249" ph="1"/>
      <c r="D2" s="249" ph="1"/>
      <c r="E2" s="249" ph="1"/>
      <c r="F2" s="249" ph="1"/>
      <c r="G2" s="249" ph="1"/>
      <c r="H2" s="249" ph="1"/>
      <c r="I2" s="249" ph="1"/>
      <c r="J2" s="249" ph="1"/>
      <c r="K2" s="249" ph="1"/>
      <c r="L2" s="249" ph="1"/>
      <c r="M2" s="249" ph="1"/>
      <c r="N2" s="249" ph="1"/>
      <c r="O2" s="249" ph="1"/>
      <c r="P2" s="249" ph="1"/>
      <c r="Q2" s="249" ph="1"/>
      <c r="R2" s="249" ph="1"/>
      <c r="S2" s="249" ph="1"/>
      <c r="T2" s="249" ph="1"/>
      <c r="U2" s="249" ph="1"/>
      <c r="V2" s="249" ph="1"/>
      <c r="W2" s="249" ph="1"/>
      <c r="X2" s="249" ph="1"/>
      <c r="Y2" s="249" ph="1"/>
      <c r="Z2" s="249" ph="1"/>
      <c r="AA2" s="249" ph="1"/>
      <c r="AB2" s="249" ph="1"/>
      <c r="AC2" s="249" ph="1"/>
      <c r="AD2" s="249" ph="1"/>
      <c r="AE2" s="249" ph="1"/>
    </row>
    <row r="3" spans="1:99" ht="21" customHeight="1" ph="1">
      <c r="B3" s="250" ph="1">
        <v>46022</v>
      </c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</row>
    <row r="4" spans="1:99" s="69" customFormat="1" ph="1">
      <c r="A4" s="65" ph="1"/>
      <c r="B4" s="22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7" ph="1">
        <v>0.33333333333333331</v>
      </c>
      <c r="C6" s="171" t="s" ph="1">
        <v>177</v>
      </c>
      <c r="D6" s="71">
        <v>6651</v>
      </c>
      <c r="E6" s="71">
        <v>50</v>
      </c>
      <c r="F6" s="71">
        <v>2442</v>
      </c>
      <c r="G6" s="71">
        <v>2793</v>
      </c>
      <c r="H6" s="71">
        <v>1484</v>
      </c>
      <c r="I6" s="71">
        <v>14.11</v>
      </c>
      <c r="J6" s="71">
        <v>6.61</v>
      </c>
      <c r="K6" s="71">
        <v>7.42</v>
      </c>
      <c r="L6" s="71">
        <v>31.92</v>
      </c>
      <c r="M6" s="71">
        <v>2669</v>
      </c>
      <c r="N6" s="71">
        <v>6617</v>
      </c>
      <c r="O6" s="71">
        <v>3298</v>
      </c>
      <c r="P6" s="71">
        <v>1228</v>
      </c>
      <c r="Q6" s="71">
        <v>7164</v>
      </c>
      <c r="R6" s="71">
        <v>7118</v>
      </c>
      <c r="S6" s="71">
        <v>3605</v>
      </c>
      <c r="T6" s="71">
        <v>2819</v>
      </c>
      <c r="U6" s="71">
        <v>0</v>
      </c>
      <c r="V6" s="71">
        <v>0</v>
      </c>
      <c r="W6" s="71">
        <v>1318</v>
      </c>
      <c r="X6" s="71">
        <v>7121</v>
      </c>
      <c r="Y6" s="71">
        <v>4861</v>
      </c>
      <c r="Z6" s="71">
        <v>2238</v>
      </c>
      <c r="AA6" s="71">
        <v>2888</v>
      </c>
      <c r="AB6" s="71">
        <v>3074</v>
      </c>
      <c r="AC6" s="71">
        <v>9353</v>
      </c>
      <c r="AD6" s="71">
        <v>4780</v>
      </c>
      <c r="AE6" s="71">
        <v>3695</v>
      </c>
    </row>
    <row r="7" spans="1:99" s="72" customFormat="1" ht="22.2" ph="1">
      <c r="B7" s="247" ph="1"/>
      <c r="C7" s="68" t="s" ph="1">
        <v>178</v>
      </c>
      <c r="D7" s="73" ph="1">
        <f>D6*33.183*LOOKUP(D8,密度!$A$2:$A$50,密度!$Q$2:$Q$50)</f>
        <v>209936.58751359</v>
      </c>
      <c r="E7" s="73" ph="1">
        <f>E6*51.53*LOOKUP(E8,密度!$A$2:$A$50,密度!$B$2:$B$50)</f>
        <v>2024.3560499999999</v>
      </c>
      <c r="F7" s="73" ph="1">
        <f>F6*33.183*LOOKUP(F8,密度!$A$2:$A$50,密度!$C$2:$C$50)</f>
        <v>90262.531715399993</v>
      </c>
      <c r="G7" s="73" ph="1">
        <f xml:space="preserve"> (G6+2)*51.53*LOOKUP(G8,密度!$A$2:$A$50,密度!$B$2:$B$50)</f>
        <v>113161.503195</v>
      </c>
      <c r="H7" s="73" ph="1">
        <f>(H6)*51.53*LOOKUP(H8,密度!$A$2:$A$50,密度!$B$2:$B$50)</f>
        <v>60197.593344000001</v>
      </c>
      <c r="I7" s="73" ph="1">
        <f>I6*290.8*1.0267</f>
        <v>4212.7431195999998</v>
      </c>
      <c r="J7" s="73" ph="1">
        <f>J6*290.8*0.7892</f>
        <v>1516.9907696</v>
      </c>
      <c r="K7" s="73" ph="1">
        <f>K6*290.8*1.1126</f>
        <v>2400.6970735999998</v>
      </c>
      <c r="L7" s="73" ph="1">
        <f>L6*290.8*0.777</f>
        <v>7212.3750720000007</v>
      </c>
      <c r="M7" s="73" ph="1">
        <f>M6*33.183*LOOKUP(M8,密度!$A$2:$A$50,密度!$D$2:$D$50)</f>
        <v>91417.233749399995</v>
      </c>
      <c r="N7" s="73" ph="1">
        <f>N6*33.183*LOOKUP(N8,密度!$A$2:$A$50,密度!$E$2:$E$50)</f>
        <v>173286.15216120001</v>
      </c>
      <c r="O7" s="73" ph="1">
        <f>O6*20.428*LOOKUP(O8,密度!$A$2:$A$50,密度!$C$2:$C$50)</f>
        <v>74809.362457600015</v>
      </c>
      <c r="P7" s="73" ph="1">
        <f>P6*51.53*LOOKUP(P8,密度!$A$2:$A$50,密度!$B$2:$B$50)</f>
        <v>49667.561516000009</v>
      </c>
      <c r="Q7" s="73" ph="1">
        <f>Q6*1.5*1.5*3.1416*LOOKUP(W8,密度!$A$2:$A$50,密度!$L$2:$L$50)</f>
        <v>47702.362276799999</v>
      </c>
      <c r="R7" s="73" ph="1">
        <f>R6*1.5*1.5*3.1416*LOOKUP(R8,密度!$A$2:$A$50,密度!$L$2:$L$50)</f>
        <v>47194.808522399995</v>
      </c>
      <c r="S7" s="73" ph="1">
        <f>S6*1.5*1.5*3.1416*LOOKUP(S8,密度!$A$2:$A$50,密度!$L$2:$L$50)</f>
        <v>24131.740941</v>
      </c>
      <c r="T7" s="73" ph="1">
        <f>T6*1.5*1.5*3.1416*LOOKUP(T8,密度!$A$2:$A$50,密度!$L$2:$L$50)</f>
        <v>18870.285079799996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8776.0627416000007</v>
      </c>
      <c r="X7" s="73" ph="1">
        <f>X6*1.5*1.5*3.1416*LOOKUP(X8,密度!$A$2:$A$50,密度!$L$2:$L$50)</f>
        <v>47667.7190682</v>
      </c>
      <c r="Y7" s="73" ph="1">
        <f>Y6*1.5*1.5*3.1416*LOOKUP(Y8,密度!$A$2:$A$50,密度!$L$2:$L$50)</f>
        <v>32401.918117799996</v>
      </c>
      <c r="Z7" s="73" ph="1">
        <f>Z6*33.183*LOOKUP(Z8,密度!$A$2:$A$50,密度!$L$2:$L$50)</f>
        <v>70104.794976000005</v>
      </c>
      <c r="AA7" s="73" ph="1">
        <f>AA6*33.183*LOOKUP(AA8,密度!$A$2:$A$50,密度!$D$2:$D$50)</f>
        <v>99081.225885600012</v>
      </c>
      <c r="AB7" s="73" ph="1">
        <f>AB6*20.428*LOOKUP(AB8,密度!$A$2:$A$50,密度!$D$2:$D$50)</f>
        <v>65144.23013280001</v>
      </c>
      <c r="AC7" s="73" ph="1">
        <f>AC6*51.53*LOOKUP(AC8,密度!$A$2:$A$50,密度!$Q$2:$Q$50)</f>
        <v>458454.89641070005</v>
      </c>
      <c r="AD7" s="73" ph="1">
        <f>AD6*20.428*LOOKUP(AD8,密度!$A$2:$A$50,密度!$V$2:$V$50)</f>
        <v>94130.589760000003</v>
      </c>
      <c r="AE7" s="73" ph="1">
        <f>AE6*20.428</f>
        <v>75481.460000000006</v>
      </c>
    </row>
    <row r="8" spans="1:99" ph="1">
      <c r="B8" s="247" ph="1"/>
      <c r="C8" s="68" t="s" ph="1">
        <v>179</v>
      </c>
      <c r="D8" s="74">
        <v>19</v>
      </c>
      <c r="E8" s="74">
        <v>18</v>
      </c>
      <c r="F8" s="74">
        <v>18</v>
      </c>
      <c r="G8" s="74">
        <v>18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20</v>
      </c>
      <c r="O8" s="74">
        <v>23</v>
      </c>
      <c r="P8" s="74">
        <v>19</v>
      </c>
      <c r="Q8" s="74">
        <v>20</v>
      </c>
      <c r="R8" s="74">
        <v>24</v>
      </c>
      <c r="S8" s="74">
        <v>15</v>
      </c>
      <c r="T8" s="74">
        <v>15</v>
      </c>
      <c r="U8" s="74">
        <v>18</v>
      </c>
      <c r="V8" s="74">
        <v>20</v>
      </c>
      <c r="W8" s="74">
        <v>20</v>
      </c>
      <c r="X8" s="74">
        <v>15</v>
      </c>
      <c r="Y8" s="74">
        <v>19</v>
      </c>
      <c r="Z8" s="74">
        <v>18</v>
      </c>
      <c r="AA8" s="74">
        <v>17</v>
      </c>
      <c r="AB8" s="74">
        <v>13</v>
      </c>
      <c r="AC8" s="74">
        <v>19</v>
      </c>
      <c r="AD8" s="74">
        <v>17</v>
      </c>
      <c r="AE8" s="74">
        <v>19</v>
      </c>
    </row>
    <row r="9" spans="1:99" ht="26.4" ph="1">
      <c r="B9" s="247" ph="1">
        <v>0.66666666666666663</v>
      </c>
      <c r="C9" s="171" t="s" ph="1">
        <v>180</v>
      </c>
      <c r="D9" s="71">
        <v>6651</v>
      </c>
      <c r="E9" s="71">
        <v>0</v>
      </c>
      <c r="F9" s="71">
        <v>2442</v>
      </c>
      <c r="G9" s="71">
        <v>2540</v>
      </c>
      <c r="H9" s="71">
        <v>2135</v>
      </c>
      <c r="I9" s="71">
        <v>14.11</v>
      </c>
      <c r="J9" s="71">
        <v>6.62</v>
      </c>
      <c r="K9" s="71">
        <v>7.42</v>
      </c>
      <c r="L9" s="71">
        <v>27.9</v>
      </c>
      <c r="M9" s="71">
        <v>2669</v>
      </c>
      <c r="N9" s="71">
        <v>6512</v>
      </c>
      <c r="O9" s="71">
        <v>3298</v>
      </c>
      <c r="P9" s="71">
        <v>877</v>
      </c>
      <c r="Q9" s="71">
        <v>7167</v>
      </c>
      <c r="R9" s="71">
        <v>7120</v>
      </c>
      <c r="S9" s="71">
        <v>6185</v>
      </c>
      <c r="T9" s="71">
        <v>7154</v>
      </c>
      <c r="U9" s="71">
        <v>155</v>
      </c>
      <c r="V9" s="71">
        <v>0</v>
      </c>
      <c r="W9" s="71">
        <v>0</v>
      </c>
      <c r="X9" s="71">
        <v>4667</v>
      </c>
      <c r="Y9" s="71">
        <v>4863</v>
      </c>
      <c r="Z9" s="71">
        <v>3085</v>
      </c>
      <c r="AA9" s="71">
        <v>2885</v>
      </c>
      <c r="AB9" s="71">
        <v>3073</v>
      </c>
      <c r="AC9" s="71">
        <v>9353</v>
      </c>
      <c r="AD9" s="71">
        <v>4780</v>
      </c>
      <c r="AE9" s="71">
        <v>3591</v>
      </c>
    </row>
    <row r="10" spans="1:99" s="72" customFormat="1" ht="22.2" ph="1">
      <c r="B10" s="247" ph="1"/>
      <c r="C10" s="171" t="s" ph="1">
        <v>178</v>
      </c>
      <c r="D10" s="73" ph="1">
        <f>D9*33.183*LOOKUP(D11,密度!$A$2:$A$50,密度!$Q$2:$Q$50)</f>
        <v>209936.58751359</v>
      </c>
      <c r="E10" s="73" ph="1">
        <f>E9*51.53*LOOKUP(E11,密度!$A$2:$A$50,密度!$B$2:$B$50)</f>
        <v>0</v>
      </c>
      <c r="F10" s="73" ph="1">
        <f>F9*33.183*LOOKUP(F11,密度!$A$2:$A$50,密度!$C$2:$C$50)</f>
        <v>90311.151446999997</v>
      </c>
      <c r="G10" s="73" ph="1">
        <f xml:space="preserve"> (G9+2)*51.53*LOOKUP(G11,密度!$A$2:$A$50,密度!$B$2:$B$50)</f>
        <v>102813.47017400002</v>
      </c>
      <c r="H10" s="73" ph="1">
        <f>(H9)*51.53*LOOKUP(H11,密度!$A$2:$A$50,密度!$B$2:$B$50)</f>
        <v>86517.014920000001</v>
      </c>
      <c r="I10" s="73" ph="1">
        <f>I9*290.8*1.0267</f>
        <v>4212.7431195999998</v>
      </c>
      <c r="J10" s="73" ph="1">
        <f>J9*290.8*0.7892</f>
        <v>1519.2857632</v>
      </c>
      <c r="K10" s="73" ph="1">
        <f>K9*290.8*1.1126</f>
        <v>2400.6970735999998</v>
      </c>
      <c r="L10" s="73" ph="1">
        <f>L9*290.8*0.777</f>
        <v>6304.0496400000002</v>
      </c>
      <c r="M10" s="73" ph="1">
        <f>M9*33.183*LOOKUP(M11,密度!$A$2:$A$50,密度!$D$2:$D$50)</f>
        <v>91346.3814078</v>
      </c>
      <c r="N10" s="73" ph="1">
        <f>N9*33.183*LOOKUP(N11,密度!$A$2:$A$50,密度!$E$2:$E$50)</f>
        <v>170536.40968320001</v>
      </c>
      <c r="O10" s="73" ph="1">
        <f>O9*20.428*LOOKUP(O11,密度!$A$2:$A$50,密度!$C$2:$C$50)</f>
        <v>74809.362457600015</v>
      </c>
      <c r="P10" s="73" ph="1">
        <f>P9*51.53*LOOKUP(P11,密度!$A$2:$A$50,密度!$B$2:$B$50)</f>
        <v>35353.552962999995</v>
      </c>
      <c r="Q10" s="73" ph="1">
        <f>Q9*1.5*1.5*3.1416*LOOKUP(W11,密度!$A$2:$A$50,密度!$L$2:$L$50)</f>
        <v>47570.356171799998</v>
      </c>
      <c r="R10" s="73" ph="1">
        <f>R9*1.5*1.5*3.1416*LOOKUP(R11,密度!$A$2:$A$50,密度!$L$2:$L$50)</f>
        <v>47208.069215999996</v>
      </c>
      <c r="S10" s="73" ph="1">
        <f>S9*1.5*1.5*3.1416*LOOKUP(S11,密度!$A$2:$A$50,密度!$L$2:$L$50)</f>
        <v>41271.010703999993</v>
      </c>
      <c r="T10" s="73" ph="1">
        <f>T9*1.5*1.5*3.1416*LOOKUP(T11,密度!$A$2:$A$50,密度!$L$2:$L$50)</f>
        <v>47787.482358000001</v>
      </c>
      <c r="U10" s="73" ph="1">
        <f>U9*1.5*1.5*3.1416*LOOKUP(U11,密度!$A$2:$A$50,密度!$L$2:$L$50)</f>
        <v>1032.086286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31207.741765199997</v>
      </c>
      <c r="Y10" s="73" ph="1">
        <f>Y9*1.5*1.5*3.1416*LOOKUP(Y11,密度!$A$2:$A$50,密度!$L$2:$L$50)</f>
        <v>32415.249497399996</v>
      </c>
      <c r="Z10" s="73" ph="1">
        <f>Z9*33.183*LOOKUP(Z11,密度!$A$2:$A$50,密度!$L$2:$L$50)</f>
        <v>96534.490364999991</v>
      </c>
      <c r="AA10" s="73" ph="1">
        <f>AA9*33.183*LOOKUP(AA11,密度!$A$2:$A$50,密度!$D$2:$D$50)</f>
        <v>98815.556150999997</v>
      </c>
      <c r="AB10" s="73" ph="1">
        <f>AB9*20.428*LOOKUP(AB11,密度!$A$2:$A$50,密度!$D$2:$D$50)</f>
        <v>65123.038125600011</v>
      </c>
      <c r="AC10" s="73" ph="1">
        <f>AC9*51.53*LOOKUP(AC11,密度!$A$2:$A$50,密度!$Q$2:$Q$50)</f>
        <v>458454.89641070005</v>
      </c>
      <c r="AD10" s="73" ph="1">
        <f>AD9*20.428*LOOKUP(AD11,密度!$A$2:$A$50,密度!$V$2:$V$50)</f>
        <v>93818.123072000002</v>
      </c>
      <c r="AE10" s="73" ph="1">
        <f>AE9*20.428</f>
        <v>73356.948000000004</v>
      </c>
    </row>
    <row r="11" spans="1:99" ph="1">
      <c r="A11" s="64" t="s" ph="1">
        <v>162</v>
      </c>
      <c r="B11" s="247" ph="1"/>
      <c r="C11" s="171" t="s" ph="1">
        <v>179</v>
      </c>
      <c r="D11" s="74">
        <v>19</v>
      </c>
      <c r="E11" s="74">
        <v>20</v>
      </c>
      <c r="F11" s="74">
        <v>17</v>
      </c>
      <c r="G11" s="74">
        <v>19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20</v>
      </c>
      <c r="O11" s="74">
        <v>23</v>
      </c>
      <c r="P11" s="74">
        <v>22</v>
      </c>
      <c r="Q11" s="74">
        <v>22</v>
      </c>
      <c r="R11" s="74">
        <v>24</v>
      </c>
      <c r="S11" s="74">
        <v>18</v>
      </c>
      <c r="T11" s="74">
        <v>17</v>
      </c>
      <c r="U11" s="74">
        <v>20</v>
      </c>
      <c r="V11" s="74">
        <v>25</v>
      </c>
      <c r="W11" s="74">
        <v>23</v>
      </c>
      <c r="X11" s="74">
        <v>16</v>
      </c>
      <c r="Y11" s="74">
        <v>19</v>
      </c>
      <c r="Z11" s="74">
        <v>19</v>
      </c>
      <c r="AA11" s="74">
        <v>19</v>
      </c>
      <c r="AB11" s="74">
        <v>13</v>
      </c>
      <c r="AC11" s="74">
        <v>19</v>
      </c>
      <c r="AD11" s="74">
        <v>23</v>
      </c>
      <c r="AE11" s="74">
        <v>20</v>
      </c>
    </row>
    <row r="12" spans="1:99" ht="9.9" customHeight="1" ph="1"/>
    <row r="13" spans="1:99" s="72" customFormat="1" ht="29.25" customHeight="1" ph="1">
      <c r="B13" s="224" t="s" ph="1">
        <v>37</v>
      </c>
      <c r="C13" s="17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25" ph="1"/>
      <c r="C14" s="67" t="s" ph="1">
        <v>36</v>
      </c>
      <c r="D14" s="77" t="s" ph="1">
        <v>616</v>
      </c>
      <c r="E14" s="77" t="s" ph="1">
        <v>616</v>
      </c>
      <c r="F14" s="77" t="s" ph="1">
        <v>638</v>
      </c>
      <c r="G14" s="77" t="s" ph="1">
        <v>617</v>
      </c>
      <c r="H14" s="70" t="s" ph="1">
        <v>615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6" ph="1">
        <v>0.33333333333333331</v>
      </c>
      <c r="C15" s="171" t="s" ph="1">
        <v>177</v>
      </c>
      <c r="D15" s="78">
        <v>3656</v>
      </c>
      <c r="E15" s="78">
        <v>6061</v>
      </c>
      <c r="F15" s="78">
        <v>3114</v>
      </c>
      <c r="G15" s="78">
        <v>5505</v>
      </c>
      <c r="H15" s="78">
        <v>5387</v>
      </c>
      <c r="I15" s="78">
        <v>3672</v>
      </c>
      <c r="J15" s="78">
        <v>3713</v>
      </c>
      <c r="K15" s="78">
        <v>2383</v>
      </c>
      <c r="L15" s="78">
        <v>932</v>
      </c>
      <c r="M15" s="78">
        <v>5549</v>
      </c>
      <c r="N15" s="78">
        <v>2973</v>
      </c>
      <c r="O15" s="78">
        <v>39</v>
      </c>
      <c r="P15" s="78">
        <v>0</v>
      </c>
      <c r="Q15" s="78">
        <v>1386</v>
      </c>
      <c r="R15" s="78">
        <v>7359</v>
      </c>
      <c r="S15" s="78">
        <v>6407</v>
      </c>
      <c r="T15" s="78">
        <v>2212</v>
      </c>
      <c r="U15" s="78">
        <v>5371</v>
      </c>
      <c r="V15" s="78">
        <v>-817</v>
      </c>
      <c r="W15" s="71">
        <v>-817</v>
      </c>
      <c r="X15" s="78">
        <v>665</v>
      </c>
      <c r="Y15" s="106">
        <v>-9903</v>
      </c>
      <c r="Z15" s="78">
        <v>0</v>
      </c>
      <c r="AA15" s="78">
        <v>12</v>
      </c>
      <c r="AB15" s="78" ph="1">
        <v>1530</v>
      </c>
      <c r="AC15" s="78" ph="1">
        <v>30</v>
      </c>
      <c r="AD15" s="78">
        <v>30.61</v>
      </c>
      <c r="AE15" s="78">
        <v>5.62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7" ph="1"/>
      <c r="C16" s="171" t="s" ph="1">
        <v>178</v>
      </c>
      <c r="D16" s="73" ph="1">
        <f>D15*7.0686*LOOKUP(D17,密度!$A$2:$A$50,密度!$L$2:$L$50)</f>
        <v>24369.761908799999</v>
      </c>
      <c r="E16" s="73" ph="1">
        <f>E15*7.0686*LOOKUP(E17,密度!$A$2:$A$50,密度!$L$2:$L$50)</f>
        <v>40357.903093199995</v>
      </c>
      <c r="F16" s="73" ph="1">
        <f>F15*9.0746*LOOKUP(F17,密度!$A$2:$A$50,密度!$L$2:$L$50)</f>
        <v>26534.547831600001</v>
      </c>
      <c r="G16" s="73" ph="1">
        <f>G15*9.0746*LOOKUP(G17,密度!$A$2:$A$50,密度!$B$2:$B$50)</f>
        <v>39250.172276099998</v>
      </c>
      <c r="H16" s="73" ph="1">
        <f>H15*9.0746*LOOKUP(H17,密度!$A$2:$A$50,密度!$L$2:$L$50)</f>
        <v>46245.087209199992</v>
      </c>
      <c r="I16" s="73" ph="1">
        <f>I15*9.0746*LOOKUP(I17,密度!$A$2:$A$50,密度!$U$2:$U$50)</f>
        <v>34254.945273600002</v>
      </c>
      <c r="J16" s="73" ph="1">
        <f>J15*9.0746*LOOKUP(J17,密度!$A$2:$A$50,密度!$L$2:$L$50)</f>
        <v>31739.7383916</v>
      </c>
      <c r="K16" s="73" ph="1">
        <f>K15*9.0746*LOOKUP(K17,密度!$A$2:$A$50,密度!$C$2:$C$50)</f>
        <v>24087.833308019999</v>
      </c>
      <c r="L16" s="73" ph="1">
        <f>L15*9.0746*LOOKUP(L17,密度!$A$2:$A$50,密度!$E$2:$E$50)</f>
        <v>6693.28702608</v>
      </c>
      <c r="M16" s="73" ph="1">
        <f>M15*9.0746*LOOKUP(M17,密度!$A$2:$A$50,密度!$M$2:$M$50)</f>
        <v>44327.467238619996</v>
      </c>
      <c r="N16" s="73" ph="1">
        <f>N15*9.0746*LOOKUP(N17,密度!$A$2:$A$50,密度!$M$2:$M$50)</f>
        <v>23749.42513974</v>
      </c>
      <c r="O16" s="73" ph="1">
        <f>O15*9.0746*LOOKUP(O17,密度!$A$2:$A$50,密度!$G$2:$G$50)</f>
        <v>341.84108945999998</v>
      </c>
      <c r="P16" s="73" ph="1">
        <f ca="1">P15*9.0746*LOOKUP(P17,密度!$A$2:$A$51,密度!$Q$2:$Q$50)</f>
        <v>0</v>
      </c>
      <c r="Q16" s="73" ph="1">
        <f>Q15*9.0746*LOOKUP(Q17,密度!$A$2:$A$50,密度!$Q$2:$Q$50)</f>
        <v>11983.74252768</v>
      </c>
      <c r="R16" s="73" ph="1">
        <f>MAX(R15*9.0746*LOOKUP(R17,密度!$A$2:$A$50,密度!$B$2:$B$50),0)</f>
        <v>52362.183415740008</v>
      </c>
      <c r="S16" s="73" ph="1">
        <f>S15*9.0746*LOOKUP(S17,密度!$A$2:$A$50,密度!$Q$2:$Q$50)</f>
        <v>55350.777424022002</v>
      </c>
      <c r="T16" s="73" ph="1">
        <f>T15*9.0746*LOOKUP(T17,密度!$A$2:$A$50,密度!$O$2:$O$50)</f>
        <v>18748.196196800003</v>
      </c>
      <c r="U16" s="73" ph="1">
        <f>U15*9.0746*LOOKUP(U17,密度!$A$2:$A$50,密度!$H$2:$H$50)</f>
        <v>44972.099598819994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12095.260144799999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85.635185280000002</v>
      </c>
      <c r="AB16" s="73" ph="1">
        <f>AB15*9.0746*LOOKUP(AB17,密度!$A$2:$A$50,密度!$L$2:$L$50)</f>
        <v>13092.742134</v>
      </c>
      <c r="AC16" s="73" ph="1">
        <f>AC15*9.0746*LOOKUP(AC17,密度!$A$2:$A$50,密度!$L$2:$L$50)</f>
        <v>257.26490999999999</v>
      </c>
      <c r="AD16" s="73" ph="1">
        <f>AD15*268.68*LOOKUP(AD17,密度!$A$2:$A$50,密度!B2:B50)+IF(AD15&lt;=0,0,1566*LOOKUP(AD17,密度!$A$2:$A$50,密度!B2:B50))</f>
        <v>7632.5138260799995</v>
      </c>
      <c r="AE16" s="73" ph="1">
        <f>AE15*268.68*LOOKUP(AE17,密度!$A$2:$A$50,密度!B2:B50)+IF(AE15&lt;=0,0,1566*LOOKUP(AE17,密度!$A$2:$A$50,密度!B2:B50))</f>
        <v>2398.0352553599996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8" ph="1"/>
      <c r="C17" s="79" t="s" ph="1">
        <v>179</v>
      </c>
      <c r="D17" s="74">
        <v>19</v>
      </c>
      <c r="E17" s="74">
        <v>20</v>
      </c>
      <c r="F17" s="74">
        <v>23</v>
      </c>
      <c r="G17" s="74">
        <v>18</v>
      </c>
      <c r="H17" s="74">
        <v>16</v>
      </c>
      <c r="I17" s="74">
        <v>17</v>
      </c>
      <c r="J17" s="74">
        <v>20</v>
      </c>
      <c r="K17" s="74">
        <v>18</v>
      </c>
      <c r="L17" s="74">
        <v>18</v>
      </c>
      <c r="M17" s="74">
        <v>20</v>
      </c>
      <c r="N17" s="74">
        <v>19</v>
      </c>
      <c r="O17" s="74">
        <v>20</v>
      </c>
      <c r="P17" s="74">
        <v>18</v>
      </c>
      <c r="Q17" s="74">
        <v>17</v>
      </c>
      <c r="R17" s="74">
        <v>20</v>
      </c>
      <c r="S17" s="74">
        <v>18</v>
      </c>
      <c r="T17" s="74">
        <v>18</v>
      </c>
      <c r="U17" s="74">
        <v>17</v>
      </c>
      <c r="V17" s="74">
        <v>19</v>
      </c>
      <c r="W17" s="74">
        <v>19</v>
      </c>
      <c r="X17" s="74">
        <v>26</v>
      </c>
      <c r="Y17" s="108">
        <v>26</v>
      </c>
      <c r="Z17" s="74">
        <v>19</v>
      </c>
      <c r="AA17" s="74">
        <v>17</v>
      </c>
      <c r="AB17" s="74">
        <v>19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6" ph="1">
        <v>0.66666666666666663</v>
      </c>
      <c r="C18" s="79" t="s" ph="1">
        <v>180</v>
      </c>
      <c r="D18" s="71">
        <v>3312</v>
      </c>
      <c r="E18" s="71">
        <v>6062</v>
      </c>
      <c r="F18" s="71">
        <v>3110</v>
      </c>
      <c r="G18" s="71">
        <v>3508</v>
      </c>
      <c r="H18" s="71">
        <v>5388</v>
      </c>
      <c r="I18" s="71">
        <v>3674</v>
      </c>
      <c r="J18" s="71">
        <v>4990</v>
      </c>
      <c r="K18" s="71">
        <v>2383</v>
      </c>
      <c r="L18" s="71">
        <v>932</v>
      </c>
      <c r="M18" s="71">
        <v>2591</v>
      </c>
      <c r="N18" s="71">
        <v>2974</v>
      </c>
      <c r="O18" s="71">
        <v>0</v>
      </c>
      <c r="P18" s="71">
        <v>0</v>
      </c>
      <c r="Q18" s="71">
        <v>54</v>
      </c>
      <c r="R18" s="71">
        <v>7366</v>
      </c>
      <c r="S18" s="71">
        <v>6410</v>
      </c>
      <c r="T18" s="71">
        <v>2213</v>
      </c>
      <c r="U18" s="71">
        <v>5373</v>
      </c>
      <c r="V18" s="71">
        <v>-817</v>
      </c>
      <c r="W18" s="71">
        <v>-817</v>
      </c>
      <c r="X18" s="71">
        <v>662</v>
      </c>
      <c r="Y18" s="109">
        <v>-9903</v>
      </c>
      <c r="Z18" s="71">
        <v>0</v>
      </c>
      <c r="AA18" s="71">
        <v>11</v>
      </c>
      <c r="AB18" s="71">
        <v>1531</v>
      </c>
      <c r="AC18" s="71">
        <v>0</v>
      </c>
      <c r="AD18" s="71">
        <v>80.91</v>
      </c>
      <c r="AE18" s="71">
        <v>5.61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7" ph="1"/>
      <c r="C19" s="171" t="s" ph="1">
        <v>178</v>
      </c>
      <c r="D19" s="73" ph="1">
        <f>D18*7.0686*LOOKUP(D20,密度!$A$2:$A$50,密度!$L$2:$L$50)</f>
        <v>22053.3534144</v>
      </c>
      <c r="E19" s="73" ph="1">
        <f>E18*7.0686*LOOKUP(E20,密度!$A$2:$A$50,密度!$L$2:$L$50)</f>
        <v>40321.711861199998</v>
      </c>
      <c r="F19" s="73" ph="1">
        <f>F18*9.0746*LOOKUP(F20,密度!$A$2:$A$50,密度!$L$2:$L$50)</f>
        <v>26444.019622000003</v>
      </c>
      <c r="G19" s="73" ph="1">
        <f>G18*9.0746*LOOKUP(G20,密度!$A$2:$A$50,密度!$B$2:$B$50)</f>
        <v>24960.801660880003</v>
      </c>
      <c r="H19" s="73" ph="1">
        <f>H18*9.0746*LOOKUP(H20,密度!$A$2:$A$50,密度!$L$2:$L$50)</f>
        <v>46204.777836000001</v>
      </c>
      <c r="I19" s="73" ph="1">
        <f>I18*9.0746*LOOKUP(I20,密度!$A$2:$A$50,密度!$U$2:$U$50)</f>
        <v>34273.602651200003</v>
      </c>
      <c r="J19" s="73" ph="1">
        <f>J18*9.0746*LOOKUP(J20,密度!$A$2:$A$50,密度!$L$2:$L$50)</f>
        <v>42520.036505999997</v>
      </c>
      <c r="K19" s="73" ph="1">
        <f>K18*9.0746*LOOKUP(K20,密度!$A$2:$A$50,密度!$C$2:$C$50)</f>
        <v>24059.721104680004</v>
      </c>
      <c r="L19" s="73" ph="1">
        <f>L18*9.0746*LOOKUP(L20,密度!$A$2:$A$50,密度!$E$2:$E$50)</f>
        <v>6664.531433600001</v>
      </c>
      <c r="M19" s="73" ph="1">
        <f>M18*9.0746*LOOKUP(M20,密度!$A$2:$A$50,密度!$M$2:$M$50)</f>
        <v>20643.789390800001</v>
      </c>
      <c r="N19" s="73" ph="1">
        <f>N18*9.0746*LOOKUP(N20,密度!$A$2:$A$50,密度!$M$2:$M$50)</f>
        <v>23757.413510120001</v>
      </c>
      <c r="O19" s="73" ph="1">
        <f>O18*9.0746*LOOKUP(O20,密度!$A$2:$A$50,密度!$G$2:$G$50)</f>
        <v>0</v>
      </c>
      <c r="P19" s="73" ph="1">
        <f ca="1">P18*9.0746*LOOKUP(P20,密度!$A$2:$A$51,密度!$Q$2:$Q$50)</f>
        <v>0</v>
      </c>
      <c r="Q19" s="73" ph="1">
        <f>Q18*9.0746*LOOKUP(Q20,密度!$A$2:$A$50,密度!$Q$2:$Q$50)</f>
        <v>465.37507119600002</v>
      </c>
      <c r="R19" s="73" ph="1">
        <f>MAX(R18*9.0746*LOOKUP(R20,密度!$A$2:$A$50,密度!$B$2:$B$50),0)</f>
        <v>52231.513713039996</v>
      </c>
      <c r="S19" s="73" ph="1">
        <f>S18*9.0746*LOOKUP(S20,密度!$A$2:$A$50,密度!$Q$2:$Q$50)</f>
        <v>55331.323568780004</v>
      </c>
      <c r="T19" s="73" ph="1">
        <f>T18*9.0746*LOOKUP(T20,密度!$A$2:$A$50,密度!$O$2:$O$50)</f>
        <v>18676.343514000004</v>
      </c>
      <c r="U19" s="73" ph="1">
        <f>U18*9.0746*LOOKUP(U20,密度!$A$2:$A$50,密度!$H$2:$H$50)</f>
        <v>44988.845865659998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12079.747523760001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78.578776320000003</v>
      </c>
      <c r="AB19" s="73" ph="1">
        <f>AB18*9.0746*LOOKUP(AB20,密度!$A$2:$A$50,密度!$L$2:$L$50)</f>
        <v>13073.513056600001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18107.906367600001</v>
      </c>
      <c r="AE19" s="73" ph="1">
        <f>AE18*268.68*LOOKUP(AE20,密度!$A$2:$A$50,密度!B5:B53)+IF(AE18&lt;=0,0,1566*LOOKUP(AE20,密度!$A$2:$A$50,密度!B5:B53))</f>
        <v>2387.9500595999998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7" ph="1"/>
      <c r="C20" s="80" t="s" ph="1">
        <v>179</v>
      </c>
      <c r="D20" s="81">
        <v>20</v>
      </c>
      <c r="E20" s="81">
        <v>21</v>
      </c>
      <c r="F20" s="81">
        <v>25</v>
      </c>
      <c r="G20" s="81">
        <v>20</v>
      </c>
      <c r="H20" s="81">
        <v>17</v>
      </c>
      <c r="I20" s="81">
        <v>20</v>
      </c>
      <c r="J20" s="81">
        <v>23</v>
      </c>
      <c r="K20" s="81">
        <v>20</v>
      </c>
      <c r="L20" s="81">
        <v>21</v>
      </c>
      <c r="M20" s="81">
        <v>22</v>
      </c>
      <c r="N20" s="81">
        <v>20</v>
      </c>
      <c r="O20" s="81">
        <v>23</v>
      </c>
      <c r="P20" s="81">
        <v>25</v>
      </c>
      <c r="Q20" s="81">
        <v>21</v>
      </c>
      <c r="R20" s="81">
        <v>23</v>
      </c>
      <c r="S20" s="81">
        <v>19</v>
      </c>
      <c r="T20" s="81">
        <v>22</v>
      </c>
      <c r="U20" s="81">
        <v>17</v>
      </c>
      <c r="V20" s="81">
        <v>20</v>
      </c>
      <c r="W20" s="81">
        <v>21</v>
      </c>
      <c r="X20" s="81">
        <v>25</v>
      </c>
      <c r="Y20" s="110">
        <v>25</v>
      </c>
      <c r="Z20" s="81">
        <v>22</v>
      </c>
      <c r="AA20" s="81">
        <v>16</v>
      </c>
      <c r="AB20" s="81">
        <v>21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2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35" t="s" ph="1">
        <v>69</v>
      </c>
      <c r="AA22" s="236"/>
      <c r="AB22" s="236"/>
      <c r="AC22" s="236"/>
      <c r="AD22" s="236"/>
      <c r="AE22" s="23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8" t="s" ph="1">
        <v>646</v>
      </c>
      <c r="AA23" s="239"/>
      <c r="AB23" s="239"/>
      <c r="AC23" s="239"/>
      <c r="AD23" s="239"/>
      <c r="AE23" s="24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7" ph="1">
        <v>0.33333333333333331</v>
      </c>
      <c r="C24" s="171" t="s" ph="1">
        <v>177</v>
      </c>
      <c r="D24" s="71">
        <v>3.72</v>
      </c>
      <c r="E24" s="71">
        <v>5.01</v>
      </c>
      <c r="F24" s="71">
        <v>576</v>
      </c>
      <c r="G24" s="71">
        <v>2853</v>
      </c>
      <c r="H24" s="71">
        <v>1274</v>
      </c>
      <c r="I24" s="71">
        <v>1220</v>
      </c>
      <c r="J24" s="71">
        <v>1267</v>
      </c>
      <c r="K24" s="71">
        <v>2441</v>
      </c>
      <c r="L24" s="71">
        <v>5548</v>
      </c>
      <c r="M24" s="71">
        <v>4875</v>
      </c>
      <c r="N24" s="71">
        <v>5598</v>
      </c>
      <c r="O24" s="71">
        <v>5723</v>
      </c>
      <c r="P24" s="71">
        <v>653</v>
      </c>
      <c r="Q24" s="90">
        <v>3259</v>
      </c>
      <c r="R24" s="71">
        <v>6292</v>
      </c>
      <c r="S24" s="71">
        <v>4824</v>
      </c>
      <c r="T24" s="71">
        <v>160</v>
      </c>
      <c r="U24" s="71">
        <v>4218</v>
      </c>
      <c r="V24" s="71">
        <v>8426</v>
      </c>
      <c r="W24" s="71">
        <v>1397</v>
      </c>
      <c r="X24" s="71">
        <v>3691</v>
      </c>
      <c r="Y24" s="71">
        <v>6202</v>
      </c>
      <c r="Z24" s="241"/>
      <c r="AA24" s="242"/>
      <c r="AB24" s="242"/>
      <c r="AC24" s="242"/>
      <c r="AD24" s="242"/>
      <c r="AE24" s="24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7" ph="1"/>
      <c r="C25" s="68" t="s" ph="1">
        <v>178</v>
      </c>
      <c r="D25" s="91" ph="1">
        <f>D24*268.68*LOOKUP(D26,密度!$A$2:$A$50,密度!$Q$2:$Q$50)+IF(D24&lt;=0,0,1566*LOOKUP(D26,密度!$A$2:$A$50,密度!$Q$2:$Q$50))</f>
        <v>2428.851623904</v>
      </c>
      <c r="E25" s="91" ph="1">
        <f>E24*268.68*LOOKUP(E26,密度!$A$2:$A$50,密度!$C$2:$C$50)+IF(E24&lt;=0,0,1566*LOOKUP(E26,密度!$A$2:$A$50,密度!$C$2:$C$50))</f>
        <v>3229.21305252</v>
      </c>
      <c r="F25" s="91" ph="1">
        <f>F24*11.702*LOOKUP(F26,密度!$A$2:$A$50,密度!$Q$2:$Q$50)</f>
        <v>6411.6250329599998</v>
      </c>
      <c r="G25" s="91" ph="1">
        <f>G24*18.322*LOOKUP(G26,密度!$A$2:$A$50,密度!$B$2:$B$50)</f>
        <v>41070.633676199999</v>
      </c>
      <c r="H25" s="91" ph="1">
        <f>H24*18.322*LOOKUP(H26,密度!$A$2:$A$50,密度!$B$2:$B$50)</f>
        <v>18321.314757200002</v>
      </c>
      <c r="I25" s="91" ph="1">
        <f>I24*18.322*LOOKUP(I26,密度!$A$2:$A$50,密度!$Q$2:$Q$50)</f>
        <v>21280.127208400001</v>
      </c>
      <c r="J25" s="91" ph="1">
        <f>J24*18.322*LOOKUP(J26,密度!$A$2:$A$50,密度!$Q$2:$Q$50)</f>
        <v>22118.274427199998</v>
      </c>
      <c r="K25" s="91" ph="1">
        <f>K24*18.322*LOOKUP(K26,密度!$A$2:$A$50,密度!$Q$2:$Q$50)</f>
        <v>42613.029105599999</v>
      </c>
      <c r="L25" s="91" ph="1">
        <f>L24*18.322*LOOKUP(L26,密度!$A$2:$A$50,密度!$Q$2:$Q$50)</f>
        <v>96692.963260879988</v>
      </c>
      <c r="M25" s="91" ph="1">
        <f>M24*18.322*LOOKUP(M26,密度!$A$2:$A$50,密度!$Q$2:$Q$50)</f>
        <v>85103.857799999998</v>
      </c>
      <c r="N25" s="91" ph="1">
        <f>N24*18.322*LOOKUP(N26,密度!$A$2:$A$50,密度!$Q$2:$Q$50)</f>
        <v>97644.386977560003</v>
      </c>
      <c r="O25" s="91" ph="1">
        <f>O24*18.322*LOOKUP(O26,密度!$A$2:$A$50,密度!$C$2:$C$50)</f>
        <v>116726.59643919999</v>
      </c>
      <c r="P25" s="91" ph="1">
        <f>P24*11.702*LOOKUP(P26,密度!$A$2:$A$50,密度!$B$2:$B$50)</f>
        <v>5997.7395694000006</v>
      </c>
      <c r="Q25" s="92" ph="1">
        <f>Q24*18.322*LOOKUP(Q26,密度!$A$2:$A$50,密度!$B$2:$B$50)</f>
        <v>46915.245408599993</v>
      </c>
      <c r="R25" s="91" ph="1">
        <f>R24*35.891*LOOKUP(R26,密度!$A$2:$A$50,密度!$C$2:$C$50)</f>
        <v>251254.19896720001</v>
      </c>
      <c r="S25" s="91" ph="1">
        <f>S24*35.891*LOOKUP(S26,密度!$A$2:$A$50,密度!$B$2:$B$50)</f>
        <v>135896.16062159999</v>
      </c>
      <c r="T25" s="91" ph="1">
        <f>T24*35.891*LOOKUP(T26,密度!$A$2:$A$50,密度!$Q$2:$Q$50)</f>
        <v>5471.5111679999991</v>
      </c>
      <c r="U25" s="91" ph="1">
        <f>U24*35.891</f>
        <v>151388.23799999998</v>
      </c>
      <c r="V25" s="91" ph="1">
        <f>V24*47.051*LOOKUP(V26,密度!$A$2:$A$50,密度!$B$2:$B$50)</f>
        <v>311174.95973740006</v>
      </c>
      <c r="W25" s="91" ph="1">
        <f>W24*47.051*LOOKUP(W26,密度!$A$2:$A$50,密度!$B$2:$B$50)</f>
        <v>51539.086672700003</v>
      </c>
      <c r="X25" s="91" ph="1">
        <f>X24*47.051*LOOKUP(X26,密度!$A$2:$A$61,密度!$I$2:$I$61)</f>
        <v>177312.21106099998</v>
      </c>
      <c r="Y25" s="91" ph="1">
        <f>Y24*47.051*LOOKUP(Y26,密度!$A$2:$A$50,密度!$L$2:$L$50)</f>
        <v>275177.11478599999</v>
      </c>
      <c r="Z25" s="241"/>
      <c r="AA25" s="242"/>
      <c r="AB25" s="242"/>
      <c r="AC25" s="242"/>
      <c r="AD25" s="242"/>
      <c r="AE25" s="24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7" ph="1"/>
      <c r="C26" s="68" t="s" ph="1">
        <v>179</v>
      </c>
      <c r="D26" s="74">
        <v>25</v>
      </c>
      <c r="E26" s="74">
        <v>25</v>
      </c>
      <c r="F26" s="74">
        <v>19</v>
      </c>
      <c r="G26" s="74">
        <v>18</v>
      </c>
      <c r="H26" s="74">
        <v>19</v>
      </c>
      <c r="I26" s="74">
        <v>18</v>
      </c>
      <c r="J26" s="74">
        <v>17</v>
      </c>
      <c r="K26" s="74">
        <v>17</v>
      </c>
      <c r="L26" s="74">
        <v>19</v>
      </c>
      <c r="M26" s="74">
        <v>17</v>
      </c>
      <c r="N26" s="74">
        <v>18</v>
      </c>
      <c r="O26" s="74">
        <v>19</v>
      </c>
      <c r="P26" s="74">
        <v>19</v>
      </c>
      <c r="Q26" s="93">
        <v>18</v>
      </c>
      <c r="R26" s="74">
        <v>20</v>
      </c>
      <c r="S26" s="74">
        <v>19</v>
      </c>
      <c r="T26" s="74">
        <v>17</v>
      </c>
      <c r="U26" s="74">
        <v>18</v>
      </c>
      <c r="V26" s="74">
        <v>19</v>
      </c>
      <c r="W26" s="74">
        <v>20</v>
      </c>
      <c r="X26" s="74">
        <v>44</v>
      </c>
      <c r="Y26" s="74">
        <v>19</v>
      </c>
      <c r="Z26" s="241"/>
      <c r="AA26" s="242"/>
      <c r="AB26" s="242"/>
      <c r="AC26" s="242"/>
      <c r="AD26" s="242"/>
      <c r="AE26" s="24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7" ph="1">
        <v>0.66666666666666663</v>
      </c>
      <c r="C27" s="171" t="s" ph="1">
        <v>180</v>
      </c>
      <c r="D27" s="71">
        <v>3.71</v>
      </c>
      <c r="E27" s="71">
        <v>4.92</v>
      </c>
      <c r="F27" s="71">
        <v>575</v>
      </c>
      <c r="G27" s="71">
        <v>2351</v>
      </c>
      <c r="H27" s="71">
        <v>1067</v>
      </c>
      <c r="I27" s="71">
        <v>66</v>
      </c>
      <c r="J27" s="71">
        <v>1265</v>
      </c>
      <c r="K27" s="71">
        <v>2440</v>
      </c>
      <c r="L27" s="71">
        <v>5547</v>
      </c>
      <c r="M27" s="71">
        <v>4876</v>
      </c>
      <c r="N27" s="71">
        <v>5598</v>
      </c>
      <c r="O27" s="71">
        <v>5722</v>
      </c>
      <c r="P27" s="71">
        <v>650</v>
      </c>
      <c r="Q27" s="90">
        <v>3622</v>
      </c>
      <c r="R27" s="71">
        <v>5758</v>
      </c>
      <c r="S27" s="71">
        <v>4823</v>
      </c>
      <c r="T27" s="71">
        <v>159</v>
      </c>
      <c r="U27" s="71">
        <v>4151</v>
      </c>
      <c r="V27" s="71">
        <v>8426</v>
      </c>
      <c r="W27" s="71">
        <v>1173</v>
      </c>
      <c r="X27" s="71">
        <v>3691</v>
      </c>
      <c r="Y27" s="71">
        <v>5141</v>
      </c>
      <c r="Z27" s="241"/>
      <c r="AA27" s="242"/>
      <c r="AB27" s="242"/>
      <c r="AC27" s="242"/>
      <c r="AD27" s="242"/>
      <c r="AE27" s="24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7" ph="1"/>
      <c r="C28" s="171" t="s" ph="1">
        <v>178</v>
      </c>
      <c r="D28" s="91" ph="1">
        <f>D27*268.68*LOOKUP(D29,密度!$A$2:$A$50,密度!$Q$2:$Q$50)+IF(D27&lt;=0,0,1566*LOOKUP(D29,密度!$A$2:$A$50,密度!$Q$2:$Q$50))</f>
        <v>2426.3079228719998</v>
      </c>
      <c r="E28" s="91" ph="1">
        <f>E27*268.68*LOOKUP(E29,密度!$A$2:$A$50,密度!$C$2:$C$50)+IF(E27&lt;=0,0,1566*LOOKUP(E29,密度!$A$2:$A$50,密度!$C$2:$C$50))</f>
        <v>3202.3985198400001</v>
      </c>
      <c r="F28" s="91" ph="1">
        <f>F27*11.702*LOOKUP(F29,密度!$A$2:$A$50,密度!$Q$2:$Q$50)</f>
        <v>6400.4937394999997</v>
      </c>
      <c r="G28" s="91" ph="1">
        <f>G27*18.322*LOOKUP(G29,密度!$A$2:$A$50,密度!$B$2:$B$50)</f>
        <v>33775.124750199997</v>
      </c>
      <c r="H28" s="91" ph="1">
        <f>H27*18.322*LOOKUP(H29,密度!$A$2:$A$50,密度!$B$2:$B$50)</f>
        <v>15344.460632600001</v>
      </c>
      <c r="I28" s="91" ph="1">
        <f>I27*18.322*LOOKUP(I29,密度!$A$2:$A$50,密度!$Q$2:$Q$50)</f>
        <v>1149.24891576</v>
      </c>
      <c r="J28" s="91" ph="1">
        <f>J27*18.322*LOOKUP(J29,密度!$A$2:$A$50,密度!$Q$2:$Q$50)</f>
        <v>22046.971615899998</v>
      </c>
      <c r="K28" s="91" ph="1">
        <f>K27*18.322*LOOKUP(K29,密度!$A$2:$A$50,密度!$Q$2:$Q$50)</f>
        <v>42487.384158400004</v>
      </c>
      <c r="L28" s="91" ph="1">
        <f>L27*18.322*LOOKUP(L29,密度!$A$2:$A$50,密度!$Q$2:$Q$50)</f>
        <v>96519.021338459992</v>
      </c>
      <c r="M28" s="91" ph="1">
        <f>M27*18.322*LOOKUP(M29,密度!$A$2:$A$50,密度!$Q$2:$Q$50)</f>
        <v>84981.054228559995</v>
      </c>
      <c r="N28" s="91" ph="1">
        <f>N27*18.322*LOOKUP(N29,密度!$A$2:$A$50,密度!$Q$2:$Q$50)</f>
        <v>97477.203491280001</v>
      </c>
      <c r="O28" s="91" ph="1">
        <f>O27*18.322*LOOKUP(O29,密度!$A$2:$A$50,密度!$C$2:$C$50)</f>
        <v>116706.20038879999</v>
      </c>
      <c r="P28" s="91" ph="1">
        <f>P27*11.702*LOOKUP(P29,密度!$A$2:$A$50,密度!$B$2:$B$50)</f>
        <v>5970.18487</v>
      </c>
      <c r="Q28" s="92" ph="1">
        <f>Q27*18.322*LOOKUP(Q29,密度!$A$2:$A$50,密度!$B$2:$B$50)</f>
        <v>51974.940828799998</v>
      </c>
      <c r="R28" s="91" ph="1">
        <f>R27*35.891*LOOKUP(R29,密度!$A$2:$A$50,密度!$C$2:$C$50)</f>
        <v>229930.33656280002</v>
      </c>
      <c r="S28" s="91" ph="1">
        <f>S27*35.891*LOOKUP(S29,密度!$A$2:$A$50,密度!$B$2:$B$50)</f>
        <v>135867.9897757</v>
      </c>
      <c r="T28" s="91" ph="1">
        <f>T27*35.891*LOOKUP(T29,密度!$A$2:$A$50,密度!$Q$2:$Q$50)</f>
        <v>5423.5040842199996</v>
      </c>
      <c r="U28" s="91" ph="1">
        <f>U27*35.891</f>
        <v>148983.541</v>
      </c>
      <c r="V28" s="91" ph="1">
        <f>V27*47.051*LOOKUP(V29,密度!$A$2:$A$50,密度!$B$2:$B$50)</f>
        <v>311174.95973740006</v>
      </c>
      <c r="W28" s="91" ph="1">
        <f>W27*47.051*LOOKUP(W29,密度!$A$2:$A$50,密度!$B$2:$B$50)</f>
        <v>43275.124314300003</v>
      </c>
      <c r="X28" s="91" ph="1">
        <f>X27*47.051*LOOKUP(X29,密度!$A$2:$A$61,密度!$I$2:$I$61)</f>
        <v>177520.60935020001</v>
      </c>
      <c r="Y28" s="91" ph="1">
        <f>Y27*47.051*LOOKUP(Y29,密度!$A$2:$A$50,密度!$L$2:$L$50)</f>
        <v>227859.617922</v>
      </c>
      <c r="Z28" s="241"/>
      <c r="AA28" s="242"/>
      <c r="AB28" s="242"/>
      <c r="AC28" s="242"/>
      <c r="AD28" s="242"/>
      <c r="AE28" s="24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7" ph="1"/>
      <c r="C29" s="171" t="s" ph="1">
        <v>179</v>
      </c>
      <c r="D29" s="74">
        <v>25</v>
      </c>
      <c r="E29" s="74">
        <v>25</v>
      </c>
      <c r="F29" s="74">
        <v>19</v>
      </c>
      <c r="G29" s="74">
        <v>20</v>
      </c>
      <c r="H29" s="74">
        <v>19</v>
      </c>
      <c r="I29" s="74">
        <v>20</v>
      </c>
      <c r="J29" s="74">
        <v>19</v>
      </c>
      <c r="K29" s="74">
        <v>20</v>
      </c>
      <c r="L29" s="74">
        <v>21</v>
      </c>
      <c r="M29" s="74">
        <v>19</v>
      </c>
      <c r="N29" s="74">
        <v>20</v>
      </c>
      <c r="O29" s="74">
        <v>19</v>
      </c>
      <c r="P29" s="74">
        <v>19</v>
      </c>
      <c r="Q29" s="93">
        <v>21</v>
      </c>
      <c r="R29" s="74">
        <v>20</v>
      </c>
      <c r="S29" s="74">
        <v>19</v>
      </c>
      <c r="T29" s="74">
        <v>20</v>
      </c>
      <c r="U29" s="74">
        <v>20</v>
      </c>
      <c r="V29" s="74">
        <v>19</v>
      </c>
      <c r="W29" s="74">
        <v>20</v>
      </c>
      <c r="X29" s="74">
        <v>43</v>
      </c>
      <c r="Y29" s="74">
        <v>20</v>
      </c>
      <c r="Z29" s="244"/>
      <c r="AA29" s="245"/>
      <c r="AB29" s="245"/>
      <c r="AC29" s="245"/>
      <c r="AD29" s="245"/>
      <c r="AE29" s="24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30" t="s" ph="1">
        <v>35</v>
      </c>
      <c r="C31" s="231" ph="1"/>
      <c r="D31" s="234" t="s" ph="1">
        <v>9</v>
      </c>
      <c r="E31" s="209" ph="1"/>
      <c r="F31" s="210" ph="1"/>
      <c r="G31" s="234" t="s" ph="1">
        <v>18</v>
      </c>
      <c r="H31" s="209" ph="1"/>
      <c r="I31" s="210" ph="1"/>
      <c r="J31" s="208" t="s" ph="1">
        <v>1</v>
      </c>
      <c r="K31" s="209" ph="1"/>
      <c r="L31" s="210" ph="1"/>
      <c r="M31" s="208" t="s" ph="1">
        <v>7</v>
      </c>
      <c r="N31" s="209" ph="1"/>
      <c r="O31" s="210" ph="1"/>
      <c r="P31" s="208" t="s" ph="1">
        <v>41</v>
      </c>
      <c r="Q31" s="209"/>
      <c r="R31" s="210"/>
      <c r="S31" s="208" t="s" ph="1">
        <v>2</v>
      </c>
      <c r="T31" s="209"/>
      <c r="U31" s="210"/>
      <c r="V31" s="208" t="s" ph="1">
        <v>71</v>
      </c>
      <c r="W31" s="209" ph="1"/>
      <c r="X31" s="210" ph="1"/>
      <c r="Y31" s="208" t="s" ph="1">
        <v>3</v>
      </c>
      <c r="Z31" s="209" ph="1"/>
      <c r="AA31" s="210" ph="1"/>
      <c r="AB31" s="211" t="s">
        <v>42</v>
      </c>
      <c r="AC31" s="212"/>
      <c r="AD31" s="212"/>
      <c r="AE31" s="21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32" ph="1"/>
      <c r="C32" s="233" ph="1"/>
      <c r="D32" s="96" t="s" ph="1">
        <v>4</v>
      </c>
      <c r="E32" s="171" t="s" ph="1">
        <v>5</v>
      </c>
      <c r="F32" s="170" t="s" ph="1">
        <v>43</v>
      </c>
      <c r="G32" s="97" t="s" ph="1">
        <v>4</v>
      </c>
      <c r="H32" s="171" t="s" ph="1">
        <v>5</v>
      </c>
      <c r="I32" s="170" t="s" ph="1">
        <v>43</v>
      </c>
      <c r="J32" s="97" t="s" ph="1">
        <v>4</v>
      </c>
      <c r="K32" s="171" t="s" ph="1">
        <v>5</v>
      </c>
      <c r="L32" s="170" t="s" ph="1">
        <v>43</v>
      </c>
      <c r="M32" s="97" t="s" ph="1">
        <v>4</v>
      </c>
      <c r="N32" s="171" t="s" ph="1">
        <v>5</v>
      </c>
      <c r="O32" s="17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1" t="s" ph="1">
        <v>5</v>
      </c>
      <c r="U32" s="99" t="s" ph="1">
        <v>43</v>
      </c>
      <c r="V32" s="97" t="s" ph="1">
        <v>4</v>
      </c>
      <c r="W32" s="171" t="s" ph="1">
        <v>5</v>
      </c>
      <c r="X32" s="99" t="s" ph="1">
        <v>43</v>
      </c>
      <c r="Y32" s="100" t="s" ph="1">
        <v>4</v>
      </c>
      <c r="Z32" s="171" t="s" ph="1">
        <v>5</v>
      </c>
      <c r="AA32" s="170" t="s" ph="1">
        <v>43</v>
      </c>
      <c r="AB32" s="97" t="s" ph="1">
        <v>85</v>
      </c>
      <c r="AC32" s="171" t="s" ph="1">
        <v>84</v>
      </c>
      <c r="AD32" s="214" t="s" ph="1">
        <v>83</v>
      </c>
      <c r="AE32" s="21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6" t="s" ph="1">
        <v>181</v>
      </c>
      <c r="C33" s="217" ph="1"/>
      <c r="D33" s="196" ph="1">
        <f>AA10+AB10+Z19</f>
        <v>163938.59427659999</v>
      </c>
      <c r="E33" s="196" ph="1">
        <f>M10+I10</f>
        <v>95559.124527399996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22" ph="1">
        <f>N19</f>
        <v>23757.413510120001</v>
      </c>
      <c r="H33" s="196" ph="1">
        <f>M19</f>
        <v>20643.789390800001</v>
      </c>
      <c r="I33" s="200" ph="1">
        <v>0</v>
      </c>
      <c r="J33" s="204" ph="1">
        <f>F10+O28</f>
        <v>207017.35183579999</v>
      </c>
      <c r="K33" s="196" ph="1">
        <f>O10+K10+E28+R28</f>
        <v>310342.79461384006</v>
      </c>
      <c r="L33" s="206" ph="1">
        <f>K19</f>
        <v>24059.721104680004</v>
      </c>
      <c r="M33" s="204" ph="1">
        <f>G10+H10+W28+S28+V28+E10+R19+P28+Q28</f>
        <v>789825.19833324011</v>
      </c>
      <c r="N33" s="196" ph="1">
        <f>L10+P10++G28+H28+AD19+AE19</f>
        <v>111273.044413</v>
      </c>
      <c r="O33" s="200" ph="1">
        <f>G19</f>
        <v>24960.801660880003</v>
      </c>
      <c r="P33" s="204" ph="1">
        <f>L19</f>
        <v>6664.531433600001</v>
      </c>
      <c r="Q33" s="196" ph="1">
        <f>J10+N10</f>
        <v>172055.6954464</v>
      </c>
      <c r="R33" s="200" ph="1">
        <f>BE23</f>
        <v>890</v>
      </c>
      <c r="S33" s="204" ph="1">
        <f>X28</f>
        <v>177520.60935020001</v>
      </c>
      <c r="T33" s="196" ph="1">
        <f>X19</f>
        <v>12079.747523760001</v>
      </c>
      <c r="U33" s="185" ph="1">
        <f>BE21</f>
        <v>730</v>
      </c>
      <c r="V33" s="198" ph="1">
        <f ca="1">P19+Q19+S19+M28+N28+J28+D10+AC10+D19+E19+H19+J19+O19+V19+W19+K28+L28</f>
        <v>1218799.6970144659</v>
      </c>
      <c r="W33" s="198" ph="1">
        <f>D28+F28+T28+I28</f>
        <v>15399.554662351999</v>
      </c>
      <c r="X33" s="200" ph="1">
        <f>BE29+BE31</f>
        <v>10200</v>
      </c>
      <c r="Y33" s="202" ph="1">
        <f>+Q10+R10+S10+T10+U10+V10+W10+X10+Y10</f>
        <v>248491.99599839997</v>
      </c>
      <c r="Z33" s="183" ph="1">
        <f>T19+U19+Y28+Z10</f>
        <v>388059.29766665999</v>
      </c>
      <c r="AA33" s="185" ph="1">
        <f>BE19</f>
        <v>1440</v>
      </c>
      <c r="AB33" s="187" ph="1">
        <f>I19</f>
        <v>34273.602651200003</v>
      </c>
      <c r="AC33" s="189" ph="1">
        <f>AD10+AB19</f>
        <v>106891.6361286</v>
      </c>
      <c r="AD33" s="191" ph="1">
        <v>0</v>
      </c>
      <c r="AE33" s="19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8" ph="1"/>
      <c r="C34" s="219" ph="1"/>
      <c r="D34" s="197" ph="1"/>
      <c r="E34" s="197" ph="1"/>
      <c r="F34" s="221" ph="1"/>
      <c r="G34" s="223" ph="1"/>
      <c r="H34" s="197" ph="1"/>
      <c r="I34" s="201" ph="1"/>
      <c r="J34" s="205" ph="1"/>
      <c r="K34" s="197" ph="1"/>
      <c r="L34" s="207" ph="1"/>
      <c r="M34" s="205" ph="1"/>
      <c r="N34" s="197" ph="1"/>
      <c r="O34" s="201" ph="1"/>
      <c r="P34" s="205" ph="1"/>
      <c r="Q34" s="197" ph="1"/>
      <c r="R34" s="201" ph="1"/>
      <c r="S34" s="205" ph="1"/>
      <c r="T34" s="197"/>
      <c r="U34" s="186"/>
      <c r="V34" s="199" ph="1"/>
      <c r="W34" s="199" ph="1"/>
      <c r="X34" s="201" ph="1"/>
      <c r="Y34" s="203" ph="1"/>
      <c r="Z34" s="184" ph="1"/>
      <c r="AA34" s="186" ph="1"/>
      <c r="AB34" s="188"/>
      <c r="AC34" s="190"/>
      <c r="AD34" s="193"/>
      <c r="AE34" s="19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95" t="s" ph="1">
        <v>633</v>
      </c>
      <c r="AD35" s="195"/>
      <c r="AE35" s="19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81" t="s" ph="1">
        <v>183</v>
      </c>
      <c r="J36" s="181" ph="1"/>
      <c r="K36" s="101" ph="1"/>
      <c r="P36" s="101" ph="1"/>
      <c r="R36" s="181" t="s" ph="1">
        <v>184</v>
      </c>
      <c r="S36" s="181" ph="1"/>
      <c r="Y36" s="102" ph="1"/>
      <c r="Z36" s="169" t="s" ph="1">
        <v>185</v>
      </c>
      <c r="AA36" s="169" ph="1"/>
      <c r="AB36" s="182" t="s" ph="1">
        <v>642</v>
      </c>
      <c r="AC36" s="182" ph="1"/>
      <c r="AD36" s="182" ph="1"/>
      <c r="AE36" s="182" ph="1"/>
      <c r="BA36" s="64" ph="1">
        <v>2270</v>
      </c>
    </row>
    <row r="37" spans="1:57" s="16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9" t="s" ph="1">
        <v>342</v>
      </c>
      <c r="AI37" s="169" t="s" ph="1">
        <v>209</v>
      </c>
      <c r="AJ37" s="169" t="s" ph="1">
        <v>210</v>
      </c>
      <c r="AK37" s="169" t="s" ph="1">
        <v>211</v>
      </c>
      <c r="AM37" s="169" t="s" ph="1">
        <v>210</v>
      </c>
      <c r="AN37" s="169" t="s" ph="1">
        <v>211</v>
      </c>
      <c r="AO37" s="169" t="s" ph="1">
        <v>212</v>
      </c>
      <c r="AP37" s="169" t="s" ph="1">
        <v>210</v>
      </c>
      <c r="AQ37" s="169" t="s" ph="1">
        <v>211</v>
      </c>
      <c r="AR37" s="169" t="s" ph="1">
        <v>212</v>
      </c>
      <c r="AS37" s="169" t="s" ph="1">
        <v>210</v>
      </c>
      <c r="AT37" s="169" t="s" ph="1">
        <v>211</v>
      </c>
      <c r="AU37" s="169" t="s" ph="1">
        <v>212</v>
      </c>
      <c r="AV37" s="169" t="s" ph="1">
        <v>210</v>
      </c>
      <c r="AW37" s="169" t="s" ph="1">
        <v>211</v>
      </c>
      <c r="AX37" s="169" t="s" ph="1">
        <v>212</v>
      </c>
      <c r="AY37" s="169" t="s" ph="1">
        <v>211</v>
      </c>
      <c r="AZ37" s="169" t="s" ph="1">
        <v>213</v>
      </c>
      <c r="BD37" s="169" t="s" ph="1">
        <v>305</v>
      </c>
      <c r="BE37" s="16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8" priority="99">
      <formula>ABS(D$7-D$10)&gt;=1000</formula>
    </cfRule>
  </conditionalFormatting>
  <conditionalFormatting sqref="E4 E6:E11">
    <cfRule type="expression" dxfId="127" priority="98">
      <formula>ABS(E$7-E$10)&gt;=1000</formula>
    </cfRule>
  </conditionalFormatting>
  <conditionalFormatting sqref="F4:F11">
    <cfRule type="expression" dxfId="126" priority="97">
      <formula>ABS(F$7-F$10)&gt;=1000</formula>
    </cfRule>
  </conditionalFormatting>
  <conditionalFormatting sqref="G4:G11">
    <cfRule type="expression" dxfId="125" priority="96">
      <formula>ABS(G$7-G$10)&gt;=1000</formula>
    </cfRule>
  </conditionalFormatting>
  <conditionalFormatting sqref="H4:H11">
    <cfRule type="expression" dxfId="124" priority="95">
      <formula>ABS(H$7-H$10)&gt;=1000</formula>
    </cfRule>
  </conditionalFormatting>
  <conditionalFormatting sqref="I4:I11">
    <cfRule type="expression" dxfId="123" priority="94">
      <formula>ABS(I$7-I$10)&gt;=1000</formula>
    </cfRule>
  </conditionalFormatting>
  <conditionalFormatting sqref="J4:J11">
    <cfRule type="expression" dxfId="122" priority="93">
      <formula>ABS(J$7-J$10)&gt;=1000</formula>
    </cfRule>
  </conditionalFormatting>
  <conditionalFormatting sqref="K4:K11">
    <cfRule type="expression" dxfId="121" priority="92">
      <formula>ABS(K$7-K$10)&gt;=1000</formula>
    </cfRule>
  </conditionalFormatting>
  <conditionalFormatting sqref="L4:L11">
    <cfRule type="expression" dxfId="120" priority="91">
      <formula>ABS(L$7-L$10)&gt;=1000</formula>
    </cfRule>
  </conditionalFormatting>
  <conditionalFormatting sqref="M4 M6:M11">
    <cfRule type="expression" dxfId="119" priority="90">
      <formula>ABS(M$7-M$10)&gt;=1000</formula>
    </cfRule>
  </conditionalFormatting>
  <conditionalFormatting sqref="N4 N6:N11">
    <cfRule type="expression" dxfId="118" priority="89">
      <formula>ABS(N$7-N$10)&gt;=1000</formula>
    </cfRule>
  </conditionalFormatting>
  <conditionalFormatting sqref="O4 O6:O11">
    <cfRule type="expression" dxfId="117" priority="88">
      <formula>ABS(O$7-O$10)&gt;=1000</formula>
    </cfRule>
  </conditionalFormatting>
  <conditionalFormatting sqref="P4 P6:P11">
    <cfRule type="expression" dxfId="116" priority="87">
      <formula>ABS(P$7-P$10)&gt;=1000</formula>
    </cfRule>
  </conditionalFormatting>
  <conditionalFormatting sqref="Q4:Q11">
    <cfRule type="expression" dxfId="115" priority="86">
      <formula>ABS(Q$7-Q$10)&gt;=1000</formula>
    </cfRule>
  </conditionalFormatting>
  <conditionalFormatting sqref="R4:R11">
    <cfRule type="expression" dxfId="114" priority="85">
      <formula>ABS(R$7-R$10)&gt;=1000</formula>
    </cfRule>
  </conditionalFormatting>
  <conditionalFormatting sqref="S4:S11">
    <cfRule type="expression" dxfId="113" priority="84">
      <formula>ABS(S$7-S$10)&gt;=1000</formula>
    </cfRule>
  </conditionalFormatting>
  <conditionalFormatting sqref="T4:T9 T11">
    <cfRule type="expression" dxfId="112" priority="83">
      <formula>ABS(T$7-T$10)&gt;=1000</formula>
    </cfRule>
  </conditionalFormatting>
  <conditionalFormatting sqref="U4:U9 U11">
    <cfRule type="expression" dxfId="111" priority="82">
      <formula>ABS(U$7-U$10)&gt;=1000</formula>
    </cfRule>
  </conditionalFormatting>
  <conditionalFormatting sqref="V4:V9 V11">
    <cfRule type="expression" dxfId="110" priority="81">
      <formula>ABS(V$7-V$10)&gt;=1000</formula>
    </cfRule>
  </conditionalFormatting>
  <conditionalFormatting sqref="W4:W9 W11">
    <cfRule type="expression" dxfId="109" priority="80">
      <formula>ABS(W$7-W$10)&gt;=1000</formula>
    </cfRule>
  </conditionalFormatting>
  <conditionalFormatting sqref="X4:X9 X11">
    <cfRule type="expression" dxfId="108" priority="79">
      <formula>ABS(X$7-X$10)&gt;=1000</formula>
    </cfRule>
  </conditionalFormatting>
  <conditionalFormatting sqref="Y4:Y9 Y11">
    <cfRule type="expression" dxfId="107" priority="78">
      <formula>ABS(Y$7-Y$10)&gt;=1000</formula>
    </cfRule>
  </conditionalFormatting>
  <conditionalFormatting sqref="Z4:Z11">
    <cfRule type="expression" dxfId="106" priority="77">
      <formula>ABS(Z$7-Z$10)&gt;=1000</formula>
    </cfRule>
  </conditionalFormatting>
  <conditionalFormatting sqref="AA4:AA11">
    <cfRule type="expression" dxfId="105" priority="76">
      <formula>ABS(AA$7-AA$10)&gt;=1000</formula>
    </cfRule>
  </conditionalFormatting>
  <conditionalFormatting sqref="AB4:AB11">
    <cfRule type="expression" dxfId="104" priority="75">
      <formula>ABS(AB$7-AB$10)&gt;=1000</formula>
    </cfRule>
  </conditionalFormatting>
  <conditionalFormatting sqref="AC4 AC6:AC11">
    <cfRule type="expression" dxfId="103" priority="74">
      <formula>ABS(AC$7-AC$10)&gt;=1000</formula>
    </cfRule>
  </conditionalFormatting>
  <conditionalFormatting sqref="AD4:AD11">
    <cfRule type="expression" dxfId="102" priority="73">
      <formula>ABS(AD$7-AD$10)&gt;=1000</formula>
    </cfRule>
  </conditionalFormatting>
  <conditionalFormatting sqref="AE4 AE6:AE11">
    <cfRule type="expression" dxfId="101" priority="72">
      <formula>ABS(AE$7-AE$10)&gt;=1000</formula>
    </cfRule>
  </conditionalFormatting>
  <conditionalFormatting sqref="D13:D20">
    <cfRule type="expression" dxfId="100" priority="71">
      <formula>ABS(D$16-D$19)&gt;=1000</formula>
    </cfRule>
  </conditionalFormatting>
  <conditionalFormatting sqref="E13:E20">
    <cfRule type="expression" dxfId="99" priority="70">
      <formula>ABS(E$16-E$19)&gt;=1000</formula>
    </cfRule>
  </conditionalFormatting>
  <conditionalFormatting sqref="F13 F15:F20">
    <cfRule type="expression" dxfId="98" priority="69">
      <formula>ABS(F$16-F$19)&gt;=1000</formula>
    </cfRule>
  </conditionalFormatting>
  <conditionalFormatting sqref="G13:G20">
    <cfRule type="expression" dxfId="97" priority="68">
      <formula>ABS(G$16-G$19)&gt;=1000</formula>
    </cfRule>
  </conditionalFormatting>
  <conditionalFormatting sqref="H13 H15:H20">
    <cfRule type="expression" dxfId="96" priority="67">
      <formula>ABS(H$16-H$19)&gt;=1000</formula>
    </cfRule>
  </conditionalFormatting>
  <conditionalFormatting sqref="I13:I20">
    <cfRule type="expression" dxfId="95" priority="66">
      <formula>ABS(I$16-I$19)&gt;=1000</formula>
    </cfRule>
  </conditionalFormatting>
  <conditionalFormatting sqref="J13:J20">
    <cfRule type="expression" dxfId="94" priority="65">
      <formula>ABS(J$16-J$19)&gt;=1000</formula>
    </cfRule>
  </conditionalFormatting>
  <conditionalFormatting sqref="L13:L20">
    <cfRule type="expression" dxfId="93" priority="64">
      <formula>ABS(L$16-L$19)&gt;=1000</formula>
    </cfRule>
  </conditionalFormatting>
  <conditionalFormatting sqref="M13 M15 M17:M18 M20">
    <cfRule type="expression" dxfId="92" priority="63">
      <formula>ABS(M$16-M$19)&gt;=1000</formula>
    </cfRule>
  </conditionalFormatting>
  <conditionalFormatting sqref="N13:N20">
    <cfRule type="expression" dxfId="91" priority="62">
      <formula>ABS(N$16-N$19)&gt;=1000</formula>
    </cfRule>
  </conditionalFormatting>
  <conditionalFormatting sqref="O13:O20">
    <cfRule type="expression" dxfId="90" priority="61">
      <formula>ABS(O$16-O$19)&gt;=1000</formula>
    </cfRule>
  </conditionalFormatting>
  <conditionalFormatting sqref="P13:P20">
    <cfRule type="expression" dxfId="89" priority="60">
      <formula>ABS(P$16-P$19)&gt;=1000</formula>
    </cfRule>
  </conditionalFormatting>
  <conditionalFormatting sqref="Q13 Q15:Q20">
    <cfRule type="expression" dxfId="88" priority="59">
      <formula>ABS(Q$16-Q$19)&gt;=1000</formula>
    </cfRule>
  </conditionalFormatting>
  <conditionalFormatting sqref="R13:R20">
    <cfRule type="expression" dxfId="87" priority="58">
      <formula>ABS(R$16-R$19)&gt;=1000</formula>
    </cfRule>
  </conditionalFormatting>
  <conditionalFormatting sqref="S13:S20">
    <cfRule type="expression" dxfId="86" priority="57">
      <formula>ABS(S$16-S$19)&gt;=1000</formula>
    </cfRule>
  </conditionalFormatting>
  <conditionalFormatting sqref="T13:T20">
    <cfRule type="expression" dxfId="85" priority="56">
      <formula>ABS(T$16-T$19)&gt;=1000</formula>
    </cfRule>
  </conditionalFormatting>
  <conditionalFormatting sqref="U13:U20">
    <cfRule type="expression" dxfId="84" priority="55">
      <formula>ABS(U$16-U$19)&gt;=1000</formula>
    </cfRule>
  </conditionalFormatting>
  <conditionalFormatting sqref="V13:V20">
    <cfRule type="expression" dxfId="83" priority="54">
      <formula>ABS(V$16-V$19)&gt;=1000</formula>
    </cfRule>
  </conditionalFormatting>
  <conditionalFormatting sqref="W13 W20 W15:W18">
    <cfRule type="expression" dxfId="82" priority="53">
      <formula>ABS(W$16-W$19)&gt;=1000</formula>
    </cfRule>
  </conditionalFormatting>
  <conditionalFormatting sqref="X13 X15:X20 Y19">
    <cfRule type="expression" dxfId="81" priority="52">
      <formula>ABS(X$16-X$19)&gt;=1000</formula>
    </cfRule>
  </conditionalFormatting>
  <conditionalFormatting sqref="Y13 Y15:Y18 Y20">
    <cfRule type="expression" dxfId="80" priority="51">
      <formula>ABS(Y$16-Y$19)&gt;=1000</formula>
    </cfRule>
  </conditionalFormatting>
  <conditionalFormatting sqref="Z13:Z20">
    <cfRule type="expression" dxfId="79" priority="50">
      <formula>ABS(Z$16-Z$19)&gt;=1000</formula>
    </cfRule>
  </conditionalFormatting>
  <conditionalFormatting sqref="AA13:AA20">
    <cfRule type="expression" dxfId="78" priority="49">
      <formula>ABS(AA$16-AA$19)&gt;=1000</formula>
    </cfRule>
  </conditionalFormatting>
  <conditionalFormatting sqref="AB13 AB15:AB20">
    <cfRule type="expression" dxfId="77" priority="48">
      <formula>ABS(AB$16-AB$19)&gt;=1000</formula>
    </cfRule>
  </conditionalFormatting>
  <conditionalFormatting sqref="AC13 AC15:AC20">
    <cfRule type="expression" dxfId="76" priority="47">
      <formula>ABS(AC$16-AC$19)&gt;=1000</formula>
    </cfRule>
  </conditionalFormatting>
  <conditionalFormatting sqref="AD13:AD20">
    <cfRule type="expression" dxfId="75" priority="46">
      <formula>ABS(AD$16-AD$19)&gt;=1000</formula>
    </cfRule>
  </conditionalFormatting>
  <conditionalFormatting sqref="AE13:AE20">
    <cfRule type="expression" dxfId="74" priority="45">
      <formula>ABS(AE$16-AE$19)&gt;=1000</formula>
    </cfRule>
  </conditionalFormatting>
  <conditionalFormatting sqref="D22:D29">
    <cfRule type="expression" dxfId="73" priority="44">
      <formula>ABS(D$25-D$28)&gt;=1000</formula>
    </cfRule>
  </conditionalFormatting>
  <conditionalFormatting sqref="E22:E29">
    <cfRule type="expression" dxfId="72" priority="43">
      <formula>ABS(E$25-E$28)&gt;=1000</formula>
    </cfRule>
  </conditionalFormatting>
  <conditionalFormatting sqref="F22:F29">
    <cfRule type="expression" dxfId="71" priority="42">
      <formula>ABS(F$25-F$28)&gt;=1000</formula>
    </cfRule>
  </conditionalFormatting>
  <conditionalFormatting sqref="G22:G29">
    <cfRule type="expression" dxfId="70" priority="41">
      <formula>ABS(G$25-G$28)&gt;=1000</formula>
    </cfRule>
  </conditionalFormatting>
  <conditionalFormatting sqref="H22:H29">
    <cfRule type="expression" dxfId="69" priority="40">
      <formula>ABS(H$25-H$28)&gt;=1000</formula>
    </cfRule>
  </conditionalFormatting>
  <conditionalFormatting sqref="I22 I24:I29">
    <cfRule type="expression" dxfId="68" priority="39">
      <formula>ABS(I$25-I$28)&gt;=1000</formula>
    </cfRule>
  </conditionalFormatting>
  <conditionalFormatting sqref="J22:J29 K22">
    <cfRule type="expression" dxfId="67" priority="38">
      <formula>ABS(J$25-J$28)&gt;=1000</formula>
    </cfRule>
  </conditionalFormatting>
  <conditionalFormatting sqref="K23:K29 L25 L28">
    <cfRule type="expression" dxfId="66" priority="37">
      <formula>ABS(K$25-K$28)&gt;=1000</formula>
    </cfRule>
  </conditionalFormatting>
  <conditionalFormatting sqref="L22 L26:L27 L29 L24">
    <cfRule type="expression" dxfId="65" priority="36">
      <formula>ABS(L$25-L$28)&gt;=1000</formula>
    </cfRule>
  </conditionalFormatting>
  <conditionalFormatting sqref="M22:M29">
    <cfRule type="expression" dxfId="64" priority="35">
      <formula>ABS(M$25-M$28)&gt;=1000</formula>
    </cfRule>
  </conditionalFormatting>
  <conditionalFormatting sqref="N22:N29">
    <cfRule type="expression" dxfId="63" priority="34">
      <formula>ABS(N$25-N$28)&gt;=1000</formula>
    </cfRule>
  </conditionalFormatting>
  <conditionalFormatting sqref="O22:O29">
    <cfRule type="expression" dxfId="62" priority="33">
      <formula>ABS(O$25-O$28)&gt;=1000</formula>
    </cfRule>
  </conditionalFormatting>
  <conditionalFormatting sqref="P22:P29">
    <cfRule type="expression" dxfId="61" priority="32">
      <formula>ABS(P$25-P$28)&gt;=1000</formula>
    </cfRule>
  </conditionalFormatting>
  <conditionalFormatting sqref="Q22:Q29">
    <cfRule type="expression" dxfId="60" priority="31">
      <formula>ABS(Q$25-Q$28)&gt;=1000</formula>
    </cfRule>
  </conditionalFormatting>
  <conditionalFormatting sqref="R22:R29">
    <cfRule type="expression" dxfId="59" priority="30">
      <formula>ABS(R$25-R$28)&gt;=1000</formula>
    </cfRule>
  </conditionalFormatting>
  <conditionalFormatting sqref="S22:S29">
    <cfRule type="expression" dxfId="58" priority="29">
      <formula>ABS(S$25-S$28)&gt;=1000</formula>
    </cfRule>
  </conditionalFormatting>
  <conditionalFormatting sqref="T22:T29">
    <cfRule type="expression" dxfId="57" priority="28">
      <formula>ABS(T$25-T$28)&gt;=1000</formula>
    </cfRule>
  </conditionalFormatting>
  <conditionalFormatting sqref="U22:U29">
    <cfRule type="expression" dxfId="56" priority="27">
      <formula>ABS(U$25-U$28)&gt;=1000</formula>
    </cfRule>
  </conditionalFormatting>
  <conditionalFormatting sqref="V22:V29">
    <cfRule type="expression" dxfId="55" priority="26">
      <formula>ABS(V$25-V$28)&gt;=1000</formula>
    </cfRule>
  </conditionalFormatting>
  <conditionalFormatting sqref="W22:W29">
    <cfRule type="expression" dxfId="54" priority="25">
      <formula>ABS(W$25-W$28)&gt;=1000</formula>
    </cfRule>
  </conditionalFormatting>
  <conditionalFormatting sqref="X22:X29">
    <cfRule type="expression" dxfId="53" priority="24">
      <formula>ABS(X$25-X$28)&gt;=1000</formula>
    </cfRule>
  </conditionalFormatting>
  <conditionalFormatting sqref="Y22:Y29">
    <cfRule type="expression" dxfId="52" priority="23">
      <formula>ABS(Y$25-Y$28)&gt;=1000</formula>
    </cfRule>
  </conditionalFormatting>
  <conditionalFormatting sqref="I23">
    <cfRule type="expression" dxfId="51" priority="22">
      <formula>ABS(I$25-I$28)&gt;=1000</formula>
    </cfRule>
  </conditionalFormatting>
  <conditionalFormatting sqref="Q14">
    <cfRule type="expression" dxfId="50" priority="21">
      <formula>ABS(Q$16-Q$19)&gt;=1000</formula>
    </cfRule>
  </conditionalFormatting>
  <conditionalFormatting sqref="W14">
    <cfRule type="expression" dxfId="49" priority="20">
      <formula>ABS(W$16-W$19)&gt;=1000</formula>
    </cfRule>
  </conditionalFormatting>
  <conditionalFormatting sqref="Y14">
    <cfRule type="expression" dxfId="48" priority="19">
      <formula>ABS(Y$16-Y$19)&gt;=1000</formula>
    </cfRule>
  </conditionalFormatting>
  <conditionalFormatting sqref="X14">
    <cfRule type="expression" dxfId="47" priority="18">
      <formula>ABS(X$16-X$19)&gt;=1000</formula>
    </cfRule>
  </conditionalFormatting>
  <conditionalFormatting sqref="T10:Y10">
    <cfRule type="expression" dxfId="46" priority="17">
      <formula>ABS(T$7-T$10)&gt;=1000</formula>
    </cfRule>
  </conditionalFormatting>
  <conditionalFormatting sqref="W19">
    <cfRule type="expression" dxfId="45" priority="16">
      <formula>ABS(W$16-W$19)&gt;=1000</formula>
    </cfRule>
  </conditionalFormatting>
  <conditionalFormatting sqref="AC5">
    <cfRule type="expression" dxfId="44" priority="15">
      <formula>ABS(AC$7-AC$10)&gt;=1000</formula>
    </cfRule>
  </conditionalFormatting>
  <conditionalFormatting sqref="M14">
    <cfRule type="expression" dxfId="43" priority="14">
      <formula>ABS(M$16-M$19)&gt;=1000</formula>
    </cfRule>
  </conditionalFormatting>
  <conditionalFormatting sqref="M16">
    <cfRule type="expression" dxfId="42" priority="13">
      <formula>ABS(M$16-M$19)&gt;=1000</formula>
    </cfRule>
  </conditionalFormatting>
  <conditionalFormatting sqref="M19">
    <cfRule type="expression" dxfId="41" priority="12">
      <formula>ABS(M$16-M$19)&gt;=1000</formula>
    </cfRule>
  </conditionalFormatting>
  <conditionalFormatting sqref="K13:K20">
    <cfRule type="expression" dxfId="40" priority="11">
      <formula>ABS(K$16-K$19)&gt;=1000</formula>
    </cfRule>
  </conditionalFormatting>
  <conditionalFormatting sqref="E5">
    <cfRule type="expression" dxfId="39" priority="10">
      <formula>ABS(E$7-E$10)&gt;=1000</formula>
    </cfRule>
  </conditionalFormatting>
  <conditionalFormatting sqref="AB14:AC14">
    <cfRule type="expression" dxfId="38" priority="9">
      <formula>ABS(AB$16-AB$19)&gt;=1000</formula>
    </cfRule>
  </conditionalFormatting>
  <conditionalFormatting sqref="M5">
    <cfRule type="expression" dxfId="37" priority="8">
      <formula>ABS(M$7-M$10)&gt;=1000</formula>
    </cfRule>
  </conditionalFormatting>
  <conditionalFormatting sqref="N5">
    <cfRule type="expression" dxfId="36" priority="7">
      <formula>ABS(N$7-N$10)&gt;=1000</formula>
    </cfRule>
  </conditionalFormatting>
  <conditionalFormatting sqref="O5">
    <cfRule type="expression" dxfId="35" priority="6">
      <formula>ABS(O$7-O$10)&gt;=1000</formula>
    </cfRule>
  </conditionalFormatting>
  <conditionalFormatting sqref="P5">
    <cfRule type="expression" dxfId="34" priority="5">
      <formula>ABS(P$7-P$10)&gt;=1000</formula>
    </cfRule>
  </conditionalFormatting>
  <conditionalFormatting sqref="L23">
    <cfRule type="expression" dxfId="33" priority="4">
      <formula>ABS(L$25-L$28)&gt;=1000</formula>
    </cfRule>
  </conditionalFormatting>
  <conditionalFormatting sqref="F14">
    <cfRule type="expression" dxfId="32" priority="3">
      <formula>ABS(F$16-F$19)&gt;=1000</formula>
    </cfRule>
  </conditionalFormatting>
  <conditionalFormatting sqref="AE5">
    <cfRule type="expression" dxfId="31" priority="2">
      <formula>ABS(AE$25-AE$28)&gt;=1000</formula>
    </cfRule>
  </conditionalFormatting>
  <conditionalFormatting sqref="H14">
    <cfRule type="expression" dxfId="30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66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已命名的範圍</vt:lpstr>
      </vt:variant>
      <vt:variant>
        <vt:i4>25</vt:i4>
      </vt:variant>
    </vt:vector>
  </HeadingPairs>
  <TitlesOfParts>
    <vt:vector size="50" baseType="lpstr">
      <vt:lpstr>新增</vt:lpstr>
      <vt:lpstr>密度</vt:lpstr>
      <vt:lpstr>11.28</vt:lpstr>
      <vt:lpstr>12.1</vt:lpstr>
      <vt:lpstr>12.2</vt:lpstr>
      <vt:lpstr>12.3</vt:lpstr>
      <vt:lpstr>12.4</vt:lpstr>
      <vt:lpstr>12.5</vt:lpstr>
      <vt:lpstr>12.8</vt:lpstr>
      <vt:lpstr>12.9</vt:lpstr>
      <vt:lpstr>12.10</vt:lpstr>
      <vt:lpstr>12.11</vt:lpstr>
      <vt:lpstr>12.12</vt:lpstr>
      <vt:lpstr>12.15</vt:lpstr>
      <vt:lpstr>12.16</vt:lpstr>
      <vt:lpstr>12.17</vt:lpstr>
      <vt:lpstr>12.18</vt:lpstr>
      <vt:lpstr>12.19</vt:lpstr>
      <vt:lpstr>12.22</vt:lpstr>
      <vt:lpstr>12.23</vt:lpstr>
      <vt:lpstr>12.24</vt:lpstr>
      <vt:lpstr>12.26</vt:lpstr>
      <vt:lpstr>12.29</vt:lpstr>
      <vt:lpstr>12.30</vt:lpstr>
      <vt:lpstr>12.31</vt:lpstr>
      <vt:lpstr>'11.28'!Print_Area</vt:lpstr>
      <vt:lpstr>'12.1'!Print_Area</vt:lpstr>
      <vt:lpstr>'12.10'!Print_Area</vt:lpstr>
      <vt:lpstr>'12.11'!Print_Area</vt:lpstr>
      <vt:lpstr>'12.12'!Print_Area</vt:lpstr>
      <vt:lpstr>'12.15'!Print_Area</vt:lpstr>
      <vt:lpstr>'12.16'!Print_Area</vt:lpstr>
      <vt:lpstr>'12.17'!Print_Area</vt:lpstr>
      <vt:lpstr>'12.18'!Print_Area</vt:lpstr>
      <vt:lpstr>'12.19'!Print_Area</vt:lpstr>
      <vt:lpstr>'12.2'!Print_Area</vt:lpstr>
      <vt:lpstr>'12.22'!Print_Area</vt:lpstr>
      <vt:lpstr>'12.23'!Print_Area</vt:lpstr>
      <vt:lpstr>'12.24'!Print_Area</vt:lpstr>
      <vt:lpstr>'12.26'!Print_Area</vt:lpstr>
      <vt:lpstr>'12.29'!Print_Area</vt:lpstr>
      <vt:lpstr>'12.3'!Print_Area</vt:lpstr>
      <vt:lpstr>'12.30'!Print_Area</vt:lpstr>
      <vt:lpstr>'12.31'!Print_Area</vt:lpstr>
      <vt:lpstr>'12.4'!Print_Area</vt:lpstr>
      <vt:lpstr>'12.5'!Print_Area</vt:lpstr>
      <vt:lpstr>'12.8'!Print_Area</vt:lpstr>
      <vt:lpstr>'12.9'!Print_Area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2025-12-31T07:13:50Z</cp:lastPrinted>
  <dcterms:created xsi:type="dcterms:W3CDTF">2006-09-16T00:00:00Z</dcterms:created>
  <dcterms:modified xsi:type="dcterms:W3CDTF">2026-01-01T00:28:23Z</dcterms:modified>
</cp:coreProperties>
</file>