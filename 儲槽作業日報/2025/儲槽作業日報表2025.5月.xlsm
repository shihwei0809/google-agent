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!儲槽作業日報\儲槽作業日報\2025\"/>
    </mc:Choice>
  </mc:AlternateContent>
  <xr:revisionPtr revIDLastSave="0" documentId="13_ncr:1_{A4C70247-E04F-48EA-81DF-47DA1ED9072C}" xr6:coauthVersionLast="36" xr6:coauthVersionMax="36" xr10:uidLastSave="{00000000-0000-0000-0000-000000000000}"/>
  <bookViews>
    <workbookView minimized="1" xWindow="0" yWindow="0" windowWidth="2160" windowHeight="0" firstSheet="7" activeTab="20" xr2:uid="{00000000-000D-0000-FFFF-FFFF00000000}"/>
  </bookViews>
  <sheets>
    <sheet name="新增" sheetId="1727" r:id="rId1"/>
    <sheet name="密度" sheetId="13" r:id="rId2"/>
    <sheet name="4.30" sheetId="1876" r:id="rId3"/>
    <sheet name="5.1" sheetId="1877" r:id="rId4"/>
    <sheet name="5.2" sheetId="1878" r:id="rId5"/>
    <sheet name="5.5" sheetId="1879" r:id="rId6"/>
    <sheet name="5.6" sheetId="1880" r:id="rId7"/>
    <sheet name="5.7" sheetId="1881" r:id="rId8"/>
    <sheet name="5.8" sheetId="1882" r:id="rId9"/>
    <sheet name="5.9" sheetId="1883" r:id="rId10"/>
    <sheet name="5.12" sheetId="1884" r:id="rId11"/>
    <sheet name="5.13" sheetId="1885" r:id="rId12"/>
    <sheet name="5.14" sheetId="1886" r:id="rId13"/>
    <sheet name="5.15" sheetId="1887" r:id="rId14"/>
    <sheet name="5.16" sheetId="1888" r:id="rId15"/>
    <sheet name="5.19" sheetId="1889" r:id="rId16"/>
    <sheet name="5.20" sheetId="1890" r:id="rId17"/>
    <sheet name="5.21" sheetId="1891" r:id="rId18"/>
    <sheet name="5.22" sheetId="1893" r:id="rId19"/>
    <sheet name="5.23" sheetId="1894" r:id="rId20"/>
    <sheet name="5.26" sheetId="1895" r:id="rId21"/>
    <sheet name="5.27" sheetId="1896" r:id="rId22"/>
    <sheet name="5.28" sheetId="1897" r:id="rId23"/>
    <sheet name="5.29" sheetId="1898" r:id="rId24"/>
  </sheets>
  <definedNames>
    <definedName name="_xlnm.Print_Area" localSheetId="2">'4.30'!$B$1:$AE$36</definedName>
    <definedName name="_xlnm.Print_Area" localSheetId="3">'5.1'!$B$1:$AE$36</definedName>
    <definedName name="_xlnm.Print_Area" localSheetId="10">'5.12'!$B$1:$AE$36</definedName>
    <definedName name="_xlnm.Print_Area" localSheetId="11">'5.13'!$B$1:$AE$36</definedName>
    <definedName name="_xlnm.Print_Area" localSheetId="12">'5.14'!$B$1:$AE$36</definedName>
    <definedName name="_xlnm.Print_Area" localSheetId="13">'5.15'!$B$1:$AE$36</definedName>
    <definedName name="_xlnm.Print_Area" localSheetId="14">'5.16'!$B$1:$AE$36</definedName>
    <definedName name="_xlnm.Print_Area" localSheetId="15">'5.19'!$B$1:$AE$36</definedName>
    <definedName name="_xlnm.Print_Area" localSheetId="4">'5.2'!$B$1:$AE$36</definedName>
    <definedName name="_xlnm.Print_Area" localSheetId="16">'5.20'!$B$1:$AE$36</definedName>
    <definedName name="_xlnm.Print_Area" localSheetId="17">'5.21'!$B$1:$AE$36</definedName>
    <definedName name="_xlnm.Print_Area" localSheetId="18">'5.22'!$B$1:$AE$36</definedName>
    <definedName name="_xlnm.Print_Area" localSheetId="19">'5.23'!$B$1:$AE$36</definedName>
    <definedName name="_xlnm.Print_Area" localSheetId="20">'5.26'!$B$1:$AE$36</definedName>
    <definedName name="_xlnm.Print_Area" localSheetId="21">'5.27'!$B$1:$AE$36</definedName>
    <definedName name="_xlnm.Print_Area" localSheetId="22">'5.28'!$B$1:$AE$36</definedName>
    <definedName name="_xlnm.Print_Area" localSheetId="23">'5.29'!$B$1:$AE$36</definedName>
    <definedName name="_xlnm.Print_Area" localSheetId="5">'5.5'!$B$1:$AE$36</definedName>
    <definedName name="_xlnm.Print_Area" localSheetId="6">'5.6'!$B$1:$AE$36</definedName>
    <definedName name="_xlnm.Print_Area" localSheetId="7">'5.7'!$B$1:$AE$36</definedName>
    <definedName name="_xlnm.Print_Area" localSheetId="8">'5.8'!$B$1:$AE$36</definedName>
    <definedName name="_xlnm.Print_Area" localSheetId="9">'5.9'!$B$1:$AE$36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'4.30'!$B$3:$AE$36</definedName>
    <definedName name="Z_512059F6_F0DC_4056_8FD0_37088AB81F9E_.wvu.PrintArea" localSheetId="3" hidden="1">'5.1'!$B$3:$AE$36</definedName>
    <definedName name="Z_512059F6_F0DC_4056_8FD0_37088AB81F9E_.wvu.PrintArea" localSheetId="10" hidden="1">'5.12'!$B$3:$AE$36</definedName>
    <definedName name="Z_512059F6_F0DC_4056_8FD0_37088AB81F9E_.wvu.PrintArea" localSheetId="11" hidden="1">'5.13'!$B$3:$AE$36</definedName>
    <definedName name="Z_512059F6_F0DC_4056_8FD0_37088AB81F9E_.wvu.PrintArea" localSheetId="12" hidden="1">'5.14'!$B$3:$AE$36</definedName>
    <definedName name="Z_512059F6_F0DC_4056_8FD0_37088AB81F9E_.wvu.PrintArea" localSheetId="13" hidden="1">'5.15'!$B$3:$AE$36</definedName>
    <definedName name="Z_512059F6_F0DC_4056_8FD0_37088AB81F9E_.wvu.PrintArea" localSheetId="14" hidden="1">'5.16'!$B$3:$AE$36</definedName>
    <definedName name="Z_512059F6_F0DC_4056_8FD0_37088AB81F9E_.wvu.PrintArea" localSheetId="15" hidden="1">'5.19'!$B$3:$AE$36</definedName>
    <definedName name="Z_512059F6_F0DC_4056_8FD0_37088AB81F9E_.wvu.PrintArea" localSheetId="4" hidden="1">'5.2'!$B$3:$AE$36</definedName>
    <definedName name="Z_512059F6_F0DC_4056_8FD0_37088AB81F9E_.wvu.PrintArea" localSheetId="16" hidden="1">'5.20'!$B$3:$AE$36</definedName>
    <definedName name="Z_512059F6_F0DC_4056_8FD0_37088AB81F9E_.wvu.PrintArea" localSheetId="17" hidden="1">'5.21'!$B$3:$AE$36</definedName>
    <definedName name="Z_512059F6_F0DC_4056_8FD0_37088AB81F9E_.wvu.PrintArea" localSheetId="18" hidden="1">'5.22'!$B$3:$AE$36</definedName>
    <definedName name="Z_512059F6_F0DC_4056_8FD0_37088AB81F9E_.wvu.PrintArea" localSheetId="19" hidden="1">'5.23'!$B$3:$AE$36</definedName>
    <definedName name="Z_512059F6_F0DC_4056_8FD0_37088AB81F9E_.wvu.PrintArea" localSheetId="20" hidden="1">'5.26'!$B$3:$AE$36</definedName>
    <definedName name="Z_512059F6_F0DC_4056_8FD0_37088AB81F9E_.wvu.PrintArea" localSheetId="21" hidden="1">'5.27'!$B$3:$AE$36</definedName>
    <definedName name="Z_512059F6_F0DC_4056_8FD0_37088AB81F9E_.wvu.PrintArea" localSheetId="22" hidden="1">'5.28'!$B$3:$AE$36</definedName>
    <definedName name="Z_512059F6_F0DC_4056_8FD0_37088AB81F9E_.wvu.PrintArea" localSheetId="23" hidden="1">'5.29'!$B$3:$AE$36</definedName>
    <definedName name="Z_512059F6_F0DC_4056_8FD0_37088AB81F9E_.wvu.PrintArea" localSheetId="5" hidden="1">'5.5'!$B$3:$AE$36</definedName>
    <definedName name="Z_512059F6_F0DC_4056_8FD0_37088AB81F9E_.wvu.PrintArea" localSheetId="6" hidden="1">'5.6'!$B$3:$AE$36</definedName>
    <definedName name="Z_512059F6_F0DC_4056_8FD0_37088AB81F9E_.wvu.PrintArea" localSheetId="7" hidden="1">'5.7'!$B$3:$AE$36</definedName>
    <definedName name="Z_512059F6_F0DC_4056_8FD0_37088AB81F9E_.wvu.PrintArea" localSheetId="8" hidden="1">'5.8'!$B$3:$AE$36</definedName>
    <definedName name="Z_512059F6_F0DC_4056_8FD0_37088AB81F9E_.wvu.PrintArea" localSheetId="9" hidden="1">'5.9'!$B$3:$AE$36</definedName>
    <definedName name="Z_68643476_8805_447E_8170_A582EA1D0343_.wvu.PrintArea" localSheetId="2" hidden="1">'4.30'!$B$3:$AE$36</definedName>
    <definedName name="Z_68643476_8805_447E_8170_A582EA1D0343_.wvu.PrintArea" localSheetId="3" hidden="1">'5.1'!$B$3:$AE$36</definedName>
    <definedName name="Z_68643476_8805_447E_8170_A582EA1D0343_.wvu.PrintArea" localSheetId="10" hidden="1">'5.12'!$B$3:$AE$36</definedName>
    <definedName name="Z_68643476_8805_447E_8170_A582EA1D0343_.wvu.PrintArea" localSheetId="11" hidden="1">'5.13'!$B$3:$AE$36</definedName>
    <definedName name="Z_68643476_8805_447E_8170_A582EA1D0343_.wvu.PrintArea" localSheetId="12" hidden="1">'5.14'!$B$3:$AE$36</definedName>
    <definedName name="Z_68643476_8805_447E_8170_A582EA1D0343_.wvu.PrintArea" localSheetId="13" hidden="1">'5.15'!$B$3:$AE$36</definedName>
    <definedName name="Z_68643476_8805_447E_8170_A582EA1D0343_.wvu.PrintArea" localSheetId="14" hidden="1">'5.16'!$B$3:$AE$36</definedName>
    <definedName name="Z_68643476_8805_447E_8170_A582EA1D0343_.wvu.PrintArea" localSheetId="15" hidden="1">'5.19'!$B$3:$AE$36</definedName>
    <definedName name="Z_68643476_8805_447E_8170_A582EA1D0343_.wvu.PrintArea" localSheetId="4" hidden="1">'5.2'!$B$3:$AE$36</definedName>
    <definedName name="Z_68643476_8805_447E_8170_A582EA1D0343_.wvu.PrintArea" localSheetId="16" hidden="1">'5.20'!$B$3:$AE$36</definedName>
    <definedName name="Z_68643476_8805_447E_8170_A582EA1D0343_.wvu.PrintArea" localSheetId="17" hidden="1">'5.21'!$B$3:$AE$36</definedName>
    <definedName name="Z_68643476_8805_447E_8170_A582EA1D0343_.wvu.PrintArea" localSheetId="18" hidden="1">'5.22'!$B$3:$AE$36</definedName>
    <definedName name="Z_68643476_8805_447E_8170_A582EA1D0343_.wvu.PrintArea" localSheetId="19" hidden="1">'5.23'!$B$3:$AE$36</definedName>
    <definedName name="Z_68643476_8805_447E_8170_A582EA1D0343_.wvu.PrintArea" localSheetId="20" hidden="1">'5.26'!$B$3:$AE$36</definedName>
    <definedName name="Z_68643476_8805_447E_8170_A582EA1D0343_.wvu.PrintArea" localSheetId="21" hidden="1">'5.27'!$B$3:$AE$36</definedName>
    <definedName name="Z_68643476_8805_447E_8170_A582EA1D0343_.wvu.PrintArea" localSheetId="22" hidden="1">'5.28'!$B$3:$AE$36</definedName>
    <definedName name="Z_68643476_8805_447E_8170_A582EA1D0343_.wvu.PrintArea" localSheetId="23" hidden="1">'5.29'!$B$3:$AE$36</definedName>
    <definedName name="Z_68643476_8805_447E_8170_A582EA1D0343_.wvu.PrintArea" localSheetId="5" hidden="1">'5.5'!$B$3:$AE$36</definedName>
    <definedName name="Z_68643476_8805_447E_8170_A582EA1D0343_.wvu.PrintArea" localSheetId="6" hidden="1">'5.6'!$B$3:$AE$36</definedName>
    <definedName name="Z_68643476_8805_447E_8170_A582EA1D0343_.wvu.PrintArea" localSheetId="7" hidden="1">'5.7'!$B$3:$AE$36</definedName>
    <definedName name="Z_68643476_8805_447E_8170_A582EA1D0343_.wvu.PrintArea" localSheetId="8" hidden="1">'5.8'!$B$3:$AE$36</definedName>
    <definedName name="Z_68643476_8805_447E_8170_A582EA1D0343_.wvu.PrintArea" localSheetId="9" hidden="1">'5.9'!$B$3:$AE$36</definedName>
    <definedName name="Z_8E5926ED_4EBD_4129_B8FF_799CC47580D7_.wvu.PrintArea" localSheetId="2" hidden="1">'4.30'!$B$3:$AE$36</definedName>
    <definedName name="Z_8E5926ED_4EBD_4129_B8FF_799CC47580D7_.wvu.PrintArea" localSheetId="3" hidden="1">'5.1'!$B$3:$AE$36</definedName>
    <definedName name="Z_8E5926ED_4EBD_4129_B8FF_799CC47580D7_.wvu.PrintArea" localSheetId="10" hidden="1">'5.12'!$B$3:$AE$36</definedName>
    <definedName name="Z_8E5926ED_4EBD_4129_B8FF_799CC47580D7_.wvu.PrintArea" localSheetId="11" hidden="1">'5.13'!$B$3:$AE$36</definedName>
    <definedName name="Z_8E5926ED_4EBD_4129_B8FF_799CC47580D7_.wvu.PrintArea" localSheetId="12" hidden="1">'5.14'!$B$3:$AE$36</definedName>
    <definedName name="Z_8E5926ED_4EBD_4129_B8FF_799CC47580D7_.wvu.PrintArea" localSheetId="13" hidden="1">'5.15'!$B$3:$AE$36</definedName>
    <definedName name="Z_8E5926ED_4EBD_4129_B8FF_799CC47580D7_.wvu.PrintArea" localSheetId="14" hidden="1">'5.16'!$B$3:$AE$36</definedName>
    <definedName name="Z_8E5926ED_4EBD_4129_B8FF_799CC47580D7_.wvu.PrintArea" localSheetId="15" hidden="1">'5.19'!$B$3:$AE$36</definedName>
    <definedName name="Z_8E5926ED_4EBD_4129_B8FF_799CC47580D7_.wvu.PrintArea" localSheetId="4" hidden="1">'5.2'!$B$3:$AE$36</definedName>
    <definedName name="Z_8E5926ED_4EBD_4129_B8FF_799CC47580D7_.wvu.PrintArea" localSheetId="16" hidden="1">'5.20'!$B$3:$AE$36</definedName>
    <definedName name="Z_8E5926ED_4EBD_4129_B8FF_799CC47580D7_.wvu.PrintArea" localSheetId="17" hidden="1">'5.21'!$B$3:$AE$36</definedName>
    <definedName name="Z_8E5926ED_4EBD_4129_B8FF_799CC47580D7_.wvu.PrintArea" localSheetId="18" hidden="1">'5.22'!$B$3:$AE$36</definedName>
    <definedName name="Z_8E5926ED_4EBD_4129_B8FF_799CC47580D7_.wvu.PrintArea" localSheetId="19" hidden="1">'5.23'!$B$3:$AE$36</definedName>
    <definedName name="Z_8E5926ED_4EBD_4129_B8FF_799CC47580D7_.wvu.PrintArea" localSheetId="20" hidden="1">'5.26'!$B$3:$AE$36</definedName>
    <definedName name="Z_8E5926ED_4EBD_4129_B8FF_799CC47580D7_.wvu.PrintArea" localSheetId="21" hidden="1">'5.27'!$B$3:$AE$36</definedName>
    <definedName name="Z_8E5926ED_4EBD_4129_B8FF_799CC47580D7_.wvu.PrintArea" localSheetId="22" hidden="1">'5.28'!$B$3:$AE$36</definedName>
    <definedName name="Z_8E5926ED_4EBD_4129_B8FF_799CC47580D7_.wvu.PrintArea" localSheetId="23" hidden="1">'5.29'!$B$3:$AE$36</definedName>
    <definedName name="Z_8E5926ED_4EBD_4129_B8FF_799CC47580D7_.wvu.PrintArea" localSheetId="5" hidden="1">'5.5'!$B$3:$AE$36</definedName>
    <definedName name="Z_8E5926ED_4EBD_4129_B8FF_799CC47580D7_.wvu.PrintArea" localSheetId="6" hidden="1">'5.6'!$B$3:$AE$36</definedName>
    <definedName name="Z_8E5926ED_4EBD_4129_B8FF_799CC47580D7_.wvu.PrintArea" localSheetId="7" hidden="1">'5.7'!$B$3:$AE$36</definedName>
    <definedName name="Z_8E5926ED_4EBD_4129_B8FF_799CC47580D7_.wvu.PrintArea" localSheetId="8" hidden="1">'5.8'!$B$3:$AE$36</definedName>
    <definedName name="Z_8E5926ED_4EBD_4129_B8FF_799CC47580D7_.wvu.PrintArea" localSheetId="9" hidden="1">'5.9'!$B$3:$AE$36</definedName>
    <definedName name="Z_8FA8B620_C56C_11DB_A857_00055D5FD5FF_.wvu.PrintArea" localSheetId="2" hidden="1">'4.30'!$B$3:$AE$36</definedName>
    <definedName name="Z_8FA8B620_C56C_11DB_A857_00055D5FD5FF_.wvu.PrintArea" localSheetId="3" hidden="1">'5.1'!$B$3:$AE$36</definedName>
    <definedName name="Z_8FA8B620_C56C_11DB_A857_00055D5FD5FF_.wvu.PrintArea" localSheetId="10" hidden="1">'5.12'!$B$3:$AE$36</definedName>
    <definedName name="Z_8FA8B620_C56C_11DB_A857_00055D5FD5FF_.wvu.PrintArea" localSheetId="11" hidden="1">'5.13'!$B$3:$AE$36</definedName>
    <definedName name="Z_8FA8B620_C56C_11DB_A857_00055D5FD5FF_.wvu.PrintArea" localSheetId="12" hidden="1">'5.14'!$B$3:$AE$36</definedName>
    <definedName name="Z_8FA8B620_C56C_11DB_A857_00055D5FD5FF_.wvu.PrintArea" localSheetId="13" hidden="1">'5.15'!$B$3:$AE$36</definedName>
    <definedName name="Z_8FA8B620_C56C_11DB_A857_00055D5FD5FF_.wvu.PrintArea" localSheetId="14" hidden="1">'5.16'!$B$3:$AE$36</definedName>
    <definedName name="Z_8FA8B620_C56C_11DB_A857_00055D5FD5FF_.wvu.PrintArea" localSheetId="15" hidden="1">'5.19'!$B$3:$AE$36</definedName>
    <definedName name="Z_8FA8B620_C56C_11DB_A857_00055D5FD5FF_.wvu.PrintArea" localSheetId="4" hidden="1">'5.2'!$B$3:$AE$36</definedName>
    <definedName name="Z_8FA8B620_C56C_11DB_A857_00055D5FD5FF_.wvu.PrintArea" localSheetId="16" hidden="1">'5.20'!$B$3:$AE$36</definedName>
    <definedName name="Z_8FA8B620_C56C_11DB_A857_00055D5FD5FF_.wvu.PrintArea" localSheetId="17" hidden="1">'5.21'!$B$3:$AE$36</definedName>
    <definedName name="Z_8FA8B620_C56C_11DB_A857_00055D5FD5FF_.wvu.PrintArea" localSheetId="18" hidden="1">'5.22'!$B$3:$AE$36</definedName>
    <definedName name="Z_8FA8B620_C56C_11DB_A857_00055D5FD5FF_.wvu.PrintArea" localSheetId="19" hidden="1">'5.23'!$B$3:$AE$36</definedName>
    <definedName name="Z_8FA8B620_C56C_11DB_A857_00055D5FD5FF_.wvu.PrintArea" localSheetId="20" hidden="1">'5.26'!$B$3:$AE$36</definedName>
    <definedName name="Z_8FA8B620_C56C_11DB_A857_00055D5FD5FF_.wvu.PrintArea" localSheetId="21" hidden="1">'5.27'!$B$3:$AE$36</definedName>
    <definedName name="Z_8FA8B620_C56C_11DB_A857_00055D5FD5FF_.wvu.PrintArea" localSheetId="22" hidden="1">'5.28'!$B$3:$AE$36</definedName>
    <definedName name="Z_8FA8B620_C56C_11DB_A857_00055D5FD5FF_.wvu.PrintArea" localSheetId="23" hidden="1">'5.29'!$B$3:$AE$36</definedName>
    <definedName name="Z_8FA8B620_C56C_11DB_A857_00055D5FD5FF_.wvu.PrintArea" localSheetId="5" hidden="1">'5.5'!$B$3:$AE$36</definedName>
    <definedName name="Z_8FA8B620_C56C_11DB_A857_00055D5FD5FF_.wvu.PrintArea" localSheetId="6" hidden="1">'5.6'!$B$3:$AE$36</definedName>
    <definedName name="Z_8FA8B620_C56C_11DB_A857_00055D5FD5FF_.wvu.PrintArea" localSheetId="7" hidden="1">'5.7'!$B$3:$AE$36</definedName>
    <definedName name="Z_8FA8B620_C56C_11DB_A857_00055D5FD5FF_.wvu.PrintArea" localSheetId="8" hidden="1">'5.8'!$B$3:$AE$36</definedName>
    <definedName name="Z_8FA8B620_C56C_11DB_A857_00055D5FD5FF_.wvu.PrintArea" localSheetId="9" hidden="1">'5.9'!$B$3:$AE$36</definedName>
    <definedName name="Z_A3DB5619_047E_4CE2_8C39_700CFD25F2CB_.wvu.PrintArea" localSheetId="2" hidden="1">'4.30'!$B$3:$AE$36</definedName>
    <definedName name="Z_A3DB5619_047E_4CE2_8C39_700CFD25F2CB_.wvu.PrintArea" localSheetId="3" hidden="1">'5.1'!$B$3:$AE$36</definedName>
    <definedName name="Z_A3DB5619_047E_4CE2_8C39_700CFD25F2CB_.wvu.PrintArea" localSheetId="10" hidden="1">'5.12'!$B$3:$AE$36</definedName>
    <definedName name="Z_A3DB5619_047E_4CE2_8C39_700CFD25F2CB_.wvu.PrintArea" localSheetId="11" hidden="1">'5.13'!$B$3:$AE$36</definedName>
    <definedName name="Z_A3DB5619_047E_4CE2_8C39_700CFD25F2CB_.wvu.PrintArea" localSheetId="12" hidden="1">'5.14'!$B$3:$AE$36</definedName>
    <definedName name="Z_A3DB5619_047E_4CE2_8C39_700CFD25F2CB_.wvu.PrintArea" localSheetId="13" hidden="1">'5.15'!$B$3:$AE$36</definedName>
    <definedName name="Z_A3DB5619_047E_4CE2_8C39_700CFD25F2CB_.wvu.PrintArea" localSheetId="14" hidden="1">'5.16'!$B$3:$AE$36</definedName>
    <definedName name="Z_A3DB5619_047E_4CE2_8C39_700CFD25F2CB_.wvu.PrintArea" localSheetId="15" hidden="1">'5.19'!$B$3:$AE$36</definedName>
    <definedName name="Z_A3DB5619_047E_4CE2_8C39_700CFD25F2CB_.wvu.PrintArea" localSheetId="4" hidden="1">'5.2'!$B$3:$AE$36</definedName>
    <definedName name="Z_A3DB5619_047E_4CE2_8C39_700CFD25F2CB_.wvu.PrintArea" localSheetId="16" hidden="1">'5.20'!$B$3:$AE$36</definedName>
    <definedName name="Z_A3DB5619_047E_4CE2_8C39_700CFD25F2CB_.wvu.PrintArea" localSheetId="17" hidden="1">'5.21'!$B$3:$AE$36</definedName>
    <definedName name="Z_A3DB5619_047E_4CE2_8C39_700CFD25F2CB_.wvu.PrintArea" localSheetId="18" hidden="1">'5.22'!$B$3:$AE$36</definedName>
    <definedName name="Z_A3DB5619_047E_4CE2_8C39_700CFD25F2CB_.wvu.PrintArea" localSheetId="19" hidden="1">'5.23'!$B$3:$AE$36</definedName>
    <definedName name="Z_A3DB5619_047E_4CE2_8C39_700CFD25F2CB_.wvu.PrintArea" localSheetId="20" hidden="1">'5.26'!$B$3:$AE$36</definedName>
    <definedName name="Z_A3DB5619_047E_4CE2_8C39_700CFD25F2CB_.wvu.PrintArea" localSheetId="21" hidden="1">'5.27'!$B$3:$AE$36</definedName>
    <definedName name="Z_A3DB5619_047E_4CE2_8C39_700CFD25F2CB_.wvu.PrintArea" localSheetId="22" hidden="1">'5.28'!$B$3:$AE$36</definedName>
    <definedName name="Z_A3DB5619_047E_4CE2_8C39_700CFD25F2CB_.wvu.PrintArea" localSheetId="23" hidden="1">'5.29'!$B$3:$AE$36</definedName>
    <definedName name="Z_A3DB5619_047E_4CE2_8C39_700CFD25F2CB_.wvu.PrintArea" localSheetId="5" hidden="1">'5.5'!$B$3:$AE$36</definedName>
    <definedName name="Z_A3DB5619_047E_4CE2_8C39_700CFD25F2CB_.wvu.PrintArea" localSheetId="6" hidden="1">'5.6'!$B$3:$AE$36</definedName>
    <definedName name="Z_A3DB5619_047E_4CE2_8C39_700CFD25F2CB_.wvu.PrintArea" localSheetId="7" hidden="1">'5.7'!$B$3:$AE$36</definedName>
    <definedName name="Z_A3DB5619_047E_4CE2_8C39_700CFD25F2CB_.wvu.PrintArea" localSheetId="8" hidden="1">'5.8'!$B$3:$AE$36</definedName>
    <definedName name="Z_A3DB5619_047E_4CE2_8C39_700CFD25F2CB_.wvu.PrintArea" localSheetId="9" hidden="1">'5.9'!$B$3:$AE$36</definedName>
    <definedName name="Z_D903F940_B812_11DB_B168_0010B575B8B2_.wvu.PrintArea" localSheetId="2" hidden="1">'4.30'!$B$3:$AE$36</definedName>
    <definedName name="Z_D903F940_B812_11DB_B168_0010B575B8B2_.wvu.PrintArea" localSheetId="3" hidden="1">'5.1'!$B$3:$AE$36</definedName>
    <definedName name="Z_D903F940_B812_11DB_B168_0010B575B8B2_.wvu.PrintArea" localSheetId="10" hidden="1">'5.12'!$B$3:$AE$36</definedName>
    <definedName name="Z_D903F940_B812_11DB_B168_0010B575B8B2_.wvu.PrintArea" localSheetId="11" hidden="1">'5.13'!$B$3:$AE$36</definedName>
    <definedName name="Z_D903F940_B812_11DB_B168_0010B575B8B2_.wvu.PrintArea" localSheetId="12" hidden="1">'5.14'!$B$3:$AE$36</definedName>
    <definedName name="Z_D903F940_B812_11DB_B168_0010B575B8B2_.wvu.PrintArea" localSheetId="13" hidden="1">'5.15'!$B$3:$AE$36</definedName>
    <definedName name="Z_D903F940_B812_11DB_B168_0010B575B8B2_.wvu.PrintArea" localSheetId="14" hidden="1">'5.16'!$B$3:$AE$36</definedName>
    <definedName name="Z_D903F940_B812_11DB_B168_0010B575B8B2_.wvu.PrintArea" localSheetId="15" hidden="1">'5.19'!$B$3:$AE$36</definedName>
    <definedName name="Z_D903F940_B812_11DB_B168_0010B575B8B2_.wvu.PrintArea" localSheetId="4" hidden="1">'5.2'!$B$3:$AE$36</definedName>
    <definedName name="Z_D903F940_B812_11DB_B168_0010B575B8B2_.wvu.PrintArea" localSheetId="16" hidden="1">'5.20'!$B$3:$AE$36</definedName>
    <definedName name="Z_D903F940_B812_11DB_B168_0010B575B8B2_.wvu.PrintArea" localSheetId="17" hidden="1">'5.21'!$B$3:$AE$36</definedName>
    <definedName name="Z_D903F940_B812_11DB_B168_0010B575B8B2_.wvu.PrintArea" localSheetId="18" hidden="1">'5.22'!$B$3:$AE$36</definedName>
    <definedName name="Z_D903F940_B812_11DB_B168_0010B575B8B2_.wvu.PrintArea" localSheetId="19" hidden="1">'5.23'!$B$3:$AE$36</definedName>
    <definedName name="Z_D903F940_B812_11DB_B168_0010B575B8B2_.wvu.PrintArea" localSheetId="20" hidden="1">'5.26'!$B$3:$AE$36</definedName>
    <definedName name="Z_D903F940_B812_11DB_B168_0010B575B8B2_.wvu.PrintArea" localSheetId="21" hidden="1">'5.27'!$B$3:$AE$36</definedName>
    <definedName name="Z_D903F940_B812_11DB_B168_0010B575B8B2_.wvu.PrintArea" localSheetId="22" hidden="1">'5.28'!$B$3:$AE$36</definedName>
    <definedName name="Z_D903F940_B812_11DB_B168_0010B575B8B2_.wvu.PrintArea" localSheetId="23" hidden="1">'5.29'!$B$3:$AE$36</definedName>
    <definedName name="Z_D903F940_B812_11DB_B168_0010B575B8B2_.wvu.PrintArea" localSheetId="5" hidden="1">'5.5'!$B$3:$AE$36</definedName>
    <definedName name="Z_D903F940_B812_11DB_B168_0010B575B8B2_.wvu.PrintArea" localSheetId="6" hidden="1">'5.6'!$B$3:$AE$36</definedName>
    <definedName name="Z_D903F940_B812_11DB_B168_0010B575B8B2_.wvu.PrintArea" localSheetId="7" hidden="1">'5.7'!$B$3:$AE$36</definedName>
    <definedName name="Z_D903F940_B812_11DB_B168_0010B575B8B2_.wvu.PrintArea" localSheetId="8" hidden="1">'5.8'!$B$3:$AE$36</definedName>
    <definedName name="Z_D903F940_B812_11DB_B168_0010B575B8B2_.wvu.PrintArea" localSheetId="9" hidden="1">'5.9'!$B$3:$AE$36</definedName>
    <definedName name="取樣回收每月庫存表" localSheetId="2" hidden="1">'4.30'!#REF!</definedName>
    <definedName name="取樣回收每月庫存表" localSheetId="3" hidden="1">'5.1'!#REF!</definedName>
    <definedName name="取樣回收每月庫存表" localSheetId="10" hidden="1">'5.12'!#REF!</definedName>
    <definedName name="取樣回收每月庫存表" localSheetId="11" hidden="1">'5.13'!#REF!</definedName>
    <definedName name="取樣回收每月庫存表" localSheetId="12" hidden="1">'5.14'!#REF!</definedName>
    <definedName name="取樣回收每月庫存表" localSheetId="13" hidden="1">'5.15'!#REF!</definedName>
    <definedName name="取樣回收每月庫存表" localSheetId="14" hidden="1">'5.16'!#REF!</definedName>
    <definedName name="取樣回收每月庫存表" localSheetId="15" hidden="1">'5.19'!#REF!</definedName>
    <definedName name="取樣回收每月庫存表" localSheetId="4" hidden="1">'5.2'!#REF!</definedName>
    <definedName name="取樣回收每月庫存表" localSheetId="16" hidden="1">'5.20'!#REF!</definedName>
    <definedName name="取樣回收每月庫存表" localSheetId="17" hidden="1">'5.21'!#REF!</definedName>
    <definedName name="取樣回收每月庫存表" localSheetId="18" hidden="1">'5.22'!#REF!</definedName>
    <definedName name="取樣回收每月庫存表" localSheetId="19" hidden="1">'5.23'!#REF!</definedName>
    <definedName name="取樣回收每月庫存表" localSheetId="20" hidden="1">'5.26'!#REF!</definedName>
    <definedName name="取樣回收每月庫存表" localSheetId="21" hidden="1">'5.27'!#REF!</definedName>
    <definedName name="取樣回收每月庫存表" localSheetId="22" hidden="1">'5.28'!#REF!</definedName>
    <definedName name="取樣回收每月庫存表" localSheetId="23" hidden="1">'5.29'!#REF!</definedName>
    <definedName name="取樣回收每月庫存表" localSheetId="5" hidden="1">'5.5'!#REF!</definedName>
    <definedName name="取樣回收每月庫存表" localSheetId="6" hidden="1">'5.6'!#REF!</definedName>
    <definedName name="取樣回收每月庫存表" localSheetId="7" hidden="1">'5.7'!#REF!</definedName>
    <definedName name="取樣回收每月庫存表" localSheetId="8" hidden="1">'5.8'!#REF!</definedName>
    <definedName name="取樣回收每月庫存表" localSheetId="9" hidden="1">'5.9'!#REF!</definedName>
    <definedName name="取樣回收每月庫存表_0620更新" localSheetId="2" hidden="1">'4.30'!$AG$13:$BH$189</definedName>
    <definedName name="取樣回收每月庫存表_0620更新" localSheetId="3" hidden="1">'5.1'!$AG$13:$BH$189</definedName>
    <definedName name="取樣回收每月庫存表_0620更新" localSheetId="10" hidden="1">'5.12'!$AG$13:$BH$189</definedName>
    <definedName name="取樣回收每月庫存表_0620更新" localSheetId="11" hidden="1">'5.13'!$AG$13:$BH$189</definedName>
    <definedName name="取樣回收每月庫存表_0620更新" localSheetId="12" hidden="1">'5.14'!$AG$13:$BH$189</definedName>
    <definedName name="取樣回收每月庫存表_0620更新" localSheetId="13" hidden="1">'5.15'!$AG$13:$BH$189</definedName>
    <definedName name="取樣回收每月庫存表_0620更新" localSheetId="14" hidden="1">'5.16'!$AG$13:$BH$189</definedName>
    <definedName name="取樣回收每月庫存表_0620更新" localSheetId="15" hidden="1">'5.19'!$AG$13:$BH$189</definedName>
    <definedName name="取樣回收每月庫存表_0620更新" localSheetId="4" hidden="1">'5.2'!$AG$13:$BH$189</definedName>
    <definedName name="取樣回收每月庫存表_0620更新" localSheetId="16" hidden="1">'5.20'!$AG$13:$BH$189</definedName>
    <definedName name="取樣回收每月庫存表_0620更新" localSheetId="17" hidden="1">'5.21'!$AG$13:$BH$189</definedName>
    <definedName name="取樣回收每月庫存表_0620更新" localSheetId="18" hidden="1">'5.22'!$AG$13:$BH$189</definedName>
    <definedName name="取樣回收每月庫存表_0620更新" localSheetId="19" hidden="1">'5.23'!$AG$13:$BH$189</definedName>
    <definedName name="取樣回收每月庫存表_0620更新" localSheetId="20" hidden="1">'5.26'!$AG$13:$BH$189</definedName>
    <definedName name="取樣回收每月庫存表_0620更新" localSheetId="21" hidden="1">'5.27'!$AG$13:$BH$189</definedName>
    <definedName name="取樣回收每月庫存表_0620更新" localSheetId="22" hidden="1">'5.28'!$AG$13:$BH$189</definedName>
    <definedName name="取樣回收每月庫存表_0620更新" localSheetId="23" hidden="1">'5.29'!$AG$13:$BH$189</definedName>
    <definedName name="取樣回收每月庫存表_0620更新" localSheetId="5" hidden="1">'5.5'!$AG$13:$BH$189</definedName>
    <definedName name="取樣回收每月庫存表_0620更新" localSheetId="6" hidden="1">'5.6'!$AG$13:$BH$189</definedName>
    <definedName name="取樣回收每月庫存表_0620更新" localSheetId="7" hidden="1">'5.7'!$AG$13:$BH$189</definedName>
    <definedName name="取樣回收每月庫存表_0620更新" localSheetId="8" hidden="1">'5.8'!$AG$13:$BH$189</definedName>
    <definedName name="取樣回收每月庫存表_0620更新" localSheetId="9" hidden="1">'5.9'!$AG$13:$BH$189</definedName>
    <definedName name="複本_14_取樣回收每月庫存表" localSheetId="2" hidden="1">'4.30'!#REF!</definedName>
    <definedName name="複本_14_取樣回收每月庫存表" localSheetId="3" hidden="1">'5.1'!#REF!</definedName>
    <definedName name="複本_14_取樣回收每月庫存表" localSheetId="10" hidden="1">'5.12'!#REF!</definedName>
    <definedName name="複本_14_取樣回收每月庫存表" localSheetId="11" hidden="1">'5.13'!#REF!</definedName>
    <definedName name="複本_14_取樣回收每月庫存表" localSheetId="12" hidden="1">'5.14'!#REF!</definedName>
    <definedName name="複本_14_取樣回收每月庫存表" localSheetId="13" hidden="1">'5.15'!#REF!</definedName>
    <definedName name="複本_14_取樣回收每月庫存表" localSheetId="14" hidden="1">'5.16'!#REF!</definedName>
    <definedName name="複本_14_取樣回收每月庫存表" localSheetId="15" hidden="1">'5.19'!#REF!</definedName>
    <definedName name="複本_14_取樣回收每月庫存表" localSheetId="4" hidden="1">'5.2'!#REF!</definedName>
    <definedName name="複本_14_取樣回收每月庫存表" localSheetId="16" hidden="1">'5.20'!#REF!</definedName>
    <definedName name="複本_14_取樣回收每月庫存表" localSheetId="17" hidden="1">'5.21'!#REF!</definedName>
    <definedName name="複本_14_取樣回收每月庫存表" localSheetId="18" hidden="1">'5.22'!#REF!</definedName>
    <definedName name="複本_14_取樣回收每月庫存表" localSheetId="19" hidden="1">'5.23'!#REF!</definedName>
    <definedName name="複本_14_取樣回收每月庫存表" localSheetId="20" hidden="1">'5.26'!#REF!</definedName>
    <definedName name="複本_14_取樣回收每月庫存表" localSheetId="21" hidden="1">'5.27'!#REF!</definedName>
    <definedName name="複本_14_取樣回收每月庫存表" localSheetId="22" hidden="1">'5.28'!#REF!</definedName>
    <definedName name="複本_14_取樣回收每月庫存表" localSheetId="23" hidden="1">'5.29'!#REF!</definedName>
    <definedName name="複本_14_取樣回收每月庫存表" localSheetId="5" hidden="1">'5.5'!#REF!</definedName>
    <definedName name="複本_14_取樣回收每月庫存表" localSheetId="6" hidden="1">'5.6'!#REF!</definedName>
    <definedName name="複本_14_取樣回收每月庫存表" localSheetId="7" hidden="1">'5.7'!#REF!</definedName>
    <definedName name="複本_14_取樣回收每月庫存表" localSheetId="8" hidden="1">'5.8'!#REF!</definedName>
    <definedName name="複本_14_取樣回收每月庫存表" localSheetId="9" hidden="1">'5.9'!#REF!</definedName>
  </definedNames>
  <calcPr calcId="191029"/>
</workbook>
</file>

<file path=xl/calcChain.xml><?xml version="1.0" encoding="utf-8"?>
<calcChain xmlns="http://schemas.openxmlformats.org/spreadsheetml/2006/main">
  <c r="AA33" i="1898" l="1"/>
  <c r="X33" i="1898"/>
  <c r="U33" i="1898"/>
  <c r="R33" i="1898"/>
  <c r="O33" i="1898"/>
  <c r="L33" i="1898"/>
  <c r="F33" i="1898"/>
  <c r="Y28" i="1898"/>
  <c r="X28" i="1898"/>
  <c r="W28" i="1898"/>
  <c r="V28" i="1898"/>
  <c r="U28" i="1898"/>
  <c r="T28" i="1898"/>
  <c r="S28" i="1898"/>
  <c r="R28" i="1898"/>
  <c r="Q28" i="1898"/>
  <c r="P28" i="1898"/>
  <c r="O28" i="1898"/>
  <c r="N28" i="1898"/>
  <c r="M28" i="1898"/>
  <c r="L28" i="1898"/>
  <c r="K28" i="1898"/>
  <c r="J28" i="1898"/>
  <c r="I28" i="1898"/>
  <c r="H28" i="1898"/>
  <c r="G28" i="1898"/>
  <c r="F28" i="1898"/>
  <c r="E28" i="1898"/>
  <c r="D28" i="1898"/>
  <c r="Y25" i="1898"/>
  <c r="X25" i="1898"/>
  <c r="W25" i="1898"/>
  <c r="V25" i="1898"/>
  <c r="U25" i="1898"/>
  <c r="T25" i="1898"/>
  <c r="S25" i="1898"/>
  <c r="R25" i="1898"/>
  <c r="Q25" i="1898"/>
  <c r="P25" i="1898"/>
  <c r="O25" i="1898"/>
  <c r="N25" i="1898"/>
  <c r="M25" i="1898"/>
  <c r="L25" i="1898"/>
  <c r="K25" i="1898"/>
  <c r="J25" i="1898"/>
  <c r="I25" i="1898"/>
  <c r="H25" i="1898"/>
  <c r="G25" i="1898"/>
  <c r="F25" i="1898"/>
  <c r="E25" i="1898"/>
  <c r="D25" i="1898"/>
  <c r="AE19" i="1898"/>
  <c r="AD19" i="1898"/>
  <c r="AC19" i="1898"/>
  <c r="AB19" i="1898"/>
  <c r="AA19" i="1898"/>
  <c r="Z19" i="1898"/>
  <c r="Y19" i="1898"/>
  <c r="X19" i="1898"/>
  <c r="T33" i="1898" s="1"/>
  <c r="W19" i="1898"/>
  <c r="V19" i="1898"/>
  <c r="U19" i="1898"/>
  <c r="T19" i="1898"/>
  <c r="S19" i="1898"/>
  <c r="R19" i="1898"/>
  <c r="Q19" i="1898"/>
  <c r="P19" i="1898"/>
  <c r="O19" i="1898"/>
  <c r="N19" i="1898"/>
  <c r="H33" i="1898" s="1"/>
  <c r="M19" i="1898"/>
  <c r="L19" i="1898"/>
  <c r="P33" i="1898" s="1"/>
  <c r="K19" i="1898"/>
  <c r="J19" i="1898"/>
  <c r="I19" i="1898"/>
  <c r="AB33" i="1898" s="1"/>
  <c r="H19" i="1898"/>
  <c r="G19" i="1898"/>
  <c r="F19" i="1898"/>
  <c r="E19" i="1898"/>
  <c r="D19" i="1898"/>
  <c r="AE16" i="1898"/>
  <c r="AD16" i="1898"/>
  <c r="AC16" i="1898"/>
  <c r="AB16" i="1898"/>
  <c r="AA16" i="1898"/>
  <c r="Z16" i="1898"/>
  <c r="X16" i="1898"/>
  <c r="W16" i="1898"/>
  <c r="V16" i="1898"/>
  <c r="U16" i="1898"/>
  <c r="T16" i="1898"/>
  <c r="S16" i="1898"/>
  <c r="R16" i="1898"/>
  <c r="Q16" i="1898"/>
  <c r="P16" i="1898"/>
  <c r="O16" i="1898"/>
  <c r="N16" i="1898"/>
  <c r="M16" i="1898"/>
  <c r="L16" i="1898"/>
  <c r="K16" i="1898"/>
  <c r="J16" i="1898"/>
  <c r="I16" i="1898"/>
  <c r="H16" i="1898"/>
  <c r="G16" i="1898"/>
  <c r="F16" i="1898"/>
  <c r="E16" i="1898"/>
  <c r="D16" i="1898"/>
  <c r="AE10" i="1898"/>
  <c r="AD10" i="1898"/>
  <c r="AC33" i="1898" s="1"/>
  <c r="AC10" i="1898"/>
  <c r="AB10" i="1898"/>
  <c r="AA10" i="1898"/>
  <c r="Z10" i="1898"/>
  <c r="Y10" i="1898"/>
  <c r="X10" i="1898"/>
  <c r="W10" i="1898"/>
  <c r="V10" i="1898"/>
  <c r="U10" i="1898"/>
  <c r="T10" i="1898"/>
  <c r="S10" i="1898"/>
  <c r="R10" i="1898"/>
  <c r="Q10" i="1898"/>
  <c r="P10" i="1898"/>
  <c r="O10" i="1898"/>
  <c r="N10" i="1898"/>
  <c r="M10" i="1898"/>
  <c r="L10" i="1898"/>
  <c r="K10" i="1898"/>
  <c r="J10" i="1898"/>
  <c r="I10" i="1898"/>
  <c r="H10" i="1898"/>
  <c r="G10" i="1898"/>
  <c r="F10" i="1898"/>
  <c r="J33" i="1898" s="1"/>
  <c r="E10" i="1898"/>
  <c r="S33" i="1898" s="1"/>
  <c r="D10" i="1898"/>
  <c r="AE7" i="1898"/>
  <c r="AD7" i="1898"/>
  <c r="AC7" i="1898"/>
  <c r="AB7" i="1898"/>
  <c r="AA7" i="1898"/>
  <c r="Z7" i="1898"/>
  <c r="Y7" i="1898"/>
  <c r="X7" i="1898"/>
  <c r="W7" i="1898"/>
  <c r="V7" i="1898"/>
  <c r="U7" i="1898"/>
  <c r="T7" i="1898"/>
  <c r="S7" i="1898"/>
  <c r="R7" i="1898"/>
  <c r="Q7" i="1898"/>
  <c r="P7" i="1898"/>
  <c r="O7" i="1898"/>
  <c r="N7" i="1898"/>
  <c r="M7" i="1898"/>
  <c r="L7" i="1898"/>
  <c r="K7" i="1898"/>
  <c r="J7" i="1898"/>
  <c r="I7" i="1898"/>
  <c r="H7" i="1898"/>
  <c r="G7" i="1898"/>
  <c r="F7" i="1898"/>
  <c r="E7" i="1898"/>
  <c r="D7" i="1898"/>
  <c r="K33" i="1898" l="1"/>
  <c r="W33" i="1898"/>
  <c r="D33" i="1898"/>
  <c r="Z33" i="1898"/>
  <c r="Y33" i="1898"/>
  <c r="N33" i="1898"/>
  <c r="Q33" i="1898"/>
  <c r="E33" i="1898"/>
  <c r="M33" i="1898"/>
  <c r="V33" i="1898"/>
  <c r="AA33" i="1897"/>
  <c r="X33" i="1897"/>
  <c r="U33" i="1897"/>
  <c r="T33" i="1897"/>
  <c r="R33" i="1897"/>
  <c r="O33" i="1897"/>
  <c r="L33" i="1897"/>
  <c r="K33" i="1897"/>
  <c r="F33" i="1897"/>
  <c r="Y28" i="1897"/>
  <c r="X28" i="1897"/>
  <c r="W28" i="1897"/>
  <c r="V28" i="1897"/>
  <c r="U28" i="1897"/>
  <c r="T28" i="1897"/>
  <c r="S28" i="1897"/>
  <c r="R28" i="1897"/>
  <c r="Q28" i="1897"/>
  <c r="P28" i="1897"/>
  <c r="O28" i="1897"/>
  <c r="N28" i="1897"/>
  <c r="M28" i="1897"/>
  <c r="L28" i="1897"/>
  <c r="K28" i="1897"/>
  <c r="J28" i="1897"/>
  <c r="I28" i="1897"/>
  <c r="H28" i="1897"/>
  <c r="G28" i="1897"/>
  <c r="F28" i="1897"/>
  <c r="E28" i="1897"/>
  <c r="D28" i="1897"/>
  <c r="Y25" i="1897"/>
  <c r="X25" i="1897"/>
  <c r="W25" i="1897"/>
  <c r="V25" i="1897"/>
  <c r="U25" i="1897"/>
  <c r="T25" i="1897"/>
  <c r="S25" i="1897"/>
  <c r="R25" i="1897"/>
  <c r="Q25" i="1897"/>
  <c r="P25" i="1897"/>
  <c r="O25" i="1897"/>
  <c r="N25" i="1897"/>
  <c r="M25" i="1897"/>
  <c r="L25" i="1897"/>
  <c r="K25" i="1897"/>
  <c r="J25" i="1897"/>
  <c r="I25" i="1897"/>
  <c r="H25" i="1897"/>
  <c r="G25" i="1897"/>
  <c r="F25" i="1897"/>
  <c r="E25" i="1897"/>
  <c r="D25" i="1897"/>
  <c r="AE19" i="1897"/>
  <c r="AD19" i="1897"/>
  <c r="AC19" i="1897"/>
  <c r="AB19" i="1897"/>
  <c r="AA19" i="1897"/>
  <c r="Z19" i="1897"/>
  <c r="Y19" i="1897"/>
  <c r="X19" i="1897"/>
  <c r="W19" i="1897"/>
  <c r="V19" i="1897"/>
  <c r="U19" i="1897"/>
  <c r="T19" i="1897"/>
  <c r="S19" i="1897"/>
  <c r="R19" i="1897"/>
  <c r="Q19" i="1897"/>
  <c r="P19" i="1897"/>
  <c r="O19" i="1897"/>
  <c r="N19" i="1897"/>
  <c r="H33" i="1897" s="1"/>
  <c r="M19" i="1897"/>
  <c r="L19" i="1897"/>
  <c r="P33" i="1897" s="1"/>
  <c r="K19" i="1897"/>
  <c r="J19" i="1897"/>
  <c r="I19" i="1897"/>
  <c r="AB33" i="1897" s="1"/>
  <c r="H19" i="1897"/>
  <c r="G19" i="1897"/>
  <c r="F19" i="1897"/>
  <c r="E19" i="1897"/>
  <c r="D19" i="1897"/>
  <c r="AE16" i="1897"/>
  <c r="AD16" i="1897"/>
  <c r="AC16" i="1897"/>
  <c r="AB16" i="1897"/>
  <c r="AA16" i="1897"/>
  <c r="Z16" i="1897"/>
  <c r="X16" i="1897"/>
  <c r="W16" i="1897"/>
  <c r="V16" i="1897"/>
  <c r="U16" i="1897"/>
  <c r="T16" i="1897"/>
  <c r="S16" i="1897"/>
  <c r="R16" i="1897"/>
  <c r="Q16" i="1897"/>
  <c r="P16" i="1897"/>
  <c r="O16" i="1897"/>
  <c r="N16" i="1897"/>
  <c r="M16" i="1897"/>
  <c r="L16" i="1897"/>
  <c r="K16" i="1897"/>
  <c r="J16" i="1897"/>
  <c r="I16" i="1897"/>
  <c r="H16" i="1897"/>
  <c r="G16" i="1897"/>
  <c r="F16" i="1897"/>
  <c r="E16" i="1897"/>
  <c r="D16" i="1897"/>
  <c r="AE10" i="1897"/>
  <c r="AD10" i="1897"/>
  <c r="AC33" i="1897" s="1"/>
  <c r="AC10" i="1897"/>
  <c r="AB10" i="1897"/>
  <c r="AA10" i="1897"/>
  <c r="Z10" i="1897"/>
  <c r="Y10" i="1897"/>
  <c r="X10" i="1897"/>
  <c r="W10" i="1897"/>
  <c r="V10" i="1897"/>
  <c r="U10" i="1897"/>
  <c r="T10" i="1897"/>
  <c r="S10" i="1897"/>
  <c r="R10" i="1897"/>
  <c r="Q10" i="1897"/>
  <c r="Y33" i="1897" s="1"/>
  <c r="P10" i="1897"/>
  <c r="N33" i="1897" s="1"/>
  <c r="O10" i="1897"/>
  <c r="N10" i="1897"/>
  <c r="M10" i="1897"/>
  <c r="L10" i="1897"/>
  <c r="K10" i="1897"/>
  <c r="J10" i="1897"/>
  <c r="I10" i="1897"/>
  <c r="H10" i="1897"/>
  <c r="G10" i="1897"/>
  <c r="F10" i="1897"/>
  <c r="J33" i="1897" s="1"/>
  <c r="E10" i="1897"/>
  <c r="D10" i="1897"/>
  <c r="AE7" i="1897"/>
  <c r="AD7" i="1897"/>
  <c r="AC7" i="1897"/>
  <c r="AB7" i="1897"/>
  <c r="AA7" i="1897"/>
  <c r="Z7" i="1897"/>
  <c r="Y7" i="1897"/>
  <c r="X7" i="1897"/>
  <c r="W7" i="1897"/>
  <c r="V7" i="1897"/>
  <c r="U7" i="1897"/>
  <c r="T7" i="1897"/>
  <c r="S7" i="1897"/>
  <c r="R7" i="1897"/>
  <c r="Q7" i="1897"/>
  <c r="P7" i="1897"/>
  <c r="O7" i="1897"/>
  <c r="N7" i="1897"/>
  <c r="M7" i="1897"/>
  <c r="L7" i="1897"/>
  <c r="K7" i="1897"/>
  <c r="J7" i="1897"/>
  <c r="I7" i="1897"/>
  <c r="H7" i="1897"/>
  <c r="G7" i="1897"/>
  <c r="F7" i="1897"/>
  <c r="E7" i="1897"/>
  <c r="D7" i="1897"/>
  <c r="S33" i="1897" l="1"/>
  <c r="V33" i="1897"/>
  <c r="Z33" i="1897"/>
  <c r="D33" i="1897"/>
  <c r="E33" i="1897"/>
  <c r="W33" i="1897"/>
  <c r="Q33" i="1897"/>
  <c r="M33" i="1897"/>
  <c r="AA33" i="1896"/>
  <c r="X33" i="1896"/>
  <c r="U33" i="1896"/>
  <c r="R33" i="1896"/>
  <c r="O33" i="1896"/>
  <c r="L33" i="1896"/>
  <c r="F33" i="1896"/>
  <c r="Y28" i="1896"/>
  <c r="X28" i="1896"/>
  <c r="W28" i="1896"/>
  <c r="V28" i="1896"/>
  <c r="U28" i="1896"/>
  <c r="T28" i="1896"/>
  <c r="S28" i="1896"/>
  <c r="R28" i="1896"/>
  <c r="Q28" i="1896"/>
  <c r="P28" i="1896"/>
  <c r="O28" i="1896"/>
  <c r="N28" i="1896"/>
  <c r="M28" i="1896"/>
  <c r="L28" i="1896"/>
  <c r="K28" i="1896"/>
  <c r="J28" i="1896"/>
  <c r="I28" i="1896"/>
  <c r="H28" i="1896"/>
  <c r="G28" i="1896"/>
  <c r="F28" i="1896"/>
  <c r="E28" i="1896"/>
  <c r="D28" i="1896"/>
  <c r="Y25" i="1896"/>
  <c r="X25" i="1896"/>
  <c r="W25" i="1896"/>
  <c r="V25" i="1896"/>
  <c r="U25" i="1896"/>
  <c r="T25" i="1896"/>
  <c r="S25" i="1896"/>
  <c r="R25" i="1896"/>
  <c r="Q25" i="1896"/>
  <c r="P25" i="1896"/>
  <c r="O25" i="1896"/>
  <c r="N25" i="1896"/>
  <c r="M25" i="1896"/>
  <c r="L25" i="1896"/>
  <c r="K25" i="1896"/>
  <c r="J25" i="1896"/>
  <c r="I25" i="1896"/>
  <c r="H25" i="1896"/>
  <c r="G25" i="1896"/>
  <c r="F25" i="1896"/>
  <c r="E25" i="1896"/>
  <c r="D25" i="1896"/>
  <c r="AE19" i="1896"/>
  <c r="AD19" i="1896"/>
  <c r="AC19" i="1896"/>
  <c r="AB19" i="1896"/>
  <c r="AA19" i="1896"/>
  <c r="Z19" i="1896"/>
  <c r="Y19" i="1896"/>
  <c r="X19" i="1896"/>
  <c r="T33" i="1896" s="1"/>
  <c r="W19" i="1896"/>
  <c r="V19" i="1896"/>
  <c r="U19" i="1896"/>
  <c r="T19" i="1896"/>
  <c r="S19" i="1896"/>
  <c r="R19" i="1896"/>
  <c r="Q19" i="1896"/>
  <c r="P19" i="1896"/>
  <c r="O19" i="1896"/>
  <c r="N19" i="1896"/>
  <c r="H33" i="1896" s="1"/>
  <c r="M19" i="1896"/>
  <c r="L19" i="1896"/>
  <c r="P33" i="1896" s="1"/>
  <c r="K19" i="1896"/>
  <c r="J19" i="1896"/>
  <c r="I19" i="1896"/>
  <c r="AB33" i="1896" s="1"/>
  <c r="H19" i="1896"/>
  <c r="G19" i="1896"/>
  <c r="F19" i="1896"/>
  <c r="E19" i="1896"/>
  <c r="D19" i="1896"/>
  <c r="AE16" i="1896"/>
  <c r="AD16" i="1896"/>
  <c r="AC16" i="1896"/>
  <c r="AB16" i="1896"/>
  <c r="AA16" i="1896"/>
  <c r="Z16" i="1896"/>
  <c r="X16" i="1896"/>
  <c r="W16" i="1896"/>
  <c r="V16" i="1896"/>
  <c r="U16" i="1896"/>
  <c r="T16" i="1896"/>
  <c r="S16" i="1896"/>
  <c r="R16" i="1896"/>
  <c r="Q16" i="1896"/>
  <c r="P16" i="1896"/>
  <c r="O16" i="1896"/>
  <c r="N16" i="1896"/>
  <c r="M16" i="1896"/>
  <c r="L16" i="1896"/>
  <c r="K16" i="1896"/>
  <c r="J16" i="1896"/>
  <c r="I16" i="1896"/>
  <c r="H16" i="1896"/>
  <c r="G16" i="1896"/>
  <c r="F16" i="1896"/>
  <c r="E16" i="1896"/>
  <c r="D16" i="1896"/>
  <c r="AE10" i="1896"/>
  <c r="AD10" i="1896"/>
  <c r="AC33" i="1896" s="1"/>
  <c r="AC10" i="1896"/>
  <c r="AB10" i="1896"/>
  <c r="AA10" i="1896"/>
  <c r="Z10" i="1896"/>
  <c r="Y10" i="1896"/>
  <c r="X10" i="1896"/>
  <c r="W10" i="1896"/>
  <c r="V10" i="1896"/>
  <c r="U10" i="1896"/>
  <c r="T10" i="1896"/>
  <c r="S10" i="1896"/>
  <c r="R10" i="1896"/>
  <c r="Q10" i="1896"/>
  <c r="P10" i="1896"/>
  <c r="O10" i="1896"/>
  <c r="N10" i="1896"/>
  <c r="M10" i="1896"/>
  <c r="L10" i="1896"/>
  <c r="K10" i="1896"/>
  <c r="J10" i="1896"/>
  <c r="I10" i="1896"/>
  <c r="H10" i="1896"/>
  <c r="G10" i="1896"/>
  <c r="F10" i="1896"/>
  <c r="J33" i="1896" s="1"/>
  <c r="E10" i="1896"/>
  <c r="S33" i="1896" s="1"/>
  <c r="D10" i="1896"/>
  <c r="AE7" i="1896"/>
  <c r="AD7" i="1896"/>
  <c r="AC7" i="1896"/>
  <c r="AB7" i="1896"/>
  <c r="AA7" i="1896"/>
  <c r="Z7" i="1896"/>
  <c r="Y7" i="1896"/>
  <c r="X7" i="1896"/>
  <c r="W7" i="1896"/>
  <c r="V7" i="1896"/>
  <c r="U7" i="1896"/>
  <c r="T7" i="1896"/>
  <c r="S7" i="1896"/>
  <c r="R7" i="1896"/>
  <c r="Q7" i="1896"/>
  <c r="P7" i="1896"/>
  <c r="O7" i="1896"/>
  <c r="N7" i="1896"/>
  <c r="M7" i="1896"/>
  <c r="L7" i="1896"/>
  <c r="K7" i="1896"/>
  <c r="J7" i="1896"/>
  <c r="I7" i="1896"/>
  <c r="H7" i="1896"/>
  <c r="G7" i="1896"/>
  <c r="F7" i="1896"/>
  <c r="E7" i="1896"/>
  <c r="D7" i="1896"/>
  <c r="K33" i="1896" l="1"/>
  <c r="W33" i="1896"/>
  <c r="D33" i="1896"/>
  <c r="Z33" i="1896"/>
  <c r="Y33" i="1896"/>
  <c r="N33" i="1896"/>
  <c r="Q33" i="1896"/>
  <c r="E33" i="1896"/>
  <c r="M33" i="1896"/>
  <c r="V33" i="1896"/>
  <c r="AA33" i="1895"/>
  <c r="X33" i="1895"/>
  <c r="U33" i="1895"/>
  <c r="R33" i="1895"/>
  <c r="O33" i="1895"/>
  <c r="L33" i="1895"/>
  <c r="F33" i="1895"/>
  <c r="Y28" i="1895"/>
  <c r="X28" i="1895"/>
  <c r="W28" i="1895"/>
  <c r="V28" i="1895"/>
  <c r="U28" i="1895"/>
  <c r="T28" i="1895"/>
  <c r="S28" i="1895"/>
  <c r="R28" i="1895"/>
  <c r="Q28" i="1895"/>
  <c r="P28" i="1895"/>
  <c r="O28" i="1895"/>
  <c r="N28" i="1895"/>
  <c r="M28" i="1895"/>
  <c r="L28" i="1895"/>
  <c r="K28" i="1895"/>
  <c r="J28" i="1895"/>
  <c r="I28" i="1895"/>
  <c r="H28" i="1895"/>
  <c r="G28" i="1895"/>
  <c r="F28" i="1895"/>
  <c r="E28" i="1895"/>
  <c r="D28" i="1895"/>
  <c r="Y25" i="1895"/>
  <c r="X25" i="1895"/>
  <c r="W25" i="1895"/>
  <c r="V25" i="1895"/>
  <c r="U25" i="1895"/>
  <c r="T25" i="1895"/>
  <c r="S25" i="1895"/>
  <c r="R25" i="1895"/>
  <c r="Q25" i="1895"/>
  <c r="P25" i="1895"/>
  <c r="O25" i="1895"/>
  <c r="N25" i="1895"/>
  <c r="M25" i="1895"/>
  <c r="L25" i="1895"/>
  <c r="K25" i="1895"/>
  <c r="J25" i="1895"/>
  <c r="I25" i="1895"/>
  <c r="H25" i="1895"/>
  <c r="G25" i="1895"/>
  <c r="F25" i="1895"/>
  <c r="E25" i="1895"/>
  <c r="D25" i="1895"/>
  <c r="AE19" i="1895"/>
  <c r="AD19" i="1895"/>
  <c r="AC19" i="1895"/>
  <c r="AB19" i="1895"/>
  <c r="AA19" i="1895"/>
  <c r="Z19" i="1895"/>
  <c r="Y19" i="1895"/>
  <c r="X19" i="1895"/>
  <c r="T33" i="1895" s="1"/>
  <c r="W19" i="1895"/>
  <c r="V19" i="1895"/>
  <c r="U19" i="1895"/>
  <c r="T19" i="1895"/>
  <c r="S19" i="1895"/>
  <c r="R19" i="1895"/>
  <c r="Q19" i="1895"/>
  <c r="P19" i="1895"/>
  <c r="O19" i="1895"/>
  <c r="N19" i="1895"/>
  <c r="H33" i="1895" s="1"/>
  <c r="M19" i="1895"/>
  <c r="L19" i="1895"/>
  <c r="P33" i="1895" s="1"/>
  <c r="K19" i="1895"/>
  <c r="J19" i="1895"/>
  <c r="I19" i="1895"/>
  <c r="AB33" i="1895" s="1"/>
  <c r="H19" i="1895"/>
  <c r="G19" i="1895"/>
  <c r="F19" i="1895"/>
  <c r="E19" i="1895"/>
  <c r="D19" i="1895"/>
  <c r="AE16" i="1895"/>
  <c r="AD16" i="1895"/>
  <c r="AC16" i="1895"/>
  <c r="AB16" i="1895"/>
  <c r="AA16" i="1895"/>
  <c r="Z16" i="1895"/>
  <c r="X16" i="1895"/>
  <c r="W16" i="1895"/>
  <c r="V16" i="1895"/>
  <c r="U16" i="1895"/>
  <c r="T16" i="1895"/>
  <c r="S16" i="1895"/>
  <c r="R16" i="1895"/>
  <c r="Q16" i="1895"/>
  <c r="P16" i="1895"/>
  <c r="O16" i="1895"/>
  <c r="N16" i="1895"/>
  <c r="M16" i="1895"/>
  <c r="L16" i="1895"/>
  <c r="K16" i="1895"/>
  <c r="J16" i="1895"/>
  <c r="I16" i="1895"/>
  <c r="H16" i="1895"/>
  <c r="G16" i="1895"/>
  <c r="F16" i="1895"/>
  <c r="E16" i="1895"/>
  <c r="D16" i="1895"/>
  <c r="AE10" i="1895"/>
  <c r="AD10" i="1895"/>
  <c r="AC33" i="1895" s="1"/>
  <c r="AC10" i="1895"/>
  <c r="AB10" i="1895"/>
  <c r="AA10" i="1895"/>
  <c r="Z10" i="1895"/>
  <c r="Y10" i="1895"/>
  <c r="X10" i="1895"/>
  <c r="W10" i="1895"/>
  <c r="V10" i="1895"/>
  <c r="U10" i="1895"/>
  <c r="T10" i="1895"/>
  <c r="S10" i="1895"/>
  <c r="R10" i="1895"/>
  <c r="Q10" i="1895"/>
  <c r="P10" i="1895"/>
  <c r="O10" i="1895"/>
  <c r="N10" i="1895"/>
  <c r="M10" i="1895"/>
  <c r="L10" i="1895"/>
  <c r="K10" i="1895"/>
  <c r="J10" i="1895"/>
  <c r="I10" i="1895"/>
  <c r="H10" i="1895"/>
  <c r="G10" i="1895"/>
  <c r="F10" i="1895"/>
  <c r="J33" i="1895" s="1"/>
  <c r="E10" i="1895"/>
  <c r="S33" i="1895" s="1"/>
  <c r="D10" i="1895"/>
  <c r="AE7" i="1895"/>
  <c r="AD7" i="1895"/>
  <c r="AC7" i="1895"/>
  <c r="AB7" i="1895"/>
  <c r="AA7" i="1895"/>
  <c r="Z7" i="1895"/>
  <c r="Y7" i="1895"/>
  <c r="X7" i="1895"/>
  <c r="W7" i="1895"/>
  <c r="V7" i="1895"/>
  <c r="U7" i="1895"/>
  <c r="T7" i="1895"/>
  <c r="S7" i="1895"/>
  <c r="R7" i="1895"/>
  <c r="Q7" i="1895"/>
  <c r="P7" i="1895"/>
  <c r="O7" i="1895"/>
  <c r="N7" i="1895"/>
  <c r="M7" i="1895"/>
  <c r="L7" i="1895"/>
  <c r="K7" i="1895"/>
  <c r="J7" i="1895"/>
  <c r="I7" i="1895"/>
  <c r="H7" i="1895"/>
  <c r="G7" i="1895"/>
  <c r="F7" i="1895"/>
  <c r="E7" i="1895"/>
  <c r="D7" i="1895"/>
  <c r="N33" i="1895" l="1"/>
  <c r="Q33" i="1895"/>
  <c r="W33" i="1895"/>
  <c r="D33" i="1895"/>
  <c r="Z33" i="1895"/>
  <c r="Y33" i="1895"/>
  <c r="K33" i="1895"/>
  <c r="E33" i="1895"/>
  <c r="M33" i="1895"/>
  <c r="V33" i="1895"/>
  <c r="AA33" i="1894"/>
  <c r="X33" i="1894"/>
  <c r="U33" i="1894"/>
  <c r="R33" i="1894"/>
  <c r="O33" i="1894"/>
  <c r="L33" i="1894"/>
  <c r="F33" i="1894"/>
  <c r="Y28" i="1894"/>
  <c r="X28" i="1894"/>
  <c r="W28" i="1894"/>
  <c r="V28" i="1894"/>
  <c r="U28" i="1894"/>
  <c r="T28" i="1894"/>
  <c r="S28" i="1894"/>
  <c r="R28" i="1894"/>
  <c r="Q28" i="1894"/>
  <c r="P28" i="1894"/>
  <c r="O28" i="1894"/>
  <c r="N28" i="1894"/>
  <c r="M28" i="1894"/>
  <c r="L28" i="1894"/>
  <c r="K28" i="1894"/>
  <c r="J28" i="1894"/>
  <c r="I28" i="1894"/>
  <c r="H28" i="1894"/>
  <c r="G28" i="1894"/>
  <c r="F28" i="1894"/>
  <c r="E28" i="1894"/>
  <c r="D28" i="1894"/>
  <c r="Y25" i="1894"/>
  <c r="X25" i="1894"/>
  <c r="W25" i="1894"/>
  <c r="V25" i="1894"/>
  <c r="U25" i="1894"/>
  <c r="T25" i="1894"/>
  <c r="S25" i="1894"/>
  <c r="R25" i="1894"/>
  <c r="Q25" i="1894"/>
  <c r="P25" i="1894"/>
  <c r="O25" i="1894"/>
  <c r="N25" i="1894"/>
  <c r="M25" i="1894"/>
  <c r="L25" i="1894"/>
  <c r="K25" i="1894"/>
  <c r="J25" i="1894"/>
  <c r="I25" i="1894"/>
  <c r="H25" i="1894"/>
  <c r="G25" i="1894"/>
  <c r="F25" i="1894"/>
  <c r="E25" i="1894"/>
  <c r="D25" i="1894"/>
  <c r="AE19" i="1894"/>
  <c r="AD19" i="1894"/>
  <c r="AC19" i="1894"/>
  <c r="AB19" i="1894"/>
  <c r="AA19" i="1894"/>
  <c r="Z19" i="1894"/>
  <c r="Y19" i="1894"/>
  <c r="X19" i="1894"/>
  <c r="T33" i="1894" s="1"/>
  <c r="W19" i="1894"/>
  <c r="V19" i="1894"/>
  <c r="U19" i="1894"/>
  <c r="T19" i="1894"/>
  <c r="S19" i="1894"/>
  <c r="R19" i="1894"/>
  <c r="Q19" i="1894"/>
  <c r="P19" i="1894"/>
  <c r="O19" i="1894"/>
  <c r="N19" i="1894"/>
  <c r="H33" i="1894" s="1"/>
  <c r="M19" i="1894"/>
  <c r="L19" i="1894"/>
  <c r="P33" i="1894" s="1"/>
  <c r="K19" i="1894"/>
  <c r="J19" i="1894"/>
  <c r="I19" i="1894"/>
  <c r="AB33" i="1894" s="1"/>
  <c r="H19" i="1894"/>
  <c r="G19" i="1894"/>
  <c r="F19" i="1894"/>
  <c r="E19" i="1894"/>
  <c r="D19" i="1894"/>
  <c r="AE16" i="1894"/>
  <c r="AD16" i="1894"/>
  <c r="AC16" i="1894"/>
  <c r="AB16" i="1894"/>
  <c r="AA16" i="1894"/>
  <c r="Z16" i="1894"/>
  <c r="X16" i="1894"/>
  <c r="W16" i="1894"/>
  <c r="V16" i="1894"/>
  <c r="U16" i="1894"/>
  <c r="T16" i="1894"/>
  <c r="S16" i="1894"/>
  <c r="R16" i="1894"/>
  <c r="Q16" i="1894"/>
  <c r="P16" i="1894"/>
  <c r="O16" i="1894"/>
  <c r="N16" i="1894"/>
  <c r="M16" i="1894"/>
  <c r="L16" i="1894"/>
  <c r="K16" i="1894"/>
  <c r="J16" i="1894"/>
  <c r="I16" i="1894"/>
  <c r="H16" i="1894"/>
  <c r="G16" i="1894"/>
  <c r="F16" i="1894"/>
  <c r="E16" i="1894"/>
  <c r="D16" i="1894"/>
  <c r="AE10" i="1894"/>
  <c r="AD10" i="1894"/>
  <c r="AC33" i="1894" s="1"/>
  <c r="AC10" i="1894"/>
  <c r="AB10" i="1894"/>
  <c r="AA10" i="1894"/>
  <c r="Z10" i="1894"/>
  <c r="Y10" i="1894"/>
  <c r="X10" i="1894"/>
  <c r="W10" i="1894"/>
  <c r="V10" i="1894"/>
  <c r="U10" i="1894"/>
  <c r="T10" i="1894"/>
  <c r="S10" i="1894"/>
  <c r="R10" i="1894"/>
  <c r="Q10" i="1894"/>
  <c r="P10" i="1894"/>
  <c r="O10" i="1894"/>
  <c r="N10" i="1894"/>
  <c r="Q33" i="1894" s="1"/>
  <c r="M10" i="1894"/>
  <c r="E33" i="1894" s="1"/>
  <c r="L10" i="1894"/>
  <c r="K10" i="1894"/>
  <c r="J10" i="1894"/>
  <c r="I10" i="1894"/>
  <c r="H10" i="1894"/>
  <c r="G10" i="1894"/>
  <c r="F10" i="1894"/>
  <c r="J33" i="1894" s="1"/>
  <c r="E10" i="1894"/>
  <c r="S33" i="1894" s="1"/>
  <c r="D10" i="1894"/>
  <c r="AE7" i="1894"/>
  <c r="AD7" i="1894"/>
  <c r="AC7" i="1894"/>
  <c r="AB7" i="1894"/>
  <c r="AA7" i="1894"/>
  <c r="Z7" i="1894"/>
  <c r="Y7" i="1894"/>
  <c r="X7" i="1894"/>
  <c r="W7" i="1894"/>
  <c r="V7" i="1894"/>
  <c r="U7" i="1894"/>
  <c r="T7" i="1894"/>
  <c r="S7" i="1894"/>
  <c r="R7" i="1894"/>
  <c r="Q7" i="1894"/>
  <c r="P7" i="1894"/>
  <c r="O7" i="1894"/>
  <c r="N7" i="1894"/>
  <c r="M7" i="1894"/>
  <c r="L7" i="1894"/>
  <c r="K7" i="1894"/>
  <c r="J7" i="1894"/>
  <c r="I7" i="1894"/>
  <c r="H7" i="1894"/>
  <c r="G7" i="1894"/>
  <c r="F7" i="1894"/>
  <c r="E7" i="1894"/>
  <c r="D7" i="1894"/>
  <c r="D33" i="1894" l="1"/>
  <c r="N33" i="1894"/>
  <c r="K33" i="1894"/>
  <c r="W33" i="1894"/>
  <c r="Z33" i="1894"/>
  <c r="Y33" i="1894"/>
  <c r="M33" i="1894"/>
  <c r="V33" i="1894"/>
  <c r="AA33" i="1893"/>
  <c r="X33" i="1893"/>
  <c r="U33" i="1893"/>
  <c r="R33" i="1893"/>
  <c r="O33" i="1893"/>
  <c r="L33" i="1893"/>
  <c r="F33" i="1893"/>
  <c r="Y28" i="1893"/>
  <c r="X28" i="1893"/>
  <c r="W28" i="1893"/>
  <c r="V28" i="1893"/>
  <c r="U28" i="1893"/>
  <c r="T28" i="1893"/>
  <c r="S28" i="1893"/>
  <c r="R28" i="1893"/>
  <c r="Q28" i="1893"/>
  <c r="P28" i="1893"/>
  <c r="O28" i="1893"/>
  <c r="N28" i="1893"/>
  <c r="M28" i="1893"/>
  <c r="L28" i="1893"/>
  <c r="K28" i="1893"/>
  <c r="J28" i="1893"/>
  <c r="I28" i="1893"/>
  <c r="H28" i="1893"/>
  <c r="G28" i="1893"/>
  <c r="F28" i="1893"/>
  <c r="E28" i="1893"/>
  <c r="D28" i="1893"/>
  <c r="Y25" i="1893"/>
  <c r="X25" i="1893"/>
  <c r="W25" i="1893"/>
  <c r="V25" i="1893"/>
  <c r="U25" i="1893"/>
  <c r="T25" i="1893"/>
  <c r="S25" i="1893"/>
  <c r="R25" i="1893"/>
  <c r="Q25" i="1893"/>
  <c r="P25" i="1893"/>
  <c r="O25" i="1893"/>
  <c r="N25" i="1893"/>
  <c r="M25" i="1893"/>
  <c r="L25" i="1893"/>
  <c r="K25" i="1893"/>
  <c r="J25" i="1893"/>
  <c r="I25" i="1893"/>
  <c r="H25" i="1893"/>
  <c r="G25" i="1893"/>
  <c r="F25" i="1893"/>
  <c r="E25" i="1893"/>
  <c r="D25" i="1893"/>
  <c r="AE19" i="1893"/>
  <c r="AD19" i="1893"/>
  <c r="AC19" i="1893"/>
  <c r="AB19" i="1893"/>
  <c r="AA19" i="1893"/>
  <c r="Z19" i="1893"/>
  <c r="Y19" i="1893"/>
  <c r="X19" i="1893"/>
  <c r="T33" i="1893" s="1"/>
  <c r="W19" i="1893"/>
  <c r="V19" i="1893"/>
  <c r="U19" i="1893"/>
  <c r="T19" i="1893"/>
  <c r="S19" i="1893"/>
  <c r="R19" i="1893"/>
  <c r="Q19" i="1893"/>
  <c r="P19" i="1893"/>
  <c r="O19" i="1893"/>
  <c r="N19" i="1893"/>
  <c r="H33" i="1893" s="1"/>
  <c r="M19" i="1893"/>
  <c r="L19" i="1893"/>
  <c r="P33" i="1893" s="1"/>
  <c r="K19" i="1893"/>
  <c r="J19" i="1893"/>
  <c r="I19" i="1893"/>
  <c r="AB33" i="1893" s="1"/>
  <c r="H19" i="1893"/>
  <c r="G19" i="1893"/>
  <c r="F19" i="1893"/>
  <c r="E19" i="1893"/>
  <c r="D19" i="1893"/>
  <c r="AE16" i="1893"/>
  <c r="AD16" i="1893"/>
  <c r="AC16" i="1893"/>
  <c r="AB16" i="1893"/>
  <c r="AA16" i="1893"/>
  <c r="Z16" i="1893"/>
  <c r="X16" i="1893"/>
  <c r="W16" i="1893"/>
  <c r="V16" i="1893"/>
  <c r="U16" i="1893"/>
  <c r="T16" i="1893"/>
  <c r="S16" i="1893"/>
  <c r="R16" i="1893"/>
  <c r="Q16" i="1893"/>
  <c r="P16" i="1893"/>
  <c r="O16" i="1893"/>
  <c r="N16" i="1893"/>
  <c r="M16" i="1893"/>
  <c r="L16" i="1893"/>
  <c r="K16" i="1893"/>
  <c r="J16" i="1893"/>
  <c r="I16" i="1893"/>
  <c r="H16" i="1893"/>
  <c r="G16" i="1893"/>
  <c r="F16" i="1893"/>
  <c r="E16" i="1893"/>
  <c r="D16" i="1893"/>
  <c r="AE10" i="1893"/>
  <c r="AD10" i="1893"/>
  <c r="AC33" i="1893" s="1"/>
  <c r="AC10" i="1893"/>
  <c r="AB10" i="1893"/>
  <c r="AA10" i="1893"/>
  <c r="Z10" i="1893"/>
  <c r="Y10" i="1893"/>
  <c r="X10" i="1893"/>
  <c r="W10" i="1893"/>
  <c r="V10" i="1893"/>
  <c r="U10" i="1893"/>
  <c r="T10" i="1893"/>
  <c r="S10" i="1893"/>
  <c r="R10" i="1893"/>
  <c r="Q10" i="1893"/>
  <c r="P10" i="1893"/>
  <c r="O10" i="1893"/>
  <c r="N10" i="1893"/>
  <c r="M10" i="1893"/>
  <c r="E33" i="1893" s="1"/>
  <c r="L10" i="1893"/>
  <c r="K10" i="1893"/>
  <c r="J10" i="1893"/>
  <c r="I10" i="1893"/>
  <c r="H10" i="1893"/>
  <c r="G10" i="1893"/>
  <c r="F10" i="1893"/>
  <c r="E10" i="1893"/>
  <c r="S33" i="1893" s="1"/>
  <c r="D10" i="1893"/>
  <c r="AE7" i="1893"/>
  <c r="AD7" i="1893"/>
  <c r="AC7" i="1893"/>
  <c r="AB7" i="1893"/>
  <c r="AA7" i="1893"/>
  <c r="Z7" i="1893"/>
  <c r="Y7" i="1893"/>
  <c r="X7" i="1893"/>
  <c r="W7" i="1893"/>
  <c r="V7" i="1893"/>
  <c r="U7" i="1893"/>
  <c r="T7" i="1893"/>
  <c r="S7" i="1893"/>
  <c r="R7" i="1893"/>
  <c r="Q7" i="1893"/>
  <c r="P7" i="1893"/>
  <c r="O7" i="1893"/>
  <c r="N7" i="1893"/>
  <c r="M7" i="1893"/>
  <c r="L7" i="1893"/>
  <c r="K7" i="1893"/>
  <c r="J7" i="1893"/>
  <c r="I7" i="1893"/>
  <c r="H7" i="1893"/>
  <c r="G7" i="1893"/>
  <c r="F7" i="1893"/>
  <c r="E7" i="1893"/>
  <c r="D7" i="1893"/>
  <c r="J33" i="1893" l="1"/>
  <c r="W33" i="1893"/>
  <c r="V33" i="1893"/>
  <c r="D33" i="1893"/>
  <c r="Z33" i="1893"/>
  <c r="Y33" i="1893"/>
  <c r="N33" i="1893"/>
  <c r="K33" i="1893"/>
  <c r="Q33" i="1893"/>
  <c r="M33" i="1893"/>
  <c r="AA33" i="1891" l="1"/>
  <c r="X33" i="1891"/>
  <c r="U33" i="1891"/>
  <c r="R33" i="1891"/>
  <c r="O33" i="1891"/>
  <c r="L33" i="1891"/>
  <c r="F33" i="1891"/>
  <c r="Y28" i="1891"/>
  <c r="X28" i="1891"/>
  <c r="W28" i="1891"/>
  <c r="V28" i="1891"/>
  <c r="U28" i="1891"/>
  <c r="T28" i="1891"/>
  <c r="S28" i="1891"/>
  <c r="R28" i="1891"/>
  <c r="Q28" i="1891"/>
  <c r="P28" i="1891"/>
  <c r="O28" i="1891"/>
  <c r="N28" i="1891"/>
  <c r="M28" i="1891"/>
  <c r="L28" i="1891"/>
  <c r="K28" i="1891"/>
  <c r="J28" i="1891"/>
  <c r="I28" i="1891"/>
  <c r="H28" i="1891"/>
  <c r="G28" i="1891"/>
  <c r="F28" i="1891"/>
  <c r="E28" i="1891"/>
  <c r="D28" i="1891"/>
  <c r="Y25" i="1891"/>
  <c r="X25" i="1891"/>
  <c r="W25" i="1891"/>
  <c r="V25" i="1891"/>
  <c r="U25" i="1891"/>
  <c r="T25" i="1891"/>
  <c r="S25" i="1891"/>
  <c r="R25" i="1891"/>
  <c r="Q25" i="1891"/>
  <c r="P25" i="1891"/>
  <c r="O25" i="1891"/>
  <c r="N25" i="1891"/>
  <c r="M25" i="1891"/>
  <c r="L25" i="1891"/>
  <c r="K25" i="1891"/>
  <c r="J25" i="1891"/>
  <c r="I25" i="1891"/>
  <c r="H25" i="1891"/>
  <c r="G25" i="1891"/>
  <c r="F25" i="1891"/>
  <c r="E25" i="1891"/>
  <c r="D25" i="1891"/>
  <c r="AE19" i="1891"/>
  <c r="AD19" i="1891"/>
  <c r="AC19" i="1891"/>
  <c r="AB19" i="1891"/>
  <c r="AA19" i="1891"/>
  <c r="Z19" i="1891"/>
  <c r="Y19" i="1891"/>
  <c r="X19" i="1891"/>
  <c r="T33" i="1891" s="1"/>
  <c r="W19" i="1891"/>
  <c r="V19" i="1891"/>
  <c r="U19" i="1891"/>
  <c r="T19" i="1891"/>
  <c r="S19" i="1891"/>
  <c r="R19" i="1891"/>
  <c r="Q19" i="1891"/>
  <c r="P19" i="1891"/>
  <c r="O19" i="1891"/>
  <c r="N19" i="1891"/>
  <c r="H33" i="1891" s="1"/>
  <c r="M19" i="1891"/>
  <c r="L19" i="1891"/>
  <c r="P33" i="1891" s="1"/>
  <c r="K19" i="1891"/>
  <c r="J19" i="1891"/>
  <c r="I19" i="1891"/>
  <c r="AB33" i="1891" s="1"/>
  <c r="H19" i="1891"/>
  <c r="G19" i="1891"/>
  <c r="F19" i="1891"/>
  <c r="E19" i="1891"/>
  <c r="D19" i="1891"/>
  <c r="AE16" i="1891"/>
  <c r="AD16" i="1891"/>
  <c r="AC16" i="1891"/>
  <c r="AB16" i="1891"/>
  <c r="AA16" i="1891"/>
  <c r="Z16" i="1891"/>
  <c r="X16" i="1891"/>
  <c r="W16" i="1891"/>
  <c r="V16" i="1891"/>
  <c r="U16" i="1891"/>
  <c r="T16" i="1891"/>
  <c r="S16" i="1891"/>
  <c r="R16" i="1891"/>
  <c r="Q16" i="1891"/>
  <c r="P16" i="1891"/>
  <c r="O16" i="1891"/>
  <c r="N16" i="1891"/>
  <c r="M16" i="1891"/>
  <c r="L16" i="1891"/>
  <c r="K16" i="1891"/>
  <c r="J16" i="1891"/>
  <c r="I16" i="1891"/>
  <c r="H16" i="1891"/>
  <c r="G16" i="1891"/>
  <c r="F16" i="1891"/>
  <c r="E16" i="1891"/>
  <c r="D16" i="1891"/>
  <c r="AE10" i="1891"/>
  <c r="AD10" i="1891"/>
  <c r="AC33" i="1891" s="1"/>
  <c r="AC10" i="1891"/>
  <c r="AB10" i="1891"/>
  <c r="AA10" i="1891"/>
  <c r="Z10" i="1891"/>
  <c r="Y10" i="1891"/>
  <c r="X10" i="1891"/>
  <c r="W10" i="1891"/>
  <c r="V10" i="1891"/>
  <c r="U10" i="1891"/>
  <c r="T10" i="1891"/>
  <c r="S10" i="1891"/>
  <c r="R10" i="1891"/>
  <c r="Q10" i="1891"/>
  <c r="P10" i="1891"/>
  <c r="O10" i="1891"/>
  <c r="N10" i="1891"/>
  <c r="M10" i="1891"/>
  <c r="E33" i="1891" s="1"/>
  <c r="L10" i="1891"/>
  <c r="N33" i="1891" s="1"/>
  <c r="K10" i="1891"/>
  <c r="J10" i="1891"/>
  <c r="I10" i="1891"/>
  <c r="H10" i="1891"/>
  <c r="G10" i="1891"/>
  <c r="F10" i="1891"/>
  <c r="J33" i="1891" s="1"/>
  <c r="E10" i="1891"/>
  <c r="S33" i="1891" s="1"/>
  <c r="D10" i="1891"/>
  <c r="AE7" i="1891"/>
  <c r="AD7" i="1891"/>
  <c r="AC7" i="1891"/>
  <c r="AB7" i="1891"/>
  <c r="AA7" i="1891"/>
  <c r="Z7" i="1891"/>
  <c r="Y7" i="1891"/>
  <c r="X7" i="1891"/>
  <c r="W7" i="1891"/>
  <c r="V7" i="1891"/>
  <c r="U7" i="1891"/>
  <c r="T7" i="1891"/>
  <c r="S7" i="1891"/>
  <c r="R7" i="1891"/>
  <c r="Q7" i="1891"/>
  <c r="P7" i="1891"/>
  <c r="O7" i="1891"/>
  <c r="N7" i="1891"/>
  <c r="M7" i="1891"/>
  <c r="L7" i="1891"/>
  <c r="K7" i="1891"/>
  <c r="J7" i="1891"/>
  <c r="I7" i="1891"/>
  <c r="H7" i="1891"/>
  <c r="G7" i="1891"/>
  <c r="F7" i="1891"/>
  <c r="E7" i="1891"/>
  <c r="D7" i="1891"/>
  <c r="K33" i="1891" l="1"/>
  <c r="W33" i="1891"/>
  <c r="Z33" i="1891"/>
  <c r="V33" i="1891"/>
  <c r="D33" i="1891"/>
  <c r="Y33" i="1891"/>
  <c r="Q33" i="1891"/>
  <c r="M33" i="1891"/>
  <c r="AA33" i="1890"/>
  <c r="X33" i="1890"/>
  <c r="U33" i="1890"/>
  <c r="R33" i="1890"/>
  <c r="O33" i="1890"/>
  <c r="L33" i="1890"/>
  <c r="F33" i="1890"/>
  <c r="Y28" i="1890"/>
  <c r="X28" i="1890"/>
  <c r="W28" i="1890"/>
  <c r="V28" i="1890"/>
  <c r="U28" i="1890"/>
  <c r="T28" i="1890"/>
  <c r="S28" i="1890"/>
  <c r="R28" i="1890"/>
  <c r="Q28" i="1890"/>
  <c r="P28" i="1890"/>
  <c r="O28" i="1890"/>
  <c r="N28" i="1890"/>
  <c r="M28" i="1890"/>
  <c r="L28" i="1890"/>
  <c r="K28" i="1890"/>
  <c r="J28" i="1890"/>
  <c r="I28" i="1890"/>
  <c r="H28" i="1890"/>
  <c r="G28" i="1890"/>
  <c r="F28" i="1890"/>
  <c r="E28" i="1890"/>
  <c r="D28" i="1890"/>
  <c r="Y25" i="1890"/>
  <c r="X25" i="1890"/>
  <c r="W25" i="1890"/>
  <c r="V25" i="1890"/>
  <c r="U25" i="1890"/>
  <c r="T25" i="1890"/>
  <c r="S25" i="1890"/>
  <c r="R25" i="1890"/>
  <c r="Q25" i="1890"/>
  <c r="P25" i="1890"/>
  <c r="O25" i="1890"/>
  <c r="N25" i="1890"/>
  <c r="M25" i="1890"/>
  <c r="L25" i="1890"/>
  <c r="K25" i="1890"/>
  <c r="J25" i="1890"/>
  <c r="I25" i="1890"/>
  <c r="H25" i="1890"/>
  <c r="G25" i="1890"/>
  <c r="F25" i="1890"/>
  <c r="E25" i="1890"/>
  <c r="D25" i="1890"/>
  <c r="AE19" i="1890"/>
  <c r="AD19" i="1890"/>
  <c r="AC19" i="1890"/>
  <c r="AB19" i="1890"/>
  <c r="AA19" i="1890"/>
  <c r="Z19" i="1890"/>
  <c r="Y19" i="1890"/>
  <c r="X19" i="1890"/>
  <c r="T33" i="1890" s="1"/>
  <c r="W19" i="1890"/>
  <c r="V19" i="1890"/>
  <c r="U19" i="1890"/>
  <c r="T19" i="1890"/>
  <c r="S19" i="1890"/>
  <c r="R19" i="1890"/>
  <c r="Q19" i="1890"/>
  <c r="P19" i="1890"/>
  <c r="O19" i="1890"/>
  <c r="N19" i="1890"/>
  <c r="H33" i="1890" s="1"/>
  <c r="M19" i="1890"/>
  <c r="L19" i="1890"/>
  <c r="P33" i="1890" s="1"/>
  <c r="K19" i="1890"/>
  <c r="J19" i="1890"/>
  <c r="I19" i="1890"/>
  <c r="AB33" i="1890" s="1"/>
  <c r="H19" i="1890"/>
  <c r="G19" i="1890"/>
  <c r="F19" i="1890"/>
  <c r="E19" i="1890"/>
  <c r="D19" i="1890"/>
  <c r="AE16" i="1890"/>
  <c r="AD16" i="1890"/>
  <c r="AC16" i="1890"/>
  <c r="AB16" i="1890"/>
  <c r="AA16" i="1890"/>
  <c r="Z16" i="1890"/>
  <c r="X16" i="1890"/>
  <c r="W16" i="1890"/>
  <c r="V16" i="1890"/>
  <c r="U16" i="1890"/>
  <c r="T16" i="1890"/>
  <c r="S16" i="1890"/>
  <c r="R16" i="1890"/>
  <c r="Q16" i="1890"/>
  <c r="P16" i="1890"/>
  <c r="O16" i="1890"/>
  <c r="N16" i="1890"/>
  <c r="M16" i="1890"/>
  <c r="L16" i="1890"/>
  <c r="K16" i="1890"/>
  <c r="J16" i="1890"/>
  <c r="I16" i="1890"/>
  <c r="H16" i="1890"/>
  <c r="G16" i="1890"/>
  <c r="F16" i="1890"/>
  <c r="E16" i="1890"/>
  <c r="D16" i="1890"/>
  <c r="AE10" i="1890"/>
  <c r="AD10" i="1890"/>
  <c r="AC33" i="1890" s="1"/>
  <c r="AC10" i="1890"/>
  <c r="AB10" i="1890"/>
  <c r="AA10" i="1890"/>
  <c r="Z10" i="1890"/>
  <c r="Y10" i="1890"/>
  <c r="X10" i="1890"/>
  <c r="W10" i="1890"/>
  <c r="V10" i="1890"/>
  <c r="U10" i="1890"/>
  <c r="T10" i="1890"/>
  <c r="S10" i="1890"/>
  <c r="R10" i="1890"/>
  <c r="Q10" i="1890"/>
  <c r="P10" i="1890"/>
  <c r="O10" i="1890"/>
  <c r="N10" i="1890"/>
  <c r="M10" i="1890"/>
  <c r="L10" i="1890"/>
  <c r="N33" i="1890" s="1"/>
  <c r="K10" i="1890"/>
  <c r="J10" i="1890"/>
  <c r="I10" i="1890"/>
  <c r="H10" i="1890"/>
  <c r="G10" i="1890"/>
  <c r="F10" i="1890"/>
  <c r="J33" i="1890" s="1"/>
  <c r="E10" i="1890"/>
  <c r="S33" i="1890" s="1"/>
  <c r="D10" i="1890"/>
  <c r="AE7" i="1890"/>
  <c r="AD7" i="1890"/>
  <c r="AC7" i="1890"/>
  <c r="AB7" i="1890"/>
  <c r="AA7" i="1890"/>
  <c r="Z7" i="1890"/>
  <c r="Y7" i="1890"/>
  <c r="X7" i="1890"/>
  <c r="W7" i="1890"/>
  <c r="V7" i="1890"/>
  <c r="U7" i="1890"/>
  <c r="T7" i="1890"/>
  <c r="S7" i="1890"/>
  <c r="R7" i="1890"/>
  <c r="Q7" i="1890"/>
  <c r="P7" i="1890"/>
  <c r="O7" i="1890"/>
  <c r="N7" i="1890"/>
  <c r="M7" i="1890"/>
  <c r="L7" i="1890"/>
  <c r="K7" i="1890"/>
  <c r="J7" i="1890"/>
  <c r="I7" i="1890"/>
  <c r="H7" i="1890"/>
  <c r="G7" i="1890"/>
  <c r="F7" i="1890"/>
  <c r="E7" i="1890"/>
  <c r="D7" i="1890"/>
  <c r="E33" i="1890" l="1"/>
  <c r="K33" i="1890"/>
  <c r="W33" i="1890"/>
  <c r="Z33" i="1890"/>
  <c r="V33" i="1890"/>
  <c r="D33" i="1890"/>
  <c r="Y33" i="1890"/>
  <c r="Q33" i="1890"/>
  <c r="M33" i="1890"/>
  <c r="AA33" i="1889"/>
  <c r="X33" i="1889"/>
  <c r="U33" i="1889"/>
  <c r="R33" i="1889"/>
  <c r="O33" i="1889"/>
  <c r="L33" i="1889"/>
  <c r="F33" i="1889"/>
  <c r="Y28" i="1889"/>
  <c r="X28" i="1889"/>
  <c r="W28" i="1889"/>
  <c r="V28" i="1889"/>
  <c r="U28" i="1889"/>
  <c r="T28" i="1889"/>
  <c r="S28" i="1889"/>
  <c r="R28" i="1889"/>
  <c r="Q28" i="1889"/>
  <c r="P28" i="1889"/>
  <c r="O28" i="1889"/>
  <c r="N28" i="1889"/>
  <c r="M28" i="1889"/>
  <c r="L28" i="1889"/>
  <c r="K28" i="1889"/>
  <c r="J28" i="1889"/>
  <c r="I28" i="1889"/>
  <c r="H28" i="1889"/>
  <c r="G28" i="1889"/>
  <c r="F28" i="1889"/>
  <c r="E28" i="1889"/>
  <c r="D28" i="1889"/>
  <c r="Y25" i="1889"/>
  <c r="X25" i="1889"/>
  <c r="W25" i="1889"/>
  <c r="V25" i="1889"/>
  <c r="U25" i="1889"/>
  <c r="T25" i="1889"/>
  <c r="S25" i="1889"/>
  <c r="R25" i="1889"/>
  <c r="Q25" i="1889"/>
  <c r="P25" i="1889"/>
  <c r="O25" i="1889"/>
  <c r="N25" i="1889"/>
  <c r="M25" i="1889"/>
  <c r="L25" i="1889"/>
  <c r="K25" i="1889"/>
  <c r="J25" i="1889"/>
  <c r="I25" i="1889"/>
  <c r="H25" i="1889"/>
  <c r="G25" i="1889"/>
  <c r="F25" i="1889"/>
  <c r="E25" i="1889"/>
  <c r="D25" i="1889"/>
  <c r="AE19" i="1889"/>
  <c r="AD19" i="1889"/>
  <c r="AC19" i="1889"/>
  <c r="AB19" i="1889"/>
  <c r="AA19" i="1889"/>
  <c r="Z19" i="1889"/>
  <c r="Y19" i="1889"/>
  <c r="X19" i="1889"/>
  <c r="T33" i="1889" s="1"/>
  <c r="W19" i="1889"/>
  <c r="V19" i="1889"/>
  <c r="U19" i="1889"/>
  <c r="T19" i="1889"/>
  <c r="S19" i="1889"/>
  <c r="R19" i="1889"/>
  <c r="Q19" i="1889"/>
  <c r="P19" i="1889"/>
  <c r="O19" i="1889"/>
  <c r="N19" i="1889"/>
  <c r="H33" i="1889" s="1"/>
  <c r="M19" i="1889"/>
  <c r="L19" i="1889"/>
  <c r="P33" i="1889" s="1"/>
  <c r="K19" i="1889"/>
  <c r="J19" i="1889"/>
  <c r="I19" i="1889"/>
  <c r="AB33" i="1889" s="1"/>
  <c r="H19" i="1889"/>
  <c r="G19" i="1889"/>
  <c r="F19" i="1889"/>
  <c r="E19" i="1889"/>
  <c r="D19" i="1889"/>
  <c r="AE16" i="1889"/>
  <c r="AD16" i="1889"/>
  <c r="AC16" i="1889"/>
  <c r="AB16" i="1889"/>
  <c r="AA16" i="1889"/>
  <c r="Z16" i="1889"/>
  <c r="X16" i="1889"/>
  <c r="W16" i="1889"/>
  <c r="V16" i="1889"/>
  <c r="U16" i="1889"/>
  <c r="T16" i="1889"/>
  <c r="S16" i="1889"/>
  <c r="R16" i="1889"/>
  <c r="Q16" i="1889"/>
  <c r="P16" i="1889"/>
  <c r="O16" i="1889"/>
  <c r="N16" i="1889"/>
  <c r="M16" i="1889"/>
  <c r="L16" i="1889"/>
  <c r="K16" i="1889"/>
  <c r="J16" i="1889"/>
  <c r="I16" i="1889"/>
  <c r="H16" i="1889"/>
  <c r="G16" i="1889"/>
  <c r="F16" i="1889"/>
  <c r="E16" i="1889"/>
  <c r="D16" i="1889"/>
  <c r="AE10" i="1889"/>
  <c r="AD10" i="1889"/>
  <c r="AC33" i="1889" s="1"/>
  <c r="AC10" i="1889"/>
  <c r="AB10" i="1889"/>
  <c r="AA10" i="1889"/>
  <c r="Z10" i="1889"/>
  <c r="Y10" i="1889"/>
  <c r="X10" i="1889"/>
  <c r="W10" i="1889"/>
  <c r="V10" i="1889"/>
  <c r="U10" i="1889"/>
  <c r="T10" i="1889"/>
  <c r="S10" i="1889"/>
  <c r="R10" i="1889"/>
  <c r="Q10" i="1889"/>
  <c r="P10" i="1889"/>
  <c r="O10" i="1889"/>
  <c r="N10" i="1889"/>
  <c r="M10" i="1889"/>
  <c r="E33" i="1889" s="1"/>
  <c r="L10" i="1889"/>
  <c r="K10" i="1889"/>
  <c r="J10" i="1889"/>
  <c r="I10" i="1889"/>
  <c r="H10" i="1889"/>
  <c r="G10" i="1889"/>
  <c r="F10" i="1889"/>
  <c r="E10" i="1889"/>
  <c r="S33" i="1889" s="1"/>
  <c r="D10" i="1889"/>
  <c r="AE7" i="1889"/>
  <c r="AD7" i="1889"/>
  <c r="AC7" i="1889"/>
  <c r="AB7" i="1889"/>
  <c r="AA7" i="1889"/>
  <c r="Z7" i="1889"/>
  <c r="Y7" i="1889"/>
  <c r="X7" i="1889"/>
  <c r="W7" i="1889"/>
  <c r="V7" i="1889"/>
  <c r="U7" i="1889"/>
  <c r="T7" i="1889"/>
  <c r="S7" i="1889"/>
  <c r="R7" i="1889"/>
  <c r="Q7" i="1889"/>
  <c r="P7" i="1889"/>
  <c r="O7" i="1889"/>
  <c r="N7" i="1889"/>
  <c r="M7" i="1889"/>
  <c r="L7" i="1889"/>
  <c r="K7" i="1889"/>
  <c r="J7" i="1889"/>
  <c r="I7" i="1889"/>
  <c r="H7" i="1889"/>
  <c r="G7" i="1889"/>
  <c r="F7" i="1889"/>
  <c r="E7" i="1889"/>
  <c r="D7" i="1889"/>
  <c r="J33" i="1889" l="1"/>
  <c r="N33" i="1889"/>
  <c r="V33" i="1889"/>
  <c r="D33" i="1889"/>
  <c r="Z33" i="1889"/>
  <c r="Y33" i="1889"/>
  <c r="K33" i="1889"/>
  <c r="Q33" i="1889"/>
  <c r="M33" i="1889"/>
  <c r="W33" i="1889"/>
  <c r="AA33" i="1888"/>
  <c r="X33" i="1888"/>
  <c r="U33" i="1888"/>
  <c r="R33" i="1888"/>
  <c r="O33" i="1888"/>
  <c r="L33" i="1888"/>
  <c r="F33" i="1888"/>
  <c r="Y28" i="1888"/>
  <c r="X28" i="1888"/>
  <c r="W28" i="1888"/>
  <c r="V28" i="1888"/>
  <c r="U28" i="1888"/>
  <c r="T28" i="1888"/>
  <c r="S28" i="1888"/>
  <c r="R28" i="1888"/>
  <c r="Q28" i="1888"/>
  <c r="P28" i="1888"/>
  <c r="O28" i="1888"/>
  <c r="N28" i="1888"/>
  <c r="M28" i="1888"/>
  <c r="L28" i="1888"/>
  <c r="K28" i="1888"/>
  <c r="J28" i="1888"/>
  <c r="I28" i="1888"/>
  <c r="H28" i="1888"/>
  <c r="G28" i="1888"/>
  <c r="F28" i="1888"/>
  <c r="E28" i="1888"/>
  <c r="D28" i="1888"/>
  <c r="Y25" i="1888"/>
  <c r="X25" i="1888"/>
  <c r="W25" i="1888"/>
  <c r="V25" i="1888"/>
  <c r="U25" i="1888"/>
  <c r="T25" i="1888"/>
  <c r="S25" i="1888"/>
  <c r="R25" i="1888"/>
  <c r="Q25" i="1888"/>
  <c r="P25" i="1888"/>
  <c r="O25" i="1888"/>
  <c r="N25" i="1888"/>
  <c r="M25" i="1888"/>
  <c r="L25" i="1888"/>
  <c r="K25" i="1888"/>
  <c r="J25" i="1888"/>
  <c r="I25" i="1888"/>
  <c r="H25" i="1888"/>
  <c r="G25" i="1888"/>
  <c r="F25" i="1888"/>
  <c r="E25" i="1888"/>
  <c r="D25" i="1888"/>
  <c r="AE19" i="1888"/>
  <c r="AD19" i="1888"/>
  <c r="AC19" i="1888"/>
  <c r="AB19" i="1888"/>
  <c r="AA19" i="1888"/>
  <c r="Z19" i="1888"/>
  <c r="Y19" i="1888"/>
  <c r="X19" i="1888"/>
  <c r="T33" i="1888" s="1"/>
  <c r="W19" i="1888"/>
  <c r="V19" i="1888"/>
  <c r="U19" i="1888"/>
  <c r="T19" i="1888"/>
  <c r="S19" i="1888"/>
  <c r="R19" i="1888"/>
  <c r="Q19" i="1888"/>
  <c r="P19" i="1888"/>
  <c r="O19" i="1888"/>
  <c r="N19" i="1888"/>
  <c r="H33" i="1888" s="1"/>
  <c r="M19" i="1888"/>
  <c r="L19" i="1888"/>
  <c r="P33" i="1888" s="1"/>
  <c r="K19" i="1888"/>
  <c r="J19" i="1888"/>
  <c r="I19" i="1888"/>
  <c r="AB33" i="1888" s="1"/>
  <c r="H19" i="1888"/>
  <c r="G19" i="1888"/>
  <c r="F19" i="1888"/>
  <c r="E19" i="1888"/>
  <c r="D19" i="1888"/>
  <c r="AE16" i="1888"/>
  <c r="AD16" i="1888"/>
  <c r="AC16" i="1888"/>
  <c r="AB16" i="1888"/>
  <c r="AA16" i="1888"/>
  <c r="Z16" i="1888"/>
  <c r="X16" i="1888"/>
  <c r="W16" i="1888"/>
  <c r="V16" i="1888"/>
  <c r="U16" i="1888"/>
  <c r="T16" i="1888"/>
  <c r="S16" i="1888"/>
  <c r="R16" i="1888"/>
  <c r="Q16" i="1888"/>
  <c r="P16" i="1888"/>
  <c r="O16" i="1888"/>
  <c r="N16" i="1888"/>
  <c r="M16" i="1888"/>
  <c r="L16" i="1888"/>
  <c r="K16" i="1888"/>
  <c r="J16" i="1888"/>
  <c r="I16" i="1888"/>
  <c r="H16" i="1888"/>
  <c r="G16" i="1888"/>
  <c r="F16" i="1888"/>
  <c r="E16" i="1888"/>
  <c r="D16" i="1888"/>
  <c r="AE10" i="1888"/>
  <c r="AD10" i="1888"/>
  <c r="AC33" i="1888" s="1"/>
  <c r="AC10" i="1888"/>
  <c r="AB10" i="1888"/>
  <c r="AA10" i="1888"/>
  <c r="Z10" i="1888"/>
  <c r="Y10" i="1888"/>
  <c r="X10" i="1888"/>
  <c r="W10" i="1888"/>
  <c r="V10" i="1888"/>
  <c r="U10" i="1888"/>
  <c r="T10" i="1888"/>
  <c r="S10" i="1888"/>
  <c r="R10" i="1888"/>
  <c r="Q10" i="1888"/>
  <c r="P10" i="1888"/>
  <c r="O10" i="1888"/>
  <c r="N10" i="1888"/>
  <c r="M10" i="1888"/>
  <c r="E33" i="1888" s="1"/>
  <c r="L10" i="1888"/>
  <c r="K10" i="1888"/>
  <c r="J10" i="1888"/>
  <c r="I10" i="1888"/>
  <c r="H10" i="1888"/>
  <c r="G10" i="1888"/>
  <c r="F10" i="1888"/>
  <c r="J33" i="1888" s="1"/>
  <c r="E10" i="1888"/>
  <c r="S33" i="1888" s="1"/>
  <c r="D10" i="1888"/>
  <c r="AE7" i="1888"/>
  <c r="AD7" i="1888"/>
  <c r="AC7" i="1888"/>
  <c r="AB7" i="1888"/>
  <c r="AA7" i="1888"/>
  <c r="Z7" i="1888"/>
  <c r="Y7" i="1888"/>
  <c r="X7" i="1888"/>
  <c r="W7" i="1888"/>
  <c r="V7" i="1888"/>
  <c r="U7" i="1888"/>
  <c r="T7" i="1888"/>
  <c r="S7" i="1888"/>
  <c r="R7" i="1888"/>
  <c r="Q7" i="1888"/>
  <c r="P7" i="1888"/>
  <c r="O7" i="1888"/>
  <c r="N7" i="1888"/>
  <c r="M7" i="1888"/>
  <c r="L7" i="1888"/>
  <c r="K7" i="1888"/>
  <c r="J7" i="1888"/>
  <c r="I7" i="1888"/>
  <c r="H7" i="1888"/>
  <c r="G7" i="1888"/>
  <c r="F7" i="1888"/>
  <c r="E7" i="1888"/>
  <c r="D7" i="1888"/>
  <c r="N33" i="1888" l="1"/>
  <c r="Q33" i="1888"/>
  <c r="D33" i="1888"/>
  <c r="Z33" i="1888"/>
  <c r="Y33" i="1888"/>
  <c r="K33" i="1888"/>
  <c r="M33" i="1888"/>
  <c r="W33" i="1888"/>
  <c r="V33" i="1888"/>
  <c r="AA33" i="1887"/>
  <c r="X33" i="1887"/>
  <c r="U33" i="1887"/>
  <c r="R33" i="1887"/>
  <c r="O33" i="1887"/>
  <c r="L33" i="1887"/>
  <c r="F33" i="1887"/>
  <c r="Y28" i="1887"/>
  <c r="X28" i="1887"/>
  <c r="W28" i="1887"/>
  <c r="V28" i="1887"/>
  <c r="U28" i="1887"/>
  <c r="T28" i="1887"/>
  <c r="S28" i="1887"/>
  <c r="R28" i="1887"/>
  <c r="Q28" i="1887"/>
  <c r="P28" i="1887"/>
  <c r="O28" i="1887"/>
  <c r="N28" i="1887"/>
  <c r="M28" i="1887"/>
  <c r="L28" i="1887"/>
  <c r="K28" i="1887"/>
  <c r="J28" i="1887"/>
  <c r="I28" i="1887"/>
  <c r="H28" i="1887"/>
  <c r="G28" i="1887"/>
  <c r="F28" i="1887"/>
  <c r="E28" i="1887"/>
  <c r="D28" i="1887"/>
  <c r="Y25" i="1887"/>
  <c r="X25" i="1887"/>
  <c r="W25" i="1887"/>
  <c r="V25" i="1887"/>
  <c r="U25" i="1887"/>
  <c r="T25" i="1887"/>
  <c r="S25" i="1887"/>
  <c r="R25" i="1887"/>
  <c r="Q25" i="1887"/>
  <c r="P25" i="1887"/>
  <c r="O25" i="1887"/>
  <c r="N25" i="1887"/>
  <c r="M25" i="1887"/>
  <c r="L25" i="1887"/>
  <c r="K25" i="1887"/>
  <c r="J25" i="1887"/>
  <c r="I25" i="1887"/>
  <c r="H25" i="1887"/>
  <c r="G25" i="1887"/>
  <c r="F25" i="1887"/>
  <c r="E25" i="1887"/>
  <c r="D25" i="1887"/>
  <c r="AE19" i="1887"/>
  <c r="AD19" i="1887"/>
  <c r="AC19" i="1887"/>
  <c r="AB19" i="1887"/>
  <c r="AA19" i="1887"/>
  <c r="Z19" i="1887"/>
  <c r="Y19" i="1887"/>
  <c r="X19" i="1887"/>
  <c r="T33" i="1887" s="1"/>
  <c r="W19" i="1887"/>
  <c r="V19" i="1887"/>
  <c r="U19" i="1887"/>
  <c r="T19" i="1887"/>
  <c r="S19" i="1887"/>
  <c r="R19" i="1887"/>
  <c r="Q19" i="1887"/>
  <c r="P19" i="1887"/>
  <c r="O19" i="1887"/>
  <c r="N19" i="1887"/>
  <c r="H33" i="1887" s="1"/>
  <c r="M19" i="1887"/>
  <c r="L19" i="1887"/>
  <c r="P33" i="1887" s="1"/>
  <c r="K19" i="1887"/>
  <c r="J19" i="1887"/>
  <c r="I19" i="1887"/>
  <c r="AB33" i="1887" s="1"/>
  <c r="H19" i="1887"/>
  <c r="G19" i="1887"/>
  <c r="F19" i="1887"/>
  <c r="E19" i="1887"/>
  <c r="D19" i="1887"/>
  <c r="AE16" i="1887"/>
  <c r="AD16" i="1887"/>
  <c r="AC16" i="1887"/>
  <c r="AB16" i="1887"/>
  <c r="AA16" i="1887"/>
  <c r="Z16" i="1887"/>
  <c r="X16" i="1887"/>
  <c r="W16" i="1887"/>
  <c r="V16" i="1887"/>
  <c r="U16" i="1887"/>
  <c r="T16" i="1887"/>
  <c r="S16" i="1887"/>
  <c r="R16" i="1887"/>
  <c r="Q16" i="1887"/>
  <c r="P16" i="1887"/>
  <c r="O16" i="1887"/>
  <c r="N16" i="1887"/>
  <c r="M16" i="1887"/>
  <c r="L16" i="1887"/>
  <c r="K16" i="1887"/>
  <c r="J16" i="1887"/>
  <c r="I16" i="1887"/>
  <c r="H16" i="1887"/>
  <c r="G16" i="1887"/>
  <c r="F16" i="1887"/>
  <c r="E16" i="1887"/>
  <c r="D16" i="1887"/>
  <c r="AE10" i="1887"/>
  <c r="AD10" i="1887"/>
  <c r="AC33" i="1887" s="1"/>
  <c r="AC10" i="1887"/>
  <c r="AB10" i="1887"/>
  <c r="AA10" i="1887"/>
  <c r="Z10" i="1887"/>
  <c r="Y10" i="1887"/>
  <c r="X10" i="1887"/>
  <c r="W10" i="1887"/>
  <c r="V10" i="1887"/>
  <c r="U10" i="1887"/>
  <c r="T10" i="1887"/>
  <c r="S10" i="1887"/>
  <c r="R10" i="1887"/>
  <c r="Q10" i="1887"/>
  <c r="P10" i="1887"/>
  <c r="O10" i="1887"/>
  <c r="N10" i="1887"/>
  <c r="Q33" i="1887" s="1"/>
  <c r="M10" i="1887"/>
  <c r="L10" i="1887"/>
  <c r="N33" i="1887" s="1"/>
  <c r="K10" i="1887"/>
  <c r="J10" i="1887"/>
  <c r="I10" i="1887"/>
  <c r="H10" i="1887"/>
  <c r="G10" i="1887"/>
  <c r="F10" i="1887"/>
  <c r="J33" i="1887" s="1"/>
  <c r="E10" i="1887"/>
  <c r="S33" i="1887" s="1"/>
  <c r="D10" i="1887"/>
  <c r="AE7" i="1887"/>
  <c r="AD7" i="1887"/>
  <c r="AC7" i="1887"/>
  <c r="AB7" i="1887"/>
  <c r="AA7" i="1887"/>
  <c r="Z7" i="1887"/>
  <c r="Y7" i="1887"/>
  <c r="X7" i="1887"/>
  <c r="W7" i="1887"/>
  <c r="V7" i="1887"/>
  <c r="U7" i="1887"/>
  <c r="T7" i="1887"/>
  <c r="S7" i="1887"/>
  <c r="R7" i="1887"/>
  <c r="Q7" i="1887"/>
  <c r="P7" i="1887"/>
  <c r="O7" i="1887"/>
  <c r="N7" i="1887"/>
  <c r="M7" i="1887"/>
  <c r="L7" i="1887"/>
  <c r="K7" i="1887"/>
  <c r="J7" i="1887"/>
  <c r="I7" i="1887"/>
  <c r="H7" i="1887"/>
  <c r="G7" i="1887"/>
  <c r="F7" i="1887"/>
  <c r="E7" i="1887"/>
  <c r="D7" i="1887"/>
  <c r="K33" i="1887" l="1"/>
  <c r="W33" i="1887"/>
  <c r="Z33" i="1887"/>
  <c r="D33" i="1887"/>
  <c r="Y33" i="1887"/>
  <c r="E33" i="1887"/>
  <c r="M33" i="1887"/>
  <c r="V33" i="1887"/>
  <c r="AA33" i="1886"/>
  <c r="X33" i="1886"/>
  <c r="U33" i="1886"/>
  <c r="R33" i="1886"/>
  <c r="O33" i="1886"/>
  <c r="L33" i="1886"/>
  <c r="F33" i="1886"/>
  <c r="E33" i="1886"/>
  <c r="Y28" i="1886"/>
  <c r="X28" i="1886"/>
  <c r="W28" i="1886"/>
  <c r="V28" i="1886"/>
  <c r="U28" i="1886"/>
  <c r="T28" i="1886"/>
  <c r="S28" i="1886"/>
  <c r="R28" i="1886"/>
  <c r="Q28" i="1886"/>
  <c r="P28" i="1886"/>
  <c r="O28" i="1886"/>
  <c r="N28" i="1886"/>
  <c r="M28" i="1886"/>
  <c r="L28" i="1886"/>
  <c r="K28" i="1886"/>
  <c r="J28" i="1886"/>
  <c r="I28" i="1886"/>
  <c r="H28" i="1886"/>
  <c r="G28" i="1886"/>
  <c r="F28" i="1886"/>
  <c r="E28" i="1886"/>
  <c r="D28" i="1886"/>
  <c r="Y25" i="1886"/>
  <c r="X25" i="1886"/>
  <c r="W25" i="1886"/>
  <c r="V25" i="1886"/>
  <c r="U25" i="1886"/>
  <c r="T25" i="1886"/>
  <c r="S25" i="1886"/>
  <c r="R25" i="1886"/>
  <c r="Q25" i="1886"/>
  <c r="P25" i="1886"/>
  <c r="O25" i="1886"/>
  <c r="N25" i="1886"/>
  <c r="M25" i="1886"/>
  <c r="L25" i="1886"/>
  <c r="K25" i="1886"/>
  <c r="J25" i="1886"/>
  <c r="I25" i="1886"/>
  <c r="H25" i="1886"/>
  <c r="G25" i="1886"/>
  <c r="F25" i="1886"/>
  <c r="E25" i="1886"/>
  <c r="D25" i="1886"/>
  <c r="AE19" i="1886"/>
  <c r="AD19" i="1886"/>
  <c r="AC19" i="1886"/>
  <c r="AB19" i="1886"/>
  <c r="AA19" i="1886"/>
  <c r="Z19" i="1886"/>
  <c r="Y19" i="1886"/>
  <c r="X19" i="1886"/>
  <c r="T33" i="1886" s="1"/>
  <c r="W19" i="1886"/>
  <c r="V19" i="1886"/>
  <c r="U19" i="1886"/>
  <c r="T19" i="1886"/>
  <c r="S19" i="1886"/>
  <c r="R19" i="1886"/>
  <c r="Q19" i="1886"/>
  <c r="P19" i="1886"/>
  <c r="O19" i="1886"/>
  <c r="N19" i="1886"/>
  <c r="H33" i="1886" s="1"/>
  <c r="M19" i="1886"/>
  <c r="L19" i="1886"/>
  <c r="P33" i="1886" s="1"/>
  <c r="K19" i="1886"/>
  <c r="J19" i="1886"/>
  <c r="I19" i="1886"/>
  <c r="AB33" i="1886" s="1"/>
  <c r="H19" i="1886"/>
  <c r="G19" i="1886"/>
  <c r="F19" i="1886"/>
  <c r="E19" i="1886"/>
  <c r="D19" i="1886"/>
  <c r="AE16" i="1886"/>
  <c r="AD16" i="1886"/>
  <c r="AC16" i="1886"/>
  <c r="AB16" i="1886"/>
  <c r="AA16" i="1886"/>
  <c r="Z16" i="1886"/>
  <c r="X16" i="1886"/>
  <c r="W16" i="1886"/>
  <c r="V16" i="1886"/>
  <c r="U16" i="1886"/>
  <c r="T16" i="1886"/>
  <c r="S16" i="1886"/>
  <c r="R16" i="1886"/>
  <c r="Q16" i="1886"/>
  <c r="P16" i="1886"/>
  <c r="O16" i="1886"/>
  <c r="N16" i="1886"/>
  <c r="M16" i="1886"/>
  <c r="L16" i="1886"/>
  <c r="K16" i="1886"/>
  <c r="J16" i="1886"/>
  <c r="I16" i="1886"/>
  <c r="H16" i="1886"/>
  <c r="G16" i="1886"/>
  <c r="F16" i="1886"/>
  <c r="E16" i="1886"/>
  <c r="D16" i="1886"/>
  <c r="AE10" i="1886"/>
  <c r="AD10" i="1886"/>
  <c r="AC33" i="1886" s="1"/>
  <c r="AC10" i="1886"/>
  <c r="AB10" i="1886"/>
  <c r="AA10" i="1886"/>
  <c r="Z10" i="1886"/>
  <c r="Y10" i="1886"/>
  <c r="X10" i="1886"/>
  <c r="W10" i="1886"/>
  <c r="V10" i="1886"/>
  <c r="U10" i="1886"/>
  <c r="T10" i="1886"/>
  <c r="S10" i="1886"/>
  <c r="R10" i="1886"/>
  <c r="Q10" i="1886"/>
  <c r="P10" i="1886"/>
  <c r="O10" i="1886"/>
  <c r="N10" i="1886"/>
  <c r="Q33" i="1886" s="1"/>
  <c r="M10" i="1886"/>
  <c r="L10" i="1886"/>
  <c r="N33" i="1886" s="1"/>
  <c r="K10" i="1886"/>
  <c r="J10" i="1886"/>
  <c r="I10" i="1886"/>
  <c r="H10" i="1886"/>
  <c r="G10" i="1886"/>
  <c r="F10" i="1886"/>
  <c r="J33" i="1886" s="1"/>
  <c r="E10" i="1886"/>
  <c r="S33" i="1886" s="1"/>
  <c r="D10" i="1886"/>
  <c r="AE7" i="1886"/>
  <c r="AD7" i="1886"/>
  <c r="AC7" i="1886"/>
  <c r="AB7" i="1886"/>
  <c r="AA7" i="1886"/>
  <c r="Z7" i="1886"/>
  <c r="Y7" i="1886"/>
  <c r="X7" i="1886"/>
  <c r="W7" i="1886"/>
  <c r="V7" i="1886"/>
  <c r="U7" i="1886"/>
  <c r="T7" i="1886"/>
  <c r="S7" i="1886"/>
  <c r="R7" i="1886"/>
  <c r="Q7" i="1886"/>
  <c r="P7" i="1886"/>
  <c r="O7" i="1886"/>
  <c r="N7" i="1886"/>
  <c r="M7" i="1886"/>
  <c r="L7" i="1886"/>
  <c r="K7" i="1886"/>
  <c r="J7" i="1886"/>
  <c r="I7" i="1886"/>
  <c r="H7" i="1886"/>
  <c r="G7" i="1886"/>
  <c r="F7" i="1886"/>
  <c r="E7" i="1886"/>
  <c r="D7" i="1886"/>
  <c r="V33" i="1886" l="1"/>
  <c r="W33" i="1886"/>
  <c r="Z33" i="1886"/>
  <c r="D33" i="1886"/>
  <c r="Y33" i="1886"/>
  <c r="K33" i="1886"/>
  <c r="M33" i="1886"/>
  <c r="AA33" i="1885"/>
  <c r="X33" i="1885"/>
  <c r="U33" i="1885"/>
  <c r="R33" i="1885"/>
  <c r="O33" i="1885"/>
  <c r="L33" i="1885"/>
  <c r="F33" i="1885"/>
  <c r="Y28" i="1885"/>
  <c r="X28" i="1885"/>
  <c r="W28" i="1885"/>
  <c r="V28" i="1885"/>
  <c r="U28" i="1885"/>
  <c r="T28" i="1885"/>
  <c r="S28" i="1885"/>
  <c r="R28" i="1885"/>
  <c r="Q28" i="1885"/>
  <c r="P28" i="1885"/>
  <c r="O28" i="1885"/>
  <c r="N28" i="1885"/>
  <c r="M28" i="1885"/>
  <c r="L28" i="1885"/>
  <c r="K28" i="1885"/>
  <c r="J28" i="1885"/>
  <c r="I28" i="1885"/>
  <c r="H28" i="1885"/>
  <c r="G28" i="1885"/>
  <c r="F28" i="1885"/>
  <c r="E28" i="1885"/>
  <c r="D28" i="1885"/>
  <c r="Y25" i="1885"/>
  <c r="X25" i="1885"/>
  <c r="W25" i="1885"/>
  <c r="V25" i="1885"/>
  <c r="U25" i="1885"/>
  <c r="T25" i="1885"/>
  <c r="S25" i="1885"/>
  <c r="R25" i="1885"/>
  <c r="Q25" i="1885"/>
  <c r="P25" i="1885"/>
  <c r="O25" i="1885"/>
  <c r="N25" i="1885"/>
  <c r="M25" i="1885"/>
  <c r="L25" i="1885"/>
  <c r="K25" i="1885"/>
  <c r="J25" i="1885"/>
  <c r="I25" i="1885"/>
  <c r="H25" i="1885"/>
  <c r="G25" i="1885"/>
  <c r="F25" i="1885"/>
  <c r="E25" i="1885"/>
  <c r="D25" i="1885"/>
  <c r="AE19" i="1885"/>
  <c r="AD19" i="1885"/>
  <c r="AC19" i="1885"/>
  <c r="AB19" i="1885"/>
  <c r="AA19" i="1885"/>
  <c r="Z19" i="1885"/>
  <c r="Y19" i="1885"/>
  <c r="X19" i="1885"/>
  <c r="T33" i="1885" s="1"/>
  <c r="W19" i="1885"/>
  <c r="V19" i="1885"/>
  <c r="U19" i="1885"/>
  <c r="T19" i="1885"/>
  <c r="S19" i="1885"/>
  <c r="R19" i="1885"/>
  <c r="Q19" i="1885"/>
  <c r="P19" i="1885"/>
  <c r="O19" i="1885"/>
  <c r="N19" i="1885"/>
  <c r="H33" i="1885" s="1"/>
  <c r="M19" i="1885"/>
  <c r="L19" i="1885"/>
  <c r="P33" i="1885" s="1"/>
  <c r="K19" i="1885"/>
  <c r="J19" i="1885"/>
  <c r="I19" i="1885"/>
  <c r="AB33" i="1885" s="1"/>
  <c r="H19" i="1885"/>
  <c r="G19" i="1885"/>
  <c r="F19" i="1885"/>
  <c r="E19" i="1885"/>
  <c r="D19" i="1885"/>
  <c r="AE16" i="1885"/>
  <c r="AD16" i="1885"/>
  <c r="AC16" i="1885"/>
  <c r="AB16" i="1885"/>
  <c r="AA16" i="1885"/>
  <c r="Z16" i="1885"/>
  <c r="X16" i="1885"/>
  <c r="W16" i="1885"/>
  <c r="V16" i="1885"/>
  <c r="U16" i="1885"/>
  <c r="T16" i="1885"/>
  <c r="S16" i="1885"/>
  <c r="R16" i="1885"/>
  <c r="Q16" i="1885"/>
  <c r="P16" i="1885"/>
  <c r="O16" i="1885"/>
  <c r="N16" i="1885"/>
  <c r="M16" i="1885"/>
  <c r="L16" i="1885"/>
  <c r="K16" i="1885"/>
  <c r="J16" i="1885"/>
  <c r="I16" i="1885"/>
  <c r="H16" i="1885"/>
  <c r="G16" i="1885"/>
  <c r="F16" i="1885"/>
  <c r="E16" i="1885"/>
  <c r="D16" i="1885"/>
  <c r="AE10" i="1885"/>
  <c r="AD10" i="1885"/>
  <c r="AC33" i="1885" s="1"/>
  <c r="AC10" i="1885"/>
  <c r="AB10" i="1885"/>
  <c r="AA10" i="1885"/>
  <c r="Z10" i="1885"/>
  <c r="Y10" i="1885"/>
  <c r="X10" i="1885"/>
  <c r="W10" i="1885"/>
  <c r="V10" i="1885"/>
  <c r="U10" i="1885"/>
  <c r="T10" i="1885"/>
  <c r="S10" i="1885"/>
  <c r="R10" i="1885"/>
  <c r="Q10" i="1885"/>
  <c r="P10" i="1885"/>
  <c r="O10" i="1885"/>
  <c r="N10" i="1885"/>
  <c r="M10" i="1885"/>
  <c r="L10" i="1885"/>
  <c r="K10" i="1885"/>
  <c r="J10" i="1885"/>
  <c r="I10" i="1885"/>
  <c r="H10" i="1885"/>
  <c r="G10" i="1885"/>
  <c r="F10" i="1885"/>
  <c r="J33" i="1885" s="1"/>
  <c r="E10" i="1885"/>
  <c r="D10" i="1885"/>
  <c r="AE7" i="1885"/>
  <c r="AD7" i="1885"/>
  <c r="AC7" i="1885"/>
  <c r="AB7" i="1885"/>
  <c r="AA7" i="1885"/>
  <c r="Z7" i="1885"/>
  <c r="Y7" i="1885"/>
  <c r="X7" i="1885"/>
  <c r="W7" i="1885"/>
  <c r="V7" i="1885"/>
  <c r="U7" i="1885"/>
  <c r="T7" i="1885"/>
  <c r="S7" i="1885"/>
  <c r="R7" i="1885"/>
  <c r="Q7" i="1885"/>
  <c r="P7" i="1885"/>
  <c r="O7" i="1885"/>
  <c r="N7" i="1885"/>
  <c r="M7" i="1885"/>
  <c r="L7" i="1885"/>
  <c r="K7" i="1885"/>
  <c r="J7" i="1885"/>
  <c r="I7" i="1885"/>
  <c r="H7" i="1885"/>
  <c r="G7" i="1885"/>
  <c r="F7" i="1885"/>
  <c r="E7" i="1885"/>
  <c r="D7" i="1885"/>
  <c r="S33" i="1885" l="1"/>
  <c r="N33" i="1885"/>
  <c r="Q33" i="1885"/>
  <c r="K33" i="1885"/>
  <c r="W33" i="1885"/>
  <c r="Z33" i="1885"/>
  <c r="D33" i="1885"/>
  <c r="Y33" i="1885"/>
  <c r="E33" i="1885"/>
  <c r="M33" i="1885"/>
  <c r="V33" i="1885"/>
  <c r="AA33" i="1884"/>
  <c r="X33" i="1884"/>
  <c r="U33" i="1884"/>
  <c r="R33" i="1884"/>
  <c r="O33" i="1884"/>
  <c r="L33" i="1884"/>
  <c r="F33" i="1884"/>
  <c r="Y28" i="1884"/>
  <c r="X28" i="1884"/>
  <c r="W28" i="1884"/>
  <c r="V28" i="1884"/>
  <c r="U28" i="1884"/>
  <c r="T28" i="1884"/>
  <c r="S28" i="1884"/>
  <c r="R28" i="1884"/>
  <c r="Q28" i="1884"/>
  <c r="P28" i="1884"/>
  <c r="O28" i="1884"/>
  <c r="N28" i="1884"/>
  <c r="M28" i="1884"/>
  <c r="L28" i="1884"/>
  <c r="K28" i="1884"/>
  <c r="J28" i="1884"/>
  <c r="I28" i="1884"/>
  <c r="H28" i="1884"/>
  <c r="G28" i="1884"/>
  <c r="F28" i="1884"/>
  <c r="E28" i="1884"/>
  <c r="D28" i="1884"/>
  <c r="Y25" i="1884"/>
  <c r="X25" i="1884"/>
  <c r="W25" i="1884"/>
  <c r="V25" i="1884"/>
  <c r="U25" i="1884"/>
  <c r="T25" i="1884"/>
  <c r="S25" i="1884"/>
  <c r="R25" i="1884"/>
  <c r="Q25" i="1884"/>
  <c r="P25" i="1884"/>
  <c r="O25" i="1884"/>
  <c r="N25" i="1884"/>
  <c r="M25" i="1884"/>
  <c r="L25" i="1884"/>
  <c r="K25" i="1884"/>
  <c r="J25" i="1884"/>
  <c r="I25" i="1884"/>
  <c r="H25" i="1884"/>
  <c r="G25" i="1884"/>
  <c r="F25" i="1884"/>
  <c r="E25" i="1884"/>
  <c r="D25" i="1884"/>
  <c r="AE19" i="1884"/>
  <c r="AD19" i="1884"/>
  <c r="AC19" i="1884"/>
  <c r="AB19" i="1884"/>
  <c r="AA19" i="1884"/>
  <c r="Z19" i="1884"/>
  <c r="Y19" i="1884"/>
  <c r="X19" i="1884"/>
  <c r="T33" i="1884" s="1"/>
  <c r="W19" i="1884"/>
  <c r="V19" i="1884"/>
  <c r="U19" i="1884"/>
  <c r="T19" i="1884"/>
  <c r="S19" i="1884"/>
  <c r="R19" i="1884"/>
  <c r="Q19" i="1884"/>
  <c r="P19" i="1884"/>
  <c r="O19" i="1884"/>
  <c r="N19" i="1884"/>
  <c r="H33" i="1884" s="1"/>
  <c r="M19" i="1884"/>
  <c r="L19" i="1884"/>
  <c r="P33" i="1884" s="1"/>
  <c r="K19" i="1884"/>
  <c r="J19" i="1884"/>
  <c r="I19" i="1884"/>
  <c r="AB33" i="1884" s="1"/>
  <c r="H19" i="1884"/>
  <c r="G19" i="1884"/>
  <c r="F19" i="1884"/>
  <c r="E19" i="1884"/>
  <c r="D19" i="1884"/>
  <c r="AE16" i="1884"/>
  <c r="AD16" i="1884"/>
  <c r="AC16" i="1884"/>
  <c r="AB16" i="1884"/>
  <c r="AA16" i="1884"/>
  <c r="Z16" i="1884"/>
  <c r="X16" i="1884"/>
  <c r="W16" i="1884"/>
  <c r="V16" i="1884"/>
  <c r="U16" i="1884"/>
  <c r="T16" i="1884"/>
  <c r="S16" i="1884"/>
  <c r="R16" i="1884"/>
  <c r="Q16" i="1884"/>
  <c r="P16" i="1884"/>
  <c r="O16" i="1884"/>
  <c r="N16" i="1884"/>
  <c r="M16" i="1884"/>
  <c r="L16" i="1884"/>
  <c r="K16" i="1884"/>
  <c r="J16" i="1884"/>
  <c r="I16" i="1884"/>
  <c r="H16" i="1884"/>
  <c r="G16" i="1884"/>
  <c r="F16" i="1884"/>
  <c r="E16" i="1884"/>
  <c r="D16" i="1884"/>
  <c r="AE10" i="1884"/>
  <c r="AD10" i="1884"/>
  <c r="AC33" i="1884" s="1"/>
  <c r="AC10" i="1884"/>
  <c r="AB10" i="1884"/>
  <c r="AA10" i="1884"/>
  <c r="Z10" i="1884"/>
  <c r="Y10" i="1884"/>
  <c r="X10" i="1884"/>
  <c r="W10" i="1884"/>
  <c r="V10" i="1884"/>
  <c r="U10" i="1884"/>
  <c r="T10" i="1884"/>
  <c r="S10" i="1884"/>
  <c r="R10" i="1884"/>
  <c r="Q10" i="1884"/>
  <c r="P10" i="1884"/>
  <c r="O10" i="1884"/>
  <c r="N10" i="1884"/>
  <c r="M10" i="1884"/>
  <c r="E33" i="1884" s="1"/>
  <c r="L10" i="1884"/>
  <c r="K10" i="1884"/>
  <c r="J10" i="1884"/>
  <c r="Q33" i="1884" s="1"/>
  <c r="I10" i="1884"/>
  <c r="H10" i="1884"/>
  <c r="G10" i="1884"/>
  <c r="F10" i="1884"/>
  <c r="J33" i="1884" s="1"/>
  <c r="E10" i="1884"/>
  <c r="S33" i="1884" s="1"/>
  <c r="D10" i="1884"/>
  <c r="AE7" i="1884"/>
  <c r="AD7" i="1884"/>
  <c r="AC7" i="1884"/>
  <c r="AB7" i="1884"/>
  <c r="AA7" i="1884"/>
  <c r="Z7" i="1884"/>
  <c r="Y7" i="1884"/>
  <c r="X7" i="1884"/>
  <c r="W7" i="1884"/>
  <c r="V7" i="1884"/>
  <c r="U7" i="1884"/>
  <c r="T7" i="1884"/>
  <c r="S7" i="1884"/>
  <c r="R7" i="1884"/>
  <c r="Q7" i="1884"/>
  <c r="P7" i="1884"/>
  <c r="O7" i="1884"/>
  <c r="N7" i="1884"/>
  <c r="M7" i="1884"/>
  <c r="L7" i="1884"/>
  <c r="K7" i="1884"/>
  <c r="J7" i="1884"/>
  <c r="I7" i="1884"/>
  <c r="H7" i="1884"/>
  <c r="G7" i="1884"/>
  <c r="F7" i="1884"/>
  <c r="E7" i="1884"/>
  <c r="D7" i="1884"/>
  <c r="N33" i="1884" l="1"/>
  <c r="W33" i="1884"/>
  <c r="V33" i="1884"/>
  <c r="D33" i="1884"/>
  <c r="Z33" i="1884"/>
  <c r="Y33" i="1884"/>
  <c r="K33" i="1884"/>
  <c r="M33" i="1884"/>
  <c r="AA33" i="1883"/>
  <c r="X33" i="1883"/>
  <c r="U33" i="1883"/>
  <c r="R33" i="1883"/>
  <c r="O33" i="1883"/>
  <c r="L33" i="1883"/>
  <c r="F33" i="1883"/>
  <c r="Y28" i="1883"/>
  <c r="X28" i="1883"/>
  <c r="W28" i="1883"/>
  <c r="V28" i="1883"/>
  <c r="U28" i="1883"/>
  <c r="T28" i="1883"/>
  <c r="S28" i="1883"/>
  <c r="R28" i="1883"/>
  <c r="Q28" i="1883"/>
  <c r="P28" i="1883"/>
  <c r="O28" i="1883"/>
  <c r="N28" i="1883"/>
  <c r="M28" i="1883"/>
  <c r="L28" i="1883"/>
  <c r="K28" i="1883"/>
  <c r="J28" i="1883"/>
  <c r="I28" i="1883"/>
  <c r="H28" i="1883"/>
  <c r="G28" i="1883"/>
  <c r="F28" i="1883"/>
  <c r="E28" i="1883"/>
  <c r="D28" i="1883"/>
  <c r="Y25" i="1883"/>
  <c r="X25" i="1883"/>
  <c r="W25" i="1883"/>
  <c r="V25" i="1883"/>
  <c r="U25" i="1883"/>
  <c r="T25" i="1883"/>
  <c r="S25" i="1883"/>
  <c r="R25" i="1883"/>
  <c r="Q25" i="1883"/>
  <c r="P25" i="1883"/>
  <c r="O25" i="1883"/>
  <c r="N25" i="1883"/>
  <c r="M25" i="1883"/>
  <c r="L25" i="1883"/>
  <c r="K25" i="1883"/>
  <c r="J25" i="1883"/>
  <c r="I25" i="1883"/>
  <c r="H25" i="1883"/>
  <c r="G25" i="1883"/>
  <c r="F25" i="1883"/>
  <c r="E25" i="1883"/>
  <c r="D25" i="1883"/>
  <c r="AE19" i="1883"/>
  <c r="AD19" i="1883"/>
  <c r="AC19" i="1883"/>
  <c r="AB19" i="1883"/>
  <c r="AA19" i="1883"/>
  <c r="Z19" i="1883"/>
  <c r="Y19" i="1883"/>
  <c r="X19" i="1883"/>
  <c r="T33" i="1883" s="1"/>
  <c r="W19" i="1883"/>
  <c r="V19" i="1883"/>
  <c r="U19" i="1883"/>
  <c r="T19" i="1883"/>
  <c r="S19" i="1883"/>
  <c r="R19" i="1883"/>
  <c r="Q19" i="1883"/>
  <c r="P19" i="1883"/>
  <c r="O19" i="1883"/>
  <c r="N19" i="1883"/>
  <c r="H33" i="1883" s="1"/>
  <c r="M19" i="1883"/>
  <c r="L19" i="1883"/>
  <c r="P33" i="1883" s="1"/>
  <c r="K19" i="1883"/>
  <c r="J19" i="1883"/>
  <c r="I19" i="1883"/>
  <c r="AB33" i="1883" s="1"/>
  <c r="H19" i="1883"/>
  <c r="G19" i="1883"/>
  <c r="F19" i="1883"/>
  <c r="E19" i="1883"/>
  <c r="D19" i="1883"/>
  <c r="AE16" i="1883"/>
  <c r="AD16" i="1883"/>
  <c r="AC16" i="1883"/>
  <c r="AB16" i="1883"/>
  <c r="AA16" i="1883"/>
  <c r="Z16" i="1883"/>
  <c r="X16" i="1883"/>
  <c r="W16" i="1883"/>
  <c r="V16" i="1883"/>
  <c r="U16" i="1883"/>
  <c r="T16" i="1883"/>
  <c r="S16" i="1883"/>
  <c r="R16" i="1883"/>
  <c r="Q16" i="1883"/>
  <c r="P16" i="1883"/>
  <c r="O16" i="1883"/>
  <c r="N16" i="1883"/>
  <c r="M16" i="1883"/>
  <c r="L16" i="1883"/>
  <c r="K16" i="1883"/>
  <c r="J16" i="1883"/>
  <c r="I16" i="1883"/>
  <c r="H16" i="1883"/>
  <c r="G16" i="1883"/>
  <c r="F16" i="1883"/>
  <c r="E16" i="1883"/>
  <c r="D16" i="1883"/>
  <c r="AE10" i="1883"/>
  <c r="AD10" i="1883"/>
  <c r="AC33" i="1883" s="1"/>
  <c r="AC10" i="1883"/>
  <c r="AB10" i="1883"/>
  <c r="AA10" i="1883"/>
  <c r="Z10" i="1883"/>
  <c r="Y10" i="1883"/>
  <c r="X10" i="1883"/>
  <c r="W10" i="1883"/>
  <c r="V10" i="1883"/>
  <c r="U10" i="1883"/>
  <c r="T10" i="1883"/>
  <c r="S10" i="1883"/>
  <c r="R10" i="1883"/>
  <c r="Q10" i="1883"/>
  <c r="P10" i="1883"/>
  <c r="O10" i="1883"/>
  <c r="N10" i="1883"/>
  <c r="M10" i="1883"/>
  <c r="L10" i="1883"/>
  <c r="K10" i="1883"/>
  <c r="J10" i="1883"/>
  <c r="I10" i="1883"/>
  <c r="H10" i="1883"/>
  <c r="G10" i="1883"/>
  <c r="F10" i="1883"/>
  <c r="J33" i="1883" s="1"/>
  <c r="E10" i="1883"/>
  <c r="S33" i="1883" s="1"/>
  <c r="D10" i="1883"/>
  <c r="AE7" i="1883"/>
  <c r="AD7" i="1883"/>
  <c r="AC7" i="1883"/>
  <c r="AB7" i="1883"/>
  <c r="AA7" i="1883"/>
  <c r="Z7" i="1883"/>
  <c r="Y7" i="1883"/>
  <c r="X7" i="1883"/>
  <c r="W7" i="1883"/>
  <c r="V7" i="1883"/>
  <c r="U7" i="1883"/>
  <c r="T7" i="1883"/>
  <c r="S7" i="1883"/>
  <c r="R7" i="1883"/>
  <c r="Q7" i="1883"/>
  <c r="P7" i="1883"/>
  <c r="O7" i="1883"/>
  <c r="N7" i="1883"/>
  <c r="M7" i="1883"/>
  <c r="L7" i="1883"/>
  <c r="K7" i="1883"/>
  <c r="J7" i="1883"/>
  <c r="I7" i="1883"/>
  <c r="H7" i="1883"/>
  <c r="G7" i="1883"/>
  <c r="F7" i="1883"/>
  <c r="E7" i="1883"/>
  <c r="D7" i="1883"/>
  <c r="N33" i="1883" l="1"/>
  <c r="Q33" i="1883"/>
  <c r="K33" i="1883"/>
  <c r="W33" i="1883"/>
  <c r="Z33" i="1883"/>
  <c r="D33" i="1883"/>
  <c r="Y33" i="1883"/>
  <c r="E33" i="1883"/>
  <c r="M33" i="1883"/>
  <c r="V33" i="1883"/>
  <c r="M10" i="1882"/>
  <c r="AA33" i="1882" l="1"/>
  <c r="X33" i="1882"/>
  <c r="U33" i="1882"/>
  <c r="R33" i="1882"/>
  <c r="O33" i="1882"/>
  <c r="L33" i="1882"/>
  <c r="F33" i="1882"/>
  <c r="Y28" i="1882"/>
  <c r="X28" i="1882"/>
  <c r="W28" i="1882"/>
  <c r="V28" i="1882"/>
  <c r="U28" i="1882"/>
  <c r="T28" i="1882"/>
  <c r="S28" i="1882"/>
  <c r="R28" i="1882"/>
  <c r="Q28" i="1882"/>
  <c r="P28" i="1882"/>
  <c r="O28" i="1882"/>
  <c r="N28" i="1882"/>
  <c r="M28" i="1882"/>
  <c r="L28" i="1882"/>
  <c r="K28" i="1882"/>
  <c r="J28" i="1882"/>
  <c r="I28" i="1882"/>
  <c r="H28" i="1882"/>
  <c r="G28" i="1882"/>
  <c r="F28" i="1882"/>
  <c r="E28" i="1882"/>
  <c r="D28" i="1882"/>
  <c r="Y25" i="1882"/>
  <c r="X25" i="1882"/>
  <c r="W25" i="1882"/>
  <c r="V25" i="1882"/>
  <c r="U25" i="1882"/>
  <c r="T25" i="1882"/>
  <c r="S25" i="1882"/>
  <c r="R25" i="1882"/>
  <c r="Q25" i="1882"/>
  <c r="P25" i="1882"/>
  <c r="O25" i="1882"/>
  <c r="N25" i="1882"/>
  <c r="M25" i="1882"/>
  <c r="L25" i="1882"/>
  <c r="K25" i="1882"/>
  <c r="J25" i="1882"/>
  <c r="I25" i="1882"/>
  <c r="H25" i="1882"/>
  <c r="G25" i="1882"/>
  <c r="F25" i="1882"/>
  <c r="E25" i="1882"/>
  <c r="D25" i="1882"/>
  <c r="AE19" i="1882"/>
  <c r="AD19" i="1882"/>
  <c r="AC19" i="1882"/>
  <c r="AB19" i="1882"/>
  <c r="AA19" i="1882"/>
  <c r="Z19" i="1882"/>
  <c r="Y19" i="1882"/>
  <c r="X19" i="1882"/>
  <c r="T33" i="1882" s="1"/>
  <c r="W19" i="1882"/>
  <c r="V19" i="1882"/>
  <c r="U19" i="1882"/>
  <c r="T19" i="1882"/>
  <c r="S19" i="1882"/>
  <c r="R19" i="1882"/>
  <c r="Q19" i="1882"/>
  <c r="P19" i="1882"/>
  <c r="O19" i="1882"/>
  <c r="N19" i="1882"/>
  <c r="H33" i="1882" s="1"/>
  <c r="M19" i="1882"/>
  <c r="L19" i="1882"/>
  <c r="P33" i="1882" s="1"/>
  <c r="K19" i="1882"/>
  <c r="J19" i="1882"/>
  <c r="I19" i="1882"/>
  <c r="AB33" i="1882" s="1"/>
  <c r="H19" i="1882"/>
  <c r="G19" i="1882"/>
  <c r="F19" i="1882"/>
  <c r="E19" i="1882"/>
  <c r="D19" i="1882"/>
  <c r="AE16" i="1882"/>
  <c r="AD16" i="1882"/>
  <c r="AC16" i="1882"/>
  <c r="AB16" i="1882"/>
  <c r="AA16" i="1882"/>
  <c r="Z16" i="1882"/>
  <c r="X16" i="1882"/>
  <c r="W16" i="1882"/>
  <c r="V16" i="1882"/>
  <c r="U16" i="1882"/>
  <c r="T16" i="1882"/>
  <c r="S16" i="1882"/>
  <c r="R16" i="1882"/>
  <c r="Q16" i="1882"/>
  <c r="P16" i="1882"/>
  <c r="O16" i="1882"/>
  <c r="N16" i="1882"/>
  <c r="M16" i="1882"/>
  <c r="L16" i="1882"/>
  <c r="K16" i="1882"/>
  <c r="J16" i="1882"/>
  <c r="I16" i="1882"/>
  <c r="H16" i="1882"/>
  <c r="G16" i="1882"/>
  <c r="F16" i="1882"/>
  <c r="E16" i="1882"/>
  <c r="D16" i="1882"/>
  <c r="AE10" i="1882"/>
  <c r="AD10" i="1882"/>
  <c r="AC33" i="1882" s="1"/>
  <c r="AC10" i="1882"/>
  <c r="AB10" i="1882"/>
  <c r="AA10" i="1882"/>
  <c r="Z10" i="1882"/>
  <c r="Y10" i="1882"/>
  <c r="X10" i="1882"/>
  <c r="W10" i="1882"/>
  <c r="V10" i="1882"/>
  <c r="U10" i="1882"/>
  <c r="T10" i="1882"/>
  <c r="S10" i="1882"/>
  <c r="R10" i="1882"/>
  <c r="Q10" i="1882"/>
  <c r="P10" i="1882"/>
  <c r="O10" i="1882"/>
  <c r="N10" i="1882"/>
  <c r="E33" i="1882"/>
  <c r="L10" i="1882"/>
  <c r="N33" i="1882" s="1"/>
  <c r="K10" i="1882"/>
  <c r="J10" i="1882"/>
  <c r="I10" i="1882"/>
  <c r="H10" i="1882"/>
  <c r="G10" i="1882"/>
  <c r="F10" i="1882"/>
  <c r="J33" i="1882" s="1"/>
  <c r="E10" i="1882"/>
  <c r="D10" i="1882"/>
  <c r="AE7" i="1882"/>
  <c r="AD7" i="1882"/>
  <c r="AC7" i="1882"/>
  <c r="AB7" i="1882"/>
  <c r="AA7" i="1882"/>
  <c r="Z7" i="1882"/>
  <c r="Y7" i="1882"/>
  <c r="X7" i="1882"/>
  <c r="W7" i="1882"/>
  <c r="V7" i="1882"/>
  <c r="U7" i="1882"/>
  <c r="T7" i="1882"/>
  <c r="S7" i="1882"/>
  <c r="R7" i="1882"/>
  <c r="Q7" i="1882"/>
  <c r="P7" i="1882"/>
  <c r="O7" i="1882"/>
  <c r="N7" i="1882"/>
  <c r="M7" i="1882"/>
  <c r="L7" i="1882"/>
  <c r="K7" i="1882"/>
  <c r="J7" i="1882"/>
  <c r="I7" i="1882"/>
  <c r="H7" i="1882"/>
  <c r="G7" i="1882"/>
  <c r="F7" i="1882"/>
  <c r="E7" i="1882"/>
  <c r="D7" i="1882"/>
  <c r="Q33" i="1882" l="1"/>
  <c r="S33" i="1882"/>
  <c r="K33" i="1882"/>
  <c r="W33" i="1882"/>
  <c r="Z33" i="1882"/>
  <c r="D33" i="1882"/>
  <c r="Y33" i="1882"/>
  <c r="M33" i="1882"/>
  <c r="V33" i="1882"/>
  <c r="AA33" i="1881"/>
  <c r="X33" i="1881"/>
  <c r="U33" i="1881"/>
  <c r="R33" i="1881"/>
  <c r="O33" i="1881"/>
  <c r="L33" i="1881"/>
  <c r="F33" i="1881"/>
  <c r="Y28" i="1881"/>
  <c r="X28" i="1881"/>
  <c r="W28" i="1881"/>
  <c r="V28" i="1881"/>
  <c r="U28" i="1881"/>
  <c r="T28" i="1881"/>
  <c r="S28" i="1881"/>
  <c r="R28" i="1881"/>
  <c r="Q28" i="1881"/>
  <c r="P28" i="1881"/>
  <c r="O28" i="1881"/>
  <c r="N28" i="1881"/>
  <c r="M28" i="1881"/>
  <c r="L28" i="1881"/>
  <c r="K28" i="1881"/>
  <c r="J28" i="1881"/>
  <c r="I28" i="1881"/>
  <c r="H28" i="1881"/>
  <c r="G28" i="1881"/>
  <c r="F28" i="1881"/>
  <c r="E28" i="1881"/>
  <c r="D28" i="1881"/>
  <c r="Y25" i="1881"/>
  <c r="X25" i="1881"/>
  <c r="W25" i="1881"/>
  <c r="V25" i="1881"/>
  <c r="U25" i="1881"/>
  <c r="T25" i="1881"/>
  <c r="S25" i="1881"/>
  <c r="R25" i="1881"/>
  <c r="Q25" i="1881"/>
  <c r="P25" i="1881"/>
  <c r="O25" i="1881"/>
  <c r="N25" i="1881"/>
  <c r="M25" i="1881"/>
  <c r="L25" i="1881"/>
  <c r="K25" i="1881"/>
  <c r="J25" i="1881"/>
  <c r="I25" i="1881"/>
  <c r="H25" i="1881"/>
  <c r="G25" i="1881"/>
  <c r="F25" i="1881"/>
  <c r="E25" i="1881"/>
  <c r="D25" i="1881"/>
  <c r="AE19" i="1881"/>
  <c r="AD19" i="1881"/>
  <c r="AC19" i="1881"/>
  <c r="AB19" i="1881"/>
  <c r="AA19" i="1881"/>
  <c r="Z19" i="1881"/>
  <c r="Y19" i="1881"/>
  <c r="X19" i="1881"/>
  <c r="T33" i="1881" s="1"/>
  <c r="W19" i="1881"/>
  <c r="V19" i="1881"/>
  <c r="U19" i="1881"/>
  <c r="T19" i="1881"/>
  <c r="S19" i="1881"/>
  <c r="R19" i="1881"/>
  <c r="Q19" i="1881"/>
  <c r="P19" i="1881"/>
  <c r="O19" i="1881"/>
  <c r="N19" i="1881"/>
  <c r="H33" i="1881" s="1"/>
  <c r="M19" i="1881"/>
  <c r="L19" i="1881"/>
  <c r="P33" i="1881" s="1"/>
  <c r="K19" i="1881"/>
  <c r="J19" i="1881"/>
  <c r="I19" i="1881"/>
  <c r="AB33" i="1881" s="1"/>
  <c r="H19" i="1881"/>
  <c r="G19" i="1881"/>
  <c r="F19" i="1881"/>
  <c r="E19" i="1881"/>
  <c r="D19" i="1881"/>
  <c r="AE16" i="1881"/>
  <c r="AD16" i="1881"/>
  <c r="AC16" i="1881"/>
  <c r="AB16" i="1881"/>
  <c r="AA16" i="1881"/>
  <c r="Z16" i="1881"/>
  <c r="X16" i="1881"/>
  <c r="W16" i="1881"/>
  <c r="V16" i="1881"/>
  <c r="U16" i="1881"/>
  <c r="T16" i="1881"/>
  <c r="S16" i="1881"/>
  <c r="R16" i="1881"/>
  <c r="Q16" i="1881"/>
  <c r="P16" i="1881"/>
  <c r="O16" i="1881"/>
  <c r="N16" i="1881"/>
  <c r="M16" i="1881"/>
  <c r="L16" i="1881"/>
  <c r="K16" i="1881"/>
  <c r="J16" i="1881"/>
  <c r="I16" i="1881"/>
  <c r="H16" i="1881"/>
  <c r="G16" i="1881"/>
  <c r="F16" i="1881"/>
  <c r="E16" i="1881"/>
  <c r="D16" i="1881"/>
  <c r="AE10" i="1881"/>
  <c r="AD10" i="1881"/>
  <c r="AC33" i="1881" s="1"/>
  <c r="AC10" i="1881"/>
  <c r="AB10" i="1881"/>
  <c r="AA10" i="1881"/>
  <c r="Z10" i="1881"/>
  <c r="Y10" i="1881"/>
  <c r="X10" i="1881"/>
  <c r="W10" i="1881"/>
  <c r="V10" i="1881"/>
  <c r="U10" i="1881"/>
  <c r="T10" i="1881"/>
  <c r="S10" i="1881"/>
  <c r="R10" i="1881"/>
  <c r="Q10" i="1881"/>
  <c r="P10" i="1881"/>
  <c r="O10" i="1881"/>
  <c r="N10" i="1881"/>
  <c r="Q33" i="1881" s="1"/>
  <c r="M10" i="1881"/>
  <c r="L10" i="1881"/>
  <c r="N33" i="1881" s="1"/>
  <c r="K10" i="1881"/>
  <c r="J10" i="1881"/>
  <c r="I10" i="1881"/>
  <c r="H10" i="1881"/>
  <c r="G10" i="1881"/>
  <c r="F10" i="1881"/>
  <c r="J33" i="1881" s="1"/>
  <c r="E10" i="1881"/>
  <c r="D10" i="1881"/>
  <c r="AE7" i="1881"/>
  <c r="AD7" i="1881"/>
  <c r="AC7" i="1881"/>
  <c r="AB7" i="1881"/>
  <c r="AA7" i="1881"/>
  <c r="Z7" i="1881"/>
  <c r="Y7" i="1881"/>
  <c r="X7" i="1881"/>
  <c r="W7" i="1881"/>
  <c r="V7" i="1881"/>
  <c r="U7" i="1881"/>
  <c r="T7" i="1881"/>
  <c r="S7" i="1881"/>
  <c r="R7" i="1881"/>
  <c r="Q7" i="1881"/>
  <c r="P7" i="1881"/>
  <c r="O7" i="1881"/>
  <c r="N7" i="1881"/>
  <c r="M7" i="1881"/>
  <c r="L7" i="1881"/>
  <c r="K7" i="1881"/>
  <c r="J7" i="1881"/>
  <c r="I7" i="1881"/>
  <c r="H7" i="1881"/>
  <c r="G7" i="1881"/>
  <c r="F7" i="1881"/>
  <c r="E7" i="1881"/>
  <c r="D7" i="1881"/>
  <c r="K33" i="1881" l="1"/>
  <c r="W33" i="1881"/>
  <c r="D33" i="1881"/>
  <c r="Z33" i="1881"/>
  <c r="Y33" i="1881"/>
  <c r="E33" i="1881"/>
  <c r="M33" i="1881"/>
  <c r="S33" i="1881"/>
  <c r="V33" i="1881"/>
  <c r="AA33" i="1880"/>
  <c r="X33" i="1880"/>
  <c r="U33" i="1880"/>
  <c r="R33" i="1880"/>
  <c r="O33" i="1880"/>
  <c r="L33" i="1880"/>
  <c r="F33" i="1880"/>
  <c r="Y28" i="1880"/>
  <c r="X28" i="1880"/>
  <c r="W28" i="1880"/>
  <c r="V28" i="1880"/>
  <c r="U28" i="1880"/>
  <c r="T28" i="1880"/>
  <c r="S28" i="1880"/>
  <c r="R28" i="1880"/>
  <c r="Q28" i="1880"/>
  <c r="P28" i="1880"/>
  <c r="O28" i="1880"/>
  <c r="N28" i="1880"/>
  <c r="M28" i="1880"/>
  <c r="L28" i="1880"/>
  <c r="K28" i="1880"/>
  <c r="J28" i="1880"/>
  <c r="I28" i="1880"/>
  <c r="H28" i="1880"/>
  <c r="G28" i="1880"/>
  <c r="F28" i="1880"/>
  <c r="E28" i="1880"/>
  <c r="D28" i="1880"/>
  <c r="Y25" i="1880"/>
  <c r="X25" i="1880"/>
  <c r="W25" i="1880"/>
  <c r="V25" i="1880"/>
  <c r="U25" i="1880"/>
  <c r="T25" i="1880"/>
  <c r="S25" i="1880"/>
  <c r="R25" i="1880"/>
  <c r="Q25" i="1880"/>
  <c r="P25" i="1880"/>
  <c r="O25" i="1880"/>
  <c r="N25" i="1880"/>
  <c r="M25" i="1880"/>
  <c r="L25" i="1880"/>
  <c r="K25" i="1880"/>
  <c r="J25" i="1880"/>
  <c r="I25" i="1880"/>
  <c r="H25" i="1880"/>
  <c r="G25" i="1880"/>
  <c r="F25" i="1880"/>
  <c r="E25" i="1880"/>
  <c r="D25" i="1880"/>
  <c r="AE19" i="1880"/>
  <c r="AD19" i="1880"/>
  <c r="AC19" i="1880"/>
  <c r="AB19" i="1880"/>
  <c r="AA19" i="1880"/>
  <c r="Z19" i="1880"/>
  <c r="Y19" i="1880"/>
  <c r="X19" i="1880"/>
  <c r="T33" i="1880" s="1"/>
  <c r="W19" i="1880"/>
  <c r="V19" i="1880"/>
  <c r="U19" i="1880"/>
  <c r="T19" i="1880"/>
  <c r="S19" i="1880"/>
  <c r="R19" i="1880"/>
  <c r="Q19" i="1880"/>
  <c r="P19" i="1880"/>
  <c r="O19" i="1880"/>
  <c r="N19" i="1880"/>
  <c r="H33" i="1880" s="1"/>
  <c r="M19" i="1880"/>
  <c r="L19" i="1880"/>
  <c r="P33" i="1880" s="1"/>
  <c r="K19" i="1880"/>
  <c r="J19" i="1880"/>
  <c r="I19" i="1880"/>
  <c r="AB33" i="1880" s="1"/>
  <c r="H19" i="1880"/>
  <c r="G19" i="1880"/>
  <c r="F19" i="1880"/>
  <c r="E19" i="1880"/>
  <c r="D19" i="1880"/>
  <c r="AE16" i="1880"/>
  <c r="AD16" i="1880"/>
  <c r="AC16" i="1880"/>
  <c r="AB16" i="1880"/>
  <c r="AA16" i="1880"/>
  <c r="Z16" i="1880"/>
  <c r="X16" i="1880"/>
  <c r="W16" i="1880"/>
  <c r="V16" i="1880"/>
  <c r="U16" i="1880"/>
  <c r="T16" i="1880"/>
  <c r="S16" i="1880"/>
  <c r="R16" i="1880"/>
  <c r="Q16" i="1880"/>
  <c r="P16" i="1880"/>
  <c r="O16" i="1880"/>
  <c r="N16" i="1880"/>
  <c r="M16" i="1880"/>
  <c r="L16" i="1880"/>
  <c r="K16" i="1880"/>
  <c r="J16" i="1880"/>
  <c r="I16" i="1880"/>
  <c r="H16" i="1880"/>
  <c r="G16" i="1880"/>
  <c r="F16" i="1880"/>
  <c r="E16" i="1880"/>
  <c r="D16" i="1880"/>
  <c r="AE10" i="1880"/>
  <c r="AD10" i="1880"/>
  <c r="AC33" i="1880" s="1"/>
  <c r="AC10" i="1880"/>
  <c r="AB10" i="1880"/>
  <c r="AA10" i="1880"/>
  <c r="Z10" i="1880"/>
  <c r="Y10" i="1880"/>
  <c r="X10" i="1880"/>
  <c r="W10" i="1880"/>
  <c r="V10" i="1880"/>
  <c r="U10" i="1880"/>
  <c r="T10" i="1880"/>
  <c r="S10" i="1880"/>
  <c r="R10" i="1880"/>
  <c r="Q10" i="1880"/>
  <c r="P10" i="1880"/>
  <c r="O10" i="1880"/>
  <c r="N10" i="1880"/>
  <c r="M10" i="1880"/>
  <c r="E33" i="1880" s="1"/>
  <c r="L10" i="1880"/>
  <c r="K10" i="1880"/>
  <c r="J10" i="1880"/>
  <c r="I10" i="1880"/>
  <c r="H10" i="1880"/>
  <c r="G10" i="1880"/>
  <c r="F10" i="1880"/>
  <c r="J33" i="1880" s="1"/>
  <c r="E10" i="1880"/>
  <c r="S33" i="1880" s="1"/>
  <c r="D10" i="1880"/>
  <c r="AE7" i="1880"/>
  <c r="AD7" i="1880"/>
  <c r="AC7" i="1880"/>
  <c r="AB7" i="1880"/>
  <c r="AA7" i="1880"/>
  <c r="Z7" i="1880"/>
  <c r="Y7" i="1880"/>
  <c r="X7" i="1880"/>
  <c r="W7" i="1880"/>
  <c r="V7" i="1880"/>
  <c r="U7" i="1880"/>
  <c r="T7" i="1880"/>
  <c r="S7" i="1880"/>
  <c r="R7" i="1880"/>
  <c r="Q7" i="1880"/>
  <c r="P7" i="1880"/>
  <c r="O7" i="1880"/>
  <c r="N7" i="1880"/>
  <c r="M7" i="1880"/>
  <c r="L7" i="1880"/>
  <c r="K7" i="1880"/>
  <c r="J7" i="1880"/>
  <c r="I7" i="1880"/>
  <c r="H7" i="1880"/>
  <c r="G7" i="1880"/>
  <c r="F7" i="1880"/>
  <c r="E7" i="1880"/>
  <c r="D7" i="1880"/>
  <c r="K33" i="1880" l="1"/>
  <c r="W33" i="1880"/>
  <c r="D33" i="1880"/>
  <c r="Z33" i="1880"/>
  <c r="Y33" i="1880"/>
  <c r="N33" i="1880"/>
  <c r="Q33" i="1880"/>
  <c r="M33" i="1880"/>
  <c r="V33" i="1880"/>
  <c r="Y15" i="1879"/>
  <c r="AA33" i="1879"/>
  <c r="X33" i="1879"/>
  <c r="U33" i="1879"/>
  <c r="R33" i="1879"/>
  <c r="O33" i="1879"/>
  <c r="L33" i="1879"/>
  <c r="F33" i="1879"/>
  <c r="Y28" i="1879"/>
  <c r="X28" i="1879"/>
  <c r="W28" i="1879"/>
  <c r="V28" i="1879"/>
  <c r="U28" i="1879"/>
  <c r="T28" i="1879"/>
  <c r="S28" i="1879"/>
  <c r="R28" i="1879"/>
  <c r="Q28" i="1879"/>
  <c r="P28" i="1879"/>
  <c r="O28" i="1879"/>
  <c r="N28" i="1879"/>
  <c r="M28" i="1879"/>
  <c r="L28" i="1879"/>
  <c r="K28" i="1879"/>
  <c r="J28" i="1879"/>
  <c r="I28" i="1879"/>
  <c r="H28" i="1879"/>
  <c r="G28" i="1879"/>
  <c r="F28" i="1879"/>
  <c r="E28" i="1879"/>
  <c r="D28" i="1879"/>
  <c r="Y25" i="1879"/>
  <c r="X25" i="1879"/>
  <c r="W25" i="1879"/>
  <c r="V25" i="1879"/>
  <c r="U25" i="1879"/>
  <c r="T25" i="1879"/>
  <c r="S25" i="1879"/>
  <c r="R25" i="1879"/>
  <c r="Q25" i="1879"/>
  <c r="P25" i="1879"/>
  <c r="O25" i="1879"/>
  <c r="N25" i="1879"/>
  <c r="M25" i="1879"/>
  <c r="L25" i="1879"/>
  <c r="K25" i="1879"/>
  <c r="J25" i="1879"/>
  <c r="I25" i="1879"/>
  <c r="H25" i="1879"/>
  <c r="G25" i="1879"/>
  <c r="F25" i="1879"/>
  <c r="E25" i="1879"/>
  <c r="D25" i="1879"/>
  <c r="AE19" i="1879"/>
  <c r="AD19" i="1879"/>
  <c r="AC19" i="1879"/>
  <c r="AB19" i="1879"/>
  <c r="AA19" i="1879"/>
  <c r="Z19" i="1879"/>
  <c r="Y19" i="1879"/>
  <c r="X19" i="1879"/>
  <c r="T33" i="1879" s="1"/>
  <c r="W19" i="1879"/>
  <c r="V19" i="1879"/>
  <c r="U19" i="1879"/>
  <c r="T19" i="1879"/>
  <c r="S19" i="1879"/>
  <c r="R19" i="1879"/>
  <c r="Q19" i="1879"/>
  <c r="P19" i="1879"/>
  <c r="O19" i="1879"/>
  <c r="N19" i="1879"/>
  <c r="H33" i="1879" s="1"/>
  <c r="M19" i="1879"/>
  <c r="L19" i="1879"/>
  <c r="P33" i="1879" s="1"/>
  <c r="K19" i="1879"/>
  <c r="J19" i="1879"/>
  <c r="I19" i="1879"/>
  <c r="AB33" i="1879" s="1"/>
  <c r="H19" i="1879"/>
  <c r="G19" i="1879"/>
  <c r="F19" i="1879"/>
  <c r="E19" i="1879"/>
  <c r="D19" i="1879"/>
  <c r="AE16" i="1879"/>
  <c r="AD16" i="1879"/>
  <c r="AC16" i="1879"/>
  <c r="AB16" i="1879"/>
  <c r="AA16" i="1879"/>
  <c r="Z16" i="1879"/>
  <c r="X16" i="1879"/>
  <c r="W16" i="1879"/>
  <c r="V16" i="1879"/>
  <c r="U16" i="1879"/>
  <c r="T16" i="1879"/>
  <c r="S16" i="1879"/>
  <c r="R16" i="1879"/>
  <c r="Q16" i="1879"/>
  <c r="P16" i="1879"/>
  <c r="O16" i="1879"/>
  <c r="N16" i="1879"/>
  <c r="M16" i="1879"/>
  <c r="L16" i="1879"/>
  <c r="K16" i="1879"/>
  <c r="J16" i="1879"/>
  <c r="I16" i="1879"/>
  <c r="H16" i="1879"/>
  <c r="G16" i="1879"/>
  <c r="F16" i="1879"/>
  <c r="E16" i="1879"/>
  <c r="D16" i="1879"/>
  <c r="AE10" i="1879"/>
  <c r="AD10" i="1879"/>
  <c r="AC33" i="1879" s="1"/>
  <c r="AC10" i="1879"/>
  <c r="AB10" i="1879"/>
  <c r="D33" i="1879" s="1"/>
  <c r="AA10" i="1879"/>
  <c r="Z10" i="1879"/>
  <c r="Y10" i="1879"/>
  <c r="X10" i="1879"/>
  <c r="W10" i="1879"/>
  <c r="V10" i="1879"/>
  <c r="U10" i="1879"/>
  <c r="T10" i="1879"/>
  <c r="S10" i="1879"/>
  <c r="R10" i="1879"/>
  <c r="Q10" i="1879"/>
  <c r="P10" i="1879"/>
  <c r="O10" i="1879"/>
  <c r="N10" i="1879"/>
  <c r="Q33" i="1879" s="1"/>
  <c r="M10" i="1879"/>
  <c r="E33" i="1879" s="1"/>
  <c r="L10" i="1879"/>
  <c r="N33" i="1879" s="1"/>
  <c r="K10" i="1879"/>
  <c r="J10" i="1879"/>
  <c r="I10" i="1879"/>
  <c r="H10" i="1879"/>
  <c r="G10" i="1879"/>
  <c r="F10" i="1879"/>
  <c r="J33" i="1879" s="1"/>
  <c r="E10" i="1879"/>
  <c r="S33" i="1879" s="1"/>
  <c r="D10" i="1879"/>
  <c r="AE7" i="1879"/>
  <c r="AD7" i="1879"/>
  <c r="AC7" i="1879"/>
  <c r="AB7" i="1879"/>
  <c r="AA7" i="1879"/>
  <c r="Z7" i="1879"/>
  <c r="Y7" i="1879"/>
  <c r="X7" i="1879"/>
  <c r="W7" i="1879"/>
  <c r="V7" i="1879"/>
  <c r="U7" i="1879"/>
  <c r="T7" i="1879"/>
  <c r="S7" i="1879"/>
  <c r="R7" i="1879"/>
  <c r="Q7" i="1879"/>
  <c r="P7" i="1879"/>
  <c r="O7" i="1879"/>
  <c r="N7" i="1879"/>
  <c r="M7" i="1879"/>
  <c r="L7" i="1879"/>
  <c r="K7" i="1879"/>
  <c r="J7" i="1879"/>
  <c r="I7" i="1879"/>
  <c r="H7" i="1879"/>
  <c r="G7" i="1879"/>
  <c r="F7" i="1879"/>
  <c r="E7" i="1879"/>
  <c r="D7" i="1879"/>
  <c r="K33" i="1879" l="1"/>
  <c r="W33" i="1879"/>
  <c r="Z33" i="1879"/>
  <c r="Y33" i="1879"/>
  <c r="M33" i="1879"/>
  <c r="V33" i="1879"/>
  <c r="AA33" i="1878"/>
  <c r="X33" i="1878"/>
  <c r="U33" i="1878"/>
  <c r="R33" i="1878"/>
  <c r="O33" i="1878"/>
  <c r="L33" i="1878"/>
  <c r="F33" i="1878"/>
  <c r="Y28" i="1878"/>
  <c r="X28" i="1878"/>
  <c r="W28" i="1878"/>
  <c r="V28" i="1878"/>
  <c r="U28" i="1878"/>
  <c r="T28" i="1878"/>
  <c r="S28" i="1878"/>
  <c r="R28" i="1878"/>
  <c r="Q28" i="1878"/>
  <c r="P28" i="1878"/>
  <c r="O28" i="1878"/>
  <c r="N28" i="1878"/>
  <c r="M28" i="1878"/>
  <c r="L28" i="1878"/>
  <c r="K28" i="1878"/>
  <c r="J28" i="1878"/>
  <c r="I28" i="1878"/>
  <c r="H28" i="1878"/>
  <c r="G28" i="1878"/>
  <c r="F28" i="1878"/>
  <c r="E28" i="1878"/>
  <c r="D28" i="1878"/>
  <c r="Y25" i="1878"/>
  <c r="X25" i="1878"/>
  <c r="W25" i="1878"/>
  <c r="V25" i="1878"/>
  <c r="U25" i="1878"/>
  <c r="T25" i="1878"/>
  <c r="S25" i="1878"/>
  <c r="R25" i="1878"/>
  <c r="Q25" i="1878"/>
  <c r="P25" i="1878"/>
  <c r="O25" i="1878"/>
  <c r="N25" i="1878"/>
  <c r="M25" i="1878"/>
  <c r="L25" i="1878"/>
  <c r="K25" i="1878"/>
  <c r="J25" i="1878"/>
  <c r="I25" i="1878"/>
  <c r="H25" i="1878"/>
  <c r="G25" i="1878"/>
  <c r="F25" i="1878"/>
  <c r="E25" i="1878"/>
  <c r="D25" i="1878"/>
  <c r="AE19" i="1878"/>
  <c r="AD19" i="1878"/>
  <c r="AC19" i="1878"/>
  <c r="AB19" i="1878"/>
  <c r="AA19" i="1878"/>
  <c r="Z19" i="1878"/>
  <c r="Y19" i="1878"/>
  <c r="X19" i="1878"/>
  <c r="T33" i="1878" s="1"/>
  <c r="W19" i="1878"/>
  <c r="V19" i="1878"/>
  <c r="U19" i="1878"/>
  <c r="T19" i="1878"/>
  <c r="S19" i="1878"/>
  <c r="R19" i="1878"/>
  <c r="Q19" i="1878"/>
  <c r="P19" i="1878"/>
  <c r="O19" i="1878"/>
  <c r="N19" i="1878"/>
  <c r="H33" i="1878" s="1"/>
  <c r="M19" i="1878"/>
  <c r="L19" i="1878"/>
  <c r="P33" i="1878" s="1"/>
  <c r="K19" i="1878"/>
  <c r="J19" i="1878"/>
  <c r="I19" i="1878"/>
  <c r="AB33" i="1878" s="1"/>
  <c r="H19" i="1878"/>
  <c r="G19" i="1878"/>
  <c r="F19" i="1878"/>
  <c r="E19" i="1878"/>
  <c r="D19" i="1878"/>
  <c r="AE16" i="1878"/>
  <c r="AD16" i="1878"/>
  <c r="AC16" i="1878"/>
  <c r="AB16" i="1878"/>
  <c r="AA16" i="1878"/>
  <c r="Z16" i="1878"/>
  <c r="Y16" i="1878"/>
  <c r="X16" i="1878"/>
  <c r="W16" i="1878"/>
  <c r="V16" i="1878"/>
  <c r="U16" i="1878"/>
  <c r="T16" i="1878"/>
  <c r="S16" i="1878"/>
  <c r="R16" i="1878"/>
  <c r="Q16" i="1878"/>
  <c r="P16" i="1878"/>
  <c r="O16" i="1878"/>
  <c r="N16" i="1878"/>
  <c r="M16" i="1878"/>
  <c r="L16" i="1878"/>
  <c r="K16" i="1878"/>
  <c r="J16" i="1878"/>
  <c r="I16" i="1878"/>
  <c r="H16" i="1878"/>
  <c r="G16" i="1878"/>
  <c r="F16" i="1878"/>
  <c r="E16" i="1878"/>
  <c r="D16" i="1878"/>
  <c r="AE10" i="1878"/>
  <c r="AD10" i="1878"/>
  <c r="AC33" i="1878" s="1"/>
  <c r="AC10" i="1878"/>
  <c r="AB10" i="1878"/>
  <c r="AA10" i="1878"/>
  <c r="Z10" i="1878"/>
  <c r="Y10" i="1878"/>
  <c r="X10" i="1878"/>
  <c r="W10" i="1878"/>
  <c r="V10" i="1878"/>
  <c r="U10" i="1878"/>
  <c r="T10" i="1878"/>
  <c r="S10" i="1878"/>
  <c r="R10" i="1878"/>
  <c r="Q10" i="1878"/>
  <c r="P10" i="1878"/>
  <c r="O10" i="1878"/>
  <c r="N10" i="1878"/>
  <c r="M10" i="1878"/>
  <c r="L10" i="1878"/>
  <c r="K10" i="1878"/>
  <c r="J10" i="1878"/>
  <c r="I10" i="1878"/>
  <c r="H10" i="1878"/>
  <c r="G10" i="1878"/>
  <c r="F10" i="1878"/>
  <c r="J33" i="1878" s="1"/>
  <c r="E10" i="1878"/>
  <c r="D10" i="1878"/>
  <c r="AE7" i="1878"/>
  <c r="AD7" i="1878"/>
  <c r="AC7" i="1878"/>
  <c r="AB7" i="1878"/>
  <c r="AA7" i="1878"/>
  <c r="Z7" i="1878"/>
  <c r="Y7" i="1878"/>
  <c r="X7" i="1878"/>
  <c r="W7" i="1878"/>
  <c r="V7" i="1878"/>
  <c r="U7" i="1878"/>
  <c r="T7" i="1878"/>
  <c r="S7" i="1878"/>
  <c r="R7" i="1878"/>
  <c r="Q7" i="1878"/>
  <c r="P7" i="1878"/>
  <c r="O7" i="1878"/>
  <c r="N7" i="1878"/>
  <c r="M7" i="1878"/>
  <c r="L7" i="1878"/>
  <c r="K7" i="1878"/>
  <c r="J7" i="1878"/>
  <c r="I7" i="1878"/>
  <c r="H7" i="1878"/>
  <c r="G7" i="1878"/>
  <c r="F7" i="1878"/>
  <c r="E7" i="1878"/>
  <c r="D7" i="1878"/>
  <c r="AA33" i="1877"/>
  <c r="X33" i="1877"/>
  <c r="U33" i="1877"/>
  <c r="R33" i="1877"/>
  <c r="O33" i="1877"/>
  <c r="L33" i="1877"/>
  <c r="F33" i="1877"/>
  <c r="Y28" i="1877"/>
  <c r="X28" i="1877"/>
  <c r="W28" i="1877"/>
  <c r="V28" i="1877"/>
  <c r="U28" i="1877"/>
  <c r="T28" i="1877"/>
  <c r="S28" i="1877"/>
  <c r="R28" i="1877"/>
  <c r="Q28" i="1877"/>
  <c r="P28" i="1877"/>
  <c r="O28" i="1877"/>
  <c r="N28" i="1877"/>
  <c r="M28" i="1877"/>
  <c r="L28" i="1877"/>
  <c r="K28" i="1877"/>
  <c r="J28" i="1877"/>
  <c r="I28" i="1877"/>
  <c r="H28" i="1877"/>
  <c r="G28" i="1877"/>
  <c r="F28" i="1877"/>
  <c r="E28" i="1877"/>
  <c r="D28" i="1877"/>
  <c r="Y25" i="1877"/>
  <c r="X25" i="1877"/>
  <c r="W25" i="1877"/>
  <c r="V25" i="1877"/>
  <c r="U25" i="1877"/>
  <c r="T25" i="1877"/>
  <c r="S25" i="1877"/>
  <c r="R25" i="1877"/>
  <c r="Q25" i="1877"/>
  <c r="P25" i="1877"/>
  <c r="O25" i="1877"/>
  <c r="N25" i="1877"/>
  <c r="M25" i="1877"/>
  <c r="L25" i="1877"/>
  <c r="K25" i="1877"/>
  <c r="J25" i="1877"/>
  <c r="I25" i="1877"/>
  <c r="H25" i="1877"/>
  <c r="G25" i="1877"/>
  <c r="F25" i="1877"/>
  <c r="E25" i="1877"/>
  <c r="D25" i="1877"/>
  <c r="AE19" i="1877"/>
  <c r="AD19" i="1877"/>
  <c r="AC19" i="1877"/>
  <c r="AB19" i="1877"/>
  <c r="AA19" i="1877"/>
  <c r="Z19" i="1877"/>
  <c r="Y19" i="1877"/>
  <c r="X19" i="1877"/>
  <c r="T33" i="1877" s="1"/>
  <c r="W19" i="1877"/>
  <c r="V19" i="1877"/>
  <c r="U19" i="1877"/>
  <c r="T19" i="1877"/>
  <c r="S19" i="1877"/>
  <c r="R19" i="1877"/>
  <c r="Q19" i="1877"/>
  <c r="P19" i="1877"/>
  <c r="O19" i="1877"/>
  <c r="N19" i="1877"/>
  <c r="H33" i="1877" s="1"/>
  <c r="M19" i="1877"/>
  <c r="L19" i="1877"/>
  <c r="P33" i="1877" s="1"/>
  <c r="K19" i="1877"/>
  <c r="J19" i="1877"/>
  <c r="I19" i="1877"/>
  <c r="AB33" i="1877" s="1"/>
  <c r="H19" i="1877"/>
  <c r="G19" i="1877"/>
  <c r="F19" i="1877"/>
  <c r="E19" i="1877"/>
  <c r="D19" i="1877"/>
  <c r="AE16" i="1877"/>
  <c r="AD16" i="1877"/>
  <c r="AC16" i="1877"/>
  <c r="AB16" i="1877"/>
  <c r="AA16" i="1877"/>
  <c r="Z16" i="1877"/>
  <c r="Y16" i="1877"/>
  <c r="X16" i="1877"/>
  <c r="W16" i="1877"/>
  <c r="V16" i="1877"/>
  <c r="U16" i="1877"/>
  <c r="T16" i="1877"/>
  <c r="S16" i="1877"/>
  <c r="R16" i="1877"/>
  <c r="Q16" i="1877"/>
  <c r="P16" i="1877"/>
  <c r="O16" i="1877"/>
  <c r="N16" i="1877"/>
  <c r="M16" i="1877"/>
  <c r="L16" i="1877"/>
  <c r="K16" i="1877"/>
  <c r="J16" i="1877"/>
  <c r="I16" i="1877"/>
  <c r="H16" i="1877"/>
  <c r="G16" i="1877"/>
  <c r="F16" i="1877"/>
  <c r="E16" i="1877"/>
  <c r="D16" i="1877"/>
  <c r="AE10" i="1877"/>
  <c r="AD10" i="1877"/>
  <c r="AC33" i="1877" s="1"/>
  <c r="AC10" i="1877"/>
  <c r="AB10" i="1877"/>
  <c r="D33" i="1877" s="1"/>
  <c r="AA10" i="1877"/>
  <c r="Z10" i="1877"/>
  <c r="Y10" i="1877"/>
  <c r="X10" i="1877"/>
  <c r="W10" i="1877"/>
  <c r="V10" i="1877"/>
  <c r="U10" i="1877"/>
  <c r="T10" i="1877"/>
  <c r="S10" i="1877"/>
  <c r="R10" i="1877"/>
  <c r="Q10" i="1877"/>
  <c r="P10" i="1877"/>
  <c r="O10" i="1877"/>
  <c r="K33" i="1877" s="1"/>
  <c r="N10" i="1877"/>
  <c r="M10" i="1877"/>
  <c r="E33" i="1877" s="1"/>
  <c r="L10" i="1877"/>
  <c r="N33" i="1877" s="1"/>
  <c r="K10" i="1877"/>
  <c r="J10" i="1877"/>
  <c r="I10" i="1877"/>
  <c r="H10" i="1877"/>
  <c r="G10" i="1877"/>
  <c r="F10" i="1877"/>
  <c r="J33" i="1877" s="1"/>
  <c r="E10" i="1877"/>
  <c r="S33" i="1877" s="1"/>
  <c r="D10" i="1877"/>
  <c r="Z33" i="1877" s="1"/>
  <c r="AE7" i="1877"/>
  <c r="AD7" i="1877"/>
  <c r="AC7" i="1877"/>
  <c r="AB7" i="1877"/>
  <c r="AA7" i="1877"/>
  <c r="Z7" i="1877"/>
  <c r="Y7" i="1877"/>
  <c r="X7" i="1877"/>
  <c r="W7" i="1877"/>
  <c r="V7" i="1877"/>
  <c r="U7" i="1877"/>
  <c r="T7" i="1877"/>
  <c r="S7" i="1877"/>
  <c r="R7" i="1877"/>
  <c r="Q7" i="1877"/>
  <c r="P7" i="1877"/>
  <c r="O7" i="1877"/>
  <c r="N7" i="1877"/>
  <c r="M7" i="1877"/>
  <c r="L7" i="1877"/>
  <c r="K7" i="1877"/>
  <c r="J7" i="1877"/>
  <c r="I7" i="1877"/>
  <c r="H7" i="1877"/>
  <c r="G7" i="1877"/>
  <c r="F7" i="1877"/>
  <c r="E7" i="1877"/>
  <c r="D7" i="1877"/>
  <c r="S33" i="1878" l="1"/>
  <c r="Q33" i="1877"/>
  <c r="M33" i="1877"/>
  <c r="W33" i="1877"/>
  <c r="D33" i="1878"/>
  <c r="N33" i="1878"/>
  <c r="E33" i="1878"/>
  <c r="Y33" i="1877"/>
  <c r="Z33" i="1878"/>
  <c r="W33" i="1878"/>
  <c r="V33" i="1878"/>
  <c r="Y33" i="1878"/>
  <c r="Q33" i="1878"/>
  <c r="K33" i="1878"/>
  <c r="M33" i="1878"/>
  <c r="V33" i="1877"/>
  <c r="AA33" i="1876"/>
  <c r="X33" i="1876"/>
  <c r="U33" i="1876"/>
  <c r="R33" i="1876"/>
  <c r="O33" i="1876"/>
  <c r="L33" i="1876"/>
  <c r="F33" i="1876"/>
  <c r="Y28" i="1876"/>
  <c r="X28" i="1876"/>
  <c r="W28" i="1876"/>
  <c r="V28" i="1876"/>
  <c r="U28" i="1876"/>
  <c r="T28" i="1876"/>
  <c r="S28" i="1876"/>
  <c r="R28" i="1876"/>
  <c r="Q28" i="1876"/>
  <c r="P28" i="1876"/>
  <c r="O28" i="1876"/>
  <c r="N28" i="1876"/>
  <c r="M28" i="1876"/>
  <c r="L28" i="1876"/>
  <c r="K28" i="1876"/>
  <c r="J28" i="1876"/>
  <c r="I28" i="1876"/>
  <c r="H28" i="1876"/>
  <c r="G28" i="1876"/>
  <c r="F28" i="1876"/>
  <c r="E28" i="1876"/>
  <c r="D28" i="1876"/>
  <c r="Y25" i="1876"/>
  <c r="X25" i="1876"/>
  <c r="W25" i="1876"/>
  <c r="V25" i="1876"/>
  <c r="U25" i="1876"/>
  <c r="T25" i="1876"/>
  <c r="S25" i="1876"/>
  <c r="R25" i="1876"/>
  <c r="Q25" i="1876"/>
  <c r="P25" i="1876"/>
  <c r="O25" i="1876"/>
  <c r="N25" i="1876"/>
  <c r="M25" i="1876"/>
  <c r="L25" i="1876"/>
  <c r="K25" i="1876"/>
  <c r="J25" i="1876"/>
  <c r="I25" i="1876"/>
  <c r="H25" i="1876"/>
  <c r="G25" i="1876"/>
  <c r="F25" i="1876"/>
  <c r="E25" i="1876"/>
  <c r="D25" i="1876"/>
  <c r="AE19" i="1876"/>
  <c r="AD19" i="1876"/>
  <c r="AC19" i="1876"/>
  <c r="AB19" i="1876"/>
  <c r="AA19" i="1876"/>
  <c r="Z19" i="1876"/>
  <c r="Y19" i="1876"/>
  <c r="X19" i="1876"/>
  <c r="T33" i="1876" s="1"/>
  <c r="W19" i="1876"/>
  <c r="V19" i="1876"/>
  <c r="U19" i="1876"/>
  <c r="T19" i="1876"/>
  <c r="S19" i="1876"/>
  <c r="R19" i="1876"/>
  <c r="Q19" i="1876"/>
  <c r="P19" i="1876"/>
  <c r="O19" i="1876"/>
  <c r="N19" i="1876"/>
  <c r="H33" i="1876" s="1"/>
  <c r="M19" i="1876"/>
  <c r="L19" i="1876"/>
  <c r="P33" i="1876" s="1"/>
  <c r="K19" i="1876"/>
  <c r="J19" i="1876"/>
  <c r="I19" i="1876"/>
  <c r="AB33" i="1876" s="1"/>
  <c r="H19" i="1876"/>
  <c r="G19" i="1876"/>
  <c r="F19" i="1876"/>
  <c r="E19" i="1876"/>
  <c r="D19" i="1876"/>
  <c r="AE16" i="1876"/>
  <c r="AD16" i="1876"/>
  <c r="AC16" i="1876"/>
  <c r="AB16" i="1876"/>
  <c r="AA16" i="1876"/>
  <c r="Z16" i="1876"/>
  <c r="Y16" i="1876"/>
  <c r="X16" i="1876"/>
  <c r="W16" i="1876"/>
  <c r="V16" i="1876"/>
  <c r="U16" i="1876"/>
  <c r="T16" i="1876"/>
  <c r="S16" i="1876"/>
  <c r="R16" i="1876"/>
  <c r="Q16" i="1876"/>
  <c r="P16" i="1876"/>
  <c r="O16" i="1876"/>
  <c r="N16" i="1876"/>
  <c r="M16" i="1876"/>
  <c r="L16" i="1876"/>
  <c r="K16" i="1876"/>
  <c r="J16" i="1876"/>
  <c r="I16" i="1876"/>
  <c r="H16" i="1876"/>
  <c r="G16" i="1876"/>
  <c r="F16" i="1876"/>
  <c r="E16" i="1876"/>
  <c r="D16" i="1876"/>
  <c r="AE10" i="1876"/>
  <c r="AD10" i="1876"/>
  <c r="AC33" i="1876" s="1"/>
  <c r="AC10" i="1876"/>
  <c r="AB10" i="1876"/>
  <c r="AA10" i="1876"/>
  <c r="Z10" i="1876"/>
  <c r="Y10" i="1876"/>
  <c r="X10" i="1876"/>
  <c r="W10" i="1876"/>
  <c r="V10" i="1876"/>
  <c r="U10" i="1876"/>
  <c r="T10" i="1876"/>
  <c r="S10" i="1876"/>
  <c r="R10" i="1876"/>
  <c r="Q10" i="1876"/>
  <c r="P10" i="1876"/>
  <c r="O10" i="1876"/>
  <c r="N10" i="1876"/>
  <c r="M10" i="1876"/>
  <c r="E33" i="1876" s="1"/>
  <c r="L10" i="1876"/>
  <c r="K10" i="1876"/>
  <c r="J10" i="1876"/>
  <c r="I10" i="1876"/>
  <c r="H10" i="1876"/>
  <c r="G10" i="1876"/>
  <c r="F10" i="1876"/>
  <c r="J33" i="1876" s="1"/>
  <c r="E10" i="1876"/>
  <c r="S33" i="1876" s="1"/>
  <c r="D10" i="1876"/>
  <c r="AE7" i="1876"/>
  <c r="AD7" i="1876"/>
  <c r="AC7" i="1876"/>
  <c r="AB7" i="1876"/>
  <c r="AA7" i="1876"/>
  <c r="Z7" i="1876"/>
  <c r="Y7" i="1876"/>
  <c r="X7" i="1876"/>
  <c r="W7" i="1876"/>
  <c r="V7" i="1876"/>
  <c r="U7" i="1876"/>
  <c r="T7" i="1876"/>
  <c r="S7" i="1876"/>
  <c r="R7" i="1876"/>
  <c r="Q7" i="1876"/>
  <c r="P7" i="1876"/>
  <c r="O7" i="1876"/>
  <c r="N7" i="1876"/>
  <c r="M7" i="1876"/>
  <c r="L7" i="1876"/>
  <c r="K7" i="1876"/>
  <c r="J7" i="1876"/>
  <c r="I7" i="1876"/>
  <c r="H7" i="1876"/>
  <c r="G7" i="1876"/>
  <c r="F7" i="1876"/>
  <c r="E7" i="1876"/>
  <c r="D7" i="1876"/>
  <c r="V33" i="1876" l="1"/>
  <c r="K33" i="1876"/>
  <c r="W33" i="1876"/>
  <c r="D33" i="1876"/>
  <c r="Z33" i="1876"/>
  <c r="Y33" i="1876"/>
  <c r="N33" i="1876"/>
  <c r="Q33" i="1876"/>
  <c r="M33" i="1876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xr16:uid="{00000000-0015-0000-FFFF-FFFF01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xr16:uid="{00000000-0015-0000-FFFF-FFFF02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xr16:uid="{00000000-0015-0000-FFFF-FFFF03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xr16:uid="{00000000-0015-0000-FFFF-FFFF04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xr16:uid="{00000000-0015-0000-FFFF-FFFF05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xr16:uid="{00000000-0015-0000-FFFF-FFFF06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xr16:uid="{00000000-0015-0000-FFFF-FFFF07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xr16:uid="{00000000-0015-0000-FFFF-FFFF08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xr16:uid="{00000000-0015-0000-FFFF-FFFF09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xr16:uid="{00000000-0015-0000-FFFF-FFFF0A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xr16:uid="{00000000-0015-0000-FFFF-FFFF0B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xr16:uid="{00000000-0015-0000-FFFF-FFFF0C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xr16:uid="{00000000-0015-0000-FFFF-FFFF0D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xr16:uid="{00000000-0015-0000-FFFF-FFFF0E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xr16:uid="{00000000-0015-0000-FFFF-FFFF0F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xr16:uid="{00000000-0015-0000-FFFF-FFFF10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xr16:uid="{00000000-0015-0000-FFFF-FFFF11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xr16:uid="{00000000-0015-0000-FFFF-FFFF12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xr16:uid="{00000000-0015-0000-FFFF-FFFF13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xr16:uid="{00000000-0015-0000-FFFF-FFFF14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xr16:uid="{00000000-0015-0000-FFFF-FFFF15000000}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<sst xmlns="http://schemas.openxmlformats.org/spreadsheetml/2006/main" count="30608" uniqueCount="652">
  <si>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</si>
  <si>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</si>
  <si>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</si>
  <si>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</si>
  <si>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</si>
  <si>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</si>
  <si>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</si>
  <si>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</si>
  <si>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</si>
  <si>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</si>
  <si>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</si>
  <si>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</si>
  <si>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</si>
  <si>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</si>
  <si>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</si>
  <si>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</si>
  <si>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</si>
  <si>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</si>
  <si>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</si>
  <si>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</si>
  <si>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</si>
  <si>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</si>
  <si>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</si>
  <si>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</si>
  <si>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</si>
  <si>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</si>
  <si>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</si>
  <si>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</si>
  <si>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</si>
  <si>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</si>
  <si>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</si>
  <si>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</si>
  <si>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</si>
  <si>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</si>
  <si>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</si>
  <si>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</si>
  <si>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</si>
  <si>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</si>
  <si>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</si>
  <si>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</si>
  <si>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</si>
  <si>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</si>
  <si>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</si>
  <si>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</si>
  <si>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</si>
  <si>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</si>
  <si>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</si>
  <si>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</si>
  <si>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</si>
  <si>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</si>
  <si>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</si>
  <si>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</si>
  <si>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</si>
  <si>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</si>
  <si>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</si>
  <si>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</si>
  <si>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</si>
  <si>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</si>
  <si>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</si>
  <si>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</si>
  <si>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</si>
  <si>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</si>
  <si>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</si>
  <si>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</si>
  <si>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</si>
  <si>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</si>
  <si>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</si>
  <si>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</si>
  <si>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</si>
  <si>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</si>
  <si>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</si>
  <si>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</si>
  <si>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</si>
  <si>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</si>
  <si>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</si>
  <si>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</si>
  <si>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</si>
  <si>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</si>
  <si>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</si>
  <si>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</si>
  <si>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</si>
  <si>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</si>
  <si>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</si>
  <si>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</si>
  <si>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</si>
  <si>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</si>
  <si>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</si>
  <si>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</si>
  <si>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</si>
  <si>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</si>
  <si>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</si>
  <si>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</si>
  <si>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</si>
  <si>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</si>
  <si>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</si>
  <si>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</si>
  <si>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</si>
  <si>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</si>
  <si>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</si>
  <si>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</si>
  <si>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</si>
  <si>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</si>
  <si>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</si>
  <si>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</si>
  <si>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</si>
  <si>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</si>
  <si>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</si>
  <si>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</si>
  <si>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</si>
  <si>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</si>
  <si>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</si>
  <si>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</si>
  <si>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</si>
  <si>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</si>
  <si>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</si>
  <si>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</si>
  <si>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</si>
  <si>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</si>
  <si>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</si>
  <si>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</si>
  <si>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</si>
  <si>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</si>
  <si>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</si>
  <si>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</si>
  <si>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</si>
  <si>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</si>
  <si>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</si>
  <si>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</si>
  <si>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</si>
  <si>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</si>
  <si>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</si>
  <si>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</si>
  <si>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</si>
  <si>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</si>
  <si>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</si>
  <si>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</si>
  <si>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</si>
  <si>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</si>
  <si>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</si>
  <si>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</si>
  <si>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</si>
  <si>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</si>
  <si>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</si>
  <si>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</si>
  <si>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</si>
  <si>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</si>
  <si>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</si>
  <si>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</si>
  <si>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</si>
  <si>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</si>
  <si>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</si>
  <si>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</si>
  <si>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</si>
  <si>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</si>
  <si>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</si>
  <si>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</si>
  <si>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</si>
  <si>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</si>
  <si>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</si>
  <si>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</si>
  <si>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</si>
  <si>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</si>
  <si>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</si>
  <si>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</si>
  <si>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</si>
  <si>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</si>
  <si>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</si>
  <si>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</si>
  <si>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</si>
  <si>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</si>
  <si>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</si>
  <si>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</si>
  <si>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</si>
  <si>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</si>
  <si>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</si>
  <si>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</si>
  <si>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</si>
  <si>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</si>
  <si>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</si>
  <si>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</si>
  <si>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</si>
  <si>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</si>
  <si>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</si>
  <si>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</si>
  <si>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</si>
  <si>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</si>
  <si>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</si>
  <si>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</si>
  <si>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</si>
  <si>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</si>
  <si>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</si>
  <si>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</si>
  <si>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</si>
  <si>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</si>
  <si>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</si>
  <si>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</si>
  <si>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</si>
  <si>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</si>
  <si>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</si>
  <si>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</si>
  <si>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</si>
  <si>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</si>
  <si>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</si>
  <si>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</si>
  <si>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</si>
  <si>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</si>
  <si>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</si>
  <si>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</si>
  <si>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</si>
  <si>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</si>
  <si>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</si>
  <si>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</si>
  <si>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</si>
  <si>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</si>
  <si>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</si>
  <si>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</si>
  <si>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</si>
  <si>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</si>
  <si>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</si>
  <si>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</si>
  <si>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</si>
  <si>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</si>
  <si>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</si>
  <si>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</si>
  <si>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</si>
  <si>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</si>
  <si>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</si>
  <si>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</si>
  <si>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</si>
  <si>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</si>
  <si>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</si>
  <si>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</si>
  <si>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</si>
  <si>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</si>
  <si>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</si>
  <si>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</si>
  <si>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</si>
  <si>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</si>
  <si>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</si>
  <si>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</si>
  <si>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</si>
  <si>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</si>
  <si>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</si>
  <si>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</si>
  <si>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</si>
  <si>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</si>
  <si>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</si>
  <si>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</si>
  <si>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</si>
  <si>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</si>
  <si>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</si>
  <si>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</si>
  <si>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</si>
  <si>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</si>
  <si>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</si>
  <si>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</si>
  <si>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</si>
  <si>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</si>
  <si>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</si>
  <si>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</si>
  <si>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</si>
  <si>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</si>
  <si>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</si>
  <si>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</si>
  <si>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</si>
  <si>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</si>
  <si>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</si>
  <si>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</si>
  <si>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</si>
  <si>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</si>
  <si>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</si>
  <si>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</si>
  <si>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</si>
  <si>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</si>
  <si>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</si>
  <si>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</si>
  <si>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</si>
  <si>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</si>
  <si>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</si>
  <si>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</si>
  <si>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</si>
  <si>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</si>
  <si>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</si>
  <si>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</si>
  <si>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</si>
  <si>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</si>
  <si>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</si>
  <si>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</si>
  <si>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</si>
  <si>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</si>
  <si>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</si>
  <si>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</si>
  <si>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</si>
  <si>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</si>
  <si>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</si>
  <si>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</si>
  <si>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</si>
  <si>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</si>
  <si>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</si>
  <si>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</si>
  <si>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</si>
  <si>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</si>
  <si>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</si>
  <si>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</si>
  <si>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</si>
  <si>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</si>
  <si>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</si>
  <si>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</si>
  <si>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</si>
  <si>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</si>
  <si>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</si>
  <si>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</si>
  <si>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</si>
  <si>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</si>
  <si>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</si>
  <si>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</si>
  <si>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</si>
  <si>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</si>
  <si>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</si>
  <si>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</si>
  <si>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</si>
  <si>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</si>
  <si>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</si>
  <si>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</si>
  <si>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</si>
  <si>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</si>
  <si>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</si>
  <si>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</si>
  <si>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</si>
  <si>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</si>
  <si>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</si>
  <si>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</si>
  <si>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</si>
  <si>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</si>
  <si>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</si>
  <si>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</si>
  <si>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</si>
  <si>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</si>
  <si>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</si>
  <si>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</si>
  <si>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</si>
  <si>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</si>
  <si>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</si>
  <si>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</si>
  <si>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</si>
  <si>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</si>
  <si>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</si>
  <si>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</si>
  <si>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</si>
  <si>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</si>
  <si>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</si>
  <si>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</si>
  <si>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</si>
  <si>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</si>
  <si>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</si>
  <si>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</si>
  <si>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</si>
  <si>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</si>
  <si>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</si>
  <si>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</si>
  <si>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</si>
  <si>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</si>
  <si>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</si>
  <si>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</si>
  <si>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</si>
  <si>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</si>
  <si>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</si>
  <si>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</si>
  <si>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</si>
  <si>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</si>
  <si>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</si>
  <si>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</si>
  <si>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</si>
  <si>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</si>
  <si>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</si>
  <si>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</si>
  <si>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</si>
  <si>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</si>
  <si>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</si>
  <si>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</si>
  <si>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</si>
  <si>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</si>
  <si>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</si>
  <si>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</si>
  <si>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</si>
  <si>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</si>
  <si>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</si>
  <si>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</si>
  <si>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</si>
  <si>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</si>
  <si>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</si>
  <si>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</si>
  <si>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</si>
  <si>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</si>
  <si>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</si>
  <si>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</si>
  <si>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</si>
  <si>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</si>
  <si>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</si>
  <si>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</si>
  <si>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</si>
  <si>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</si>
  <si>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</si>
  <si>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</si>
  <si>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</si>
  <si>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</si>
  <si>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</si>
  <si>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</si>
  <si>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</si>
  <si>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</si>
  <si>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</si>
  <si>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</si>
  <si>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</si>
  <si>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</si>
  <si>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</si>
  <si>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</si>
  <si>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</si>
  <si>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</si>
  <si>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</si>
  <si>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</si>
  <si>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</si>
  <si>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</si>
  <si>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</si>
  <si>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</si>
  <si>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</si>
  <si>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</si>
  <si>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</si>
  <si>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</si>
  <si>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</si>
  <si>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</si>
  <si>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</si>
  <si>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</si>
  <si>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</si>
  <si>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</si>
  <si>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</si>
  <si>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</si>
  <si>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</si>
  <si>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</si>
  <si>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</si>
  <si>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</si>
  <si>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</si>
  <si>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</si>
  <si>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</si>
  <si>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</si>
  <si>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</si>
  <si>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</si>
  <si>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</si>
  <si>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</si>
  <si>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</si>
  <si>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</si>
  <si>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</si>
  <si>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</si>
  <si>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</si>
  <si>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</si>
  <si>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</si>
  <si>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</si>
  <si>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</si>
  <si>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</si>
  <si>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</si>
  <si>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</si>
  <si>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</si>
  <si>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</si>
  <si>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</si>
  <si>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</si>
  <si>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</si>
  <si>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</si>
  <si>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</si>
  <si>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</si>
  <si>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</si>
  <si>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</si>
  <si>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</si>
  <si>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</si>
  <si>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</si>
  <si>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</si>
  <si>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</si>
  <si>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</si>
  <si>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</si>
  <si>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</si>
  <si>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</si>
  <si>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</si>
  <si>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</si>
  <si>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</si>
  <si>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</si>
  <si>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</si>
  <si>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</si>
  <si>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</si>
  <si>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</si>
  <si>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</si>
  <si>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</si>
  <si>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</si>
  <si>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</si>
  <si>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</si>
  <si>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</si>
  <si>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</si>
  <si>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</si>
  <si>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</si>
  <si>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</si>
  <si>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</si>
  <si>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</si>
  <si>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</si>
  <si>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</si>
  <si>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</si>
  <si>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</si>
  <si>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</si>
  <si>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</si>
  <si>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</si>
  <si>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</si>
  <si>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</si>
  <si>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</si>
  <si>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</si>
  <si>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</si>
  <si>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</si>
  <si>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</si>
  <si>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</si>
  <si>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</si>
  <si>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</si>
  <si>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</si>
  <si>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</si>
  <si>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</si>
  <si>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</si>
  <si>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</si>
  <si>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</si>
  <si>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</si>
  <si>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</si>
  <si>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</si>
  <si>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</si>
  <si>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</si>
  <si>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</si>
  <si>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</si>
  <si>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</si>
  <si>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</si>
  <si>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</si>
  <si>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</si>
  <si>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</si>
  <si>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</si>
  <si>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</si>
  <si>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</si>
  <si>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</si>
  <si>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</si>
  <si>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</si>
  <si>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</si>
  <si>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</si>
  <si>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</si>
  <si>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</si>
  <si>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</si>
  <si>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</si>
  <si>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</si>
  <si>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</si>
  <si>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</si>
  <si>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</si>
  <si>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</si>
  <si>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</si>
  <si>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</si>
  <si>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</si>
  <si>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</si>
  <si>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</si>
  <si>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</si>
  <si>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</si>
  <si>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</si>
  <si>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</si>
  <si>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</si>
  <si>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</si>
  <si>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</si>
  <si>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</si>
  <si>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</si>
  <si>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</si>
  <si>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</si>
  <si>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</si>
  <si>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</si>
  <si>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</si>
  <si>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</si>
  <si>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</si>
  <si>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</si>
  <si>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</si>
  <si>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</si>
  <si>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</si>
  <si>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</si>
  <si>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</si>
  <si>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</si>
  <si>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</si>
  <si>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</si>
  <si>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</si>
  <si>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</si>
  <si>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</si>
  <si>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</si>
  <si>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</si>
  <si>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</si>
  <si>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</si>
  <si>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</si>
  <si>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</si>
  <si>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</si>
  <si>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</si>
  <si>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</si>
  <si>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</si>
  <si>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</si>
  <si>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</si>
  <si>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</si>
  <si>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</si>
  <si>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</si>
  <si>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</si>
  <si>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</si>
  <si>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</si>
  <si>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</si>
  <si>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</si>
  <si>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</si>
  <si>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</si>
  <si>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</si>
  <si>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</si>
  <si>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</si>
  <si>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</si>
  <si>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</si>
  <si>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</si>
  <si>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</si>
  <si>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</si>
  <si>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</si>
  <si>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</si>
  <si>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</si>
  <si>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</si>
  <si>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</si>
  <si>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</si>
  <si>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</si>
  <si>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</si>
  <si>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</si>
  <si>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</si>
  <si>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</si>
  <si>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</si>
  <si>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</si>
  <si>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</si>
  <si>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</si>
  <si>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</si>
  <si>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</si>
  <si>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</si>
  <si>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</si>
  <si>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</si>
  <si>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</si>
  <si>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</si>
  <si>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</si>
  <si>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CPN-P1</t>
    <phoneticPr fontId="2" type="noConversion"/>
  </si>
  <si>
    <t>IPA-1</t>
  </si>
  <si>
    <t>IPA</t>
    <phoneticPr fontId="2" type="noConversion"/>
  </si>
  <si>
    <t>EBR-P1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</si>
  <si>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16
蒸氣壓力 ______ (最低氣溫低於16度開啟)</t>
    <phoneticPr fontId="3" type="noConversion"/>
  </si>
  <si>
    <t>C50110-INV-01(01)</t>
    <phoneticPr fontId="3" type="noConversion"/>
  </si>
  <si>
    <t>IPA-1</t>
    <phoneticPr fontId="3" type="noConversion"/>
  </si>
  <si>
    <t xml:space="preserve"> 蔡承易</t>
    <phoneticPr fontId="2" type="noConversion"/>
  </si>
  <si>
    <t xml:space="preserve"> 張立杰</t>
    <phoneticPr fontId="2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</si>
  <si>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</t>
    </r>
    <r>
      <rPr>
        <u/>
        <sz val="8"/>
        <rFont val="微軟正黑體"/>
        <family val="2"/>
        <charset val="136"/>
      </rPr>
      <t>23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</si>
  <si>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蔡承易</t>
    <phoneticPr fontId="2" type="noConversion"/>
  </si>
  <si>
    <t>許原暢</t>
    <phoneticPr fontId="2" type="noConversion"/>
  </si>
  <si>
    <t>2CPN-P1</t>
    <phoneticPr fontId="2" type="noConversion"/>
  </si>
  <si>
    <t>張立杰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</si>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</sst>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7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u/>
      <sz val="8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4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2" fontId="18" fillId="2" borderId="52" xfId="1" applyNumberFormat="1" applyFont="1" applyFill="1" applyBorder="1" applyAlignment="1" applyProtection="1">
      <alignment vertical="center"/>
      <protection locked="0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 xr:uid="{00000000-0005-0000-0000-000001000000}"/>
    <cellStyle name="一般 2 2" xfId="6" xr:uid="{00000000-0005-0000-0000-000002000000}"/>
    <cellStyle name="一般 3" xfId="2" xr:uid="{00000000-0005-0000-0000-000003000000}"/>
    <cellStyle name="千分位 2" xfId="3" xr:uid="{00000000-0005-0000-0000-000004000000}"/>
    <cellStyle name="千分位 2 2" xfId="7" xr:uid="{00000000-0005-0000-0000-000005000000}"/>
    <cellStyle name="千分位 2 2 2" xfId="9" xr:uid="{00000000-0005-0000-0000-000006000000}"/>
    <cellStyle name="千分位 2 2 2 2" xfId="13" xr:uid="{00000000-0005-0000-0000-000007000000}"/>
    <cellStyle name="千分位 2 2 2 2 2" xfId="21" xr:uid="{00000000-0005-0000-0000-000008000000}"/>
    <cellStyle name="千分位 2 2 2 3" xfId="17" xr:uid="{00000000-0005-0000-0000-000009000000}"/>
    <cellStyle name="千分位 2 2 3" xfId="11" xr:uid="{00000000-0005-0000-0000-00000A000000}"/>
    <cellStyle name="千分位 2 2 3 2" xfId="19" xr:uid="{00000000-0005-0000-0000-00000B000000}"/>
    <cellStyle name="千分位 2 2 4" xfId="15" xr:uid="{00000000-0005-0000-0000-00000C000000}"/>
    <cellStyle name="百分比 2" xfId="5" xr:uid="{00000000-0005-0000-0000-00000D000000}"/>
    <cellStyle name="貨幣 2" xfId="4" xr:uid="{00000000-0005-0000-0000-00000E000000}"/>
    <cellStyle name="貨幣 2 2" xfId="8" xr:uid="{00000000-0005-0000-0000-00000F000000}"/>
    <cellStyle name="貨幣 2 2 2" xfId="10" xr:uid="{00000000-0005-0000-0000-000010000000}"/>
    <cellStyle name="貨幣 2 2 2 2" xfId="14" xr:uid="{00000000-0005-0000-0000-000011000000}"/>
    <cellStyle name="貨幣 2 2 2 2 2" xfId="22" xr:uid="{00000000-0005-0000-0000-000012000000}"/>
    <cellStyle name="貨幣 2 2 2 3" xfId="18" xr:uid="{00000000-0005-0000-0000-000013000000}"/>
    <cellStyle name="貨幣 2 2 3" xfId="12" xr:uid="{00000000-0005-0000-0000-000014000000}"/>
    <cellStyle name="貨幣 2 2 3 2" xfId="20" xr:uid="{00000000-0005-0000-0000-000015000000}"/>
    <cellStyle name="貨幣 2 2 4" xfId="16" xr:uid="{00000000-0005-0000-0000-000016000000}"/>
  </cellStyles>
  <dxfs count="27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52388</xdr:colOff>
          <xdr:row>15</xdr:row>
          <xdr:rowOff>200025</xdr:rowOff>
        </xdr:from>
        <xdr:to>
          <xdr:col>15</xdr:col>
          <xdr:colOff>519113</xdr:colOff>
          <xdr:row>22</xdr:row>
          <xdr:rowOff>390525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  <a:ext uri="{FF2B5EF4-FFF2-40B4-BE49-F238E27FC236}">
                  <a16:creationId xmlns:a16="http://schemas.microsoft.com/office/drawing/2014/main" id="{00000000-0008-0000-0000-000001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14288</xdr:colOff>
          <xdr:row>25</xdr:row>
          <xdr:rowOff>61913</xdr:rowOff>
        </xdr:from>
        <xdr:to>
          <xdr:col>15</xdr:col>
          <xdr:colOff>542925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  <a:ext uri="{FF2B5EF4-FFF2-40B4-BE49-F238E27FC236}">
                  <a16:creationId xmlns:a16="http://schemas.microsoft.com/office/drawing/2014/main" id="{00000000-0008-0000-0000-0000024C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75009" name="Button 1" hidden="1">
              <a:extLst>
                <a:ext uri="{63B3BB69-23CF-44E3-9099-C40C66FF867C}">
                  <a14:compatExt spid="_x0000_s2475009"/>
                </a:ext>
                <a:ext uri="{FF2B5EF4-FFF2-40B4-BE49-F238E27FC236}">
                  <a16:creationId xmlns:a16="http://schemas.microsoft.com/office/drawing/2014/main" id="{00000000-0008-0000-0200-000001C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77057" name="Button 1" hidden="1">
              <a:extLst>
                <a:ext uri="{63B3BB69-23CF-44E3-9099-C40C66FF867C}">
                  <a14:compatExt spid="_x0000_s2477057"/>
                </a:ext>
                <a:ext uri="{FF2B5EF4-FFF2-40B4-BE49-F238E27FC236}">
                  <a16:creationId xmlns:a16="http://schemas.microsoft.com/office/drawing/2014/main" id="{00000000-0008-0000-0300-000001C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78081" name="Button 1" hidden="1">
              <a:extLst>
                <a:ext uri="{63B3BB69-23CF-44E3-9099-C40C66FF867C}">
                  <a14:compatExt spid="_x0000_s2478081"/>
                </a:ext>
                <a:ext uri="{FF2B5EF4-FFF2-40B4-BE49-F238E27FC236}">
                  <a16:creationId xmlns:a16="http://schemas.microsoft.com/office/drawing/2014/main" id="{00000000-0008-0000-0400-000001D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0129" name="Button 1" hidden="1">
              <a:extLst>
                <a:ext uri="{63B3BB69-23CF-44E3-9099-C40C66FF867C}">
                  <a14:compatExt spid="_x0000_s2480129"/>
                </a:ext>
                <a:ext uri="{FF2B5EF4-FFF2-40B4-BE49-F238E27FC236}">
                  <a16:creationId xmlns:a16="http://schemas.microsoft.com/office/drawing/2014/main" id="{00000000-0008-0000-0500-000001D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1153" name="Button 1" hidden="1">
              <a:extLst>
                <a:ext uri="{63B3BB69-23CF-44E3-9099-C40C66FF867C}">
                  <a14:compatExt spid="_x0000_s2481153"/>
                </a:ext>
                <a:ext uri="{FF2B5EF4-FFF2-40B4-BE49-F238E27FC236}">
                  <a16:creationId xmlns:a16="http://schemas.microsoft.com/office/drawing/2014/main" id="{00000000-0008-0000-0600-000001D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2177" name="Button 1" hidden="1">
              <a:extLst>
                <a:ext uri="{63B3BB69-23CF-44E3-9099-C40C66FF867C}">
                  <a14:compatExt spid="_x0000_s2482177"/>
                </a:ext>
                <a:ext uri="{FF2B5EF4-FFF2-40B4-BE49-F238E27FC236}">
                  <a16:creationId xmlns:a16="http://schemas.microsoft.com/office/drawing/2014/main" id="{00000000-0008-0000-0700-000001E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3201" name="Button 1" hidden="1">
              <a:extLst>
                <a:ext uri="{63B3BB69-23CF-44E3-9099-C40C66FF867C}">
                  <a14:compatExt spid="_x0000_s2483201"/>
                </a:ext>
                <a:ext uri="{FF2B5EF4-FFF2-40B4-BE49-F238E27FC236}">
                  <a16:creationId xmlns:a16="http://schemas.microsoft.com/office/drawing/2014/main" id="{00000000-0008-0000-0800-000001E4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4225" name="Button 1" hidden="1">
              <a:extLst>
                <a:ext uri="{63B3BB69-23CF-44E3-9099-C40C66FF867C}">
                  <a14:compatExt spid="_x0000_s2484225"/>
                </a:ext>
                <a:ext uri="{FF2B5EF4-FFF2-40B4-BE49-F238E27FC236}">
                  <a16:creationId xmlns:a16="http://schemas.microsoft.com/office/drawing/2014/main" id="{00000000-0008-0000-0900-000001E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6273" name="Button 1" hidden="1">
              <a:extLst>
                <a:ext uri="{63B3BB69-23CF-44E3-9099-C40C66FF867C}">
                  <a14:compatExt spid="_x0000_s2486273"/>
                </a:ext>
                <a:ext uri="{FF2B5EF4-FFF2-40B4-BE49-F238E27FC236}">
                  <a16:creationId xmlns:a16="http://schemas.microsoft.com/office/drawing/2014/main" id="{00000000-0008-0000-0A00-000001F0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8321" name="Button 1" hidden="1">
              <a:extLst>
                <a:ext uri="{63B3BB69-23CF-44E3-9099-C40C66FF867C}">
                  <a14:compatExt spid="_x0000_s2488321"/>
                </a:ext>
                <a:ext uri="{FF2B5EF4-FFF2-40B4-BE49-F238E27FC236}">
                  <a16:creationId xmlns:a16="http://schemas.microsoft.com/office/drawing/2014/main" id="{00000000-0008-0000-0B00-000001F8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89345" name="Button 1" hidden="1">
              <a:extLst>
                <a:ext uri="{63B3BB69-23CF-44E3-9099-C40C66FF867C}">
                  <a14:compatExt spid="_x0000_s2489345"/>
                </a:ext>
                <a:ext uri="{FF2B5EF4-FFF2-40B4-BE49-F238E27FC236}">
                  <a16:creationId xmlns:a16="http://schemas.microsoft.com/office/drawing/2014/main" id="{00000000-0008-0000-0C00-000001FC2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91393" name="Button 1" hidden="1">
              <a:extLst>
                <a:ext uri="{63B3BB69-23CF-44E3-9099-C40C66FF867C}">
                  <a14:compatExt spid="_x0000_s2491393"/>
                </a:ext>
                <a:ext uri="{FF2B5EF4-FFF2-40B4-BE49-F238E27FC236}">
                  <a16:creationId xmlns:a16="http://schemas.microsoft.com/office/drawing/2014/main" id="{00000000-0008-0000-0D00-0000010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93441" name="Button 1" hidden="1">
              <a:extLst>
                <a:ext uri="{63B3BB69-23CF-44E3-9099-C40C66FF867C}">
                  <a14:compatExt spid="_x0000_s2493441"/>
                </a:ext>
                <a:ext uri="{FF2B5EF4-FFF2-40B4-BE49-F238E27FC236}">
                  <a16:creationId xmlns:a16="http://schemas.microsoft.com/office/drawing/2014/main" id="{00000000-0008-0000-0E00-0000010C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95489" name="Button 1" hidden="1">
              <a:extLst>
                <a:ext uri="{63B3BB69-23CF-44E3-9099-C40C66FF867C}">
                  <a14:compatExt spid="_x0000_s2495489"/>
                </a:ext>
                <a:ext uri="{FF2B5EF4-FFF2-40B4-BE49-F238E27FC236}">
                  <a16:creationId xmlns:a16="http://schemas.microsoft.com/office/drawing/2014/main" id="{00000000-0008-0000-0F00-0000011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96513" name="Button 1" hidden="1">
              <a:extLst>
                <a:ext uri="{63B3BB69-23CF-44E3-9099-C40C66FF867C}">
                  <a14:compatExt spid="_x0000_s2496513"/>
                </a:ext>
                <a:ext uri="{FF2B5EF4-FFF2-40B4-BE49-F238E27FC236}">
                  <a16:creationId xmlns:a16="http://schemas.microsoft.com/office/drawing/2014/main" id="{00000000-0008-0000-1000-0000011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97537" name="Button 1" hidden="1">
              <a:extLst>
                <a:ext uri="{63B3BB69-23CF-44E3-9099-C40C66FF867C}">
                  <a14:compatExt spid="_x0000_s2497537"/>
                </a:ext>
                <a:ext uri="{FF2B5EF4-FFF2-40B4-BE49-F238E27FC236}">
                  <a16:creationId xmlns:a16="http://schemas.microsoft.com/office/drawing/2014/main" id="{00000000-0008-0000-1100-0000011C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0609" name="Button 1" hidden="1">
              <a:extLst>
                <a:ext uri="{63B3BB69-23CF-44E3-9099-C40C66FF867C}">
                  <a14:compatExt spid="_x0000_s2500609"/>
                </a:ext>
                <a:ext uri="{FF2B5EF4-FFF2-40B4-BE49-F238E27FC236}">
                  <a16:creationId xmlns:a16="http://schemas.microsoft.com/office/drawing/2014/main" id="{00000000-0008-0000-1200-0000012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2657" name="Button 1" hidden="1">
              <a:extLst>
                <a:ext uri="{63B3BB69-23CF-44E3-9099-C40C66FF867C}">
                  <a14:compatExt spid="_x0000_s2502657"/>
                </a:ext>
                <a:ext uri="{FF2B5EF4-FFF2-40B4-BE49-F238E27FC236}">
                  <a16:creationId xmlns:a16="http://schemas.microsoft.com/office/drawing/2014/main" id="{00000000-0008-0000-1300-00000130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3681" name="Button 1" hidden="1">
              <a:extLst>
                <a:ext uri="{63B3BB69-23CF-44E3-9099-C40C66FF867C}">
                  <a14:compatExt spid="_x0000_s2503681"/>
                </a:ext>
                <a:ext uri="{FF2B5EF4-FFF2-40B4-BE49-F238E27FC236}">
                  <a16:creationId xmlns:a16="http://schemas.microsoft.com/office/drawing/2014/main" id="{00000000-0008-0000-1400-0000013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4705" name="Button 1" hidden="1">
              <a:extLst>
                <a:ext uri="{63B3BB69-23CF-44E3-9099-C40C66FF867C}">
                  <a14:compatExt spid="_x0000_s2504705"/>
                </a:ext>
                <a:ext uri="{FF2B5EF4-FFF2-40B4-BE49-F238E27FC236}">
                  <a16:creationId xmlns:a16="http://schemas.microsoft.com/office/drawing/2014/main" id="{00000000-0008-0000-1500-00000138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5729" name="Button 1" hidden="1">
              <a:extLst>
                <a:ext uri="{63B3BB69-23CF-44E3-9099-C40C66FF867C}">
                  <a14:compatExt spid="_x0000_s2505729"/>
                </a:ext>
                <a:ext uri="{FF2B5EF4-FFF2-40B4-BE49-F238E27FC236}">
                  <a16:creationId xmlns:a16="http://schemas.microsoft.com/office/drawing/2014/main" id="{00000000-0008-0000-1600-0000013C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507777" name="Button 1" hidden="1">
              <a:extLst>
                <a:ext uri="{63B3BB69-23CF-44E3-9099-C40C66FF867C}">
                  <a14:compatExt spid="_x0000_s2507777"/>
                </a:ext>
                <a:ext uri="{FF2B5EF4-FFF2-40B4-BE49-F238E27FC236}">
                  <a16:creationId xmlns:a16="http://schemas.microsoft.com/office/drawing/2014/main" id="{00000000-0008-0000-1700-000001442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" xr16:uid="{00000000-0016-0000-0200-000000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2" xr16:uid="{00000000-0016-0000-0300-000001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3" xr16:uid="{00000000-0016-0000-0400-000002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4" xr16:uid="{00000000-0016-0000-0500-000003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5" xr16:uid="{00000000-0016-0000-0600-000004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6" xr16:uid="{00000000-0016-0000-0700-000005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7" xr16:uid="{00000000-0016-0000-0800-000006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8" xr16:uid="{00000000-0016-0000-0900-000007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9" xr16:uid="{00000000-0016-0000-0A00-000008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0" xr16:uid="{00000000-0016-0000-0B00-000009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1" xr16:uid="{00000000-0016-0000-0C00-00000A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2" xr16:uid="{00000000-0016-0000-0D00-00000B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3" xr16:uid="{00000000-0016-0000-0E00-00000C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5" xr16:uid="{00000000-0016-0000-0F00-00000D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6" xr16:uid="{00000000-0016-0000-1000-00000E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7" xr16:uid="{00000000-0016-0000-1100-00000F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9" xr16:uid="{00000000-0016-0000-1200-000010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20" xr16:uid="{00000000-0016-0000-1300-000011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8" xr16:uid="{00000000-0016-0000-1400-000012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21" xr16:uid="{00000000-0016-0000-1500-000013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22" xr16:uid="{00000000-0016-0000-1600-000014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取樣回收每月庫存表 0620更新" connectionId="14" xr16:uid="{00000000-0016-0000-1700-000015000000}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0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675" dataDxfId="2674" headerRowCellStyle="一般 2" dataCellStyle="一般 2">
  <autoFilter ref="AG13:BH189" xr:uid="{00000000-0009-0000-0100-000014000000}"/>
  <tableColumns count="28">
    <tableColumn id="1" xr3:uid="{00000000-0010-0000-0000-000001000000}" uniqueName="1" name="請直接以10進位，謝謝" queryTableFieldId="1" dataDxfId="2673" dataCellStyle="一般 2"/>
    <tableColumn id="2" xr3:uid="{00000000-0010-0000-0000-000002000000}" uniqueName="2" name="F2" queryTableFieldId="2" dataDxfId="2672" dataCellStyle="一般 2"/>
    <tableColumn id="3" xr3:uid="{00000000-0010-0000-0000-000003000000}" uniqueName="3" name="F3" queryTableFieldId="3" dataDxfId="2671" dataCellStyle="一般 2"/>
    <tableColumn id="4" xr3:uid="{00000000-0010-0000-0000-000004000000}" uniqueName="4" name="F4" queryTableFieldId="4" dataDxfId="2670" dataCellStyle="一般 2"/>
    <tableColumn id="5" xr3:uid="{00000000-0010-0000-0000-000005000000}" uniqueName="5" name="F5" queryTableFieldId="5" dataDxfId="2669" dataCellStyle="一般 2"/>
    <tableColumn id="6" xr3:uid="{00000000-0010-0000-0000-000006000000}" uniqueName="6" name="F6" queryTableFieldId="6" dataDxfId="2668" dataCellStyle="一般 2"/>
    <tableColumn id="7" xr3:uid="{00000000-0010-0000-0000-000007000000}" uniqueName="7" name="F7" queryTableFieldId="7" dataDxfId="2667" dataCellStyle="一般 2"/>
    <tableColumn id="8" xr3:uid="{00000000-0010-0000-0000-000008000000}" uniqueName="8" name="F8" queryTableFieldId="8" dataDxfId="2666" dataCellStyle="一般 2"/>
    <tableColumn id="9" xr3:uid="{00000000-0010-0000-0000-000009000000}" uniqueName="9" name="F9" queryTableFieldId="9" dataDxfId="2665" dataCellStyle="一般 2"/>
    <tableColumn id="10" xr3:uid="{00000000-0010-0000-0000-00000A000000}" uniqueName="10" name="F10" queryTableFieldId="10" dataDxfId="2664" dataCellStyle="一般 2"/>
    <tableColumn id="11" xr3:uid="{00000000-0010-0000-0000-00000B000000}" uniqueName="11" name="F11" queryTableFieldId="11" dataDxfId="2663" dataCellStyle="一般 2"/>
    <tableColumn id="12" xr3:uid="{00000000-0010-0000-0000-00000C000000}" uniqueName="12" name="F12" queryTableFieldId="12" dataDxfId="2662" dataCellStyle="一般 2"/>
    <tableColumn id="13" xr3:uid="{00000000-0010-0000-0000-00000D000000}" uniqueName="13" name="F13" queryTableFieldId="13" dataDxfId="2661" dataCellStyle="一般 2"/>
    <tableColumn id="14" xr3:uid="{00000000-0010-0000-0000-00000E000000}" uniqueName="14" name="F14" queryTableFieldId="14" dataDxfId="2660" dataCellStyle="一般 2"/>
    <tableColumn id="15" xr3:uid="{00000000-0010-0000-0000-00000F000000}" uniqueName="15" name="F15" queryTableFieldId="15" dataDxfId="2659" dataCellStyle="一般 2"/>
    <tableColumn id="16" xr3:uid="{00000000-0010-0000-0000-000010000000}" uniqueName="16" name="F16" queryTableFieldId="16" dataDxfId="2658" dataCellStyle="一般 2"/>
    <tableColumn id="17" xr3:uid="{00000000-0010-0000-0000-000011000000}" uniqueName="17" name="F17" queryTableFieldId="17" dataDxfId="2657" dataCellStyle="一般 2"/>
    <tableColumn id="18" xr3:uid="{00000000-0010-0000-0000-000012000000}" uniqueName="18" name="F18" queryTableFieldId="18" dataDxfId="2656" dataCellStyle="一般 2"/>
    <tableColumn id="19" xr3:uid="{00000000-0010-0000-0000-000013000000}" uniqueName="19" name="F19" queryTableFieldId="19" dataDxfId="2655" dataCellStyle="一般 2"/>
    <tableColumn id="20" xr3:uid="{00000000-0010-0000-0000-000014000000}" uniqueName="20" name="F20" queryTableFieldId="20" dataDxfId="2654" dataCellStyle="一般 2"/>
    <tableColumn id="21" xr3:uid="{00000000-0010-0000-0000-000015000000}" uniqueName="21" name="F21" queryTableFieldId="21" dataDxfId="2653" dataCellStyle="一般 2"/>
    <tableColumn id="22" xr3:uid="{00000000-0010-0000-0000-000016000000}" uniqueName="22" name="2024/6/24 14:52" queryTableFieldId="22" dataDxfId="2652" dataCellStyle="一般 2"/>
    <tableColumn id="23" xr3:uid="{00000000-0010-0000-0000-000017000000}" uniqueName="23" name="F23" queryTableFieldId="23" dataDxfId="2651" dataCellStyle="一般 2"/>
    <tableColumn id="24" xr3:uid="{00000000-0010-0000-0000-000018000000}" uniqueName="24" name="F24" queryTableFieldId="24" dataDxfId="2650" dataCellStyle="一般 2"/>
    <tableColumn id="25" xr3:uid="{00000000-0010-0000-0000-000019000000}" uniqueName="25" name="F25" queryTableFieldId="25" dataDxfId="2649" dataCellStyle="一般 2"/>
    <tableColumn id="26" xr3:uid="{00000000-0010-0000-0000-00001A000000}" uniqueName="26" name="F26" queryTableFieldId="26" dataDxfId="2648" dataCellStyle="一般 2"/>
    <tableColumn id="27" xr3:uid="{00000000-0010-0000-0000-00001B000000}" uniqueName="27" name="F27" queryTableFieldId="27" dataDxfId="2647" dataCellStyle="一般 2"/>
    <tableColumn id="28" xr3:uid="{00000000-0010-0000-0000-00001C000000}" uniqueName="28" name="F28" queryTableFieldId="28" dataDxfId="2646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549" dataDxfId="2548" headerRowCellStyle="一般 2" dataCellStyle="一般 2">
  <autoFilter ref="AG13:BH189" xr:uid="{00000000-0009-0000-0100-000001000000}"/>
  <tableColumns count="28">
    <tableColumn id="1" xr3:uid="{00000000-0010-0000-0100-000001000000}" uniqueName="1" name="請直接以10進位，謝謝" queryTableFieldId="1" dataDxfId="2547" dataCellStyle="一般 2"/>
    <tableColumn id="2" xr3:uid="{00000000-0010-0000-0100-000002000000}" uniqueName="2" name="F2" queryTableFieldId="2" dataDxfId="2546" dataCellStyle="一般 2"/>
    <tableColumn id="3" xr3:uid="{00000000-0010-0000-0100-000003000000}" uniqueName="3" name="F3" queryTableFieldId="3" dataDxfId="2545" dataCellStyle="一般 2"/>
    <tableColumn id="4" xr3:uid="{00000000-0010-0000-0100-000004000000}" uniqueName="4" name="F4" queryTableFieldId="4" dataDxfId="2544" dataCellStyle="一般 2"/>
    <tableColumn id="5" xr3:uid="{00000000-0010-0000-0100-000005000000}" uniqueName="5" name="F5" queryTableFieldId="5" dataDxfId="2543" dataCellStyle="一般 2"/>
    <tableColumn id="6" xr3:uid="{00000000-0010-0000-0100-000006000000}" uniqueName="6" name="F6" queryTableFieldId="6" dataDxfId="2542" dataCellStyle="一般 2"/>
    <tableColumn id="7" xr3:uid="{00000000-0010-0000-0100-000007000000}" uniqueName="7" name="F7" queryTableFieldId="7" dataDxfId="2541" dataCellStyle="一般 2"/>
    <tableColumn id="8" xr3:uid="{00000000-0010-0000-0100-000008000000}" uniqueName="8" name="F8" queryTableFieldId="8" dataDxfId="2540" dataCellStyle="一般 2"/>
    <tableColumn id="9" xr3:uid="{00000000-0010-0000-0100-000009000000}" uniqueName="9" name="F9" queryTableFieldId="9" dataDxfId="2539" dataCellStyle="一般 2"/>
    <tableColumn id="10" xr3:uid="{00000000-0010-0000-0100-00000A000000}" uniqueName="10" name="F10" queryTableFieldId="10" dataDxfId="2538" dataCellStyle="一般 2"/>
    <tableColumn id="11" xr3:uid="{00000000-0010-0000-0100-00000B000000}" uniqueName="11" name="F11" queryTableFieldId="11" dataDxfId="2537" dataCellStyle="一般 2"/>
    <tableColumn id="12" xr3:uid="{00000000-0010-0000-0100-00000C000000}" uniqueName="12" name="F12" queryTableFieldId="12" dataDxfId="2536" dataCellStyle="一般 2"/>
    <tableColumn id="13" xr3:uid="{00000000-0010-0000-0100-00000D000000}" uniqueName="13" name="F13" queryTableFieldId="13" dataDxfId="2535" dataCellStyle="一般 2"/>
    <tableColumn id="14" xr3:uid="{00000000-0010-0000-0100-00000E000000}" uniqueName="14" name="F14" queryTableFieldId="14" dataDxfId="2534" dataCellStyle="一般 2"/>
    <tableColumn id="15" xr3:uid="{00000000-0010-0000-0100-00000F000000}" uniqueName="15" name="F15" queryTableFieldId="15" dataDxfId="2533" dataCellStyle="一般 2"/>
    <tableColumn id="16" xr3:uid="{00000000-0010-0000-0100-000010000000}" uniqueName="16" name="F16" queryTableFieldId="16" dataDxfId="2532" dataCellStyle="一般 2"/>
    <tableColumn id="17" xr3:uid="{00000000-0010-0000-0100-000011000000}" uniqueName="17" name="F17" queryTableFieldId="17" dataDxfId="2531" dataCellStyle="一般 2"/>
    <tableColumn id="18" xr3:uid="{00000000-0010-0000-0100-000012000000}" uniqueName="18" name="F18" queryTableFieldId="18" dataDxfId="2530" dataCellStyle="一般 2"/>
    <tableColumn id="19" xr3:uid="{00000000-0010-0000-0100-000013000000}" uniqueName="19" name="F19" queryTableFieldId="19" dataDxfId="2529" dataCellStyle="一般 2"/>
    <tableColumn id="20" xr3:uid="{00000000-0010-0000-0100-000014000000}" uniqueName="20" name="F20" queryTableFieldId="20" dataDxfId="2528" dataCellStyle="一般 2"/>
    <tableColumn id="21" xr3:uid="{00000000-0010-0000-0100-000015000000}" uniqueName="21" name="F21" queryTableFieldId="21" dataDxfId="2527" dataCellStyle="一般 2"/>
    <tableColumn id="22" xr3:uid="{00000000-0010-0000-0100-000016000000}" uniqueName="22" name="2024/6/24 14:52" queryTableFieldId="22" dataDxfId="2526" dataCellStyle="一般 2"/>
    <tableColumn id="23" xr3:uid="{00000000-0010-0000-0100-000017000000}" uniqueName="23" name="F23" queryTableFieldId="23" dataDxfId="2525" dataCellStyle="一般 2"/>
    <tableColumn id="24" xr3:uid="{00000000-0010-0000-0100-000018000000}" uniqueName="24" name="F24" queryTableFieldId="24" dataDxfId="2524" dataCellStyle="一般 2"/>
    <tableColumn id="25" xr3:uid="{00000000-0010-0000-0100-000019000000}" uniqueName="25" name="F25" queryTableFieldId="25" dataDxfId="2523" dataCellStyle="一般 2"/>
    <tableColumn id="26" xr3:uid="{00000000-0010-0000-0100-00001A000000}" uniqueName="26" name="F26" queryTableFieldId="26" dataDxfId="2522" dataCellStyle="一般 2"/>
    <tableColumn id="27" xr3:uid="{00000000-0010-0000-0100-00001B000000}" uniqueName="27" name="F27" queryTableFieldId="27" dataDxfId="2521" dataCellStyle="一般 2"/>
    <tableColumn id="28" xr3:uid="{00000000-0010-0000-0100-00001C000000}" uniqueName="28" name="F28" queryTableFieldId="28" dataDxfId="252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423" dataDxfId="2422" headerRowCellStyle="一般 2" dataCellStyle="一般 2">
  <autoFilter ref="AG13:BH189" xr:uid="{00000000-0009-0000-0100-000002000000}"/>
  <tableColumns count="28">
    <tableColumn id="1" xr3:uid="{00000000-0010-0000-0200-000001000000}" uniqueName="1" name="請直接以10進位，謝謝" queryTableFieldId="1" dataDxfId="2421" dataCellStyle="一般 2"/>
    <tableColumn id="2" xr3:uid="{00000000-0010-0000-0200-000002000000}" uniqueName="2" name="F2" queryTableFieldId="2" dataDxfId="2420" dataCellStyle="一般 2"/>
    <tableColumn id="3" xr3:uid="{00000000-0010-0000-0200-000003000000}" uniqueName="3" name="F3" queryTableFieldId="3" dataDxfId="2419" dataCellStyle="一般 2"/>
    <tableColumn id="4" xr3:uid="{00000000-0010-0000-0200-000004000000}" uniqueName="4" name="F4" queryTableFieldId="4" dataDxfId="2418" dataCellStyle="一般 2"/>
    <tableColumn id="5" xr3:uid="{00000000-0010-0000-0200-000005000000}" uniqueName="5" name="F5" queryTableFieldId="5" dataDxfId="2417" dataCellStyle="一般 2"/>
    <tableColumn id="6" xr3:uid="{00000000-0010-0000-0200-000006000000}" uniqueName="6" name="F6" queryTableFieldId="6" dataDxfId="2416" dataCellStyle="一般 2"/>
    <tableColumn id="7" xr3:uid="{00000000-0010-0000-0200-000007000000}" uniqueName="7" name="F7" queryTableFieldId="7" dataDxfId="2415" dataCellStyle="一般 2"/>
    <tableColumn id="8" xr3:uid="{00000000-0010-0000-0200-000008000000}" uniqueName="8" name="F8" queryTableFieldId="8" dataDxfId="2414" dataCellStyle="一般 2"/>
    <tableColumn id="9" xr3:uid="{00000000-0010-0000-0200-000009000000}" uniqueName="9" name="F9" queryTableFieldId="9" dataDxfId="2413" dataCellStyle="一般 2"/>
    <tableColumn id="10" xr3:uid="{00000000-0010-0000-0200-00000A000000}" uniqueName="10" name="F10" queryTableFieldId="10" dataDxfId="2412" dataCellStyle="一般 2"/>
    <tableColumn id="11" xr3:uid="{00000000-0010-0000-0200-00000B000000}" uniqueName="11" name="F11" queryTableFieldId="11" dataDxfId="2411" dataCellStyle="一般 2"/>
    <tableColumn id="12" xr3:uid="{00000000-0010-0000-0200-00000C000000}" uniqueName="12" name="F12" queryTableFieldId="12" dataDxfId="2410" dataCellStyle="一般 2"/>
    <tableColumn id="13" xr3:uid="{00000000-0010-0000-0200-00000D000000}" uniqueName="13" name="F13" queryTableFieldId="13" dataDxfId="2409" dataCellStyle="一般 2"/>
    <tableColumn id="14" xr3:uid="{00000000-0010-0000-0200-00000E000000}" uniqueName="14" name="F14" queryTableFieldId="14" dataDxfId="2408" dataCellStyle="一般 2"/>
    <tableColumn id="15" xr3:uid="{00000000-0010-0000-0200-00000F000000}" uniqueName="15" name="F15" queryTableFieldId="15" dataDxfId="2407" dataCellStyle="一般 2"/>
    <tableColumn id="16" xr3:uid="{00000000-0010-0000-0200-000010000000}" uniqueName="16" name="F16" queryTableFieldId="16" dataDxfId="2406" dataCellStyle="一般 2"/>
    <tableColumn id="17" xr3:uid="{00000000-0010-0000-0200-000011000000}" uniqueName="17" name="F17" queryTableFieldId="17" dataDxfId="2405" dataCellStyle="一般 2"/>
    <tableColumn id="18" xr3:uid="{00000000-0010-0000-0200-000012000000}" uniqueName="18" name="F18" queryTableFieldId="18" dataDxfId="2404" dataCellStyle="一般 2"/>
    <tableColumn id="19" xr3:uid="{00000000-0010-0000-0200-000013000000}" uniqueName="19" name="F19" queryTableFieldId="19" dataDxfId="2403" dataCellStyle="一般 2"/>
    <tableColumn id="20" xr3:uid="{00000000-0010-0000-0200-000014000000}" uniqueName="20" name="F20" queryTableFieldId="20" dataDxfId="2402" dataCellStyle="一般 2"/>
    <tableColumn id="21" xr3:uid="{00000000-0010-0000-0200-000015000000}" uniqueName="21" name="F21" queryTableFieldId="21" dataDxfId="2401" dataCellStyle="一般 2"/>
    <tableColumn id="22" xr3:uid="{00000000-0010-0000-0200-000016000000}" uniqueName="22" name="2024/6/24 14:52" queryTableFieldId="22" dataDxfId="2400" dataCellStyle="一般 2"/>
    <tableColumn id="23" xr3:uid="{00000000-0010-0000-0200-000017000000}" uniqueName="23" name="F23" queryTableFieldId="23" dataDxfId="2399" dataCellStyle="一般 2"/>
    <tableColumn id="24" xr3:uid="{00000000-0010-0000-0200-000018000000}" uniqueName="24" name="F24" queryTableFieldId="24" dataDxfId="2398" dataCellStyle="一般 2"/>
    <tableColumn id="25" xr3:uid="{00000000-0010-0000-0200-000019000000}" uniqueName="25" name="F25" queryTableFieldId="25" dataDxfId="2397" dataCellStyle="一般 2"/>
    <tableColumn id="26" xr3:uid="{00000000-0010-0000-0200-00001A000000}" uniqueName="26" name="F26" queryTableFieldId="26" dataDxfId="2396" dataCellStyle="一般 2"/>
    <tableColumn id="27" xr3:uid="{00000000-0010-0000-0200-00001B000000}" uniqueName="27" name="F27" queryTableFieldId="27" dataDxfId="2395" dataCellStyle="一般 2"/>
    <tableColumn id="28" xr3:uid="{00000000-0010-0000-0200-00001C000000}" uniqueName="28" name="F28" queryTableFieldId="28" dataDxfId="2394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297" dataDxfId="2296" headerRowCellStyle="一般 2" dataCellStyle="一般 2">
  <autoFilter ref="AG13:BH189" xr:uid="{00000000-0009-0000-0100-000003000000}"/>
  <tableColumns count="28">
    <tableColumn id="1" xr3:uid="{00000000-0010-0000-0300-000001000000}" uniqueName="1" name="請直接以10進位，謝謝" queryTableFieldId="1" dataDxfId="2295" dataCellStyle="一般 2"/>
    <tableColumn id="2" xr3:uid="{00000000-0010-0000-0300-000002000000}" uniqueName="2" name="F2" queryTableFieldId="2" dataDxfId="2294" dataCellStyle="一般 2"/>
    <tableColumn id="3" xr3:uid="{00000000-0010-0000-0300-000003000000}" uniqueName="3" name="F3" queryTableFieldId="3" dataDxfId="2293" dataCellStyle="一般 2"/>
    <tableColumn id="4" xr3:uid="{00000000-0010-0000-0300-000004000000}" uniqueName="4" name="F4" queryTableFieldId="4" dataDxfId="2292" dataCellStyle="一般 2"/>
    <tableColumn id="5" xr3:uid="{00000000-0010-0000-0300-000005000000}" uniqueName="5" name="F5" queryTableFieldId="5" dataDxfId="2291" dataCellStyle="一般 2"/>
    <tableColumn id="6" xr3:uid="{00000000-0010-0000-0300-000006000000}" uniqueName="6" name="F6" queryTableFieldId="6" dataDxfId="2290" dataCellStyle="一般 2"/>
    <tableColumn id="7" xr3:uid="{00000000-0010-0000-0300-000007000000}" uniqueName="7" name="F7" queryTableFieldId="7" dataDxfId="2289" dataCellStyle="一般 2"/>
    <tableColumn id="8" xr3:uid="{00000000-0010-0000-0300-000008000000}" uniqueName="8" name="F8" queryTableFieldId="8" dataDxfId="2288" dataCellStyle="一般 2"/>
    <tableColumn id="9" xr3:uid="{00000000-0010-0000-0300-000009000000}" uniqueName="9" name="F9" queryTableFieldId="9" dataDxfId="2287" dataCellStyle="一般 2"/>
    <tableColumn id="10" xr3:uid="{00000000-0010-0000-0300-00000A000000}" uniqueName="10" name="F10" queryTableFieldId="10" dataDxfId="2286" dataCellStyle="一般 2"/>
    <tableColumn id="11" xr3:uid="{00000000-0010-0000-0300-00000B000000}" uniqueName="11" name="F11" queryTableFieldId="11" dataDxfId="2285" dataCellStyle="一般 2"/>
    <tableColumn id="12" xr3:uid="{00000000-0010-0000-0300-00000C000000}" uniqueName="12" name="F12" queryTableFieldId="12" dataDxfId="2284" dataCellStyle="一般 2"/>
    <tableColumn id="13" xr3:uid="{00000000-0010-0000-0300-00000D000000}" uniqueName="13" name="F13" queryTableFieldId="13" dataDxfId="2283" dataCellStyle="一般 2"/>
    <tableColumn id="14" xr3:uid="{00000000-0010-0000-0300-00000E000000}" uniqueName="14" name="F14" queryTableFieldId="14" dataDxfId="2282" dataCellStyle="一般 2"/>
    <tableColumn id="15" xr3:uid="{00000000-0010-0000-0300-00000F000000}" uniqueName="15" name="F15" queryTableFieldId="15" dataDxfId="2281" dataCellStyle="一般 2"/>
    <tableColumn id="16" xr3:uid="{00000000-0010-0000-0300-000010000000}" uniqueName="16" name="F16" queryTableFieldId="16" dataDxfId="2280" dataCellStyle="一般 2"/>
    <tableColumn id="17" xr3:uid="{00000000-0010-0000-0300-000011000000}" uniqueName="17" name="F17" queryTableFieldId="17" dataDxfId="2279" dataCellStyle="一般 2"/>
    <tableColumn id="18" xr3:uid="{00000000-0010-0000-0300-000012000000}" uniqueName="18" name="F18" queryTableFieldId="18" dataDxfId="2278" dataCellStyle="一般 2"/>
    <tableColumn id="19" xr3:uid="{00000000-0010-0000-0300-000013000000}" uniqueName="19" name="F19" queryTableFieldId="19" dataDxfId="2277" dataCellStyle="一般 2"/>
    <tableColumn id="20" xr3:uid="{00000000-0010-0000-0300-000014000000}" uniqueName="20" name="F20" queryTableFieldId="20" dataDxfId="2276" dataCellStyle="一般 2"/>
    <tableColumn id="21" xr3:uid="{00000000-0010-0000-0300-000015000000}" uniqueName="21" name="F21" queryTableFieldId="21" dataDxfId="2275" dataCellStyle="一般 2"/>
    <tableColumn id="22" xr3:uid="{00000000-0010-0000-0300-000016000000}" uniqueName="22" name="2024/6/24 14:52" queryTableFieldId="22" dataDxfId="2274" dataCellStyle="一般 2"/>
    <tableColumn id="23" xr3:uid="{00000000-0010-0000-0300-000017000000}" uniqueName="23" name="F23" queryTableFieldId="23" dataDxfId="2273" dataCellStyle="一般 2"/>
    <tableColumn id="24" xr3:uid="{00000000-0010-0000-0300-000018000000}" uniqueName="24" name="F24" queryTableFieldId="24" dataDxfId="2272" dataCellStyle="一般 2"/>
    <tableColumn id="25" xr3:uid="{00000000-0010-0000-0300-000019000000}" uniqueName="25" name="F25" queryTableFieldId="25" dataDxfId="2271" dataCellStyle="一般 2"/>
    <tableColumn id="26" xr3:uid="{00000000-0010-0000-0300-00001A000000}" uniqueName="26" name="F26" queryTableFieldId="26" dataDxfId="2270" dataCellStyle="一般 2"/>
    <tableColumn id="27" xr3:uid="{00000000-0010-0000-0300-00001B000000}" uniqueName="27" name="F27" queryTableFieldId="27" dataDxfId="2269" dataCellStyle="一般 2"/>
    <tableColumn id="28" xr3:uid="{00000000-0010-0000-0300-00001C000000}" uniqueName="28" name="F28" queryTableFieldId="28" dataDxfId="2268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171" dataDxfId="2170" headerRowCellStyle="一般 2" dataCellStyle="一般 2">
  <autoFilter ref="AG13:BH189" xr:uid="{00000000-0009-0000-0100-000004000000}"/>
  <tableColumns count="28">
    <tableColumn id="1" xr3:uid="{00000000-0010-0000-0400-000001000000}" uniqueName="1" name="請直接以10進位，謝謝" queryTableFieldId="1" dataDxfId="2169" dataCellStyle="一般 2"/>
    <tableColumn id="2" xr3:uid="{00000000-0010-0000-0400-000002000000}" uniqueName="2" name="F2" queryTableFieldId="2" dataDxfId="2168" dataCellStyle="一般 2"/>
    <tableColumn id="3" xr3:uid="{00000000-0010-0000-0400-000003000000}" uniqueName="3" name="F3" queryTableFieldId="3" dataDxfId="2167" dataCellStyle="一般 2"/>
    <tableColumn id="4" xr3:uid="{00000000-0010-0000-0400-000004000000}" uniqueName="4" name="F4" queryTableFieldId="4" dataDxfId="2166" dataCellStyle="一般 2"/>
    <tableColumn id="5" xr3:uid="{00000000-0010-0000-0400-000005000000}" uniqueName="5" name="F5" queryTableFieldId="5" dataDxfId="2165" dataCellStyle="一般 2"/>
    <tableColumn id="6" xr3:uid="{00000000-0010-0000-0400-000006000000}" uniqueName="6" name="F6" queryTableFieldId="6" dataDxfId="2164" dataCellStyle="一般 2"/>
    <tableColumn id="7" xr3:uid="{00000000-0010-0000-0400-000007000000}" uniqueName="7" name="F7" queryTableFieldId="7" dataDxfId="2163" dataCellStyle="一般 2"/>
    <tableColumn id="8" xr3:uid="{00000000-0010-0000-0400-000008000000}" uniqueName="8" name="F8" queryTableFieldId="8" dataDxfId="2162" dataCellStyle="一般 2"/>
    <tableColumn id="9" xr3:uid="{00000000-0010-0000-0400-000009000000}" uniqueName="9" name="F9" queryTableFieldId="9" dataDxfId="2161" dataCellStyle="一般 2"/>
    <tableColumn id="10" xr3:uid="{00000000-0010-0000-0400-00000A000000}" uniqueName="10" name="F10" queryTableFieldId="10" dataDxfId="2160" dataCellStyle="一般 2"/>
    <tableColumn id="11" xr3:uid="{00000000-0010-0000-0400-00000B000000}" uniqueName="11" name="F11" queryTableFieldId="11" dataDxfId="2159" dataCellStyle="一般 2"/>
    <tableColumn id="12" xr3:uid="{00000000-0010-0000-0400-00000C000000}" uniqueName="12" name="F12" queryTableFieldId="12" dataDxfId="2158" dataCellStyle="一般 2"/>
    <tableColumn id="13" xr3:uid="{00000000-0010-0000-0400-00000D000000}" uniqueName="13" name="F13" queryTableFieldId="13" dataDxfId="2157" dataCellStyle="一般 2"/>
    <tableColumn id="14" xr3:uid="{00000000-0010-0000-0400-00000E000000}" uniqueName="14" name="F14" queryTableFieldId="14" dataDxfId="2156" dataCellStyle="一般 2"/>
    <tableColumn id="15" xr3:uid="{00000000-0010-0000-0400-00000F000000}" uniqueName="15" name="F15" queryTableFieldId="15" dataDxfId="2155" dataCellStyle="一般 2"/>
    <tableColumn id="16" xr3:uid="{00000000-0010-0000-0400-000010000000}" uniqueName="16" name="F16" queryTableFieldId="16" dataDxfId="2154" dataCellStyle="一般 2"/>
    <tableColumn id="17" xr3:uid="{00000000-0010-0000-0400-000011000000}" uniqueName="17" name="F17" queryTableFieldId="17" dataDxfId="2153" dataCellStyle="一般 2"/>
    <tableColumn id="18" xr3:uid="{00000000-0010-0000-0400-000012000000}" uniqueName="18" name="F18" queryTableFieldId="18" dataDxfId="2152" dataCellStyle="一般 2"/>
    <tableColumn id="19" xr3:uid="{00000000-0010-0000-0400-000013000000}" uniqueName="19" name="F19" queryTableFieldId="19" dataDxfId="2151" dataCellStyle="一般 2"/>
    <tableColumn id="20" xr3:uid="{00000000-0010-0000-0400-000014000000}" uniqueName="20" name="F20" queryTableFieldId="20" dataDxfId="2150" dataCellStyle="一般 2"/>
    <tableColumn id="21" xr3:uid="{00000000-0010-0000-0400-000015000000}" uniqueName="21" name="F21" queryTableFieldId="21" dataDxfId="2149" dataCellStyle="一般 2"/>
    <tableColumn id="22" xr3:uid="{00000000-0010-0000-0400-000016000000}" uniqueName="22" name="2024/6/24 14:52" queryTableFieldId="22" dataDxfId="2148" dataCellStyle="一般 2"/>
    <tableColumn id="23" xr3:uid="{00000000-0010-0000-0400-000017000000}" uniqueName="23" name="F23" queryTableFieldId="23" dataDxfId="2147" dataCellStyle="一般 2"/>
    <tableColumn id="24" xr3:uid="{00000000-0010-0000-0400-000018000000}" uniqueName="24" name="F24" queryTableFieldId="24" dataDxfId="2146" dataCellStyle="一般 2"/>
    <tableColumn id="25" xr3:uid="{00000000-0010-0000-0400-000019000000}" uniqueName="25" name="F25" queryTableFieldId="25" dataDxfId="2145" dataCellStyle="一般 2"/>
    <tableColumn id="26" xr3:uid="{00000000-0010-0000-0400-00001A000000}" uniqueName="26" name="F26" queryTableFieldId="26" dataDxfId="2144" dataCellStyle="一般 2"/>
    <tableColumn id="27" xr3:uid="{00000000-0010-0000-0400-00001B000000}" uniqueName="27" name="F27" queryTableFieldId="27" dataDxfId="2143" dataCellStyle="一般 2"/>
    <tableColumn id="28" xr3:uid="{00000000-0010-0000-0400-00001C000000}" uniqueName="28" name="F28" queryTableFieldId="28" dataDxfId="2142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045" dataDxfId="2044" headerRowCellStyle="一般 2" dataCellStyle="一般 2">
  <autoFilter ref="AG13:BH189" xr:uid="{00000000-0009-0000-0100-000005000000}"/>
  <tableColumns count="28">
    <tableColumn id="1" xr3:uid="{00000000-0010-0000-0500-000001000000}" uniqueName="1" name="請直接以10進位，謝謝" queryTableFieldId="1" dataDxfId="2043" dataCellStyle="一般 2"/>
    <tableColumn id="2" xr3:uid="{00000000-0010-0000-0500-000002000000}" uniqueName="2" name="F2" queryTableFieldId="2" dataDxfId="2042" dataCellStyle="一般 2"/>
    <tableColumn id="3" xr3:uid="{00000000-0010-0000-0500-000003000000}" uniqueName="3" name="F3" queryTableFieldId="3" dataDxfId="2041" dataCellStyle="一般 2"/>
    <tableColumn id="4" xr3:uid="{00000000-0010-0000-0500-000004000000}" uniqueName="4" name="F4" queryTableFieldId="4" dataDxfId="2040" dataCellStyle="一般 2"/>
    <tableColumn id="5" xr3:uid="{00000000-0010-0000-0500-000005000000}" uniqueName="5" name="F5" queryTableFieldId="5" dataDxfId="2039" dataCellStyle="一般 2"/>
    <tableColumn id="6" xr3:uid="{00000000-0010-0000-0500-000006000000}" uniqueName="6" name="F6" queryTableFieldId="6" dataDxfId="2038" dataCellStyle="一般 2"/>
    <tableColumn id="7" xr3:uid="{00000000-0010-0000-0500-000007000000}" uniqueName="7" name="F7" queryTableFieldId="7" dataDxfId="2037" dataCellStyle="一般 2"/>
    <tableColumn id="8" xr3:uid="{00000000-0010-0000-0500-000008000000}" uniqueName="8" name="F8" queryTableFieldId="8" dataDxfId="2036" dataCellStyle="一般 2"/>
    <tableColumn id="9" xr3:uid="{00000000-0010-0000-0500-000009000000}" uniqueName="9" name="F9" queryTableFieldId="9" dataDxfId="2035" dataCellStyle="一般 2"/>
    <tableColumn id="10" xr3:uid="{00000000-0010-0000-0500-00000A000000}" uniqueName="10" name="F10" queryTableFieldId="10" dataDxfId="2034" dataCellStyle="一般 2"/>
    <tableColumn id="11" xr3:uid="{00000000-0010-0000-0500-00000B000000}" uniqueName="11" name="F11" queryTableFieldId="11" dataDxfId="2033" dataCellStyle="一般 2"/>
    <tableColumn id="12" xr3:uid="{00000000-0010-0000-0500-00000C000000}" uniqueName="12" name="F12" queryTableFieldId="12" dataDxfId="2032" dataCellStyle="一般 2"/>
    <tableColumn id="13" xr3:uid="{00000000-0010-0000-0500-00000D000000}" uniqueName="13" name="F13" queryTableFieldId="13" dataDxfId="2031" dataCellStyle="一般 2"/>
    <tableColumn id="14" xr3:uid="{00000000-0010-0000-0500-00000E000000}" uniqueName="14" name="F14" queryTableFieldId="14" dataDxfId="2030" dataCellStyle="一般 2"/>
    <tableColumn id="15" xr3:uid="{00000000-0010-0000-0500-00000F000000}" uniqueName="15" name="F15" queryTableFieldId="15" dataDxfId="2029" dataCellStyle="一般 2"/>
    <tableColumn id="16" xr3:uid="{00000000-0010-0000-0500-000010000000}" uniqueName="16" name="F16" queryTableFieldId="16" dataDxfId="2028" dataCellStyle="一般 2"/>
    <tableColumn id="17" xr3:uid="{00000000-0010-0000-0500-000011000000}" uniqueName="17" name="F17" queryTableFieldId="17" dataDxfId="2027" dataCellStyle="一般 2"/>
    <tableColumn id="18" xr3:uid="{00000000-0010-0000-0500-000012000000}" uniqueName="18" name="F18" queryTableFieldId="18" dataDxfId="2026" dataCellStyle="一般 2"/>
    <tableColumn id="19" xr3:uid="{00000000-0010-0000-0500-000013000000}" uniqueName="19" name="F19" queryTableFieldId="19" dataDxfId="2025" dataCellStyle="一般 2"/>
    <tableColumn id="20" xr3:uid="{00000000-0010-0000-0500-000014000000}" uniqueName="20" name="F20" queryTableFieldId="20" dataDxfId="2024" dataCellStyle="一般 2"/>
    <tableColumn id="21" xr3:uid="{00000000-0010-0000-0500-000015000000}" uniqueName="21" name="F21" queryTableFieldId="21" dataDxfId="2023" dataCellStyle="一般 2"/>
    <tableColumn id="22" xr3:uid="{00000000-0010-0000-0500-000016000000}" uniqueName="22" name="2024/6/24 14:52" queryTableFieldId="22" dataDxfId="2022" dataCellStyle="一般 2"/>
    <tableColumn id="23" xr3:uid="{00000000-0010-0000-0500-000017000000}" uniqueName="23" name="F23" queryTableFieldId="23" dataDxfId="2021" dataCellStyle="一般 2"/>
    <tableColumn id="24" xr3:uid="{00000000-0010-0000-0500-000018000000}" uniqueName="24" name="F24" queryTableFieldId="24" dataDxfId="2020" dataCellStyle="一般 2"/>
    <tableColumn id="25" xr3:uid="{00000000-0010-0000-0500-000019000000}" uniqueName="25" name="F25" queryTableFieldId="25" dataDxfId="2019" dataCellStyle="一般 2"/>
    <tableColumn id="26" xr3:uid="{00000000-0010-0000-0500-00001A000000}" uniqueName="26" name="F26" queryTableFieldId="26" dataDxfId="2018" dataCellStyle="一般 2"/>
    <tableColumn id="27" xr3:uid="{00000000-0010-0000-0500-00001B000000}" uniqueName="27" name="F27" queryTableFieldId="27" dataDxfId="2017" dataCellStyle="一般 2"/>
    <tableColumn id="28" xr3:uid="{00000000-0010-0000-0500-00001C000000}" uniqueName="28" name="F28" queryTableFieldId="28" dataDxfId="2016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1919" dataDxfId="1918" headerRowCellStyle="一般 2" dataCellStyle="一般 2">
  <autoFilter ref="AG13:BH189" xr:uid="{00000000-0009-0000-0100-000006000000}"/>
  <tableColumns count="28">
    <tableColumn id="1" xr3:uid="{00000000-0010-0000-0600-000001000000}" uniqueName="1" name="請直接以10進位，謝謝" queryTableFieldId="1" dataDxfId="1917" dataCellStyle="一般 2"/>
    <tableColumn id="2" xr3:uid="{00000000-0010-0000-0600-000002000000}" uniqueName="2" name="F2" queryTableFieldId="2" dataDxfId="1916" dataCellStyle="一般 2"/>
    <tableColumn id="3" xr3:uid="{00000000-0010-0000-0600-000003000000}" uniqueName="3" name="F3" queryTableFieldId="3" dataDxfId="1915" dataCellStyle="一般 2"/>
    <tableColumn id="4" xr3:uid="{00000000-0010-0000-0600-000004000000}" uniqueName="4" name="F4" queryTableFieldId="4" dataDxfId="1914" dataCellStyle="一般 2"/>
    <tableColumn id="5" xr3:uid="{00000000-0010-0000-0600-000005000000}" uniqueName="5" name="F5" queryTableFieldId="5" dataDxfId="1913" dataCellStyle="一般 2"/>
    <tableColumn id="6" xr3:uid="{00000000-0010-0000-0600-000006000000}" uniqueName="6" name="F6" queryTableFieldId="6" dataDxfId="1912" dataCellStyle="一般 2"/>
    <tableColumn id="7" xr3:uid="{00000000-0010-0000-0600-000007000000}" uniqueName="7" name="F7" queryTableFieldId="7" dataDxfId="1911" dataCellStyle="一般 2"/>
    <tableColumn id="8" xr3:uid="{00000000-0010-0000-0600-000008000000}" uniqueName="8" name="F8" queryTableFieldId="8" dataDxfId="1910" dataCellStyle="一般 2"/>
    <tableColumn id="9" xr3:uid="{00000000-0010-0000-0600-000009000000}" uniqueName="9" name="F9" queryTableFieldId="9" dataDxfId="1909" dataCellStyle="一般 2"/>
    <tableColumn id="10" xr3:uid="{00000000-0010-0000-0600-00000A000000}" uniqueName="10" name="F10" queryTableFieldId="10" dataDxfId="1908" dataCellStyle="一般 2"/>
    <tableColumn id="11" xr3:uid="{00000000-0010-0000-0600-00000B000000}" uniqueName="11" name="F11" queryTableFieldId="11" dataDxfId="1907" dataCellStyle="一般 2"/>
    <tableColumn id="12" xr3:uid="{00000000-0010-0000-0600-00000C000000}" uniqueName="12" name="F12" queryTableFieldId="12" dataDxfId="1906" dataCellStyle="一般 2"/>
    <tableColumn id="13" xr3:uid="{00000000-0010-0000-0600-00000D000000}" uniqueName="13" name="F13" queryTableFieldId="13" dataDxfId="1905" dataCellStyle="一般 2"/>
    <tableColumn id="14" xr3:uid="{00000000-0010-0000-0600-00000E000000}" uniqueName="14" name="F14" queryTableFieldId="14" dataDxfId="1904" dataCellStyle="一般 2"/>
    <tableColumn id="15" xr3:uid="{00000000-0010-0000-0600-00000F000000}" uniqueName="15" name="F15" queryTableFieldId="15" dataDxfId="1903" dataCellStyle="一般 2"/>
    <tableColumn id="16" xr3:uid="{00000000-0010-0000-0600-000010000000}" uniqueName="16" name="F16" queryTableFieldId="16" dataDxfId="1902" dataCellStyle="一般 2"/>
    <tableColumn id="17" xr3:uid="{00000000-0010-0000-0600-000011000000}" uniqueName="17" name="F17" queryTableFieldId="17" dataDxfId="1901" dataCellStyle="一般 2"/>
    <tableColumn id="18" xr3:uid="{00000000-0010-0000-0600-000012000000}" uniqueName="18" name="F18" queryTableFieldId="18" dataDxfId="1900" dataCellStyle="一般 2"/>
    <tableColumn id="19" xr3:uid="{00000000-0010-0000-0600-000013000000}" uniqueName="19" name="F19" queryTableFieldId="19" dataDxfId="1899" dataCellStyle="一般 2"/>
    <tableColumn id="20" xr3:uid="{00000000-0010-0000-0600-000014000000}" uniqueName="20" name="F20" queryTableFieldId="20" dataDxfId="1898" dataCellStyle="一般 2"/>
    <tableColumn id="21" xr3:uid="{00000000-0010-0000-0600-000015000000}" uniqueName="21" name="F21" queryTableFieldId="21" dataDxfId="1897" dataCellStyle="一般 2"/>
    <tableColumn id="22" xr3:uid="{00000000-0010-0000-0600-000016000000}" uniqueName="22" name="2024/6/24 14:52" queryTableFieldId="22" dataDxfId="1896" dataCellStyle="一般 2"/>
    <tableColumn id="23" xr3:uid="{00000000-0010-0000-0600-000017000000}" uniqueName="23" name="F23" queryTableFieldId="23" dataDxfId="1895" dataCellStyle="一般 2"/>
    <tableColumn id="24" xr3:uid="{00000000-0010-0000-0600-000018000000}" uniqueName="24" name="F24" queryTableFieldId="24" dataDxfId="1894" dataCellStyle="一般 2"/>
    <tableColumn id="25" xr3:uid="{00000000-0010-0000-0600-000019000000}" uniqueName="25" name="F25" queryTableFieldId="25" dataDxfId="1893" dataCellStyle="一般 2"/>
    <tableColumn id="26" xr3:uid="{00000000-0010-0000-0600-00001A000000}" uniqueName="26" name="F26" queryTableFieldId="26" dataDxfId="1892" dataCellStyle="一般 2"/>
    <tableColumn id="27" xr3:uid="{00000000-0010-0000-0600-00001B000000}" uniqueName="27" name="F27" queryTableFieldId="27" dataDxfId="1891" dataCellStyle="一般 2"/>
    <tableColumn id="28" xr3:uid="{00000000-0010-0000-0600-00001C000000}" uniqueName="28" name="F28" queryTableFieldId="28" dataDxfId="189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1793" dataDxfId="1792" headerRowCellStyle="一般 2" dataCellStyle="一般 2">
  <autoFilter ref="AG13:BH189" xr:uid="{00000000-0009-0000-0100-000007000000}"/>
  <tableColumns count="28">
    <tableColumn id="1" xr3:uid="{00000000-0010-0000-0700-000001000000}" uniqueName="1" name="請直接以10進位，謝謝" queryTableFieldId="1" dataDxfId="1791" dataCellStyle="一般 2"/>
    <tableColumn id="2" xr3:uid="{00000000-0010-0000-0700-000002000000}" uniqueName="2" name="F2" queryTableFieldId="2" dataDxfId="1790" dataCellStyle="一般 2"/>
    <tableColumn id="3" xr3:uid="{00000000-0010-0000-0700-000003000000}" uniqueName="3" name="F3" queryTableFieldId="3" dataDxfId="1789" dataCellStyle="一般 2"/>
    <tableColumn id="4" xr3:uid="{00000000-0010-0000-0700-000004000000}" uniqueName="4" name="F4" queryTableFieldId="4" dataDxfId="1788" dataCellStyle="一般 2"/>
    <tableColumn id="5" xr3:uid="{00000000-0010-0000-0700-000005000000}" uniqueName="5" name="F5" queryTableFieldId="5" dataDxfId="1787" dataCellStyle="一般 2"/>
    <tableColumn id="6" xr3:uid="{00000000-0010-0000-0700-000006000000}" uniqueName="6" name="F6" queryTableFieldId="6" dataDxfId="1786" dataCellStyle="一般 2"/>
    <tableColumn id="7" xr3:uid="{00000000-0010-0000-0700-000007000000}" uniqueName="7" name="F7" queryTableFieldId="7" dataDxfId="1785" dataCellStyle="一般 2"/>
    <tableColumn id="8" xr3:uid="{00000000-0010-0000-0700-000008000000}" uniqueName="8" name="F8" queryTableFieldId="8" dataDxfId="1784" dataCellStyle="一般 2"/>
    <tableColumn id="9" xr3:uid="{00000000-0010-0000-0700-000009000000}" uniqueName="9" name="F9" queryTableFieldId="9" dataDxfId="1783" dataCellStyle="一般 2"/>
    <tableColumn id="10" xr3:uid="{00000000-0010-0000-0700-00000A000000}" uniqueName="10" name="F10" queryTableFieldId="10" dataDxfId="1782" dataCellStyle="一般 2"/>
    <tableColumn id="11" xr3:uid="{00000000-0010-0000-0700-00000B000000}" uniqueName="11" name="F11" queryTableFieldId="11" dataDxfId="1781" dataCellStyle="一般 2"/>
    <tableColumn id="12" xr3:uid="{00000000-0010-0000-0700-00000C000000}" uniqueName="12" name="F12" queryTableFieldId="12" dataDxfId="1780" dataCellStyle="一般 2"/>
    <tableColumn id="13" xr3:uid="{00000000-0010-0000-0700-00000D000000}" uniqueName="13" name="F13" queryTableFieldId="13" dataDxfId="1779" dataCellStyle="一般 2"/>
    <tableColumn id="14" xr3:uid="{00000000-0010-0000-0700-00000E000000}" uniqueName="14" name="F14" queryTableFieldId="14" dataDxfId="1778" dataCellStyle="一般 2"/>
    <tableColumn id="15" xr3:uid="{00000000-0010-0000-0700-00000F000000}" uniqueName="15" name="F15" queryTableFieldId="15" dataDxfId="1777" dataCellStyle="一般 2"/>
    <tableColumn id="16" xr3:uid="{00000000-0010-0000-0700-000010000000}" uniqueName="16" name="F16" queryTableFieldId="16" dataDxfId="1776" dataCellStyle="一般 2"/>
    <tableColumn id="17" xr3:uid="{00000000-0010-0000-0700-000011000000}" uniqueName="17" name="F17" queryTableFieldId="17" dataDxfId="1775" dataCellStyle="一般 2"/>
    <tableColumn id="18" xr3:uid="{00000000-0010-0000-0700-000012000000}" uniqueName="18" name="F18" queryTableFieldId="18" dataDxfId="1774" dataCellStyle="一般 2"/>
    <tableColumn id="19" xr3:uid="{00000000-0010-0000-0700-000013000000}" uniqueName="19" name="F19" queryTableFieldId="19" dataDxfId="1773" dataCellStyle="一般 2"/>
    <tableColumn id="20" xr3:uid="{00000000-0010-0000-0700-000014000000}" uniqueName="20" name="F20" queryTableFieldId="20" dataDxfId="1772" dataCellStyle="一般 2"/>
    <tableColumn id="21" xr3:uid="{00000000-0010-0000-0700-000015000000}" uniqueName="21" name="F21" queryTableFieldId="21" dataDxfId="1771" dataCellStyle="一般 2"/>
    <tableColumn id="22" xr3:uid="{00000000-0010-0000-0700-000016000000}" uniqueName="22" name="2024/6/24 14:52" queryTableFieldId="22" dataDxfId="1770" dataCellStyle="一般 2"/>
    <tableColumn id="23" xr3:uid="{00000000-0010-0000-0700-000017000000}" uniqueName="23" name="F23" queryTableFieldId="23" dataDxfId="1769" dataCellStyle="一般 2"/>
    <tableColumn id="24" xr3:uid="{00000000-0010-0000-0700-000018000000}" uniqueName="24" name="F24" queryTableFieldId="24" dataDxfId="1768" dataCellStyle="一般 2"/>
    <tableColumn id="25" xr3:uid="{00000000-0010-0000-0700-000019000000}" uniqueName="25" name="F25" queryTableFieldId="25" dataDxfId="1767" dataCellStyle="一般 2"/>
    <tableColumn id="26" xr3:uid="{00000000-0010-0000-0700-00001A000000}" uniqueName="26" name="F26" queryTableFieldId="26" dataDxfId="1766" dataCellStyle="一般 2"/>
    <tableColumn id="27" xr3:uid="{00000000-0010-0000-0700-00001B000000}" uniqueName="27" name="F27" queryTableFieldId="27" dataDxfId="1765" dataCellStyle="一般 2"/>
    <tableColumn id="28" xr3:uid="{00000000-0010-0000-0700-00001C000000}" uniqueName="28" name="F28" queryTableFieldId="28" dataDxfId="1764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667" dataDxfId="1666" headerRowCellStyle="一般 2" dataCellStyle="一般 2">
  <autoFilter ref="AG13:BH189" xr:uid="{00000000-0009-0000-0100-000008000000}"/>
  <tableColumns count="28">
    <tableColumn id="1" xr3:uid="{00000000-0010-0000-0800-000001000000}" uniqueName="1" name="請直接以10進位，謝謝" queryTableFieldId="1" dataDxfId="1665" dataCellStyle="一般 2"/>
    <tableColumn id="2" xr3:uid="{00000000-0010-0000-0800-000002000000}" uniqueName="2" name="F2" queryTableFieldId="2" dataDxfId="1664" dataCellStyle="一般 2"/>
    <tableColumn id="3" xr3:uid="{00000000-0010-0000-0800-000003000000}" uniqueName="3" name="F3" queryTableFieldId="3" dataDxfId="1663" dataCellStyle="一般 2"/>
    <tableColumn id="4" xr3:uid="{00000000-0010-0000-0800-000004000000}" uniqueName="4" name="F4" queryTableFieldId="4" dataDxfId="1662" dataCellStyle="一般 2"/>
    <tableColumn id="5" xr3:uid="{00000000-0010-0000-0800-000005000000}" uniqueName="5" name="F5" queryTableFieldId="5" dataDxfId="1661" dataCellStyle="一般 2"/>
    <tableColumn id="6" xr3:uid="{00000000-0010-0000-0800-000006000000}" uniqueName="6" name="F6" queryTableFieldId="6" dataDxfId="1660" dataCellStyle="一般 2"/>
    <tableColumn id="7" xr3:uid="{00000000-0010-0000-0800-000007000000}" uniqueName="7" name="F7" queryTableFieldId="7" dataDxfId="1659" dataCellStyle="一般 2"/>
    <tableColumn id="8" xr3:uid="{00000000-0010-0000-0800-000008000000}" uniqueName="8" name="F8" queryTableFieldId="8" dataDxfId="1658" dataCellStyle="一般 2"/>
    <tableColumn id="9" xr3:uid="{00000000-0010-0000-0800-000009000000}" uniqueName="9" name="F9" queryTableFieldId="9" dataDxfId="1657" dataCellStyle="一般 2"/>
    <tableColumn id="10" xr3:uid="{00000000-0010-0000-0800-00000A000000}" uniqueName="10" name="F10" queryTableFieldId="10" dataDxfId="1656" dataCellStyle="一般 2"/>
    <tableColumn id="11" xr3:uid="{00000000-0010-0000-0800-00000B000000}" uniqueName="11" name="F11" queryTableFieldId="11" dataDxfId="1655" dataCellStyle="一般 2"/>
    <tableColumn id="12" xr3:uid="{00000000-0010-0000-0800-00000C000000}" uniqueName="12" name="F12" queryTableFieldId="12" dataDxfId="1654" dataCellStyle="一般 2"/>
    <tableColumn id="13" xr3:uid="{00000000-0010-0000-0800-00000D000000}" uniqueName="13" name="F13" queryTableFieldId="13" dataDxfId="1653" dataCellStyle="一般 2"/>
    <tableColumn id="14" xr3:uid="{00000000-0010-0000-0800-00000E000000}" uniqueName="14" name="F14" queryTableFieldId="14" dataDxfId="1652" dataCellStyle="一般 2"/>
    <tableColumn id="15" xr3:uid="{00000000-0010-0000-0800-00000F000000}" uniqueName="15" name="F15" queryTableFieldId="15" dataDxfId="1651" dataCellStyle="一般 2"/>
    <tableColumn id="16" xr3:uid="{00000000-0010-0000-0800-000010000000}" uniqueName="16" name="F16" queryTableFieldId="16" dataDxfId="1650" dataCellStyle="一般 2"/>
    <tableColumn id="17" xr3:uid="{00000000-0010-0000-0800-000011000000}" uniqueName="17" name="F17" queryTableFieldId="17" dataDxfId="1649" dataCellStyle="一般 2"/>
    <tableColumn id="18" xr3:uid="{00000000-0010-0000-0800-000012000000}" uniqueName="18" name="F18" queryTableFieldId="18" dataDxfId="1648" dataCellStyle="一般 2"/>
    <tableColumn id="19" xr3:uid="{00000000-0010-0000-0800-000013000000}" uniqueName="19" name="F19" queryTableFieldId="19" dataDxfId="1647" dataCellStyle="一般 2"/>
    <tableColumn id="20" xr3:uid="{00000000-0010-0000-0800-000014000000}" uniqueName="20" name="F20" queryTableFieldId="20" dataDxfId="1646" dataCellStyle="一般 2"/>
    <tableColumn id="21" xr3:uid="{00000000-0010-0000-0800-000015000000}" uniqueName="21" name="F21" queryTableFieldId="21" dataDxfId="1645" dataCellStyle="一般 2"/>
    <tableColumn id="22" xr3:uid="{00000000-0010-0000-0800-000016000000}" uniqueName="22" name="2024/6/24 14:52" queryTableFieldId="22" dataDxfId="1644" dataCellStyle="一般 2"/>
    <tableColumn id="23" xr3:uid="{00000000-0010-0000-0800-000017000000}" uniqueName="23" name="F23" queryTableFieldId="23" dataDxfId="1643" dataCellStyle="一般 2"/>
    <tableColumn id="24" xr3:uid="{00000000-0010-0000-0800-000018000000}" uniqueName="24" name="F24" queryTableFieldId="24" dataDxfId="1642" dataCellStyle="一般 2"/>
    <tableColumn id="25" xr3:uid="{00000000-0010-0000-0800-000019000000}" uniqueName="25" name="F25" queryTableFieldId="25" dataDxfId="1641" dataCellStyle="一般 2"/>
    <tableColumn id="26" xr3:uid="{00000000-0010-0000-0800-00001A000000}" uniqueName="26" name="F26" queryTableFieldId="26" dataDxfId="1640" dataCellStyle="一般 2"/>
    <tableColumn id="27" xr3:uid="{00000000-0010-0000-0800-00001B000000}" uniqueName="27" name="F27" queryTableFieldId="27" dataDxfId="1639" dataCellStyle="一般 2"/>
    <tableColumn id="28" xr3:uid="{00000000-0010-0000-0800-00001C000000}" uniqueName="28" name="F28" queryTableFieldId="28" dataDxfId="1638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541" dataDxfId="1540" headerRowCellStyle="一般 2" dataCellStyle="一般 2">
  <autoFilter ref="AG13:BH189" xr:uid="{00000000-0009-0000-0100-000009000000}"/>
  <tableColumns count="28">
    <tableColumn id="1" xr3:uid="{00000000-0010-0000-0900-000001000000}" uniqueName="1" name="請直接以10進位，謝謝" queryTableFieldId="1" dataDxfId="1539" dataCellStyle="一般 2"/>
    <tableColumn id="2" xr3:uid="{00000000-0010-0000-0900-000002000000}" uniqueName="2" name="F2" queryTableFieldId="2" dataDxfId="1538" dataCellStyle="一般 2"/>
    <tableColumn id="3" xr3:uid="{00000000-0010-0000-0900-000003000000}" uniqueName="3" name="F3" queryTableFieldId="3" dataDxfId="1537" dataCellStyle="一般 2"/>
    <tableColumn id="4" xr3:uid="{00000000-0010-0000-0900-000004000000}" uniqueName="4" name="F4" queryTableFieldId="4" dataDxfId="1536" dataCellStyle="一般 2"/>
    <tableColumn id="5" xr3:uid="{00000000-0010-0000-0900-000005000000}" uniqueName="5" name="F5" queryTableFieldId="5" dataDxfId="1535" dataCellStyle="一般 2"/>
    <tableColumn id="6" xr3:uid="{00000000-0010-0000-0900-000006000000}" uniqueName="6" name="F6" queryTableFieldId="6" dataDxfId="1534" dataCellStyle="一般 2"/>
    <tableColumn id="7" xr3:uid="{00000000-0010-0000-0900-000007000000}" uniqueName="7" name="F7" queryTableFieldId="7" dataDxfId="1533" dataCellStyle="一般 2"/>
    <tableColumn id="8" xr3:uid="{00000000-0010-0000-0900-000008000000}" uniqueName="8" name="F8" queryTableFieldId="8" dataDxfId="1532" dataCellStyle="一般 2"/>
    <tableColumn id="9" xr3:uid="{00000000-0010-0000-0900-000009000000}" uniqueName="9" name="F9" queryTableFieldId="9" dataDxfId="1531" dataCellStyle="一般 2"/>
    <tableColumn id="10" xr3:uid="{00000000-0010-0000-0900-00000A000000}" uniqueName="10" name="F10" queryTableFieldId="10" dataDxfId="1530" dataCellStyle="一般 2"/>
    <tableColumn id="11" xr3:uid="{00000000-0010-0000-0900-00000B000000}" uniqueName="11" name="F11" queryTableFieldId="11" dataDxfId="1529" dataCellStyle="一般 2"/>
    <tableColumn id="12" xr3:uid="{00000000-0010-0000-0900-00000C000000}" uniqueName="12" name="F12" queryTableFieldId="12" dataDxfId="1528" dataCellStyle="一般 2"/>
    <tableColumn id="13" xr3:uid="{00000000-0010-0000-0900-00000D000000}" uniqueName="13" name="F13" queryTableFieldId="13" dataDxfId="1527" dataCellStyle="一般 2"/>
    <tableColumn id="14" xr3:uid="{00000000-0010-0000-0900-00000E000000}" uniqueName="14" name="F14" queryTableFieldId="14" dataDxfId="1526" dataCellStyle="一般 2"/>
    <tableColumn id="15" xr3:uid="{00000000-0010-0000-0900-00000F000000}" uniqueName="15" name="F15" queryTableFieldId="15" dataDxfId="1525" dataCellStyle="一般 2"/>
    <tableColumn id="16" xr3:uid="{00000000-0010-0000-0900-000010000000}" uniqueName="16" name="F16" queryTableFieldId="16" dataDxfId="1524" dataCellStyle="一般 2"/>
    <tableColumn id="17" xr3:uid="{00000000-0010-0000-0900-000011000000}" uniqueName="17" name="F17" queryTableFieldId="17" dataDxfId="1523" dataCellStyle="一般 2"/>
    <tableColumn id="18" xr3:uid="{00000000-0010-0000-0900-000012000000}" uniqueName="18" name="F18" queryTableFieldId="18" dataDxfId="1522" dataCellStyle="一般 2"/>
    <tableColumn id="19" xr3:uid="{00000000-0010-0000-0900-000013000000}" uniqueName="19" name="F19" queryTableFieldId="19" dataDxfId="1521" dataCellStyle="一般 2"/>
    <tableColumn id="20" xr3:uid="{00000000-0010-0000-0900-000014000000}" uniqueName="20" name="F20" queryTableFieldId="20" dataDxfId="1520" dataCellStyle="一般 2"/>
    <tableColumn id="21" xr3:uid="{00000000-0010-0000-0900-000015000000}" uniqueName="21" name="F21" queryTableFieldId="21" dataDxfId="1519" dataCellStyle="一般 2"/>
    <tableColumn id="22" xr3:uid="{00000000-0010-0000-0900-000016000000}" uniqueName="22" name="2024/6/24 14:52" queryTableFieldId="22" dataDxfId="1518" dataCellStyle="一般 2"/>
    <tableColumn id="23" xr3:uid="{00000000-0010-0000-0900-000017000000}" uniqueName="23" name="F23" queryTableFieldId="23" dataDxfId="1517" dataCellStyle="一般 2"/>
    <tableColumn id="24" xr3:uid="{00000000-0010-0000-0900-000018000000}" uniqueName="24" name="F24" queryTableFieldId="24" dataDxfId="1516" dataCellStyle="一般 2"/>
    <tableColumn id="25" xr3:uid="{00000000-0010-0000-0900-000019000000}" uniqueName="25" name="F25" queryTableFieldId="25" dataDxfId="1515" dataCellStyle="一般 2"/>
    <tableColumn id="26" xr3:uid="{00000000-0010-0000-0900-00001A000000}" uniqueName="26" name="F26" queryTableFieldId="26" dataDxfId="1514" dataCellStyle="一般 2"/>
    <tableColumn id="27" xr3:uid="{00000000-0010-0000-0900-00001B000000}" uniqueName="27" name="F27" queryTableFieldId="27" dataDxfId="1513" dataCellStyle="一般 2"/>
    <tableColumn id="28" xr3:uid="{00000000-0010-0000-0900-00001C000000}" uniqueName="28" name="F28" queryTableFieldId="28" dataDxfId="1512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15" dataDxfId="1414" headerRowCellStyle="一般 2" dataCellStyle="一般 2">
  <autoFilter ref="AG13:BH189" xr:uid="{00000000-0009-0000-0100-00000A000000}"/>
  <tableColumns count="28">
    <tableColumn id="1" xr3:uid="{00000000-0010-0000-0A00-000001000000}" uniqueName="1" name="請直接以10進位，謝謝" queryTableFieldId="1" dataDxfId="1413" dataCellStyle="一般 2"/>
    <tableColumn id="2" xr3:uid="{00000000-0010-0000-0A00-000002000000}" uniqueName="2" name="F2" queryTableFieldId="2" dataDxfId="1412" dataCellStyle="一般 2"/>
    <tableColumn id="3" xr3:uid="{00000000-0010-0000-0A00-000003000000}" uniqueName="3" name="F3" queryTableFieldId="3" dataDxfId="1411" dataCellStyle="一般 2"/>
    <tableColumn id="4" xr3:uid="{00000000-0010-0000-0A00-000004000000}" uniqueName="4" name="F4" queryTableFieldId="4" dataDxfId="1410" dataCellStyle="一般 2"/>
    <tableColumn id="5" xr3:uid="{00000000-0010-0000-0A00-000005000000}" uniqueName="5" name="F5" queryTableFieldId="5" dataDxfId="1409" dataCellStyle="一般 2"/>
    <tableColumn id="6" xr3:uid="{00000000-0010-0000-0A00-000006000000}" uniqueName="6" name="F6" queryTableFieldId="6" dataDxfId="1408" dataCellStyle="一般 2"/>
    <tableColumn id="7" xr3:uid="{00000000-0010-0000-0A00-000007000000}" uniqueName="7" name="F7" queryTableFieldId="7" dataDxfId="1407" dataCellStyle="一般 2"/>
    <tableColumn id="8" xr3:uid="{00000000-0010-0000-0A00-000008000000}" uniqueName="8" name="F8" queryTableFieldId="8" dataDxfId="1406" dataCellStyle="一般 2"/>
    <tableColumn id="9" xr3:uid="{00000000-0010-0000-0A00-000009000000}" uniqueName="9" name="F9" queryTableFieldId="9" dataDxfId="1405" dataCellStyle="一般 2"/>
    <tableColumn id="10" xr3:uid="{00000000-0010-0000-0A00-00000A000000}" uniqueName="10" name="F10" queryTableFieldId="10" dataDxfId="1404" dataCellStyle="一般 2"/>
    <tableColumn id="11" xr3:uid="{00000000-0010-0000-0A00-00000B000000}" uniqueName="11" name="F11" queryTableFieldId="11" dataDxfId="1403" dataCellStyle="一般 2"/>
    <tableColumn id="12" xr3:uid="{00000000-0010-0000-0A00-00000C000000}" uniqueName="12" name="F12" queryTableFieldId="12" dataDxfId="1402" dataCellStyle="一般 2"/>
    <tableColumn id="13" xr3:uid="{00000000-0010-0000-0A00-00000D000000}" uniqueName="13" name="F13" queryTableFieldId="13" dataDxfId="1401" dataCellStyle="一般 2"/>
    <tableColumn id="14" xr3:uid="{00000000-0010-0000-0A00-00000E000000}" uniqueName="14" name="F14" queryTableFieldId="14" dataDxfId="1400" dataCellStyle="一般 2"/>
    <tableColumn id="15" xr3:uid="{00000000-0010-0000-0A00-00000F000000}" uniqueName="15" name="F15" queryTableFieldId="15" dataDxfId="1399" dataCellStyle="一般 2"/>
    <tableColumn id="16" xr3:uid="{00000000-0010-0000-0A00-000010000000}" uniqueName="16" name="F16" queryTableFieldId="16" dataDxfId="1398" dataCellStyle="一般 2"/>
    <tableColumn id="17" xr3:uid="{00000000-0010-0000-0A00-000011000000}" uniqueName="17" name="F17" queryTableFieldId="17" dataDxfId="1397" dataCellStyle="一般 2"/>
    <tableColumn id="18" xr3:uid="{00000000-0010-0000-0A00-000012000000}" uniqueName="18" name="F18" queryTableFieldId="18" dataDxfId="1396" dataCellStyle="一般 2"/>
    <tableColumn id="19" xr3:uid="{00000000-0010-0000-0A00-000013000000}" uniqueName="19" name="F19" queryTableFieldId="19" dataDxfId="1395" dataCellStyle="一般 2"/>
    <tableColumn id="20" xr3:uid="{00000000-0010-0000-0A00-000014000000}" uniqueName="20" name="F20" queryTableFieldId="20" dataDxfId="1394" dataCellStyle="一般 2"/>
    <tableColumn id="21" xr3:uid="{00000000-0010-0000-0A00-000015000000}" uniqueName="21" name="F21" queryTableFieldId="21" dataDxfId="1393" dataCellStyle="一般 2"/>
    <tableColumn id="22" xr3:uid="{00000000-0010-0000-0A00-000016000000}" uniqueName="22" name="2024/6/24 14:52" queryTableFieldId="22" dataDxfId="1392" dataCellStyle="一般 2"/>
    <tableColumn id="23" xr3:uid="{00000000-0010-0000-0A00-000017000000}" uniqueName="23" name="F23" queryTableFieldId="23" dataDxfId="1391" dataCellStyle="一般 2"/>
    <tableColumn id="24" xr3:uid="{00000000-0010-0000-0A00-000018000000}" uniqueName="24" name="F24" queryTableFieldId="24" dataDxfId="1390" dataCellStyle="一般 2"/>
    <tableColumn id="25" xr3:uid="{00000000-0010-0000-0A00-000019000000}" uniqueName="25" name="F25" queryTableFieldId="25" dataDxfId="1389" dataCellStyle="一般 2"/>
    <tableColumn id="26" xr3:uid="{00000000-0010-0000-0A00-00001A000000}" uniqueName="26" name="F26" queryTableFieldId="26" dataDxfId="1388" dataCellStyle="一般 2"/>
    <tableColumn id="27" xr3:uid="{00000000-0010-0000-0A00-00001B000000}" uniqueName="27" name="F27" queryTableFieldId="27" dataDxfId="1387" dataCellStyle="一般 2"/>
    <tableColumn id="28" xr3:uid="{00000000-0010-0000-0A00-00001C000000}" uniqueName="28" name="F28" queryTableFieldId="28" dataDxfId="1386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289" dataDxfId="1288" headerRowCellStyle="一般 2" dataCellStyle="一般 2">
  <autoFilter ref="AG13:BH189" xr:uid="{00000000-0009-0000-0100-00000B000000}"/>
  <tableColumns count="28">
    <tableColumn id="1" xr3:uid="{00000000-0010-0000-0B00-000001000000}" uniqueName="1" name="請直接以10進位，謝謝" queryTableFieldId="1" dataDxfId="1287" dataCellStyle="一般 2"/>
    <tableColumn id="2" xr3:uid="{00000000-0010-0000-0B00-000002000000}" uniqueName="2" name="F2" queryTableFieldId="2" dataDxfId="1286" dataCellStyle="一般 2"/>
    <tableColumn id="3" xr3:uid="{00000000-0010-0000-0B00-000003000000}" uniqueName="3" name="F3" queryTableFieldId="3" dataDxfId="1285" dataCellStyle="一般 2"/>
    <tableColumn id="4" xr3:uid="{00000000-0010-0000-0B00-000004000000}" uniqueName="4" name="F4" queryTableFieldId="4" dataDxfId="1284" dataCellStyle="一般 2"/>
    <tableColumn id="5" xr3:uid="{00000000-0010-0000-0B00-000005000000}" uniqueName="5" name="F5" queryTableFieldId="5" dataDxfId="1283" dataCellStyle="一般 2"/>
    <tableColumn id="6" xr3:uid="{00000000-0010-0000-0B00-000006000000}" uniqueName="6" name="F6" queryTableFieldId="6" dataDxfId="1282" dataCellStyle="一般 2"/>
    <tableColumn id="7" xr3:uid="{00000000-0010-0000-0B00-000007000000}" uniqueName="7" name="F7" queryTableFieldId="7" dataDxfId="1281" dataCellStyle="一般 2"/>
    <tableColumn id="8" xr3:uid="{00000000-0010-0000-0B00-000008000000}" uniqueName="8" name="F8" queryTableFieldId="8" dataDxfId="1280" dataCellStyle="一般 2"/>
    <tableColumn id="9" xr3:uid="{00000000-0010-0000-0B00-000009000000}" uniqueName="9" name="F9" queryTableFieldId="9" dataDxfId="1279" dataCellStyle="一般 2"/>
    <tableColumn id="10" xr3:uid="{00000000-0010-0000-0B00-00000A000000}" uniqueName="10" name="F10" queryTableFieldId="10" dataDxfId="1278" dataCellStyle="一般 2"/>
    <tableColumn id="11" xr3:uid="{00000000-0010-0000-0B00-00000B000000}" uniqueName="11" name="F11" queryTableFieldId="11" dataDxfId="1277" dataCellStyle="一般 2"/>
    <tableColumn id="12" xr3:uid="{00000000-0010-0000-0B00-00000C000000}" uniqueName="12" name="F12" queryTableFieldId="12" dataDxfId="1276" dataCellStyle="一般 2"/>
    <tableColumn id="13" xr3:uid="{00000000-0010-0000-0B00-00000D000000}" uniqueName="13" name="F13" queryTableFieldId="13" dataDxfId="1275" dataCellStyle="一般 2"/>
    <tableColumn id="14" xr3:uid="{00000000-0010-0000-0B00-00000E000000}" uniqueName="14" name="F14" queryTableFieldId="14" dataDxfId="1274" dataCellStyle="一般 2"/>
    <tableColumn id="15" xr3:uid="{00000000-0010-0000-0B00-00000F000000}" uniqueName="15" name="F15" queryTableFieldId="15" dataDxfId="1273" dataCellStyle="一般 2"/>
    <tableColumn id="16" xr3:uid="{00000000-0010-0000-0B00-000010000000}" uniqueName="16" name="F16" queryTableFieldId="16" dataDxfId="1272" dataCellStyle="一般 2"/>
    <tableColumn id="17" xr3:uid="{00000000-0010-0000-0B00-000011000000}" uniqueName="17" name="F17" queryTableFieldId="17" dataDxfId="1271" dataCellStyle="一般 2"/>
    <tableColumn id="18" xr3:uid="{00000000-0010-0000-0B00-000012000000}" uniqueName="18" name="F18" queryTableFieldId="18" dataDxfId="1270" dataCellStyle="一般 2"/>
    <tableColumn id="19" xr3:uid="{00000000-0010-0000-0B00-000013000000}" uniqueName="19" name="F19" queryTableFieldId="19" dataDxfId="1269" dataCellStyle="一般 2"/>
    <tableColumn id="20" xr3:uid="{00000000-0010-0000-0B00-000014000000}" uniqueName="20" name="F20" queryTableFieldId="20" dataDxfId="1268" dataCellStyle="一般 2"/>
    <tableColumn id="21" xr3:uid="{00000000-0010-0000-0B00-000015000000}" uniqueName="21" name="F21" queryTableFieldId="21" dataDxfId="1267" dataCellStyle="一般 2"/>
    <tableColumn id="22" xr3:uid="{00000000-0010-0000-0B00-000016000000}" uniqueName="22" name="2024/6/24 14:52" queryTableFieldId="22" dataDxfId="1266" dataCellStyle="一般 2"/>
    <tableColumn id="23" xr3:uid="{00000000-0010-0000-0B00-000017000000}" uniqueName="23" name="F23" queryTableFieldId="23" dataDxfId="1265" dataCellStyle="一般 2"/>
    <tableColumn id="24" xr3:uid="{00000000-0010-0000-0B00-000018000000}" uniqueName="24" name="F24" queryTableFieldId="24" dataDxfId="1264" dataCellStyle="一般 2"/>
    <tableColumn id="25" xr3:uid="{00000000-0010-0000-0B00-000019000000}" uniqueName="25" name="F25" queryTableFieldId="25" dataDxfId="1263" dataCellStyle="一般 2"/>
    <tableColumn id="26" xr3:uid="{00000000-0010-0000-0B00-00001A000000}" uniqueName="26" name="F26" queryTableFieldId="26" dataDxfId="1262" dataCellStyle="一般 2"/>
    <tableColumn id="27" xr3:uid="{00000000-0010-0000-0B00-00001B000000}" uniqueName="27" name="F27" queryTableFieldId="27" dataDxfId="1261" dataCellStyle="一般 2"/>
    <tableColumn id="28" xr3:uid="{00000000-0010-0000-0B00-00001C000000}" uniqueName="28" name="F28" queryTableFieldId="28" dataDxfId="126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163" dataDxfId="1162" headerRowCellStyle="一般 2" dataCellStyle="一般 2">
  <autoFilter ref="AG13:BH189" xr:uid="{00000000-0009-0000-0100-00000C000000}"/>
  <tableColumns count="28">
    <tableColumn id="1" xr3:uid="{00000000-0010-0000-0C00-000001000000}" uniqueName="1" name="請直接以10進位，謝謝" queryTableFieldId="1" dataDxfId="1161" dataCellStyle="一般 2"/>
    <tableColumn id="2" xr3:uid="{00000000-0010-0000-0C00-000002000000}" uniqueName="2" name="F2" queryTableFieldId="2" dataDxfId="1160" dataCellStyle="一般 2"/>
    <tableColumn id="3" xr3:uid="{00000000-0010-0000-0C00-000003000000}" uniqueName="3" name="F3" queryTableFieldId="3" dataDxfId="1159" dataCellStyle="一般 2"/>
    <tableColumn id="4" xr3:uid="{00000000-0010-0000-0C00-000004000000}" uniqueName="4" name="F4" queryTableFieldId="4" dataDxfId="1158" dataCellStyle="一般 2"/>
    <tableColumn id="5" xr3:uid="{00000000-0010-0000-0C00-000005000000}" uniqueName="5" name="F5" queryTableFieldId="5" dataDxfId="1157" dataCellStyle="一般 2"/>
    <tableColumn id="6" xr3:uid="{00000000-0010-0000-0C00-000006000000}" uniqueName="6" name="F6" queryTableFieldId="6" dataDxfId="1156" dataCellStyle="一般 2"/>
    <tableColumn id="7" xr3:uid="{00000000-0010-0000-0C00-000007000000}" uniqueName="7" name="F7" queryTableFieldId="7" dataDxfId="1155" dataCellStyle="一般 2"/>
    <tableColumn id="8" xr3:uid="{00000000-0010-0000-0C00-000008000000}" uniqueName="8" name="F8" queryTableFieldId="8" dataDxfId="1154" dataCellStyle="一般 2"/>
    <tableColumn id="9" xr3:uid="{00000000-0010-0000-0C00-000009000000}" uniqueName="9" name="F9" queryTableFieldId="9" dataDxfId="1153" dataCellStyle="一般 2"/>
    <tableColumn id="10" xr3:uid="{00000000-0010-0000-0C00-00000A000000}" uniqueName="10" name="F10" queryTableFieldId="10" dataDxfId="1152" dataCellStyle="一般 2"/>
    <tableColumn id="11" xr3:uid="{00000000-0010-0000-0C00-00000B000000}" uniqueName="11" name="F11" queryTableFieldId="11" dataDxfId="1151" dataCellStyle="一般 2"/>
    <tableColumn id="12" xr3:uid="{00000000-0010-0000-0C00-00000C000000}" uniqueName="12" name="F12" queryTableFieldId="12" dataDxfId="1150" dataCellStyle="一般 2"/>
    <tableColumn id="13" xr3:uid="{00000000-0010-0000-0C00-00000D000000}" uniqueName="13" name="F13" queryTableFieldId="13" dataDxfId="1149" dataCellStyle="一般 2"/>
    <tableColumn id="14" xr3:uid="{00000000-0010-0000-0C00-00000E000000}" uniqueName="14" name="F14" queryTableFieldId="14" dataDxfId="1148" dataCellStyle="一般 2"/>
    <tableColumn id="15" xr3:uid="{00000000-0010-0000-0C00-00000F000000}" uniqueName="15" name="F15" queryTableFieldId="15" dataDxfId="1147" dataCellStyle="一般 2"/>
    <tableColumn id="16" xr3:uid="{00000000-0010-0000-0C00-000010000000}" uniqueName="16" name="F16" queryTableFieldId="16" dataDxfId="1146" dataCellStyle="一般 2"/>
    <tableColumn id="17" xr3:uid="{00000000-0010-0000-0C00-000011000000}" uniqueName="17" name="F17" queryTableFieldId="17" dataDxfId="1145" dataCellStyle="一般 2"/>
    <tableColumn id="18" xr3:uid="{00000000-0010-0000-0C00-000012000000}" uniqueName="18" name="F18" queryTableFieldId="18" dataDxfId="1144" dataCellStyle="一般 2"/>
    <tableColumn id="19" xr3:uid="{00000000-0010-0000-0C00-000013000000}" uniqueName="19" name="F19" queryTableFieldId="19" dataDxfId="1143" dataCellStyle="一般 2"/>
    <tableColumn id="20" xr3:uid="{00000000-0010-0000-0C00-000014000000}" uniqueName="20" name="F20" queryTableFieldId="20" dataDxfId="1142" dataCellStyle="一般 2"/>
    <tableColumn id="21" xr3:uid="{00000000-0010-0000-0C00-000015000000}" uniqueName="21" name="F21" queryTableFieldId="21" dataDxfId="1141" dataCellStyle="一般 2"/>
    <tableColumn id="22" xr3:uid="{00000000-0010-0000-0C00-000016000000}" uniqueName="22" name="2024/6/24 14:52" queryTableFieldId="22" dataDxfId="1140" dataCellStyle="一般 2"/>
    <tableColumn id="23" xr3:uid="{00000000-0010-0000-0C00-000017000000}" uniqueName="23" name="F23" queryTableFieldId="23" dataDxfId="1139" dataCellStyle="一般 2"/>
    <tableColumn id="24" xr3:uid="{00000000-0010-0000-0C00-000018000000}" uniqueName="24" name="F24" queryTableFieldId="24" dataDxfId="1138" dataCellStyle="一般 2"/>
    <tableColumn id="25" xr3:uid="{00000000-0010-0000-0C00-000019000000}" uniqueName="25" name="F25" queryTableFieldId="25" dataDxfId="1137" dataCellStyle="一般 2"/>
    <tableColumn id="26" xr3:uid="{00000000-0010-0000-0C00-00001A000000}" uniqueName="26" name="F26" queryTableFieldId="26" dataDxfId="1136" dataCellStyle="一般 2"/>
    <tableColumn id="27" xr3:uid="{00000000-0010-0000-0C00-00001B000000}" uniqueName="27" name="F27" queryTableFieldId="27" dataDxfId="1135" dataCellStyle="一般 2"/>
    <tableColumn id="28" xr3:uid="{00000000-0010-0000-0C00-00001C000000}" uniqueName="28" name="F28" queryTableFieldId="28" dataDxfId="1134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037" dataDxfId="1036" headerRowCellStyle="一般 2" dataCellStyle="一般 2">
  <autoFilter ref="AG13:BH189" xr:uid="{00000000-0009-0000-0100-00000D000000}"/>
  <tableColumns count="28">
    <tableColumn id="1" xr3:uid="{00000000-0010-0000-0D00-000001000000}" uniqueName="1" name="請直接以10進位，謝謝" queryTableFieldId="1" dataDxfId="1035" dataCellStyle="一般 2"/>
    <tableColumn id="2" xr3:uid="{00000000-0010-0000-0D00-000002000000}" uniqueName="2" name="F2" queryTableFieldId="2" dataDxfId="1034" dataCellStyle="一般 2"/>
    <tableColumn id="3" xr3:uid="{00000000-0010-0000-0D00-000003000000}" uniqueName="3" name="F3" queryTableFieldId="3" dataDxfId="1033" dataCellStyle="一般 2"/>
    <tableColumn id="4" xr3:uid="{00000000-0010-0000-0D00-000004000000}" uniqueName="4" name="F4" queryTableFieldId="4" dataDxfId="1032" dataCellStyle="一般 2"/>
    <tableColumn id="5" xr3:uid="{00000000-0010-0000-0D00-000005000000}" uniqueName="5" name="F5" queryTableFieldId="5" dataDxfId="1031" dataCellStyle="一般 2"/>
    <tableColumn id="6" xr3:uid="{00000000-0010-0000-0D00-000006000000}" uniqueName="6" name="F6" queryTableFieldId="6" dataDxfId="1030" dataCellStyle="一般 2"/>
    <tableColumn id="7" xr3:uid="{00000000-0010-0000-0D00-000007000000}" uniqueName="7" name="F7" queryTableFieldId="7" dataDxfId="1029" dataCellStyle="一般 2"/>
    <tableColumn id="8" xr3:uid="{00000000-0010-0000-0D00-000008000000}" uniqueName="8" name="F8" queryTableFieldId="8" dataDxfId="1028" dataCellStyle="一般 2"/>
    <tableColumn id="9" xr3:uid="{00000000-0010-0000-0D00-000009000000}" uniqueName="9" name="F9" queryTableFieldId="9" dataDxfId="1027" dataCellStyle="一般 2"/>
    <tableColumn id="10" xr3:uid="{00000000-0010-0000-0D00-00000A000000}" uniqueName="10" name="F10" queryTableFieldId="10" dataDxfId="1026" dataCellStyle="一般 2"/>
    <tableColumn id="11" xr3:uid="{00000000-0010-0000-0D00-00000B000000}" uniqueName="11" name="F11" queryTableFieldId="11" dataDxfId="1025" dataCellStyle="一般 2"/>
    <tableColumn id="12" xr3:uid="{00000000-0010-0000-0D00-00000C000000}" uniqueName="12" name="F12" queryTableFieldId="12" dataDxfId="1024" dataCellStyle="一般 2"/>
    <tableColumn id="13" xr3:uid="{00000000-0010-0000-0D00-00000D000000}" uniqueName="13" name="F13" queryTableFieldId="13" dataDxfId="1023" dataCellStyle="一般 2"/>
    <tableColumn id="14" xr3:uid="{00000000-0010-0000-0D00-00000E000000}" uniqueName="14" name="F14" queryTableFieldId="14" dataDxfId="1022" dataCellStyle="一般 2"/>
    <tableColumn id="15" xr3:uid="{00000000-0010-0000-0D00-00000F000000}" uniqueName="15" name="F15" queryTableFieldId="15" dataDxfId="1021" dataCellStyle="一般 2"/>
    <tableColumn id="16" xr3:uid="{00000000-0010-0000-0D00-000010000000}" uniqueName="16" name="F16" queryTableFieldId="16" dataDxfId="1020" dataCellStyle="一般 2"/>
    <tableColumn id="17" xr3:uid="{00000000-0010-0000-0D00-000011000000}" uniqueName="17" name="F17" queryTableFieldId="17" dataDxfId="1019" dataCellStyle="一般 2"/>
    <tableColumn id="18" xr3:uid="{00000000-0010-0000-0D00-000012000000}" uniqueName="18" name="F18" queryTableFieldId="18" dataDxfId="1018" dataCellStyle="一般 2"/>
    <tableColumn id="19" xr3:uid="{00000000-0010-0000-0D00-000013000000}" uniqueName="19" name="F19" queryTableFieldId="19" dataDxfId="1017" dataCellStyle="一般 2"/>
    <tableColumn id="20" xr3:uid="{00000000-0010-0000-0D00-000014000000}" uniqueName="20" name="F20" queryTableFieldId="20" dataDxfId="1016" dataCellStyle="一般 2"/>
    <tableColumn id="21" xr3:uid="{00000000-0010-0000-0D00-000015000000}" uniqueName="21" name="F21" queryTableFieldId="21" dataDxfId="1015" dataCellStyle="一般 2"/>
    <tableColumn id="22" xr3:uid="{00000000-0010-0000-0D00-000016000000}" uniqueName="22" name="2024/6/24 14:52" queryTableFieldId="22" dataDxfId="1014" dataCellStyle="一般 2"/>
    <tableColumn id="23" xr3:uid="{00000000-0010-0000-0D00-000017000000}" uniqueName="23" name="F23" queryTableFieldId="23" dataDxfId="1013" dataCellStyle="一般 2"/>
    <tableColumn id="24" xr3:uid="{00000000-0010-0000-0D00-000018000000}" uniqueName="24" name="F24" queryTableFieldId="24" dataDxfId="1012" dataCellStyle="一般 2"/>
    <tableColumn id="25" xr3:uid="{00000000-0010-0000-0D00-000019000000}" uniqueName="25" name="F25" queryTableFieldId="25" dataDxfId="1011" dataCellStyle="一般 2"/>
    <tableColumn id="26" xr3:uid="{00000000-0010-0000-0D00-00001A000000}" uniqueName="26" name="F26" queryTableFieldId="26" dataDxfId="1010" dataCellStyle="一般 2"/>
    <tableColumn id="27" xr3:uid="{00000000-0010-0000-0D00-00001B000000}" uniqueName="27" name="F27" queryTableFieldId="27" dataDxfId="1009" dataCellStyle="一般 2"/>
    <tableColumn id="28" xr3:uid="{00000000-0010-0000-0D00-00001C000000}" uniqueName="28" name="F28" queryTableFieldId="28" dataDxfId="1008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911" dataDxfId="910" headerRowCellStyle="一般 2" dataCellStyle="一般 2">
  <autoFilter ref="AG13:BH189" xr:uid="{00000000-0009-0000-0100-00000E000000}"/>
  <tableColumns count="28">
    <tableColumn id="1" xr3:uid="{00000000-0010-0000-0E00-000001000000}" uniqueName="1" name="請直接以10進位，謝謝" queryTableFieldId="1" dataDxfId="909" dataCellStyle="一般 2"/>
    <tableColumn id="2" xr3:uid="{00000000-0010-0000-0E00-000002000000}" uniqueName="2" name="F2" queryTableFieldId="2" dataDxfId="908" dataCellStyle="一般 2"/>
    <tableColumn id="3" xr3:uid="{00000000-0010-0000-0E00-000003000000}" uniqueName="3" name="F3" queryTableFieldId="3" dataDxfId="907" dataCellStyle="一般 2"/>
    <tableColumn id="4" xr3:uid="{00000000-0010-0000-0E00-000004000000}" uniqueName="4" name="F4" queryTableFieldId="4" dataDxfId="906" dataCellStyle="一般 2"/>
    <tableColumn id="5" xr3:uid="{00000000-0010-0000-0E00-000005000000}" uniqueName="5" name="F5" queryTableFieldId="5" dataDxfId="905" dataCellStyle="一般 2"/>
    <tableColumn id="6" xr3:uid="{00000000-0010-0000-0E00-000006000000}" uniqueName="6" name="F6" queryTableFieldId="6" dataDxfId="904" dataCellStyle="一般 2"/>
    <tableColumn id="7" xr3:uid="{00000000-0010-0000-0E00-000007000000}" uniqueName="7" name="F7" queryTableFieldId="7" dataDxfId="903" dataCellStyle="一般 2"/>
    <tableColumn id="8" xr3:uid="{00000000-0010-0000-0E00-000008000000}" uniqueName="8" name="F8" queryTableFieldId="8" dataDxfId="902" dataCellStyle="一般 2"/>
    <tableColumn id="9" xr3:uid="{00000000-0010-0000-0E00-000009000000}" uniqueName="9" name="F9" queryTableFieldId="9" dataDxfId="901" dataCellStyle="一般 2"/>
    <tableColumn id="10" xr3:uid="{00000000-0010-0000-0E00-00000A000000}" uniqueName="10" name="F10" queryTableFieldId="10" dataDxfId="900" dataCellStyle="一般 2"/>
    <tableColumn id="11" xr3:uid="{00000000-0010-0000-0E00-00000B000000}" uniqueName="11" name="F11" queryTableFieldId="11" dataDxfId="899" dataCellStyle="一般 2"/>
    <tableColumn id="12" xr3:uid="{00000000-0010-0000-0E00-00000C000000}" uniqueName="12" name="F12" queryTableFieldId="12" dataDxfId="898" dataCellStyle="一般 2"/>
    <tableColumn id="13" xr3:uid="{00000000-0010-0000-0E00-00000D000000}" uniqueName="13" name="F13" queryTableFieldId="13" dataDxfId="897" dataCellStyle="一般 2"/>
    <tableColumn id="14" xr3:uid="{00000000-0010-0000-0E00-00000E000000}" uniqueName="14" name="F14" queryTableFieldId="14" dataDxfId="896" dataCellStyle="一般 2"/>
    <tableColumn id="15" xr3:uid="{00000000-0010-0000-0E00-00000F000000}" uniqueName="15" name="F15" queryTableFieldId="15" dataDxfId="895" dataCellStyle="一般 2"/>
    <tableColumn id="16" xr3:uid="{00000000-0010-0000-0E00-000010000000}" uniqueName="16" name="F16" queryTableFieldId="16" dataDxfId="894" dataCellStyle="一般 2"/>
    <tableColumn id="17" xr3:uid="{00000000-0010-0000-0E00-000011000000}" uniqueName="17" name="F17" queryTableFieldId="17" dataDxfId="893" dataCellStyle="一般 2"/>
    <tableColumn id="18" xr3:uid="{00000000-0010-0000-0E00-000012000000}" uniqueName="18" name="F18" queryTableFieldId="18" dataDxfId="892" dataCellStyle="一般 2"/>
    <tableColumn id="19" xr3:uid="{00000000-0010-0000-0E00-000013000000}" uniqueName="19" name="F19" queryTableFieldId="19" dataDxfId="891" dataCellStyle="一般 2"/>
    <tableColumn id="20" xr3:uid="{00000000-0010-0000-0E00-000014000000}" uniqueName="20" name="F20" queryTableFieldId="20" dataDxfId="890" dataCellStyle="一般 2"/>
    <tableColumn id="21" xr3:uid="{00000000-0010-0000-0E00-000015000000}" uniqueName="21" name="F21" queryTableFieldId="21" dataDxfId="889" dataCellStyle="一般 2"/>
    <tableColumn id="22" xr3:uid="{00000000-0010-0000-0E00-000016000000}" uniqueName="22" name="2024/6/24 14:52" queryTableFieldId="22" dataDxfId="888" dataCellStyle="一般 2"/>
    <tableColumn id="23" xr3:uid="{00000000-0010-0000-0E00-000017000000}" uniqueName="23" name="F23" queryTableFieldId="23" dataDxfId="887" dataCellStyle="一般 2"/>
    <tableColumn id="24" xr3:uid="{00000000-0010-0000-0E00-000018000000}" uniqueName="24" name="F24" queryTableFieldId="24" dataDxfId="886" dataCellStyle="一般 2"/>
    <tableColumn id="25" xr3:uid="{00000000-0010-0000-0E00-000019000000}" uniqueName="25" name="F25" queryTableFieldId="25" dataDxfId="885" dataCellStyle="一般 2"/>
    <tableColumn id="26" xr3:uid="{00000000-0010-0000-0E00-00001A000000}" uniqueName="26" name="F26" queryTableFieldId="26" dataDxfId="884" dataCellStyle="一般 2"/>
    <tableColumn id="27" xr3:uid="{00000000-0010-0000-0E00-00001B000000}" uniqueName="27" name="F27" queryTableFieldId="27" dataDxfId="883" dataCellStyle="一般 2"/>
    <tableColumn id="28" xr3:uid="{00000000-0010-0000-0E00-00001C000000}" uniqueName="28" name="F28" queryTableFieldId="28" dataDxfId="882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785" dataDxfId="784" headerRowCellStyle="一般 2" dataCellStyle="一般 2">
  <autoFilter ref="AG13:BH189" xr:uid="{00000000-0009-0000-0100-00000F000000}"/>
  <tableColumns count="28">
    <tableColumn id="1" xr3:uid="{00000000-0010-0000-0F00-000001000000}" uniqueName="1" name="請直接以10進位，謝謝" queryTableFieldId="1" dataDxfId="783" dataCellStyle="一般 2"/>
    <tableColumn id="2" xr3:uid="{00000000-0010-0000-0F00-000002000000}" uniqueName="2" name="F2" queryTableFieldId="2" dataDxfId="782" dataCellStyle="一般 2"/>
    <tableColumn id="3" xr3:uid="{00000000-0010-0000-0F00-000003000000}" uniqueName="3" name="F3" queryTableFieldId="3" dataDxfId="781" dataCellStyle="一般 2"/>
    <tableColumn id="4" xr3:uid="{00000000-0010-0000-0F00-000004000000}" uniqueName="4" name="F4" queryTableFieldId="4" dataDxfId="780" dataCellStyle="一般 2"/>
    <tableColumn id="5" xr3:uid="{00000000-0010-0000-0F00-000005000000}" uniqueName="5" name="F5" queryTableFieldId="5" dataDxfId="779" dataCellStyle="一般 2"/>
    <tableColumn id="6" xr3:uid="{00000000-0010-0000-0F00-000006000000}" uniqueName="6" name="F6" queryTableFieldId="6" dataDxfId="778" dataCellStyle="一般 2"/>
    <tableColumn id="7" xr3:uid="{00000000-0010-0000-0F00-000007000000}" uniqueName="7" name="F7" queryTableFieldId="7" dataDxfId="777" dataCellStyle="一般 2"/>
    <tableColumn id="8" xr3:uid="{00000000-0010-0000-0F00-000008000000}" uniqueName="8" name="F8" queryTableFieldId="8" dataDxfId="776" dataCellStyle="一般 2"/>
    <tableColumn id="9" xr3:uid="{00000000-0010-0000-0F00-000009000000}" uniqueName="9" name="F9" queryTableFieldId="9" dataDxfId="775" dataCellStyle="一般 2"/>
    <tableColumn id="10" xr3:uid="{00000000-0010-0000-0F00-00000A000000}" uniqueName="10" name="F10" queryTableFieldId="10" dataDxfId="774" dataCellStyle="一般 2"/>
    <tableColumn id="11" xr3:uid="{00000000-0010-0000-0F00-00000B000000}" uniqueName="11" name="F11" queryTableFieldId="11" dataDxfId="773" dataCellStyle="一般 2"/>
    <tableColumn id="12" xr3:uid="{00000000-0010-0000-0F00-00000C000000}" uniqueName="12" name="F12" queryTableFieldId="12" dataDxfId="772" dataCellStyle="一般 2"/>
    <tableColumn id="13" xr3:uid="{00000000-0010-0000-0F00-00000D000000}" uniqueName="13" name="F13" queryTableFieldId="13" dataDxfId="771" dataCellStyle="一般 2"/>
    <tableColumn id="14" xr3:uid="{00000000-0010-0000-0F00-00000E000000}" uniqueName="14" name="F14" queryTableFieldId="14" dataDxfId="770" dataCellStyle="一般 2"/>
    <tableColumn id="15" xr3:uid="{00000000-0010-0000-0F00-00000F000000}" uniqueName="15" name="F15" queryTableFieldId="15" dataDxfId="769" dataCellStyle="一般 2"/>
    <tableColumn id="16" xr3:uid="{00000000-0010-0000-0F00-000010000000}" uniqueName="16" name="F16" queryTableFieldId="16" dataDxfId="768" dataCellStyle="一般 2"/>
    <tableColumn id="17" xr3:uid="{00000000-0010-0000-0F00-000011000000}" uniqueName="17" name="F17" queryTableFieldId="17" dataDxfId="767" dataCellStyle="一般 2"/>
    <tableColumn id="18" xr3:uid="{00000000-0010-0000-0F00-000012000000}" uniqueName="18" name="F18" queryTableFieldId="18" dataDxfId="766" dataCellStyle="一般 2"/>
    <tableColumn id="19" xr3:uid="{00000000-0010-0000-0F00-000013000000}" uniqueName="19" name="F19" queryTableFieldId="19" dataDxfId="765" dataCellStyle="一般 2"/>
    <tableColumn id="20" xr3:uid="{00000000-0010-0000-0F00-000014000000}" uniqueName="20" name="F20" queryTableFieldId="20" dataDxfId="764" dataCellStyle="一般 2"/>
    <tableColumn id="21" xr3:uid="{00000000-0010-0000-0F00-000015000000}" uniqueName="21" name="F21" queryTableFieldId="21" dataDxfId="763" dataCellStyle="一般 2"/>
    <tableColumn id="22" xr3:uid="{00000000-0010-0000-0F00-000016000000}" uniqueName="22" name="2024/6/24 14:52" queryTableFieldId="22" dataDxfId="762" dataCellStyle="一般 2"/>
    <tableColumn id="23" xr3:uid="{00000000-0010-0000-0F00-000017000000}" uniqueName="23" name="F23" queryTableFieldId="23" dataDxfId="761" dataCellStyle="一般 2"/>
    <tableColumn id="24" xr3:uid="{00000000-0010-0000-0F00-000018000000}" uniqueName="24" name="F24" queryTableFieldId="24" dataDxfId="760" dataCellStyle="一般 2"/>
    <tableColumn id="25" xr3:uid="{00000000-0010-0000-0F00-000019000000}" uniqueName="25" name="F25" queryTableFieldId="25" dataDxfId="759" dataCellStyle="一般 2"/>
    <tableColumn id="26" xr3:uid="{00000000-0010-0000-0F00-00001A000000}" uniqueName="26" name="F26" queryTableFieldId="26" dataDxfId="758" dataCellStyle="一般 2"/>
    <tableColumn id="27" xr3:uid="{00000000-0010-0000-0F00-00001B000000}" uniqueName="27" name="F27" queryTableFieldId="27" dataDxfId="757" dataCellStyle="一般 2"/>
    <tableColumn id="28" xr3:uid="{00000000-0010-0000-0F00-00001C000000}" uniqueName="28" name="F28" queryTableFieldId="28" dataDxfId="756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659" dataDxfId="658" headerRowCellStyle="一般 2" dataCellStyle="一般 2">
  <autoFilter ref="AG13:BH189" xr:uid="{00000000-0009-0000-0100-000011000000}"/>
  <tableColumns count="28">
    <tableColumn id="1" xr3:uid="{00000000-0010-0000-1000-000001000000}" uniqueName="1" name="請直接以10進位，謝謝" queryTableFieldId="1" dataDxfId="657" dataCellStyle="一般 2"/>
    <tableColumn id="2" xr3:uid="{00000000-0010-0000-1000-000002000000}" uniqueName="2" name="F2" queryTableFieldId="2" dataDxfId="656" dataCellStyle="一般 2"/>
    <tableColumn id="3" xr3:uid="{00000000-0010-0000-1000-000003000000}" uniqueName="3" name="F3" queryTableFieldId="3" dataDxfId="655" dataCellStyle="一般 2"/>
    <tableColumn id="4" xr3:uid="{00000000-0010-0000-1000-000004000000}" uniqueName="4" name="F4" queryTableFieldId="4" dataDxfId="654" dataCellStyle="一般 2"/>
    <tableColumn id="5" xr3:uid="{00000000-0010-0000-1000-000005000000}" uniqueName="5" name="F5" queryTableFieldId="5" dataDxfId="653" dataCellStyle="一般 2"/>
    <tableColumn id="6" xr3:uid="{00000000-0010-0000-1000-000006000000}" uniqueName="6" name="F6" queryTableFieldId="6" dataDxfId="652" dataCellStyle="一般 2"/>
    <tableColumn id="7" xr3:uid="{00000000-0010-0000-1000-000007000000}" uniqueName="7" name="F7" queryTableFieldId="7" dataDxfId="651" dataCellStyle="一般 2"/>
    <tableColumn id="8" xr3:uid="{00000000-0010-0000-1000-000008000000}" uniqueName="8" name="F8" queryTableFieldId="8" dataDxfId="650" dataCellStyle="一般 2"/>
    <tableColumn id="9" xr3:uid="{00000000-0010-0000-1000-000009000000}" uniqueName="9" name="F9" queryTableFieldId="9" dataDxfId="649" dataCellStyle="一般 2"/>
    <tableColumn id="10" xr3:uid="{00000000-0010-0000-1000-00000A000000}" uniqueName="10" name="F10" queryTableFieldId="10" dataDxfId="648" dataCellStyle="一般 2"/>
    <tableColumn id="11" xr3:uid="{00000000-0010-0000-1000-00000B000000}" uniqueName="11" name="F11" queryTableFieldId="11" dataDxfId="647" dataCellStyle="一般 2"/>
    <tableColumn id="12" xr3:uid="{00000000-0010-0000-1000-00000C000000}" uniqueName="12" name="F12" queryTableFieldId="12" dataDxfId="646" dataCellStyle="一般 2"/>
    <tableColumn id="13" xr3:uid="{00000000-0010-0000-1000-00000D000000}" uniqueName="13" name="F13" queryTableFieldId="13" dataDxfId="645" dataCellStyle="一般 2"/>
    <tableColumn id="14" xr3:uid="{00000000-0010-0000-1000-00000E000000}" uniqueName="14" name="F14" queryTableFieldId="14" dataDxfId="644" dataCellStyle="一般 2"/>
    <tableColumn id="15" xr3:uid="{00000000-0010-0000-1000-00000F000000}" uniqueName="15" name="F15" queryTableFieldId="15" dataDxfId="643" dataCellStyle="一般 2"/>
    <tableColumn id="16" xr3:uid="{00000000-0010-0000-1000-000010000000}" uniqueName="16" name="F16" queryTableFieldId="16" dataDxfId="642" dataCellStyle="一般 2"/>
    <tableColumn id="17" xr3:uid="{00000000-0010-0000-1000-000011000000}" uniqueName="17" name="F17" queryTableFieldId="17" dataDxfId="641" dataCellStyle="一般 2"/>
    <tableColumn id="18" xr3:uid="{00000000-0010-0000-1000-000012000000}" uniqueName="18" name="F18" queryTableFieldId="18" dataDxfId="640" dataCellStyle="一般 2"/>
    <tableColumn id="19" xr3:uid="{00000000-0010-0000-1000-000013000000}" uniqueName="19" name="F19" queryTableFieldId="19" dataDxfId="639" dataCellStyle="一般 2"/>
    <tableColumn id="20" xr3:uid="{00000000-0010-0000-1000-000014000000}" uniqueName="20" name="F20" queryTableFieldId="20" dataDxfId="638" dataCellStyle="一般 2"/>
    <tableColumn id="21" xr3:uid="{00000000-0010-0000-1000-000015000000}" uniqueName="21" name="F21" queryTableFieldId="21" dataDxfId="637" dataCellStyle="一般 2"/>
    <tableColumn id="22" xr3:uid="{00000000-0010-0000-1000-000016000000}" uniqueName="22" name="2024/6/24 14:52" queryTableFieldId="22" dataDxfId="636" dataCellStyle="一般 2"/>
    <tableColumn id="23" xr3:uid="{00000000-0010-0000-1000-000017000000}" uniqueName="23" name="F23" queryTableFieldId="23" dataDxfId="635" dataCellStyle="一般 2"/>
    <tableColumn id="24" xr3:uid="{00000000-0010-0000-1000-000018000000}" uniqueName="24" name="F24" queryTableFieldId="24" dataDxfId="634" dataCellStyle="一般 2"/>
    <tableColumn id="25" xr3:uid="{00000000-0010-0000-1000-000019000000}" uniqueName="25" name="F25" queryTableFieldId="25" dataDxfId="633" dataCellStyle="一般 2"/>
    <tableColumn id="26" xr3:uid="{00000000-0010-0000-1000-00001A000000}" uniqueName="26" name="F26" queryTableFieldId="26" dataDxfId="632" dataCellStyle="一般 2"/>
    <tableColumn id="27" xr3:uid="{00000000-0010-0000-1000-00001B000000}" uniqueName="27" name="F27" queryTableFieldId="27" dataDxfId="631" dataCellStyle="一般 2"/>
    <tableColumn id="28" xr3:uid="{00000000-0010-0000-1000-00001C000000}" uniqueName="28" name="F28" queryTableFieldId="28" dataDxfId="63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533" dataDxfId="532" headerRowCellStyle="一般 2" dataCellStyle="一般 2">
  <autoFilter ref="AG13:BH189" xr:uid="{00000000-0009-0000-0100-000012000000}"/>
  <tableColumns count="28">
    <tableColumn id="1" xr3:uid="{00000000-0010-0000-1100-000001000000}" uniqueName="1" name="請直接以10進位，謝謝" queryTableFieldId="1" dataDxfId="531" dataCellStyle="一般 2"/>
    <tableColumn id="2" xr3:uid="{00000000-0010-0000-1100-000002000000}" uniqueName="2" name="F2" queryTableFieldId="2" dataDxfId="530" dataCellStyle="一般 2"/>
    <tableColumn id="3" xr3:uid="{00000000-0010-0000-1100-000003000000}" uniqueName="3" name="F3" queryTableFieldId="3" dataDxfId="529" dataCellStyle="一般 2"/>
    <tableColumn id="4" xr3:uid="{00000000-0010-0000-1100-000004000000}" uniqueName="4" name="F4" queryTableFieldId="4" dataDxfId="528" dataCellStyle="一般 2"/>
    <tableColumn id="5" xr3:uid="{00000000-0010-0000-1100-000005000000}" uniqueName="5" name="F5" queryTableFieldId="5" dataDxfId="527" dataCellStyle="一般 2"/>
    <tableColumn id="6" xr3:uid="{00000000-0010-0000-1100-000006000000}" uniqueName="6" name="F6" queryTableFieldId="6" dataDxfId="526" dataCellStyle="一般 2"/>
    <tableColumn id="7" xr3:uid="{00000000-0010-0000-1100-000007000000}" uniqueName="7" name="F7" queryTableFieldId="7" dataDxfId="525" dataCellStyle="一般 2"/>
    <tableColumn id="8" xr3:uid="{00000000-0010-0000-1100-000008000000}" uniqueName="8" name="F8" queryTableFieldId="8" dataDxfId="524" dataCellStyle="一般 2"/>
    <tableColumn id="9" xr3:uid="{00000000-0010-0000-1100-000009000000}" uniqueName="9" name="F9" queryTableFieldId="9" dataDxfId="523" dataCellStyle="一般 2"/>
    <tableColumn id="10" xr3:uid="{00000000-0010-0000-1100-00000A000000}" uniqueName="10" name="F10" queryTableFieldId="10" dataDxfId="522" dataCellStyle="一般 2"/>
    <tableColumn id="11" xr3:uid="{00000000-0010-0000-1100-00000B000000}" uniqueName="11" name="F11" queryTableFieldId="11" dataDxfId="521" dataCellStyle="一般 2"/>
    <tableColumn id="12" xr3:uid="{00000000-0010-0000-1100-00000C000000}" uniqueName="12" name="F12" queryTableFieldId="12" dataDxfId="520" dataCellStyle="一般 2"/>
    <tableColumn id="13" xr3:uid="{00000000-0010-0000-1100-00000D000000}" uniqueName="13" name="F13" queryTableFieldId="13" dataDxfId="519" dataCellStyle="一般 2"/>
    <tableColumn id="14" xr3:uid="{00000000-0010-0000-1100-00000E000000}" uniqueName="14" name="F14" queryTableFieldId="14" dataDxfId="518" dataCellStyle="一般 2"/>
    <tableColumn id="15" xr3:uid="{00000000-0010-0000-1100-00000F000000}" uniqueName="15" name="F15" queryTableFieldId="15" dataDxfId="517" dataCellStyle="一般 2"/>
    <tableColumn id="16" xr3:uid="{00000000-0010-0000-1100-000010000000}" uniqueName="16" name="F16" queryTableFieldId="16" dataDxfId="516" dataCellStyle="一般 2"/>
    <tableColumn id="17" xr3:uid="{00000000-0010-0000-1100-000011000000}" uniqueName="17" name="F17" queryTableFieldId="17" dataDxfId="515" dataCellStyle="一般 2"/>
    <tableColumn id="18" xr3:uid="{00000000-0010-0000-1100-000012000000}" uniqueName="18" name="F18" queryTableFieldId="18" dataDxfId="514" dataCellStyle="一般 2"/>
    <tableColumn id="19" xr3:uid="{00000000-0010-0000-1100-000013000000}" uniqueName="19" name="F19" queryTableFieldId="19" dataDxfId="513" dataCellStyle="一般 2"/>
    <tableColumn id="20" xr3:uid="{00000000-0010-0000-1100-000014000000}" uniqueName="20" name="F20" queryTableFieldId="20" dataDxfId="512" dataCellStyle="一般 2"/>
    <tableColumn id="21" xr3:uid="{00000000-0010-0000-1100-000015000000}" uniqueName="21" name="F21" queryTableFieldId="21" dataDxfId="511" dataCellStyle="一般 2"/>
    <tableColumn id="22" xr3:uid="{00000000-0010-0000-1100-000016000000}" uniqueName="22" name="2024/6/24 14:52" queryTableFieldId="22" dataDxfId="510" dataCellStyle="一般 2"/>
    <tableColumn id="23" xr3:uid="{00000000-0010-0000-1100-000017000000}" uniqueName="23" name="F23" queryTableFieldId="23" dataDxfId="509" dataCellStyle="一般 2"/>
    <tableColumn id="24" xr3:uid="{00000000-0010-0000-1100-000018000000}" uniqueName="24" name="F24" queryTableFieldId="24" dataDxfId="508" dataCellStyle="一般 2"/>
    <tableColumn id="25" xr3:uid="{00000000-0010-0000-1100-000019000000}" uniqueName="25" name="F25" queryTableFieldId="25" dataDxfId="507" dataCellStyle="一般 2"/>
    <tableColumn id="26" xr3:uid="{00000000-0010-0000-1100-00001A000000}" uniqueName="26" name="F26" queryTableFieldId="26" dataDxfId="506" dataCellStyle="一般 2"/>
    <tableColumn id="27" xr3:uid="{00000000-0010-0000-1100-00001B000000}" uniqueName="27" name="F27" queryTableFieldId="27" dataDxfId="505" dataCellStyle="一般 2"/>
    <tableColumn id="28" xr3:uid="{00000000-0010-0000-1100-00001C000000}" uniqueName="28" name="F28" queryTableFieldId="28" dataDxfId="504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407" dataDxfId="406" headerRowCellStyle="一般 2" dataCellStyle="一般 2">
  <autoFilter ref="AG13:BH189" xr:uid="{00000000-0009-0000-0100-000013000000}"/>
  <tableColumns count="28">
    <tableColumn id="1" xr3:uid="{00000000-0010-0000-1200-000001000000}" uniqueName="1" name="請直接以10進位，謝謝" queryTableFieldId="1" dataDxfId="405" dataCellStyle="一般 2"/>
    <tableColumn id="2" xr3:uid="{00000000-0010-0000-1200-000002000000}" uniqueName="2" name="F2" queryTableFieldId="2" dataDxfId="404" dataCellStyle="一般 2"/>
    <tableColumn id="3" xr3:uid="{00000000-0010-0000-1200-000003000000}" uniqueName="3" name="F3" queryTableFieldId="3" dataDxfId="403" dataCellStyle="一般 2"/>
    <tableColumn id="4" xr3:uid="{00000000-0010-0000-1200-000004000000}" uniqueName="4" name="F4" queryTableFieldId="4" dataDxfId="402" dataCellStyle="一般 2"/>
    <tableColumn id="5" xr3:uid="{00000000-0010-0000-1200-000005000000}" uniqueName="5" name="F5" queryTableFieldId="5" dataDxfId="401" dataCellStyle="一般 2"/>
    <tableColumn id="6" xr3:uid="{00000000-0010-0000-1200-000006000000}" uniqueName="6" name="F6" queryTableFieldId="6" dataDxfId="400" dataCellStyle="一般 2"/>
    <tableColumn id="7" xr3:uid="{00000000-0010-0000-1200-000007000000}" uniqueName="7" name="F7" queryTableFieldId="7" dataDxfId="399" dataCellStyle="一般 2"/>
    <tableColumn id="8" xr3:uid="{00000000-0010-0000-1200-000008000000}" uniqueName="8" name="F8" queryTableFieldId="8" dataDxfId="398" dataCellStyle="一般 2"/>
    <tableColumn id="9" xr3:uid="{00000000-0010-0000-1200-000009000000}" uniqueName="9" name="F9" queryTableFieldId="9" dataDxfId="397" dataCellStyle="一般 2"/>
    <tableColumn id="10" xr3:uid="{00000000-0010-0000-1200-00000A000000}" uniqueName="10" name="F10" queryTableFieldId="10" dataDxfId="396" dataCellStyle="一般 2"/>
    <tableColumn id="11" xr3:uid="{00000000-0010-0000-1200-00000B000000}" uniqueName="11" name="F11" queryTableFieldId="11" dataDxfId="395" dataCellStyle="一般 2"/>
    <tableColumn id="12" xr3:uid="{00000000-0010-0000-1200-00000C000000}" uniqueName="12" name="F12" queryTableFieldId="12" dataDxfId="394" dataCellStyle="一般 2"/>
    <tableColumn id="13" xr3:uid="{00000000-0010-0000-1200-00000D000000}" uniqueName="13" name="F13" queryTableFieldId="13" dataDxfId="393" dataCellStyle="一般 2"/>
    <tableColumn id="14" xr3:uid="{00000000-0010-0000-1200-00000E000000}" uniqueName="14" name="F14" queryTableFieldId="14" dataDxfId="392" dataCellStyle="一般 2"/>
    <tableColumn id="15" xr3:uid="{00000000-0010-0000-1200-00000F000000}" uniqueName="15" name="F15" queryTableFieldId="15" dataDxfId="391" dataCellStyle="一般 2"/>
    <tableColumn id="16" xr3:uid="{00000000-0010-0000-1200-000010000000}" uniqueName="16" name="F16" queryTableFieldId="16" dataDxfId="390" dataCellStyle="一般 2"/>
    <tableColumn id="17" xr3:uid="{00000000-0010-0000-1200-000011000000}" uniqueName="17" name="F17" queryTableFieldId="17" dataDxfId="389" dataCellStyle="一般 2"/>
    <tableColumn id="18" xr3:uid="{00000000-0010-0000-1200-000012000000}" uniqueName="18" name="F18" queryTableFieldId="18" dataDxfId="388" dataCellStyle="一般 2"/>
    <tableColumn id="19" xr3:uid="{00000000-0010-0000-1200-000013000000}" uniqueName="19" name="F19" queryTableFieldId="19" dataDxfId="387" dataCellStyle="一般 2"/>
    <tableColumn id="20" xr3:uid="{00000000-0010-0000-1200-000014000000}" uniqueName="20" name="F20" queryTableFieldId="20" dataDxfId="386" dataCellStyle="一般 2"/>
    <tableColumn id="21" xr3:uid="{00000000-0010-0000-1200-000015000000}" uniqueName="21" name="F21" queryTableFieldId="21" dataDxfId="385" dataCellStyle="一般 2"/>
    <tableColumn id="22" xr3:uid="{00000000-0010-0000-1200-000016000000}" uniqueName="22" name="2024/6/24 14:52" queryTableFieldId="22" dataDxfId="384" dataCellStyle="一般 2"/>
    <tableColumn id="23" xr3:uid="{00000000-0010-0000-1200-000017000000}" uniqueName="23" name="F23" queryTableFieldId="23" dataDxfId="383" dataCellStyle="一般 2"/>
    <tableColumn id="24" xr3:uid="{00000000-0010-0000-1200-000018000000}" uniqueName="24" name="F24" queryTableFieldId="24" dataDxfId="382" dataCellStyle="一般 2"/>
    <tableColumn id="25" xr3:uid="{00000000-0010-0000-1200-000019000000}" uniqueName="25" name="F25" queryTableFieldId="25" dataDxfId="381" dataCellStyle="一般 2"/>
    <tableColumn id="26" xr3:uid="{00000000-0010-0000-1200-00001A000000}" uniqueName="26" name="F26" queryTableFieldId="26" dataDxfId="380" dataCellStyle="一般 2"/>
    <tableColumn id="27" xr3:uid="{00000000-0010-0000-1200-00001B000000}" uniqueName="27" name="F27" queryTableFieldId="27" dataDxfId="379" dataCellStyle="一般 2"/>
    <tableColumn id="28" xr3:uid="{00000000-0010-0000-1200-00001C000000}" uniqueName="28" name="F28" queryTableFieldId="28" dataDxfId="378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81" dataDxfId="280" headerRowCellStyle="一般 2" dataCellStyle="一般 2">
  <autoFilter ref="AG13:BH189" xr:uid="{00000000-0009-0000-0100-000015000000}"/>
  <tableColumns count="28">
    <tableColumn id="1" xr3:uid="{00000000-0010-0000-1300-000001000000}" uniqueName="1" name="請直接以10進位，謝謝" queryTableFieldId="1" dataDxfId="279" dataCellStyle="一般 2"/>
    <tableColumn id="2" xr3:uid="{00000000-0010-0000-1300-000002000000}" uniqueName="2" name="F2" queryTableFieldId="2" dataDxfId="278" dataCellStyle="一般 2"/>
    <tableColumn id="3" xr3:uid="{00000000-0010-0000-1300-000003000000}" uniqueName="3" name="F3" queryTableFieldId="3" dataDxfId="277" dataCellStyle="一般 2"/>
    <tableColumn id="4" xr3:uid="{00000000-0010-0000-1300-000004000000}" uniqueName="4" name="F4" queryTableFieldId="4" dataDxfId="276" dataCellStyle="一般 2"/>
    <tableColumn id="5" xr3:uid="{00000000-0010-0000-1300-000005000000}" uniqueName="5" name="F5" queryTableFieldId="5" dataDxfId="275" dataCellStyle="一般 2"/>
    <tableColumn id="6" xr3:uid="{00000000-0010-0000-1300-000006000000}" uniqueName="6" name="F6" queryTableFieldId="6" dataDxfId="274" dataCellStyle="一般 2"/>
    <tableColumn id="7" xr3:uid="{00000000-0010-0000-1300-000007000000}" uniqueName="7" name="F7" queryTableFieldId="7" dataDxfId="273" dataCellStyle="一般 2"/>
    <tableColumn id="8" xr3:uid="{00000000-0010-0000-1300-000008000000}" uniqueName="8" name="F8" queryTableFieldId="8" dataDxfId="272" dataCellStyle="一般 2"/>
    <tableColumn id="9" xr3:uid="{00000000-0010-0000-1300-000009000000}" uniqueName="9" name="F9" queryTableFieldId="9" dataDxfId="271" dataCellStyle="一般 2"/>
    <tableColumn id="10" xr3:uid="{00000000-0010-0000-1300-00000A000000}" uniqueName="10" name="F10" queryTableFieldId="10" dataDxfId="270" dataCellStyle="一般 2"/>
    <tableColumn id="11" xr3:uid="{00000000-0010-0000-1300-00000B000000}" uniqueName="11" name="F11" queryTableFieldId="11" dataDxfId="269" dataCellStyle="一般 2"/>
    <tableColumn id="12" xr3:uid="{00000000-0010-0000-1300-00000C000000}" uniqueName="12" name="F12" queryTableFieldId="12" dataDxfId="268" dataCellStyle="一般 2"/>
    <tableColumn id="13" xr3:uid="{00000000-0010-0000-1300-00000D000000}" uniqueName="13" name="F13" queryTableFieldId="13" dataDxfId="267" dataCellStyle="一般 2"/>
    <tableColumn id="14" xr3:uid="{00000000-0010-0000-1300-00000E000000}" uniqueName="14" name="F14" queryTableFieldId="14" dataDxfId="266" dataCellStyle="一般 2"/>
    <tableColumn id="15" xr3:uid="{00000000-0010-0000-1300-00000F000000}" uniqueName="15" name="F15" queryTableFieldId="15" dataDxfId="265" dataCellStyle="一般 2"/>
    <tableColumn id="16" xr3:uid="{00000000-0010-0000-1300-000010000000}" uniqueName="16" name="F16" queryTableFieldId="16" dataDxfId="264" dataCellStyle="一般 2"/>
    <tableColumn id="17" xr3:uid="{00000000-0010-0000-1300-000011000000}" uniqueName="17" name="F17" queryTableFieldId="17" dataDxfId="263" dataCellStyle="一般 2"/>
    <tableColumn id="18" xr3:uid="{00000000-0010-0000-1300-000012000000}" uniqueName="18" name="F18" queryTableFieldId="18" dataDxfId="262" dataCellStyle="一般 2"/>
    <tableColumn id="19" xr3:uid="{00000000-0010-0000-1300-000013000000}" uniqueName="19" name="F19" queryTableFieldId="19" dataDxfId="261" dataCellStyle="一般 2"/>
    <tableColumn id="20" xr3:uid="{00000000-0010-0000-1300-000014000000}" uniqueName="20" name="F20" queryTableFieldId="20" dataDxfId="260" dataCellStyle="一般 2"/>
    <tableColumn id="21" xr3:uid="{00000000-0010-0000-1300-000015000000}" uniqueName="21" name="F21" queryTableFieldId="21" dataDxfId="259" dataCellStyle="一般 2"/>
    <tableColumn id="22" xr3:uid="{00000000-0010-0000-1300-000016000000}" uniqueName="22" name="2024/6/24 14:52" queryTableFieldId="22" dataDxfId="258" dataCellStyle="一般 2"/>
    <tableColumn id="23" xr3:uid="{00000000-0010-0000-1300-000017000000}" uniqueName="23" name="F23" queryTableFieldId="23" dataDxfId="257" dataCellStyle="一般 2"/>
    <tableColumn id="24" xr3:uid="{00000000-0010-0000-1300-000018000000}" uniqueName="24" name="F24" queryTableFieldId="24" dataDxfId="256" dataCellStyle="一般 2"/>
    <tableColumn id="25" xr3:uid="{00000000-0010-0000-1300-000019000000}" uniqueName="25" name="F25" queryTableFieldId="25" dataDxfId="255" dataCellStyle="一般 2"/>
    <tableColumn id="26" xr3:uid="{00000000-0010-0000-1300-00001A000000}" uniqueName="26" name="F26" queryTableFieldId="26" dataDxfId="254" dataCellStyle="一般 2"/>
    <tableColumn id="27" xr3:uid="{00000000-0010-0000-1300-00001B000000}" uniqueName="27" name="F27" queryTableFieldId="27" dataDxfId="253" dataCellStyle="一般 2"/>
    <tableColumn id="28" xr3:uid="{00000000-0010-0000-1300-00001C000000}" uniqueName="28" name="F28" queryTableFieldId="28" dataDxfId="252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55" dataDxfId="154" headerRowCellStyle="一般 2" dataCellStyle="一般 2">
  <autoFilter ref="AG13:BH189" xr:uid="{00000000-0009-0000-0100-000016000000}"/>
  <tableColumns count="28">
    <tableColumn id="1" xr3:uid="{00000000-0010-0000-1400-000001000000}" uniqueName="1" name="請直接以10進位，謝謝" queryTableFieldId="1" dataDxfId="153" dataCellStyle="一般 2"/>
    <tableColumn id="2" xr3:uid="{00000000-0010-0000-1400-000002000000}" uniqueName="2" name="F2" queryTableFieldId="2" dataDxfId="152" dataCellStyle="一般 2"/>
    <tableColumn id="3" xr3:uid="{00000000-0010-0000-1400-000003000000}" uniqueName="3" name="F3" queryTableFieldId="3" dataDxfId="151" dataCellStyle="一般 2"/>
    <tableColumn id="4" xr3:uid="{00000000-0010-0000-1400-000004000000}" uniqueName="4" name="F4" queryTableFieldId="4" dataDxfId="150" dataCellStyle="一般 2"/>
    <tableColumn id="5" xr3:uid="{00000000-0010-0000-1400-000005000000}" uniqueName="5" name="F5" queryTableFieldId="5" dataDxfId="149" dataCellStyle="一般 2"/>
    <tableColumn id="6" xr3:uid="{00000000-0010-0000-1400-000006000000}" uniqueName="6" name="F6" queryTableFieldId="6" dataDxfId="148" dataCellStyle="一般 2"/>
    <tableColumn id="7" xr3:uid="{00000000-0010-0000-1400-000007000000}" uniqueName="7" name="F7" queryTableFieldId="7" dataDxfId="147" dataCellStyle="一般 2"/>
    <tableColumn id="8" xr3:uid="{00000000-0010-0000-1400-000008000000}" uniqueName="8" name="F8" queryTableFieldId="8" dataDxfId="146" dataCellStyle="一般 2"/>
    <tableColumn id="9" xr3:uid="{00000000-0010-0000-1400-000009000000}" uniqueName="9" name="F9" queryTableFieldId="9" dataDxfId="145" dataCellStyle="一般 2"/>
    <tableColumn id="10" xr3:uid="{00000000-0010-0000-1400-00000A000000}" uniqueName="10" name="F10" queryTableFieldId="10" dataDxfId="144" dataCellStyle="一般 2"/>
    <tableColumn id="11" xr3:uid="{00000000-0010-0000-1400-00000B000000}" uniqueName="11" name="F11" queryTableFieldId="11" dataDxfId="143" dataCellStyle="一般 2"/>
    <tableColumn id="12" xr3:uid="{00000000-0010-0000-1400-00000C000000}" uniqueName="12" name="F12" queryTableFieldId="12" dataDxfId="142" dataCellStyle="一般 2"/>
    <tableColumn id="13" xr3:uid="{00000000-0010-0000-1400-00000D000000}" uniqueName="13" name="F13" queryTableFieldId="13" dataDxfId="141" dataCellStyle="一般 2"/>
    <tableColumn id="14" xr3:uid="{00000000-0010-0000-1400-00000E000000}" uniqueName="14" name="F14" queryTableFieldId="14" dataDxfId="140" dataCellStyle="一般 2"/>
    <tableColumn id="15" xr3:uid="{00000000-0010-0000-1400-00000F000000}" uniqueName="15" name="F15" queryTableFieldId="15" dataDxfId="139" dataCellStyle="一般 2"/>
    <tableColumn id="16" xr3:uid="{00000000-0010-0000-1400-000010000000}" uniqueName="16" name="F16" queryTableFieldId="16" dataDxfId="138" dataCellStyle="一般 2"/>
    <tableColumn id="17" xr3:uid="{00000000-0010-0000-1400-000011000000}" uniqueName="17" name="F17" queryTableFieldId="17" dataDxfId="137" dataCellStyle="一般 2"/>
    <tableColumn id="18" xr3:uid="{00000000-0010-0000-1400-000012000000}" uniqueName="18" name="F18" queryTableFieldId="18" dataDxfId="136" dataCellStyle="一般 2"/>
    <tableColumn id="19" xr3:uid="{00000000-0010-0000-1400-000013000000}" uniqueName="19" name="F19" queryTableFieldId="19" dataDxfId="135" dataCellStyle="一般 2"/>
    <tableColumn id="20" xr3:uid="{00000000-0010-0000-1400-000014000000}" uniqueName="20" name="F20" queryTableFieldId="20" dataDxfId="134" dataCellStyle="一般 2"/>
    <tableColumn id="21" xr3:uid="{00000000-0010-0000-1400-000015000000}" uniqueName="21" name="F21" queryTableFieldId="21" dataDxfId="133" dataCellStyle="一般 2"/>
    <tableColumn id="22" xr3:uid="{00000000-0010-0000-1400-000016000000}" uniqueName="22" name="2024/6/24 14:52" queryTableFieldId="22" dataDxfId="132" dataCellStyle="一般 2"/>
    <tableColumn id="23" xr3:uid="{00000000-0010-0000-1400-000017000000}" uniqueName="23" name="F23" queryTableFieldId="23" dataDxfId="131" dataCellStyle="一般 2"/>
    <tableColumn id="24" xr3:uid="{00000000-0010-0000-1400-000018000000}" uniqueName="24" name="F24" queryTableFieldId="24" dataDxfId="130" dataCellStyle="一般 2"/>
    <tableColumn id="25" xr3:uid="{00000000-0010-0000-1400-000019000000}" uniqueName="25" name="F25" queryTableFieldId="25" dataDxfId="129" dataCellStyle="一般 2"/>
    <tableColumn id="26" xr3:uid="{00000000-0010-0000-1400-00001A000000}" uniqueName="26" name="F26" queryTableFieldId="26" dataDxfId="128" dataCellStyle="一般 2"/>
    <tableColumn id="27" xr3:uid="{00000000-0010-0000-1400-00001B000000}" uniqueName="27" name="F27" queryTableFieldId="27" dataDxfId="127" dataCellStyle="一般 2"/>
    <tableColumn id="28" xr3:uid="{00000000-0010-0000-1400-00001C000000}" uniqueName="28" name="F28" queryTableFieldId="28" dataDxfId="126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5000000}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29" dataDxfId="28" headerRowCellStyle="一般 2" dataCellStyle="一般 2">
  <autoFilter ref="AG13:BH189" xr:uid="{00000000-0009-0000-0100-000010000000}"/>
  <tableColumns count="28">
    <tableColumn id="1" xr3:uid="{00000000-0010-0000-1500-000001000000}" uniqueName="1" name="請直接以10進位，謝謝" queryTableFieldId="1" dataDxfId="27" dataCellStyle="一般 2"/>
    <tableColumn id="2" xr3:uid="{00000000-0010-0000-1500-000002000000}" uniqueName="2" name="F2" queryTableFieldId="2" dataDxfId="26" dataCellStyle="一般 2"/>
    <tableColumn id="3" xr3:uid="{00000000-0010-0000-1500-000003000000}" uniqueName="3" name="F3" queryTableFieldId="3" dataDxfId="25" dataCellStyle="一般 2"/>
    <tableColumn id="4" xr3:uid="{00000000-0010-0000-1500-000004000000}" uniqueName="4" name="F4" queryTableFieldId="4" dataDxfId="24" dataCellStyle="一般 2"/>
    <tableColumn id="5" xr3:uid="{00000000-0010-0000-1500-000005000000}" uniqueName="5" name="F5" queryTableFieldId="5" dataDxfId="23" dataCellStyle="一般 2"/>
    <tableColumn id="6" xr3:uid="{00000000-0010-0000-1500-000006000000}" uniqueName="6" name="F6" queryTableFieldId="6" dataDxfId="22" dataCellStyle="一般 2"/>
    <tableColumn id="7" xr3:uid="{00000000-0010-0000-1500-000007000000}" uniqueName="7" name="F7" queryTableFieldId="7" dataDxfId="21" dataCellStyle="一般 2"/>
    <tableColumn id="8" xr3:uid="{00000000-0010-0000-1500-000008000000}" uniqueName="8" name="F8" queryTableFieldId="8" dataDxfId="20" dataCellStyle="一般 2"/>
    <tableColumn id="9" xr3:uid="{00000000-0010-0000-1500-000009000000}" uniqueName="9" name="F9" queryTableFieldId="9" dataDxfId="19" dataCellStyle="一般 2"/>
    <tableColumn id="10" xr3:uid="{00000000-0010-0000-1500-00000A000000}" uniqueName="10" name="F10" queryTableFieldId="10" dataDxfId="18" dataCellStyle="一般 2"/>
    <tableColumn id="11" xr3:uid="{00000000-0010-0000-1500-00000B000000}" uniqueName="11" name="F11" queryTableFieldId="11" dataDxfId="17" dataCellStyle="一般 2"/>
    <tableColumn id="12" xr3:uid="{00000000-0010-0000-1500-00000C000000}" uniqueName="12" name="F12" queryTableFieldId="12" dataDxfId="16" dataCellStyle="一般 2"/>
    <tableColumn id="13" xr3:uid="{00000000-0010-0000-1500-00000D000000}" uniqueName="13" name="F13" queryTableFieldId="13" dataDxfId="15" dataCellStyle="一般 2"/>
    <tableColumn id="14" xr3:uid="{00000000-0010-0000-1500-00000E000000}" uniqueName="14" name="F14" queryTableFieldId="14" dataDxfId="14" dataCellStyle="一般 2"/>
    <tableColumn id="15" xr3:uid="{00000000-0010-0000-1500-00000F000000}" uniqueName="15" name="F15" queryTableFieldId="15" dataDxfId="13" dataCellStyle="一般 2"/>
    <tableColumn id="16" xr3:uid="{00000000-0010-0000-1500-000010000000}" uniqueName="16" name="F16" queryTableFieldId="16" dataDxfId="12" dataCellStyle="一般 2"/>
    <tableColumn id="17" xr3:uid="{00000000-0010-0000-1500-000011000000}" uniqueName="17" name="F17" queryTableFieldId="17" dataDxfId="11" dataCellStyle="一般 2"/>
    <tableColumn id="18" xr3:uid="{00000000-0010-0000-1500-000012000000}" uniqueName="18" name="F18" queryTableFieldId="18" dataDxfId="10" dataCellStyle="一般 2"/>
    <tableColumn id="19" xr3:uid="{00000000-0010-0000-1500-000013000000}" uniqueName="19" name="F19" queryTableFieldId="19" dataDxfId="9" dataCellStyle="一般 2"/>
    <tableColumn id="20" xr3:uid="{00000000-0010-0000-1500-000014000000}" uniqueName="20" name="F20" queryTableFieldId="20" dataDxfId="8" dataCellStyle="一般 2"/>
    <tableColumn id="21" xr3:uid="{00000000-0010-0000-1500-000015000000}" uniqueName="21" name="F21" queryTableFieldId="21" dataDxfId="7" dataCellStyle="一般 2"/>
    <tableColumn id="22" xr3:uid="{00000000-0010-0000-1500-000016000000}" uniqueName="22" name="2024/6/24 14:52" queryTableFieldId="22" dataDxfId="6" dataCellStyle="一般 2"/>
    <tableColumn id="23" xr3:uid="{00000000-0010-0000-1500-000017000000}" uniqueName="23" name="F23" queryTableFieldId="23" dataDxfId="5" dataCellStyle="一般 2"/>
    <tableColumn id="24" xr3:uid="{00000000-0010-0000-1500-000018000000}" uniqueName="24" name="F24" queryTableFieldId="24" dataDxfId="4" dataCellStyle="一般 2"/>
    <tableColumn id="25" xr3:uid="{00000000-0010-0000-1500-000019000000}" uniqueName="25" name="F25" queryTableFieldId="25" dataDxfId="3" dataCellStyle="一般 2"/>
    <tableColumn id="26" xr3:uid="{00000000-0010-0000-1500-00001A000000}" uniqueName="26" name="F26" queryTableFieldId="26" dataDxfId="2" dataCellStyle="一般 2"/>
    <tableColumn id="27" xr3:uid="{00000000-0010-0000-1500-00001B000000}" uniqueName="27" name="F27" queryTableFieldId="27" dataDxfId="1" dataCellStyle="一般 2"/>
    <tableColumn id="28" xr3:uid="{00000000-0010-0000-1500-00001C000000}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1">
    <pageSetUpPr fitToPage="1"/>
  </sheetPr>
  <dimension ref="A1:X46"/>
  <sheetViews>
    <sheetView view="pageBreakPreview" topLeftCell="A24" zoomScale="80" zoomScaleNormal="100" zoomScaleSheetLayoutView="80" workbookViewId="0">
      <selection activeCell="K44" sqref="K44"/>
    </sheetView>
  </sheetViews>
  <sheetFormatPr defaultColWidth="9" defaultRowHeight="15.4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6328125" style="54" customWidth="1"/>
    <col min="14" max="14" width="17.6640625" style="54" customWidth="1"/>
    <col min="15" max="16" width="11.86328125" style="54" customWidth="1"/>
    <col min="17" max="17" width="17.46484375" style="63" customWidth="1"/>
    <col min="18" max="18" width="13.6640625" style="63" customWidth="1"/>
    <col min="19" max="19" width="14.33203125" style="63" customWidth="1"/>
    <col min="20" max="20" width="9" style="54"/>
    <col min="21" max="21" width="20.796875" style="54" bestFit="1" customWidth="1"/>
    <col min="22" max="22" width="9" style="54"/>
    <col min="23" max="23" width="13.796875" style="54" bestFit="1" customWidth="1"/>
    <col min="24" max="16384" width="9" style="54"/>
  </cols>
  <sheetData>
    <row r="1" spans="1:24" s="53" customFormat="1" ht="21" customHeight="1" thickBot="1">
      <c r="A1" s="176" t="s">
        <v>173</v>
      </c>
      <c r="B1" s="176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7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 t="s">
        <v>33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5" customHeight="1" thickTop="1">
      <c r="A3" s="119">
        <v>601</v>
      </c>
      <c r="B3" s="120">
        <v>4938</v>
      </c>
      <c r="C3" s="121">
        <v>24</v>
      </c>
      <c r="D3" s="122" t="s">
        <v>76</v>
      </c>
      <c r="E3" s="120">
        <v>0</v>
      </c>
      <c r="F3" s="121">
        <v>17</v>
      </c>
      <c r="G3" s="119">
        <v>661</v>
      </c>
      <c r="H3" s="120">
        <v>5467</v>
      </c>
      <c r="I3" s="123">
        <v>25</v>
      </c>
      <c r="J3" s="119">
        <v>681</v>
      </c>
      <c r="K3" s="120">
        <v>1137</v>
      </c>
      <c r="L3" s="124">
        <v>24</v>
      </c>
      <c r="M3" s="177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5" customHeight="1">
      <c r="A4" s="119">
        <v>602</v>
      </c>
      <c r="B4" s="120">
        <v>4687</v>
      </c>
      <c r="C4" s="121">
        <v>23</v>
      </c>
      <c r="D4" s="122" t="s">
        <v>77</v>
      </c>
      <c r="E4" s="120">
        <v>0</v>
      </c>
      <c r="F4" s="121">
        <v>21</v>
      </c>
      <c r="G4" s="119">
        <v>662</v>
      </c>
      <c r="H4" s="120">
        <v>3536</v>
      </c>
      <c r="I4" s="123">
        <v>23</v>
      </c>
      <c r="J4" s="119">
        <v>682</v>
      </c>
      <c r="K4" s="120">
        <v>3514</v>
      </c>
      <c r="L4" s="133">
        <v>23</v>
      </c>
      <c r="M4" s="178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5" customHeight="1">
      <c r="A5" s="119">
        <v>603</v>
      </c>
      <c r="B5" s="120">
        <v>7138</v>
      </c>
      <c r="C5" s="121">
        <v>27</v>
      </c>
      <c r="D5" s="122">
        <v>631</v>
      </c>
      <c r="E5" s="120">
        <v>2003</v>
      </c>
      <c r="F5" s="121">
        <v>22</v>
      </c>
      <c r="G5" s="119">
        <v>663</v>
      </c>
      <c r="H5" s="120">
        <v>3505</v>
      </c>
      <c r="I5" s="123">
        <v>24</v>
      </c>
      <c r="J5" s="119">
        <v>683</v>
      </c>
      <c r="K5" s="120">
        <v>3288</v>
      </c>
      <c r="L5" s="133">
        <v>22</v>
      </c>
      <c r="M5" s="178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5" customHeight="1">
      <c r="A6" s="119" t="s">
        <v>78</v>
      </c>
      <c r="B6" s="125">
        <v>4147</v>
      </c>
      <c r="C6" s="126">
        <v>18</v>
      </c>
      <c r="D6" s="127">
        <v>632</v>
      </c>
      <c r="E6" s="125">
        <v>5086</v>
      </c>
      <c r="F6" s="126">
        <v>24</v>
      </c>
      <c r="G6" s="127">
        <v>664</v>
      </c>
      <c r="H6" s="125">
        <v>6905</v>
      </c>
      <c r="I6" s="124">
        <v>25</v>
      </c>
      <c r="J6" s="127">
        <v>684</v>
      </c>
      <c r="K6" s="125">
        <v>5459</v>
      </c>
      <c r="L6" s="133">
        <v>23</v>
      </c>
      <c r="M6" s="178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5" customHeight="1">
      <c r="A7" s="119" t="s">
        <v>79</v>
      </c>
      <c r="B7" s="125">
        <v>1030</v>
      </c>
      <c r="C7" s="126">
        <v>18</v>
      </c>
      <c r="D7" s="127">
        <v>633</v>
      </c>
      <c r="E7" s="125">
        <v>2043</v>
      </c>
      <c r="F7" s="126">
        <v>15</v>
      </c>
      <c r="G7" s="127">
        <v>665</v>
      </c>
      <c r="H7" s="125">
        <v>6597</v>
      </c>
      <c r="I7" s="124">
        <v>23</v>
      </c>
      <c r="J7" s="127">
        <v>685</v>
      </c>
      <c r="K7" s="125">
        <v>0</v>
      </c>
      <c r="L7" s="133">
        <v>22</v>
      </c>
      <c r="M7" s="178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5" customHeight="1">
      <c r="A8" s="119">
        <v>611</v>
      </c>
      <c r="B8" s="125">
        <v>0</v>
      </c>
      <c r="C8" s="134">
        <v>25</v>
      </c>
      <c r="D8" s="127">
        <v>634</v>
      </c>
      <c r="E8" s="125">
        <v>4138</v>
      </c>
      <c r="F8" s="126">
        <v>24</v>
      </c>
      <c r="G8" s="127">
        <v>666</v>
      </c>
      <c r="H8" s="125">
        <v>1100</v>
      </c>
      <c r="I8" s="124">
        <v>20</v>
      </c>
      <c r="J8" s="127">
        <v>686</v>
      </c>
      <c r="K8" s="125">
        <v>0</v>
      </c>
      <c r="L8" s="133">
        <v>23</v>
      </c>
      <c r="M8" s="178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5" customHeight="1">
      <c r="A9" s="119">
        <v>612</v>
      </c>
      <c r="B9" s="125">
        <v>7.8</v>
      </c>
      <c r="C9" s="134">
        <v>25</v>
      </c>
      <c r="D9" s="127">
        <v>641</v>
      </c>
      <c r="E9" s="125">
        <v>4390</v>
      </c>
      <c r="F9" s="126">
        <v>22</v>
      </c>
      <c r="G9" s="127">
        <v>667</v>
      </c>
      <c r="H9" s="125">
        <v>2373</v>
      </c>
      <c r="I9" s="124">
        <v>27</v>
      </c>
      <c r="J9" s="127">
        <v>687</v>
      </c>
      <c r="K9" s="125">
        <v>5243</v>
      </c>
      <c r="L9" s="133">
        <v>23</v>
      </c>
      <c r="M9" s="178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5" customHeight="1">
      <c r="A10" s="119">
        <v>613</v>
      </c>
      <c r="B10" s="125">
        <v>7.78</v>
      </c>
      <c r="C10" s="134">
        <v>25</v>
      </c>
      <c r="D10" s="127">
        <v>642</v>
      </c>
      <c r="E10" s="125">
        <v>4110</v>
      </c>
      <c r="F10" s="126">
        <v>30</v>
      </c>
      <c r="G10" s="127">
        <v>668</v>
      </c>
      <c r="H10" s="125">
        <v>-792</v>
      </c>
      <c r="I10" s="124">
        <v>23</v>
      </c>
      <c r="J10" s="127">
        <v>688</v>
      </c>
      <c r="K10" s="125">
        <v>5314</v>
      </c>
      <c r="L10" s="133">
        <v>23</v>
      </c>
      <c r="M10" s="178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5" customHeight="1">
      <c r="A11" s="119">
        <v>614</v>
      </c>
      <c r="B11" s="125">
        <v>59.25</v>
      </c>
      <c r="C11" s="134">
        <v>25</v>
      </c>
      <c r="D11" s="127">
        <v>643</v>
      </c>
      <c r="E11" s="125">
        <v>0</v>
      </c>
      <c r="F11" s="126">
        <v>23</v>
      </c>
      <c r="G11" s="127">
        <v>669</v>
      </c>
      <c r="H11" s="125">
        <v>27</v>
      </c>
      <c r="I11" s="124">
        <v>25</v>
      </c>
      <c r="J11" s="127">
        <v>689</v>
      </c>
      <c r="K11" s="125">
        <v>3697</v>
      </c>
      <c r="L11" s="133">
        <v>22</v>
      </c>
      <c r="M11" s="178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5" customHeight="1">
      <c r="A12" s="119">
        <v>621</v>
      </c>
      <c r="B12" s="125">
        <v>603</v>
      </c>
      <c r="C12" s="126">
        <v>22</v>
      </c>
      <c r="D12" s="127">
        <v>645</v>
      </c>
      <c r="E12" s="125">
        <v>72</v>
      </c>
      <c r="F12" s="126">
        <v>23</v>
      </c>
      <c r="G12" s="127">
        <v>670</v>
      </c>
      <c r="H12" s="125">
        <v>-9906</v>
      </c>
      <c r="I12" s="124">
        <v>25</v>
      </c>
      <c r="J12" s="127">
        <v>690</v>
      </c>
      <c r="K12" s="125">
        <v>886</v>
      </c>
      <c r="L12" s="124">
        <v>22</v>
      </c>
      <c r="M12" s="178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5" customHeight="1">
      <c r="A13" s="119">
        <v>622</v>
      </c>
      <c r="B13" s="125">
        <v>4738</v>
      </c>
      <c r="C13" s="126">
        <v>25</v>
      </c>
      <c r="D13" s="127">
        <v>651</v>
      </c>
      <c r="E13" s="125">
        <v>3479</v>
      </c>
      <c r="F13" s="126">
        <v>24</v>
      </c>
      <c r="G13" s="127">
        <v>671</v>
      </c>
      <c r="H13" s="125">
        <v>0</v>
      </c>
      <c r="I13" s="124">
        <v>22</v>
      </c>
      <c r="J13" s="127">
        <v>691</v>
      </c>
      <c r="K13" s="125">
        <v>3290</v>
      </c>
      <c r="L13" s="133">
        <v>22</v>
      </c>
      <c r="M13" s="178"/>
      <c r="N13" s="180" t="s">
        <v>172</v>
      </c>
      <c r="O13" s="181" t="s">
        <v>144</v>
      </c>
      <c r="P13" s="182">
        <v>7.0686</v>
      </c>
      <c r="Q13" s="183" t="s">
        <v>149</v>
      </c>
      <c r="S13" s="175">
        <v>7000</v>
      </c>
    </row>
    <row r="14" spans="1:24" s="53" customFormat="1" ht="22.25" customHeight="1">
      <c r="A14" s="119">
        <v>623</v>
      </c>
      <c r="B14" s="125">
        <v>2427</v>
      </c>
      <c r="C14" s="126">
        <v>27</v>
      </c>
      <c r="D14" s="127">
        <v>652</v>
      </c>
      <c r="E14" s="125">
        <v>2295</v>
      </c>
      <c r="F14" s="126">
        <v>23</v>
      </c>
      <c r="G14" s="127">
        <v>672</v>
      </c>
      <c r="H14" s="125">
        <v>4216</v>
      </c>
      <c r="I14" s="124">
        <v>23</v>
      </c>
      <c r="J14" s="127">
        <v>692</v>
      </c>
      <c r="K14" s="125">
        <v>2312</v>
      </c>
      <c r="L14" s="133">
        <v>24</v>
      </c>
      <c r="M14" s="178"/>
      <c r="N14" s="180"/>
      <c r="O14" s="181"/>
      <c r="P14" s="182"/>
      <c r="Q14" s="183"/>
      <c r="S14" s="175"/>
    </row>
    <row r="15" spans="1:24" s="53" customFormat="1" ht="22.25" customHeight="1">
      <c r="A15" s="122">
        <v>624</v>
      </c>
      <c r="B15" s="125">
        <v>1861</v>
      </c>
      <c r="C15" s="126">
        <v>22</v>
      </c>
      <c r="D15" s="128">
        <v>653</v>
      </c>
      <c r="E15" s="125">
        <v>0</v>
      </c>
      <c r="F15" s="126">
        <v>19</v>
      </c>
      <c r="G15" s="127">
        <v>673</v>
      </c>
      <c r="H15" s="125">
        <v>2359</v>
      </c>
      <c r="I15" s="124">
        <v>24</v>
      </c>
      <c r="J15" s="127">
        <v>693</v>
      </c>
      <c r="K15" s="125">
        <v>1585</v>
      </c>
      <c r="L15" s="133">
        <v>22</v>
      </c>
      <c r="M15" s="178"/>
      <c r="N15" s="180"/>
      <c r="O15" s="181"/>
      <c r="P15" s="182"/>
      <c r="Q15" s="183"/>
      <c r="R15" s="55"/>
      <c r="S15" s="175"/>
    </row>
    <row r="16" spans="1:24" s="53" customFormat="1" ht="22.25" customHeight="1">
      <c r="A16" s="122" t="s">
        <v>80</v>
      </c>
      <c r="B16" s="125">
        <v>0</v>
      </c>
      <c r="C16" s="126">
        <v>24</v>
      </c>
      <c r="D16" s="127">
        <v>654</v>
      </c>
      <c r="E16" s="125">
        <v>118</v>
      </c>
      <c r="F16" s="126">
        <v>20</v>
      </c>
      <c r="G16" s="127">
        <v>674</v>
      </c>
      <c r="H16" s="125">
        <v>18</v>
      </c>
      <c r="I16" s="124">
        <v>20</v>
      </c>
      <c r="J16" s="127">
        <v>694</v>
      </c>
      <c r="K16" s="125">
        <v>1759</v>
      </c>
      <c r="L16" s="133">
        <v>23</v>
      </c>
      <c r="M16" s="178"/>
      <c r="Q16" s="55"/>
      <c r="R16" s="55"/>
      <c r="S16" s="55"/>
    </row>
    <row r="17" spans="1:19" s="53" customFormat="1" ht="22.25" customHeight="1">
      <c r="A17" s="122" t="s">
        <v>26</v>
      </c>
      <c r="B17" s="125">
        <v>3074</v>
      </c>
      <c r="C17" s="126">
        <v>30</v>
      </c>
      <c r="D17" s="128">
        <v>655</v>
      </c>
      <c r="E17" s="125">
        <v>1652</v>
      </c>
      <c r="F17" s="126">
        <v>23</v>
      </c>
      <c r="G17" s="127">
        <v>675</v>
      </c>
      <c r="H17" s="125">
        <v>51.53</v>
      </c>
      <c r="I17" s="133">
        <v>25</v>
      </c>
      <c r="J17" s="127">
        <v>695</v>
      </c>
      <c r="K17" s="125">
        <v>5536</v>
      </c>
      <c r="L17" s="133">
        <v>22</v>
      </c>
      <c r="M17" s="178"/>
      <c r="Q17" s="55"/>
      <c r="R17" s="55"/>
      <c r="S17" s="55"/>
    </row>
    <row r="18" spans="1:19" s="53" customFormat="1" ht="22.25" customHeight="1">
      <c r="A18" s="122" t="s">
        <v>27</v>
      </c>
      <c r="B18" s="125">
        <v>6759</v>
      </c>
      <c r="C18" s="126">
        <v>18</v>
      </c>
      <c r="D18" s="127">
        <v>656</v>
      </c>
      <c r="E18" s="125">
        <v>324</v>
      </c>
      <c r="F18" s="126">
        <v>22</v>
      </c>
      <c r="G18" s="127">
        <v>676</v>
      </c>
      <c r="H18" s="125">
        <v>5.18</v>
      </c>
      <c r="I18" s="133">
        <v>25</v>
      </c>
      <c r="J18" s="127">
        <v>696</v>
      </c>
      <c r="K18" s="125">
        <v>9630</v>
      </c>
      <c r="L18" s="133">
        <v>23</v>
      </c>
      <c r="M18" s="178"/>
      <c r="Q18" s="55"/>
      <c r="R18" s="55"/>
      <c r="S18" s="55"/>
    </row>
    <row r="19" spans="1:19" s="53" customFormat="1" ht="22.25" customHeight="1">
      <c r="A19" s="122" t="s">
        <v>28</v>
      </c>
      <c r="B19" s="125">
        <v>7084</v>
      </c>
      <c r="C19" s="126">
        <v>20</v>
      </c>
      <c r="D19" s="127">
        <v>657</v>
      </c>
      <c r="E19" s="125">
        <v>3220</v>
      </c>
      <c r="F19" s="126">
        <v>24</v>
      </c>
      <c r="G19" s="127">
        <v>677</v>
      </c>
      <c r="H19" s="125">
        <v>90.63</v>
      </c>
      <c r="I19" s="133">
        <v>25</v>
      </c>
      <c r="J19" s="127">
        <v>697</v>
      </c>
      <c r="K19" s="125">
        <v>10722</v>
      </c>
      <c r="L19" s="133">
        <v>25</v>
      </c>
      <c r="M19" s="178"/>
      <c r="Q19" s="55"/>
      <c r="R19" s="55"/>
      <c r="S19" s="55"/>
    </row>
    <row r="20" spans="1:19" s="53" customFormat="1" ht="22.25" customHeight="1">
      <c r="A20" s="122" t="s">
        <v>29</v>
      </c>
      <c r="B20" s="125">
        <v>4652</v>
      </c>
      <c r="C20" s="126">
        <v>25</v>
      </c>
      <c r="D20" s="128">
        <v>658</v>
      </c>
      <c r="E20" s="125">
        <v>5582</v>
      </c>
      <c r="F20" s="126">
        <v>24</v>
      </c>
      <c r="G20" s="127">
        <v>678</v>
      </c>
      <c r="H20" s="125">
        <v>95.53</v>
      </c>
      <c r="I20" s="133">
        <v>25</v>
      </c>
      <c r="J20" s="127">
        <v>698</v>
      </c>
      <c r="K20" s="125">
        <v>2692</v>
      </c>
      <c r="L20" s="133">
        <v>27</v>
      </c>
      <c r="M20" s="178"/>
      <c r="Q20" s="55"/>
      <c r="R20" s="55"/>
      <c r="S20" s="55"/>
    </row>
    <row r="21" spans="1:19" s="53" customFormat="1" ht="22.25" customHeight="1">
      <c r="A21" s="122" t="s">
        <v>30</v>
      </c>
      <c r="B21" s="125">
        <v>4516</v>
      </c>
      <c r="C21" s="126">
        <v>30</v>
      </c>
      <c r="D21" s="127">
        <v>659</v>
      </c>
      <c r="E21" s="125">
        <v>1159</v>
      </c>
      <c r="F21" s="126">
        <v>21</v>
      </c>
      <c r="G21" s="127">
        <v>680</v>
      </c>
      <c r="H21" s="125">
        <v>3991</v>
      </c>
      <c r="I21" s="133">
        <v>24</v>
      </c>
      <c r="J21" s="127">
        <v>699</v>
      </c>
      <c r="K21" s="125">
        <v>5145</v>
      </c>
      <c r="L21" s="133">
        <v>27</v>
      </c>
      <c r="M21" s="178"/>
      <c r="Q21" s="55"/>
      <c r="R21" s="55"/>
      <c r="S21" s="55"/>
    </row>
    <row r="22" spans="1:19" s="53" customFormat="1" ht="22.25" customHeight="1" thickBot="1">
      <c r="A22" s="129" t="s">
        <v>81</v>
      </c>
      <c r="B22" s="130">
        <v>0</v>
      </c>
      <c r="C22" s="130">
        <v>23</v>
      </c>
      <c r="D22" s="131">
        <v>660</v>
      </c>
      <c r="E22" s="130">
        <v>6054</v>
      </c>
      <c r="F22" s="132">
        <v>25</v>
      </c>
      <c r="G22" s="131"/>
      <c r="H22" s="130"/>
      <c r="I22" s="132"/>
      <c r="J22" s="131"/>
      <c r="K22" s="130"/>
      <c r="L22" s="132"/>
      <c r="M22" s="179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6"/>
      <c r="B24" s="176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00000000000001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75" customHeight="1" thickTop="1">
      <c r="A26" s="119">
        <v>601</v>
      </c>
      <c r="B26" s="120">
        <v>4937</v>
      </c>
      <c r="C26" s="121">
        <v>22</v>
      </c>
      <c r="D26" s="122" t="s">
        <v>76</v>
      </c>
      <c r="E26" s="120">
        <v>0</v>
      </c>
      <c r="F26" s="121">
        <v>20</v>
      </c>
      <c r="G26" s="119">
        <v>661</v>
      </c>
      <c r="H26" s="120">
        <v>5465</v>
      </c>
      <c r="I26" s="123">
        <v>24</v>
      </c>
      <c r="J26" s="119">
        <v>681</v>
      </c>
      <c r="K26" s="120">
        <v>1129</v>
      </c>
      <c r="L26" s="124">
        <v>27</v>
      </c>
      <c r="M26" s="177"/>
    </row>
    <row r="27" spans="1:19" ht="21.75" customHeight="1">
      <c r="A27" s="119">
        <v>602</v>
      </c>
      <c r="B27" s="120">
        <v>4687</v>
      </c>
      <c r="C27" s="121">
        <v>23</v>
      </c>
      <c r="D27" s="122" t="s">
        <v>77</v>
      </c>
      <c r="E27" s="120">
        <v>0</v>
      </c>
      <c r="F27" s="121">
        <v>27</v>
      </c>
      <c r="G27" s="119">
        <v>662</v>
      </c>
      <c r="H27" s="120">
        <v>3535</v>
      </c>
      <c r="I27" s="123">
        <v>24</v>
      </c>
      <c r="J27" s="119">
        <v>682</v>
      </c>
      <c r="K27" s="120">
        <v>2834</v>
      </c>
      <c r="L27" s="133">
        <v>27</v>
      </c>
      <c r="M27" s="178"/>
    </row>
    <row r="28" spans="1:19" ht="21.75" customHeight="1">
      <c r="A28" s="119">
        <v>603</v>
      </c>
      <c r="B28" s="120">
        <v>7138</v>
      </c>
      <c r="C28" s="121">
        <v>24</v>
      </c>
      <c r="D28" s="122">
        <v>631</v>
      </c>
      <c r="E28" s="120">
        <v>2940</v>
      </c>
      <c r="F28" s="121">
        <v>21</v>
      </c>
      <c r="G28" s="119">
        <v>663</v>
      </c>
      <c r="H28" s="120">
        <v>3502</v>
      </c>
      <c r="I28" s="123">
        <v>23</v>
      </c>
      <c r="J28" s="119">
        <v>683</v>
      </c>
      <c r="K28" s="120">
        <v>3288</v>
      </c>
      <c r="L28" s="133">
        <v>25</v>
      </c>
      <c r="M28" s="178"/>
    </row>
    <row r="29" spans="1:19" ht="21.75" customHeight="1">
      <c r="A29" s="119" t="s">
        <v>78</v>
      </c>
      <c r="B29" s="125">
        <v>4716</v>
      </c>
      <c r="C29" s="126">
        <v>19</v>
      </c>
      <c r="D29" s="127">
        <v>632</v>
      </c>
      <c r="E29" s="125">
        <v>5084</v>
      </c>
      <c r="F29" s="126">
        <v>28</v>
      </c>
      <c r="G29" s="127">
        <v>664</v>
      </c>
      <c r="H29" s="125">
        <v>6901</v>
      </c>
      <c r="I29" s="124">
        <v>25</v>
      </c>
      <c r="J29" s="127">
        <v>684</v>
      </c>
      <c r="K29" s="125">
        <v>5393</v>
      </c>
      <c r="L29" s="133">
        <v>26</v>
      </c>
      <c r="M29" s="178"/>
    </row>
    <row r="30" spans="1:19" ht="21.75" customHeight="1">
      <c r="A30" s="119" t="s">
        <v>79</v>
      </c>
      <c r="B30" s="125">
        <v>1028</v>
      </c>
      <c r="C30" s="126">
        <v>19</v>
      </c>
      <c r="D30" s="127">
        <v>633</v>
      </c>
      <c r="E30" s="125">
        <v>2043</v>
      </c>
      <c r="F30" s="126">
        <v>15</v>
      </c>
      <c r="G30" s="127">
        <v>665</v>
      </c>
      <c r="H30" s="125">
        <v>5156</v>
      </c>
      <c r="I30" s="124">
        <v>23</v>
      </c>
      <c r="J30" s="127">
        <v>685</v>
      </c>
      <c r="K30" s="125">
        <v>55</v>
      </c>
      <c r="L30" s="133">
        <v>27</v>
      </c>
      <c r="M30" s="178"/>
    </row>
    <row r="31" spans="1:19" ht="21.75" customHeight="1">
      <c r="A31" s="119">
        <v>611</v>
      </c>
      <c r="B31" s="125">
        <v>0</v>
      </c>
      <c r="C31" s="134">
        <v>25</v>
      </c>
      <c r="D31" s="127">
        <v>634</v>
      </c>
      <c r="E31" s="125">
        <v>4136</v>
      </c>
      <c r="F31" s="126">
        <v>25</v>
      </c>
      <c r="G31" s="127">
        <v>666</v>
      </c>
      <c r="H31" s="125">
        <v>1101</v>
      </c>
      <c r="I31" s="124">
        <v>21</v>
      </c>
      <c r="J31" s="127">
        <v>686</v>
      </c>
      <c r="K31" s="125">
        <v>1128</v>
      </c>
      <c r="L31" s="133">
        <v>27</v>
      </c>
      <c r="M31" s="178"/>
    </row>
    <row r="32" spans="1:19" ht="21.75" customHeight="1">
      <c r="A32" s="119">
        <v>612</v>
      </c>
      <c r="B32" s="125">
        <v>7.8</v>
      </c>
      <c r="C32" s="134">
        <v>25</v>
      </c>
      <c r="D32" s="127">
        <v>641</v>
      </c>
      <c r="E32" s="125">
        <v>4395</v>
      </c>
      <c r="F32" s="126">
        <v>22</v>
      </c>
      <c r="G32" s="127">
        <v>667</v>
      </c>
      <c r="H32" s="125">
        <v>2373</v>
      </c>
      <c r="I32" s="124">
        <v>28</v>
      </c>
      <c r="J32" s="127">
        <v>687</v>
      </c>
      <c r="K32" s="125">
        <v>5242</v>
      </c>
      <c r="L32" s="133">
        <v>26</v>
      </c>
      <c r="M32" s="178"/>
    </row>
    <row r="33" spans="1:13" ht="21.75" customHeight="1">
      <c r="A33" s="119">
        <v>613</v>
      </c>
      <c r="B33" s="174">
        <v>7.74</v>
      </c>
      <c r="C33" s="134">
        <v>25</v>
      </c>
      <c r="D33" s="127">
        <v>642</v>
      </c>
      <c r="E33" s="125">
        <v>4066</v>
      </c>
      <c r="F33" s="126">
        <v>28</v>
      </c>
      <c r="G33" s="127">
        <v>668</v>
      </c>
      <c r="H33" s="125">
        <v>-792</v>
      </c>
      <c r="I33" s="124">
        <v>28</v>
      </c>
      <c r="J33" s="127">
        <v>688</v>
      </c>
      <c r="K33" s="125">
        <v>5313</v>
      </c>
      <c r="L33" s="133">
        <v>25</v>
      </c>
      <c r="M33" s="178"/>
    </row>
    <row r="34" spans="1:13" ht="21.75" customHeight="1">
      <c r="A34" s="119">
        <v>614</v>
      </c>
      <c r="B34" s="125">
        <v>13.86</v>
      </c>
      <c r="C34" s="134">
        <v>25</v>
      </c>
      <c r="D34" s="127">
        <v>643</v>
      </c>
      <c r="E34" s="125">
        <v>0</v>
      </c>
      <c r="F34" s="126">
        <v>24</v>
      </c>
      <c r="G34" s="127">
        <v>669</v>
      </c>
      <c r="H34" s="125">
        <v>27</v>
      </c>
      <c r="I34" s="124">
        <v>27</v>
      </c>
      <c r="J34" s="127">
        <v>689</v>
      </c>
      <c r="K34" s="125">
        <v>3694</v>
      </c>
      <c r="L34" s="133">
        <v>30</v>
      </c>
      <c r="M34" s="178"/>
    </row>
    <row r="35" spans="1:13" ht="21.75" customHeight="1">
      <c r="A35" s="119">
        <v>621</v>
      </c>
      <c r="B35" s="125">
        <v>604</v>
      </c>
      <c r="C35" s="126">
        <v>23</v>
      </c>
      <c r="D35" s="127">
        <v>645</v>
      </c>
      <c r="E35" s="125">
        <v>72</v>
      </c>
      <c r="F35" s="126">
        <v>24</v>
      </c>
      <c r="G35" s="127">
        <v>670</v>
      </c>
      <c r="H35" s="125">
        <v>-9906</v>
      </c>
      <c r="I35" s="124">
        <v>27</v>
      </c>
      <c r="J35" s="127">
        <v>690</v>
      </c>
      <c r="K35" s="125">
        <v>886</v>
      </c>
      <c r="L35" s="124">
        <v>28</v>
      </c>
      <c r="M35" s="178"/>
    </row>
    <row r="36" spans="1:13" ht="21.75" customHeight="1">
      <c r="A36" s="119">
        <v>622</v>
      </c>
      <c r="B36" s="125">
        <v>4735</v>
      </c>
      <c r="C36" s="126">
        <v>25</v>
      </c>
      <c r="D36" s="127">
        <v>651</v>
      </c>
      <c r="E36" s="125">
        <v>3476</v>
      </c>
      <c r="F36" s="126">
        <v>25</v>
      </c>
      <c r="G36" s="127">
        <v>671</v>
      </c>
      <c r="H36" s="125">
        <v>0</v>
      </c>
      <c r="I36" s="124">
        <v>23</v>
      </c>
      <c r="J36" s="127">
        <v>691</v>
      </c>
      <c r="K36" s="125">
        <v>3674</v>
      </c>
      <c r="L36" s="133">
        <v>26</v>
      </c>
      <c r="M36" s="178"/>
    </row>
    <row r="37" spans="1:13" ht="21.75" customHeight="1">
      <c r="A37" s="119">
        <v>623</v>
      </c>
      <c r="B37" s="125">
        <v>1487</v>
      </c>
      <c r="C37" s="126">
        <v>27</v>
      </c>
      <c r="D37" s="127">
        <v>652</v>
      </c>
      <c r="E37" s="125">
        <v>2322</v>
      </c>
      <c r="F37" s="126">
        <v>23</v>
      </c>
      <c r="G37" s="127">
        <v>672</v>
      </c>
      <c r="H37" s="125">
        <v>4216</v>
      </c>
      <c r="I37" s="124">
        <v>22</v>
      </c>
      <c r="J37" s="127">
        <v>692</v>
      </c>
      <c r="K37" s="125">
        <v>2312</v>
      </c>
      <c r="L37" s="133">
        <v>27</v>
      </c>
      <c r="M37" s="178"/>
    </row>
    <row r="38" spans="1:13" ht="21.75" customHeight="1">
      <c r="A38" s="122">
        <v>624</v>
      </c>
      <c r="B38" s="125">
        <v>1879</v>
      </c>
      <c r="C38" s="126">
        <v>22</v>
      </c>
      <c r="D38" s="128">
        <v>653</v>
      </c>
      <c r="E38" s="125">
        <v>0</v>
      </c>
      <c r="F38" s="126">
        <v>19</v>
      </c>
      <c r="G38" s="127">
        <v>673</v>
      </c>
      <c r="H38" s="125">
        <v>2358</v>
      </c>
      <c r="I38" s="124">
        <v>24</v>
      </c>
      <c r="J38" s="127">
        <v>693</v>
      </c>
      <c r="K38" s="125">
        <v>1584</v>
      </c>
      <c r="L38" s="133">
        <v>27</v>
      </c>
      <c r="M38" s="178"/>
    </row>
    <row r="39" spans="1:13" ht="21.75" customHeight="1">
      <c r="A39" s="122" t="s">
        <v>80</v>
      </c>
      <c r="B39" s="125">
        <v>0</v>
      </c>
      <c r="C39" s="126">
        <v>25</v>
      </c>
      <c r="D39" s="127">
        <v>654</v>
      </c>
      <c r="E39" s="125">
        <v>118</v>
      </c>
      <c r="F39" s="126">
        <v>20</v>
      </c>
      <c r="G39" s="127">
        <v>674</v>
      </c>
      <c r="H39" s="125">
        <v>28</v>
      </c>
      <c r="I39" s="124">
        <v>21</v>
      </c>
      <c r="J39" s="127">
        <v>694</v>
      </c>
      <c r="K39" s="125">
        <v>1759</v>
      </c>
      <c r="L39" s="133">
        <v>28</v>
      </c>
      <c r="M39" s="178"/>
    </row>
    <row r="40" spans="1:13" ht="21.75" customHeight="1">
      <c r="A40" s="122" t="s">
        <v>26</v>
      </c>
      <c r="B40" s="125">
        <v>0</v>
      </c>
      <c r="C40" s="126">
        <v>31</v>
      </c>
      <c r="D40" s="128">
        <v>655</v>
      </c>
      <c r="E40" s="125">
        <v>1651</v>
      </c>
      <c r="F40" s="126">
        <v>23</v>
      </c>
      <c r="G40" s="127">
        <v>675</v>
      </c>
      <c r="H40" s="125">
        <v>81.36</v>
      </c>
      <c r="I40" s="133">
        <v>25</v>
      </c>
      <c r="J40" s="127">
        <v>695</v>
      </c>
      <c r="K40" s="125">
        <v>5455</v>
      </c>
      <c r="L40" s="133">
        <v>25</v>
      </c>
      <c r="M40" s="178"/>
    </row>
    <row r="41" spans="1:13" ht="21.75" customHeight="1">
      <c r="A41" s="122" t="s">
        <v>27</v>
      </c>
      <c r="B41" s="125">
        <v>5502</v>
      </c>
      <c r="C41" s="126">
        <v>20</v>
      </c>
      <c r="D41" s="127">
        <v>656</v>
      </c>
      <c r="E41" s="125">
        <v>324</v>
      </c>
      <c r="F41" s="126">
        <v>20</v>
      </c>
      <c r="G41" s="127">
        <v>676</v>
      </c>
      <c r="H41" s="125">
        <v>5.15</v>
      </c>
      <c r="I41" s="133">
        <v>25</v>
      </c>
      <c r="J41" s="127">
        <v>696</v>
      </c>
      <c r="K41" s="125">
        <v>9630</v>
      </c>
      <c r="L41" s="133">
        <v>24</v>
      </c>
      <c r="M41" s="178"/>
    </row>
    <row r="42" spans="1:13" ht="21.75" customHeight="1">
      <c r="A42" s="122" t="s">
        <v>28</v>
      </c>
      <c r="B42" s="125">
        <v>7082</v>
      </c>
      <c r="C42" s="126">
        <v>2</v>
      </c>
      <c r="D42" s="127">
        <v>657</v>
      </c>
      <c r="E42" s="125">
        <v>3218</v>
      </c>
      <c r="F42" s="126">
        <v>24</v>
      </c>
      <c r="G42" s="127">
        <v>677</v>
      </c>
      <c r="H42" s="125">
        <v>90.58</v>
      </c>
      <c r="I42" s="133">
        <v>25</v>
      </c>
      <c r="J42" s="127">
        <v>697</v>
      </c>
      <c r="K42" s="125">
        <v>10720</v>
      </c>
      <c r="L42" s="133">
        <v>26</v>
      </c>
      <c r="M42" s="178"/>
    </row>
    <row r="43" spans="1:13" ht="21.75" customHeight="1">
      <c r="A43" s="122" t="s">
        <v>29</v>
      </c>
      <c r="B43" s="125">
        <v>7043</v>
      </c>
      <c r="C43" s="126">
        <v>25</v>
      </c>
      <c r="D43" s="128">
        <v>658</v>
      </c>
      <c r="E43" s="125">
        <v>6828</v>
      </c>
      <c r="F43" s="126">
        <v>23</v>
      </c>
      <c r="G43" s="127">
        <v>678</v>
      </c>
      <c r="H43" s="125">
        <v>95.51</v>
      </c>
      <c r="I43" s="133">
        <v>25</v>
      </c>
      <c r="J43" s="127">
        <v>698</v>
      </c>
      <c r="K43" s="125">
        <v>2672</v>
      </c>
      <c r="L43" s="133">
        <v>25</v>
      </c>
      <c r="M43" s="178"/>
    </row>
    <row r="44" spans="1:13" ht="21.75" customHeight="1">
      <c r="A44" s="122" t="s">
        <v>30</v>
      </c>
      <c r="B44" s="125">
        <v>7068</v>
      </c>
      <c r="C44" s="126">
        <v>27</v>
      </c>
      <c r="D44" s="127">
        <v>659</v>
      </c>
      <c r="E44" s="125">
        <v>1349</v>
      </c>
      <c r="F44" s="126">
        <v>21</v>
      </c>
      <c r="G44" s="127">
        <v>680</v>
      </c>
      <c r="H44" s="125">
        <v>3990</v>
      </c>
      <c r="I44" s="133">
        <v>25</v>
      </c>
      <c r="J44" s="127">
        <v>699</v>
      </c>
      <c r="K44" s="125">
        <v>4088</v>
      </c>
      <c r="L44" s="133">
        <v>26</v>
      </c>
      <c r="M44" s="178"/>
    </row>
    <row r="45" spans="1:13" ht="21.75" customHeight="1" thickBot="1">
      <c r="A45" s="129" t="s">
        <v>81</v>
      </c>
      <c r="B45" s="130">
        <v>3980</v>
      </c>
      <c r="C45" s="130">
        <v>23</v>
      </c>
      <c r="D45" s="131">
        <v>660</v>
      </c>
      <c r="E45" s="130">
        <v>6052</v>
      </c>
      <c r="F45" s="132">
        <v>25</v>
      </c>
      <c r="G45" s="131"/>
      <c r="H45" s="130"/>
      <c r="I45" s="132"/>
      <c r="J45" s="131"/>
      <c r="K45" s="130"/>
      <c r="L45" s="132"/>
      <c r="M45" s="179"/>
    </row>
    <row r="46" spans="1:13" ht="15.75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 xr:uid="{00000000-0002-0000-0000-000000000000}">
      <formula1>B4&lt;=9100</formula1>
    </dataValidation>
    <dataValidation type="custom" errorStyle="warning" allowBlank="1" showInputMessage="1" showErrorMessage="1" error="***你在睡喔,醒醒好嗎" sqref="B8:B11 B31:B34 H17:H20 H40:H43" xr:uid="{00000000-0002-0000-0000-000001000000}">
      <formula1>B8&lt;=100</formula1>
    </dataValidation>
    <dataValidation type="custom" errorStyle="warning" allowBlank="1" showInputMessage="1" showErrorMessage="1" error="***你在睡喔,醒醒好嗎" sqref="B16:B22 H3:H16 E20:E22 E3:E4 B39:B45 H26:H39 E43:E45 E26:E27" xr:uid="{00000000-0002-0000-0000-000002000000}">
      <formula1>B3&lt;=7400</formula1>
    </dataValidation>
    <dataValidation type="custom" errorStyle="warning" allowBlank="1" showInputMessage="1" showErrorMessage="1" error="***你在睡喔,醒醒好嗎" sqref="E14:E19 E37:E42" xr:uid="{00000000-0002-0000-0000-000003000000}">
      <formula1>E14&lt;=5500</formula1>
    </dataValidation>
    <dataValidation type="custom" errorStyle="warning" allowBlank="1" showInputMessage="1" showErrorMessage="1" error="***你在睡喔,醒醒好嗎" sqref="H21 K12 H44 K35" xr:uid="{00000000-0002-0000-0000-000004000000}">
      <formula1>H12&lt;=4100</formula1>
    </dataValidation>
    <dataValidation type="custom" errorStyle="warning" allowBlank="1" showInputMessage="1" showErrorMessage="1" error="***你在睡喔,醒醒好嗎" sqref="E5:E6 B26 B12:B13 B3 K14:K17 B5 B28 B35:B36 E28:E29 K37:K40" xr:uid="{00000000-0002-0000-0000-000005000000}">
      <formula1>B3&lt;=7000</formula1>
    </dataValidation>
    <dataValidation type="custom" errorStyle="warning" allowBlank="1" showInputMessage="1" showErrorMessage="1" error="***你在睡喔,醒醒好嗎" sqref="K18:K21 K41:K44" xr:uid="{00000000-0002-0000-0000-000006000000}">
      <formula1>K18&lt;=12000</formula1>
    </dataValidation>
    <dataValidation type="custom" errorStyle="warning" allowBlank="1" showInputMessage="1" showErrorMessage="1" error="***你在睡喔,醒醒好嗎" sqref="B14 E7 K3:K11 E9:E13 K13 B37 E30 K26:K34 E32:E36 K36" xr:uid="{00000000-0002-0000-0000-000007000000}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52388</xdr:colOff>
                <xdr:row>15</xdr:row>
                <xdr:rowOff>200025</xdr:rowOff>
              </from>
              <to>
                <xdr:col>15</xdr:col>
                <xdr:colOff>433388</xdr:colOff>
                <xdr:row>22</xdr:row>
                <xdr:rowOff>395288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14288</xdr:colOff>
                <xdr:row>25</xdr:row>
                <xdr:rowOff>61913</xdr:rowOff>
              </from>
              <to>
                <xdr:col>15</xdr:col>
                <xdr:colOff>457200</xdr:colOff>
                <xdr:row>31</xdr:row>
                <xdr:rowOff>261938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149999999999999"/>
  <cols>
    <col min="1" max="1" width="9.4648437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632812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6328125" style="6" bestFit="1" customWidth="1"/>
    <col min="24" max="24" width="15.46484375" style="6" bestFit="1" customWidth="1"/>
    <col min="25" max="16384" width="9" style="6"/>
  </cols>
  <sheetData>
    <row r="1" spans="1:24" ht="49.25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6.8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6.8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6.8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6.8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6.8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5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7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625">
    <pageSetUpPr fitToPage="1"/>
  </sheetPr>
  <dimension ref="A1:CU223"/>
  <sheetViews>
    <sheetView view="pageBreakPreview" topLeftCell="A19" zoomScale="80" zoomScaleNormal="100" zoomScaleSheetLayoutView="80" workbookViewId="0">
      <selection activeCell="I8" sqref="I8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45777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3" t="s" ph="1">
        <v>178</v>
      </c>
      <c r="D6" s="71">
        <v>4177</v>
      </c>
      <c r="E6" s="71">
        <v>4260</v>
      </c>
      <c r="F6" s="71">
        <v>4632</v>
      </c>
      <c r="G6" s="71">
        <v>2158</v>
      </c>
      <c r="H6" s="71">
        <v>8077</v>
      </c>
      <c r="I6" s="71">
        <v>5.1100000000000003</v>
      </c>
      <c r="J6" s="71">
        <v>7.86</v>
      </c>
      <c r="K6" s="71">
        <v>7.42</v>
      </c>
      <c r="L6" s="71">
        <v>35.1</v>
      </c>
      <c r="M6" s="71">
        <v>1382</v>
      </c>
      <c r="N6" s="71">
        <v>6733</v>
      </c>
      <c r="O6" s="71">
        <v>2498</v>
      </c>
      <c r="P6" s="71">
        <v>822</v>
      </c>
      <c r="Q6" s="71">
        <v>0</v>
      </c>
      <c r="R6" s="71">
        <v>0</v>
      </c>
      <c r="S6" s="71">
        <v>0</v>
      </c>
      <c r="T6" s="71">
        <v>7138</v>
      </c>
      <c r="U6" s="71">
        <v>0</v>
      </c>
      <c r="V6" s="71">
        <v>6370</v>
      </c>
      <c r="W6" s="71">
        <v>0</v>
      </c>
      <c r="X6" s="71">
        <v>0</v>
      </c>
      <c r="Y6" s="71">
        <v>0</v>
      </c>
      <c r="Z6" s="71">
        <v>6340</v>
      </c>
      <c r="AA6" s="71">
        <v>2166</v>
      </c>
      <c r="AB6" s="71">
        <v>3519</v>
      </c>
      <c r="AC6" s="71">
        <v>5875</v>
      </c>
      <c r="AD6" s="71">
        <v>3824</v>
      </c>
      <c r="AE6" s="71">
        <v>4361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131324.44981077002</v>
      </c>
      <c r="E7" s="73" ph="1">
        <f>E6*51.53*LOOKUP(E8,密度!$A$2:$A$50,密度!$B$2:$B$50)</f>
        <v>171728.77494</v>
      </c>
      <c r="F7" s="73" ph="1">
        <f>F6*33.183*LOOKUP(F8,密度!$A$2:$A$50,密度!$C$2:$C$50)</f>
        <v>170549.57669759999</v>
      </c>
      <c r="G7" s="73" ph="1">
        <f xml:space="preserve"> (G6+2)*51.53*LOOKUP(G8,密度!$A$2:$A$50,密度!$B$2:$B$50)</f>
        <v>86973.570720000003</v>
      </c>
      <c r="H7" s="73" ph="1">
        <f>(H6)*51.53*LOOKUP(H8,密度!$A$2:$A$50,密度!$B$2:$B$50)</f>
        <v>326681.51006900001</v>
      </c>
      <c r="I7" s="73" ph="1">
        <f>I6*290.8*1.0267</f>
        <v>1525.6638796</v>
      </c>
      <c r="J7" s="73" ph="1">
        <f>J6*290.8*0.7892</f>
        <v>1803.8649696000002</v>
      </c>
      <c r="K7" s="73" ph="1">
        <f>K6*290.8*1.1126</f>
        <v>2400.6970735999998</v>
      </c>
      <c r="L7" s="73" ph="1">
        <f>L6*290.8*0.777</f>
        <v>7930.9011600000003</v>
      </c>
      <c r="M7" s="73" ph="1">
        <f>M6*33.183*LOOKUP(M8,密度!$A$2:$A$50,密度!$D$2:$D$50)</f>
        <v>47042.065774800001</v>
      </c>
      <c r="N7" s="73" ph="1">
        <f>N6*33.183*LOOKUP(N8,密度!$A$2:$A$50,密度!$E$2:$E$50)</f>
        <v>175251.5414316</v>
      </c>
      <c r="O7" s="73" ph="1">
        <f>O6*20.428*LOOKUP(O8,密度!$A$2:$A$50,密度!$C$2:$C$50)</f>
        <v>56468.850750400001</v>
      </c>
      <c r="P7" s="73" ph="1">
        <f>P6*51.53*LOOKUP(P8,密度!$A$2:$A$50,密度!$B$2:$B$50)</f>
        <v>33212.641206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47579.693792399994</v>
      </c>
      <c r="U7" s="73" ph="1">
        <f>U6*1.5*1.5*3.1416*LOOKUP(U8,密度!$A$2:$A$50,密度!$L$2:$L$50)</f>
        <v>0</v>
      </c>
      <c r="V7" s="73" ph="1">
        <f>V6*1.5*1.5*3.1416*LOOKUP(V8,密度!$A$2:$A$50,密度!$L$2:$L$50)</f>
        <v>42055.201187999999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197336.64635999998</v>
      </c>
      <c r="AA7" s="73" ph="1">
        <f>AA6*33.183*LOOKUP(AA8,密度!$A$2:$A$50,密度!$D$2:$D$50)</f>
        <v>73858.110832799997</v>
      </c>
      <c r="AB7" s="73" ph="1">
        <f>AB6*20.428*LOOKUP(AB8,密度!$A$2:$A$50,密度!$D$2:$D$50)</f>
        <v>74509.975817999992</v>
      </c>
      <c r="AC7" s="73" ph="1">
        <f>AC6*51.53*LOOKUP(AC8,密度!$A$2:$A$50,密度!$Q$2:$Q$50)</f>
        <v>287507.96348750003</v>
      </c>
      <c r="AD7" s="73" ph="1">
        <f>AD6*20.428*LOOKUP(AD8,密度!$A$2:$A$50,密度!$V$2:$V$50)</f>
        <v>74804.52510720001</v>
      </c>
      <c r="AE7" s="73" ph="1">
        <f>AE6*20.428</f>
        <v>89086.508000000002</v>
      </c>
    </row>
    <row r="8" spans="1:99" ph="1">
      <c r="B8" s="196" ph="1"/>
      <c r="C8" s="68" t="s" ph="1">
        <v>180</v>
      </c>
      <c r="D8" s="74">
        <v>24</v>
      </c>
      <c r="E8" s="74">
        <v>22</v>
      </c>
      <c r="F8" s="74">
        <v>24</v>
      </c>
      <c r="G8" s="74">
        <v>23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24</v>
      </c>
      <c r="O8" s="74">
        <v>28</v>
      </c>
      <c r="P8" s="74">
        <v>20</v>
      </c>
      <c r="Q8" s="74">
        <v>21</v>
      </c>
      <c r="R8" s="74">
        <v>29</v>
      </c>
      <c r="S8" s="74">
        <v>19</v>
      </c>
      <c r="T8" s="74">
        <v>19</v>
      </c>
      <c r="U8" s="74">
        <v>22</v>
      </c>
      <c r="V8" s="74">
        <v>28</v>
      </c>
      <c r="W8" s="74">
        <v>23</v>
      </c>
      <c r="X8" s="74">
        <v>14</v>
      </c>
      <c r="Y8" s="74">
        <v>23</v>
      </c>
      <c r="Z8" s="74">
        <v>24</v>
      </c>
      <c r="AA8" s="74">
        <v>24</v>
      </c>
      <c r="AB8" s="74">
        <v>14</v>
      </c>
      <c r="AC8" s="74">
        <v>21</v>
      </c>
      <c r="AD8" s="74">
        <v>27</v>
      </c>
      <c r="AE8" s="74">
        <v>28</v>
      </c>
    </row>
    <row r="9" spans="1:99" ph="1">
      <c r="B9" s="196" ph="1">
        <v>0.66666666666666663</v>
      </c>
      <c r="C9" s="143" t="s" ph="1">
        <v>181</v>
      </c>
      <c r="D9" s="71">
        <v>4179</v>
      </c>
      <c r="E9" s="71">
        <v>4250</v>
      </c>
      <c r="F9" s="71">
        <v>4633</v>
      </c>
      <c r="G9" s="71">
        <v>4450</v>
      </c>
      <c r="H9" s="71">
        <v>8092</v>
      </c>
      <c r="I9" s="71">
        <v>0</v>
      </c>
      <c r="J9" s="71">
        <v>7.85</v>
      </c>
      <c r="K9" s="71">
        <v>7.46</v>
      </c>
      <c r="L9" s="71">
        <v>13.39</v>
      </c>
      <c r="M9" s="71">
        <v>1382</v>
      </c>
      <c r="N9" s="71">
        <v>6474</v>
      </c>
      <c r="O9" s="71">
        <v>1578</v>
      </c>
      <c r="P9" s="71">
        <v>973</v>
      </c>
      <c r="Q9" s="71">
        <v>0</v>
      </c>
      <c r="R9" s="71">
        <v>0</v>
      </c>
      <c r="S9" s="71">
        <v>0</v>
      </c>
      <c r="T9" s="71">
        <v>5075</v>
      </c>
      <c r="U9" s="71">
        <v>6378</v>
      </c>
      <c r="V9" s="71">
        <v>4640</v>
      </c>
      <c r="W9" s="71">
        <v>2445</v>
      </c>
      <c r="X9" s="71">
        <v>0</v>
      </c>
      <c r="Y9" s="71">
        <v>0</v>
      </c>
      <c r="Z9" s="71">
        <v>3282</v>
      </c>
      <c r="AA9" s="71">
        <v>2170</v>
      </c>
      <c r="AB9" s="71">
        <v>3522</v>
      </c>
      <c r="AC9" s="71">
        <v>5879</v>
      </c>
      <c r="AD9" s="71">
        <v>4429</v>
      </c>
      <c r="AE9" s="71">
        <v>4528</v>
      </c>
    </row>
    <row r="10" spans="1:99" s="72" customFormat="1" ht="21.75" ph="1">
      <c r="B10" s="196" ph="1"/>
      <c r="C10" s="143" t="s" ph="1">
        <v>179</v>
      </c>
      <c r="D10" s="73" ph="1">
        <f>D9*33.183*LOOKUP(D11,密度!$A$2:$A$50,密度!$Q$2:$Q$50)</f>
        <v>131089.18532724</v>
      </c>
      <c r="E10" s="73" ph="1">
        <f>E9*51.53*LOOKUP(E11,密度!$A$2:$A$50,密度!$B$2:$B$50)</f>
        <v>170362.04475</v>
      </c>
      <c r="F10" s="73" ph="1">
        <f>F9*33.183*LOOKUP(F11,密度!$A$2:$A$50,密度!$C$2:$C$50)</f>
        <v>170478.78076710002</v>
      </c>
      <c r="G10" s="73" ph="1">
        <f xml:space="preserve"> (G9+2)*51.53*LOOKUP(G11,密度!$A$2:$A$50,密度!$B$2:$B$50)</f>
        <v>178642.78177199999</v>
      </c>
      <c r="H10" s="73" ph="1">
        <f>(H9)*51.53*LOOKUP(H11,密度!$A$2:$A$50,密度!$B$2:$B$50)</f>
        <v>324702.91781199997</v>
      </c>
      <c r="I10" s="73" ph="1">
        <f>I9*290.8*1.0267</f>
        <v>0</v>
      </c>
      <c r="J10" s="73" ph="1">
        <f>J9*290.8*0.7892</f>
        <v>1801.5699760000002</v>
      </c>
      <c r="K10" s="73" ph="1">
        <f>K9*290.8*1.1126</f>
        <v>2413.6388367999998</v>
      </c>
      <c r="L10" s="73" ph="1">
        <f>L9*290.8*0.777</f>
        <v>3025.4919240000004</v>
      </c>
      <c r="M10" s="73" ph="1">
        <f>M9*33.183*LOOKUP(M11,密度!$A$2:$A$50,密度!$D$2:$D$50)</f>
        <v>46954.933853400005</v>
      </c>
      <c r="N10" s="73" ph="1">
        <f>N9*33.183*LOOKUP(N11,密度!$A$2:$A$50,密度!$E$2:$E$50)</f>
        <v>167779.68550200001</v>
      </c>
      <c r="O10" s="73" ph="1">
        <f>O9*20.428*LOOKUP(O11,密度!$A$2:$A$50,密度!$C$2:$C$50)</f>
        <v>35555.628552000002</v>
      </c>
      <c r="P10" s="73" ph="1">
        <f>P9*51.53*LOOKUP(P11,密度!$A$2:$A$50,密度!$B$2:$B$50)</f>
        <v>39088.122724000001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33756.629444999999</v>
      </c>
      <c r="U10" s="73" ph="1">
        <f>U9*1.5*1.5*3.1416*LOOKUP(U11,密度!$A$2:$A$50,密度!$L$2:$L$50)</f>
        <v>42243.268359600006</v>
      </c>
      <c r="V10" s="73" ph="1">
        <f>V9*1.5*1.5*3.1416*LOOKUP(V11,密度!$A$2:$A$50,密度!$L$2:$L$50)</f>
        <v>30633.615935999998</v>
      </c>
      <c r="W10" s="73" ph="1">
        <f>W9*1.5*1.5*3.1416*LOOKUP(W11,密度!$A$2:$A$50,密度!$L$2:$L$50)</f>
        <v>16193.915198999999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102045.489822</v>
      </c>
      <c r="AA10" s="73" ph="1">
        <f>AA9*33.183*LOOKUP(AA11,密度!$A$2:$A$50,密度!$D$2:$D$50)</f>
        <v>73461.653621999998</v>
      </c>
      <c r="AB10" s="73" ph="1">
        <f>AB9*20.428*LOOKUP(AB11,密度!$A$2:$A$50,密度!$D$2:$D$50)</f>
        <v>74386.433402399998</v>
      </c>
      <c r="AC10" s="73" ph="1">
        <f>AC9*51.53*LOOKUP(AC11,密度!$A$2:$A$50,密度!$Q$2:$Q$50)</f>
        <v>287031.17597889999</v>
      </c>
      <c r="AD10" s="73" ph="1">
        <f>AD9*20.428*LOOKUP(AD11,密度!$A$2:$A$50,密度!$V$2:$V$50)</f>
        <v>86639.446051200008</v>
      </c>
      <c r="AE10" s="73" ph="1">
        <f>AE9*20.428</f>
        <v>92497.983999999997</v>
      </c>
    </row>
    <row r="11" spans="1:99" ph="1">
      <c r="A11" s="64" t="s" ph="1">
        <v>163</v>
      </c>
      <c r="B11" s="196" ph="1"/>
      <c r="C11" s="143" t="s" ph="1">
        <v>180</v>
      </c>
      <c r="D11" s="74">
        <v>27</v>
      </c>
      <c r="E11" s="74">
        <v>27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32</v>
      </c>
      <c r="P11" s="74">
        <v>25</v>
      </c>
      <c r="Q11" s="74">
        <v>29</v>
      </c>
      <c r="R11" s="74">
        <v>33</v>
      </c>
      <c r="S11" s="74">
        <v>20</v>
      </c>
      <c r="T11" s="74">
        <v>21</v>
      </c>
      <c r="U11" s="74">
        <v>25</v>
      </c>
      <c r="V11" s="74">
        <v>28</v>
      </c>
      <c r="W11" s="74">
        <v>25</v>
      </c>
      <c r="X11" s="74">
        <v>20</v>
      </c>
      <c r="Y11" s="74">
        <v>28</v>
      </c>
      <c r="Z11" s="74">
        <v>25</v>
      </c>
      <c r="AA11" s="74">
        <v>32</v>
      </c>
      <c r="AB11" s="74">
        <v>17</v>
      </c>
      <c r="AC11" s="74">
        <v>24</v>
      </c>
      <c r="AD11" s="74">
        <v>36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3" t="s" ph="1">
        <v>178</v>
      </c>
      <c r="D15" s="78">
        <v>882</v>
      </c>
      <c r="E15" s="78">
        <v>5257</v>
      </c>
      <c r="F15" s="78">
        <v>2903</v>
      </c>
      <c r="G15" s="78">
        <v>3722</v>
      </c>
      <c r="H15" s="78">
        <v>4520</v>
      </c>
      <c r="I15" s="78">
        <v>3179</v>
      </c>
      <c r="J15" s="78">
        <v>129</v>
      </c>
      <c r="K15" s="78">
        <v>710</v>
      </c>
      <c r="L15" s="78">
        <v>4370</v>
      </c>
      <c r="M15" s="78">
        <v>4328</v>
      </c>
      <c r="N15" s="78">
        <v>16</v>
      </c>
      <c r="O15" s="78">
        <v>0</v>
      </c>
      <c r="P15" s="78">
        <v>6930</v>
      </c>
      <c r="Q15" s="78">
        <v>32</v>
      </c>
      <c r="R15" s="78">
        <v>3506</v>
      </c>
      <c r="S15" s="78">
        <v>6854</v>
      </c>
      <c r="T15" s="78">
        <v>2101</v>
      </c>
      <c r="U15" s="78">
        <v>4845</v>
      </c>
      <c r="V15" s="78">
        <v>5446</v>
      </c>
      <c r="W15" s="71">
        <v>3762</v>
      </c>
      <c r="X15" s="78">
        <v>151</v>
      </c>
      <c r="Y15" s="106">
        <v>-9906</v>
      </c>
      <c r="Z15" s="78">
        <v>0</v>
      </c>
      <c r="AA15" s="78">
        <v>4226</v>
      </c>
      <c r="AB15" s="78" ph="1">
        <v>6907</v>
      </c>
      <c r="AC15" s="78" ph="1">
        <v>986</v>
      </c>
      <c r="AD15" s="78">
        <v>82.33</v>
      </c>
      <c r="AE15" s="78">
        <v>5.32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3" t="s" ph="1">
        <v>179</v>
      </c>
      <c r="D16" s="73" ph="1">
        <f>D15*7.0686*LOOKUP(D17,密度!$A$2:$A$50,密度!$L$2:$L$50)</f>
        <v>5847.9658775999997</v>
      </c>
      <c r="E16" s="73" ph="1">
        <f>E15*7.0686*LOOKUP(E17,密度!$A$2:$A$50,密度!$L$2:$L$50)</f>
        <v>34855.733127599997</v>
      </c>
      <c r="F16" s="73" ph="1">
        <f>F15*9.0746*LOOKUP(F17,密度!$A$2:$A$50,密度!$L$2:$L$50)</f>
        <v>24604.8885892</v>
      </c>
      <c r="G16" s="73" ph="1">
        <f>G15*9.0746*LOOKUP(G17,密度!$A$2:$A$50,密度!$B$2:$B$50)</f>
        <v>26361.903566600002</v>
      </c>
      <c r="H16" s="73" ph="1">
        <f>H15*9.0746*LOOKUP(H17,密度!$A$2:$A$50,密度!$L$2:$L$50)</f>
        <v>38556.160479999999</v>
      </c>
      <c r="I16" s="73" ph="1">
        <f>I15*9.0746*LOOKUP(I17,密度!$A$2:$A$50,密度!$U$2:$U$50)</f>
        <v>29598.205388400002</v>
      </c>
      <c r="J16" s="73" ph="1">
        <f>J15*9.0746*LOOKUP(J17,密度!$A$2:$A$50,密度!$L$2:$L$50)</f>
        <v>1098.0447491999998</v>
      </c>
      <c r="K16" s="73" ph="1">
        <f>K15*9.0746*LOOKUP(K17,密度!$A$2:$A$50,密度!$C$2:$C$50)</f>
        <v>7144.6049974000007</v>
      </c>
      <c r="L16" s="73" ph="1">
        <f>L15*9.0746*LOOKUP(L17,密度!$A$2:$A$50,密度!$E$2:$E$50)</f>
        <v>31058.580766400002</v>
      </c>
      <c r="M16" s="73" ph="1">
        <f>M15*9.0746*LOOKUP(M17,密度!$A$2:$A$50,密度!$M$2:$M$50)</f>
        <v>34369.437686880003</v>
      </c>
      <c r="N16" s="73" ph="1">
        <f>N15*9.0746*LOOKUP(N17,密度!$A$2:$A$50,密度!$M$2:$M$50)</f>
        <v>127.63969376</v>
      </c>
      <c r="O16" s="73" ph="1">
        <f>O15*9.0746*LOOKUP(O17,密度!$A$2:$A$50,密度!$G$2:$G$50)</f>
        <v>0</v>
      </c>
      <c r="P16" s="73" ph="1">
        <f ca="1">P15*9.0746*LOOKUP(P17,密度!$A$2:$A$51,密度!$Q$2:$Q$50)</f>
        <v>59537.617551720003</v>
      </c>
      <c r="Q16" s="73" ph="1">
        <f>Q15*9.0746*LOOKUP(Q17,密度!$A$2:$A$50,密度!$Q$2:$Q$50)</f>
        <v>275.60358764800003</v>
      </c>
      <c r="R16" s="73" ph="1">
        <f>MAX(R15*9.0746*LOOKUP(R17,密度!$A$2:$A$50,密度!$B$2:$B$50),0)</f>
        <v>24803.40090896</v>
      </c>
      <c r="S16" s="73" ph="1">
        <f>S15*9.0746*LOOKUP(S17,密度!$A$2:$A$50,密度!$Q$2:$Q$50)</f>
        <v>58884.679754616001</v>
      </c>
      <c r="T16" s="73" ph="1">
        <f>T15*9.0746*LOOKUP(T17,密度!$A$2:$A$50,密度!$O$2:$O$50)</f>
        <v>17731.133178</v>
      </c>
      <c r="U16" s="73" ph="1">
        <f>U15*9.0746*LOOKUP(U17,密度!$A$2:$A$50,密度!$H$2:$H$50)</f>
        <v>40260.066360899997</v>
      </c>
      <c r="V16" s="73" ph="1">
        <f>MAX(5600*LOOKUP(V17,密度!$A$2:$A$50,密度!$Q$2:$Q$50)+V15*9.0476*LOOKUP(V17,密度!$A$2:$A$50,密度!$Q$2:$Q$50),0)</f>
        <v>51872.761405472003</v>
      </c>
      <c r="W16" s="73" ph="1">
        <f>MAX(5600*LOOKUP(W17,密度!$A$2:$A$50,密度!$Q$2:$Q$50)+W15*9.0476*LOOKUP(W17,密度!$A$2:$A$50,密度!$Q$2:$Q$50),0)</f>
        <v>37554.935849863999</v>
      </c>
      <c r="X16" s="73" ph="1">
        <f>MAX(5600*LOOKUP(X17,密度!$A$2:$A$50,密度!$I$2:$I$50)+X15*9.0476*LOOKUP(X17,密度!$A$2:$A$50,密度!$I$2:$I$50),0)</f>
        <v>7282.4525170400011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30000.625785079999</v>
      </c>
      <c r="AB16" s="73" ph="1">
        <f>AB15*9.0746*LOOKUP(AB17,密度!$A$2:$A$50,密度!$L$2:$L$50)</f>
        <v>58854.888205800002</v>
      </c>
      <c r="AC16" s="73" ph="1">
        <f>AC15*9.0746*LOOKUP(AC17,密度!$A$2:$A$50,密度!$L$2:$L$50)</f>
        <v>8428.5973751999991</v>
      </c>
      <c r="AD16" s="73" ph="1">
        <f>AD15*268.68*LOOKUP(AD17,密度!$A$2:$A$50,密度!B2:B50)+IF(AD15&lt;=0,0,1566*LOOKUP(AD17,密度!$A$2:$A$50,密度!B2:B50))</f>
        <v>18465.936462239999</v>
      </c>
      <c r="AE16" s="73" ph="1">
        <f>AE15*268.68*LOOKUP(AE17,密度!$A$2:$A$50,密度!B2:B50)+IF(AE15&lt;=0,0,1566*LOOKUP(AE17,密度!$A$2:$A$50,密度!B2:B50))</f>
        <v>2335.1963769599997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24</v>
      </c>
      <c r="E17" s="74">
        <v>24</v>
      </c>
      <c r="F17" s="74">
        <v>28</v>
      </c>
      <c r="G17" s="74">
        <v>24</v>
      </c>
      <c r="H17" s="74">
        <v>22</v>
      </c>
      <c r="I17" s="74">
        <v>24</v>
      </c>
      <c r="J17" s="74">
        <v>24</v>
      </c>
      <c r="K17" s="74">
        <v>25</v>
      </c>
      <c r="L17" s="74">
        <v>25</v>
      </c>
      <c r="M17" s="74">
        <v>25</v>
      </c>
      <c r="N17" s="74">
        <v>21</v>
      </c>
      <c r="O17" s="74">
        <v>24</v>
      </c>
      <c r="P17" s="74">
        <v>25</v>
      </c>
      <c r="Q17" s="74">
        <v>22</v>
      </c>
      <c r="R17" s="74">
        <v>25</v>
      </c>
      <c r="S17" s="74">
        <v>25</v>
      </c>
      <c r="T17" s="74">
        <v>23</v>
      </c>
      <c r="U17" s="74">
        <v>24</v>
      </c>
      <c r="V17" s="74">
        <v>27</v>
      </c>
      <c r="W17" s="74">
        <v>24</v>
      </c>
      <c r="X17" s="74">
        <v>22</v>
      </c>
      <c r="Y17" s="108">
        <v>22</v>
      </c>
      <c r="Z17" s="74">
        <v>22</v>
      </c>
      <c r="AA17" s="74">
        <v>22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1846</v>
      </c>
      <c r="E18" s="71">
        <v>5267</v>
      </c>
      <c r="F18" s="71">
        <v>2998</v>
      </c>
      <c r="G18" s="71">
        <v>3747</v>
      </c>
      <c r="H18" s="71">
        <v>4525</v>
      </c>
      <c r="I18" s="71">
        <v>2554</v>
      </c>
      <c r="J18" s="71">
        <v>144</v>
      </c>
      <c r="K18" s="71">
        <v>710</v>
      </c>
      <c r="L18" s="71">
        <v>4382</v>
      </c>
      <c r="M18" s="71">
        <v>4338</v>
      </c>
      <c r="N18" s="71">
        <v>0</v>
      </c>
      <c r="O18" s="71">
        <v>46</v>
      </c>
      <c r="P18" s="71">
        <v>6943</v>
      </c>
      <c r="Q18" s="71">
        <v>28</v>
      </c>
      <c r="R18" s="71">
        <v>3510</v>
      </c>
      <c r="S18" s="71">
        <v>6866</v>
      </c>
      <c r="T18" s="71">
        <v>2102</v>
      </c>
      <c r="U18" s="71">
        <v>4850</v>
      </c>
      <c r="V18" s="71">
        <v>5449</v>
      </c>
      <c r="W18" s="71">
        <v>3761</v>
      </c>
      <c r="X18" s="71">
        <v>150</v>
      </c>
      <c r="Y18" s="109">
        <v>-9907</v>
      </c>
      <c r="Z18" s="71">
        <v>0</v>
      </c>
      <c r="AA18" s="71">
        <v>4231</v>
      </c>
      <c r="AB18" s="71">
        <v>6921</v>
      </c>
      <c r="AC18" s="71">
        <v>990</v>
      </c>
      <c r="AD18" s="71">
        <v>5.22</v>
      </c>
      <c r="AE18" s="71">
        <v>50.52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3" t="s" ph="1">
        <v>179</v>
      </c>
      <c r="D19" s="73" ph="1">
        <f>D18*7.0686*LOOKUP(D20,密度!$A$2:$A$50,密度!$L$2:$L$50)</f>
        <v>12187.4256504</v>
      </c>
      <c r="E19" s="73" ph="1">
        <f>E18*7.0686*LOOKUP(E20,密度!$A$2:$A$50,密度!$L$2:$L$50)</f>
        <v>34773.115330800007</v>
      </c>
      <c r="F19" s="73" ph="1">
        <f>F18*9.0746*LOOKUP(F20,密度!$A$2:$A$50,密度!$L$2:$L$50)</f>
        <v>25355.666545600001</v>
      </c>
      <c r="G19" s="73" ph="1">
        <f>G18*9.0746*LOOKUP(G20,密度!$A$2:$A$50,密度!$B$2:$B$50)</f>
        <v>26508.369425519999</v>
      </c>
      <c r="H19" s="73" ph="1">
        <f>H18*9.0746*LOOKUP(H20,密度!$A$2:$A$50,密度!$L$2:$L$50)</f>
        <v>38598.811099999999</v>
      </c>
      <c r="I19" s="73" ph="1">
        <f>I18*9.0746*LOOKUP(I20,密度!$A$2:$A$50,密度!$U$2:$U$50)</f>
        <v>23686.4120248</v>
      </c>
      <c r="J19" s="73" ph="1">
        <f>J18*9.0746*LOOKUP(J20,密度!$A$2:$A$50,密度!$L$2:$L$50)</f>
        <v>1219.1906592000003</v>
      </c>
      <c r="K19" s="73" ph="1">
        <f>K18*9.0746*LOOKUP(K20,密度!$A$2:$A$50,密度!$C$2:$C$50)</f>
        <v>7125.2760994000009</v>
      </c>
      <c r="L19" s="73" ph="1">
        <f>L18*9.0746*LOOKUP(L20,密度!$A$2:$A$50,密度!$E$2:$E$50)</f>
        <v>31100.12610012</v>
      </c>
      <c r="M19" s="73" ph="1">
        <f>M18*9.0746*LOOKUP(M20,密度!$A$2:$A$50,密度!$M$2:$M$50)</f>
        <v>34287.450490800002</v>
      </c>
      <c r="N19" s="73" ph="1">
        <f>N18*9.0746*LOOKUP(N20,密度!$A$2:$A$50,密度!$M$2:$M$50)</f>
        <v>0</v>
      </c>
      <c r="O19" s="73" ph="1">
        <f>O18*9.0746*LOOKUP(O20,密度!$A$2:$A$50,密度!$G$2:$G$50)</f>
        <v>399.02286643999997</v>
      </c>
      <c r="P19" s="73" ph="1">
        <f ca="1">P18*9.0746*LOOKUP(P20,密度!$A$2:$A$51,密度!$Q$2:$Q$50)</f>
        <v>59649.304280172</v>
      </c>
      <c r="Q19" s="73" ph="1">
        <f>Q18*9.0746*LOOKUP(Q20,密度!$A$2:$A$50,密度!$Q$2:$Q$50)</f>
        <v>240.01736225599998</v>
      </c>
      <c r="R19" s="73" ph="1">
        <f>MAX(R18*9.0746*LOOKUP(R20,密度!$A$2:$A$50,密度!$B$2:$B$50),0)</f>
        <v>24803.0324802</v>
      </c>
      <c r="S19" s="73" ph="1">
        <f>S18*9.0746*LOOKUP(S20,密度!$A$2:$A$50,密度!$Q$2:$Q$50)</f>
        <v>58943.537791708004</v>
      </c>
      <c r="T19" s="73" ph="1">
        <f>T18*9.0746*LOOKUP(T20,密度!$A$2:$A$50,密度!$O$2:$O$50)</f>
        <v>17663.273319200001</v>
      </c>
      <c r="U19" s="73" ph="1">
        <f>U18*9.0746*LOOKUP(U20,密度!$A$2:$A$50,密度!$H$2:$H$50)</f>
        <v>40222.393158999999</v>
      </c>
      <c r="V19" s="73" ph="1">
        <f>MAX(5600*LOOKUP(V20,密度!$A$2:$A$50,密度!$Q$2:$Q$50)+V18*9.0476*LOOKUP(V20,密度!$A$2:$A$50,密度!$Q$2:$Q$50),0)</f>
        <v>51937.39930157199</v>
      </c>
      <c r="W19" s="73" ph="1">
        <f>MAX(5600*LOOKUP(W20,密度!$A$2:$A$50,密度!$Q$2:$Q$50)+W18*9.0476*LOOKUP(W20,密度!$A$2:$A$50,密度!$Q$2:$Q$50),0)</f>
        <v>37489.299166308003</v>
      </c>
      <c r="X19" s="73" ph="1">
        <f>MAX(5600*LOOKUP(X20,密度!$A$2:$A$50,密度!$I$2:$I$50)+X18*9.0476*LOOKUP(X20,密度!$A$2:$A$50,密度!$I$2:$I$50),0)</f>
        <v>7251.4270219999999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30001.565913640003</v>
      </c>
      <c r="AB19" s="73" ph="1">
        <f>AB18*9.0746*LOOKUP(AB20,密度!$A$2:$A$50,密度!$L$2:$L$50)</f>
        <v>58785.766977600004</v>
      </c>
      <c r="AC19" s="73" ph="1">
        <f>AC18*9.0746*LOOKUP(AC20,密度!$A$2:$A$50,密度!$L$2:$L$50)</f>
        <v>8408.8873440000007</v>
      </c>
      <c r="AD19" s="73" ph="1">
        <f>AD18*268.68*LOOKUP(AD20,密度!$A$2:$A$50,密度!B5:B53)+IF(AD18&lt;=0,0,1566*LOOKUP(AD20,密度!$A$2:$A$50,密度!B5:B53))</f>
        <v>2306.5319591999996</v>
      </c>
      <c r="AE19" s="73" ph="1">
        <f>AE18*268.68*LOOKUP(AE20,密度!$A$2:$A$50,密度!B5:B53)+IF(AE18&lt;=0,0,1566*LOOKUP(AE20,密度!$A$2:$A$50,密度!B5:B53))</f>
        <v>11763.5574672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28</v>
      </c>
      <c r="E20" s="81">
        <v>28</v>
      </c>
      <c r="F20" s="81">
        <v>30</v>
      </c>
      <c r="G20" s="81">
        <v>25</v>
      </c>
      <c r="H20" s="81">
        <v>22</v>
      </c>
      <c r="I20" s="81">
        <v>28</v>
      </c>
      <c r="J20" s="81">
        <v>29</v>
      </c>
      <c r="K20" s="81">
        <v>29</v>
      </c>
      <c r="L20" s="81">
        <v>26</v>
      </c>
      <c r="M20" s="81">
        <v>29</v>
      </c>
      <c r="N20" s="81">
        <v>26</v>
      </c>
      <c r="O20" s="81">
        <v>29</v>
      </c>
      <c r="P20" s="81">
        <v>25</v>
      </c>
      <c r="Q20" s="81">
        <v>28</v>
      </c>
      <c r="R20" s="81">
        <v>26</v>
      </c>
      <c r="S20" s="81">
        <v>26</v>
      </c>
      <c r="T20" s="81">
        <v>26</v>
      </c>
      <c r="U20" s="81">
        <v>26</v>
      </c>
      <c r="V20" s="81">
        <v>26</v>
      </c>
      <c r="W20" s="81">
        <v>26</v>
      </c>
      <c r="X20" s="81">
        <v>25</v>
      </c>
      <c r="Y20" s="110">
        <v>25</v>
      </c>
      <c r="Z20" s="81">
        <v>30</v>
      </c>
      <c r="AA20" s="81">
        <v>23</v>
      </c>
      <c r="AB20" s="81">
        <v>26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3" t="s" ph="1">
        <v>178</v>
      </c>
      <c r="D24" s="71">
        <v>3.33</v>
      </c>
      <c r="E24" s="71">
        <v>95.4</v>
      </c>
      <c r="F24" s="71">
        <v>0</v>
      </c>
      <c r="G24" s="71">
        <v>1971</v>
      </c>
      <c r="H24" s="71">
        <v>2019</v>
      </c>
      <c r="I24" s="71">
        <v>3791</v>
      </c>
      <c r="J24" s="71">
        <v>4687</v>
      </c>
      <c r="K24" s="71">
        <v>28</v>
      </c>
      <c r="L24" s="71">
        <v>0</v>
      </c>
      <c r="M24" s="71">
        <v>4085</v>
      </c>
      <c r="N24" s="71">
        <v>5373</v>
      </c>
      <c r="O24" s="71">
        <v>5</v>
      </c>
      <c r="P24" s="71">
        <v>838</v>
      </c>
      <c r="Q24" s="90">
        <v>1297</v>
      </c>
      <c r="R24" s="71">
        <v>4071</v>
      </c>
      <c r="S24" s="71">
        <v>2983</v>
      </c>
      <c r="T24" s="71">
        <v>1757</v>
      </c>
      <c r="U24" s="71">
        <v>5188</v>
      </c>
      <c r="V24" s="71">
        <v>9647</v>
      </c>
      <c r="W24" s="71">
        <v>8332</v>
      </c>
      <c r="X24" s="71">
        <v>2740</v>
      </c>
      <c r="Y24" s="71">
        <v>3377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28250.935482599998</v>
      </c>
      <c r="H25" s="91" ph="1">
        <f>H24*18.322*LOOKUP(H26,密度!$A$2:$A$50,密度!$B$2:$B$50)</f>
        <v>28938.933911399996</v>
      </c>
      <c r="I25" s="91" ph="1">
        <f>I24*18.322*LOOKUP(I26,密度!$A$2:$A$50,密度!$Q$2:$Q$50)</f>
        <v>65860.74123639999</v>
      </c>
      <c r="J25" s="91" ph="1">
        <f>J24*18.322*LOOKUP(J26,密度!$A$2:$A$50,密度!$Q$2:$Q$50)</f>
        <v>81503.306855259987</v>
      </c>
      <c r="K25" s="91" ph="1">
        <f>K24*18.322*LOOKUP(K26,密度!$A$2:$A$50,密度!$Q$2:$Q$50)</f>
        <v>486.06726951999997</v>
      </c>
      <c r="L25" s="91" ph="1">
        <f>L24*18.322*LOOKUP(L26,密度!$A$2:$A$50,密度!$Q$2:$Q$50)</f>
        <v>0</v>
      </c>
      <c r="M25" s="91" ph="1">
        <f>M24*18.322*LOOKUP(M26,密度!$A$2:$A$50,密度!$Q$2:$Q$50)</f>
        <v>70968.379833999992</v>
      </c>
      <c r="N25" s="91" ph="1">
        <f>N24*18.322*LOOKUP(N26,密度!$A$2:$A$50,密度!$Q$2:$Q$50)</f>
        <v>93432.316563539993</v>
      </c>
      <c r="O25" s="91" ph="1">
        <f>O24*18.322*LOOKUP(O26,密度!$A$2:$A$50,密度!$C$2:$C$50)</f>
        <v>101.65045599999999</v>
      </c>
      <c r="P25" s="91" ph="1">
        <f>P24*11.702*LOOKUP(P26,密度!$A$2:$A$50,密度!$B$2:$B$50)</f>
        <v>7671.4497148</v>
      </c>
      <c r="Q25" s="92" ph="1">
        <f>Q24*18.322*LOOKUP(Q26,密度!$A$2:$A$50,密度!$B$2:$B$50)</f>
        <v>18547.516336999997</v>
      </c>
      <c r="R25" s="91" ph="1">
        <f>R24*35.891*LOOKUP(R26,密度!$A$2:$A$50,密度!$C$2:$C$50)</f>
        <v>162243.0546144</v>
      </c>
      <c r="S25" s="91" ph="1">
        <f>S24*35.891*LOOKUP(S26,密度!$A$2:$A$50,密度!$B$2:$B$50)</f>
        <v>83562.556766499983</v>
      </c>
      <c r="T25" s="91" ph="1">
        <f>T24*35.891*LOOKUP(T26,密度!$A$2:$A$50,密度!$Q$2:$Q$50)</f>
        <v>59747.919617889995</v>
      </c>
      <c r="U25" s="91" ph="1">
        <f>U24*35.891</f>
        <v>186202.508</v>
      </c>
      <c r="V25" s="91" ph="1">
        <f>V24*47.051*LOOKUP(V26,密度!$A$2:$A$50,密度!$B$2:$B$50)</f>
        <v>354678.23905580002</v>
      </c>
      <c r="W25" s="91" ph="1">
        <f>W24*47.051*LOOKUP(W26,密度!$A$2:$A$50,密度!$B$2:$B$50)</f>
        <v>305978.58142599999</v>
      </c>
      <c r="X25" s="91" ph="1">
        <f>X24*47.051*LOOKUP(X26,密度!$A$2:$A$50,密度!$I$2:$I$50)</f>
        <v>132632.628512</v>
      </c>
      <c r="Y25" s="91" ph="1">
        <f>Y24*47.051*LOOKUP(Y26,密度!$A$2:$A$50,密度!$L$2:$L$50)</f>
        <v>148881.07969900002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22</v>
      </c>
      <c r="G26" s="74">
        <v>22</v>
      </c>
      <c r="H26" s="74">
        <v>22</v>
      </c>
      <c r="I26" s="74">
        <v>23</v>
      </c>
      <c r="J26" s="74">
        <v>22</v>
      </c>
      <c r="K26" s="74">
        <v>24</v>
      </c>
      <c r="L26" s="74">
        <v>24</v>
      </c>
      <c r="M26" s="74">
        <v>23</v>
      </c>
      <c r="N26" s="74">
        <v>22</v>
      </c>
      <c r="O26" s="74">
        <v>24</v>
      </c>
      <c r="P26" s="74">
        <v>22</v>
      </c>
      <c r="Q26" s="93">
        <v>24</v>
      </c>
      <c r="R26" s="74">
        <v>23</v>
      </c>
      <c r="S26" s="74">
        <v>24</v>
      </c>
      <c r="T26" s="74">
        <v>24</v>
      </c>
      <c r="U26" s="74">
        <v>24</v>
      </c>
      <c r="V26" s="74">
        <v>23</v>
      </c>
      <c r="W26" s="74">
        <v>24</v>
      </c>
      <c r="X26" s="74">
        <v>37</v>
      </c>
      <c r="Y26" s="74">
        <v>25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3" t="s" ph="1">
        <v>181</v>
      </c>
      <c r="D27" s="71">
        <v>3.27</v>
      </c>
      <c r="E27" s="71">
        <v>95.48</v>
      </c>
      <c r="F27" s="71">
        <v>0</v>
      </c>
      <c r="G27" s="71">
        <v>1331</v>
      </c>
      <c r="H27" s="71">
        <v>2191</v>
      </c>
      <c r="I27" s="71">
        <v>3793</v>
      </c>
      <c r="J27" s="71">
        <v>4681</v>
      </c>
      <c r="K27" s="71">
        <v>0</v>
      </c>
      <c r="L27" s="71">
        <v>0</v>
      </c>
      <c r="M27" s="71">
        <v>3381</v>
      </c>
      <c r="N27" s="71">
        <v>5374</v>
      </c>
      <c r="O27" s="71">
        <v>0</v>
      </c>
      <c r="P27" s="71">
        <v>835</v>
      </c>
      <c r="Q27" s="90">
        <v>1680</v>
      </c>
      <c r="R27" s="71">
        <v>4069</v>
      </c>
      <c r="S27" s="71">
        <v>2980</v>
      </c>
      <c r="T27" s="71">
        <v>1756</v>
      </c>
      <c r="U27" s="71">
        <v>5236</v>
      </c>
      <c r="V27" s="71">
        <v>9650</v>
      </c>
      <c r="W27" s="71">
        <v>8333</v>
      </c>
      <c r="X27" s="71">
        <v>2739</v>
      </c>
      <c r="Y27" s="71">
        <v>3477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3" t="s" ph="1">
        <v>179</v>
      </c>
      <c r="D28" s="91" ph="1">
        <f>D27*268.68*LOOKUP(D29,密度!$A$2:$A$50,密度!$Q$2:$Q$50)+IF(D27&lt;=0,0,1566*LOOKUP(D29,密度!$A$2:$A$50,密度!$Q$2:$Q$50))</f>
        <v>2314.385077464</v>
      </c>
      <c r="E28" s="91" ph="1">
        <f>E27*268.68*LOOKUP(E29,密度!$A$2:$A$50,密度!$C$2:$C$50)+IF(E27&lt;=0,0,1566*LOOKUP(E29,密度!$A$2:$A$50,密度!$C$2:$C$50))</f>
        <v>30183.777180960005</v>
      </c>
      <c r="F28" s="91" ph="1">
        <f>F27*11.702*LOOKUP(F29,密度!$A$2:$A$50,密度!$Q$2:$Q$50)</f>
        <v>0</v>
      </c>
      <c r="G28" s="91" ph="1">
        <f>G27*18.322*LOOKUP(G29,密度!$A$2:$A$50,密度!$B$2:$B$50)</f>
        <v>19033.727250999997</v>
      </c>
      <c r="H28" s="91" ph="1">
        <f>H27*18.322*LOOKUP(H29,密度!$A$2:$A$50,密度!$B$2:$B$50)</f>
        <v>31295.874159199997</v>
      </c>
      <c r="I28" s="91" ph="1">
        <f>I27*18.322*LOOKUP(I29,密度!$A$2:$A$50,密度!$Q$2:$Q$50)</f>
        <v>65695.340480719999</v>
      </c>
      <c r="J28" s="91" ph="1">
        <f>J27*18.322*LOOKUP(J29,密度!$A$2:$A$50,密度!$Q$2:$Q$50)</f>
        <v>81197.42308067999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58692.622794540002</v>
      </c>
      <c r="N28" s="91" ph="1">
        <f>N27*18.322*LOOKUP(N29,密度!$A$2:$A$50,密度!$Q$2:$Q$50)</f>
        <v>93290.196657160006</v>
      </c>
      <c r="O28" s="91" ph="1">
        <f>O27*18.322*LOOKUP(O29,密度!$A$2:$A$50,密度!$C$2:$C$50)</f>
        <v>0</v>
      </c>
      <c r="P28" s="91" ph="1">
        <f>P27*11.702*LOOKUP(P29,密度!$A$2:$A$50,密度!$B$2:$B$50)</f>
        <v>7626.398185</v>
      </c>
      <c r="Q28" s="92" ph="1">
        <f>Q27*18.322*LOOKUP(Q29,密度!$A$2:$A$50,密度!$B$2:$B$50)</f>
        <v>23996.836415999998</v>
      </c>
      <c r="R28" s="91" ph="1">
        <f>R27*35.891*LOOKUP(R29,密度!$A$2:$A$50,密度!$C$2:$C$50)</f>
        <v>162046.51549839997</v>
      </c>
      <c r="S28" s="91" ph="1">
        <f>S27*35.891*LOOKUP(S29,密度!$A$2:$A$50,密度!$B$2:$B$50)</f>
        <v>83200.434521999996</v>
      </c>
      <c r="T28" s="91" ph="1">
        <f>T27*35.891*LOOKUP(T29,密度!$A$2:$A$50,密度!$Q$2:$Q$50)</f>
        <v>59623.158553879999</v>
      </c>
      <c r="U28" s="91" ph="1">
        <f>U27*35.891</f>
        <v>187925.27599999998</v>
      </c>
      <c r="V28" s="91" ph="1">
        <f>V27*47.051*LOOKUP(V29,密度!$A$2:$A$50,密度!$B$2:$B$50)</f>
        <v>354788.53600999998</v>
      </c>
      <c r="W28" s="91" ph="1">
        <f>W27*47.051*LOOKUP(W29,密度!$A$2:$A$50,密度!$B$2:$B$50)</f>
        <v>306015.30473149999</v>
      </c>
      <c r="X28" s="91" ph="1">
        <f>X27*47.051*LOOKUP(X29,密度!$A$2:$A$50,密度!$I$2:$I$50)</f>
        <v>132733.71476244001</v>
      </c>
      <c r="Y28" s="91" ph="1">
        <f>Y27*47.051*LOOKUP(Y29,密度!$A$2:$A$50,密度!$L$2:$L$50)</f>
        <v>153289.75839900001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3" t="s" ph="1">
        <v>180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27</v>
      </c>
      <c r="J29" s="74">
        <v>25</v>
      </c>
      <c r="K29" s="74">
        <v>24</v>
      </c>
      <c r="L29" s="74">
        <v>27</v>
      </c>
      <c r="M29" s="74">
        <v>24</v>
      </c>
      <c r="N29" s="74">
        <v>24</v>
      </c>
      <c r="O29" s="74">
        <v>27</v>
      </c>
      <c r="P29" s="74">
        <v>24</v>
      </c>
      <c r="Q29" s="93">
        <v>25</v>
      </c>
      <c r="R29" s="74">
        <v>24</v>
      </c>
      <c r="S29" s="74">
        <v>27</v>
      </c>
      <c r="T29" s="74">
        <v>26</v>
      </c>
      <c r="U29" s="74">
        <v>25</v>
      </c>
      <c r="V29" s="74">
        <v>23</v>
      </c>
      <c r="W29" s="74">
        <v>24</v>
      </c>
      <c r="X29" s="74">
        <v>36</v>
      </c>
      <c r="Y29" s="74">
        <v>25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3" t="s" ph="1">
        <v>5</v>
      </c>
      <c r="F32" s="142" t="s" ph="1">
        <v>43</v>
      </c>
      <c r="G32" s="97" t="s" ph="1">
        <v>4</v>
      </c>
      <c r="H32" s="143" t="s" ph="1">
        <v>5</v>
      </c>
      <c r="I32" s="142" t="s" ph="1">
        <v>43</v>
      </c>
      <c r="J32" s="97" t="s" ph="1">
        <v>4</v>
      </c>
      <c r="K32" s="143" t="s" ph="1">
        <v>5</v>
      </c>
      <c r="L32" s="142" t="s" ph="1">
        <v>43</v>
      </c>
      <c r="M32" s="97" t="s" ph="1">
        <v>4</v>
      </c>
      <c r="N32" s="143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3" t="s" ph="1">
        <v>5</v>
      </c>
      <c r="U32" s="99" t="s" ph="1">
        <v>43</v>
      </c>
      <c r="V32" s="97" t="s" ph="1">
        <v>4</v>
      </c>
      <c r="W32" s="143" t="s" ph="1">
        <v>5</v>
      </c>
      <c r="X32" s="99" t="s" ph="1">
        <v>43</v>
      </c>
      <c r="Y32" s="100" t="s" ph="1">
        <v>4</v>
      </c>
      <c r="Z32" s="143" t="s" ph="1">
        <v>5</v>
      </c>
      <c r="AA32" s="142" t="s" ph="1">
        <v>43</v>
      </c>
      <c r="AB32" s="97" t="s" ph="1">
        <v>85</v>
      </c>
      <c r="AC32" s="143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147848.08702440001</v>
      </c>
      <c r="E33" s="218" ph="1">
        <f>M10+I10</f>
        <v>46954.933853400005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22" ph="1">
        <v>0</v>
      </c>
      <c r="H33" s="218" ph="1">
        <f>N19</f>
        <v>0</v>
      </c>
      <c r="I33" s="231" ph="1">
        <v>0</v>
      </c>
      <c r="J33" s="229" ph="1">
        <f>F10+O28</f>
        <v>170478.78076710002</v>
      </c>
      <c r="K33" s="218" ph="1">
        <f>O10+K10+E28+R28</f>
        <v>230199.56006815998</v>
      </c>
      <c r="L33" s="233" ph="1">
        <f>BE27</f>
        <v>7100</v>
      </c>
      <c r="M33" s="229" ph="1">
        <f>G10+H10+W28+S28+V28+E10</f>
        <v>1417712.0195975001</v>
      </c>
      <c r="N33" s="218" ph="1">
        <f>L10+P10++G28+H28</f>
        <v>92443.216058199992</v>
      </c>
      <c r="O33" s="231" ph="1">
        <f>BE17</f>
        <v>2270</v>
      </c>
      <c r="P33" s="229" ph="1">
        <f>L19</f>
        <v>31100.12610012</v>
      </c>
      <c r="Q33" s="218" ph="1">
        <f>J10+N10</f>
        <v>169581.25547800001</v>
      </c>
      <c r="R33" s="231" ph="1">
        <f>BE23</f>
        <v>890</v>
      </c>
      <c r="S33" s="229" ph="1">
        <f>E10+X28</f>
        <v>303095.75951244001</v>
      </c>
      <c r="T33" s="218" ph="1">
        <f>X19</f>
        <v>7251.4270219999999</v>
      </c>
      <c r="U33" s="239" ph="1">
        <f>BE21</f>
        <v>730</v>
      </c>
      <c r="V33" s="250" ph="1">
        <f ca="1">P19+Q19+S19+M28+N28+J28</f>
        <v>352013.101966516</v>
      </c>
      <c r="W33" s="250" ph="1">
        <f>D28+F28+V19+T28</f>
        <v>113874.94293291599</v>
      </c>
      <c r="X33" s="231" ph="1">
        <f>BE29+BE31</f>
        <v>10200</v>
      </c>
      <c r="Y33" s="252" ph="1">
        <f>+Q10+R10+S10+T10+U10+V10+W10+X10+Y10</f>
        <v>122827.42893960001</v>
      </c>
      <c r="Z33" s="237" ph="1">
        <f>D10+T19+U19+Y28+Z10</f>
        <v>444310.10002643999</v>
      </c>
      <c r="AA33" s="239" ph="1">
        <f>BE19</f>
        <v>1440</v>
      </c>
      <c r="AB33" s="241" ph="1">
        <f>I19</f>
        <v>23686.4120248</v>
      </c>
      <c r="AC33" s="243" ph="1">
        <f>AD10</f>
        <v>86639.446051200008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1" t="s" ph="1">
        <v>186</v>
      </c>
      <c r="AA36" s="141" ph="1"/>
      <c r="AB36" s="236" t="s" ph="1">
        <v>644</v>
      </c>
      <c r="AC36" s="236" ph="1"/>
      <c r="AD36" s="236" ph="1"/>
      <c r="AE36" s="236" ph="1"/>
      <c r="BA36" s="64" ph="1">
        <v>2270</v>
      </c>
    </row>
    <row r="37" spans="1:57" s="14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1" t="s" ph="1">
        <v>345</v>
      </c>
      <c r="AI37" s="141" t="s" ph="1">
        <v>212</v>
      </c>
      <c r="AJ37" s="141" t="s" ph="1">
        <v>213</v>
      </c>
      <c r="AK37" s="141" t="s" ph="1">
        <v>214</v>
      </c>
      <c r="AM37" s="141" t="s" ph="1">
        <v>213</v>
      </c>
      <c r="AN37" s="141" t="s" ph="1">
        <v>214</v>
      </c>
      <c r="AO37" s="141" t="s" ph="1">
        <v>215</v>
      </c>
      <c r="AP37" s="141" t="s" ph="1">
        <v>213</v>
      </c>
      <c r="AQ37" s="141" t="s" ph="1">
        <v>214</v>
      </c>
      <c r="AR37" s="141" t="s" ph="1">
        <v>215</v>
      </c>
      <c r="AS37" s="141" t="s" ph="1">
        <v>213</v>
      </c>
      <c r="AT37" s="141" t="s" ph="1">
        <v>214</v>
      </c>
      <c r="AU37" s="141" t="s" ph="1">
        <v>215</v>
      </c>
      <c r="AV37" s="141" t="s" ph="1">
        <v>213</v>
      </c>
      <c r="AW37" s="141" t="s" ph="1">
        <v>214</v>
      </c>
      <c r="AX37" s="141" t="s" ph="1">
        <v>215</v>
      </c>
      <c r="AY37" s="141" t="s" ph="1">
        <v>214</v>
      </c>
      <c r="AZ37" s="141" t="s" ph="1">
        <v>216</v>
      </c>
      <c r="BD37" s="141" t="s" ph="1">
        <v>308</v>
      </c>
      <c r="BE37" s="14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71" priority="96">
      <formula>ABS(D$7-D$10)&gt;=1000</formula>
    </cfRule>
  </conditionalFormatting>
  <conditionalFormatting sqref="E4 E6:E11">
    <cfRule type="expression" dxfId="2770" priority="95">
      <formula>ABS(E$7-E$10)&gt;=1000</formula>
    </cfRule>
  </conditionalFormatting>
  <conditionalFormatting sqref="F4:F11">
    <cfRule type="expression" dxfId="2769" priority="94">
      <formula>ABS(F$7-F$10)&gt;=1000</formula>
    </cfRule>
  </conditionalFormatting>
  <conditionalFormatting sqref="G4:G11">
    <cfRule type="expression" dxfId="2768" priority="93">
      <formula>ABS(G$7-G$10)&gt;=1000</formula>
    </cfRule>
  </conditionalFormatting>
  <conditionalFormatting sqref="H4:H11">
    <cfRule type="expression" dxfId="2767" priority="92">
      <formula>ABS(H$7-H$10)&gt;=1000</formula>
    </cfRule>
  </conditionalFormatting>
  <conditionalFormatting sqref="I4:I11">
    <cfRule type="expression" dxfId="2766" priority="91">
      <formula>ABS(I$7-I$10)&gt;=1000</formula>
    </cfRule>
  </conditionalFormatting>
  <conditionalFormatting sqref="J4:J11">
    <cfRule type="expression" dxfId="2765" priority="90">
      <formula>ABS(J$7-J$10)&gt;=1000</formula>
    </cfRule>
  </conditionalFormatting>
  <conditionalFormatting sqref="K4:K11">
    <cfRule type="expression" dxfId="2764" priority="89">
      <formula>ABS(K$7-K$10)&gt;=1000</formula>
    </cfRule>
  </conditionalFormatting>
  <conditionalFormatting sqref="L4:L11">
    <cfRule type="expression" dxfId="2763" priority="88">
      <formula>ABS(L$7-L$10)&gt;=1000</formula>
    </cfRule>
  </conditionalFormatting>
  <conditionalFormatting sqref="M4 M6:M11">
    <cfRule type="expression" dxfId="2762" priority="87">
      <formula>ABS(M$7-M$10)&gt;=1000</formula>
    </cfRule>
  </conditionalFormatting>
  <conditionalFormatting sqref="N4 N6:N11">
    <cfRule type="expression" dxfId="2761" priority="86">
      <formula>ABS(N$7-N$10)&gt;=1000</formula>
    </cfRule>
  </conditionalFormatting>
  <conditionalFormatting sqref="O4 O6:O11">
    <cfRule type="expression" dxfId="2760" priority="85">
      <formula>ABS(O$7-O$10)&gt;=1000</formula>
    </cfRule>
  </conditionalFormatting>
  <conditionalFormatting sqref="P4 P6:P11">
    <cfRule type="expression" dxfId="2759" priority="84">
      <formula>ABS(P$7-P$10)&gt;=1000</formula>
    </cfRule>
  </conditionalFormatting>
  <conditionalFormatting sqref="Q4:Q11">
    <cfRule type="expression" dxfId="2758" priority="83">
      <formula>ABS(Q$7-Q$10)&gt;=1000</formula>
    </cfRule>
  </conditionalFormatting>
  <conditionalFormatting sqref="R4:R11">
    <cfRule type="expression" dxfId="2757" priority="82">
      <formula>ABS(R$7-R$10)&gt;=1000</formula>
    </cfRule>
  </conditionalFormatting>
  <conditionalFormatting sqref="S4:S11">
    <cfRule type="expression" dxfId="2756" priority="81">
      <formula>ABS(S$7-S$10)&gt;=1000</formula>
    </cfRule>
  </conditionalFormatting>
  <conditionalFormatting sqref="T4:T9 T11">
    <cfRule type="expression" dxfId="2755" priority="80">
      <formula>ABS(T$7-T$10)&gt;=1000</formula>
    </cfRule>
  </conditionalFormatting>
  <conditionalFormatting sqref="U4:U9 U11">
    <cfRule type="expression" dxfId="2754" priority="79">
      <formula>ABS(U$7-U$10)&gt;=1000</formula>
    </cfRule>
  </conditionalFormatting>
  <conditionalFormatting sqref="V4:V9 V11">
    <cfRule type="expression" dxfId="2753" priority="78">
      <formula>ABS(V$7-V$10)&gt;=1000</formula>
    </cfRule>
  </conditionalFormatting>
  <conditionalFormatting sqref="W4:W9 W11">
    <cfRule type="expression" dxfId="2752" priority="77">
      <formula>ABS(W$7-W$10)&gt;=1000</formula>
    </cfRule>
  </conditionalFormatting>
  <conditionalFormatting sqref="X4:X9 X11">
    <cfRule type="expression" dxfId="2751" priority="76">
      <formula>ABS(X$7-X$10)&gt;=1000</formula>
    </cfRule>
  </conditionalFormatting>
  <conditionalFormatting sqref="Y4:Y9 Y11">
    <cfRule type="expression" dxfId="2750" priority="75">
      <formula>ABS(Y$7-Y$10)&gt;=1000</formula>
    </cfRule>
  </conditionalFormatting>
  <conditionalFormatting sqref="Z4:Z11">
    <cfRule type="expression" dxfId="2749" priority="74">
      <formula>ABS(Z$7-Z$10)&gt;=1000</formula>
    </cfRule>
  </conditionalFormatting>
  <conditionalFormatting sqref="AA4:AA11">
    <cfRule type="expression" dxfId="2748" priority="73">
      <formula>ABS(AA$7-AA$10)&gt;=1000</formula>
    </cfRule>
  </conditionalFormatting>
  <conditionalFormatting sqref="AB4:AB11">
    <cfRule type="expression" dxfId="2747" priority="72">
      <formula>ABS(AB$7-AB$10)&gt;=1000</formula>
    </cfRule>
  </conditionalFormatting>
  <conditionalFormatting sqref="AC4 AC6:AC11">
    <cfRule type="expression" dxfId="2746" priority="71">
      <formula>ABS(AC$7-AC$10)&gt;=1000</formula>
    </cfRule>
  </conditionalFormatting>
  <conditionalFormatting sqref="AD4:AD11">
    <cfRule type="expression" dxfId="2745" priority="70">
      <formula>ABS(AD$7-AD$10)&gt;=1000</formula>
    </cfRule>
  </conditionalFormatting>
  <conditionalFormatting sqref="AE4:AE11">
    <cfRule type="expression" dxfId="2744" priority="69">
      <formula>ABS(AE$7-AE$10)&gt;=1000</formula>
    </cfRule>
  </conditionalFormatting>
  <conditionalFormatting sqref="D13:D20">
    <cfRule type="expression" dxfId="2743" priority="68">
      <formula>ABS(D$16-D$19)&gt;=1000</formula>
    </cfRule>
  </conditionalFormatting>
  <conditionalFormatting sqref="E13:E20">
    <cfRule type="expression" dxfId="2742" priority="67">
      <formula>ABS(E$16-E$19)&gt;=1000</formula>
    </cfRule>
  </conditionalFormatting>
  <conditionalFormatting sqref="F13 F15:F20">
    <cfRule type="expression" dxfId="2741" priority="66">
      <formula>ABS(F$16-F$19)&gt;=1000</formula>
    </cfRule>
  </conditionalFormatting>
  <conditionalFormatting sqref="G13:G20">
    <cfRule type="expression" dxfId="2740" priority="65">
      <formula>ABS(G$16-G$19)&gt;=1000</formula>
    </cfRule>
  </conditionalFormatting>
  <conditionalFormatting sqref="H13:H20">
    <cfRule type="expression" dxfId="2739" priority="64">
      <formula>ABS(H$16-H$19)&gt;=1000</formula>
    </cfRule>
  </conditionalFormatting>
  <conditionalFormatting sqref="I13:I20">
    <cfRule type="expression" dxfId="2738" priority="63">
      <formula>ABS(I$16-I$19)&gt;=1000</formula>
    </cfRule>
  </conditionalFormatting>
  <conditionalFormatting sqref="J13:J20">
    <cfRule type="expression" dxfId="2737" priority="62">
      <formula>ABS(J$16-J$19)&gt;=1000</formula>
    </cfRule>
  </conditionalFormatting>
  <conditionalFormatting sqref="L13:L20">
    <cfRule type="expression" dxfId="2736" priority="61">
      <formula>ABS(L$16-L$19)&gt;=1000</formula>
    </cfRule>
  </conditionalFormatting>
  <conditionalFormatting sqref="M13 M15 M17:M18 M20">
    <cfRule type="expression" dxfId="2735" priority="60">
      <formula>ABS(M$16-M$19)&gt;=1000</formula>
    </cfRule>
  </conditionalFormatting>
  <conditionalFormatting sqref="N13:N20">
    <cfRule type="expression" dxfId="2734" priority="59">
      <formula>ABS(N$16-N$19)&gt;=1000</formula>
    </cfRule>
  </conditionalFormatting>
  <conditionalFormatting sqref="O13:O20">
    <cfRule type="expression" dxfId="2733" priority="58">
      <formula>ABS(O$16-O$19)&gt;=1000</formula>
    </cfRule>
  </conditionalFormatting>
  <conditionalFormatting sqref="P13:P20">
    <cfRule type="expression" dxfId="2732" priority="57">
      <formula>ABS(P$16-P$19)&gt;=1000</formula>
    </cfRule>
  </conditionalFormatting>
  <conditionalFormatting sqref="Q13 Q15:Q20">
    <cfRule type="expression" dxfId="2731" priority="56">
      <formula>ABS(Q$16-Q$19)&gt;=1000</formula>
    </cfRule>
  </conditionalFormatting>
  <conditionalFormatting sqref="R13:R20">
    <cfRule type="expression" dxfId="2730" priority="55">
      <formula>ABS(R$16-R$19)&gt;=1000</formula>
    </cfRule>
  </conditionalFormatting>
  <conditionalFormatting sqref="S13:S20">
    <cfRule type="expression" dxfId="2729" priority="54">
      <formula>ABS(S$16-S$19)&gt;=1000</formula>
    </cfRule>
  </conditionalFormatting>
  <conditionalFormatting sqref="T13:T20">
    <cfRule type="expression" dxfId="2728" priority="53">
      <formula>ABS(T$16-T$19)&gt;=1000</formula>
    </cfRule>
  </conditionalFormatting>
  <conditionalFormatting sqref="U13:U20">
    <cfRule type="expression" dxfId="2727" priority="52">
      <formula>ABS(U$16-U$19)&gt;=1000</formula>
    </cfRule>
  </conditionalFormatting>
  <conditionalFormatting sqref="V13:V20">
    <cfRule type="expression" dxfId="2726" priority="51">
      <formula>ABS(V$16-V$19)&gt;=1000</formula>
    </cfRule>
  </conditionalFormatting>
  <conditionalFormatting sqref="W13 W20 W15:W18">
    <cfRule type="expression" dxfId="2725" priority="50">
      <formula>ABS(W$16-W$19)&gt;=1000</formula>
    </cfRule>
  </conditionalFormatting>
  <conditionalFormatting sqref="X13 X15:X20 Y19">
    <cfRule type="expression" dxfId="2724" priority="49">
      <formula>ABS(X$16-X$19)&gt;=1000</formula>
    </cfRule>
  </conditionalFormatting>
  <conditionalFormatting sqref="Y13 Y15:Y18 Y20">
    <cfRule type="expression" dxfId="2723" priority="48">
      <formula>ABS(Y$16-Y$19)&gt;=1000</formula>
    </cfRule>
  </conditionalFormatting>
  <conditionalFormatting sqref="Z13:Z20">
    <cfRule type="expression" dxfId="2722" priority="47">
      <formula>ABS(Z$16-Z$19)&gt;=1000</formula>
    </cfRule>
  </conditionalFormatting>
  <conditionalFormatting sqref="AA13:AA20">
    <cfRule type="expression" dxfId="2721" priority="46">
      <formula>ABS(AA$16-AA$19)&gt;=1000</formula>
    </cfRule>
  </conditionalFormatting>
  <conditionalFormatting sqref="AB13 AB15:AB20">
    <cfRule type="expression" dxfId="2720" priority="45">
      <formula>ABS(AB$16-AB$19)&gt;=1000</formula>
    </cfRule>
  </conditionalFormatting>
  <conditionalFormatting sqref="AC13 AC15:AC20">
    <cfRule type="expression" dxfId="2719" priority="44">
      <formula>ABS(AC$16-AC$19)&gt;=1000</formula>
    </cfRule>
  </conditionalFormatting>
  <conditionalFormatting sqref="AD13:AD20">
    <cfRule type="expression" dxfId="2718" priority="43">
      <formula>ABS(AD$16-AD$19)&gt;=1000</formula>
    </cfRule>
  </conditionalFormatting>
  <conditionalFormatting sqref="AE13:AE20">
    <cfRule type="expression" dxfId="2717" priority="42">
      <formula>ABS(AE$16-AE$19)&gt;=1000</formula>
    </cfRule>
  </conditionalFormatting>
  <conditionalFormatting sqref="D22:D29">
    <cfRule type="expression" dxfId="2716" priority="41">
      <formula>ABS(D$25-D$28)&gt;=1000</formula>
    </cfRule>
  </conditionalFormatting>
  <conditionalFormatting sqref="E22:E29">
    <cfRule type="expression" dxfId="2715" priority="40">
      <formula>ABS(E$25-E$28)&gt;=1000</formula>
    </cfRule>
  </conditionalFormatting>
  <conditionalFormatting sqref="F22:F29">
    <cfRule type="expression" dxfId="2714" priority="39">
      <formula>ABS(F$25-F$28)&gt;=1000</formula>
    </cfRule>
  </conditionalFormatting>
  <conditionalFormatting sqref="G22:G29">
    <cfRule type="expression" dxfId="2713" priority="38">
      <formula>ABS(G$25-G$28)&gt;=1000</formula>
    </cfRule>
  </conditionalFormatting>
  <conditionalFormatting sqref="H22:H29">
    <cfRule type="expression" dxfId="2712" priority="37">
      <formula>ABS(H$25-H$28)&gt;=1000</formula>
    </cfRule>
  </conditionalFormatting>
  <conditionalFormatting sqref="I22 I24:I29">
    <cfRule type="expression" dxfId="2711" priority="36">
      <formula>ABS(I$25-I$28)&gt;=1000</formula>
    </cfRule>
  </conditionalFormatting>
  <conditionalFormatting sqref="J22:J29 K22">
    <cfRule type="expression" dxfId="2710" priority="35">
      <formula>ABS(J$25-J$28)&gt;=1000</formula>
    </cfRule>
  </conditionalFormatting>
  <conditionalFormatting sqref="K23:K29 L25 L28">
    <cfRule type="expression" dxfId="2709" priority="34">
      <formula>ABS(K$25-K$28)&gt;=1000</formula>
    </cfRule>
  </conditionalFormatting>
  <conditionalFormatting sqref="L22:L24 L26:L27 L29">
    <cfRule type="expression" dxfId="2708" priority="33">
      <formula>ABS(L$25-L$28)&gt;=1000</formula>
    </cfRule>
  </conditionalFormatting>
  <conditionalFormatting sqref="M22:M29">
    <cfRule type="expression" dxfId="2707" priority="32">
      <formula>ABS(M$25-M$28)&gt;=1000</formula>
    </cfRule>
  </conditionalFormatting>
  <conditionalFormatting sqref="N22:N29">
    <cfRule type="expression" dxfId="2706" priority="31">
      <formula>ABS(N$25-N$28)&gt;=1000</formula>
    </cfRule>
  </conditionalFormatting>
  <conditionalFormatting sqref="O22:O29">
    <cfRule type="expression" dxfId="2705" priority="30">
      <formula>ABS(O$25-O$28)&gt;=1000</formula>
    </cfRule>
  </conditionalFormatting>
  <conditionalFormatting sqref="P22:P29">
    <cfRule type="expression" dxfId="2704" priority="29">
      <formula>ABS(P$25-P$28)&gt;=1000</formula>
    </cfRule>
  </conditionalFormatting>
  <conditionalFormatting sqref="Q22:Q29">
    <cfRule type="expression" dxfId="2703" priority="28">
      <formula>ABS(Q$25-Q$28)&gt;=1000</formula>
    </cfRule>
  </conditionalFormatting>
  <conditionalFormatting sqref="R22:R29">
    <cfRule type="expression" dxfId="2702" priority="27">
      <formula>ABS(R$25-R$28)&gt;=1000</formula>
    </cfRule>
  </conditionalFormatting>
  <conditionalFormatting sqref="S22:S29">
    <cfRule type="expression" dxfId="2701" priority="26">
      <formula>ABS(S$25-S$28)&gt;=1000</formula>
    </cfRule>
  </conditionalFormatting>
  <conditionalFormatting sqref="T22:T29">
    <cfRule type="expression" dxfId="2700" priority="25">
      <formula>ABS(T$25-T$28)&gt;=1000</formula>
    </cfRule>
  </conditionalFormatting>
  <conditionalFormatting sqref="U22:U29">
    <cfRule type="expression" dxfId="2699" priority="24">
      <formula>ABS(U$25-U$28)&gt;=1000</formula>
    </cfRule>
  </conditionalFormatting>
  <conditionalFormatting sqref="V22:V29">
    <cfRule type="expression" dxfId="2698" priority="23">
      <formula>ABS(V$25-V$28)&gt;=1000</formula>
    </cfRule>
  </conditionalFormatting>
  <conditionalFormatting sqref="W22:W29">
    <cfRule type="expression" dxfId="2697" priority="22">
      <formula>ABS(W$25-W$28)&gt;=1000</formula>
    </cfRule>
  </conditionalFormatting>
  <conditionalFormatting sqref="X22:X29">
    <cfRule type="expression" dxfId="2696" priority="21">
      <formula>ABS(X$25-X$28)&gt;=1000</formula>
    </cfRule>
  </conditionalFormatting>
  <conditionalFormatting sqref="Y22:Y29">
    <cfRule type="expression" dxfId="2695" priority="20">
      <formula>ABS(Y$25-Y$28)&gt;=1000</formula>
    </cfRule>
  </conditionalFormatting>
  <conditionalFormatting sqref="I23">
    <cfRule type="expression" dxfId="2694" priority="19">
      <formula>ABS(I$25-I$28)&gt;=1000</formula>
    </cfRule>
  </conditionalFormatting>
  <conditionalFormatting sqref="F14">
    <cfRule type="expression" dxfId="2693" priority="18">
      <formula>ABS(F$16-F$19)&gt;=1000</formula>
    </cfRule>
  </conditionalFormatting>
  <conditionalFormatting sqref="Q14">
    <cfRule type="expression" dxfId="2692" priority="17">
      <formula>ABS(Q$16-Q$19)&gt;=1000</formula>
    </cfRule>
  </conditionalFormatting>
  <conditionalFormatting sqref="W14">
    <cfRule type="expression" dxfId="2691" priority="16">
      <formula>ABS(W$16-W$19)&gt;=1000</formula>
    </cfRule>
  </conditionalFormatting>
  <conditionalFormatting sqref="Y14">
    <cfRule type="expression" dxfId="2690" priority="15">
      <formula>ABS(Y$16-Y$19)&gt;=1000</formula>
    </cfRule>
  </conditionalFormatting>
  <conditionalFormatting sqref="X14">
    <cfRule type="expression" dxfId="2689" priority="14">
      <formula>ABS(X$16-X$19)&gt;=1000</formula>
    </cfRule>
  </conditionalFormatting>
  <conditionalFormatting sqref="T10:Y10">
    <cfRule type="expression" dxfId="2688" priority="13">
      <formula>ABS(T$7-T$10)&gt;=1000</formula>
    </cfRule>
  </conditionalFormatting>
  <conditionalFormatting sqref="W19">
    <cfRule type="expression" dxfId="2687" priority="12">
      <formula>ABS(W$16-W$19)&gt;=1000</formula>
    </cfRule>
  </conditionalFormatting>
  <conditionalFormatting sqref="AC5">
    <cfRule type="expression" dxfId="2686" priority="11">
      <formula>ABS(AC$7-AC$10)&gt;=1000</formula>
    </cfRule>
  </conditionalFormatting>
  <conditionalFormatting sqref="M14">
    <cfRule type="expression" dxfId="2685" priority="10">
      <formula>ABS(M$16-M$19)&gt;=1000</formula>
    </cfRule>
  </conditionalFormatting>
  <conditionalFormatting sqref="M16">
    <cfRule type="expression" dxfId="2684" priority="9">
      <formula>ABS(M$16-M$19)&gt;=1000</formula>
    </cfRule>
  </conditionalFormatting>
  <conditionalFormatting sqref="M19">
    <cfRule type="expression" dxfId="2683" priority="8">
      <formula>ABS(M$16-M$19)&gt;=1000</formula>
    </cfRule>
  </conditionalFormatting>
  <conditionalFormatting sqref="K13:K20">
    <cfRule type="expression" dxfId="2682" priority="7">
      <formula>ABS(K$16-K$19)&gt;=1000</formula>
    </cfRule>
  </conditionalFormatting>
  <conditionalFormatting sqref="E5">
    <cfRule type="expression" dxfId="2681" priority="6">
      <formula>ABS(E$7-E$10)&gt;=1000</formula>
    </cfRule>
  </conditionalFormatting>
  <conditionalFormatting sqref="AB14:AC14">
    <cfRule type="expression" dxfId="2680" priority="5">
      <formula>ABS(AB$16-AB$19)&gt;=1000</formula>
    </cfRule>
  </conditionalFormatting>
  <conditionalFormatting sqref="M5">
    <cfRule type="expression" dxfId="2679" priority="4">
      <formula>ABS(M$7-M$10)&gt;=1000</formula>
    </cfRule>
  </conditionalFormatting>
  <conditionalFormatting sqref="N5">
    <cfRule type="expression" dxfId="2678" priority="3">
      <formula>ABS(N$7-N$10)&gt;=1000</formula>
    </cfRule>
  </conditionalFormatting>
  <conditionalFormatting sqref="O5">
    <cfRule type="expression" dxfId="2677" priority="2">
      <formula>ABS(O$7-O$10)&gt;=1000</formula>
    </cfRule>
  </conditionalFormatting>
  <conditionalFormatting sqref="P5">
    <cfRule type="expression" dxfId="2676" priority="1">
      <formula>ABS(P$7-P$10)&gt;=1000</formula>
    </cfRule>
  </conditionalFormatting>
  <dataValidations count="1">
    <dataValidation operator="greaterThanOrEqual" allowBlank="1" showErrorMessage="1" sqref="D6" xr:uid="{00000000-0002-0000-02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50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626">
    <pageSetUpPr fitToPage="1"/>
  </sheetPr>
  <dimension ref="A1:CU223"/>
  <sheetViews>
    <sheetView view="pageBreakPreview" topLeftCell="A13" zoomScale="80" zoomScaleNormal="100" zoomScaleSheetLayoutView="80" workbookViewId="0">
      <selection activeCell="Z23" sqref="Z23:AE29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45778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6" t="s" ph="1">
        <v>178</v>
      </c>
      <c r="D6" s="71">
        <v>4179</v>
      </c>
      <c r="E6" s="71">
        <v>4262</v>
      </c>
      <c r="F6" s="71">
        <v>4632</v>
      </c>
      <c r="G6" s="71">
        <v>3815</v>
      </c>
      <c r="H6" s="71">
        <v>8236</v>
      </c>
      <c r="I6" s="71">
        <v>0.06</v>
      </c>
      <c r="J6" s="71">
        <v>7.81</v>
      </c>
      <c r="K6" s="71">
        <v>7.43</v>
      </c>
      <c r="L6" s="71">
        <v>22.74</v>
      </c>
      <c r="M6" s="71">
        <v>1381</v>
      </c>
      <c r="N6" s="71">
        <v>6222</v>
      </c>
      <c r="O6" s="71">
        <v>1578</v>
      </c>
      <c r="P6" s="71">
        <v>1484</v>
      </c>
      <c r="Q6" s="71">
        <v>0</v>
      </c>
      <c r="R6" s="71">
        <v>0</v>
      </c>
      <c r="S6" s="71">
        <v>0</v>
      </c>
      <c r="T6" s="71">
        <v>379</v>
      </c>
      <c r="U6" s="71">
        <v>6735</v>
      </c>
      <c r="V6" s="71">
        <v>4638</v>
      </c>
      <c r="W6" s="71">
        <v>2443</v>
      </c>
      <c r="X6" s="71">
        <v>2514</v>
      </c>
      <c r="Y6" s="71">
        <v>0</v>
      </c>
      <c r="Z6" s="71">
        <v>3279</v>
      </c>
      <c r="AA6" s="71">
        <v>2168</v>
      </c>
      <c r="AB6" s="71">
        <v>3522</v>
      </c>
      <c r="AC6" s="71">
        <v>5877</v>
      </c>
      <c r="AD6" s="71">
        <v>4415</v>
      </c>
      <c r="AE6" s="71">
        <v>4525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131286.09922218003</v>
      </c>
      <c r="E7" s="73" ph="1">
        <f>E6*51.53*LOOKUP(E8,密度!$A$2:$A$50,密度!$B$2:$B$50)</f>
        <v>171216.422456</v>
      </c>
      <c r="F7" s="73" ph="1">
        <f>F6*33.183*LOOKUP(F8,密度!$A$2:$A$50,密度!$C$2:$C$50)</f>
        <v>170549.57669759999</v>
      </c>
      <c r="G7" s="73" ph="1">
        <f xml:space="preserve"> (G6+2)*51.53*LOOKUP(G8,密度!$A$2:$A$50,密度!$B$2:$B$50)</f>
        <v>153693.573814</v>
      </c>
      <c r="H7" s="73" ph="1">
        <f>(H6)*51.53*LOOKUP(H8,密度!$A$2:$A$50,密度!$B$2:$B$50)</f>
        <v>331627.00391199999</v>
      </c>
      <c r="I7" s="73" ph="1">
        <f>I6*290.8*1.0267</f>
        <v>17.913861600000001</v>
      </c>
      <c r="J7" s="73" ph="1">
        <f>J6*290.8*0.7892</f>
        <v>1792.3900016000002</v>
      </c>
      <c r="K7" s="73" ph="1">
        <f>K6*290.8*1.1126</f>
        <v>2403.9325143999999</v>
      </c>
      <c r="L7" s="73" ph="1">
        <f>L6*290.8*0.777</f>
        <v>5138.1393840000001</v>
      </c>
      <c r="M7" s="73" ph="1">
        <f>M6*33.183*LOOKUP(M8,密度!$A$2:$A$50,密度!$D$2:$D$50)</f>
        <v>47049.269804099997</v>
      </c>
      <c r="N7" s="73" ph="1">
        <f>N6*33.183*LOOKUP(N8,密度!$A$2:$A$50,密度!$E$2:$E$50)</f>
        <v>161950.85263439998</v>
      </c>
      <c r="O7" s="73" ph="1">
        <f>O6*20.428*LOOKUP(O8,密度!$A$2:$A$50,密度!$C$2:$C$50)</f>
        <v>35671.675934400002</v>
      </c>
      <c r="P7" s="73" ph="1">
        <f>P6*51.53*LOOKUP(P8,密度!$A$2:$A$50,密度!$B$2:$B$50)</f>
        <v>59616.417392000003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2520.9384353999999</v>
      </c>
      <c r="U7" s="73" ph="1">
        <f>U6*1.5*1.5*3.1416*LOOKUP(U8,密度!$A$2:$A$50,密度!$L$2:$L$50)</f>
        <v>44655.385697999998</v>
      </c>
      <c r="V7" s="73" ph="1">
        <f>V6*1.5*1.5*3.1416*LOOKUP(V8,密度!$A$2:$A$50,密度!$L$2:$L$50)</f>
        <v>30653.195958</v>
      </c>
      <c r="W7" s="73" ph="1">
        <f>W6*1.5*1.5*3.1416*LOOKUP(W8,密度!$A$2:$A$50,密度!$L$2:$L$50)</f>
        <v>16197.937232399998</v>
      </c>
      <c r="X7" s="73" ph="1">
        <f>X6*1.5*1.5*3.1416*LOOKUP(X8,密度!$A$2:$A$50,密度!$L$2:$L$50)</f>
        <v>16828.625998799998</v>
      </c>
      <c r="Y7" s="73" ph="1">
        <f>Y6*1.5*1.5*3.1416*LOOKUP(Y8,密度!$A$2:$A$50,密度!$L$2:$L$50)</f>
        <v>0</v>
      </c>
      <c r="Z7" s="73" ph="1">
        <f>Z6*33.183*LOOKUP(Z8,密度!$A$2:$A$50,密度!$L$2:$L$50)</f>
        <v>102169.826523</v>
      </c>
      <c r="AA7" s="73" ph="1">
        <f>AA6*33.183*LOOKUP(AA8,密度!$A$2:$A$50,密度!$D$2:$D$50)</f>
        <v>73796.815195200004</v>
      </c>
      <c r="AB7" s="73" ph="1">
        <f>AB6*20.428*LOOKUP(AB8,密度!$A$2:$A$50,密度!$D$2:$D$50)</f>
        <v>74573.496683999998</v>
      </c>
      <c r="AC7" s="73" ph="1">
        <f>AC6*51.53*LOOKUP(AC8,密度!$A$2:$A$50,密度!$Q$2:$Q$50)</f>
        <v>286933.5297207</v>
      </c>
      <c r="AD7" s="73" ph="1">
        <f>AD6*20.428*LOOKUP(AD8,密度!$A$2:$A$50,密度!$V$2:$V$50)</f>
        <v>86365.580112000011</v>
      </c>
      <c r="AE7" s="73" ph="1">
        <f>AE6*20.428</f>
        <v>92436.7</v>
      </c>
    </row>
    <row r="8" spans="1:99" ph="1">
      <c r="B8" s="196" ph="1"/>
      <c r="C8" s="68" t="s" ph="1">
        <v>180</v>
      </c>
      <c r="D8" s="74">
        <v>25</v>
      </c>
      <c r="E8" s="74">
        <v>25</v>
      </c>
      <c r="F8" s="74">
        <v>24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24</v>
      </c>
      <c r="O8" s="74">
        <v>28</v>
      </c>
      <c r="P8" s="74">
        <v>25</v>
      </c>
      <c r="Q8" s="74">
        <v>23</v>
      </c>
      <c r="R8" s="74">
        <v>29</v>
      </c>
      <c r="S8" s="74">
        <v>20</v>
      </c>
      <c r="T8" s="74">
        <v>21</v>
      </c>
      <c r="U8" s="74">
        <v>24</v>
      </c>
      <c r="V8" s="74">
        <v>27</v>
      </c>
      <c r="W8" s="74">
        <v>24</v>
      </c>
      <c r="X8" s="74">
        <v>15</v>
      </c>
      <c r="Y8" s="74">
        <v>24</v>
      </c>
      <c r="Z8" s="74">
        <v>23</v>
      </c>
      <c r="AA8" s="74">
        <v>26</v>
      </c>
      <c r="AB8" s="74">
        <v>14</v>
      </c>
      <c r="AC8" s="74">
        <v>24</v>
      </c>
      <c r="AD8" s="74">
        <v>29</v>
      </c>
      <c r="AE8" s="74">
        <v>30</v>
      </c>
    </row>
    <row r="9" spans="1:99" ph="1">
      <c r="B9" s="196" ph="1">
        <v>0.66666666666666663</v>
      </c>
      <c r="C9" s="146" t="s" ph="1">
        <v>181</v>
      </c>
      <c r="D9" s="71">
        <v>4179</v>
      </c>
      <c r="E9" s="71">
        <v>4250</v>
      </c>
      <c r="F9" s="71">
        <v>4633</v>
      </c>
      <c r="G9" s="71">
        <v>4450</v>
      </c>
      <c r="H9" s="71">
        <v>8092</v>
      </c>
      <c r="I9" s="71">
        <v>0</v>
      </c>
      <c r="J9" s="71">
        <v>7.85</v>
      </c>
      <c r="K9" s="71">
        <v>7.46</v>
      </c>
      <c r="L9" s="71">
        <v>13.39</v>
      </c>
      <c r="M9" s="71">
        <v>1382</v>
      </c>
      <c r="N9" s="71">
        <v>6474</v>
      </c>
      <c r="O9" s="71">
        <v>1578</v>
      </c>
      <c r="P9" s="71">
        <v>973</v>
      </c>
      <c r="Q9" s="71">
        <v>0</v>
      </c>
      <c r="R9" s="71">
        <v>0</v>
      </c>
      <c r="S9" s="71">
        <v>0</v>
      </c>
      <c r="T9" s="71">
        <v>5075</v>
      </c>
      <c r="U9" s="71">
        <v>6378</v>
      </c>
      <c r="V9" s="71">
        <v>4640</v>
      </c>
      <c r="W9" s="71">
        <v>2445</v>
      </c>
      <c r="X9" s="71">
        <v>0</v>
      </c>
      <c r="Y9" s="71">
        <v>0</v>
      </c>
      <c r="Z9" s="71">
        <v>3282</v>
      </c>
      <c r="AA9" s="71">
        <v>2170</v>
      </c>
      <c r="AB9" s="71">
        <v>3522</v>
      </c>
      <c r="AC9" s="71">
        <v>5879</v>
      </c>
      <c r="AD9" s="71">
        <v>4429</v>
      </c>
      <c r="AE9" s="71">
        <v>4528</v>
      </c>
    </row>
    <row r="10" spans="1:99" s="72" customFormat="1" ht="21.75" ph="1">
      <c r="B10" s="196" ph="1"/>
      <c r="C10" s="146" t="s" ph="1">
        <v>179</v>
      </c>
      <c r="D10" s="73" ph="1">
        <f>D9*33.183*LOOKUP(D11,密度!$A$2:$A$50,密度!$Q$2:$Q$50)</f>
        <v>131089.18532724</v>
      </c>
      <c r="E10" s="73" ph="1">
        <f>E9*51.53*LOOKUP(E11,密度!$A$2:$A$50,密度!$B$2:$B$50)</f>
        <v>170362.04475</v>
      </c>
      <c r="F10" s="73" ph="1">
        <f>F9*33.183*LOOKUP(F11,密度!$A$2:$A$50,密度!$C$2:$C$50)</f>
        <v>170478.78076710002</v>
      </c>
      <c r="G10" s="73" ph="1">
        <f xml:space="preserve"> (G9+2)*51.53*LOOKUP(G11,密度!$A$2:$A$50,密度!$B$2:$B$50)</f>
        <v>178642.78177199999</v>
      </c>
      <c r="H10" s="73" ph="1">
        <f>(H9)*51.53*LOOKUP(H11,密度!$A$2:$A$50,密度!$B$2:$B$50)</f>
        <v>324702.91781199997</v>
      </c>
      <c r="I10" s="73" ph="1">
        <f>I9*290.8*1.0267</f>
        <v>0</v>
      </c>
      <c r="J10" s="73" ph="1">
        <f>J9*290.8*0.7892</f>
        <v>1801.5699760000002</v>
      </c>
      <c r="K10" s="73" ph="1">
        <f>K9*290.8*1.1126</f>
        <v>2413.6388367999998</v>
      </c>
      <c r="L10" s="73" ph="1">
        <f>L9*290.8*0.777</f>
        <v>3025.4919240000004</v>
      </c>
      <c r="M10" s="73" ph="1">
        <f>M9*33.183*LOOKUP(M11,密度!$A$2:$A$50,密度!$D$2:$D$50)</f>
        <v>46954.933853400005</v>
      </c>
      <c r="N10" s="73" ph="1">
        <f>N9*33.183*LOOKUP(N11,密度!$A$2:$A$50,密度!$E$2:$E$50)</f>
        <v>167779.68550200001</v>
      </c>
      <c r="O10" s="73" ph="1">
        <f>O9*20.428*LOOKUP(O11,密度!$A$2:$A$50,密度!$C$2:$C$50)</f>
        <v>35555.628552000002</v>
      </c>
      <c r="P10" s="73" ph="1">
        <f>P9*51.53*LOOKUP(P11,密度!$A$2:$A$50,密度!$B$2:$B$50)</f>
        <v>39088.122724000001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33756.629444999999</v>
      </c>
      <c r="U10" s="73" ph="1">
        <f>U9*1.5*1.5*3.1416*LOOKUP(U11,密度!$A$2:$A$50,密度!$L$2:$L$50)</f>
        <v>42243.268359600006</v>
      </c>
      <c r="V10" s="73" ph="1">
        <f>V9*1.5*1.5*3.1416*LOOKUP(V11,密度!$A$2:$A$50,密度!$L$2:$L$50)</f>
        <v>30633.615935999998</v>
      </c>
      <c r="W10" s="73" ph="1">
        <f>W9*1.5*1.5*3.1416*LOOKUP(W11,密度!$A$2:$A$50,密度!$L$2:$L$50)</f>
        <v>16193.915198999999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102045.489822</v>
      </c>
      <c r="AA10" s="73" ph="1">
        <f>AA9*33.183*LOOKUP(AA11,密度!$A$2:$A$50,密度!$D$2:$D$50)</f>
        <v>73461.653621999998</v>
      </c>
      <c r="AB10" s="73" ph="1">
        <f>AB9*20.428*LOOKUP(AB11,密度!$A$2:$A$50,密度!$D$2:$D$50)</f>
        <v>74386.433402399998</v>
      </c>
      <c r="AC10" s="73" ph="1">
        <f>AC9*51.53*LOOKUP(AC11,密度!$A$2:$A$50,密度!$Q$2:$Q$50)</f>
        <v>287031.17597889999</v>
      </c>
      <c r="AD10" s="73" ph="1">
        <f>AD9*20.428*LOOKUP(AD11,密度!$A$2:$A$50,密度!$V$2:$V$50)</f>
        <v>86639.446051200008</v>
      </c>
      <c r="AE10" s="73" ph="1">
        <f>AE9*20.428</f>
        <v>92497.983999999997</v>
      </c>
    </row>
    <row r="11" spans="1:99" ph="1">
      <c r="A11" s="64" t="s" ph="1">
        <v>163</v>
      </c>
      <c r="B11" s="196" ph="1"/>
      <c r="C11" s="146" t="s" ph="1">
        <v>180</v>
      </c>
      <c r="D11" s="74">
        <v>27</v>
      </c>
      <c r="E11" s="74">
        <v>27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32</v>
      </c>
      <c r="P11" s="74">
        <v>25</v>
      </c>
      <c r="Q11" s="74">
        <v>29</v>
      </c>
      <c r="R11" s="74">
        <v>33</v>
      </c>
      <c r="S11" s="74">
        <v>20</v>
      </c>
      <c r="T11" s="74">
        <v>21</v>
      </c>
      <c r="U11" s="74">
        <v>25</v>
      </c>
      <c r="V11" s="74">
        <v>28</v>
      </c>
      <c r="W11" s="74">
        <v>25</v>
      </c>
      <c r="X11" s="74">
        <v>20</v>
      </c>
      <c r="Y11" s="74">
        <v>28</v>
      </c>
      <c r="Z11" s="74">
        <v>25</v>
      </c>
      <c r="AA11" s="74">
        <v>32</v>
      </c>
      <c r="AB11" s="74">
        <v>17</v>
      </c>
      <c r="AC11" s="74">
        <v>24</v>
      </c>
      <c r="AD11" s="74">
        <v>36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6" t="s" ph="1">
        <v>178</v>
      </c>
      <c r="D15" s="78">
        <v>1843</v>
      </c>
      <c r="E15" s="78">
        <v>5260</v>
      </c>
      <c r="F15" s="78">
        <v>2995</v>
      </c>
      <c r="G15" s="78">
        <v>3802</v>
      </c>
      <c r="H15" s="78">
        <v>4523</v>
      </c>
      <c r="I15" s="78">
        <v>2550</v>
      </c>
      <c r="J15" s="78">
        <v>200</v>
      </c>
      <c r="K15" s="78">
        <v>710</v>
      </c>
      <c r="L15" s="78">
        <v>4374</v>
      </c>
      <c r="M15" s="78">
        <v>4331</v>
      </c>
      <c r="N15" s="78">
        <v>10</v>
      </c>
      <c r="O15" s="78">
        <v>0</v>
      </c>
      <c r="P15" s="78">
        <v>6938</v>
      </c>
      <c r="Q15" s="78">
        <v>29</v>
      </c>
      <c r="R15" s="78">
        <v>3508</v>
      </c>
      <c r="S15" s="78">
        <v>6862</v>
      </c>
      <c r="T15" s="78">
        <v>2101</v>
      </c>
      <c r="U15" s="78">
        <v>4847</v>
      </c>
      <c r="V15" s="78">
        <v>5447</v>
      </c>
      <c r="W15" s="71">
        <v>3761</v>
      </c>
      <c r="X15" s="78">
        <v>150</v>
      </c>
      <c r="Y15" s="106">
        <v>-2365</v>
      </c>
      <c r="Z15" s="78">
        <v>0</v>
      </c>
      <c r="AA15" s="78">
        <v>4229</v>
      </c>
      <c r="AB15" s="78" ph="1">
        <v>6914</v>
      </c>
      <c r="AC15" s="78" ph="1">
        <v>988</v>
      </c>
      <c r="AD15" s="78">
        <v>62.93</v>
      </c>
      <c r="AE15" s="78">
        <v>5.37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6" t="s" ph="1">
        <v>179</v>
      </c>
      <c r="D16" s="73" ph="1">
        <f>D15*7.0686*LOOKUP(D17,密度!$A$2:$A$50,密度!$L$2:$L$50)</f>
        <v>12206.701722600001</v>
      </c>
      <c r="E16" s="73" ph="1">
        <f>E15*7.0686*LOOKUP(E17,密度!$A$2:$A$50,密度!$L$2:$L$50)</f>
        <v>34838.443332000003</v>
      </c>
      <c r="F16" s="73" ph="1">
        <f>F15*9.0746*LOOKUP(F17,密度!$A$2:$A$50,密度!$L$2:$L$50)</f>
        <v>25411.829245000001</v>
      </c>
      <c r="G16" s="73" ph="1">
        <f>G15*9.0746*LOOKUP(G17,密度!$A$2:$A$50,密度!$B$2:$B$50)</f>
        <v>26928.521590600001</v>
      </c>
      <c r="H16" s="73" ph="1">
        <f>H15*9.0746*LOOKUP(H17,密度!$A$2:$A$50,密度!$L$2:$L$50)</f>
        <v>38581.750851999997</v>
      </c>
      <c r="I16" s="73" ph="1">
        <f>I15*9.0746*LOOKUP(I17,密度!$A$2:$A$50,密度!$U$2:$U$50)</f>
        <v>23695.595519999999</v>
      </c>
      <c r="J16" s="73" ph="1">
        <f>J15*9.0746*LOOKUP(J17,密度!$A$2:$A$50,密度!$L$2:$L$50)</f>
        <v>1698.7651200000003</v>
      </c>
      <c r="K16" s="73" ph="1">
        <f>K15*9.0746*LOOKUP(K17,密度!$A$2:$A$50,密度!$C$2:$C$50)</f>
        <v>7139.450624600001</v>
      </c>
      <c r="L16" s="73" ph="1">
        <f>L15*9.0746*LOOKUP(L17,密度!$A$2:$A$50,密度!$E$2:$E$50)</f>
        <v>31043.348142840001</v>
      </c>
      <c r="M16" s="73" ph="1">
        <f>M15*9.0746*LOOKUP(M17,密度!$A$2:$A$50,密度!$M$2:$M$50)</f>
        <v>34353.959141660001</v>
      </c>
      <c r="N16" s="73" ph="1">
        <f>N15*9.0746*LOOKUP(N17,密度!$A$2:$A$50,密度!$M$2:$M$50)</f>
        <v>79.584242000000003</v>
      </c>
      <c r="O16" s="73" ph="1">
        <f>O15*9.0746*LOOKUP(O17,密度!$A$2:$A$50,密度!$G$2:$G$50)</f>
        <v>0</v>
      </c>
      <c r="P16" s="73" ph="1">
        <f ca="1">P15*9.0746*LOOKUP(P17,密度!$A$2:$A$51,密度!$Q$2:$Q$50)</f>
        <v>59606.347846152006</v>
      </c>
      <c r="Q16" s="73" ph="1">
        <f>Q15*9.0746*LOOKUP(Q17,密度!$A$2:$A$50,密度!$Q$2:$Q$50)</f>
        <v>249.33942659800005</v>
      </c>
      <c r="R16" s="73" ph="1">
        <f>MAX(R15*9.0746*LOOKUP(R17,密度!$A$2:$A$50,密度!$B$2:$B$50),0)</f>
        <v>24817.550025280001</v>
      </c>
      <c r="S16" s="73" ph="1">
        <f>S15*9.0746*LOOKUP(S17,密度!$A$2:$A$50,密度!$Q$2:$Q$50)</f>
        <v>58998.867079844</v>
      </c>
      <c r="T16" s="73" ph="1">
        <f>T15*9.0746*LOOKUP(T17,密度!$A$2:$A$50,密度!$O$2:$O$50)</f>
        <v>17654.870239600001</v>
      </c>
      <c r="U16" s="73" ph="1">
        <f>U15*9.0746*LOOKUP(U17,密度!$A$2:$A$50,密度!$H$2:$H$50)</f>
        <v>40276.685583339997</v>
      </c>
      <c r="V16" s="73" ph="1">
        <f>MAX(5600*LOOKUP(V17,密度!$A$2:$A$50,密度!$Q$2:$Q$50)+V15*9.0476*LOOKUP(V17,密度!$A$2:$A$50,密度!$Q$2:$Q$50),0)</f>
        <v>51999.311178684002</v>
      </c>
      <c r="W16" s="73" ph="1">
        <f>MAX(5600*LOOKUP(W17,密度!$A$2:$A$50,密度!$Q$2:$Q$50)+W15*9.0476*LOOKUP(W17,密度!$A$2:$A$50,密度!$Q$2:$Q$50),0)</f>
        <v>37546.363520292005</v>
      </c>
      <c r="X16" s="73" ph="1">
        <f>MAX(5600*LOOKUP(X17,密度!$A$2:$A$50,密度!$I$2:$I$50)+X15*9.0476*LOOKUP(X17,密度!$A$2:$A$50,密度!$I$2:$I$50),0)</f>
        <v>7261.1670180000001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29952.845293699997</v>
      </c>
      <c r="AB16" s="73" ph="1">
        <f>AB15*9.0746*LOOKUP(AB17,密度!$A$2:$A$50,密度!$L$2:$L$50)</f>
        <v>58789.051982800011</v>
      </c>
      <c r="AC16" s="73" ph="1">
        <f>AC15*9.0746*LOOKUP(AC17,密度!$A$2:$A$50,密度!$L$2:$L$50)</f>
        <v>8409.8311023999995</v>
      </c>
      <c r="AD16" s="73" ph="1">
        <f>AD15*268.68*LOOKUP(AD17,密度!$A$2:$A$50,密度!B2:B50)+IF(AD15&lt;=0,0,1566*LOOKUP(AD17,密度!$A$2:$A$50,密度!B2:B50))</f>
        <v>14402.35565904</v>
      </c>
      <c r="AE16" s="73" ph="1">
        <f>AE15*268.68*LOOKUP(AE17,密度!$A$2:$A$50,密度!B2:B50)+IF(AE15&lt;=0,0,1566*LOOKUP(AE17,密度!$A$2:$A$50,密度!B2:B50))</f>
        <v>2345.6695233599999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27</v>
      </c>
      <c r="G17" s="74">
        <v>24</v>
      </c>
      <c r="H17" s="74">
        <v>22</v>
      </c>
      <c r="I17" s="74">
        <v>26</v>
      </c>
      <c r="J17" s="74">
        <v>26</v>
      </c>
      <c r="K17" s="74">
        <v>26</v>
      </c>
      <c r="L17" s="74">
        <v>26</v>
      </c>
      <c r="M17" s="74">
        <v>26</v>
      </c>
      <c r="N17" s="74">
        <v>23</v>
      </c>
      <c r="O17" s="74">
        <v>25</v>
      </c>
      <c r="P17" s="74">
        <v>25</v>
      </c>
      <c r="Q17" s="74">
        <v>24</v>
      </c>
      <c r="R17" s="74">
        <v>25</v>
      </c>
      <c r="S17" s="74">
        <v>24</v>
      </c>
      <c r="T17" s="74">
        <v>25</v>
      </c>
      <c r="U17" s="74">
        <v>24</v>
      </c>
      <c r="V17" s="74">
        <v>24</v>
      </c>
      <c r="W17" s="74">
        <v>24</v>
      </c>
      <c r="X17" s="74">
        <v>24</v>
      </c>
      <c r="Y17" s="108">
        <v>24</v>
      </c>
      <c r="Z17" s="74">
        <v>26</v>
      </c>
      <c r="AA17" s="74">
        <v>24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1846</v>
      </c>
      <c r="E18" s="71">
        <v>5267</v>
      </c>
      <c r="F18" s="71">
        <v>2998</v>
      </c>
      <c r="G18" s="71">
        <v>3747</v>
      </c>
      <c r="H18" s="71">
        <v>4525</v>
      </c>
      <c r="I18" s="71">
        <v>2554</v>
      </c>
      <c r="J18" s="71">
        <v>144</v>
      </c>
      <c r="K18" s="71">
        <v>710</v>
      </c>
      <c r="L18" s="71">
        <v>4382</v>
      </c>
      <c r="M18" s="71">
        <v>4338</v>
      </c>
      <c r="N18" s="71">
        <v>0</v>
      </c>
      <c r="O18" s="71">
        <v>46</v>
      </c>
      <c r="P18" s="71">
        <v>6943</v>
      </c>
      <c r="Q18" s="71">
        <v>28</v>
      </c>
      <c r="R18" s="71">
        <v>3510</v>
      </c>
      <c r="S18" s="71">
        <v>6866</v>
      </c>
      <c r="T18" s="71">
        <v>2102</v>
      </c>
      <c r="U18" s="71">
        <v>4850</v>
      </c>
      <c r="V18" s="71">
        <v>5449</v>
      </c>
      <c r="W18" s="71">
        <v>3761</v>
      </c>
      <c r="X18" s="71">
        <v>150</v>
      </c>
      <c r="Y18" s="109">
        <v>-9907</v>
      </c>
      <c r="Z18" s="71">
        <v>0</v>
      </c>
      <c r="AA18" s="71">
        <v>4231</v>
      </c>
      <c r="AB18" s="71">
        <v>6921</v>
      </c>
      <c r="AC18" s="71">
        <v>990</v>
      </c>
      <c r="AD18" s="71">
        <v>5.22</v>
      </c>
      <c r="AE18" s="71">
        <v>50.52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6" t="s" ph="1">
        <v>179</v>
      </c>
      <c r="D19" s="73" ph="1">
        <f>D18*7.0686*LOOKUP(D20,密度!$A$2:$A$50,密度!$L$2:$L$50)</f>
        <v>12187.4256504</v>
      </c>
      <c r="E19" s="73" ph="1">
        <f>E18*7.0686*LOOKUP(E20,密度!$A$2:$A$50,密度!$L$2:$L$50)</f>
        <v>34773.115330800007</v>
      </c>
      <c r="F19" s="73" ph="1">
        <f>F18*9.0746*LOOKUP(F20,密度!$A$2:$A$50,密度!$L$2:$L$50)</f>
        <v>25355.666545600001</v>
      </c>
      <c r="G19" s="73" ph="1">
        <f>G18*9.0746*LOOKUP(G20,密度!$A$2:$A$50,密度!$B$2:$B$50)</f>
        <v>26508.369425519999</v>
      </c>
      <c r="H19" s="73" ph="1">
        <f>H18*9.0746*LOOKUP(H20,密度!$A$2:$A$50,密度!$L$2:$L$50)</f>
        <v>38598.811099999999</v>
      </c>
      <c r="I19" s="73" ph="1">
        <f>I18*9.0746*LOOKUP(I20,密度!$A$2:$A$50,密度!$U$2:$U$50)</f>
        <v>23686.4120248</v>
      </c>
      <c r="J19" s="73" ph="1">
        <f>J18*9.0746*LOOKUP(J20,密度!$A$2:$A$50,密度!$L$2:$L$50)</f>
        <v>1219.1906592000003</v>
      </c>
      <c r="K19" s="73" ph="1">
        <f>K18*9.0746*LOOKUP(K20,密度!$A$2:$A$50,密度!$C$2:$C$50)</f>
        <v>7125.2760994000009</v>
      </c>
      <c r="L19" s="73" ph="1">
        <f>L18*9.0746*LOOKUP(L20,密度!$A$2:$A$50,密度!$E$2:$E$50)</f>
        <v>31100.12610012</v>
      </c>
      <c r="M19" s="73" ph="1">
        <f>M18*9.0746*LOOKUP(M20,密度!$A$2:$A$50,密度!$M$2:$M$50)</f>
        <v>34287.450490800002</v>
      </c>
      <c r="N19" s="73" ph="1">
        <f>N18*9.0746*LOOKUP(N20,密度!$A$2:$A$50,密度!$M$2:$M$50)</f>
        <v>0</v>
      </c>
      <c r="O19" s="73" ph="1">
        <f>O18*9.0746*LOOKUP(O20,密度!$A$2:$A$50,密度!$G$2:$G$50)</f>
        <v>399.02286643999997</v>
      </c>
      <c r="P19" s="73" ph="1">
        <f ca="1">P18*9.0746*LOOKUP(P20,密度!$A$2:$A$51,密度!$Q$2:$Q$50)</f>
        <v>59649.304280172</v>
      </c>
      <c r="Q19" s="73" ph="1">
        <f>Q18*9.0746*LOOKUP(Q20,密度!$A$2:$A$50,密度!$Q$2:$Q$50)</f>
        <v>240.01736225599998</v>
      </c>
      <c r="R19" s="73" ph="1">
        <f>MAX(R18*9.0746*LOOKUP(R20,密度!$A$2:$A$50,密度!$B$2:$B$50),0)</f>
        <v>24803.0324802</v>
      </c>
      <c r="S19" s="73" ph="1">
        <f>S18*9.0746*LOOKUP(S20,密度!$A$2:$A$50,密度!$Q$2:$Q$50)</f>
        <v>58943.537791708004</v>
      </c>
      <c r="T19" s="73" ph="1">
        <f>T18*9.0746*LOOKUP(T20,密度!$A$2:$A$50,密度!$O$2:$O$50)</f>
        <v>17663.273319200001</v>
      </c>
      <c r="U19" s="73" ph="1">
        <f>U18*9.0746*LOOKUP(U20,密度!$A$2:$A$50,密度!$H$2:$H$50)</f>
        <v>40222.393158999999</v>
      </c>
      <c r="V19" s="73" ph="1">
        <f>MAX(5600*LOOKUP(V20,密度!$A$2:$A$50,密度!$Q$2:$Q$50)+V18*9.0476*LOOKUP(V20,密度!$A$2:$A$50,密度!$Q$2:$Q$50),0)</f>
        <v>51937.39930157199</v>
      </c>
      <c r="W19" s="73" ph="1">
        <f>MAX(5600*LOOKUP(W20,密度!$A$2:$A$50,密度!$Q$2:$Q$50)+W18*9.0476*LOOKUP(W20,密度!$A$2:$A$50,密度!$Q$2:$Q$50),0)</f>
        <v>37489.299166308003</v>
      </c>
      <c r="X19" s="73" ph="1">
        <f>MAX(5600*LOOKUP(X20,密度!$A$2:$A$50,密度!$I$2:$I$50)+X18*9.0476*LOOKUP(X20,密度!$A$2:$A$50,密度!$I$2:$I$50),0)</f>
        <v>7251.4270219999999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30001.565913640003</v>
      </c>
      <c r="AB19" s="73" ph="1">
        <f>AB18*9.0746*LOOKUP(AB20,密度!$A$2:$A$50,密度!$L$2:$L$50)</f>
        <v>58785.766977600004</v>
      </c>
      <c r="AC19" s="73" ph="1">
        <f>AC18*9.0746*LOOKUP(AC20,密度!$A$2:$A$50,密度!$L$2:$L$50)</f>
        <v>8408.8873440000007</v>
      </c>
      <c r="AD19" s="73" ph="1">
        <f>AD18*268.68*LOOKUP(AD20,密度!$A$2:$A$50,密度!B5:B53)+IF(AD18&lt;=0,0,1566*LOOKUP(AD20,密度!$A$2:$A$50,密度!B5:B53))</f>
        <v>2306.5319591999996</v>
      </c>
      <c r="AE19" s="73" ph="1">
        <f>AE18*268.68*LOOKUP(AE20,密度!$A$2:$A$50,密度!B5:B53)+IF(AE18&lt;=0,0,1566*LOOKUP(AE20,密度!$A$2:$A$50,密度!B5:B53))</f>
        <v>11763.5574672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28</v>
      </c>
      <c r="E20" s="81">
        <v>28</v>
      </c>
      <c r="F20" s="81">
        <v>30</v>
      </c>
      <c r="G20" s="81">
        <v>25</v>
      </c>
      <c r="H20" s="81">
        <v>22</v>
      </c>
      <c r="I20" s="81">
        <v>28</v>
      </c>
      <c r="J20" s="81">
        <v>29</v>
      </c>
      <c r="K20" s="81">
        <v>29</v>
      </c>
      <c r="L20" s="81">
        <v>26</v>
      </c>
      <c r="M20" s="81">
        <v>29</v>
      </c>
      <c r="N20" s="81">
        <v>26</v>
      </c>
      <c r="O20" s="81">
        <v>29</v>
      </c>
      <c r="P20" s="81">
        <v>25</v>
      </c>
      <c r="Q20" s="81">
        <v>28</v>
      </c>
      <c r="R20" s="81">
        <v>26</v>
      </c>
      <c r="S20" s="81">
        <v>26</v>
      </c>
      <c r="T20" s="81">
        <v>26</v>
      </c>
      <c r="U20" s="81">
        <v>26</v>
      </c>
      <c r="V20" s="81">
        <v>26</v>
      </c>
      <c r="W20" s="81">
        <v>26</v>
      </c>
      <c r="X20" s="81">
        <v>25</v>
      </c>
      <c r="Y20" s="110">
        <v>25</v>
      </c>
      <c r="Z20" s="81">
        <v>30</v>
      </c>
      <c r="AA20" s="81">
        <v>23</v>
      </c>
      <c r="AB20" s="81">
        <v>26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6" t="s" ph="1">
        <v>178</v>
      </c>
      <c r="D24" s="71">
        <v>3.31</v>
      </c>
      <c r="E24" s="71">
        <v>95.47</v>
      </c>
      <c r="F24" s="71">
        <v>0</v>
      </c>
      <c r="G24" s="71">
        <v>1961</v>
      </c>
      <c r="H24" s="71">
        <v>1657</v>
      </c>
      <c r="I24" s="71">
        <v>3793</v>
      </c>
      <c r="J24" s="71">
        <v>4667</v>
      </c>
      <c r="K24" s="71">
        <v>0</v>
      </c>
      <c r="L24" s="71">
        <v>0</v>
      </c>
      <c r="M24" s="71">
        <v>2209</v>
      </c>
      <c r="N24" s="71">
        <v>5374</v>
      </c>
      <c r="O24" s="71">
        <v>0</v>
      </c>
      <c r="P24" s="71">
        <v>837</v>
      </c>
      <c r="Q24" s="90">
        <v>1933</v>
      </c>
      <c r="R24" s="71">
        <v>4072</v>
      </c>
      <c r="S24" s="71">
        <v>3015</v>
      </c>
      <c r="T24" s="71">
        <v>1757</v>
      </c>
      <c r="U24" s="71">
        <v>5430</v>
      </c>
      <c r="V24" s="71">
        <v>9645</v>
      </c>
      <c r="W24" s="71">
        <v>8333</v>
      </c>
      <c r="X24" s="71">
        <v>2740</v>
      </c>
      <c r="Y24" s="71">
        <v>4195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2324.5598815920002</v>
      </c>
      <c r="E25" s="91" ph="1">
        <f>E24*268.68*LOOKUP(E26,密度!$A$2:$A$50,密度!$C$2:$C$50)+IF(E24&lt;=0,0,1566*LOOKUP(E26,密度!$A$2:$A$50,密度!$C$2:$C$50))</f>
        <v>30180.797788440002</v>
      </c>
      <c r="F25" s="91" ph="1">
        <f>F24*11.702*LOOKUP(F26,密度!$A$2:$A$50,密度!$Q$2:$Q$50)</f>
        <v>0</v>
      </c>
      <c r="G25" s="91" ph="1">
        <f>G24*18.322*LOOKUP(G26,密度!$A$2:$A$50,密度!$B$2:$B$50)</f>
        <v>27978.256485399994</v>
      </c>
      <c r="H25" s="91" ph="1">
        <f>H24*18.322*LOOKUP(H26,密度!$A$2:$A$50,密度!$B$2:$B$50)</f>
        <v>23668.308298399999</v>
      </c>
      <c r="I25" s="91" ph="1">
        <f>I24*18.322*LOOKUP(I26,密度!$A$2:$A$50,密度!$Q$2:$Q$50)</f>
        <v>65744.682176379996</v>
      </c>
      <c r="J25" s="91" ph="1">
        <f>J24*18.322*LOOKUP(J26,密度!$A$2:$A$50,密度!$Q$2:$Q$50)</f>
        <v>80954.576696759992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38317.69014852</v>
      </c>
      <c r="N25" s="91" ph="1">
        <f>N24*18.322*LOOKUP(N26,密度!$A$2:$A$50,密度!$Q$2:$Q$50)</f>
        <v>93148.410760840008</v>
      </c>
      <c r="O25" s="91" ph="1">
        <f>O24*18.322*LOOKUP(O26,密度!$A$2:$A$50,密度!$C$2:$C$50)</f>
        <v>0</v>
      </c>
      <c r="P25" s="91" ph="1">
        <f>P24*11.702*LOOKUP(P26,密度!$A$2:$A$50,密度!$B$2:$B$50)</f>
        <v>7635.8498903999998</v>
      </c>
      <c r="Q25" s="92" ph="1">
        <f>Q24*18.322*LOOKUP(Q26,密度!$A$2:$A$50,密度!$B$2:$B$50)</f>
        <v>27610.645709599998</v>
      </c>
      <c r="R25" s="91" ph="1">
        <f>R24*35.891*LOOKUP(R26,密度!$A$2:$A$50,密度!$C$2:$C$50)</f>
        <v>162063.6857528</v>
      </c>
      <c r="S25" s="91" ph="1">
        <f>S24*35.891*LOOKUP(S26,密度!$A$2:$A$50,密度!$B$2:$B$50)</f>
        <v>84264.189925499988</v>
      </c>
      <c r="T25" s="91" ph="1">
        <f>T24*35.891*LOOKUP(T26,密度!$A$2:$A$50,密度!$Q$2:$Q$50)</f>
        <v>59657.112516609996</v>
      </c>
      <c r="U25" s="91" ph="1">
        <f>U24*35.891</f>
        <v>194888.13</v>
      </c>
      <c r="V25" s="91" ph="1">
        <f>V24*47.051*LOOKUP(V26,密度!$A$2:$A$50,密度!$B$2:$B$50)</f>
        <v>353379.4291365</v>
      </c>
      <c r="W25" s="91" ph="1">
        <f>W24*47.051*LOOKUP(W26,密度!$A$2:$A$50,密度!$B$2:$B$50)</f>
        <v>305309.56796209997</v>
      </c>
      <c r="X25" s="91" ph="1">
        <f>X24*47.051*LOOKUP(X26,密度!$A$2:$A$50,密度!$I$2:$I$50)</f>
        <v>132925.27632179999</v>
      </c>
      <c r="Y25" s="91" ph="1">
        <f>Y24*47.051*LOOKUP(Y26,密度!$A$2:$A$50,密度!$L$2:$L$50)</f>
        <v>184944.07146500002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26</v>
      </c>
      <c r="H26" s="74">
        <v>25</v>
      </c>
      <c r="I26" s="74">
        <v>26</v>
      </c>
      <c r="J26" s="74">
        <v>25</v>
      </c>
      <c r="K26" s="74">
        <v>26</v>
      </c>
      <c r="L26" s="74">
        <v>26</v>
      </c>
      <c r="M26" s="74">
        <v>25</v>
      </c>
      <c r="N26" s="74">
        <v>26</v>
      </c>
      <c r="O26" s="74">
        <v>25</v>
      </c>
      <c r="P26" s="74">
        <v>25</v>
      </c>
      <c r="Q26" s="93">
        <v>25</v>
      </c>
      <c r="R26" s="74">
        <v>25</v>
      </c>
      <c r="S26" s="74">
        <v>26</v>
      </c>
      <c r="T26" s="74">
        <v>26</v>
      </c>
      <c r="U26" s="74">
        <v>25</v>
      </c>
      <c r="V26" s="74">
        <v>26</v>
      </c>
      <c r="W26" s="74">
        <v>26</v>
      </c>
      <c r="X26" s="74">
        <v>35</v>
      </c>
      <c r="Y26" s="74">
        <v>25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6" t="s" ph="1">
        <v>181</v>
      </c>
      <c r="D27" s="71">
        <v>3.27</v>
      </c>
      <c r="E27" s="71">
        <v>95.48</v>
      </c>
      <c r="F27" s="71">
        <v>0</v>
      </c>
      <c r="G27" s="71">
        <v>1331</v>
      </c>
      <c r="H27" s="71">
        <v>2191</v>
      </c>
      <c r="I27" s="71">
        <v>3793</v>
      </c>
      <c r="J27" s="71">
        <v>4681</v>
      </c>
      <c r="K27" s="71">
        <v>0</v>
      </c>
      <c r="L27" s="71">
        <v>0</v>
      </c>
      <c r="M27" s="71">
        <v>3381</v>
      </c>
      <c r="N27" s="71">
        <v>5374</v>
      </c>
      <c r="O27" s="71">
        <v>0</v>
      </c>
      <c r="P27" s="71">
        <v>835</v>
      </c>
      <c r="Q27" s="90">
        <v>1680</v>
      </c>
      <c r="R27" s="71">
        <v>4069</v>
      </c>
      <c r="S27" s="71">
        <v>2980</v>
      </c>
      <c r="T27" s="71">
        <v>1756</v>
      </c>
      <c r="U27" s="71">
        <v>5236</v>
      </c>
      <c r="V27" s="71">
        <v>9650</v>
      </c>
      <c r="W27" s="71">
        <v>8333</v>
      </c>
      <c r="X27" s="71">
        <v>2739</v>
      </c>
      <c r="Y27" s="71">
        <v>3477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6" t="s" ph="1">
        <v>179</v>
      </c>
      <c r="D28" s="91" ph="1">
        <f>D27*268.68*LOOKUP(D29,密度!$A$2:$A$50,密度!$Q$2:$Q$50)+IF(D27&lt;=0,0,1566*LOOKUP(D29,密度!$A$2:$A$50,密度!$Q$2:$Q$50))</f>
        <v>2314.385077464</v>
      </c>
      <c r="E28" s="91" ph="1">
        <f>E27*268.68*LOOKUP(E29,密度!$A$2:$A$50,密度!$C$2:$C$50)+IF(E27&lt;=0,0,1566*LOOKUP(E29,密度!$A$2:$A$50,密度!$C$2:$C$50))</f>
        <v>30183.777180960005</v>
      </c>
      <c r="F28" s="91" ph="1">
        <f>F27*11.702*LOOKUP(F29,密度!$A$2:$A$50,密度!$Q$2:$Q$50)</f>
        <v>0</v>
      </c>
      <c r="G28" s="91" ph="1">
        <f>G27*18.322*LOOKUP(G29,密度!$A$2:$A$50,密度!$B$2:$B$50)</f>
        <v>19033.727250999997</v>
      </c>
      <c r="H28" s="91" ph="1">
        <f>H27*18.322*LOOKUP(H29,密度!$A$2:$A$50,密度!$B$2:$B$50)</f>
        <v>31295.874159199997</v>
      </c>
      <c r="I28" s="91" ph="1">
        <f>I27*18.322*LOOKUP(I29,密度!$A$2:$A$50,密度!$Q$2:$Q$50)</f>
        <v>65695.340480719999</v>
      </c>
      <c r="J28" s="91" ph="1">
        <f>J27*18.322*LOOKUP(J29,密度!$A$2:$A$50,密度!$Q$2:$Q$50)</f>
        <v>81197.42308067999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58692.622794540002</v>
      </c>
      <c r="N28" s="91" ph="1">
        <f>N27*18.322*LOOKUP(N29,密度!$A$2:$A$50,密度!$Q$2:$Q$50)</f>
        <v>93290.196657160006</v>
      </c>
      <c r="O28" s="91" ph="1">
        <f>O27*18.322*LOOKUP(O29,密度!$A$2:$A$50,密度!$C$2:$C$50)</f>
        <v>0</v>
      </c>
      <c r="P28" s="91" ph="1">
        <f>P27*11.702*LOOKUP(P29,密度!$A$2:$A$50,密度!$B$2:$B$50)</f>
        <v>7626.398185</v>
      </c>
      <c r="Q28" s="92" ph="1">
        <f>Q27*18.322*LOOKUP(Q29,密度!$A$2:$A$50,密度!$B$2:$B$50)</f>
        <v>23996.836415999998</v>
      </c>
      <c r="R28" s="91" ph="1">
        <f>R27*35.891*LOOKUP(R29,密度!$A$2:$A$50,密度!$C$2:$C$50)</f>
        <v>162046.51549839997</v>
      </c>
      <c r="S28" s="91" ph="1">
        <f>S27*35.891*LOOKUP(S29,密度!$A$2:$A$50,密度!$B$2:$B$50)</f>
        <v>83200.434521999996</v>
      </c>
      <c r="T28" s="91" ph="1">
        <f>T27*35.891*LOOKUP(T29,密度!$A$2:$A$50,密度!$Q$2:$Q$50)</f>
        <v>59623.158553879999</v>
      </c>
      <c r="U28" s="91" ph="1">
        <f>U27*35.891</f>
        <v>187925.27599999998</v>
      </c>
      <c r="V28" s="91" ph="1">
        <f>V27*47.051*LOOKUP(V29,密度!$A$2:$A$50,密度!$B$2:$B$50)</f>
        <v>354788.53600999998</v>
      </c>
      <c r="W28" s="91" ph="1">
        <f>W27*47.051*LOOKUP(W29,密度!$A$2:$A$50,密度!$B$2:$B$50)</f>
        <v>306015.30473149999</v>
      </c>
      <c r="X28" s="91" ph="1">
        <f>X27*47.051*LOOKUP(X29,密度!$A$2:$A$50,密度!$I$2:$I$50)</f>
        <v>132733.71476244001</v>
      </c>
      <c r="Y28" s="91" ph="1">
        <f>Y27*47.051*LOOKUP(Y29,密度!$A$2:$A$50,密度!$L$2:$L$50)</f>
        <v>153289.75839900001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6" t="s" ph="1">
        <v>180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27</v>
      </c>
      <c r="J29" s="74">
        <v>25</v>
      </c>
      <c r="K29" s="74">
        <v>24</v>
      </c>
      <c r="L29" s="74">
        <v>27</v>
      </c>
      <c r="M29" s="74">
        <v>24</v>
      </c>
      <c r="N29" s="74">
        <v>24</v>
      </c>
      <c r="O29" s="74">
        <v>27</v>
      </c>
      <c r="P29" s="74">
        <v>24</v>
      </c>
      <c r="Q29" s="93">
        <v>25</v>
      </c>
      <c r="R29" s="74">
        <v>24</v>
      </c>
      <c r="S29" s="74">
        <v>27</v>
      </c>
      <c r="T29" s="74">
        <v>26</v>
      </c>
      <c r="U29" s="74">
        <v>25</v>
      </c>
      <c r="V29" s="74">
        <v>23</v>
      </c>
      <c r="W29" s="74">
        <v>24</v>
      </c>
      <c r="X29" s="74">
        <v>36</v>
      </c>
      <c r="Y29" s="74">
        <v>25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147848.08702440001</v>
      </c>
      <c r="E33" s="218" ph="1">
        <f>M10+I10</f>
        <v>46954.933853400005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22" ph="1">
        <v>0</v>
      </c>
      <c r="H33" s="218" ph="1">
        <f>N19</f>
        <v>0</v>
      </c>
      <c r="I33" s="231" ph="1">
        <v>0</v>
      </c>
      <c r="J33" s="229" ph="1">
        <f>F10+O28</f>
        <v>170478.78076710002</v>
      </c>
      <c r="K33" s="218" ph="1">
        <f>O10+K10+E28+R28</f>
        <v>230199.56006815998</v>
      </c>
      <c r="L33" s="233" ph="1">
        <f>BE27</f>
        <v>7100</v>
      </c>
      <c r="M33" s="229" ph="1">
        <f>G10+H10+W28+S28+V28+E10</f>
        <v>1417712.0195975001</v>
      </c>
      <c r="N33" s="218" ph="1">
        <f>L10+P10++G28+H28</f>
        <v>92443.216058199992</v>
      </c>
      <c r="O33" s="231" ph="1">
        <f>BE17</f>
        <v>2270</v>
      </c>
      <c r="P33" s="229" ph="1">
        <f>L19</f>
        <v>31100.12610012</v>
      </c>
      <c r="Q33" s="218" ph="1">
        <f>J10+N10</f>
        <v>169581.25547800001</v>
      </c>
      <c r="R33" s="231" ph="1">
        <f>BE23</f>
        <v>890</v>
      </c>
      <c r="S33" s="229" ph="1">
        <f>E10+X28</f>
        <v>303095.75951244001</v>
      </c>
      <c r="T33" s="218" ph="1">
        <f>X19</f>
        <v>7251.4270219999999</v>
      </c>
      <c r="U33" s="239" ph="1">
        <f>BE21</f>
        <v>730</v>
      </c>
      <c r="V33" s="250" ph="1">
        <f ca="1">P19+Q19+S19+M28+N28+J28</f>
        <v>352013.101966516</v>
      </c>
      <c r="W33" s="250" ph="1">
        <f>D28+F28+V19+T28</f>
        <v>113874.94293291599</v>
      </c>
      <c r="X33" s="231" ph="1">
        <f>BE29+BE31</f>
        <v>10200</v>
      </c>
      <c r="Y33" s="252" ph="1">
        <f>+Q10+R10+S10+T10+U10+V10+W10+X10+Y10</f>
        <v>122827.42893960001</v>
      </c>
      <c r="Z33" s="237" ph="1">
        <f>D10+T19+U19+Y28+Z10</f>
        <v>444310.10002643999</v>
      </c>
      <c r="AA33" s="239" ph="1">
        <f>BE19</f>
        <v>1440</v>
      </c>
      <c r="AB33" s="241" ph="1">
        <f>I19</f>
        <v>23686.4120248</v>
      </c>
      <c r="AC33" s="243" ph="1">
        <f>AD10</f>
        <v>86639.446051200008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4" t="s" ph="1">
        <v>186</v>
      </c>
      <c r="AA36" s="144" ph="1"/>
      <c r="AB36" s="236" t="s" ph="1">
        <v>645</v>
      </c>
      <c r="AC36" s="236" ph="1"/>
      <c r="AD36" s="236" ph="1"/>
      <c r="AE36" s="236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45" priority="96">
      <formula>ABS(D$7-D$10)&gt;=1000</formula>
    </cfRule>
  </conditionalFormatting>
  <conditionalFormatting sqref="E4 E6:E11">
    <cfRule type="expression" dxfId="2644" priority="95">
      <formula>ABS(E$7-E$10)&gt;=1000</formula>
    </cfRule>
  </conditionalFormatting>
  <conditionalFormatting sqref="F4:F11">
    <cfRule type="expression" dxfId="2643" priority="94">
      <formula>ABS(F$7-F$10)&gt;=1000</formula>
    </cfRule>
  </conditionalFormatting>
  <conditionalFormatting sqref="G4:G11">
    <cfRule type="expression" dxfId="2642" priority="93">
      <formula>ABS(G$7-G$10)&gt;=1000</formula>
    </cfRule>
  </conditionalFormatting>
  <conditionalFormatting sqref="H4:H11">
    <cfRule type="expression" dxfId="2641" priority="92">
      <formula>ABS(H$7-H$10)&gt;=1000</formula>
    </cfRule>
  </conditionalFormatting>
  <conditionalFormatting sqref="I4:I11">
    <cfRule type="expression" dxfId="2640" priority="91">
      <formula>ABS(I$7-I$10)&gt;=1000</formula>
    </cfRule>
  </conditionalFormatting>
  <conditionalFormatting sqref="J4:J11">
    <cfRule type="expression" dxfId="2639" priority="90">
      <formula>ABS(J$7-J$10)&gt;=1000</formula>
    </cfRule>
  </conditionalFormatting>
  <conditionalFormatting sqref="K4:K11">
    <cfRule type="expression" dxfId="2638" priority="89">
      <formula>ABS(K$7-K$10)&gt;=1000</formula>
    </cfRule>
  </conditionalFormatting>
  <conditionalFormatting sqref="L4:L11">
    <cfRule type="expression" dxfId="2637" priority="88">
      <formula>ABS(L$7-L$10)&gt;=1000</formula>
    </cfRule>
  </conditionalFormatting>
  <conditionalFormatting sqref="M4 M6:M11">
    <cfRule type="expression" dxfId="2636" priority="87">
      <formula>ABS(M$7-M$10)&gt;=1000</formula>
    </cfRule>
  </conditionalFormatting>
  <conditionalFormatting sqref="N4 N6:N11">
    <cfRule type="expression" dxfId="2635" priority="86">
      <formula>ABS(N$7-N$10)&gt;=1000</formula>
    </cfRule>
  </conditionalFormatting>
  <conditionalFormatting sqref="O4 O6:O11">
    <cfRule type="expression" dxfId="2634" priority="85">
      <formula>ABS(O$7-O$10)&gt;=1000</formula>
    </cfRule>
  </conditionalFormatting>
  <conditionalFormatting sqref="P4 P6:P11">
    <cfRule type="expression" dxfId="2633" priority="84">
      <formula>ABS(P$7-P$10)&gt;=1000</formula>
    </cfRule>
  </conditionalFormatting>
  <conditionalFormatting sqref="Q4:Q11">
    <cfRule type="expression" dxfId="2632" priority="83">
      <formula>ABS(Q$7-Q$10)&gt;=1000</formula>
    </cfRule>
  </conditionalFormatting>
  <conditionalFormatting sqref="R4:R11">
    <cfRule type="expression" dxfId="2631" priority="82">
      <formula>ABS(R$7-R$10)&gt;=1000</formula>
    </cfRule>
  </conditionalFormatting>
  <conditionalFormatting sqref="S4:S11">
    <cfRule type="expression" dxfId="2630" priority="81">
      <formula>ABS(S$7-S$10)&gt;=1000</formula>
    </cfRule>
  </conditionalFormatting>
  <conditionalFormatting sqref="T4:T9 T11">
    <cfRule type="expression" dxfId="2629" priority="80">
      <formula>ABS(T$7-T$10)&gt;=1000</formula>
    </cfRule>
  </conditionalFormatting>
  <conditionalFormatting sqref="U4:U9 U11">
    <cfRule type="expression" dxfId="2628" priority="79">
      <formula>ABS(U$7-U$10)&gt;=1000</formula>
    </cfRule>
  </conditionalFormatting>
  <conditionalFormatting sqref="V4:V9 V11">
    <cfRule type="expression" dxfId="2627" priority="78">
      <formula>ABS(V$7-V$10)&gt;=1000</formula>
    </cfRule>
  </conditionalFormatting>
  <conditionalFormatting sqref="W4:W9 W11">
    <cfRule type="expression" dxfId="2626" priority="77">
      <formula>ABS(W$7-W$10)&gt;=1000</formula>
    </cfRule>
  </conditionalFormatting>
  <conditionalFormatting sqref="X4:X9 X11">
    <cfRule type="expression" dxfId="2625" priority="76">
      <formula>ABS(X$7-X$10)&gt;=1000</formula>
    </cfRule>
  </conditionalFormatting>
  <conditionalFormatting sqref="Y4:Y9 Y11">
    <cfRule type="expression" dxfId="2624" priority="75">
      <formula>ABS(Y$7-Y$10)&gt;=1000</formula>
    </cfRule>
  </conditionalFormatting>
  <conditionalFormatting sqref="Z4:Z11">
    <cfRule type="expression" dxfId="2623" priority="74">
      <formula>ABS(Z$7-Z$10)&gt;=1000</formula>
    </cfRule>
  </conditionalFormatting>
  <conditionalFormatting sqref="AA4:AA11">
    <cfRule type="expression" dxfId="2622" priority="73">
      <formula>ABS(AA$7-AA$10)&gt;=1000</formula>
    </cfRule>
  </conditionalFormatting>
  <conditionalFormatting sqref="AB4:AB11">
    <cfRule type="expression" dxfId="2621" priority="72">
      <formula>ABS(AB$7-AB$10)&gt;=1000</formula>
    </cfRule>
  </conditionalFormatting>
  <conditionalFormatting sqref="AC4 AC6:AC11">
    <cfRule type="expression" dxfId="2620" priority="71">
      <formula>ABS(AC$7-AC$10)&gt;=1000</formula>
    </cfRule>
  </conditionalFormatting>
  <conditionalFormatting sqref="AD4:AD11">
    <cfRule type="expression" dxfId="2619" priority="70">
      <formula>ABS(AD$7-AD$10)&gt;=1000</formula>
    </cfRule>
  </conditionalFormatting>
  <conditionalFormatting sqref="AE4:AE11">
    <cfRule type="expression" dxfId="2618" priority="69">
      <formula>ABS(AE$7-AE$10)&gt;=1000</formula>
    </cfRule>
  </conditionalFormatting>
  <conditionalFormatting sqref="D13:D20">
    <cfRule type="expression" dxfId="2617" priority="68">
      <formula>ABS(D$16-D$19)&gt;=1000</formula>
    </cfRule>
  </conditionalFormatting>
  <conditionalFormatting sqref="E13:E20">
    <cfRule type="expression" dxfId="2616" priority="67">
      <formula>ABS(E$16-E$19)&gt;=1000</formula>
    </cfRule>
  </conditionalFormatting>
  <conditionalFormatting sqref="F13 F15:F20">
    <cfRule type="expression" dxfId="2615" priority="66">
      <formula>ABS(F$16-F$19)&gt;=1000</formula>
    </cfRule>
  </conditionalFormatting>
  <conditionalFormatting sqref="G13:G20">
    <cfRule type="expression" dxfId="2614" priority="65">
      <formula>ABS(G$16-G$19)&gt;=1000</formula>
    </cfRule>
  </conditionalFormatting>
  <conditionalFormatting sqref="H13:H20">
    <cfRule type="expression" dxfId="2613" priority="64">
      <formula>ABS(H$16-H$19)&gt;=1000</formula>
    </cfRule>
  </conditionalFormatting>
  <conditionalFormatting sqref="I13:I20">
    <cfRule type="expression" dxfId="2612" priority="63">
      <formula>ABS(I$16-I$19)&gt;=1000</formula>
    </cfRule>
  </conditionalFormatting>
  <conditionalFormatting sqref="J13:J20">
    <cfRule type="expression" dxfId="2611" priority="62">
      <formula>ABS(J$16-J$19)&gt;=1000</formula>
    </cfRule>
  </conditionalFormatting>
  <conditionalFormatting sqref="L13:L20">
    <cfRule type="expression" dxfId="2610" priority="61">
      <formula>ABS(L$16-L$19)&gt;=1000</formula>
    </cfRule>
  </conditionalFormatting>
  <conditionalFormatting sqref="M13 M15 M17:M18 M20">
    <cfRule type="expression" dxfId="2609" priority="60">
      <formula>ABS(M$16-M$19)&gt;=1000</formula>
    </cfRule>
  </conditionalFormatting>
  <conditionalFormatting sqref="N13:N20">
    <cfRule type="expression" dxfId="2608" priority="59">
      <formula>ABS(N$16-N$19)&gt;=1000</formula>
    </cfRule>
  </conditionalFormatting>
  <conditionalFormatting sqref="O13:O20">
    <cfRule type="expression" dxfId="2607" priority="58">
      <formula>ABS(O$16-O$19)&gt;=1000</formula>
    </cfRule>
  </conditionalFormatting>
  <conditionalFormatting sqref="P13:P20">
    <cfRule type="expression" dxfId="2606" priority="57">
      <formula>ABS(P$16-P$19)&gt;=1000</formula>
    </cfRule>
  </conditionalFormatting>
  <conditionalFormatting sqref="Q13 Q15:Q20">
    <cfRule type="expression" dxfId="2605" priority="56">
      <formula>ABS(Q$16-Q$19)&gt;=1000</formula>
    </cfRule>
  </conditionalFormatting>
  <conditionalFormatting sqref="R13:R20">
    <cfRule type="expression" dxfId="2604" priority="55">
      <formula>ABS(R$16-R$19)&gt;=1000</formula>
    </cfRule>
  </conditionalFormatting>
  <conditionalFormatting sqref="S13:S20">
    <cfRule type="expression" dxfId="2603" priority="54">
      <formula>ABS(S$16-S$19)&gt;=1000</formula>
    </cfRule>
  </conditionalFormatting>
  <conditionalFormatting sqref="T13:T20">
    <cfRule type="expression" dxfId="2602" priority="53">
      <formula>ABS(T$16-T$19)&gt;=1000</formula>
    </cfRule>
  </conditionalFormatting>
  <conditionalFormatting sqref="U13:U20">
    <cfRule type="expression" dxfId="2601" priority="52">
      <formula>ABS(U$16-U$19)&gt;=1000</formula>
    </cfRule>
  </conditionalFormatting>
  <conditionalFormatting sqref="V13:V20">
    <cfRule type="expression" dxfId="2600" priority="51">
      <formula>ABS(V$16-V$19)&gt;=1000</formula>
    </cfRule>
  </conditionalFormatting>
  <conditionalFormatting sqref="W13 W20 W15:W18">
    <cfRule type="expression" dxfId="2599" priority="50">
      <formula>ABS(W$16-W$19)&gt;=1000</formula>
    </cfRule>
  </conditionalFormatting>
  <conditionalFormatting sqref="X13 X15:X20 Y19">
    <cfRule type="expression" dxfId="2598" priority="49">
      <formula>ABS(X$16-X$19)&gt;=1000</formula>
    </cfRule>
  </conditionalFormatting>
  <conditionalFormatting sqref="Y13 Y15:Y18 Y20">
    <cfRule type="expression" dxfId="2597" priority="48">
      <formula>ABS(Y$16-Y$19)&gt;=1000</formula>
    </cfRule>
  </conditionalFormatting>
  <conditionalFormatting sqref="Z13:Z20">
    <cfRule type="expression" dxfId="2596" priority="47">
      <formula>ABS(Z$16-Z$19)&gt;=1000</formula>
    </cfRule>
  </conditionalFormatting>
  <conditionalFormatting sqref="AA13:AA20">
    <cfRule type="expression" dxfId="2595" priority="46">
      <formula>ABS(AA$16-AA$19)&gt;=1000</formula>
    </cfRule>
  </conditionalFormatting>
  <conditionalFormatting sqref="AB13 AB15:AB20">
    <cfRule type="expression" dxfId="2594" priority="45">
      <formula>ABS(AB$16-AB$19)&gt;=1000</formula>
    </cfRule>
  </conditionalFormatting>
  <conditionalFormatting sqref="AC13 AC15:AC20">
    <cfRule type="expression" dxfId="2593" priority="44">
      <formula>ABS(AC$16-AC$19)&gt;=1000</formula>
    </cfRule>
  </conditionalFormatting>
  <conditionalFormatting sqref="AD13:AD20">
    <cfRule type="expression" dxfId="2592" priority="43">
      <formula>ABS(AD$16-AD$19)&gt;=1000</formula>
    </cfRule>
  </conditionalFormatting>
  <conditionalFormatting sqref="AE13:AE20">
    <cfRule type="expression" dxfId="2591" priority="42">
      <formula>ABS(AE$16-AE$19)&gt;=1000</formula>
    </cfRule>
  </conditionalFormatting>
  <conditionalFormatting sqref="D22:D29">
    <cfRule type="expression" dxfId="2590" priority="41">
      <formula>ABS(D$25-D$28)&gt;=1000</formula>
    </cfRule>
  </conditionalFormatting>
  <conditionalFormatting sqref="E22:E29">
    <cfRule type="expression" dxfId="2589" priority="40">
      <formula>ABS(E$25-E$28)&gt;=1000</formula>
    </cfRule>
  </conditionalFormatting>
  <conditionalFormatting sqref="F22:F29">
    <cfRule type="expression" dxfId="2588" priority="39">
      <formula>ABS(F$25-F$28)&gt;=1000</formula>
    </cfRule>
  </conditionalFormatting>
  <conditionalFormatting sqref="G22:G29">
    <cfRule type="expression" dxfId="2587" priority="38">
      <formula>ABS(G$25-G$28)&gt;=1000</formula>
    </cfRule>
  </conditionalFormatting>
  <conditionalFormatting sqref="H22:H29">
    <cfRule type="expression" dxfId="2586" priority="37">
      <formula>ABS(H$25-H$28)&gt;=1000</formula>
    </cfRule>
  </conditionalFormatting>
  <conditionalFormatting sqref="I22 I24:I29">
    <cfRule type="expression" dxfId="2585" priority="36">
      <formula>ABS(I$25-I$28)&gt;=1000</formula>
    </cfRule>
  </conditionalFormatting>
  <conditionalFormatting sqref="J22:J29 K22">
    <cfRule type="expression" dxfId="2584" priority="35">
      <formula>ABS(J$25-J$28)&gt;=1000</formula>
    </cfRule>
  </conditionalFormatting>
  <conditionalFormatting sqref="K23:K29 L25 L28">
    <cfRule type="expression" dxfId="2583" priority="34">
      <formula>ABS(K$25-K$28)&gt;=1000</formula>
    </cfRule>
  </conditionalFormatting>
  <conditionalFormatting sqref="L22:L24 L26:L27 L29">
    <cfRule type="expression" dxfId="2582" priority="33">
      <formula>ABS(L$25-L$28)&gt;=1000</formula>
    </cfRule>
  </conditionalFormatting>
  <conditionalFormatting sqref="M22:M29">
    <cfRule type="expression" dxfId="2581" priority="32">
      <formula>ABS(M$25-M$28)&gt;=1000</formula>
    </cfRule>
  </conditionalFormatting>
  <conditionalFormatting sqref="N22:N29">
    <cfRule type="expression" dxfId="2580" priority="31">
      <formula>ABS(N$25-N$28)&gt;=1000</formula>
    </cfRule>
  </conditionalFormatting>
  <conditionalFormatting sqref="O22:O29">
    <cfRule type="expression" dxfId="2579" priority="30">
      <formula>ABS(O$25-O$28)&gt;=1000</formula>
    </cfRule>
  </conditionalFormatting>
  <conditionalFormatting sqref="P22:P29">
    <cfRule type="expression" dxfId="2578" priority="29">
      <formula>ABS(P$25-P$28)&gt;=1000</formula>
    </cfRule>
  </conditionalFormatting>
  <conditionalFormatting sqref="Q22:Q29">
    <cfRule type="expression" dxfId="2577" priority="28">
      <formula>ABS(Q$25-Q$28)&gt;=1000</formula>
    </cfRule>
  </conditionalFormatting>
  <conditionalFormatting sqref="R22:R29">
    <cfRule type="expression" dxfId="2576" priority="27">
      <formula>ABS(R$25-R$28)&gt;=1000</formula>
    </cfRule>
  </conditionalFormatting>
  <conditionalFormatting sqref="S22:S29">
    <cfRule type="expression" dxfId="2575" priority="26">
      <formula>ABS(S$25-S$28)&gt;=1000</formula>
    </cfRule>
  </conditionalFormatting>
  <conditionalFormatting sqref="T22:T29">
    <cfRule type="expression" dxfId="2574" priority="25">
      <formula>ABS(T$25-T$28)&gt;=1000</formula>
    </cfRule>
  </conditionalFormatting>
  <conditionalFormatting sqref="U22:U29">
    <cfRule type="expression" dxfId="2573" priority="24">
      <formula>ABS(U$25-U$28)&gt;=1000</formula>
    </cfRule>
  </conditionalFormatting>
  <conditionalFormatting sqref="V22:V29">
    <cfRule type="expression" dxfId="2572" priority="23">
      <formula>ABS(V$25-V$28)&gt;=1000</formula>
    </cfRule>
  </conditionalFormatting>
  <conditionalFormatting sqref="W22:W29">
    <cfRule type="expression" dxfId="2571" priority="22">
      <formula>ABS(W$25-W$28)&gt;=1000</formula>
    </cfRule>
  </conditionalFormatting>
  <conditionalFormatting sqref="X22:X29">
    <cfRule type="expression" dxfId="2570" priority="21">
      <formula>ABS(X$25-X$28)&gt;=1000</formula>
    </cfRule>
  </conditionalFormatting>
  <conditionalFormatting sqref="Y22:Y29">
    <cfRule type="expression" dxfId="2569" priority="20">
      <formula>ABS(Y$25-Y$28)&gt;=1000</formula>
    </cfRule>
  </conditionalFormatting>
  <conditionalFormatting sqref="I23">
    <cfRule type="expression" dxfId="2568" priority="19">
      <formula>ABS(I$25-I$28)&gt;=1000</formula>
    </cfRule>
  </conditionalFormatting>
  <conditionalFormatting sqref="F14">
    <cfRule type="expression" dxfId="2567" priority="18">
      <formula>ABS(F$16-F$19)&gt;=1000</formula>
    </cfRule>
  </conditionalFormatting>
  <conditionalFormatting sqref="Q14">
    <cfRule type="expression" dxfId="2566" priority="17">
      <formula>ABS(Q$16-Q$19)&gt;=1000</formula>
    </cfRule>
  </conditionalFormatting>
  <conditionalFormatting sqref="W14">
    <cfRule type="expression" dxfId="2565" priority="16">
      <formula>ABS(W$16-W$19)&gt;=1000</formula>
    </cfRule>
  </conditionalFormatting>
  <conditionalFormatting sqref="Y14">
    <cfRule type="expression" dxfId="2564" priority="15">
      <formula>ABS(Y$16-Y$19)&gt;=1000</formula>
    </cfRule>
  </conditionalFormatting>
  <conditionalFormatting sqref="X14">
    <cfRule type="expression" dxfId="2563" priority="14">
      <formula>ABS(X$16-X$19)&gt;=1000</formula>
    </cfRule>
  </conditionalFormatting>
  <conditionalFormatting sqref="T10:Y10">
    <cfRule type="expression" dxfId="2562" priority="13">
      <formula>ABS(T$7-T$10)&gt;=1000</formula>
    </cfRule>
  </conditionalFormatting>
  <conditionalFormatting sqref="W19">
    <cfRule type="expression" dxfId="2561" priority="12">
      <formula>ABS(W$16-W$19)&gt;=1000</formula>
    </cfRule>
  </conditionalFormatting>
  <conditionalFormatting sqref="AC5">
    <cfRule type="expression" dxfId="2560" priority="11">
      <formula>ABS(AC$7-AC$10)&gt;=1000</formula>
    </cfRule>
  </conditionalFormatting>
  <conditionalFormatting sqref="M14">
    <cfRule type="expression" dxfId="2559" priority="10">
      <formula>ABS(M$16-M$19)&gt;=1000</formula>
    </cfRule>
  </conditionalFormatting>
  <conditionalFormatting sqref="M16">
    <cfRule type="expression" dxfId="2558" priority="9">
      <formula>ABS(M$16-M$19)&gt;=1000</formula>
    </cfRule>
  </conditionalFormatting>
  <conditionalFormatting sqref="M19">
    <cfRule type="expression" dxfId="2557" priority="8">
      <formula>ABS(M$16-M$19)&gt;=1000</formula>
    </cfRule>
  </conditionalFormatting>
  <conditionalFormatting sqref="K13:K20">
    <cfRule type="expression" dxfId="2556" priority="7">
      <formula>ABS(K$16-K$19)&gt;=1000</formula>
    </cfRule>
  </conditionalFormatting>
  <conditionalFormatting sqref="E5">
    <cfRule type="expression" dxfId="2555" priority="6">
      <formula>ABS(E$7-E$10)&gt;=1000</formula>
    </cfRule>
  </conditionalFormatting>
  <conditionalFormatting sqref="AB14:AC14">
    <cfRule type="expression" dxfId="2554" priority="5">
      <formula>ABS(AB$16-AB$19)&gt;=1000</formula>
    </cfRule>
  </conditionalFormatting>
  <conditionalFormatting sqref="M5">
    <cfRule type="expression" dxfId="2553" priority="4">
      <formula>ABS(M$7-M$10)&gt;=1000</formula>
    </cfRule>
  </conditionalFormatting>
  <conditionalFormatting sqref="N5">
    <cfRule type="expression" dxfId="2552" priority="3">
      <formula>ABS(N$7-N$10)&gt;=1000</formula>
    </cfRule>
  </conditionalFormatting>
  <conditionalFormatting sqref="O5">
    <cfRule type="expression" dxfId="2551" priority="2">
      <formula>ABS(O$7-O$10)&gt;=1000</formula>
    </cfRule>
  </conditionalFormatting>
  <conditionalFormatting sqref="P5">
    <cfRule type="expression" dxfId="2550" priority="1">
      <formula>ABS(P$7-P$10)&gt;=1000</formula>
    </cfRule>
  </conditionalFormatting>
  <dataValidations count="1">
    <dataValidation operator="greaterThanOrEqual" allowBlank="1" showErrorMessage="1" sqref="D6" xr:uid="{00000000-0002-0000-03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70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627">
    <pageSetUpPr fitToPage="1"/>
  </sheetPr>
  <dimension ref="A1:CU223"/>
  <sheetViews>
    <sheetView view="pageBreakPreview" topLeftCell="A4" zoomScale="80" zoomScaleNormal="100" zoomScaleSheetLayoutView="80" workbookViewId="0">
      <selection activeCell="Q17" sqref="Q17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45779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6" t="s" ph="1">
        <v>178</v>
      </c>
      <c r="D6" s="71">
        <v>4177</v>
      </c>
      <c r="E6" s="71">
        <v>4260</v>
      </c>
      <c r="F6" s="71">
        <v>4630</v>
      </c>
      <c r="G6" s="71">
        <v>3784</v>
      </c>
      <c r="H6" s="71">
        <v>8474</v>
      </c>
      <c r="I6" s="71">
        <v>0.06</v>
      </c>
      <c r="J6" s="71">
        <v>7.83</v>
      </c>
      <c r="K6" s="71">
        <v>7.47</v>
      </c>
      <c r="L6" s="71">
        <v>21.13</v>
      </c>
      <c r="M6" s="71">
        <v>1381</v>
      </c>
      <c r="N6" s="71">
        <v>6223</v>
      </c>
      <c r="O6" s="71">
        <v>1577</v>
      </c>
      <c r="P6" s="71">
        <v>1972</v>
      </c>
      <c r="Q6" s="71">
        <v>0</v>
      </c>
      <c r="R6" s="71">
        <v>0</v>
      </c>
      <c r="S6" s="71">
        <v>0</v>
      </c>
      <c r="T6" s="71">
        <v>0</v>
      </c>
      <c r="U6" s="71">
        <v>168</v>
      </c>
      <c r="V6" s="71">
        <v>4638</v>
      </c>
      <c r="W6" s="71">
        <v>2443</v>
      </c>
      <c r="X6" s="71">
        <v>2517</v>
      </c>
      <c r="Y6" s="71">
        <v>0</v>
      </c>
      <c r="Z6" s="71">
        <v>3275</v>
      </c>
      <c r="AA6" s="71">
        <v>2168</v>
      </c>
      <c r="AB6" s="71">
        <v>3521</v>
      </c>
      <c r="AC6" s="71">
        <v>5879</v>
      </c>
      <c r="AD6" s="71">
        <v>4406</v>
      </c>
      <c r="AE6" s="71">
        <v>4410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131124.85804773</v>
      </c>
      <c r="E7" s="73" ph="1">
        <f>E6*51.53*LOOKUP(E8,密度!$A$2:$A$50,密度!$B$2:$B$50)</f>
        <v>170938.51086000001</v>
      </c>
      <c r="F7" s="73" ph="1">
        <f>F6*33.183*LOOKUP(F8,密度!$A$2:$A$50,密度!$C$2:$C$50)</f>
        <v>170368.390881</v>
      </c>
      <c r="G7" s="73" ph="1">
        <f xml:space="preserve"> (G6+2)*51.53*LOOKUP(G8,密度!$A$2:$A$50,密度!$B$2:$B$50)</f>
        <v>152269.75869000002</v>
      </c>
      <c r="H7" s="73" ph="1">
        <f>(H6)*51.53*LOOKUP(H8,密度!$A$2:$A$50,密度!$B$2:$B$50)</f>
        <v>340817.20421</v>
      </c>
      <c r="I7" s="73" ph="1">
        <f>I6*290.8*1.0267</f>
        <v>17.913861600000001</v>
      </c>
      <c r="J7" s="73" ph="1">
        <f>J6*290.8*0.7892</f>
        <v>1796.9799888</v>
      </c>
      <c r="K7" s="73" ph="1">
        <f>K6*290.8*1.1126</f>
        <v>2416.8742775999999</v>
      </c>
      <c r="L7" s="73" ph="1">
        <f>L6*290.8*0.777</f>
        <v>4774.3573080000006</v>
      </c>
      <c r="M7" s="73" ph="1">
        <f>M6*33.183*LOOKUP(M8,密度!$A$2:$A$50,密度!$D$2:$D$50)</f>
        <v>46962.200930399995</v>
      </c>
      <c r="N7" s="73" ph="1">
        <f>N6*33.183*LOOKUP(N8,密度!$A$2:$A$50,密度!$E$2:$E$50)</f>
        <v>161274.78882900003</v>
      </c>
      <c r="O7" s="73" ph="1">
        <f>O6*20.428*LOOKUP(O8,密度!$A$2:$A$50,密度!$C$2:$C$50)</f>
        <v>35649.0703096</v>
      </c>
      <c r="P7" s="73" ph="1">
        <f>P6*51.53*LOOKUP(P8,密度!$A$2:$A$50,密度!$B$2:$B$50)</f>
        <v>79129.282491999998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1112.7107375999999</v>
      </c>
      <c r="V7" s="73" ph="1">
        <f>V6*1.5*1.5*3.1416*LOOKUP(V8,密度!$A$2:$A$50,密度!$L$2:$L$50)</f>
        <v>30653.195958</v>
      </c>
      <c r="W7" s="73" ph="1">
        <f>W6*1.5*1.5*3.1416*LOOKUP(W8,密度!$A$2:$A$50,密度!$L$2:$L$50)</f>
        <v>16197.937232399998</v>
      </c>
      <c r="X7" s="73" ph="1">
        <f>X6*1.5*1.5*3.1416*LOOKUP(X8,密度!$A$2:$A$50,密度!$L$2:$L$50)</f>
        <v>16848.707891399998</v>
      </c>
      <c r="Y7" s="73" ph="1">
        <f>Y6*1.5*1.5*3.1416*LOOKUP(Y8,密度!$A$2:$A$50,密度!$L$2:$L$50)</f>
        <v>0</v>
      </c>
      <c r="Z7" s="73" ph="1">
        <f>Z6*33.183*LOOKUP(Z8,密度!$A$2:$A$50,密度!$L$2:$L$50)</f>
        <v>101827.842525</v>
      </c>
      <c r="AA7" s="73" ph="1">
        <f>AA6*33.183*LOOKUP(AA8,密度!$A$2:$A$50,密度!$D$2:$D$50)</f>
        <v>73796.815195200004</v>
      </c>
      <c r="AB7" s="73" ph="1">
        <f>AB6*20.428*LOOKUP(AB8,密度!$A$2:$A$50,密度!$D$2:$D$50)</f>
        <v>74487.588772800009</v>
      </c>
      <c r="AC7" s="73" ph="1">
        <f>AC6*51.53*LOOKUP(AC8,密度!$A$2:$A$50,密度!$Q$2:$Q$50)</f>
        <v>287031.17597889999</v>
      </c>
      <c r="AD7" s="73" ph="1">
        <f>AD6*20.428*LOOKUP(AD8,密度!$A$2:$A$50,密度!$V$2:$V$50)</f>
        <v>86189.523436799995</v>
      </c>
      <c r="AE7" s="73" ph="1">
        <f>AE6*20.428</f>
        <v>90087.48000000001</v>
      </c>
    </row>
    <row r="8" spans="1:99" ph="1">
      <c r="B8" s="196" ph="1"/>
      <c r="C8" s="68" t="s" ph="1">
        <v>180</v>
      </c>
      <c r="D8" s="74">
        <v>26</v>
      </c>
      <c r="E8" s="74">
        <v>26</v>
      </c>
      <c r="F8" s="74">
        <v>25</v>
      </c>
      <c r="G8" s="74">
        <v>24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28</v>
      </c>
      <c r="P8" s="74">
        <v>26</v>
      </c>
      <c r="Q8" s="74">
        <v>23</v>
      </c>
      <c r="R8" s="74">
        <v>30</v>
      </c>
      <c r="S8" s="74">
        <v>22</v>
      </c>
      <c r="T8" s="74">
        <v>21</v>
      </c>
      <c r="U8" s="74">
        <v>25</v>
      </c>
      <c r="V8" s="74">
        <v>27</v>
      </c>
      <c r="W8" s="74">
        <v>24</v>
      </c>
      <c r="X8" s="74">
        <v>15</v>
      </c>
      <c r="Y8" s="74">
        <v>27</v>
      </c>
      <c r="Z8" s="74">
        <v>25</v>
      </c>
      <c r="AA8" s="74">
        <v>26</v>
      </c>
      <c r="AB8" s="74">
        <v>15</v>
      </c>
      <c r="AC8" s="74">
        <v>24</v>
      </c>
      <c r="AD8" s="74">
        <v>28</v>
      </c>
      <c r="AE8" s="74">
        <v>29</v>
      </c>
    </row>
    <row r="9" spans="1:99" ph="1">
      <c r="B9" s="196" ph="1">
        <v>0.66666666666666663</v>
      </c>
      <c r="C9" s="146" t="s" ph="1">
        <v>181</v>
      </c>
      <c r="D9" s="71">
        <v>4180</v>
      </c>
      <c r="E9" s="71">
        <v>4260</v>
      </c>
      <c r="F9" s="71">
        <v>4633</v>
      </c>
      <c r="G9" s="71">
        <v>4396</v>
      </c>
      <c r="H9" s="71">
        <v>8482</v>
      </c>
      <c r="I9" s="71">
        <v>0.05</v>
      </c>
      <c r="J9" s="71">
        <v>7.85</v>
      </c>
      <c r="K9" s="71">
        <v>7.48</v>
      </c>
      <c r="L9" s="71">
        <v>36.25</v>
      </c>
      <c r="M9" s="71">
        <v>1383</v>
      </c>
      <c r="N9" s="71">
        <v>6230</v>
      </c>
      <c r="O9" s="71">
        <v>1577</v>
      </c>
      <c r="P9" s="71">
        <v>1774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2151</v>
      </c>
      <c r="W9" s="71">
        <v>4836</v>
      </c>
      <c r="X9" s="71">
        <v>4848</v>
      </c>
      <c r="Y9" s="71">
        <v>0</v>
      </c>
      <c r="Z9" s="71">
        <v>245</v>
      </c>
      <c r="AA9" s="71">
        <v>2157</v>
      </c>
      <c r="AB9" s="71">
        <v>3503</v>
      </c>
      <c r="AC9" s="71">
        <v>5882</v>
      </c>
      <c r="AD9" s="71">
        <v>4903</v>
      </c>
      <c r="AE9" s="71">
        <v>4285</v>
      </c>
    </row>
    <row r="10" spans="1:99" s="72" customFormat="1" ht="21.75" ph="1">
      <c r="B10" s="196" ph="1"/>
      <c r="C10" s="146" t="s" ph="1">
        <v>179</v>
      </c>
      <c r="D10" s="73" ph="1">
        <f>D9*33.183*LOOKUP(D11,密度!$A$2:$A$50,密度!$Q$2:$Q$50)</f>
        <v>131120.5538808</v>
      </c>
      <c r="E10" s="73" ph="1">
        <f>E9*51.53*LOOKUP(E11,密度!$A$2:$A$50,密度!$B$2:$B$50)</f>
        <v>170565.33060000002</v>
      </c>
      <c r="F10" s="73" ph="1">
        <f>F9*33.183*LOOKUP(F11,密度!$A$2:$A$50,密度!$C$2:$C$50)</f>
        <v>170355.79129590001</v>
      </c>
      <c r="G10" s="73" ph="1">
        <f xml:space="preserve"> (G9+2)*51.53*LOOKUP(G11,密度!$A$2:$A$50,密度!$B$2:$B$50)</f>
        <v>176294.65242600002</v>
      </c>
      <c r="H10" s="73" ph="1">
        <f>(H9)*51.53*LOOKUP(H11,密度!$A$2:$A$50,密度!$B$2:$B$50)</f>
        <v>340002.55613400001</v>
      </c>
      <c r="I10" s="73" ph="1">
        <f>I9*290.8*1.0267</f>
        <v>14.928217999999999</v>
      </c>
      <c r="J10" s="73" ph="1">
        <f>J9*290.8*0.7892</f>
        <v>1801.5699760000002</v>
      </c>
      <c r="K10" s="73" ph="1">
        <f>K9*290.8*1.1126</f>
        <v>2420.1097184000005</v>
      </c>
      <c r="L10" s="73" ph="1">
        <f>L9*290.8*0.777</f>
        <v>8190.7455</v>
      </c>
      <c r="M10" s="73" ph="1">
        <f>M9*33.183*LOOKUP(M11,密度!$A$2:$A$50,密度!$D$2:$D$50)</f>
        <v>47030.212807199998</v>
      </c>
      <c r="N10" s="73" ph="1">
        <f>N9*33.183*LOOKUP(N11,密度!$A$2:$A$50,密度!$E$2:$E$50)</f>
        <v>161683.603389</v>
      </c>
      <c r="O10" s="73" ph="1">
        <f>O9*20.428*LOOKUP(O11,密度!$A$2:$A$50,密度!$C$2:$C$50)</f>
        <v>35500.881512000007</v>
      </c>
      <c r="P10" s="73" ph="1">
        <f>P9*51.53*LOOKUP(P11,密度!$A$2:$A$50,密度!$B$2:$B$50)</f>
        <v>71111.121738000002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14216.262291000001</v>
      </c>
      <c r="W10" s="73" ph="1">
        <f>W9*1.5*1.5*3.1416*LOOKUP(W11,密度!$A$2:$A$50,密度!$L$2:$L$50)</f>
        <v>31995.989625600003</v>
      </c>
      <c r="X10" s="73" ph="1">
        <f>X9*1.5*1.5*3.1416*LOOKUP(X11,密度!$A$2:$A$50,密度!$L$2:$L$50)</f>
        <v>32383.801296000001</v>
      </c>
      <c r="Y10" s="73" ph="1">
        <f>Y9*1.5*1.5*3.1416*LOOKUP(Y11,密度!$A$2:$A$50,密度!$L$2:$L$50)</f>
        <v>0</v>
      </c>
      <c r="Z10" s="73" ph="1">
        <f>Z9*33.183*LOOKUP(Z11,密度!$A$2:$A$50,密度!$L$2:$L$50)</f>
        <v>7625.7852299999995</v>
      </c>
      <c r="AA10" s="73" ph="1">
        <f>AA9*33.183*LOOKUP(AA11,密度!$A$2:$A$50,密度!$D$2:$D$50)</f>
        <v>73214.815239899996</v>
      </c>
      <c r="AB10" s="73" ph="1">
        <f>AB9*20.428*LOOKUP(AB11,密度!$A$2:$A$50,密度!$D$2:$D$50)</f>
        <v>73927.896300399996</v>
      </c>
      <c r="AC10" s="73" ph="1">
        <f>AC9*51.53*LOOKUP(AC11,密度!$A$2:$A$50,密度!$Q$2:$Q$50)</f>
        <v>286525.98152720003</v>
      </c>
      <c r="AD10" s="73" ph="1">
        <f>AD9*20.428*LOOKUP(AD11,密度!$A$2:$A$50,密度!$V$2:$V$50)</f>
        <v>95911.764278400005</v>
      </c>
      <c r="AE10" s="73" ph="1">
        <f>AE9*20.428</f>
        <v>87533.98000000001</v>
      </c>
    </row>
    <row r="11" spans="1:99" ph="1">
      <c r="A11" s="64" t="s" ph="1">
        <v>163</v>
      </c>
      <c r="B11" s="196" ph="1"/>
      <c r="C11" s="146" t="s" ph="1">
        <v>180</v>
      </c>
      <c r="D11" s="74">
        <v>27</v>
      </c>
      <c r="E11" s="74">
        <v>28</v>
      </c>
      <c r="F11" s="74">
        <v>26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26</v>
      </c>
      <c r="O11" s="74">
        <v>33</v>
      </c>
      <c r="P11" s="74">
        <v>27</v>
      </c>
      <c r="Q11" s="74">
        <v>30</v>
      </c>
      <c r="R11" s="74">
        <v>33</v>
      </c>
      <c r="S11" s="74">
        <v>23</v>
      </c>
      <c r="T11" s="74">
        <v>28</v>
      </c>
      <c r="U11" s="74">
        <v>27</v>
      </c>
      <c r="V11" s="74">
        <v>27</v>
      </c>
      <c r="W11" s="74">
        <v>26</v>
      </c>
      <c r="X11" s="74">
        <v>17</v>
      </c>
      <c r="Y11" s="74">
        <v>28</v>
      </c>
      <c r="Z11" s="74">
        <v>24</v>
      </c>
      <c r="AA11" s="74">
        <v>29</v>
      </c>
      <c r="AB11" s="74">
        <v>18</v>
      </c>
      <c r="AC11" s="74">
        <v>27</v>
      </c>
      <c r="AD11" s="74">
        <v>37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6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6" t="s" ph="1">
        <v>178</v>
      </c>
      <c r="D15" s="78">
        <v>1843</v>
      </c>
      <c r="E15" s="78">
        <v>5263</v>
      </c>
      <c r="F15" s="78">
        <v>2994</v>
      </c>
      <c r="G15" s="78">
        <v>3878</v>
      </c>
      <c r="H15" s="78">
        <v>4524</v>
      </c>
      <c r="I15" s="78">
        <v>2435</v>
      </c>
      <c r="J15" s="78">
        <v>240</v>
      </c>
      <c r="K15" s="78">
        <v>709</v>
      </c>
      <c r="L15" s="78">
        <v>4375</v>
      </c>
      <c r="M15" s="78">
        <v>4332</v>
      </c>
      <c r="N15" s="78">
        <v>6</v>
      </c>
      <c r="O15" s="78">
        <v>0</v>
      </c>
      <c r="P15" s="78">
        <v>6939</v>
      </c>
      <c r="Q15" s="78">
        <v>29</v>
      </c>
      <c r="R15" s="78">
        <v>3508</v>
      </c>
      <c r="S15" s="78">
        <v>6863</v>
      </c>
      <c r="T15" s="78">
        <v>2101</v>
      </c>
      <c r="U15" s="78">
        <v>4848</v>
      </c>
      <c r="V15" s="78">
        <v>5448</v>
      </c>
      <c r="W15" s="71">
        <v>3761</v>
      </c>
      <c r="X15" s="78">
        <v>150</v>
      </c>
      <c r="Y15" s="106">
        <v>-2366</v>
      </c>
      <c r="Z15" s="78">
        <v>0</v>
      </c>
      <c r="AA15" s="78">
        <v>4230</v>
      </c>
      <c r="AB15" s="78" ph="1">
        <v>6916</v>
      </c>
      <c r="AC15" s="78" ph="1">
        <v>987</v>
      </c>
      <c r="AD15" s="78">
        <v>42.77</v>
      </c>
      <c r="AE15" s="78">
        <v>84.91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6" t="s" ph="1">
        <v>179</v>
      </c>
      <c r="D16" s="73" ph="1">
        <f>D15*7.0686*LOOKUP(D17,密度!$A$2:$A$50,密度!$L$2:$L$50)</f>
        <v>12206.701722600001</v>
      </c>
      <c r="E16" s="73" ph="1">
        <f>E15*7.0686*LOOKUP(E17,密度!$A$2:$A$50,密度!$L$2:$L$50)</f>
        <v>34858.313166600004</v>
      </c>
      <c r="F16" s="73" ph="1">
        <f>F15*9.0746*LOOKUP(F17,密度!$A$2:$A$50,密度!$L$2:$L$50)</f>
        <v>25349.0057892</v>
      </c>
      <c r="G16" s="73" ph="1">
        <f>G15*9.0746*LOOKUP(G17,密度!$A$2:$A$50,密度!$B$2:$B$50)</f>
        <v>27435.136544480003</v>
      </c>
      <c r="H16" s="73" ph="1">
        <f>H15*9.0746*LOOKUP(H17,密度!$A$2:$A$50,密度!$L$2:$L$50)</f>
        <v>38467.120504800005</v>
      </c>
      <c r="I16" s="73" ph="1">
        <f>I15*9.0746*LOOKUP(I17,密度!$A$2:$A$50,密度!$U$2:$U$50)</f>
        <v>22671.163926000001</v>
      </c>
      <c r="J16" s="73" ph="1">
        <f>J15*9.0746*LOOKUP(J17,密度!$A$2:$A$50,密度!$L$2:$L$50)</f>
        <v>2040.696048</v>
      </c>
      <c r="K16" s="73" ph="1">
        <f>K15*9.0746*LOOKUP(K17,密度!$A$2:$A$50,密度!$C$2:$C$50)</f>
        <v>7134.5421734600004</v>
      </c>
      <c r="L16" s="73" ph="1">
        <f>L15*9.0746*LOOKUP(L17,密度!$A$2:$A$50,密度!$E$2:$E$50)</f>
        <v>31050.4453875</v>
      </c>
      <c r="M16" s="73" ph="1">
        <f>M15*9.0746*LOOKUP(M17,密度!$A$2:$A$50,密度!$M$2:$M$50)</f>
        <v>34361.891249520006</v>
      </c>
      <c r="N16" s="73" ph="1">
        <f>N15*9.0746*LOOKUP(N17,密度!$A$2:$A$50,密度!$M$2:$M$50)</f>
        <v>47.538199560000002</v>
      </c>
      <c r="O16" s="73" ph="1">
        <f>O15*9.0746*LOOKUP(O17,密度!$A$2:$A$50,密度!$G$2:$G$50)</f>
        <v>0</v>
      </c>
      <c r="P16" s="73" ph="1">
        <f ca="1">P15*9.0746*LOOKUP(P17,密度!$A$2:$A$51,密度!$Q$2:$Q$50)</f>
        <v>59614.939132956002</v>
      </c>
      <c r="Q16" s="73" ph="1">
        <f>Q15*9.0746*LOOKUP(Q17,密度!$A$2:$A$50,密度!$Q$2:$Q$50)</f>
        <v>249.14731731600003</v>
      </c>
      <c r="R16" s="73" ph="1">
        <f>MAX(R15*9.0746*LOOKUP(R17,密度!$A$2:$A$50,密度!$B$2:$B$50),0)</f>
        <v>24817.550025280001</v>
      </c>
      <c r="S16" s="73" ph="1">
        <f>S15*9.0746*LOOKUP(S17,密度!$A$2:$A$50,密度!$Q$2:$Q$50)</f>
        <v>58962.001335852001</v>
      </c>
      <c r="T16" s="73" ph="1">
        <f>T15*9.0746*LOOKUP(T17,密度!$A$2:$A$50,密度!$O$2:$O$50)</f>
        <v>17654.870239600001</v>
      </c>
      <c r="U16" s="73" ph="1">
        <f>U15*9.0746*LOOKUP(U17,密度!$A$2:$A$50,密度!$H$2:$H$50)</f>
        <v>40241.001533759998</v>
      </c>
      <c r="V16" s="73" ph="1">
        <f>MAX(5600*LOOKUP(V17,密度!$A$2:$A$50,密度!$Q$2:$Q$50)+V15*9.0476*LOOKUP(V17,密度!$A$2:$A$50,密度!$Q$2:$Q$50),0)</f>
        <v>51889.867159936002</v>
      </c>
      <c r="W16" s="73" ph="1">
        <f>MAX(5600*LOOKUP(W17,密度!$A$2:$A$50,密度!$Q$2:$Q$50)+W15*9.0476*LOOKUP(W17,密度!$A$2:$A$50,密度!$Q$2:$Q$50),0)</f>
        <v>37461.163269552002</v>
      </c>
      <c r="X16" s="73" ph="1">
        <f>MAX(5600*LOOKUP(X17,密度!$A$2:$A$50,密度!$I$2:$I$50)+X15*9.0476*LOOKUP(X17,密度!$A$2:$A$50,密度!$I$2:$I$50),0)</f>
        <v>7251.4270219999999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29959.928019000003</v>
      </c>
      <c r="AB16" s="73" ph="1">
        <f>AB15*9.0746*LOOKUP(AB17,密度!$A$2:$A$50,密度!$L$2:$L$50)</f>
        <v>58806.057783200005</v>
      </c>
      <c r="AC16" s="73" ph="1">
        <f>AC15*9.0746*LOOKUP(AC17,密度!$A$2:$A$50,密度!$L$2:$L$50)</f>
        <v>8401.3191275999998</v>
      </c>
      <c r="AD16" s="73" ph="1">
        <f>AD15*268.68*LOOKUP(AD17,密度!$A$2:$A$50,密度!B2:B50)+IF(AD15&lt;=0,0,1566*LOOKUP(AD17,密度!$A$2:$A$50,密度!B2:B50))</f>
        <v>10179.583030560001</v>
      </c>
      <c r="AE16" s="73" ph="1">
        <f>AE15*268.68*LOOKUP(AE17,密度!$A$2:$A$50,密度!B2:B50)+IF(AE15&lt;=0,0,1566*LOOKUP(AE17,密度!$A$2:$A$50,密度!B2:B50))</f>
        <v>19006.350816479997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29</v>
      </c>
      <c r="G17" s="74">
        <v>25</v>
      </c>
      <c r="H17" s="74">
        <v>25</v>
      </c>
      <c r="I17" s="74">
        <v>24</v>
      </c>
      <c r="J17" s="74">
        <v>25</v>
      </c>
      <c r="K17" s="74">
        <v>25</v>
      </c>
      <c r="L17" s="74">
        <v>26</v>
      </c>
      <c r="M17" s="74">
        <v>26</v>
      </c>
      <c r="N17" s="74">
        <v>27</v>
      </c>
      <c r="O17" s="74">
        <v>29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25</v>
      </c>
      <c r="V17" s="74">
        <v>27</v>
      </c>
      <c r="W17" s="74">
        <v>27</v>
      </c>
      <c r="X17" s="74">
        <v>25</v>
      </c>
      <c r="Y17" s="108">
        <v>25</v>
      </c>
      <c r="Z17" s="74">
        <v>25</v>
      </c>
      <c r="AA17" s="74">
        <v>24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1847</v>
      </c>
      <c r="E18" s="71">
        <v>5270</v>
      </c>
      <c r="F18" s="71">
        <v>3111</v>
      </c>
      <c r="G18" s="71">
        <v>3898</v>
      </c>
      <c r="H18" s="71">
        <v>4529</v>
      </c>
      <c r="I18" s="71">
        <v>771</v>
      </c>
      <c r="J18" s="71">
        <v>258</v>
      </c>
      <c r="K18" s="71">
        <v>710</v>
      </c>
      <c r="L18" s="71">
        <v>2548</v>
      </c>
      <c r="M18" s="71">
        <v>4341</v>
      </c>
      <c r="N18" s="71">
        <v>15</v>
      </c>
      <c r="O18" s="71">
        <v>45</v>
      </c>
      <c r="P18" s="71">
        <v>6949</v>
      </c>
      <c r="Q18" s="71">
        <v>29</v>
      </c>
      <c r="R18" s="71">
        <v>3512</v>
      </c>
      <c r="S18" s="71">
        <v>6872</v>
      </c>
      <c r="T18" s="71">
        <v>1737</v>
      </c>
      <c r="U18" s="71">
        <v>6666</v>
      </c>
      <c r="V18" s="71">
        <v>5449</v>
      </c>
      <c r="W18" s="71">
        <v>3761</v>
      </c>
      <c r="X18" s="71">
        <v>150</v>
      </c>
      <c r="Y18" s="109">
        <v>-9907</v>
      </c>
      <c r="Z18" s="71">
        <v>0</v>
      </c>
      <c r="AA18" s="71">
        <v>4234</v>
      </c>
      <c r="AB18" s="71">
        <v>6927</v>
      </c>
      <c r="AC18" s="71">
        <v>990</v>
      </c>
      <c r="AD18" s="71">
        <v>82.82</v>
      </c>
      <c r="AE18" s="71">
        <v>5.1100000000000003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6" t="s" ph="1">
        <v>179</v>
      </c>
      <c r="D19" s="73" ph="1">
        <f>D18*7.0686*LOOKUP(D20,密度!$A$2:$A$50,密度!$L$2:$L$50)</f>
        <v>12194.027722800001</v>
      </c>
      <c r="E19" s="73" ph="1">
        <f>E18*7.0686*LOOKUP(E20,密度!$A$2:$A$50,密度!$L$2:$L$50)</f>
        <v>34792.921547999998</v>
      </c>
      <c r="F19" s="73" ph="1">
        <f>F18*9.0746*LOOKUP(F20,密度!$A$2:$A$50,密度!$L$2:$L$50)</f>
        <v>26396.060361000003</v>
      </c>
      <c r="G19" s="73" ph="1">
        <f>G18*9.0746*LOOKUP(G20,密度!$A$2:$A$50,密度!$B$2:$B$50)</f>
        <v>27576.62770768</v>
      </c>
      <c r="H19" s="73" ph="1">
        <f>H18*9.0746*LOOKUP(H20,密度!$A$2:$A$50,密度!$L$2:$L$50)</f>
        <v>38550.733869199998</v>
      </c>
      <c r="I19" s="73" ph="1">
        <f>I18*9.0746*LOOKUP(I20,密度!$A$2:$A$50,密度!$U$2:$U$50)</f>
        <v>7157.4364817999995</v>
      </c>
      <c r="J19" s="73" ph="1">
        <f>J18*9.0746*LOOKUP(J20,密度!$A$2:$A$50,密度!$L$2:$L$50)</f>
        <v>2186.7245112000001</v>
      </c>
      <c r="K19" s="73" ph="1">
        <f>K18*9.0746*LOOKUP(K20,密度!$A$2:$A$50,密度!$C$2:$C$50)</f>
        <v>7129.7861756000002</v>
      </c>
      <c r="L19" s="73" ph="1">
        <f>L18*9.0746*LOOKUP(L20,密度!$A$2:$A$50,密度!$E$2:$E$50)</f>
        <v>18058.345104799999</v>
      </c>
      <c r="M19" s="73" ph="1">
        <f>M18*9.0746*LOOKUP(M20,密度!$A$2:$A$50,密度!$M$2:$M$50)</f>
        <v>34393.887381660003</v>
      </c>
      <c r="N19" s="73" ph="1">
        <f>N18*9.0746*LOOKUP(N20,密度!$A$2:$A$50,密度!$M$2:$M$50)</f>
        <v>118.8454989</v>
      </c>
      <c r="O19" s="73" ph="1">
        <f>O18*9.0746*LOOKUP(O20,密度!$A$2:$A$50,密度!$G$2:$G$50)</f>
        <v>390.79764900000004</v>
      </c>
      <c r="P19" s="73" ph="1">
        <f ca="1">P18*9.0746*LOOKUP(P20,密度!$A$2:$A$51,密度!$Q$2:$Q$50)</f>
        <v>59611.307659528007</v>
      </c>
      <c r="Q19" s="73" ph="1">
        <f>Q18*9.0746*LOOKUP(Q20,密度!$A$2:$A$50,密度!$Q$2:$Q$50)</f>
        <v>248.58941090800002</v>
      </c>
      <c r="R19" s="73" ph="1">
        <f>MAX(R18*9.0746*LOOKUP(R20,密度!$A$2:$A$50,密度!$B$2:$B$50),0)</f>
        <v>24791.669266080004</v>
      </c>
      <c r="S19" s="73" ph="1">
        <f>S18*9.0746*LOOKUP(S20,密度!$A$2:$A$50,密度!$Q$2:$Q$50)</f>
        <v>58907.118336544001</v>
      </c>
      <c r="T19" s="73" ph="1">
        <f>T18*9.0746*LOOKUP(T20,密度!$A$2:$A$50,密度!$O$2:$O$50)</f>
        <v>14596.149265200002</v>
      </c>
      <c r="U19" s="73" ph="1">
        <f>U18*9.0746*LOOKUP(U20,密度!$A$2:$A$50,密度!$H$2:$H$50)</f>
        <v>55168.050643200004</v>
      </c>
      <c r="V19" s="73" ph="1">
        <f>MAX(5600*LOOKUP(V20,密度!$A$2:$A$50,密度!$Q$2:$Q$50)+V18*9.0476*LOOKUP(V20,密度!$A$2:$A$50,密度!$Q$2:$Q$50),0)</f>
        <v>51859.989776488001</v>
      </c>
      <c r="W19" s="73" ph="1">
        <f>MAX(5600*LOOKUP(W20,密度!$A$2:$A$50,密度!$Q$2:$Q$50)+W18*9.0476*LOOKUP(W20,密度!$A$2:$A$50,密度!$Q$2:$Q$50),0)</f>
        <v>37433.423653032005</v>
      </c>
      <c r="X19" s="73" ph="1">
        <f>MAX(5600*LOOKUP(X20,密度!$A$2:$A$50,密度!$I$2:$I$50)+X18*9.0476*LOOKUP(X20,密度!$A$2:$A$50,密度!$I$2:$I$50),0)</f>
        <v>7227.7727459999987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29888.362093560005</v>
      </c>
      <c r="AB19" s="73" ph="1">
        <f>AB18*9.0746*LOOKUP(AB20,密度!$A$2:$A$50,密度!$L$2:$L$50)</f>
        <v>58773.870177000004</v>
      </c>
      <c r="AC19" s="73" ph="1">
        <f>AC18*9.0746*LOOKUP(AC20,密度!$A$2:$A$50,密度!$L$2:$L$50)</f>
        <v>8399.9034900000006</v>
      </c>
      <c r="AD19" s="73" ph="1">
        <f>AD18*268.68*LOOKUP(AD20,密度!$A$2:$A$50,密度!B5:B53)+IF(AD18&lt;=0,0,1566*LOOKUP(AD20,密度!$A$2:$A$50,密度!B5:B53))</f>
        <v>18506.6462952</v>
      </c>
      <c r="AE19" s="73" ph="1">
        <f>AE18*268.68*LOOKUP(AE20,密度!$A$2:$A$50,密度!B5:B53)+IF(AE18&lt;=0,0,1566*LOOKUP(AE20,密度!$A$2:$A$50,密度!B5:B53))</f>
        <v>2283.5678796000002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28</v>
      </c>
      <c r="E20" s="81">
        <v>28</v>
      </c>
      <c r="F20" s="81">
        <v>27</v>
      </c>
      <c r="G20" s="81">
        <v>25</v>
      </c>
      <c r="H20" s="81">
        <v>24</v>
      </c>
      <c r="I20" s="81">
        <v>27</v>
      </c>
      <c r="J20" s="81">
        <v>28</v>
      </c>
      <c r="K20" s="81">
        <v>28</v>
      </c>
      <c r="L20" s="81">
        <v>27</v>
      </c>
      <c r="M20" s="81">
        <v>27</v>
      </c>
      <c r="N20" s="81">
        <v>27</v>
      </c>
      <c r="O20" s="81">
        <v>28</v>
      </c>
      <c r="P20" s="81">
        <v>27</v>
      </c>
      <c r="Q20" s="81">
        <v>28</v>
      </c>
      <c r="R20" s="81">
        <v>27</v>
      </c>
      <c r="S20" s="81">
        <v>28</v>
      </c>
      <c r="T20" s="81">
        <v>27</v>
      </c>
      <c r="U20" s="81">
        <v>28</v>
      </c>
      <c r="V20" s="81">
        <v>28</v>
      </c>
      <c r="W20" s="81">
        <v>28</v>
      </c>
      <c r="X20" s="81">
        <v>28</v>
      </c>
      <c r="Y20" s="110">
        <v>28</v>
      </c>
      <c r="Z20" s="81">
        <v>29</v>
      </c>
      <c r="AA20" s="81">
        <v>27</v>
      </c>
      <c r="AB20" s="81">
        <v>27</v>
      </c>
      <c r="AC20" s="81">
        <v>27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6" t="s" ph="1">
        <v>178</v>
      </c>
      <c r="D24" s="71">
        <v>3.29</v>
      </c>
      <c r="E24" s="71">
        <v>95.47</v>
      </c>
      <c r="F24" s="71">
        <v>0</v>
      </c>
      <c r="G24" s="71">
        <v>1635</v>
      </c>
      <c r="H24" s="71">
        <v>811</v>
      </c>
      <c r="I24" s="71">
        <v>3793</v>
      </c>
      <c r="J24" s="71">
        <v>4455</v>
      </c>
      <c r="K24" s="71">
        <v>0</v>
      </c>
      <c r="L24" s="71">
        <v>0</v>
      </c>
      <c r="M24" s="71">
        <v>665</v>
      </c>
      <c r="N24" s="71">
        <v>5374</v>
      </c>
      <c r="O24" s="71">
        <v>2</v>
      </c>
      <c r="P24" s="71">
        <v>837</v>
      </c>
      <c r="Q24" s="90">
        <v>2245</v>
      </c>
      <c r="R24" s="71">
        <v>4069</v>
      </c>
      <c r="S24" s="71">
        <v>1989</v>
      </c>
      <c r="T24" s="71">
        <v>1756</v>
      </c>
      <c r="U24" s="71">
        <v>5306</v>
      </c>
      <c r="V24" s="71">
        <v>9646</v>
      </c>
      <c r="W24" s="71">
        <v>8332</v>
      </c>
      <c r="X24" s="71">
        <v>2738</v>
      </c>
      <c r="Y24" s="71">
        <v>5509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2319.4724795279999</v>
      </c>
      <c r="E25" s="91" ph="1">
        <f>E24*268.68*LOOKUP(E26,密度!$A$2:$A$50,密度!$C$2:$C$50)+IF(E24&lt;=0,0,1566*LOOKUP(E26,密度!$A$2:$A$50,密度!$C$2:$C$50))</f>
        <v>30180.797788440002</v>
      </c>
      <c r="F25" s="91" ph="1">
        <f>F24*11.702*LOOKUP(F26,密度!$A$2:$A$50,密度!$Q$2:$Q$50)</f>
        <v>0</v>
      </c>
      <c r="G25" s="91" ph="1">
        <f>G24*18.322*LOOKUP(G26,密度!$A$2:$A$50,密度!$B$2:$B$50)</f>
        <v>23303.138013</v>
      </c>
      <c r="H25" s="91" ph="1">
        <f>H24*18.322*LOOKUP(H26,密度!$A$2:$A$50,密度!$B$2:$B$50)</f>
        <v>11558.926561800001</v>
      </c>
      <c r="I25" s="91" ph="1">
        <f>I24*18.322*LOOKUP(I26,密度!$A$2:$A$50,密度!$Q$2:$Q$50)</f>
        <v>65744.682176379996</v>
      </c>
      <c r="J25" s="91" ph="1">
        <f>J24*18.322*LOOKUP(J26,密度!$A$2:$A$50,密度!$Q$2:$Q$50)</f>
        <v>77219.235195300003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11526.5525039</v>
      </c>
      <c r="N25" s="91" ph="1">
        <f>N24*18.322*LOOKUP(N26,密度!$A$2:$A$50,密度!$Q$2:$Q$50)</f>
        <v>93078.50243696</v>
      </c>
      <c r="O25" s="91" ph="1">
        <f>O24*18.322*LOOKUP(O26,密度!$A$2:$A$50,密度!$C$2:$C$50)</f>
        <v>40.579565599999995</v>
      </c>
      <c r="P25" s="91" ph="1">
        <f>P24*11.702*LOOKUP(P26,密度!$A$2:$A$50,密度!$B$2:$B$50)</f>
        <v>7627.0347738</v>
      </c>
      <c r="Q25" s="92" ph="1">
        <f>Q24*18.322*LOOKUP(Q26,密度!$A$2:$A$50,密度!$B$2:$B$50)</f>
        <v>32030.181442999998</v>
      </c>
      <c r="R25" s="91" ph="1">
        <f>R24*35.891*LOOKUP(R26,密度!$A$2:$A$50,密度!$C$2:$C$50)</f>
        <v>161827.4547799</v>
      </c>
      <c r="S25" s="91" ph="1">
        <f>S24*35.891*LOOKUP(S26,密度!$A$2:$A$50,密度!$B$2:$B$50)</f>
        <v>55532.102102099998</v>
      </c>
      <c r="T25" s="91" ph="1">
        <f>T24*35.891*LOOKUP(T26,密度!$A$2:$A$50,密度!$Q$2:$Q$50)</f>
        <v>59623.158553879999</v>
      </c>
      <c r="U25" s="91" ph="1">
        <f>U24*35.891</f>
        <v>190437.64599999998</v>
      </c>
      <c r="V25" s="91" ph="1">
        <f>V24*47.051*LOOKUP(V26,密度!$A$2:$A$50,密度!$B$2:$B$50)</f>
        <v>353052.98459340003</v>
      </c>
      <c r="W25" s="91" ph="1">
        <f>W24*47.051*LOOKUP(W26,密度!$A$2:$A$50,密度!$B$2:$B$50)</f>
        <v>305272.92934839998</v>
      </c>
      <c r="X25" s="91" ph="1">
        <f>X24*47.051*LOOKUP(X26,密度!$A$2:$A$50,密度!$I$2:$I$50)</f>
        <v>132535.81637439999</v>
      </c>
      <c r="Y25" s="91" ph="1">
        <f>Y24*47.051*LOOKUP(Y26,密度!$A$2:$A$50,密度!$L$2:$L$50)</f>
        <v>242614.90562400001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26</v>
      </c>
      <c r="J26" s="74">
        <v>26</v>
      </c>
      <c r="K26" s="74">
        <v>26</v>
      </c>
      <c r="L26" s="74">
        <v>27</v>
      </c>
      <c r="M26" s="74">
        <v>26</v>
      </c>
      <c r="N26" s="74">
        <v>27</v>
      </c>
      <c r="O26" s="74">
        <v>27</v>
      </c>
      <c r="P26" s="74">
        <v>26</v>
      </c>
      <c r="Q26" s="93">
        <v>26</v>
      </c>
      <c r="R26" s="74">
        <v>26</v>
      </c>
      <c r="S26" s="74">
        <v>27</v>
      </c>
      <c r="T26" s="74">
        <v>26</v>
      </c>
      <c r="U26" s="74">
        <v>27</v>
      </c>
      <c r="V26" s="74">
        <v>27</v>
      </c>
      <c r="W26" s="74">
        <v>26</v>
      </c>
      <c r="X26" s="74">
        <v>37</v>
      </c>
      <c r="Y26" s="74">
        <v>26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6" t="s" ph="1">
        <v>181</v>
      </c>
      <c r="D27" s="71">
        <v>3.27</v>
      </c>
      <c r="E27" s="71">
        <v>95.56</v>
      </c>
      <c r="F27" s="71">
        <v>0</v>
      </c>
      <c r="G27" s="71">
        <v>1204</v>
      </c>
      <c r="H27" s="71">
        <v>1250</v>
      </c>
      <c r="I27" s="71">
        <v>3795</v>
      </c>
      <c r="J27" s="71">
        <v>4031</v>
      </c>
      <c r="K27" s="71">
        <v>0</v>
      </c>
      <c r="L27" s="71">
        <v>0</v>
      </c>
      <c r="M27" s="71">
        <v>662</v>
      </c>
      <c r="N27" s="71">
        <v>5376</v>
      </c>
      <c r="O27" s="71">
        <v>0</v>
      </c>
      <c r="P27" s="71">
        <v>836</v>
      </c>
      <c r="Q27" s="90">
        <v>2379</v>
      </c>
      <c r="R27" s="71">
        <v>3465</v>
      </c>
      <c r="S27" s="71">
        <v>1672</v>
      </c>
      <c r="T27" s="71">
        <v>1757</v>
      </c>
      <c r="U27" s="71">
        <v>5207</v>
      </c>
      <c r="V27" s="71">
        <v>9650</v>
      </c>
      <c r="W27" s="71">
        <v>8337</v>
      </c>
      <c r="X27" s="71">
        <v>2257</v>
      </c>
      <c r="Y27" s="71">
        <v>5953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6" t="s" ph="1">
        <v>179</v>
      </c>
      <c r="D28" s="91" ph="1">
        <f>D27*268.68*LOOKUP(D29,密度!$A$2:$A$50,密度!$Q$2:$Q$50)+IF(D27&lt;=0,0,1566*LOOKUP(D29,密度!$A$2:$A$50,密度!$Q$2:$Q$50))</f>
        <v>2314.385077464</v>
      </c>
      <c r="E28" s="91" ph="1">
        <f>E27*268.68*LOOKUP(E29,密度!$A$2:$A$50,密度!$C$2:$C$50)+IF(E27&lt;=0,0,1566*LOOKUP(E29,密度!$A$2:$A$50,密度!$C$2:$C$50))</f>
        <v>30207.612321120003</v>
      </c>
      <c r="F28" s="91" ph="1">
        <f>F27*11.702*LOOKUP(F29,密度!$A$2:$A$50,密度!$Q$2:$Q$50)</f>
        <v>0</v>
      </c>
      <c r="G28" s="91" ph="1">
        <f>G27*18.322*LOOKUP(G29,密度!$A$2:$A$50,密度!$B$2:$B$50)</f>
        <v>17160.231295199999</v>
      </c>
      <c r="H28" s="91" ph="1">
        <f>H27*18.322*LOOKUP(H29,密度!$A$2:$A$50,密度!$B$2:$B$50)</f>
        <v>17815.854750000002</v>
      </c>
      <c r="I28" s="91" ph="1">
        <f>I27*18.322*LOOKUP(I29,密度!$A$2:$A$50,密度!$Q$2:$Q$50)</f>
        <v>65729.980786799992</v>
      </c>
      <c r="J28" s="91" ph="1">
        <f>J27*18.322*LOOKUP(J29,密度!$A$2:$A$50,密度!$Q$2:$Q$50)</f>
        <v>69869.974651460012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11474.55301892</v>
      </c>
      <c r="N28" s="91" ph="1">
        <f>N27*18.322*LOOKUP(N29,密度!$A$2:$A$50,密度!$Q$2:$Q$50)</f>
        <v>93113.142743040007</v>
      </c>
      <c r="O28" s="91" ph="1">
        <f>O27*18.322*LOOKUP(O29,密度!$A$2:$A$50,密度!$C$2:$C$50)</f>
        <v>0</v>
      </c>
      <c r="P28" s="91" ph="1">
        <f>P27*11.702*LOOKUP(P29,密度!$A$2:$A$50,密度!$B$2:$B$50)</f>
        <v>7610.0961287999999</v>
      </c>
      <c r="Q28" s="92" ph="1">
        <f>Q27*18.322*LOOKUP(Q29,密度!$A$2:$A$50,密度!$B$2:$B$50)</f>
        <v>33942.005190600001</v>
      </c>
      <c r="R28" s="91" ph="1">
        <f>R27*35.891*LOOKUP(R29,密度!$A$2:$A$50,密度!$C$2:$C$50)</f>
        <v>137805.88125149999</v>
      </c>
      <c r="S28" s="91" ph="1">
        <f>S27*35.891*LOOKUP(S29,密度!$A$2:$A$50,密度!$B$2:$B$50)</f>
        <v>46681.5860808</v>
      </c>
      <c r="T28" s="91" ph="1">
        <f>T27*35.891*LOOKUP(T29,密度!$A$2:$A$50,密度!$Q$2:$Q$50)</f>
        <v>59612.339570839998</v>
      </c>
      <c r="U28" s="91" ph="1">
        <f>U27*35.891</f>
        <v>186884.43700000001</v>
      </c>
      <c r="V28" s="91" ph="1">
        <f>V27*47.051*LOOKUP(V29,密度!$A$2:$A$50,密度!$B$2:$B$50)</f>
        <v>353562.62220500002</v>
      </c>
      <c r="W28" s="91" ph="1">
        <f>W27*47.051*LOOKUP(W29,密度!$A$2:$A$50,密度!$B$2:$B$50)</f>
        <v>305142.31106730003</v>
      </c>
      <c r="X28" s="91" ph="1">
        <f>X27*47.051*LOOKUP(X29,密度!$A$2:$A$50,密度!$I$2:$I$50)</f>
        <v>109135.68376390002</v>
      </c>
      <c r="Y28" s="91" ph="1">
        <f>Y27*47.051*LOOKUP(Y29,密度!$A$2:$A$50,密度!$L$2:$L$50)</f>
        <v>261888.45380500003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6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26</v>
      </c>
      <c r="K29" s="74">
        <v>26</v>
      </c>
      <c r="L29" s="74">
        <v>26</v>
      </c>
      <c r="M29" s="74">
        <v>26</v>
      </c>
      <c r="N29" s="74">
        <v>27</v>
      </c>
      <c r="O29" s="74">
        <v>27</v>
      </c>
      <c r="P29" s="74">
        <v>27</v>
      </c>
      <c r="Q29" s="93">
        <v>26</v>
      </c>
      <c r="R29" s="74">
        <v>26</v>
      </c>
      <c r="S29" s="74">
        <v>27</v>
      </c>
      <c r="T29" s="74">
        <v>27</v>
      </c>
      <c r="U29" s="74">
        <v>26</v>
      </c>
      <c r="V29" s="74">
        <v>26</v>
      </c>
      <c r="W29" s="74">
        <v>27</v>
      </c>
      <c r="X29" s="74">
        <v>38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6" t="s" ph="1">
        <v>5</v>
      </c>
      <c r="F32" s="145" t="s" ph="1">
        <v>43</v>
      </c>
      <c r="G32" s="97" t="s" ph="1">
        <v>4</v>
      </c>
      <c r="H32" s="146" t="s" ph="1">
        <v>5</v>
      </c>
      <c r="I32" s="145" t="s" ph="1">
        <v>43</v>
      </c>
      <c r="J32" s="97" t="s" ph="1">
        <v>4</v>
      </c>
      <c r="K32" s="146" t="s" ph="1">
        <v>5</v>
      </c>
      <c r="L32" s="145" t="s" ph="1">
        <v>43</v>
      </c>
      <c r="M32" s="97" t="s" ph="1">
        <v>4</v>
      </c>
      <c r="N32" s="146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6" t="s" ph="1">
        <v>5</v>
      </c>
      <c r="U32" s="99" t="s" ph="1">
        <v>43</v>
      </c>
      <c r="V32" s="97" t="s" ph="1">
        <v>4</v>
      </c>
      <c r="W32" s="146" t="s" ph="1">
        <v>5</v>
      </c>
      <c r="X32" s="99" t="s" ph="1">
        <v>43</v>
      </c>
      <c r="Y32" s="100" t="s" ph="1">
        <v>4</v>
      </c>
      <c r="Z32" s="146" t="s" ph="1">
        <v>5</v>
      </c>
      <c r="AA32" s="145" t="s" ph="1">
        <v>43</v>
      </c>
      <c r="AB32" s="97" t="s" ph="1">
        <v>85</v>
      </c>
      <c r="AC32" s="146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147142.71154029999</v>
      </c>
      <c r="E33" s="218" ph="1">
        <f>M10+I10</f>
        <v>47045.141025199999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22" ph="1">
        <v>0</v>
      </c>
      <c r="H33" s="218" ph="1">
        <f>N19</f>
        <v>118.8454989</v>
      </c>
      <c r="I33" s="231" ph="1">
        <v>0</v>
      </c>
      <c r="J33" s="229" ph="1">
        <f>F10+O28</f>
        <v>170355.79129590001</v>
      </c>
      <c r="K33" s="218" ph="1">
        <f>O10+K10+E28+R28</f>
        <v>205934.48480301999</v>
      </c>
      <c r="L33" s="233" ph="1">
        <f>BE27</f>
        <v>7100</v>
      </c>
      <c r="M33" s="229" ph="1">
        <f>G10+H10+W28+S28+V28+E10</f>
        <v>1392249.0585131003</v>
      </c>
      <c r="N33" s="218" ph="1">
        <f>L10+P10++G28+H28</f>
        <v>114277.95328320001</v>
      </c>
      <c r="O33" s="231" ph="1">
        <f>BE17</f>
        <v>2270</v>
      </c>
      <c r="P33" s="229" ph="1">
        <f>L19</f>
        <v>18058.345104799999</v>
      </c>
      <c r="Q33" s="218" ph="1">
        <f>J10+N10</f>
        <v>163485.173365</v>
      </c>
      <c r="R33" s="231" ph="1">
        <f>BE23</f>
        <v>890</v>
      </c>
      <c r="S33" s="229" ph="1">
        <f>E10+X28</f>
        <v>279701.01436390006</v>
      </c>
      <c r="T33" s="218" ph="1">
        <f>X19</f>
        <v>7227.7727459999987</v>
      </c>
      <c r="U33" s="239" ph="1">
        <f>BE21</f>
        <v>730</v>
      </c>
      <c r="V33" s="250" ph="1">
        <f ca="1">P19+Q19+S19+M28+N28+J28</f>
        <v>293224.68582040002</v>
      </c>
      <c r="W33" s="250" ph="1">
        <f>D28+F28+V19+T28</f>
        <v>113786.71442479201</v>
      </c>
      <c r="X33" s="231" ph="1">
        <f>BE29+BE31</f>
        <v>10200</v>
      </c>
      <c r="Y33" s="252" ph="1">
        <f>+Q10+R10+S10+T10+U10+V10+W10+X10+Y10</f>
        <v>78596.053212600003</v>
      </c>
      <c r="Z33" s="237" ph="1">
        <f>D10+T19+U19+Y28+Z10</f>
        <v>470398.99282420002</v>
      </c>
      <c r="AA33" s="239" ph="1">
        <f>BE19</f>
        <v>1440</v>
      </c>
      <c r="AB33" s="241" ph="1">
        <f>I19</f>
        <v>7157.4364817999995</v>
      </c>
      <c r="AC33" s="243" ph="1">
        <f>AD10</f>
        <v>95911.764278400005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4" t="s" ph="1">
        <v>186</v>
      </c>
      <c r="AA36" s="144" ph="1"/>
      <c r="AB36" s="236" t="s" ph="1">
        <v>645</v>
      </c>
      <c r="AC36" s="236" ph="1"/>
      <c r="AD36" s="236" ph="1"/>
      <c r="AE36" s="236" ph="1"/>
      <c r="BA36" s="64" ph="1">
        <v>2270</v>
      </c>
    </row>
    <row r="37" spans="1:57" s="14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4" t="s" ph="1">
        <v>345</v>
      </c>
      <c r="AI37" s="144" t="s" ph="1">
        <v>212</v>
      </c>
      <c r="AJ37" s="144" t="s" ph="1">
        <v>213</v>
      </c>
      <c r="AK37" s="144" t="s" ph="1">
        <v>214</v>
      </c>
      <c r="AM37" s="144" t="s" ph="1">
        <v>213</v>
      </c>
      <c r="AN37" s="144" t="s" ph="1">
        <v>214</v>
      </c>
      <c r="AO37" s="144" t="s" ph="1">
        <v>215</v>
      </c>
      <c r="AP37" s="144" t="s" ph="1">
        <v>213</v>
      </c>
      <c r="AQ37" s="144" t="s" ph="1">
        <v>214</v>
      </c>
      <c r="AR37" s="144" t="s" ph="1">
        <v>215</v>
      </c>
      <c r="AS37" s="144" t="s" ph="1">
        <v>213</v>
      </c>
      <c r="AT37" s="144" t="s" ph="1">
        <v>214</v>
      </c>
      <c r="AU37" s="144" t="s" ph="1">
        <v>215</v>
      </c>
      <c r="AV37" s="144" t="s" ph="1">
        <v>213</v>
      </c>
      <c r="AW37" s="144" t="s" ph="1">
        <v>214</v>
      </c>
      <c r="AX37" s="144" t="s" ph="1">
        <v>215</v>
      </c>
      <c r="AY37" s="144" t="s" ph="1">
        <v>214</v>
      </c>
      <c r="AZ37" s="144" t="s" ph="1">
        <v>216</v>
      </c>
      <c r="BD37" s="144" t="s" ph="1">
        <v>308</v>
      </c>
      <c r="BE37" s="14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19" priority="96">
      <formula>ABS(D$7-D$10)&gt;=1000</formula>
    </cfRule>
  </conditionalFormatting>
  <conditionalFormatting sqref="E4 E6:E11">
    <cfRule type="expression" dxfId="2518" priority="95">
      <formula>ABS(E$7-E$10)&gt;=1000</formula>
    </cfRule>
  </conditionalFormatting>
  <conditionalFormatting sqref="F4:F11">
    <cfRule type="expression" dxfId="2517" priority="94">
      <formula>ABS(F$7-F$10)&gt;=1000</formula>
    </cfRule>
  </conditionalFormatting>
  <conditionalFormatting sqref="G4:G11">
    <cfRule type="expression" dxfId="2516" priority="93">
      <formula>ABS(G$7-G$10)&gt;=1000</formula>
    </cfRule>
  </conditionalFormatting>
  <conditionalFormatting sqref="H4:H11">
    <cfRule type="expression" dxfId="2515" priority="92">
      <formula>ABS(H$7-H$10)&gt;=1000</formula>
    </cfRule>
  </conditionalFormatting>
  <conditionalFormatting sqref="I4:I11">
    <cfRule type="expression" dxfId="2514" priority="91">
      <formula>ABS(I$7-I$10)&gt;=1000</formula>
    </cfRule>
  </conditionalFormatting>
  <conditionalFormatting sqref="J4:J11">
    <cfRule type="expression" dxfId="2513" priority="90">
      <formula>ABS(J$7-J$10)&gt;=1000</formula>
    </cfRule>
  </conditionalFormatting>
  <conditionalFormatting sqref="K4:K11">
    <cfRule type="expression" dxfId="2512" priority="89">
      <formula>ABS(K$7-K$10)&gt;=1000</formula>
    </cfRule>
  </conditionalFormatting>
  <conditionalFormatting sqref="L4:L11">
    <cfRule type="expression" dxfId="2511" priority="88">
      <formula>ABS(L$7-L$10)&gt;=1000</formula>
    </cfRule>
  </conditionalFormatting>
  <conditionalFormatting sqref="M4 M6:M11">
    <cfRule type="expression" dxfId="2510" priority="87">
      <formula>ABS(M$7-M$10)&gt;=1000</formula>
    </cfRule>
  </conditionalFormatting>
  <conditionalFormatting sqref="N4 N6:N11">
    <cfRule type="expression" dxfId="2509" priority="86">
      <formula>ABS(N$7-N$10)&gt;=1000</formula>
    </cfRule>
  </conditionalFormatting>
  <conditionalFormatting sqref="O4 O6:O11">
    <cfRule type="expression" dxfId="2508" priority="85">
      <formula>ABS(O$7-O$10)&gt;=1000</formula>
    </cfRule>
  </conditionalFormatting>
  <conditionalFormatting sqref="P4 P6:P11">
    <cfRule type="expression" dxfId="2507" priority="84">
      <formula>ABS(P$7-P$10)&gt;=1000</formula>
    </cfRule>
  </conditionalFormatting>
  <conditionalFormatting sqref="Q4:Q11">
    <cfRule type="expression" dxfId="2506" priority="83">
      <formula>ABS(Q$7-Q$10)&gt;=1000</formula>
    </cfRule>
  </conditionalFormatting>
  <conditionalFormatting sqref="R4:R11">
    <cfRule type="expression" dxfId="2505" priority="82">
      <formula>ABS(R$7-R$10)&gt;=1000</formula>
    </cfRule>
  </conditionalFormatting>
  <conditionalFormatting sqref="S4:S11">
    <cfRule type="expression" dxfId="2504" priority="81">
      <formula>ABS(S$7-S$10)&gt;=1000</formula>
    </cfRule>
  </conditionalFormatting>
  <conditionalFormatting sqref="T4:T9 T11">
    <cfRule type="expression" dxfId="2503" priority="80">
      <formula>ABS(T$7-T$10)&gt;=1000</formula>
    </cfRule>
  </conditionalFormatting>
  <conditionalFormatting sqref="U4:U9 U11">
    <cfRule type="expression" dxfId="2502" priority="79">
      <formula>ABS(U$7-U$10)&gt;=1000</formula>
    </cfRule>
  </conditionalFormatting>
  <conditionalFormatting sqref="V4:V9 V11">
    <cfRule type="expression" dxfId="2501" priority="78">
      <formula>ABS(V$7-V$10)&gt;=1000</formula>
    </cfRule>
  </conditionalFormatting>
  <conditionalFormatting sqref="W4:W9 W11">
    <cfRule type="expression" dxfId="2500" priority="77">
      <formula>ABS(W$7-W$10)&gt;=1000</formula>
    </cfRule>
  </conditionalFormatting>
  <conditionalFormatting sqref="X4:X9 X11">
    <cfRule type="expression" dxfId="2499" priority="76">
      <formula>ABS(X$7-X$10)&gt;=1000</formula>
    </cfRule>
  </conditionalFormatting>
  <conditionalFormatting sqref="Y4:Y9 Y11">
    <cfRule type="expression" dxfId="2498" priority="75">
      <formula>ABS(Y$7-Y$10)&gt;=1000</formula>
    </cfRule>
  </conditionalFormatting>
  <conditionalFormatting sqref="Z4:Z11">
    <cfRule type="expression" dxfId="2497" priority="74">
      <formula>ABS(Z$7-Z$10)&gt;=1000</formula>
    </cfRule>
  </conditionalFormatting>
  <conditionalFormatting sqref="AA4:AA11">
    <cfRule type="expression" dxfId="2496" priority="73">
      <formula>ABS(AA$7-AA$10)&gt;=1000</formula>
    </cfRule>
  </conditionalFormatting>
  <conditionalFormatting sqref="AB4:AB11">
    <cfRule type="expression" dxfId="2495" priority="72">
      <formula>ABS(AB$7-AB$10)&gt;=1000</formula>
    </cfRule>
  </conditionalFormatting>
  <conditionalFormatting sqref="AC4 AC6:AC11">
    <cfRule type="expression" dxfId="2494" priority="71">
      <formula>ABS(AC$7-AC$10)&gt;=1000</formula>
    </cfRule>
  </conditionalFormatting>
  <conditionalFormatting sqref="AD4:AD11">
    <cfRule type="expression" dxfId="2493" priority="70">
      <formula>ABS(AD$7-AD$10)&gt;=1000</formula>
    </cfRule>
  </conditionalFormatting>
  <conditionalFormatting sqref="AE4:AE11">
    <cfRule type="expression" dxfId="2492" priority="69">
      <formula>ABS(AE$7-AE$10)&gt;=1000</formula>
    </cfRule>
  </conditionalFormatting>
  <conditionalFormatting sqref="D13:D20">
    <cfRule type="expression" dxfId="2491" priority="68">
      <formula>ABS(D$16-D$19)&gt;=1000</formula>
    </cfRule>
  </conditionalFormatting>
  <conditionalFormatting sqref="E13:E20">
    <cfRule type="expression" dxfId="2490" priority="67">
      <formula>ABS(E$16-E$19)&gt;=1000</formula>
    </cfRule>
  </conditionalFormatting>
  <conditionalFormatting sqref="F13 F15:F20">
    <cfRule type="expression" dxfId="2489" priority="66">
      <formula>ABS(F$16-F$19)&gt;=1000</formula>
    </cfRule>
  </conditionalFormatting>
  <conditionalFormatting sqref="G13:G20">
    <cfRule type="expression" dxfId="2488" priority="65">
      <formula>ABS(G$16-G$19)&gt;=1000</formula>
    </cfRule>
  </conditionalFormatting>
  <conditionalFormatting sqref="H13:H20">
    <cfRule type="expression" dxfId="2487" priority="64">
      <formula>ABS(H$16-H$19)&gt;=1000</formula>
    </cfRule>
  </conditionalFormatting>
  <conditionalFormatting sqref="I13:I20">
    <cfRule type="expression" dxfId="2486" priority="63">
      <formula>ABS(I$16-I$19)&gt;=1000</formula>
    </cfRule>
  </conditionalFormatting>
  <conditionalFormatting sqref="J13:J20">
    <cfRule type="expression" dxfId="2485" priority="62">
      <formula>ABS(J$16-J$19)&gt;=1000</formula>
    </cfRule>
  </conditionalFormatting>
  <conditionalFormatting sqref="L13:L20">
    <cfRule type="expression" dxfId="2484" priority="61">
      <formula>ABS(L$16-L$19)&gt;=1000</formula>
    </cfRule>
  </conditionalFormatting>
  <conditionalFormatting sqref="M13 M15 M17:M18 M20">
    <cfRule type="expression" dxfId="2483" priority="60">
      <formula>ABS(M$16-M$19)&gt;=1000</formula>
    </cfRule>
  </conditionalFormatting>
  <conditionalFormatting sqref="N13:N20">
    <cfRule type="expression" dxfId="2482" priority="59">
      <formula>ABS(N$16-N$19)&gt;=1000</formula>
    </cfRule>
  </conditionalFormatting>
  <conditionalFormatting sqref="O13:O20">
    <cfRule type="expression" dxfId="2481" priority="58">
      <formula>ABS(O$16-O$19)&gt;=1000</formula>
    </cfRule>
  </conditionalFormatting>
  <conditionalFormatting sqref="P13:P20">
    <cfRule type="expression" dxfId="2480" priority="57">
      <formula>ABS(P$16-P$19)&gt;=1000</formula>
    </cfRule>
  </conditionalFormatting>
  <conditionalFormatting sqref="Q13 Q15:Q20">
    <cfRule type="expression" dxfId="2479" priority="56">
      <formula>ABS(Q$16-Q$19)&gt;=1000</formula>
    </cfRule>
  </conditionalFormatting>
  <conditionalFormatting sqref="R13:R20">
    <cfRule type="expression" dxfId="2478" priority="55">
      <formula>ABS(R$16-R$19)&gt;=1000</formula>
    </cfRule>
  </conditionalFormatting>
  <conditionalFormatting sqref="S13:S20">
    <cfRule type="expression" dxfId="2477" priority="54">
      <formula>ABS(S$16-S$19)&gt;=1000</formula>
    </cfRule>
  </conditionalFormatting>
  <conditionalFormatting sqref="T13:T20">
    <cfRule type="expression" dxfId="2476" priority="53">
      <formula>ABS(T$16-T$19)&gt;=1000</formula>
    </cfRule>
  </conditionalFormatting>
  <conditionalFormatting sqref="U13:U20">
    <cfRule type="expression" dxfId="2475" priority="52">
      <formula>ABS(U$16-U$19)&gt;=1000</formula>
    </cfRule>
  </conditionalFormatting>
  <conditionalFormatting sqref="V13:V20">
    <cfRule type="expression" dxfId="2474" priority="51">
      <formula>ABS(V$16-V$19)&gt;=1000</formula>
    </cfRule>
  </conditionalFormatting>
  <conditionalFormatting sqref="W13 W20 W15:W18">
    <cfRule type="expression" dxfId="2473" priority="50">
      <formula>ABS(W$16-W$19)&gt;=1000</formula>
    </cfRule>
  </conditionalFormatting>
  <conditionalFormatting sqref="X13 X15:X20 Y19">
    <cfRule type="expression" dxfId="2472" priority="49">
      <formula>ABS(X$16-X$19)&gt;=1000</formula>
    </cfRule>
  </conditionalFormatting>
  <conditionalFormatting sqref="Y13 Y15:Y18 Y20">
    <cfRule type="expression" dxfId="2471" priority="48">
      <formula>ABS(Y$16-Y$19)&gt;=1000</formula>
    </cfRule>
  </conditionalFormatting>
  <conditionalFormatting sqref="Z13:Z20">
    <cfRule type="expression" dxfId="2470" priority="47">
      <formula>ABS(Z$16-Z$19)&gt;=1000</formula>
    </cfRule>
  </conditionalFormatting>
  <conditionalFormatting sqref="AA13:AA20">
    <cfRule type="expression" dxfId="2469" priority="46">
      <formula>ABS(AA$16-AA$19)&gt;=1000</formula>
    </cfRule>
  </conditionalFormatting>
  <conditionalFormatting sqref="AB13 AB15:AB20">
    <cfRule type="expression" dxfId="2468" priority="45">
      <formula>ABS(AB$16-AB$19)&gt;=1000</formula>
    </cfRule>
  </conditionalFormatting>
  <conditionalFormatting sqref="AC13 AC15:AC20">
    <cfRule type="expression" dxfId="2467" priority="44">
      <formula>ABS(AC$16-AC$19)&gt;=1000</formula>
    </cfRule>
  </conditionalFormatting>
  <conditionalFormatting sqref="AD13:AD20">
    <cfRule type="expression" dxfId="2466" priority="43">
      <formula>ABS(AD$16-AD$19)&gt;=1000</formula>
    </cfRule>
  </conditionalFormatting>
  <conditionalFormatting sqref="AE13:AE20">
    <cfRule type="expression" dxfId="2465" priority="42">
      <formula>ABS(AE$16-AE$19)&gt;=1000</formula>
    </cfRule>
  </conditionalFormatting>
  <conditionalFormatting sqref="D22:D29">
    <cfRule type="expression" dxfId="2464" priority="41">
      <formula>ABS(D$25-D$28)&gt;=1000</formula>
    </cfRule>
  </conditionalFormatting>
  <conditionalFormatting sqref="E22:E29">
    <cfRule type="expression" dxfId="2463" priority="40">
      <formula>ABS(E$25-E$28)&gt;=1000</formula>
    </cfRule>
  </conditionalFormatting>
  <conditionalFormatting sqref="F22:F29">
    <cfRule type="expression" dxfId="2462" priority="39">
      <formula>ABS(F$25-F$28)&gt;=1000</formula>
    </cfRule>
  </conditionalFormatting>
  <conditionalFormatting sqref="G22:G29">
    <cfRule type="expression" dxfId="2461" priority="38">
      <formula>ABS(G$25-G$28)&gt;=1000</formula>
    </cfRule>
  </conditionalFormatting>
  <conditionalFormatting sqref="H22:H29">
    <cfRule type="expression" dxfId="2460" priority="37">
      <formula>ABS(H$25-H$28)&gt;=1000</formula>
    </cfRule>
  </conditionalFormatting>
  <conditionalFormatting sqref="I22 I24:I29">
    <cfRule type="expression" dxfId="2459" priority="36">
      <formula>ABS(I$25-I$28)&gt;=1000</formula>
    </cfRule>
  </conditionalFormatting>
  <conditionalFormatting sqref="J22:J29 K22">
    <cfRule type="expression" dxfId="2458" priority="35">
      <formula>ABS(J$25-J$28)&gt;=1000</formula>
    </cfRule>
  </conditionalFormatting>
  <conditionalFormatting sqref="K23:K29 L25 L28">
    <cfRule type="expression" dxfId="2457" priority="34">
      <formula>ABS(K$25-K$28)&gt;=1000</formula>
    </cfRule>
  </conditionalFormatting>
  <conditionalFormatting sqref="L22:L24 L26:L27 L29">
    <cfRule type="expression" dxfId="2456" priority="33">
      <formula>ABS(L$25-L$28)&gt;=1000</formula>
    </cfRule>
  </conditionalFormatting>
  <conditionalFormatting sqref="M22:M29">
    <cfRule type="expression" dxfId="2455" priority="32">
      <formula>ABS(M$25-M$28)&gt;=1000</formula>
    </cfRule>
  </conditionalFormatting>
  <conditionalFormatting sqref="N22:N29">
    <cfRule type="expression" dxfId="2454" priority="31">
      <formula>ABS(N$25-N$28)&gt;=1000</formula>
    </cfRule>
  </conditionalFormatting>
  <conditionalFormatting sqref="O22:O29">
    <cfRule type="expression" dxfId="2453" priority="30">
      <formula>ABS(O$25-O$28)&gt;=1000</formula>
    </cfRule>
  </conditionalFormatting>
  <conditionalFormatting sqref="P22:P29">
    <cfRule type="expression" dxfId="2452" priority="29">
      <formula>ABS(P$25-P$28)&gt;=1000</formula>
    </cfRule>
  </conditionalFormatting>
  <conditionalFormatting sqref="Q22:Q29">
    <cfRule type="expression" dxfId="2451" priority="28">
      <formula>ABS(Q$25-Q$28)&gt;=1000</formula>
    </cfRule>
  </conditionalFormatting>
  <conditionalFormatting sqref="R22:R29">
    <cfRule type="expression" dxfId="2450" priority="27">
      <formula>ABS(R$25-R$28)&gt;=1000</formula>
    </cfRule>
  </conditionalFormatting>
  <conditionalFormatting sqref="S22:S29">
    <cfRule type="expression" dxfId="2449" priority="26">
      <formula>ABS(S$25-S$28)&gt;=1000</formula>
    </cfRule>
  </conditionalFormatting>
  <conditionalFormatting sqref="T22:T29">
    <cfRule type="expression" dxfId="2448" priority="25">
      <formula>ABS(T$25-T$28)&gt;=1000</formula>
    </cfRule>
  </conditionalFormatting>
  <conditionalFormatting sqref="U22:U29">
    <cfRule type="expression" dxfId="2447" priority="24">
      <formula>ABS(U$25-U$28)&gt;=1000</formula>
    </cfRule>
  </conditionalFormatting>
  <conditionalFormatting sqref="V22:V29">
    <cfRule type="expression" dxfId="2446" priority="23">
      <formula>ABS(V$25-V$28)&gt;=1000</formula>
    </cfRule>
  </conditionalFormatting>
  <conditionalFormatting sqref="W22:W29">
    <cfRule type="expression" dxfId="2445" priority="22">
      <formula>ABS(W$25-W$28)&gt;=1000</formula>
    </cfRule>
  </conditionalFormatting>
  <conditionalFormatting sqref="X22:X29">
    <cfRule type="expression" dxfId="2444" priority="21">
      <formula>ABS(X$25-X$28)&gt;=1000</formula>
    </cfRule>
  </conditionalFormatting>
  <conditionalFormatting sqref="Y22:Y29">
    <cfRule type="expression" dxfId="2443" priority="20">
      <formula>ABS(Y$25-Y$28)&gt;=1000</formula>
    </cfRule>
  </conditionalFormatting>
  <conditionalFormatting sqref="I23">
    <cfRule type="expression" dxfId="2442" priority="19">
      <formula>ABS(I$25-I$28)&gt;=1000</formula>
    </cfRule>
  </conditionalFormatting>
  <conditionalFormatting sqref="F14">
    <cfRule type="expression" dxfId="2441" priority="18">
      <formula>ABS(F$16-F$19)&gt;=1000</formula>
    </cfRule>
  </conditionalFormatting>
  <conditionalFormatting sqref="Q14">
    <cfRule type="expression" dxfId="2440" priority="17">
      <formula>ABS(Q$16-Q$19)&gt;=1000</formula>
    </cfRule>
  </conditionalFormatting>
  <conditionalFormatting sqref="W14">
    <cfRule type="expression" dxfId="2439" priority="16">
      <formula>ABS(W$16-W$19)&gt;=1000</formula>
    </cfRule>
  </conditionalFormatting>
  <conditionalFormatting sqref="Y14">
    <cfRule type="expression" dxfId="2438" priority="15">
      <formula>ABS(Y$16-Y$19)&gt;=1000</formula>
    </cfRule>
  </conditionalFormatting>
  <conditionalFormatting sqref="X14">
    <cfRule type="expression" dxfId="2437" priority="14">
      <formula>ABS(X$16-X$19)&gt;=1000</formula>
    </cfRule>
  </conditionalFormatting>
  <conditionalFormatting sqref="T10:Y10">
    <cfRule type="expression" dxfId="2436" priority="13">
      <formula>ABS(T$7-T$10)&gt;=1000</formula>
    </cfRule>
  </conditionalFormatting>
  <conditionalFormatting sqref="W19">
    <cfRule type="expression" dxfId="2435" priority="12">
      <formula>ABS(W$16-W$19)&gt;=1000</formula>
    </cfRule>
  </conditionalFormatting>
  <conditionalFormatting sqref="AC5">
    <cfRule type="expression" dxfId="2434" priority="11">
      <formula>ABS(AC$7-AC$10)&gt;=1000</formula>
    </cfRule>
  </conditionalFormatting>
  <conditionalFormatting sqref="M14">
    <cfRule type="expression" dxfId="2433" priority="10">
      <formula>ABS(M$16-M$19)&gt;=1000</formula>
    </cfRule>
  </conditionalFormatting>
  <conditionalFormatting sqref="M16">
    <cfRule type="expression" dxfId="2432" priority="9">
      <formula>ABS(M$16-M$19)&gt;=1000</formula>
    </cfRule>
  </conditionalFormatting>
  <conditionalFormatting sqref="M19">
    <cfRule type="expression" dxfId="2431" priority="8">
      <formula>ABS(M$16-M$19)&gt;=1000</formula>
    </cfRule>
  </conditionalFormatting>
  <conditionalFormatting sqref="K13:K20">
    <cfRule type="expression" dxfId="2430" priority="7">
      <formula>ABS(K$16-K$19)&gt;=1000</formula>
    </cfRule>
  </conditionalFormatting>
  <conditionalFormatting sqref="E5">
    <cfRule type="expression" dxfId="2429" priority="6">
      <formula>ABS(E$7-E$10)&gt;=1000</formula>
    </cfRule>
  </conditionalFormatting>
  <conditionalFormatting sqref="AB14:AC14">
    <cfRule type="expression" dxfId="2428" priority="5">
      <formula>ABS(AB$16-AB$19)&gt;=1000</formula>
    </cfRule>
  </conditionalFormatting>
  <conditionalFormatting sqref="M5">
    <cfRule type="expression" dxfId="2427" priority="4">
      <formula>ABS(M$7-M$10)&gt;=1000</formula>
    </cfRule>
  </conditionalFormatting>
  <conditionalFormatting sqref="N5">
    <cfRule type="expression" dxfId="2426" priority="3">
      <formula>ABS(N$7-N$10)&gt;=1000</formula>
    </cfRule>
  </conditionalFormatting>
  <conditionalFormatting sqref="O5">
    <cfRule type="expression" dxfId="2425" priority="2">
      <formula>ABS(O$7-O$10)&gt;=1000</formula>
    </cfRule>
  </conditionalFormatting>
  <conditionalFormatting sqref="P5">
    <cfRule type="expression" dxfId="2424" priority="1">
      <formula>ABS(P$7-P$10)&gt;=1000</formula>
    </cfRule>
  </conditionalFormatting>
  <dataValidations count="1">
    <dataValidation operator="greaterThanOrEqual" allowBlank="1" showErrorMessage="1" sqref="D6" xr:uid="{00000000-0002-0000-04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628">
    <pageSetUpPr fitToPage="1"/>
  </sheetPr>
  <dimension ref="A1:CU223"/>
  <sheetViews>
    <sheetView view="pageBreakPreview" zoomScale="80" zoomScaleNormal="100" zoomScaleSheetLayoutView="80" workbookViewId="0">
      <selection activeCell="Q9" sqref="Q9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45782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7" t="s" ph="1">
        <v>178</v>
      </c>
      <c r="D6" s="71">
        <v>4185</v>
      </c>
      <c r="E6" s="71">
        <v>4267</v>
      </c>
      <c r="F6" s="71">
        <v>4633</v>
      </c>
      <c r="G6" s="71">
        <v>3731</v>
      </c>
      <c r="H6" s="71">
        <v>6600</v>
      </c>
      <c r="I6" s="71">
        <v>0.11</v>
      </c>
      <c r="J6" s="71">
        <v>7.8</v>
      </c>
      <c r="K6" s="71">
        <v>7.42</v>
      </c>
      <c r="L6" s="71">
        <v>33.01</v>
      </c>
      <c r="M6" s="71">
        <v>1383</v>
      </c>
      <c r="N6" s="71">
        <v>6235</v>
      </c>
      <c r="O6" s="71">
        <v>1580</v>
      </c>
      <c r="P6" s="71">
        <v>2732</v>
      </c>
      <c r="Q6" s="71">
        <v>5150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955</v>
      </c>
      <c r="X6" s="71">
        <v>5421</v>
      </c>
      <c r="Y6" s="71">
        <v>5357</v>
      </c>
      <c r="Z6" s="71">
        <v>1231</v>
      </c>
      <c r="AA6" s="71">
        <v>2158</v>
      </c>
      <c r="AB6" s="71">
        <v>3506</v>
      </c>
      <c r="AC6" s="71">
        <v>5887</v>
      </c>
      <c r="AD6" s="71">
        <v>4875</v>
      </c>
      <c r="AE6" s="71">
        <v>4066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131375.99495565001</v>
      </c>
      <c r="E7" s="73" ph="1">
        <f>E6*51.53*LOOKUP(E8,密度!$A$2:$A$50,密度!$B$2:$B$50)</f>
        <v>171417.28639600001</v>
      </c>
      <c r="F7" s="73" ph="1">
        <f>F6*33.183*LOOKUP(F8,密度!$A$2:$A$50,密度!$C$2:$C$50)</f>
        <v>170586.39655440001</v>
      </c>
      <c r="G7" s="73" ph="1">
        <f xml:space="preserve"> (G6+2)*51.53*LOOKUP(G8,密度!$A$2:$A$50,密度!$B$2:$B$50)</f>
        <v>149965.01760399999</v>
      </c>
      <c r="H7" s="73" ph="1">
        <f>(H6)*51.53*LOOKUP(H8,密度!$A$2:$A$50,密度!$B$2:$B$50)</f>
        <v>266670.84179999999</v>
      </c>
      <c r="I7" s="73" ph="1">
        <f>I6*290.8*1.0267</f>
        <v>32.842079599999998</v>
      </c>
      <c r="J7" s="73" ph="1">
        <f>J6*290.8*0.7892</f>
        <v>1790.0950080000002</v>
      </c>
      <c r="K7" s="73" ph="1">
        <f>K6*290.8*1.1126</f>
        <v>2400.6970735999998</v>
      </c>
      <c r="L7" s="73" ph="1">
        <f>L6*290.8*0.777</f>
        <v>7458.6623159999999</v>
      </c>
      <c r="M7" s="73" ph="1">
        <f>M6*33.183*LOOKUP(M8,密度!$A$2:$A$50,密度!$D$2:$D$50)</f>
        <v>46988.909927100001</v>
      </c>
      <c r="N7" s="73" ph="1">
        <f>N6*33.183*LOOKUP(N8,密度!$A$2:$A$50,密度!$E$2:$E$50)</f>
        <v>161585.779905</v>
      </c>
      <c r="O7" s="73" ph="1">
        <f>O6*20.428*LOOKUP(O8,密度!$A$2:$A$50,密度!$C$2:$C$50)</f>
        <v>35668.472824000004</v>
      </c>
      <c r="P7" s="73" ph="1">
        <f>P6*51.53*LOOKUP(P8,密度!$A$2:$A$50,密度!$B$2:$B$50)</f>
        <v>109512.730884</v>
      </c>
      <c r="Q7" s="73" ph="1">
        <f>Q6*1.5*1.5*3.1416*LOOKUP(W8,密度!$A$2:$A$50,密度!$L$2:$L$50)</f>
        <v>34037.076150000001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6311.7296550000001</v>
      </c>
      <c r="X7" s="73" ph="1">
        <f>X6*1.5*1.5*3.1416*LOOKUP(X8,密度!$A$2:$A$50,密度!$L$2:$L$50)</f>
        <v>36173.023286399992</v>
      </c>
      <c r="Y7" s="73" ph="1">
        <f>Y6*1.5*1.5*3.1416*LOOKUP(Y8,密度!$A$2:$A$50,密度!$L$2:$L$50)</f>
        <v>35480.901317399999</v>
      </c>
      <c r="Z7" s="73" ph="1">
        <f>Z6*33.183*LOOKUP(Z8,密度!$A$2:$A$50,密度!$L$2:$L$50)</f>
        <v>38274.831801</v>
      </c>
      <c r="AA7" s="73" ph="1">
        <f>AA6*33.183*LOOKUP(AA8,密度!$A$2:$A$50,密度!$D$2:$D$50)</f>
        <v>73384.815067200005</v>
      </c>
      <c r="AB7" s="73" ph="1">
        <f>AB6*20.428*LOOKUP(AB8,密度!$A$2:$A$50,密度!$D$2:$D$50)</f>
        <v>74112.963766399989</v>
      </c>
      <c r="AC7" s="73" ph="1">
        <f>AC6*51.53*LOOKUP(AC8,密度!$A$2:$A$50,密度!$Q$2:$Q$50)</f>
        <v>287421.76101169997</v>
      </c>
      <c r="AD7" s="73" ph="1">
        <f>AD6*20.428*LOOKUP(AD8,密度!$A$2:$A$50,密度!$V$2:$V$50)</f>
        <v>95364.032399999996</v>
      </c>
      <c r="AE7" s="73" ph="1">
        <f>AE6*20.428</f>
        <v>83060.248000000007</v>
      </c>
    </row>
    <row r="8" spans="1:99" ph="1">
      <c r="B8" s="196" ph="1"/>
      <c r="C8" s="68" t="s" ph="1">
        <v>180</v>
      </c>
      <c r="D8" s="74">
        <v>26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30</v>
      </c>
      <c r="P8" s="74">
        <v>27</v>
      </c>
      <c r="Q8" s="74">
        <v>24</v>
      </c>
      <c r="R8" s="74">
        <v>31</v>
      </c>
      <c r="S8" s="74">
        <v>20</v>
      </c>
      <c r="T8" s="74">
        <v>21</v>
      </c>
      <c r="U8" s="74">
        <v>26</v>
      </c>
      <c r="V8" s="74">
        <v>28</v>
      </c>
      <c r="W8" s="74">
        <v>27</v>
      </c>
      <c r="X8" s="74">
        <v>18</v>
      </c>
      <c r="Y8" s="74">
        <v>25</v>
      </c>
      <c r="Z8" s="74">
        <v>25</v>
      </c>
      <c r="AA8" s="74">
        <v>27</v>
      </c>
      <c r="AB8" s="74">
        <v>16</v>
      </c>
      <c r="AC8" s="74">
        <v>24</v>
      </c>
      <c r="AD8" s="74">
        <v>27</v>
      </c>
      <c r="AE8" s="74">
        <v>27</v>
      </c>
    </row>
    <row r="9" spans="1:99" ph="1">
      <c r="B9" s="196" ph="1">
        <v>0.66666666666666663</v>
      </c>
      <c r="C9" s="147" t="s" ph="1">
        <v>181</v>
      </c>
      <c r="D9" s="71">
        <v>4186</v>
      </c>
      <c r="E9" s="71">
        <v>4701</v>
      </c>
      <c r="F9" s="71">
        <v>4636</v>
      </c>
      <c r="G9" s="71">
        <v>4291</v>
      </c>
      <c r="H9" s="71">
        <v>6368</v>
      </c>
      <c r="I9" s="71">
        <v>0</v>
      </c>
      <c r="J9" s="71">
        <v>7.8</v>
      </c>
      <c r="K9" s="71">
        <v>7.5</v>
      </c>
      <c r="L9" s="71">
        <v>33.01</v>
      </c>
      <c r="M9" s="71">
        <v>1383</v>
      </c>
      <c r="N9" s="71">
        <v>6241</v>
      </c>
      <c r="O9" s="71">
        <v>579</v>
      </c>
      <c r="P9" s="71">
        <v>2763</v>
      </c>
      <c r="Q9" s="71">
        <v>7153</v>
      </c>
      <c r="R9" s="71">
        <v>4235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3604</v>
      </c>
      <c r="Y9" s="71">
        <v>5365</v>
      </c>
      <c r="Z9" s="71">
        <v>1920</v>
      </c>
      <c r="AA9" s="71">
        <v>5159</v>
      </c>
      <c r="AB9" s="71">
        <v>3471</v>
      </c>
      <c r="AC9" s="71">
        <v>5889</v>
      </c>
      <c r="AD9" s="71">
        <v>5457</v>
      </c>
      <c r="AE9" s="71">
        <v>4001</v>
      </c>
    </row>
    <row r="10" spans="1:99" s="72" customFormat="1" ht="21.75" ph="1">
      <c r="B10" s="196" ph="1"/>
      <c r="C10" s="147" t="s" ph="1">
        <v>179</v>
      </c>
      <c r="D10" s="73" ph="1">
        <f>D9*33.183*LOOKUP(D11,密度!$A$2:$A$50,密度!$Q$2:$Q$50)</f>
        <v>131211.53237556</v>
      </c>
      <c r="E10" s="73" ph="1">
        <f>E9*51.53*LOOKUP(E11,密度!$A$2:$A$50,密度!$B$2:$B$50)</f>
        <v>187810.63350900001</v>
      </c>
      <c r="F10" s="73" ph="1">
        <f>F9*33.183*LOOKUP(F11,密度!$A$2:$A$50,密度!$C$2:$C$50)</f>
        <v>170358.41607119999</v>
      </c>
      <c r="G10" s="73" ph="1">
        <f xml:space="preserve"> (G9+2)*51.53*LOOKUP(G11,密度!$A$2:$A$50,密度!$B$2:$B$50)</f>
        <v>171709.63669800002</v>
      </c>
      <c r="H10" s="73" ph="1">
        <f>(H9)*51.53*LOOKUP(H11,密度!$A$2:$A$50,密度!$B$2:$B$50)</f>
        <v>254704.62764799999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2426.5806000000002</v>
      </c>
      <c r="L10" s="73" ph="1">
        <f>L9*290.8*0.777</f>
        <v>7458.6623159999999</v>
      </c>
      <c r="M10" s="73" ph="1">
        <f>M9*33.183*LOOKUP(M11,密度!$A$2:$A$50,密度!$D$2:$D$50)</f>
        <v>46860.412077899993</v>
      </c>
      <c r="N10" s="73" ph="1">
        <f>N9*33.183*LOOKUP(N11,密度!$A$2:$A$50,密度!$E$2:$E$50)</f>
        <v>161492.76131940002</v>
      </c>
      <c r="O10" s="73" ph="1">
        <f>O9*20.428*LOOKUP(O11,密度!$A$2:$A$50,密度!$C$2:$C$50)</f>
        <v>12921.884610000001</v>
      </c>
      <c r="P10" s="73" ph="1">
        <f>P9*51.53*LOOKUP(P11,密度!$A$2:$A$50,密度!$B$2:$B$50)</f>
        <v>110513.33011800001</v>
      </c>
      <c r="Q10" s="73" ph="1">
        <f>Q9*1.5*1.5*3.1416*LOOKUP(W11,密度!$A$2:$A$50,密度!$L$2:$L$50)</f>
        <v>46719.006919200001</v>
      </c>
      <c r="R10" s="73" ph="1">
        <f>R9*1.5*1.5*3.1416*LOOKUP(R11,密度!$A$2:$A$50,密度!$L$2:$L$50)</f>
        <v>27810.099009000001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23997.6708048</v>
      </c>
      <c r="Y10" s="73" ph="1">
        <f>Y9*1.5*1.5*3.1416*LOOKUP(Y11,密度!$A$2:$A$50,密度!$L$2:$L$50)</f>
        <v>35495.964503999996</v>
      </c>
      <c r="Z10" s="73" ph="1">
        <f>Z9*33.183*LOOKUP(Z11,密度!$A$2:$A$50,密度!$L$2:$L$50)</f>
        <v>59506.410240000005</v>
      </c>
      <c r="AA10" s="73" ph="1">
        <f>AA9*33.183*LOOKUP(AA11,密度!$A$2:$A$50,密度!$D$2:$D$50)</f>
        <v>175111.37312129998</v>
      </c>
      <c r="AB10" s="73" ph="1">
        <f>AB9*20.428*LOOKUP(AB11,密度!$A$2:$A$50,密度!$D$2:$D$50)</f>
        <v>73132.023463200007</v>
      </c>
      <c r="AC10" s="73" ph="1">
        <f>AC9*51.53*LOOKUP(AC11,密度!$A$2:$A$50,密度!$Q$2:$Q$50)</f>
        <v>286445.1582681</v>
      </c>
      <c r="AD10" s="73" ph="1">
        <f>AD9*20.428*LOOKUP(AD11,密度!$A$2:$A$50,密度!$V$2:$V$50)</f>
        <v>106749.03072960001</v>
      </c>
      <c r="AE10" s="73" ph="1">
        <f>AE9*20.428</f>
        <v>81732.428</v>
      </c>
    </row>
    <row r="11" spans="1:99" ph="1">
      <c r="A11" s="64" t="s" ph="1">
        <v>163</v>
      </c>
      <c r="B11" s="196" ph="1"/>
      <c r="C11" s="147" t="s" ph="1">
        <v>180</v>
      </c>
      <c r="D11" s="74">
        <v>28</v>
      </c>
      <c r="E11" s="74">
        <v>30</v>
      </c>
      <c r="F11" s="74">
        <v>27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28</v>
      </c>
      <c r="O11" s="74">
        <v>42</v>
      </c>
      <c r="P11" s="74">
        <v>29</v>
      </c>
      <c r="Q11" s="74">
        <v>26</v>
      </c>
      <c r="R11" s="74">
        <v>33</v>
      </c>
      <c r="S11" s="74">
        <v>25</v>
      </c>
      <c r="T11" s="74">
        <v>30</v>
      </c>
      <c r="U11" s="74">
        <v>30</v>
      </c>
      <c r="V11" s="74">
        <v>28</v>
      </c>
      <c r="W11" s="74">
        <v>38</v>
      </c>
      <c r="X11" s="74">
        <v>20</v>
      </c>
      <c r="Y11" s="74">
        <v>26</v>
      </c>
      <c r="Z11" s="74">
        <v>28</v>
      </c>
      <c r="AA11" s="74">
        <v>29</v>
      </c>
      <c r="AB11" s="74">
        <v>20</v>
      </c>
      <c r="AC11" s="74">
        <v>29</v>
      </c>
      <c r="AD11" s="74">
        <v>39</v>
      </c>
      <c r="AE11" s="74">
        <v>39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7" t="s" ph="1">
        <v>178</v>
      </c>
      <c r="D15" s="78">
        <v>3265</v>
      </c>
      <c r="E15" s="78">
        <v>5274</v>
      </c>
      <c r="F15" s="78">
        <v>3236</v>
      </c>
      <c r="G15" s="78">
        <v>4111</v>
      </c>
      <c r="H15" s="78">
        <v>4532</v>
      </c>
      <c r="I15" s="78">
        <v>473</v>
      </c>
      <c r="J15" s="78">
        <v>336</v>
      </c>
      <c r="K15" s="78">
        <v>711</v>
      </c>
      <c r="L15" s="78">
        <v>2537</v>
      </c>
      <c r="M15" s="78">
        <v>4340</v>
      </c>
      <c r="N15" s="78">
        <v>3621</v>
      </c>
      <c r="O15" s="78">
        <v>28</v>
      </c>
      <c r="P15" s="78">
        <v>6957</v>
      </c>
      <c r="Q15" s="78">
        <v>33</v>
      </c>
      <c r="R15" s="78">
        <v>3514</v>
      </c>
      <c r="S15" s="78">
        <v>6874</v>
      </c>
      <c r="T15" s="78">
        <v>722</v>
      </c>
      <c r="U15" s="78">
        <v>6668</v>
      </c>
      <c r="V15" s="78">
        <v>5450</v>
      </c>
      <c r="W15" s="71">
        <v>3762</v>
      </c>
      <c r="X15" s="78">
        <v>152</v>
      </c>
      <c r="Y15" s="106" ph="1">
        <f>-AF232366</f>
        <v>0</v>
      </c>
      <c r="Z15" s="78">
        <v>0</v>
      </c>
      <c r="AA15" s="78">
        <v>4237</v>
      </c>
      <c r="AB15" s="78" ph="1">
        <v>6929</v>
      </c>
      <c r="AC15" s="78" ph="1">
        <v>990</v>
      </c>
      <c r="AD15" s="78">
        <v>84.72</v>
      </c>
      <c r="AE15" s="78">
        <v>42.5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7" t="s" ph="1">
        <v>179</v>
      </c>
      <c r="D16" s="73" ph="1">
        <f>D15*7.0686*LOOKUP(D17,密度!$A$2:$A$50,密度!$L$2:$L$50)</f>
        <v>21625.003323000001</v>
      </c>
      <c r="E16" s="73" ph="1">
        <f>E15*7.0686*LOOKUP(E17,密度!$A$2:$A$50,密度!$L$2:$L$50)</f>
        <v>34931.169226800004</v>
      </c>
      <c r="F16" s="73" ph="1">
        <f>F15*9.0746*LOOKUP(F17,密度!$A$2:$A$50,密度!$L$2:$L$50)</f>
        <v>27368.558019200002</v>
      </c>
      <c r="G16" s="73" ph="1">
        <f>G15*9.0746*LOOKUP(G17,密度!$A$2:$A$50,密度!$B$2:$B$50)</f>
        <v>29083.508595759999</v>
      </c>
      <c r="H16" s="73" ph="1">
        <f>H15*9.0746*LOOKUP(H17,密度!$A$2:$A$50,密度!$L$2:$L$50)</f>
        <v>38576.269793599997</v>
      </c>
      <c r="I16" s="73" ph="1">
        <f>I15*9.0746*LOOKUP(I17,密度!$A$2:$A$50,密度!$U$2:$U$50)</f>
        <v>4403.8852307999996</v>
      </c>
      <c r="J16" s="73" ph="1">
        <f>J15*9.0746*LOOKUP(J17,密度!$A$2:$A$50,密度!$L$2:$L$50)</f>
        <v>2853.9254016</v>
      </c>
      <c r="K16" s="73" ph="1">
        <f>K15*9.0746*LOOKUP(K17,密度!$A$2:$A$50,密度!$C$2:$C$50)</f>
        <v>7154.66782134</v>
      </c>
      <c r="L16" s="73" ph="1">
        <f>L15*9.0746*LOOKUP(L17,密度!$A$2:$A$50,密度!$E$2:$E$50)</f>
        <v>17952.758503960002</v>
      </c>
      <c r="M16" s="73" ph="1">
        <f>M15*9.0746*LOOKUP(M17,密度!$A$2:$A$50,密度!$M$2:$M$50)</f>
        <v>34303.258443999999</v>
      </c>
      <c r="N16" s="73" ph="1">
        <f>N15*9.0746*LOOKUP(N17,密度!$A$2:$A$50,密度!$M$2:$M$50)</f>
        <v>28755.021687660002</v>
      </c>
      <c r="O16" s="73" ph="1">
        <f>O15*9.0746*LOOKUP(O17,密度!$A$2:$A$50,密度!$G$2:$G$50)</f>
        <v>243.97606576000001</v>
      </c>
      <c r="P16" s="73" ph="1">
        <f ca="1">P15*9.0746*LOOKUP(P17,密度!$A$2:$A$51,密度!$Q$2:$Q$50)</f>
        <v>59679.934866504002</v>
      </c>
      <c r="Q16" s="73" ph="1">
        <f>Q15*9.0746*LOOKUP(Q17,密度!$A$2:$A$50,密度!$Q$2:$Q$50)</f>
        <v>283.51246453199997</v>
      </c>
      <c r="R16" s="73" ph="1">
        <f>MAX(R15*9.0746*LOOKUP(R17,密度!$A$2:$A$50,密度!$B$2:$B$50),0)</f>
        <v>24777.0881988</v>
      </c>
      <c r="S16" s="73" ph="1">
        <f>S15*9.0746*LOOKUP(S17,密度!$A$2:$A$50,密度!$Q$2:$Q$50)</f>
        <v>59012.216542412003</v>
      </c>
      <c r="T16" s="73" ph="1">
        <f>T15*9.0746*LOOKUP(T17,密度!$A$2:$A$50,密度!$O$2:$O$50)</f>
        <v>6067.0234712000001</v>
      </c>
      <c r="U16" s="73" ph="1">
        <f>U15*9.0746*LOOKUP(U17,密度!$A$2:$A$50,密度!$H$2:$H$50)</f>
        <v>55408.487614960002</v>
      </c>
      <c r="V16" s="73" ph="1">
        <f>MAX(5600*LOOKUP(V17,密度!$A$2:$A$50,密度!$Q$2:$Q$50)+V15*9.0476*LOOKUP(V17,密度!$A$2:$A$50,密度!$Q$2:$Q$50),0)</f>
        <v>51906.972914400001</v>
      </c>
      <c r="W16" s="73" ph="1">
        <f>MAX(5600*LOOKUP(W17,密度!$A$2:$A$50,密度!$Q$2:$Q$50)+W15*9.0476*LOOKUP(W17,密度!$A$2:$A$50,密度!$Q$2:$Q$50),0)</f>
        <v>37526.000787887999</v>
      </c>
      <c r="X16" s="73" ph="1">
        <f>MAX(5600*LOOKUP(X17,密度!$A$2:$A$50,密度!$I$2:$I$50)+X15*9.0476*LOOKUP(X17,密度!$A$2:$A$50,密度!$I$2:$I$50),0)</f>
        <v>7270.2876489600003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29974.902923920003</v>
      </c>
      <c r="AB16" s="73" ph="1">
        <f>AB15*9.0746*LOOKUP(AB17,密度!$A$2:$A$50,密度!$L$2:$L$50)</f>
        <v>58727.961775600008</v>
      </c>
      <c r="AC16" s="73" ph="1">
        <f>AC15*9.0746*LOOKUP(AC17,密度!$A$2:$A$50,密度!$L$2:$L$50)</f>
        <v>8426.855051999999</v>
      </c>
      <c r="AD16" s="73" ph="1">
        <f>AD15*268.68*LOOKUP(AD17,密度!$A$2:$A$50,密度!B2:B50)+IF(AD15&lt;=0,0,1566*LOOKUP(AD17,密度!$A$2:$A$50,密度!B2:B50))</f>
        <v>18966.552860159998</v>
      </c>
      <c r="AE16" s="73" ph="1">
        <f>AE15*268.68*LOOKUP(AE17,密度!$A$2:$A$50,密度!B2:B50)+IF(AE15&lt;=0,0,1566*LOOKUP(AE17,密度!$A$2:$A$50,密度!B2:B50))</f>
        <v>10123.028039999999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30</v>
      </c>
      <c r="G17" s="74">
        <v>25</v>
      </c>
      <c r="H17" s="74">
        <v>24</v>
      </c>
      <c r="I17" s="74">
        <v>24</v>
      </c>
      <c r="J17" s="74">
        <v>26</v>
      </c>
      <c r="K17" s="74">
        <v>25</v>
      </c>
      <c r="L17" s="74">
        <v>28</v>
      </c>
      <c r="M17" s="74">
        <v>29</v>
      </c>
      <c r="N17" s="74">
        <v>25</v>
      </c>
      <c r="O17" s="74">
        <v>25</v>
      </c>
      <c r="P17" s="74">
        <v>27</v>
      </c>
      <c r="Q17" s="74">
        <v>25</v>
      </c>
      <c r="R17" s="74">
        <v>28</v>
      </c>
      <c r="S17" s="74">
        <v>26</v>
      </c>
      <c r="T17" s="74">
        <v>25</v>
      </c>
      <c r="U17" s="74">
        <v>24</v>
      </c>
      <c r="V17" s="74">
        <v>27</v>
      </c>
      <c r="W17" s="74">
        <v>25</v>
      </c>
      <c r="X17" s="74">
        <v>25</v>
      </c>
      <c r="Y17" s="108">
        <v>25</v>
      </c>
      <c r="Z17" s="74">
        <v>25</v>
      </c>
      <c r="AA17" s="74">
        <v>25</v>
      </c>
      <c r="AB17" s="74">
        <v>28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3270</v>
      </c>
      <c r="E18" s="71">
        <v>5281</v>
      </c>
      <c r="F18" s="71">
        <v>3429</v>
      </c>
      <c r="G18" s="71">
        <v>796</v>
      </c>
      <c r="H18" s="71">
        <v>4537</v>
      </c>
      <c r="I18" s="71">
        <v>117</v>
      </c>
      <c r="J18" s="71">
        <v>355</v>
      </c>
      <c r="K18" s="71">
        <v>711</v>
      </c>
      <c r="L18" s="71">
        <v>2542</v>
      </c>
      <c r="M18" s="71">
        <v>1380</v>
      </c>
      <c r="N18" s="71">
        <v>5018</v>
      </c>
      <c r="O18" s="71">
        <v>45</v>
      </c>
      <c r="P18" s="71">
        <v>6968</v>
      </c>
      <c r="Q18" s="71">
        <v>28</v>
      </c>
      <c r="R18" s="71">
        <v>3518</v>
      </c>
      <c r="S18" s="71">
        <v>6884</v>
      </c>
      <c r="T18" s="71">
        <v>711</v>
      </c>
      <c r="U18" s="71">
        <v>6671</v>
      </c>
      <c r="V18" s="71">
        <v>5451</v>
      </c>
      <c r="W18" s="71">
        <v>3762</v>
      </c>
      <c r="X18" s="71">
        <v>148</v>
      </c>
      <c r="Y18" s="109">
        <v>-9907</v>
      </c>
      <c r="Z18" s="71">
        <v>0</v>
      </c>
      <c r="AA18" s="71">
        <v>4241</v>
      </c>
      <c r="AB18" s="71">
        <v>6940</v>
      </c>
      <c r="AC18" s="71">
        <v>991</v>
      </c>
      <c r="AD18" s="71">
        <v>63.9</v>
      </c>
      <c r="AE18" s="71">
        <v>68.8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7" t="s" ph="1">
        <v>179</v>
      </c>
      <c r="D19" s="73" ph="1">
        <f>D18*7.0686*LOOKUP(D20,密度!$A$2:$A$50,密度!$L$2:$L$50)</f>
        <v>21565.662426000003</v>
      </c>
      <c r="E19" s="73" ph="1">
        <f>E18*7.0686*LOOKUP(E20,密度!$A$2:$A$50,密度!$L$2:$L$50)</f>
        <v>34828.215067799996</v>
      </c>
      <c r="F19" s="73" ph="1">
        <f>F18*9.0746*LOOKUP(F20,密度!$A$2:$A$50,密度!$L$2:$L$50)</f>
        <v>28969.743965400001</v>
      </c>
      <c r="G19" s="73" ph="1">
        <f>G18*9.0746*LOOKUP(G20,密度!$A$2:$A$50,密度!$B$2:$B$50)</f>
        <v>5606.7887979200004</v>
      </c>
      <c r="H19" s="73" ph="1">
        <f>H18*9.0746*LOOKUP(H20,密度!$A$2:$A$50,密度!$L$2:$L$50)</f>
        <v>38618.829667599995</v>
      </c>
      <c r="I19" s="73" ph="1">
        <f>I18*9.0746*LOOKUP(I20,密度!$A$2:$A$50,密度!$U$2:$U$50)</f>
        <v>1084.0244921999999</v>
      </c>
      <c r="J19" s="73" ph="1">
        <f>J18*9.0746*LOOKUP(J20,密度!$A$2:$A$50,密度!$L$2:$L$50)</f>
        <v>3005.6436390000003</v>
      </c>
      <c r="K19" s="73" ph="1">
        <f>K18*9.0746*LOOKUP(K20,密度!$A$2:$A$50,密度!$C$2:$C$50)</f>
        <v>7123.6980264600006</v>
      </c>
      <c r="L19" s="73" ph="1">
        <f>L18*9.0746*LOOKUP(L20,密度!$A$2:$A$50,密度!$E$2:$E$50)</f>
        <v>17962.765972839999</v>
      </c>
      <c r="M19" s="73" ph="1">
        <f>M18*9.0746*LOOKUP(M20,密度!$A$2:$A$50,密度!$M$2:$M$50)</f>
        <v>10854.515637960001</v>
      </c>
      <c r="N19" s="73" ph="1">
        <f>N18*9.0746*LOOKUP(N20,密度!$A$2:$A$50,密度!$M$2:$M$50)</f>
        <v>39848.853584279997</v>
      </c>
      <c r="O19" s="73" ph="1">
        <f>O18*9.0746*LOOKUP(O20,密度!$A$2:$A$50,密度!$G$2:$G$50)</f>
        <v>389.85842790000004</v>
      </c>
      <c r="P19" s="73" ph="1">
        <f ca="1">P18*9.0746*LOOKUP(P20,密度!$A$2:$A$51,密度!$Q$2:$Q$50)</f>
        <v>59686.405056304</v>
      </c>
      <c r="Q19" s="73" ph="1">
        <f>Q18*9.0746*LOOKUP(Q20,密度!$A$2:$A$50,密度!$Q$2:$Q$50)</f>
        <v>239.68958770399999</v>
      </c>
      <c r="R19" s="73" ph="1">
        <f>MAX(R18*9.0746*LOOKUP(R20,密度!$A$2:$A$50,密度!$B$2:$B$50),0)</f>
        <v>24779.752501359999</v>
      </c>
      <c r="S19" s="73" ph="1">
        <f>S18*9.0746*LOOKUP(S20,密度!$A$2:$A$50,密度!$Q$2:$Q$50)</f>
        <v>58966.878933352004</v>
      </c>
      <c r="T19" s="73" ph="1">
        <f>T18*9.0746*LOOKUP(T20,密度!$A$2:$A$50,密度!$O$2:$O$50)</f>
        <v>5974.5895956000004</v>
      </c>
      <c r="U19" s="73" ph="1">
        <f>U18*9.0746*LOOKUP(U20,密度!$A$2:$A$50,密度!$H$2:$H$50)</f>
        <v>55209.430819200003</v>
      </c>
      <c r="V19" s="73" ph="1">
        <f>MAX(5600*LOOKUP(V20,密度!$A$2:$A$50,密度!$Q$2:$Q$50)+V18*9.0476*LOOKUP(V20,密度!$A$2:$A$50,密度!$Q$2:$Q$50),0)</f>
        <v>51915.525791631997</v>
      </c>
      <c r="W19" s="73" ph="1">
        <f>MAX(5600*LOOKUP(W20,密度!$A$2:$A$50,密度!$Q$2:$Q$50)+W18*9.0476*LOOKUP(W20,密度!$A$2:$A$50,密度!$Q$2:$Q$50),0)</f>
        <v>37469.716146783998</v>
      </c>
      <c r="X19" s="73" ph="1">
        <f>MAX(5600*LOOKUP(X20,密度!$A$2:$A$50,密度!$I$2:$I$50)+X18*9.0476*LOOKUP(X20,密度!$A$2:$A$50,密度!$I$2:$I$50),0)</f>
        <v>7208.9736427199987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29968.56431582</v>
      </c>
      <c r="AB19" s="73" ph="1">
        <f>AB18*9.0746*LOOKUP(AB20,密度!$A$2:$A$50,密度!$L$2:$L$50)</f>
        <v>58821.194216000004</v>
      </c>
      <c r="AC19" s="73" ph="1">
        <f>AC18*9.0746*LOOKUP(AC20,密度!$A$2:$A$50,密度!$L$2:$L$50)</f>
        <v>8399.3953124000018</v>
      </c>
      <c r="AD19" s="73" ph="1">
        <f>AD18*268.68*LOOKUP(AD20,密度!$A$2:$A$50,密度!B5:B53)+IF(AD18&lt;=0,0,1566*LOOKUP(AD20,密度!$A$2:$A$50,密度!B5:B53))</f>
        <v>14556.824604000001</v>
      </c>
      <c r="AE19" s="73" ph="1">
        <f>AE18*268.68*LOOKUP(AE20,密度!$A$2:$A$50,密度!B5:B53)+IF(AE18&lt;=0,0,1566*LOOKUP(AE20,密度!$A$2:$A$50,密度!B5:B53))</f>
        <v>15579.769968000001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29</v>
      </c>
      <c r="E20" s="81">
        <v>29</v>
      </c>
      <c r="F20" s="81">
        <v>31</v>
      </c>
      <c r="G20" s="81">
        <v>29</v>
      </c>
      <c r="H20" s="81">
        <v>24</v>
      </c>
      <c r="I20" s="81">
        <v>29</v>
      </c>
      <c r="J20" s="81">
        <v>29</v>
      </c>
      <c r="K20" s="81">
        <v>31</v>
      </c>
      <c r="L20" s="81">
        <v>29</v>
      </c>
      <c r="M20" s="81">
        <v>33</v>
      </c>
      <c r="N20" s="81">
        <v>25</v>
      </c>
      <c r="O20" s="81">
        <v>30</v>
      </c>
      <c r="P20" s="81">
        <v>29</v>
      </c>
      <c r="Q20" s="81">
        <v>30</v>
      </c>
      <c r="R20" s="81">
        <v>29</v>
      </c>
      <c r="S20" s="81">
        <v>29</v>
      </c>
      <c r="T20" s="81">
        <v>29</v>
      </c>
      <c r="U20" s="81">
        <v>28</v>
      </c>
      <c r="V20" s="81">
        <v>27</v>
      </c>
      <c r="W20" s="81">
        <v>27</v>
      </c>
      <c r="X20" s="81">
        <v>28</v>
      </c>
      <c r="Y20" s="110">
        <v>28</v>
      </c>
      <c r="Z20" s="81">
        <v>31</v>
      </c>
      <c r="AA20" s="81">
        <v>26</v>
      </c>
      <c r="AB20" s="81">
        <v>28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7" t="s" ph="1">
        <v>178</v>
      </c>
      <c r="D24" s="71">
        <v>3.22</v>
      </c>
      <c r="E24" s="71">
        <v>95.6</v>
      </c>
      <c r="F24" s="71">
        <v>0</v>
      </c>
      <c r="G24" s="71">
        <v>3163</v>
      </c>
      <c r="H24" s="71">
        <v>1248</v>
      </c>
      <c r="I24" s="71">
        <v>3800</v>
      </c>
      <c r="J24" s="71">
        <v>498</v>
      </c>
      <c r="K24" s="71">
        <v>0</v>
      </c>
      <c r="L24" s="71">
        <v>0</v>
      </c>
      <c r="M24" s="71">
        <v>667</v>
      </c>
      <c r="N24" s="71">
        <v>4136</v>
      </c>
      <c r="O24" s="71">
        <v>0</v>
      </c>
      <c r="P24" s="71">
        <v>840</v>
      </c>
      <c r="Q24" s="90">
        <v>3118</v>
      </c>
      <c r="R24" s="71">
        <v>3468</v>
      </c>
      <c r="S24" s="71">
        <v>1587</v>
      </c>
      <c r="T24" s="71">
        <v>1760</v>
      </c>
      <c r="U24" s="71">
        <v>5054</v>
      </c>
      <c r="V24" s="71">
        <v>9658</v>
      </c>
      <c r="W24" s="71">
        <v>8347</v>
      </c>
      <c r="X24" s="71">
        <v>2256</v>
      </c>
      <c r="Y24" s="71">
        <v>6327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2301.6665723040001</v>
      </c>
      <c r="E25" s="91" ph="1">
        <f>E24*268.68*LOOKUP(E26,密度!$A$2:$A$50,密度!$C$2:$C$50)+IF(E24&lt;=0,0,1566*LOOKUP(E26,密度!$A$2:$A$50,密度!$C$2:$C$50))</f>
        <v>30219.529891200003</v>
      </c>
      <c r="F25" s="91" ph="1">
        <f>F24*11.702*LOOKUP(F26,密度!$A$2:$A$50,密度!$Q$2:$Q$50)</f>
        <v>0</v>
      </c>
      <c r="G25" s="91" ph="1">
        <f>G24*18.322*LOOKUP(G26,密度!$A$2:$A$50,密度!$B$2:$B$50)</f>
        <v>45231.915322999994</v>
      </c>
      <c r="H25" s="91" ph="1">
        <f>H24*18.322*LOOKUP(H26,密度!$A$2:$A$50,密度!$B$2:$B$50)</f>
        <v>17826.2213376</v>
      </c>
      <c r="I25" s="91" ph="1">
        <f>I24*18.322*LOOKUP(I26,密度!$A$2:$A$50,密度!$Q$2:$Q$50)</f>
        <v>65915.447063999993</v>
      </c>
      <c r="J25" s="91" ph="1">
        <f>J24*18.322*LOOKUP(J26,密度!$A$2:$A$50,密度!$Q$2:$Q$50)</f>
        <v>8638.3927994400001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11569.89557676</v>
      </c>
      <c r="N25" s="91" ph="1">
        <f>N24*18.322*LOOKUP(N26,密度!$A$2:$A$50,密度!$Q$2:$Q$50)</f>
        <v>71743.760278080008</v>
      </c>
      <c r="O25" s="91" ph="1">
        <f>O24*18.322*LOOKUP(O26,密度!$A$2:$A$50,密度!$C$2:$C$50)</f>
        <v>0</v>
      </c>
      <c r="P25" s="91" ph="1">
        <f>P24*11.702*LOOKUP(P26,密度!$A$2:$A$50,密度!$B$2:$B$50)</f>
        <v>7654.3718159999999</v>
      </c>
      <c r="Q25" s="92" ph="1">
        <f>Q24*18.322*LOOKUP(Q26,密度!$A$2:$A$50,密度!$B$2:$B$50)</f>
        <v>44536.985681599996</v>
      </c>
      <c r="R25" s="91" ph="1">
        <f>R24*35.891*LOOKUP(R26,密度!$A$2:$A$50,密度!$C$2:$C$50)</f>
        <v>138111.89868479999</v>
      </c>
      <c r="S25" s="91" ph="1">
        <f>S24*35.891*LOOKUP(S26,密度!$A$2:$A$50,密度!$B$2:$B$50)</f>
        <v>44405.2496532</v>
      </c>
      <c r="T25" s="91" ph="1">
        <f>T24*35.891*LOOKUP(T26,密度!$A$2:$A$50,密度!$Q$2:$Q$50)</f>
        <v>59803.823798400001</v>
      </c>
      <c r="U25" s="91" ph="1">
        <f>U24*35.891</f>
        <v>181393.114</v>
      </c>
      <c r="V25" s="91" ph="1">
        <f>V24*47.051*LOOKUP(V26,密度!$A$2:$A$50,密度!$B$2:$B$50)</f>
        <v>354673.684519</v>
      </c>
      <c r="W25" s="91" ph="1">
        <f>W24*47.051*LOOKUP(W26,密度!$A$2:$A$50,密度!$B$2:$B$50)</f>
        <v>306175.96978119999</v>
      </c>
      <c r="X25" s="91" ph="1">
        <f>X24*47.051*LOOKUP(X26,密度!$A$2:$A$50,密度!$I$2:$I$50)</f>
        <v>109562.86826208002</v>
      </c>
      <c r="Y25" s="91" ph="1">
        <f>Y24*47.051*LOOKUP(Y26,密度!$A$2:$A$50,密度!$L$2:$L$50)</f>
        <v>277746.33464100002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24</v>
      </c>
      <c r="H26" s="74">
        <v>25</v>
      </c>
      <c r="I26" s="74">
        <v>25</v>
      </c>
      <c r="J26" s="74">
        <v>25</v>
      </c>
      <c r="K26" s="74">
        <v>24</v>
      </c>
      <c r="L26" s="74">
        <v>25</v>
      </c>
      <c r="M26" s="74">
        <v>25</v>
      </c>
      <c r="N26" s="74">
        <v>25</v>
      </c>
      <c r="O26" s="74">
        <v>25</v>
      </c>
      <c r="P26" s="74">
        <v>26</v>
      </c>
      <c r="Q26" s="93">
        <v>25</v>
      </c>
      <c r="R26" s="74">
        <v>24</v>
      </c>
      <c r="S26" s="74">
        <v>25</v>
      </c>
      <c r="T26" s="74">
        <v>25</v>
      </c>
      <c r="U26" s="74">
        <v>25</v>
      </c>
      <c r="V26" s="74">
        <v>24</v>
      </c>
      <c r="W26" s="74">
        <v>25</v>
      </c>
      <c r="X26" s="74">
        <v>34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7" t="s" ph="1">
        <v>181</v>
      </c>
      <c r="D27" s="71">
        <v>3.11</v>
      </c>
      <c r="E27" s="71">
        <v>95.71</v>
      </c>
      <c r="F27" s="71">
        <v>0</v>
      </c>
      <c r="G27" s="71">
        <v>2487</v>
      </c>
      <c r="H27" s="71">
        <v>1441</v>
      </c>
      <c r="I27" s="71">
        <v>3800</v>
      </c>
      <c r="J27" s="71">
        <v>495</v>
      </c>
      <c r="K27" s="71">
        <v>0</v>
      </c>
      <c r="L27" s="71">
        <v>131</v>
      </c>
      <c r="M27" s="71">
        <v>2900</v>
      </c>
      <c r="N27" s="71">
        <v>3387</v>
      </c>
      <c r="O27" s="71">
        <v>0</v>
      </c>
      <c r="P27" s="71">
        <v>1311</v>
      </c>
      <c r="Q27" s="90">
        <v>3747</v>
      </c>
      <c r="R27" s="71">
        <v>3464</v>
      </c>
      <c r="S27" s="71">
        <v>1583</v>
      </c>
      <c r="T27" s="71">
        <v>1759</v>
      </c>
      <c r="U27" s="71">
        <v>5254</v>
      </c>
      <c r="V27" s="71">
        <v>9661</v>
      </c>
      <c r="W27" s="71">
        <v>8348</v>
      </c>
      <c r="X27" s="71">
        <v>2733</v>
      </c>
      <c r="Y27" s="71">
        <v>6325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7" t="s" ph="1">
        <v>179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30252.303208919999</v>
      </c>
      <c r="F28" s="91" ph="1">
        <f>F27*11.702*LOOKUP(F29,密度!$A$2:$A$50,密度!$Q$2:$Q$50)</f>
        <v>0</v>
      </c>
      <c r="G28" s="91" ph="1">
        <f>G27*18.322*LOOKUP(G29,密度!$A$2:$A$50,密度!$B$2:$B$50)</f>
        <v>35482.878061799995</v>
      </c>
      <c r="H28" s="91" ph="1">
        <f>H27*18.322*LOOKUP(H29,密度!$A$2:$A$50,密度!$B$2:$B$50)</f>
        <v>20559.238957399997</v>
      </c>
      <c r="I28" s="91" ph="1">
        <f>I27*18.322*LOOKUP(I29,密度!$A$2:$A$50,密度!$Q$2:$Q$50)</f>
        <v>65915.447063999993</v>
      </c>
      <c r="J28" s="91" ph="1">
        <f>J27*18.322*LOOKUP(J29,密度!$A$2:$A$50,密度!$Q$2:$Q$50)</f>
        <v>8579.9150217000006</v>
      </c>
      <c r="K28" s="91" ph="1">
        <f>K27*18.322*LOOKUP(K29,密度!$A$2:$A$50,密度!$Q$2:$Q$50)</f>
        <v>0</v>
      </c>
      <c r="L28" s="91" ph="1">
        <f>L27*18.322*LOOKUP(L29,密度!$A$2:$A$50,密度!$Q$2:$Q$50)</f>
        <v>2268.9400482400001</v>
      </c>
      <c r="M28" s="91" ph="1">
        <f>M27*18.322*LOOKUP(M29,密度!$A$2:$A$50,密度!$Q$2:$Q$50)</f>
        <v>50266.168813999997</v>
      </c>
      <c r="N28" s="91" ph="1">
        <f>N27*18.322*LOOKUP(N29,密度!$A$2:$A$50,密度!$Q$2:$Q$50)</f>
        <v>58707.418542419997</v>
      </c>
      <c r="O28" s="91" ph="1">
        <f>O27*18.322*LOOKUP(O29,密度!$A$2:$A$50,密度!$C$2:$C$50)</f>
        <v>0</v>
      </c>
      <c r="P28" s="91" ph="1">
        <f>P27*11.702*LOOKUP(P29,密度!$A$2:$A$50,密度!$B$2:$B$50)</f>
        <v>11920.207194000001</v>
      </c>
      <c r="Q28" s="92" ph="1">
        <f>Q27*18.322*LOOKUP(Q29,密度!$A$2:$A$50,密度!$B$2:$B$50)</f>
        <v>53343.018918000002</v>
      </c>
      <c r="R28" s="91" ph="1">
        <f>R27*35.891*LOOKUP(R29,密度!$A$2:$A$50,密度!$C$2:$C$50)</f>
        <v>137679.08193759999</v>
      </c>
      <c r="S28" s="91" ph="1">
        <f>S27*35.891*LOOKUP(S29,密度!$A$2:$A$50,密度!$B$2:$B$50)</f>
        <v>44196.740888699998</v>
      </c>
      <c r="T28" s="91" ph="1">
        <f>T27*35.891*LOOKUP(T29,密度!$A$2:$A$50,密度!$Q$2:$Q$50)</f>
        <v>59680.196531080001</v>
      </c>
      <c r="U28" s="91" ph="1">
        <f>U27*35.891</f>
        <v>188571.31399999998</v>
      </c>
      <c r="V28" s="91" ph="1">
        <f>V27*47.051*LOOKUP(V29,密度!$A$2:$A$50,密度!$B$2:$B$50)</f>
        <v>353601.99918690004</v>
      </c>
      <c r="W28" s="91" ph="1">
        <f>W27*47.051*LOOKUP(W29,密度!$A$2:$A$50,密度!$B$2:$B$50)</f>
        <v>305544.92176920001</v>
      </c>
      <c r="X28" s="91" ph="1">
        <f>X27*47.051*LOOKUP(X29,密度!$A$2:$A$50,密度!$I$2:$I$50)</f>
        <v>132585.68619981001</v>
      </c>
      <c r="Y28" s="91" ph="1">
        <f>Y27*47.051*LOOKUP(Y29,密度!$A$2:$A$50,密度!$L$2:$L$50)</f>
        <v>277658.53747500002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7" t="s" ph="1">
        <v>180</v>
      </c>
      <c r="D29" s="74">
        <v>25</v>
      </c>
      <c r="E29" s="74">
        <v>25</v>
      </c>
      <c r="F29" s="74">
        <v>29</v>
      </c>
      <c r="G29" s="74">
        <v>26</v>
      </c>
      <c r="H29" s="74">
        <v>26</v>
      </c>
      <c r="I29" s="74">
        <v>25</v>
      </c>
      <c r="J29" s="74">
        <v>26</v>
      </c>
      <c r="K29" s="74">
        <v>26</v>
      </c>
      <c r="L29" s="74">
        <v>27</v>
      </c>
      <c r="M29" s="74">
        <v>26</v>
      </c>
      <c r="N29" s="74">
        <v>26</v>
      </c>
      <c r="O29" s="74">
        <v>26</v>
      </c>
      <c r="P29" s="74">
        <v>28</v>
      </c>
      <c r="Q29" s="93">
        <v>28</v>
      </c>
      <c r="R29" s="74">
        <v>27</v>
      </c>
      <c r="S29" s="74">
        <v>27</v>
      </c>
      <c r="T29" s="74">
        <v>27</v>
      </c>
      <c r="U29" s="74">
        <v>26</v>
      </c>
      <c r="V29" s="74">
        <v>27</v>
      </c>
      <c r="W29" s="74">
        <v>27</v>
      </c>
      <c r="X29" s="74">
        <v>35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248243.39658449998</v>
      </c>
      <c r="E33" s="218" ph="1">
        <f>M10+I10</f>
        <v>46860.412077899993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22" ph="1">
        <v>0</v>
      </c>
      <c r="H33" s="218" ph="1">
        <f>N19</f>
        <v>39848.853584279997</v>
      </c>
      <c r="I33" s="231" ph="1">
        <v>0</v>
      </c>
      <c r="J33" s="229" ph="1">
        <f>F10+O28</f>
        <v>170358.41607119999</v>
      </c>
      <c r="K33" s="218" ph="1">
        <f>O10+K10+E28+R28</f>
        <v>183279.85035651998</v>
      </c>
      <c r="L33" s="233" ph="1">
        <f>BE27</f>
        <v>7100</v>
      </c>
      <c r="M33" s="229" ph="1">
        <f>G10+H10+W28+S28+V28+E10</f>
        <v>1317568.5596998001</v>
      </c>
      <c r="N33" s="218" ph="1">
        <f>L10+P10++G28+H28</f>
        <v>174014.10945320001</v>
      </c>
      <c r="O33" s="231" ph="1">
        <f>BE17</f>
        <v>2270</v>
      </c>
      <c r="P33" s="229" ph="1">
        <f>L19</f>
        <v>17962.765972839999</v>
      </c>
      <c r="Q33" s="218" ph="1">
        <f>J10+N10</f>
        <v>163282.85632740002</v>
      </c>
      <c r="R33" s="231" ph="1">
        <f>BE23</f>
        <v>890</v>
      </c>
      <c r="S33" s="229" ph="1">
        <f>E10+X28</f>
        <v>320396.31970881001</v>
      </c>
      <c r="T33" s="218" ph="1">
        <f>X19</f>
        <v>7208.9736427199987</v>
      </c>
      <c r="U33" s="239" ph="1">
        <f>BE21</f>
        <v>730</v>
      </c>
      <c r="V33" s="250" ph="1">
        <f ca="1">P19+Q19+S19+M28+N28+J28</f>
        <v>236446.47595548001</v>
      </c>
      <c r="W33" s="250" ph="1">
        <f>D28+F28+V19+T28</f>
        <v>113869.408183664</v>
      </c>
      <c r="X33" s="231" ph="1">
        <f>BE29+BE31</f>
        <v>10200</v>
      </c>
      <c r="Y33" s="252" ph="1">
        <f>+Q10+R10+S10+T10+U10+V10+W10+X10+Y10</f>
        <v>134022.74123700001</v>
      </c>
      <c r="Z33" s="237" ph="1">
        <f>D10+T19+U19+Y28+Z10</f>
        <v>529560.50050536008</v>
      </c>
      <c r="AA33" s="239" ph="1">
        <f>BE19</f>
        <v>1440</v>
      </c>
      <c r="AB33" s="241" ph="1">
        <f>I19</f>
        <v>1084.0244921999999</v>
      </c>
      <c r="AC33" s="243" ph="1">
        <f>AD10</f>
        <v>106749.03072960001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9" t="s" ph="1">
        <v>186</v>
      </c>
      <c r="AA36" s="149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93" priority="96">
      <formula>ABS(D$7-D$10)&gt;=1000</formula>
    </cfRule>
  </conditionalFormatting>
  <conditionalFormatting sqref="E4 E6:E11">
    <cfRule type="expression" dxfId="2392" priority="95">
      <formula>ABS(E$7-E$10)&gt;=1000</formula>
    </cfRule>
  </conditionalFormatting>
  <conditionalFormatting sqref="F4:F11">
    <cfRule type="expression" dxfId="2391" priority="94">
      <formula>ABS(F$7-F$10)&gt;=1000</formula>
    </cfRule>
  </conditionalFormatting>
  <conditionalFormatting sqref="G4:G11">
    <cfRule type="expression" dxfId="2390" priority="93">
      <formula>ABS(G$7-G$10)&gt;=1000</formula>
    </cfRule>
  </conditionalFormatting>
  <conditionalFormatting sqref="H4:H11">
    <cfRule type="expression" dxfId="2389" priority="92">
      <formula>ABS(H$7-H$10)&gt;=1000</formula>
    </cfRule>
  </conditionalFormatting>
  <conditionalFormatting sqref="I4:I11">
    <cfRule type="expression" dxfId="2388" priority="91">
      <formula>ABS(I$7-I$10)&gt;=1000</formula>
    </cfRule>
  </conditionalFormatting>
  <conditionalFormatting sqref="J4:J11">
    <cfRule type="expression" dxfId="2387" priority="90">
      <formula>ABS(J$7-J$10)&gt;=1000</formula>
    </cfRule>
  </conditionalFormatting>
  <conditionalFormatting sqref="K4:K11">
    <cfRule type="expression" dxfId="2386" priority="89">
      <formula>ABS(K$7-K$10)&gt;=1000</formula>
    </cfRule>
  </conditionalFormatting>
  <conditionalFormatting sqref="L4:L11">
    <cfRule type="expression" dxfId="2385" priority="88">
      <formula>ABS(L$7-L$10)&gt;=1000</formula>
    </cfRule>
  </conditionalFormatting>
  <conditionalFormatting sqref="M4 M6:M11">
    <cfRule type="expression" dxfId="2384" priority="87">
      <formula>ABS(M$7-M$10)&gt;=1000</formula>
    </cfRule>
  </conditionalFormatting>
  <conditionalFormatting sqref="N4 N6:N11">
    <cfRule type="expression" dxfId="2383" priority="86">
      <formula>ABS(N$7-N$10)&gt;=1000</formula>
    </cfRule>
  </conditionalFormatting>
  <conditionalFormatting sqref="O4 O6:O11">
    <cfRule type="expression" dxfId="2382" priority="85">
      <formula>ABS(O$7-O$10)&gt;=1000</formula>
    </cfRule>
  </conditionalFormatting>
  <conditionalFormatting sqref="P4 P6:P11">
    <cfRule type="expression" dxfId="2381" priority="84">
      <formula>ABS(P$7-P$10)&gt;=1000</formula>
    </cfRule>
  </conditionalFormatting>
  <conditionalFormatting sqref="Q4:Q11">
    <cfRule type="expression" dxfId="2380" priority="83">
      <formula>ABS(Q$7-Q$10)&gt;=1000</formula>
    </cfRule>
  </conditionalFormatting>
  <conditionalFormatting sqref="R4:R11">
    <cfRule type="expression" dxfId="2379" priority="82">
      <formula>ABS(R$7-R$10)&gt;=1000</formula>
    </cfRule>
  </conditionalFormatting>
  <conditionalFormatting sqref="S4:S11">
    <cfRule type="expression" dxfId="2378" priority="81">
      <formula>ABS(S$7-S$10)&gt;=1000</formula>
    </cfRule>
  </conditionalFormatting>
  <conditionalFormatting sqref="T4:T9 T11">
    <cfRule type="expression" dxfId="2377" priority="80">
      <formula>ABS(T$7-T$10)&gt;=1000</formula>
    </cfRule>
  </conditionalFormatting>
  <conditionalFormatting sqref="U4:U9 U11">
    <cfRule type="expression" dxfId="2376" priority="79">
      <formula>ABS(U$7-U$10)&gt;=1000</formula>
    </cfRule>
  </conditionalFormatting>
  <conditionalFormatting sqref="V4:V9 V11">
    <cfRule type="expression" dxfId="2375" priority="78">
      <formula>ABS(V$7-V$10)&gt;=1000</formula>
    </cfRule>
  </conditionalFormatting>
  <conditionalFormatting sqref="W4:W9 W11">
    <cfRule type="expression" dxfId="2374" priority="77">
      <formula>ABS(W$7-W$10)&gt;=1000</formula>
    </cfRule>
  </conditionalFormatting>
  <conditionalFormatting sqref="X4:X9 X11">
    <cfRule type="expression" dxfId="2373" priority="76">
      <formula>ABS(X$7-X$10)&gt;=1000</formula>
    </cfRule>
  </conditionalFormatting>
  <conditionalFormatting sqref="Y4:Y9 Y11">
    <cfRule type="expression" dxfId="2372" priority="75">
      <formula>ABS(Y$7-Y$10)&gt;=1000</formula>
    </cfRule>
  </conditionalFormatting>
  <conditionalFormatting sqref="Z4:Z11">
    <cfRule type="expression" dxfId="2371" priority="74">
      <formula>ABS(Z$7-Z$10)&gt;=1000</formula>
    </cfRule>
  </conditionalFormatting>
  <conditionalFormatting sqref="AA4:AA11">
    <cfRule type="expression" dxfId="2370" priority="73">
      <formula>ABS(AA$7-AA$10)&gt;=1000</formula>
    </cfRule>
  </conditionalFormatting>
  <conditionalFormatting sqref="AB4:AB11">
    <cfRule type="expression" dxfId="2369" priority="72">
      <formula>ABS(AB$7-AB$10)&gt;=1000</formula>
    </cfRule>
  </conditionalFormatting>
  <conditionalFormatting sqref="AC4 AC6:AC11">
    <cfRule type="expression" dxfId="2368" priority="71">
      <formula>ABS(AC$7-AC$10)&gt;=1000</formula>
    </cfRule>
  </conditionalFormatting>
  <conditionalFormatting sqref="AD4:AD11">
    <cfRule type="expression" dxfId="2367" priority="70">
      <formula>ABS(AD$7-AD$10)&gt;=1000</formula>
    </cfRule>
  </conditionalFormatting>
  <conditionalFormatting sqref="AE4:AE11">
    <cfRule type="expression" dxfId="2366" priority="69">
      <formula>ABS(AE$7-AE$10)&gt;=1000</formula>
    </cfRule>
  </conditionalFormatting>
  <conditionalFormatting sqref="D13:D20">
    <cfRule type="expression" dxfId="2365" priority="68">
      <formula>ABS(D$16-D$19)&gt;=1000</formula>
    </cfRule>
  </conditionalFormatting>
  <conditionalFormatting sqref="E13:E20">
    <cfRule type="expression" dxfId="2364" priority="67">
      <formula>ABS(E$16-E$19)&gt;=1000</formula>
    </cfRule>
  </conditionalFormatting>
  <conditionalFormatting sqref="F13 F15:F20">
    <cfRule type="expression" dxfId="2363" priority="66">
      <formula>ABS(F$16-F$19)&gt;=1000</formula>
    </cfRule>
  </conditionalFormatting>
  <conditionalFormatting sqref="G13:G20">
    <cfRule type="expression" dxfId="2362" priority="65">
      <formula>ABS(G$16-G$19)&gt;=1000</formula>
    </cfRule>
  </conditionalFormatting>
  <conditionalFormatting sqref="H13:H20">
    <cfRule type="expression" dxfId="2361" priority="64">
      <formula>ABS(H$16-H$19)&gt;=1000</formula>
    </cfRule>
  </conditionalFormatting>
  <conditionalFormatting sqref="I13:I20">
    <cfRule type="expression" dxfId="2360" priority="63">
      <formula>ABS(I$16-I$19)&gt;=1000</formula>
    </cfRule>
  </conditionalFormatting>
  <conditionalFormatting sqref="J13:J20">
    <cfRule type="expression" dxfId="2359" priority="62">
      <formula>ABS(J$16-J$19)&gt;=1000</formula>
    </cfRule>
  </conditionalFormatting>
  <conditionalFormatting sqref="L13:L20">
    <cfRule type="expression" dxfId="2358" priority="61">
      <formula>ABS(L$16-L$19)&gt;=1000</formula>
    </cfRule>
  </conditionalFormatting>
  <conditionalFormatting sqref="M13 M15 M17:M18 M20">
    <cfRule type="expression" dxfId="2357" priority="60">
      <formula>ABS(M$16-M$19)&gt;=1000</formula>
    </cfRule>
  </conditionalFormatting>
  <conditionalFormatting sqref="N13:N20">
    <cfRule type="expression" dxfId="2356" priority="59">
      <formula>ABS(N$16-N$19)&gt;=1000</formula>
    </cfRule>
  </conditionalFormatting>
  <conditionalFormatting sqref="O13:O20">
    <cfRule type="expression" dxfId="2355" priority="58">
      <formula>ABS(O$16-O$19)&gt;=1000</formula>
    </cfRule>
  </conditionalFormatting>
  <conditionalFormatting sqref="P13:P20">
    <cfRule type="expression" dxfId="2354" priority="57">
      <formula>ABS(P$16-P$19)&gt;=1000</formula>
    </cfRule>
  </conditionalFormatting>
  <conditionalFormatting sqref="Q13 Q15:Q20">
    <cfRule type="expression" dxfId="2353" priority="56">
      <formula>ABS(Q$16-Q$19)&gt;=1000</formula>
    </cfRule>
  </conditionalFormatting>
  <conditionalFormatting sqref="R13:R20">
    <cfRule type="expression" dxfId="2352" priority="55">
      <formula>ABS(R$16-R$19)&gt;=1000</formula>
    </cfRule>
  </conditionalFormatting>
  <conditionalFormatting sqref="S13:S20">
    <cfRule type="expression" dxfId="2351" priority="54">
      <formula>ABS(S$16-S$19)&gt;=1000</formula>
    </cfRule>
  </conditionalFormatting>
  <conditionalFormatting sqref="T13:T20">
    <cfRule type="expression" dxfId="2350" priority="53">
      <formula>ABS(T$16-T$19)&gt;=1000</formula>
    </cfRule>
  </conditionalFormatting>
  <conditionalFormatting sqref="U13:U20">
    <cfRule type="expression" dxfId="2349" priority="52">
      <formula>ABS(U$16-U$19)&gt;=1000</formula>
    </cfRule>
  </conditionalFormatting>
  <conditionalFormatting sqref="V13:V20">
    <cfRule type="expression" dxfId="2348" priority="51">
      <formula>ABS(V$16-V$19)&gt;=1000</formula>
    </cfRule>
  </conditionalFormatting>
  <conditionalFormatting sqref="W13 W20 W15:W18">
    <cfRule type="expression" dxfId="2347" priority="50">
      <formula>ABS(W$16-W$19)&gt;=1000</formula>
    </cfRule>
  </conditionalFormatting>
  <conditionalFormatting sqref="X13 X15:X20 Y19">
    <cfRule type="expression" dxfId="2346" priority="49">
      <formula>ABS(X$16-X$19)&gt;=1000</formula>
    </cfRule>
  </conditionalFormatting>
  <conditionalFormatting sqref="Y13 Y15:Y18 Y20">
    <cfRule type="expression" dxfId="2345" priority="48">
      <formula>ABS(Y$16-Y$19)&gt;=1000</formula>
    </cfRule>
  </conditionalFormatting>
  <conditionalFormatting sqref="Z13:Z20">
    <cfRule type="expression" dxfId="2344" priority="47">
      <formula>ABS(Z$16-Z$19)&gt;=1000</formula>
    </cfRule>
  </conditionalFormatting>
  <conditionalFormatting sqref="AA13:AA20">
    <cfRule type="expression" dxfId="2343" priority="46">
      <formula>ABS(AA$16-AA$19)&gt;=1000</formula>
    </cfRule>
  </conditionalFormatting>
  <conditionalFormatting sqref="AB13 AB15:AB20">
    <cfRule type="expression" dxfId="2342" priority="45">
      <formula>ABS(AB$16-AB$19)&gt;=1000</formula>
    </cfRule>
  </conditionalFormatting>
  <conditionalFormatting sqref="AC13 AC15:AC20">
    <cfRule type="expression" dxfId="2341" priority="44">
      <formula>ABS(AC$16-AC$19)&gt;=1000</formula>
    </cfRule>
  </conditionalFormatting>
  <conditionalFormatting sqref="AD13:AD20">
    <cfRule type="expression" dxfId="2340" priority="43">
      <formula>ABS(AD$16-AD$19)&gt;=1000</formula>
    </cfRule>
  </conditionalFormatting>
  <conditionalFormatting sqref="AE13:AE20">
    <cfRule type="expression" dxfId="2339" priority="42">
      <formula>ABS(AE$16-AE$19)&gt;=1000</formula>
    </cfRule>
  </conditionalFormatting>
  <conditionalFormatting sqref="D22:D29">
    <cfRule type="expression" dxfId="2338" priority="41">
      <formula>ABS(D$25-D$28)&gt;=1000</formula>
    </cfRule>
  </conditionalFormatting>
  <conditionalFormatting sqref="E22:E29">
    <cfRule type="expression" dxfId="2337" priority="40">
      <formula>ABS(E$25-E$28)&gt;=1000</formula>
    </cfRule>
  </conditionalFormatting>
  <conditionalFormatting sqref="F22:F29">
    <cfRule type="expression" dxfId="2336" priority="39">
      <formula>ABS(F$25-F$28)&gt;=1000</formula>
    </cfRule>
  </conditionalFormatting>
  <conditionalFormatting sqref="G22:G29">
    <cfRule type="expression" dxfId="2335" priority="38">
      <formula>ABS(G$25-G$28)&gt;=1000</formula>
    </cfRule>
  </conditionalFormatting>
  <conditionalFormatting sqref="H22:H29">
    <cfRule type="expression" dxfId="2334" priority="37">
      <formula>ABS(H$25-H$28)&gt;=1000</formula>
    </cfRule>
  </conditionalFormatting>
  <conditionalFormatting sqref="I22 I24:I29">
    <cfRule type="expression" dxfId="2333" priority="36">
      <formula>ABS(I$25-I$28)&gt;=1000</formula>
    </cfRule>
  </conditionalFormatting>
  <conditionalFormatting sqref="J22:J29 K22">
    <cfRule type="expression" dxfId="2332" priority="35">
      <formula>ABS(J$25-J$28)&gt;=1000</formula>
    </cfRule>
  </conditionalFormatting>
  <conditionalFormatting sqref="K23:K29 L25 L28">
    <cfRule type="expression" dxfId="2331" priority="34">
      <formula>ABS(K$25-K$28)&gt;=1000</formula>
    </cfRule>
  </conditionalFormatting>
  <conditionalFormatting sqref="L22:L24 L26:L27 L29">
    <cfRule type="expression" dxfId="2330" priority="33">
      <formula>ABS(L$25-L$28)&gt;=1000</formula>
    </cfRule>
  </conditionalFormatting>
  <conditionalFormatting sqref="M22:M29">
    <cfRule type="expression" dxfId="2329" priority="32">
      <formula>ABS(M$25-M$28)&gt;=1000</formula>
    </cfRule>
  </conditionalFormatting>
  <conditionalFormatting sqref="N22:N29">
    <cfRule type="expression" dxfId="2328" priority="31">
      <formula>ABS(N$25-N$28)&gt;=1000</formula>
    </cfRule>
  </conditionalFormatting>
  <conditionalFormatting sqref="O22:O29">
    <cfRule type="expression" dxfId="2327" priority="30">
      <formula>ABS(O$25-O$28)&gt;=1000</formula>
    </cfRule>
  </conditionalFormatting>
  <conditionalFormatting sqref="P22:P29">
    <cfRule type="expression" dxfId="2326" priority="29">
      <formula>ABS(P$25-P$28)&gt;=1000</formula>
    </cfRule>
  </conditionalFormatting>
  <conditionalFormatting sqref="Q22:Q29">
    <cfRule type="expression" dxfId="2325" priority="28">
      <formula>ABS(Q$25-Q$28)&gt;=1000</formula>
    </cfRule>
  </conditionalFormatting>
  <conditionalFormatting sqref="R22:R29">
    <cfRule type="expression" dxfId="2324" priority="27">
      <formula>ABS(R$25-R$28)&gt;=1000</formula>
    </cfRule>
  </conditionalFormatting>
  <conditionalFormatting sqref="S22:S29">
    <cfRule type="expression" dxfId="2323" priority="26">
      <formula>ABS(S$25-S$28)&gt;=1000</formula>
    </cfRule>
  </conditionalFormatting>
  <conditionalFormatting sqref="T22:T29">
    <cfRule type="expression" dxfId="2322" priority="25">
      <formula>ABS(T$25-T$28)&gt;=1000</formula>
    </cfRule>
  </conditionalFormatting>
  <conditionalFormatting sqref="U22:U29">
    <cfRule type="expression" dxfId="2321" priority="24">
      <formula>ABS(U$25-U$28)&gt;=1000</formula>
    </cfRule>
  </conditionalFormatting>
  <conditionalFormatting sqref="V22:V29">
    <cfRule type="expression" dxfId="2320" priority="23">
      <formula>ABS(V$25-V$28)&gt;=1000</formula>
    </cfRule>
  </conditionalFormatting>
  <conditionalFormatting sqref="W22:W29">
    <cfRule type="expression" dxfId="2319" priority="22">
      <formula>ABS(W$25-W$28)&gt;=1000</formula>
    </cfRule>
  </conditionalFormatting>
  <conditionalFormatting sqref="X22:X29">
    <cfRule type="expression" dxfId="2318" priority="21">
      <formula>ABS(X$25-X$28)&gt;=1000</formula>
    </cfRule>
  </conditionalFormatting>
  <conditionalFormatting sqref="Y22:Y29">
    <cfRule type="expression" dxfId="2317" priority="20">
      <formula>ABS(Y$25-Y$28)&gt;=1000</formula>
    </cfRule>
  </conditionalFormatting>
  <conditionalFormatting sqref="I23">
    <cfRule type="expression" dxfId="2316" priority="19">
      <formula>ABS(I$25-I$28)&gt;=1000</formula>
    </cfRule>
  </conditionalFormatting>
  <conditionalFormatting sqref="F14">
    <cfRule type="expression" dxfId="2315" priority="18">
      <formula>ABS(F$16-F$19)&gt;=1000</formula>
    </cfRule>
  </conditionalFormatting>
  <conditionalFormatting sqref="Q14">
    <cfRule type="expression" dxfId="2314" priority="17">
      <formula>ABS(Q$16-Q$19)&gt;=1000</formula>
    </cfRule>
  </conditionalFormatting>
  <conditionalFormatting sqref="W14">
    <cfRule type="expression" dxfId="2313" priority="16">
      <formula>ABS(W$16-W$19)&gt;=1000</formula>
    </cfRule>
  </conditionalFormatting>
  <conditionalFormatting sqref="Y14">
    <cfRule type="expression" dxfId="2312" priority="15">
      <formula>ABS(Y$16-Y$19)&gt;=1000</formula>
    </cfRule>
  </conditionalFormatting>
  <conditionalFormatting sqref="X14">
    <cfRule type="expression" dxfId="2311" priority="14">
      <formula>ABS(X$16-X$19)&gt;=1000</formula>
    </cfRule>
  </conditionalFormatting>
  <conditionalFormatting sqref="T10:Y10">
    <cfRule type="expression" dxfId="2310" priority="13">
      <formula>ABS(T$7-T$10)&gt;=1000</formula>
    </cfRule>
  </conditionalFormatting>
  <conditionalFormatting sqref="W19">
    <cfRule type="expression" dxfId="2309" priority="12">
      <formula>ABS(W$16-W$19)&gt;=1000</formula>
    </cfRule>
  </conditionalFormatting>
  <conditionalFormatting sqref="AC5">
    <cfRule type="expression" dxfId="2308" priority="11">
      <formula>ABS(AC$7-AC$10)&gt;=1000</formula>
    </cfRule>
  </conditionalFormatting>
  <conditionalFormatting sqref="M14">
    <cfRule type="expression" dxfId="2307" priority="10">
      <formula>ABS(M$16-M$19)&gt;=1000</formula>
    </cfRule>
  </conditionalFormatting>
  <conditionalFormatting sqref="M16">
    <cfRule type="expression" dxfId="2306" priority="9">
      <formula>ABS(M$16-M$19)&gt;=1000</formula>
    </cfRule>
  </conditionalFormatting>
  <conditionalFormatting sqref="M19">
    <cfRule type="expression" dxfId="2305" priority="8">
      <formula>ABS(M$16-M$19)&gt;=1000</formula>
    </cfRule>
  </conditionalFormatting>
  <conditionalFormatting sqref="K13:K20">
    <cfRule type="expression" dxfId="2304" priority="7">
      <formula>ABS(K$16-K$19)&gt;=1000</formula>
    </cfRule>
  </conditionalFormatting>
  <conditionalFormatting sqref="E5">
    <cfRule type="expression" dxfId="2303" priority="6">
      <formula>ABS(E$7-E$10)&gt;=1000</formula>
    </cfRule>
  </conditionalFormatting>
  <conditionalFormatting sqref="AB14:AC14">
    <cfRule type="expression" dxfId="2302" priority="5">
      <formula>ABS(AB$16-AB$19)&gt;=1000</formula>
    </cfRule>
  </conditionalFormatting>
  <conditionalFormatting sqref="M5">
    <cfRule type="expression" dxfId="2301" priority="4">
      <formula>ABS(M$7-M$10)&gt;=1000</formula>
    </cfRule>
  </conditionalFormatting>
  <conditionalFormatting sqref="N5">
    <cfRule type="expression" dxfId="2300" priority="3">
      <formula>ABS(N$7-N$10)&gt;=1000</formula>
    </cfRule>
  </conditionalFormatting>
  <conditionalFormatting sqref="O5">
    <cfRule type="expression" dxfId="2299" priority="2">
      <formula>ABS(O$7-O$10)&gt;=1000</formula>
    </cfRule>
  </conditionalFormatting>
  <conditionalFormatting sqref="P5">
    <cfRule type="expression" dxfId="2298" priority="1">
      <formula>ABS(P$7-P$10)&gt;=1000</formula>
    </cfRule>
  </conditionalFormatting>
  <dataValidations count="1">
    <dataValidation operator="greaterThanOrEqual" allowBlank="1" showErrorMessage="1" sqref="D6" xr:uid="{00000000-0002-0000-05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01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629">
    <pageSetUpPr fitToPage="1"/>
  </sheetPr>
  <dimension ref="A1:CU223"/>
  <sheetViews>
    <sheetView view="pageBreakPreview" topLeftCell="A10" zoomScale="80" zoomScaleNormal="100" zoomScaleSheetLayoutView="80" workbookViewId="0">
      <selection activeCell="N27" sqref="N27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45783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7" t="s" ph="1">
        <v>178</v>
      </c>
      <c r="D6" s="71">
        <v>4186</v>
      </c>
      <c r="E6" s="71">
        <v>4703</v>
      </c>
      <c r="F6" s="71">
        <v>4635</v>
      </c>
      <c r="G6" s="71">
        <v>4458</v>
      </c>
      <c r="H6" s="71">
        <v>6253</v>
      </c>
      <c r="I6" s="71">
        <v>0.11</v>
      </c>
      <c r="J6" s="71">
        <v>7.8</v>
      </c>
      <c r="K6" s="71">
        <v>7.42</v>
      </c>
      <c r="L6" s="71">
        <v>35.6</v>
      </c>
      <c r="M6" s="71">
        <v>1384</v>
      </c>
      <c r="N6" s="71">
        <v>6240</v>
      </c>
      <c r="O6" s="71">
        <v>580</v>
      </c>
      <c r="P6" s="71">
        <v>3175</v>
      </c>
      <c r="Q6" s="71">
        <v>7153</v>
      </c>
      <c r="R6" s="71">
        <v>4235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2179</v>
      </c>
      <c r="Y6" s="71">
        <v>5362</v>
      </c>
      <c r="Z6" s="71">
        <v>2180</v>
      </c>
      <c r="AA6" s="71">
        <v>2159</v>
      </c>
      <c r="AB6" s="71">
        <v>3471</v>
      </c>
      <c r="AC6" s="71">
        <v>5891</v>
      </c>
      <c r="AD6" s="71">
        <v>5444</v>
      </c>
      <c r="AE6" s="71">
        <v>3998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131407.38706914001</v>
      </c>
      <c r="E7" s="73" ph="1">
        <f>E6*51.53*LOOKUP(E8,密度!$A$2:$A$50,密度!$B$2:$B$50)</f>
        <v>188714.51093299998</v>
      </c>
      <c r="F7" s="73" ph="1">
        <f>F6*33.183*LOOKUP(F8,密度!$A$2:$A$50,密度!$C$2:$C$50)</f>
        <v>170552.37402449999</v>
      </c>
      <c r="G7" s="73" ph="1">
        <f xml:space="preserve"> (G6+2)*51.53*LOOKUP(G8,密度!$A$2:$A$50,密度!$B$2:$B$50)</f>
        <v>179170.63448000001</v>
      </c>
      <c r="H7" s="73" ph="1">
        <f>(H6)*51.53*LOOKUP(H8,密度!$A$2:$A$50,密度!$B$2:$B$50)</f>
        <v>252650.42026900002</v>
      </c>
      <c r="I7" s="73" ph="1">
        <f>I6*290.8*1.0267</f>
        <v>32.842079599999998</v>
      </c>
      <c r="J7" s="73" ph="1">
        <f>J6*290.8*0.7892</f>
        <v>1790.0950080000002</v>
      </c>
      <c r="K7" s="73" ph="1">
        <f>K6*290.8*1.1126</f>
        <v>2400.6970735999998</v>
      </c>
      <c r="L7" s="73" ph="1">
        <f>L6*290.8*0.777</f>
        <v>8043.8769600000014</v>
      </c>
      <c r="M7" s="73" ph="1">
        <f>M6*33.183*LOOKUP(M8,密度!$A$2:$A$50,密度!$D$2:$D$50)</f>
        <v>47064.218745599996</v>
      </c>
      <c r="N7" s="73" ph="1">
        <f>N6*33.183*LOOKUP(N8,密度!$A$2:$A$50,密度!$E$2:$E$50)</f>
        <v>161466.88521600002</v>
      </c>
      <c r="O7" s="73" ph="1">
        <f>O6*20.428*LOOKUP(O8,密度!$A$2:$A$50,密度!$C$2:$C$50)</f>
        <v>13102.968616</v>
      </c>
      <c r="P7" s="73" ph="1">
        <f>P6*51.53*LOOKUP(P8,密度!$A$2:$A$50,密度!$B$2:$B$50)</f>
        <v>127270.468725</v>
      </c>
      <c r="Q7" s="73" ph="1">
        <f>Q6*1.5*1.5*3.1416*LOOKUP(W8,密度!$A$2:$A$50,密度!$L$2:$L$50)</f>
        <v>47275.185573000002</v>
      </c>
      <c r="R7" s="73" ph="1">
        <f>R6*1.5*1.5*3.1416*LOOKUP(R8,密度!$A$2:$A$50,密度!$L$2:$L$50)</f>
        <v>27869.970051000004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14524.5380742</v>
      </c>
      <c r="Y7" s="73" ph="1">
        <f>Y6*1.5*1.5*3.1416*LOOKUP(Y8,密度!$A$2:$A$50,密度!$L$2:$L$50)</f>
        <v>35476.115875200005</v>
      </c>
      <c r="Z7" s="73" ph="1">
        <f>Z6*33.183*LOOKUP(Z8,密度!$A$2:$A$50,密度!$L$2:$L$50)</f>
        <v>67781.586780000012</v>
      </c>
      <c r="AA7" s="73" ph="1">
        <f>AA6*33.183*LOOKUP(AA8,密度!$A$2:$A$50,密度!$D$2:$D$50)</f>
        <v>73354.343118299992</v>
      </c>
      <c r="AB7" s="73" ph="1">
        <f>AB6*20.428*LOOKUP(AB8,密度!$A$2:$A$50,密度!$D$2:$D$50)</f>
        <v>73373.102462399998</v>
      </c>
      <c r="AC7" s="73" ph="1">
        <f>AC6*51.53*LOOKUP(AC8,密度!$A$2:$A$50,密度!$Q$2:$Q$50)</f>
        <v>287617.05352810002</v>
      </c>
      <c r="AD7" s="73" ph="1">
        <f>AD6*20.428*LOOKUP(AD8,密度!$A$2:$A$50,密度!$V$2:$V$50)</f>
        <v>106494.7266432</v>
      </c>
      <c r="AE7" s="73" ph="1">
        <f>AE6*20.428</f>
        <v>81671.144</v>
      </c>
    </row>
    <row r="8" spans="1:99" ph="1">
      <c r="B8" s="196" ph="1"/>
      <c r="C8" s="68" t="s" ph="1">
        <v>180</v>
      </c>
      <c r="D8" s="74">
        <v>26</v>
      </c>
      <c r="E8" s="74">
        <v>26</v>
      </c>
      <c r="F8" s="74">
        <v>25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28</v>
      </c>
      <c r="O8" s="74">
        <v>29</v>
      </c>
      <c r="P8" s="74">
        <v>27</v>
      </c>
      <c r="Q8" s="74">
        <v>24</v>
      </c>
      <c r="R8" s="74">
        <v>31</v>
      </c>
      <c r="S8" s="74">
        <v>18</v>
      </c>
      <c r="T8" s="74">
        <v>22</v>
      </c>
      <c r="U8" s="74">
        <v>27</v>
      </c>
      <c r="V8" s="74">
        <v>28</v>
      </c>
      <c r="W8" s="74">
        <v>27</v>
      </c>
      <c r="X8" s="74">
        <v>19</v>
      </c>
      <c r="Y8" s="74">
        <v>26</v>
      </c>
      <c r="Z8" s="74">
        <v>25</v>
      </c>
      <c r="AA8" s="74">
        <v>28</v>
      </c>
      <c r="AB8" s="74">
        <v>16</v>
      </c>
      <c r="AC8" s="74">
        <v>24</v>
      </c>
      <c r="AD8" s="74">
        <v>30</v>
      </c>
      <c r="AE8" s="74">
        <v>27</v>
      </c>
    </row>
    <row r="9" spans="1:99" ph="1">
      <c r="B9" s="196" ph="1">
        <v>0.66666666666666663</v>
      </c>
      <c r="C9" s="147" t="s" ph="1">
        <v>181</v>
      </c>
      <c r="D9" s="71">
        <v>4186</v>
      </c>
      <c r="E9" s="71">
        <v>4703</v>
      </c>
      <c r="F9" s="71">
        <v>4637</v>
      </c>
      <c r="G9" s="71">
        <v>6219</v>
      </c>
      <c r="H9" s="71">
        <v>6376</v>
      </c>
      <c r="I9" s="71">
        <v>0</v>
      </c>
      <c r="J9" s="71">
        <v>7.82</v>
      </c>
      <c r="K9" s="71">
        <v>7.5</v>
      </c>
      <c r="L9" s="71">
        <v>33.619999999999997</v>
      </c>
      <c r="M9" s="71">
        <v>1384</v>
      </c>
      <c r="N9" s="71">
        <v>6211</v>
      </c>
      <c r="O9" s="71">
        <v>70</v>
      </c>
      <c r="P9" s="71">
        <v>2875</v>
      </c>
      <c r="Q9" s="71">
        <v>7161</v>
      </c>
      <c r="R9" s="71">
        <v>7124</v>
      </c>
      <c r="S9" s="71">
        <v>5016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4488</v>
      </c>
      <c r="Z9" s="71">
        <v>2841</v>
      </c>
      <c r="AA9" s="71">
        <v>2162</v>
      </c>
      <c r="AB9" s="71">
        <v>3310</v>
      </c>
      <c r="AC9" s="71">
        <v>5892</v>
      </c>
      <c r="AD9" s="71">
        <v>5448</v>
      </c>
      <c r="AE9" s="71">
        <v>3998</v>
      </c>
    </row>
    <row r="10" spans="1:99" s="72" customFormat="1" ht="21.75" ph="1">
      <c r="B10" s="196" ph="1"/>
      <c r="C10" s="147" t="s" ph="1">
        <v>179</v>
      </c>
      <c r="D10" s="73" ph="1">
        <f>D9*33.183*LOOKUP(D11,密度!$A$2:$A$50,密度!$Q$2:$Q$50)</f>
        <v>131211.53237556</v>
      </c>
      <c r="E10" s="73" ph="1">
        <f>E9*51.53*LOOKUP(E11,密度!$A$2:$A$50,密度!$B$2:$B$50)</f>
        <v>187890.53592699999</v>
      </c>
      <c r="F10" s="73" ph="1">
        <f>F9*33.183*LOOKUP(F11,密度!$A$2:$A$50,密度!$C$2:$C$50)</f>
        <v>170502.8716251</v>
      </c>
      <c r="G10" s="73" ph="1">
        <f xml:space="preserve"> (G9+2)*51.53*LOOKUP(G11,密度!$A$2:$A$50,密度!$B$2:$B$50)</f>
        <v>248536.471189</v>
      </c>
      <c r="H10" s="73" ph="1">
        <f>(H9)*51.53*LOOKUP(H11,密度!$A$2:$A$50,密度!$B$2:$B$50)</f>
        <v>255024.60833600003</v>
      </c>
      <c r="I10" s="73" ph="1">
        <f>I9*290.8*1.0267</f>
        <v>0</v>
      </c>
      <c r="J10" s="73" ph="1">
        <f>J9*290.8*0.7892</f>
        <v>1794.6849952</v>
      </c>
      <c r="K10" s="73" ph="1">
        <f>K9*290.8*1.1126</f>
        <v>2426.5806000000002</v>
      </c>
      <c r="L10" s="73" ph="1">
        <f>L9*290.8*0.777</f>
        <v>7596.492792</v>
      </c>
      <c r="M10" s="73" ph="1">
        <f>M9*33.183*LOOKUP(M11,密度!$A$2:$A$50,密度!$D$2:$D$50)</f>
        <v>46894.295239199993</v>
      </c>
      <c r="N10" s="73" ph="1">
        <f>N9*33.183*LOOKUP(N11,密度!$A$2:$A$50,密度!$E$2:$E$50)</f>
        <v>160489.76864309999</v>
      </c>
      <c r="O10" s="73" ph="1">
        <f>O9*20.428*LOOKUP(O11,密度!$A$2:$A$50,密度!$C$2:$C$50)</f>
        <v>1563.8042559999999</v>
      </c>
      <c r="P10" s="73" ph="1">
        <f>P9*51.53*LOOKUP(P11,密度!$A$2:$A$50,密度!$B$2:$B$50)</f>
        <v>114859.725875</v>
      </c>
      <c r="Q10" s="73" ph="1">
        <f>Q9*1.5*1.5*3.1416*LOOKUP(W11,密度!$A$2:$A$50,密度!$L$2:$L$50)</f>
        <v>46771.258010400001</v>
      </c>
      <c r="R10" s="73" ph="1">
        <f>R9*1.5*1.5*3.1416*LOOKUP(R11,密度!$A$2:$A$50,密度!$L$2:$L$50)</f>
        <v>46680.666832800001</v>
      </c>
      <c r="S10" s="73" ph="1">
        <f>S9*1.5*1.5*3.1416*LOOKUP(S11,密度!$A$2:$A$50,密度!$L$2:$L$50)</f>
        <v>33435.100036800002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29661.824808000001</v>
      </c>
      <c r="Z10" s="73" ph="1">
        <f>Z9*33.183*LOOKUP(Z11,密度!$A$2:$A$50,密度!$L$2:$L$50)</f>
        <v>88050.891402000008</v>
      </c>
      <c r="AA10" s="73" ph="1">
        <f>AA9*33.183*LOOKUP(AA11,密度!$A$2:$A$50,密度!$D$2:$D$50)</f>
        <v>73133.433932400003</v>
      </c>
      <c r="AB10" s="73" ph="1">
        <f>AB9*20.428*LOOKUP(AB11,密度!$A$2:$A$50,密度!$D$2:$D$50)</f>
        <v>69739.843752000015</v>
      </c>
      <c r="AC10" s="73" ph="1">
        <f>AC9*51.53*LOOKUP(AC11,密度!$A$2:$A$50,密度!$Q$2:$Q$50)</f>
        <v>286591.08040680003</v>
      </c>
      <c r="AD10" s="73" ph="1">
        <f>AD9*20.428*LOOKUP(AD11,密度!$A$2:$A$50,密度!$V$2:$V$50)</f>
        <v>106572.97405440001</v>
      </c>
      <c r="AE10" s="73" ph="1">
        <f>AE9*20.428</f>
        <v>81671.144</v>
      </c>
    </row>
    <row r="11" spans="1:99" ph="1">
      <c r="A11" s="64" t="s" ph="1">
        <v>163</v>
      </c>
      <c r="B11" s="196" ph="1"/>
      <c r="C11" s="147" t="s" ph="1">
        <v>180</v>
      </c>
      <c r="D11" s="74">
        <v>28</v>
      </c>
      <c r="E11" s="74">
        <v>30</v>
      </c>
      <c r="F11" s="74">
        <v>26</v>
      </c>
      <c r="G11" s="74">
        <v>30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29</v>
      </c>
      <c r="O11" s="74">
        <v>41</v>
      </c>
      <c r="P11" s="74">
        <v>30</v>
      </c>
      <c r="Q11" s="74">
        <v>26</v>
      </c>
      <c r="R11" s="74">
        <v>35</v>
      </c>
      <c r="S11" s="74">
        <v>19</v>
      </c>
      <c r="T11" s="74">
        <v>32</v>
      </c>
      <c r="U11" s="74">
        <v>30</v>
      </c>
      <c r="V11" s="74">
        <v>28</v>
      </c>
      <c r="W11" s="74">
        <v>38</v>
      </c>
      <c r="X11" s="74">
        <v>25</v>
      </c>
      <c r="Y11" s="74">
        <v>27</v>
      </c>
      <c r="Z11" s="74">
        <v>28</v>
      </c>
      <c r="AA11" s="74">
        <v>33</v>
      </c>
      <c r="AB11" s="74">
        <v>20</v>
      </c>
      <c r="AC11" s="74">
        <v>29</v>
      </c>
      <c r="AD11" s="74">
        <v>35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7" t="s" ph="1">
        <v>178</v>
      </c>
      <c r="D15" s="78">
        <v>3268</v>
      </c>
      <c r="E15" s="78">
        <v>5276</v>
      </c>
      <c r="F15" s="78">
        <v>3423</v>
      </c>
      <c r="G15" s="78">
        <v>850</v>
      </c>
      <c r="H15" s="78">
        <v>4535</v>
      </c>
      <c r="I15" s="78">
        <v>118</v>
      </c>
      <c r="J15" s="78">
        <v>373</v>
      </c>
      <c r="K15" s="78">
        <v>712</v>
      </c>
      <c r="L15" s="78">
        <v>2539</v>
      </c>
      <c r="M15" s="78">
        <v>1378</v>
      </c>
      <c r="N15" s="78">
        <v>5167</v>
      </c>
      <c r="O15" s="78">
        <v>26</v>
      </c>
      <c r="P15" s="78">
        <v>6966</v>
      </c>
      <c r="Q15" s="78">
        <v>34</v>
      </c>
      <c r="R15" s="78">
        <v>3516</v>
      </c>
      <c r="S15" s="78">
        <v>6879</v>
      </c>
      <c r="T15" s="78">
        <v>714</v>
      </c>
      <c r="U15" s="78">
        <v>6669</v>
      </c>
      <c r="V15" s="78">
        <v>5451</v>
      </c>
      <c r="W15" s="71">
        <v>3763</v>
      </c>
      <c r="X15" s="78">
        <v>150</v>
      </c>
      <c r="Y15" s="106">
        <v>-2366</v>
      </c>
      <c r="Z15" s="78">
        <v>0</v>
      </c>
      <c r="AA15" s="78">
        <v>4240</v>
      </c>
      <c r="AB15" s="78" ph="1">
        <v>6936</v>
      </c>
      <c r="AC15" s="78" ph="1">
        <v>992</v>
      </c>
      <c r="AD15" s="78">
        <v>78.599999999999994</v>
      </c>
      <c r="AE15" s="78">
        <v>5.52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7" t="s" ph="1">
        <v>179</v>
      </c>
      <c r="D16" s="73" ph="1">
        <f>D15*7.0686*LOOKUP(D17,密度!$A$2:$A$50,密度!$L$2:$L$50)</f>
        <v>21621.772972800001</v>
      </c>
      <c r="E16" s="73" ph="1">
        <f>E15*7.0686*LOOKUP(E17,密度!$A$2:$A$50,密度!$L$2:$L$50)</f>
        <v>34907.1218496</v>
      </c>
      <c r="F16" s="73" ph="1">
        <f>F15*9.0746*LOOKUP(F17,密度!$A$2:$A$50,密度!$L$2:$L$50)</f>
        <v>28950.115605600004</v>
      </c>
      <c r="G16" s="73" ph="1">
        <f>G15*9.0746*LOOKUP(G17,密度!$A$2:$A$50,密度!$B$2:$B$50)</f>
        <v>6013.3744359999992</v>
      </c>
      <c r="H16" s="73" ph="1">
        <f>H15*9.0746*LOOKUP(H17,密度!$A$2:$A$50,密度!$L$2:$L$50)</f>
        <v>38601.805717999996</v>
      </c>
      <c r="I16" s="73" ph="1">
        <f>I15*9.0746*LOOKUP(I17,密度!$A$2:$A$50,密度!$U$2:$U$50)</f>
        <v>1097.5728699999997</v>
      </c>
      <c r="J16" s="73" ph="1">
        <f>J15*9.0746*LOOKUP(J17,密度!$A$2:$A$50,密度!$L$2:$L$50)</f>
        <v>3164.8121230000002</v>
      </c>
      <c r="K16" s="73" ph="1">
        <f>K15*9.0746*LOOKUP(K17,密度!$A$2:$A$50,密度!$C$2:$C$50)</f>
        <v>7159.5617531200005</v>
      </c>
      <c r="L16" s="73" ph="1">
        <f>L15*9.0746*LOOKUP(L17,密度!$A$2:$A$50,密度!$E$2:$E$50)</f>
        <v>17966.91125012</v>
      </c>
      <c r="M16" s="73" ph="1">
        <f>M15*9.0746*LOOKUP(M17,密度!$A$2:$A$50,密度!$M$2:$M$50)</f>
        <v>10891.6797548</v>
      </c>
      <c r="N16" s="73" ph="1">
        <f>N15*9.0746*LOOKUP(N17,密度!$A$2:$A$50,密度!$M$2:$M$50)</f>
        <v>41032.089770819999</v>
      </c>
      <c r="O16" s="73" ph="1">
        <f>O15*9.0746*LOOKUP(O17,密度!$A$2:$A$50,密度!$G$2:$G$50)</f>
        <v>226.2660764</v>
      </c>
      <c r="P16" s="73" ph="1">
        <f ca="1">P15*9.0746*LOOKUP(P17,密度!$A$2:$A$51,密度!$Q$2:$Q$50)</f>
        <v>59712.890909832</v>
      </c>
      <c r="Q16" s="73" ph="1">
        <f>Q15*9.0746*LOOKUP(Q17,密度!$A$2:$A$50,密度!$Q$2:$Q$50)</f>
        <v>291.884690492</v>
      </c>
      <c r="R16" s="73" ph="1">
        <f>MAX(R15*9.0746*LOOKUP(R17,密度!$A$2:$A$50,密度!$B$2:$B$50),0)</f>
        <v>24765.66509232</v>
      </c>
      <c r="S16" s="73" ph="1">
        <f>S15*9.0746*LOOKUP(S17,密度!$A$2:$A$50,密度!$Q$2:$Q$50)</f>
        <v>59010.819598488</v>
      </c>
      <c r="T16" s="73" ph="1">
        <f>T15*9.0746*LOOKUP(T17,密度!$A$2:$A$50,密度!$O$2:$O$50)</f>
        <v>5999.7988344000005</v>
      </c>
      <c r="U16" s="73" ph="1">
        <f>U15*9.0746*LOOKUP(U17,密度!$A$2:$A$50,密度!$H$2:$H$50)</f>
        <v>55356.278718779999</v>
      </c>
      <c r="V16" s="73" ph="1">
        <f>MAX(5600*LOOKUP(V17,密度!$A$2:$A$50,密度!$Q$2:$Q$50)+V15*9.0476*LOOKUP(V17,密度!$A$2:$A$50,密度!$Q$2:$Q$50),0)</f>
        <v>51915.525791631997</v>
      </c>
      <c r="W16" s="73" ph="1">
        <f>MAX(5600*LOOKUP(W17,密度!$A$2:$A$50,密度!$Q$2:$Q$50)+W15*9.0476*LOOKUP(W17,密度!$A$2:$A$50,密度!$Q$2:$Q$50),0)</f>
        <v>37450.516740856001</v>
      </c>
      <c r="X16" s="73" ph="1">
        <f>MAX(5600*LOOKUP(X17,密度!$A$2:$A$50,密度!$I$2:$I$50)+X15*9.0476*LOOKUP(X17,密度!$A$2:$A$50,密度!$I$2:$I$50),0)</f>
        <v>7251.4270219999999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29996.126598400002</v>
      </c>
      <c r="AB16" s="73" ph="1">
        <f>AB15*9.0746*LOOKUP(AB17,密度!$A$2:$A$50,密度!$L$2:$L$50)</f>
        <v>58787.291510400006</v>
      </c>
      <c r="AC16" s="73" ph="1">
        <f>AC15*9.0746*LOOKUP(AC17,密度!$A$2:$A$50,密度!$L$2:$L$50)</f>
        <v>8443.8790016000003</v>
      </c>
      <c r="AD16" s="73" ph="1">
        <f>AD15*268.68*LOOKUP(AD17,密度!$A$2:$A$50,密度!B2:B50)+IF(AD15&lt;=0,0,1566*LOOKUP(AD17,密度!$A$2:$A$50,密度!B2:B50))</f>
        <v>17684.639740799998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26</v>
      </c>
      <c r="E17" s="74">
        <v>26</v>
      </c>
      <c r="F17" s="74">
        <v>30</v>
      </c>
      <c r="G17" s="74">
        <v>25</v>
      </c>
      <c r="H17" s="74">
        <v>24</v>
      </c>
      <c r="I17" s="74">
        <v>25</v>
      </c>
      <c r="J17" s="74">
        <v>27</v>
      </c>
      <c r="K17" s="74">
        <v>26</v>
      </c>
      <c r="L17" s="74">
        <v>28</v>
      </c>
      <c r="M17" s="74">
        <v>29</v>
      </c>
      <c r="N17" s="74">
        <v>25</v>
      </c>
      <c r="O17" s="74">
        <v>26</v>
      </c>
      <c r="P17" s="74">
        <v>28</v>
      </c>
      <c r="Q17" s="74">
        <v>26</v>
      </c>
      <c r="R17" s="74">
        <v>29</v>
      </c>
      <c r="S17" s="74">
        <v>27</v>
      </c>
      <c r="T17" s="74">
        <v>25</v>
      </c>
      <c r="U17" s="74">
        <v>25</v>
      </c>
      <c r="V17" s="74">
        <v>27</v>
      </c>
      <c r="W17" s="74">
        <v>28</v>
      </c>
      <c r="X17" s="74">
        <v>25</v>
      </c>
      <c r="Y17" s="108">
        <v>25</v>
      </c>
      <c r="Z17" s="74">
        <v>27</v>
      </c>
      <c r="AA17" s="74">
        <v>25</v>
      </c>
      <c r="AB17" s="74">
        <v>28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4778</v>
      </c>
      <c r="E18" s="71">
        <v>5285</v>
      </c>
      <c r="F18" s="71">
        <v>3784</v>
      </c>
      <c r="G18" s="71">
        <v>888</v>
      </c>
      <c r="H18" s="71">
        <v>4538</v>
      </c>
      <c r="I18" s="71">
        <v>118</v>
      </c>
      <c r="J18" s="71">
        <v>388</v>
      </c>
      <c r="K18" s="71">
        <v>710</v>
      </c>
      <c r="L18" s="71">
        <v>2542</v>
      </c>
      <c r="M18" s="71">
        <v>3888</v>
      </c>
      <c r="N18" s="71">
        <v>2981</v>
      </c>
      <c r="O18" s="71">
        <v>43</v>
      </c>
      <c r="P18" s="71">
        <v>6975</v>
      </c>
      <c r="Q18" s="71">
        <v>2509</v>
      </c>
      <c r="R18" s="71">
        <v>3519</v>
      </c>
      <c r="S18" s="71">
        <v>6887</v>
      </c>
      <c r="T18" s="71">
        <v>6587</v>
      </c>
      <c r="U18" s="71">
        <v>28</v>
      </c>
      <c r="V18" s="71">
        <v>5452</v>
      </c>
      <c r="W18" s="71">
        <v>3762</v>
      </c>
      <c r="X18" s="71">
        <v>149</v>
      </c>
      <c r="Y18" s="109">
        <v>-9907</v>
      </c>
      <c r="Z18" s="71">
        <v>0</v>
      </c>
      <c r="AA18" s="71">
        <v>4243</v>
      </c>
      <c r="AB18" s="71">
        <v>6943</v>
      </c>
      <c r="AC18" s="71">
        <v>992</v>
      </c>
      <c r="AD18" s="71">
        <v>54.92</v>
      </c>
      <c r="AE18" s="71">
        <v>41.42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7" t="s" ph="1">
        <v>179</v>
      </c>
      <c r="D19" s="73" ph="1">
        <f>D18*7.0686*LOOKUP(D20,密度!$A$2:$A$50,密度!$L$2:$L$50)</f>
        <v>31477.154385599999</v>
      </c>
      <c r="E19" s="73" ph="1">
        <f>E18*7.0686*LOOKUP(E20,密度!$A$2:$A$50,密度!$L$2:$L$50)</f>
        <v>34817.237531999999</v>
      </c>
      <c r="F19" s="73" ph="1">
        <f>F18*9.0746*LOOKUP(F20,密度!$A$2:$A$50,密度!$L$2:$L$50)</f>
        <v>31865.9297792</v>
      </c>
      <c r="G19" s="73" ph="1">
        <f>G18*9.0746*LOOKUP(G20,密度!$A$2:$A$50,密度!$B$2:$B$50)</f>
        <v>6240.3047731200004</v>
      </c>
      <c r="H19" s="73" ph="1">
        <f>H18*9.0746*LOOKUP(H20,密度!$A$2:$A$50,密度!$L$2:$L$50)</f>
        <v>38544.980572800006</v>
      </c>
      <c r="I19" s="73" ph="1">
        <f>I18*9.0746*LOOKUP(I20,密度!$A$2:$A$50,密度!$U$2:$U$50)</f>
        <v>1090.0772503999999</v>
      </c>
      <c r="J19" s="73" ph="1">
        <f>J18*9.0746*LOOKUP(J20,密度!$A$2:$A$50,密度!$L$2:$L$50)</f>
        <v>3274.4786640000002</v>
      </c>
      <c r="K19" s="73" ph="1">
        <f>K18*9.0746*LOOKUP(K20,密度!$A$2:$A$50,密度!$C$2:$C$50)</f>
        <v>7113.6787606000007</v>
      </c>
      <c r="L19" s="73" ph="1">
        <f>L18*9.0746*LOOKUP(L20,密度!$A$2:$A$50,密度!$E$2:$E$50)</f>
        <v>17937.391576319998</v>
      </c>
      <c r="M19" s="73" ph="1">
        <f>M18*9.0746*LOOKUP(M20,密度!$A$2:$A$50,密度!$M$2:$M$50)</f>
        <v>30618.464118336004</v>
      </c>
      <c r="N19" s="73" ph="1">
        <f>N18*9.0746*LOOKUP(N20,密度!$A$2:$A$50,密度!$M$2:$M$50)</f>
        <v>23618.562148060002</v>
      </c>
      <c r="O19" s="73" ph="1">
        <f>O18*9.0746*LOOKUP(O20,密度!$A$2:$A$50,密度!$G$2:$G$50)</f>
        <v>372.14508093799998</v>
      </c>
      <c r="P19" s="73" ph="1">
        <f ca="1">P18*9.0746*LOOKUP(P20,密度!$A$2:$A$51,密度!$Q$2:$Q$50)</f>
        <v>59708.388365549996</v>
      </c>
      <c r="Q19" s="73" ph="1">
        <f>Q18*9.0746*LOOKUP(Q20,密度!$A$2:$A$50,密度!$Q$2:$Q$50)</f>
        <v>21491.560029602002</v>
      </c>
      <c r="R19" s="73" ph="1">
        <f>MAX(R18*9.0746*LOOKUP(R20,密度!$A$2:$A$50,密度!$B$2:$B$50),0)</f>
        <v>24758.056040219999</v>
      </c>
      <c r="S19" s="73" ph="1">
        <f>S18*9.0746*LOOKUP(S20,密度!$A$2:$A$50,密度!$Q$2:$Q$50)</f>
        <v>58955.078232765998</v>
      </c>
      <c r="T19" s="73" ph="1">
        <f>T18*9.0746*LOOKUP(T20,密度!$A$2:$A$50,密度!$O$2:$O$50)</f>
        <v>55351.085325200002</v>
      </c>
      <c r="U19" s="73" ph="1">
        <f>U18*9.0746*LOOKUP(U20,密度!$A$2:$A$50,密度!$H$2:$H$50)</f>
        <v>230.73295750399998</v>
      </c>
      <c r="V19" s="73" ph="1">
        <f>MAX(5600*LOOKUP(V20,密度!$A$2:$A$50,密度!$Q$2:$Q$50)+V18*9.0476*LOOKUP(V20,密度!$A$2:$A$50,密度!$Q$2:$Q$50),0)</f>
        <v>51885.629408223998</v>
      </c>
      <c r="W19" s="73" ph="1">
        <f>MAX(5600*LOOKUP(W20,密度!$A$2:$A$50,密度!$Q$2:$Q$50)+W18*9.0476*LOOKUP(W20,密度!$A$2:$A$50,密度!$Q$2:$Q$50),0)</f>
        <v>37414.620617815999</v>
      </c>
      <c r="X19" s="73" ph="1">
        <f>MAX(5600*LOOKUP(X20,密度!$A$2:$A$50,密度!$I$2:$I$50)+X18*9.0476*LOOKUP(X20,密度!$A$2:$A$50,密度!$I$2:$I$50),0)</f>
        <v>7202.3925818400003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29917.241100600004</v>
      </c>
      <c r="AB19" s="73" ph="1">
        <f>AB18*9.0746*LOOKUP(AB20,密度!$A$2:$A$50,密度!$L$2:$L$50)</f>
        <v>58720.611349600003</v>
      </c>
      <c r="AC19" s="73" ph="1">
        <f>AC18*9.0746*LOOKUP(AC20,密度!$A$2:$A$50,密度!$L$2:$L$50)</f>
        <v>8389.8669824000008</v>
      </c>
      <c r="AD19" s="73" ph="1">
        <f>AD18*268.68*LOOKUP(AD20,密度!$A$2:$A$50,密度!B5:B53)+IF(AD18&lt;=0,0,1566*LOOKUP(AD20,密度!$A$2:$A$50,密度!B5:B53))</f>
        <v>12682.120651199999</v>
      </c>
      <c r="AE19" s="73" ph="1">
        <f>AE18*268.68*LOOKUP(AE20,密度!$A$2:$A$50,密度!B5:B53)+IF(AE18&lt;=0,0,1566*LOOKUP(AE20,密度!$A$2:$A$50,密度!B5:B53))</f>
        <v>9863.8017912000014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30</v>
      </c>
      <c r="E20" s="81">
        <v>30</v>
      </c>
      <c r="F20" s="81">
        <v>34</v>
      </c>
      <c r="G20" s="81">
        <v>31</v>
      </c>
      <c r="H20" s="81">
        <v>26</v>
      </c>
      <c r="I20" s="81">
        <v>32</v>
      </c>
      <c r="J20" s="81">
        <v>32</v>
      </c>
      <c r="K20" s="81">
        <v>31</v>
      </c>
      <c r="L20" s="81">
        <v>30</v>
      </c>
      <c r="M20" s="81">
        <v>32</v>
      </c>
      <c r="N20" s="81">
        <v>27</v>
      </c>
      <c r="O20" s="81">
        <v>31</v>
      </c>
      <c r="P20" s="81">
        <v>30</v>
      </c>
      <c r="Q20" s="81">
        <v>29</v>
      </c>
      <c r="R20" s="81">
        <v>30</v>
      </c>
      <c r="S20" s="81">
        <v>30</v>
      </c>
      <c r="T20" s="81">
        <v>29</v>
      </c>
      <c r="U20" s="81">
        <v>32</v>
      </c>
      <c r="V20" s="81">
        <v>28</v>
      </c>
      <c r="W20" s="81">
        <v>29</v>
      </c>
      <c r="X20" s="81">
        <v>30</v>
      </c>
      <c r="Y20" s="110">
        <v>30</v>
      </c>
      <c r="Z20" s="81">
        <v>33</v>
      </c>
      <c r="AA20" s="81">
        <v>28</v>
      </c>
      <c r="AB20" s="81">
        <v>30</v>
      </c>
      <c r="AC20" s="81">
        <v>30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7" t="s" ph="1">
        <v>178</v>
      </c>
      <c r="D24" s="71">
        <v>3.11</v>
      </c>
      <c r="E24" s="71">
        <v>95.76</v>
      </c>
      <c r="F24" s="71">
        <v>0</v>
      </c>
      <c r="G24" s="71">
        <v>3198</v>
      </c>
      <c r="H24" s="71">
        <v>2287</v>
      </c>
      <c r="I24" s="71">
        <v>3802</v>
      </c>
      <c r="J24" s="71">
        <v>498</v>
      </c>
      <c r="K24" s="71">
        <v>1161</v>
      </c>
      <c r="L24" s="71">
        <v>131</v>
      </c>
      <c r="M24" s="71">
        <v>2905</v>
      </c>
      <c r="N24" s="71">
        <v>2255</v>
      </c>
      <c r="O24" s="71">
        <v>0</v>
      </c>
      <c r="P24" s="71">
        <v>1322</v>
      </c>
      <c r="Q24" s="90">
        <v>3105</v>
      </c>
      <c r="R24" s="71">
        <v>3470</v>
      </c>
      <c r="S24" s="71">
        <v>1587</v>
      </c>
      <c r="T24" s="71">
        <v>1761</v>
      </c>
      <c r="U24" s="71">
        <v>5444</v>
      </c>
      <c r="V24" s="71">
        <v>9662</v>
      </c>
      <c r="W24" s="71">
        <v>8351</v>
      </c>
      <c r="X24" s="71">
        <v>2856</v>
      </c>
      <c r="Y24" s="71">
        <v>6326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30267.200171520006</v>
      </c>
      <c r="F25" s="91" ph="1">
        <f>F24*11.702*LOOKUP(F26,密度!$A$2:$A$50,密度!$Q$2:$Q$50)</f>
        <v>0</v>
      </c>
      <c r="G25" s="91" ph="1">
        <f>G24*18.322*LOOKUP(G26,密度!$A$2:$A$50,密度!$B$2:$B$50)</f>
        <v>45732.426557999992</v>
      </c>
      <c r="H25" s="91" ph="1">
        <f>H24*18.322*LOOKUP(H26,密度!$A$2:$A$50,密度!$B$2:$B$50)</f>
        <v>32667.121954399998</v>
      </c>
      <c r="I25" s="91" ph="1">
        <f>I24*18.322*LOOKUP(I26,密度!$A$2:$A$50,密度!$Q$2:$Q$50)</f>
        <v>65950.139404559988</v>
      </c>
      <c r="J25" s="91" ph="1">
        <f>J24*18.322*LOOKUP(J26,密度!$A$2:$A$50,密度!$Q$2:$Q$50)</f>
        <v>8638.3927994400001</v>
      </c>
      <c r="K25" s="91" ph="1">
        <f>K24*18.322*LOOKUP(K26,密度!$A$2:$A$50,密度!$Q$2:$Q$50)</f>
        <v>20154.432139740002</v>
      </c>
      <c r="L25" s="91" ph="1">
        <f>L24*18.322*LOOKUP(L26,密度!$A$2:$A$50,密度!$Q$2:$Q$50)</f>
        <v>2272.34830668</v>
      </c>
      <c r="M25" s="91" ph="1">
        <f>M24*18.322*LOOKUP(M26,密度!$A$2:$A$50,密度!$Q$2:$Q$50)</f>
        <v>50390.624663399998</v>
      </c>
      <c r="N25" s="91" ph="1">
        <f>N24*18.322*LOOKUP(N26,密度!$A$2:$A$50,密度!$Q$2:$Q$50)</f>
        <v>39145.774741699999</v>
      </c>
      <c r="O25" s="91" ph="1">
        <f>O24*18.322*LOOKUP(O26,密度!$A$2:$A$50,密度!$C$2:$C$50)</f>
        <v>0</v>
      </c>
      <c r="P25" s="91" ph="1">
        <f>P24*11.702*LOOKUP(P26,密度!$A$2:$A$50,密度!$B$2:$B$50)</f>
        <v>12060.4463024</v>
      </c>
      <c r="Q25" s="92" ph="1">
        <f>Q24*18.322*LOOKUP(Q26,密度!$A$2:$A$50,密度!$B$2:$B$50)</f>
        <v>44300.095046999995</v>
      </c>
      <c r="R25" s="91" ph="1">
        <f>R24*35.891*LOOKUP(R26,密度!$A$2:$A$50,密度!$C$2:$C$50)</f>
        <v>138104.36875299999</v>
      </c>
      <c r="S25" s="91" ph="1">
        <f>S24*35.891*LOOKUP(S26,密度!$A$2:$A$50,密度!$B$2:$B$50)</f>
        <v>44405.2496532</v>
      </c>
      <c r="T25" s="91" ph="1">
        <f>T24*35.891*LOOKUP(T26,密度!$A$2:$A$50,密度!$Q$2:$Q$50)</f>
        <v>59837.803243740003</v>
      </c>
      <c r="U25" s="91" ph="1">
        <f>U24*35.891</f>
        <v>195390.60399999999</v>
      </c>
      <c r="V25" s="91" ph="1">
        <f>V24*47.051*LOOKUP(V26,密度!$A$2:$A$50,密度!$B$2:$B$50)</f>
        <v>354411.43165520002</v>
      </c>
      <c r="W25" s="91" ph="1">
        <f>W24*47.051*LOOKUP(W26,密度!$A$2:$A$50,密度!$B$2:$B$50)</f>
        <v>305969.06300869997</v>
      </c>
      <c r="X25" s="91" ph="1">
        <f>X24*47.051*LOOKUP(X26,密度!$A$2:$A$50,密度!$I$2:$I$50)</f>
        <v>138851.08816824004</v>
      </c>
      <c r="Y25" s="91" ph="1">
        <f>Y24*47.051*LOOKUP(Y26,密度!$A$2:$A$50,密度!$L$2:$L$50)</f>
        <v>277702.43605800002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24</v>
      </c>
      <c r="H26" s="74">
        <v>25</v>
      </c>
      <c r="I26" s="74">
        <v>25</v>
      </c>
      <c r="J26" s="74">
        <v>25</v>
      </c>
      <c r="K26" s="74">
        <v>24</v>
      </c>
      <c r="L26" s="74">
        <v>25</v>
      </c>
      <c r="M26" s="74">
        <v>25</v>
      </c>
      <c r="N26" s="74">
        <v>24</v>
      </c>
      <c r="O26" s="74">
        <v>25</v>
      </c>
      <c r="P26" s="74">
        <v>25</v>
      </c>
      <c r="Q26" s="93">
        <v>26</v>
      </c>
      <c r="R26" s="74">
        <v>25</v>
      </c>
      <c r="S26" s="74">
        <v>25</v>
      </c>
      <c r="T26" s="74">
        <v>25</v>
      </c>
      <c r="U26" s="74">
        <v>25</v>
      </c>
      <c r="V26" s="74">
        <v>25</v>
      </c>
      <c r="W26" s="74">
        <v>26</v>
      </c>
      <c r="X26" s="74">
        <v>33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7" t="s" ph="1">
        <v>181</v>
      </c>
      <c r="D27" s="71">
        <v>3.11</v>
      </c>
      <c r="E27" s="71">
        <v>95.7</v>
      </c>
      <c r="F27" s="71">
        <v>0</v>
      </c>
      <c r="G27" s="71">
        <v>2564</v>
      </c>
      <c r="H27" s="71">
        <v>2567</v>
      </c>
      <c r="I27" s="71">
        <v>3802</v>
      </c>
      <c r="J27" s="71">
        <v>490</v>
      </c>
      <c r="K27" s="71">
        <v>336</v>
      </c>
      <c r="L27" s="71">
        <v>0</v>
      </c>
      <c r="M27" s="71">
        <v>4027</v>
      </c>
      <c r="N27" s="71">
        <v>1668</v>
      </c>
      <c r="O27" s="71">
        <v>0</v>
      </c>
      <c r="P27" s="71">
        <v>1320</v>
      </c>
      <c r="Q27" s="90">
        <v>2994</v>
      </c>
      <c r="R27" s="71">
        <v>3465</v>
      </c>
      <c r="S27" s="71">
        <v>1583</v>
      </c>
      <c r="T27" s="71">
        <v>1759</v>
      </c>
      <c r="U27" s="71">
        <v>6060</v>
      </c>
      <c r="V27" s="71">
        <v>9664</v>
      </c>
      <c r="W27" s="71">
        <v>8350</v>
      </c>
      <c r="X27" s="71">
        <v>2856</v>
      </c>
      <c r="Y27" s="71">
        <v>6323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7" t="s" ph="1">
        <v>179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30249.323816400003</v>
      </c>
      <c r="F28" s="91" ph="1">
        <f>F27*11.702*LOOKUP(F29,密度!$A$2:$A$50,密度!$Q$2:$Q$50)</f>
        <v>0</v>
      </c>
      <c r="G28" s="91" ph="1">
        <f>G27*18.322*LOOKUP(G29,密度!$A$2:$A$50,密度!$B$2:$B$50)</f>
        <v>36543.881263200004</v>
      </c>
      <c r="H28" s="91" ph="1">
        <f>H27*18.322*LOOKUP(H29,密度!$A$2:$A$50,密度!$B$2:$B$50)</f>
        <v>36544.309998000004</v>
      </c>
      <c r="I28" s="91" ph="1">
        <f>I27*18.322*LOOKUP(I29,密度!$A$2:$A$50,密度!$Q$2:$Q$50)</f>
        <v>65851.221858079996</v>
      </c>
      <c r="J28" s="91" ph="1">
        <f>J27*18.322*LOOKUP(J29,密度!$A$2:$A$50,密度!$Q$2:$Q$50)</f>
        <v>8486.874989599999</v>
      </c>
      <c r="K28" s="91" ph="1">
        <f>K27*18.322*LOOKUP(K29,密度!$A$2:$A$50,密度!$Q$2:$Q$50)</f>
        <v>5819.5714214400004</v>
      </c>
      <c r="L28" s="91" ph="1">
        <f>L27*18.322*LOOKUP(L29,密度!$A$2:$A$50,密度!$Q$2:$Q$50)</f>
        <v>0</v>
      </c>
      <c r="M28" s="91" ph="1">
        <f>M27*18.322*LOOKUP(M29,密度!$A$2:$A$50,密度!$Q$2:$Q$50)</f>
        <v>69696.608406280007</v>
      </c>
      <c r="N28" s="91" ph="1">
        <f>N27*18.322*LOOKUP(N29,密度!$A$2:$A$50,密度!$Q$2:$Q$50)</f>
        <v>28847.535347279998</v>
      </c>
      <c r="O28" s="91" ph="1">
        <f>O27*18.322*LOOKUP(O29,密度!$A$2:$A$50,密度!$C$2:$C$50)</f>
        <v>0</v>
      </c>
      <c r="P28" s="91" ph="1">
        <f>P27*11.702*LOOKUP(P29,密度!$A$2:$A$50,密度!$B$2:$B$50)</f>
        <v>12002.039279999999</v>
      </c>
      <c r="Q28" s="92" ph="1">
        <f>Q27*18.322*LOOKUP(Q29,密度!$A$2:$A$50,密度!$B$2:$B$50)</f>
        <v>42623.164836000004</v>
      </c>
      <c r="R28" s="91" ph="1">
        <f>R27*35.891*LOOKUP(R29,密度!$A$2:$A$50,密度!$C$2:$C$50)</f>
        <v>137718.82763099999</v>
      </c>
      <c r="S28" s="91" ph="1">
        <f>S27*35.891*LOOKUP(S29,密度!$A$2:$A$50,密度!$B$2:$B$50)</f>
        <v>44145.606980999997</v>
      </c>
      <c r="T28" s="91" ph="1">
        <f>T27*35.891*LOOKUP(T29,密度!$A$2:$A$50,密度!$Q$2:$Q$50)</f>
        <v>59636.00394278</v>
      </c>
      <c r="U28" s="91" ph="1">
        <f>U27*35.891</f>
        <v>217499.46</v>
      </c>
      <c r="V28" s="91" ph="1">
        <f>V27*47.051*LOOKUP(V29,密度!$A$2:$A$50,密度!$B$2:$B$50)</f>
        <v>353711.80210560001</v>
      </c>
      <c r="W28" s="91" ph="1">
        <f>W27*47.051*LOOKUP(W29,密度!$A$2:$A$50,密度!$B$2:$B$50)</f>
        <v>305618.12371500005</v>
      </c>
      <c r="X28" s="91" ph="1">
        <f>X27*47.051*LOOKUP(X29,密度!$A$2:$A$50,密度!$I$2:$I$50)</f>
        <v>138851.08816824004</v>
      </c>
      <c r="Y28" s="91" ph="1">
        <f>Y27*47.051*LOOKUP(Y29,密度!$A$2:$A$50,密度!$L$2:$L$50)</f>
        <v>277570.74030900002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7" t="s" ph="1">
        <v>180</v>
      </c>
      <c r="D29" s="74">
        <v>25</v>
      </c>
      <c r="E29" s="74">
        <v>25</v>
      </c>
      <c r="F29" s="74">
        <v>28</v>
      </c>
      <c r="G29" s="74">
        <v>27</v>
      </c>
      <c r="H29" s="74">
        <v>28</v>
      </c>
      <c r="I29" s="74">
        <v>27</v>
      </c>
      <c r="J29" s="74">
        <v>27</v>
      </c>
      <c r="K29" s="74">
        <v>27</v>
      </c>
      <c r="L29" s="74">
        <v>30</v>
      </c>
      <c r="M29" s="74">
        <v>28</v>
      </c>
      <c r="N29" s="74">
        <v>29</v>
      </c>
      <c r="O29" s="74">
        <v>30</v>
      </c>
      <c r="P29" s="74">
        <v>28</v>
      </c>
      <c r="Q29" s="93">
        <v>28</v>
      </c>
      <c r="R29" s="74">
        <v>27</v>
      </c>
      <c r="S29" s="74">
        <v>28</v>
      </c>
      <c r="T29" s="74">
        <v>28</v>
      </c>
      <c r="U29" s="74">
        <v>28</v>
      </c>
      <c r="V29" s="74">
        <v>27</v>
      </c>
      <c r="W29" s="74">
        <v>27</v>
      </c>
      <c r="X29" s="74">
        <v>33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142873.27768440003</v>
      </c>
      <c r="E33" s="218" ph="1">
        <f>M10+I10</f>
        <v>46894.295239199993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22" ph="1">
        <v>0</v>
      </c>
      <c r="H33" s="218" ph="1">
        <f>N19</f>
        <v>23618.562148060002</v>
      </c>
      <c r="I33" s="231" ph="1">
        <v>0</v>
      </c>
      <c r="J33" s="229" ph="1">
        <f>F10+O28</f>
        <v>170502.8716251</v>
      </c>
      <c r="K33" s="218" ph="1">
        <f>O10+K10+E28+R28</f>
        <v>171958.5363034</v>
      </c>
      <c r="L33" s="233" ph="1">
        <f>BE27</f>
        <v>7100</v>
      </c>
      <c r="M33" s="229" ph="1">
        <f>G10+H10+W28+S28+V28+E10</f>
        <v>1394927.1482536001</v>
      </c>
      <c r="N33" s="218" ph="1">
        <f>L10+P10++G28+H28</f>
        <v>195544.40992820004</v>
      </c>
      <c r="O33" s="231" ph="1">
        <f>BE17</f>
        <v>2270</v>
      </c>
      <c r="P33" s="229" ph="1">
        <f>L19</f>
        <v>17937.391576319998</v>
      </c>
      <c r="Q33" s="218" ph="1">
        <f>J10+N10</f>
        <v>162284.45363829998</v>
      </c>
      <c r="R33" s="231" ph="1">
        <f>BE23</f>
        <v>890</v>
      </c>
      <c r="S33" s="229" ph="1">
        <f>E10+X28</f>
        <v>326741.62409524003</v>
      </c>
      <c r="T33" s="218" ph="1">
        <f>X19</f>
        <v>7202.3925818400003</v>
      </c>
      <c r="U33" s="239" ph="1">
        <f>BE21</f>
        <v>730</v>
      </c>
      <c r="V33" s="250" ph="1">
        <f ca="1">P19+Q19+S19+M28+N28+J28</f>
        <v>247186.04537107801</v>
      </c>
      <c r="W33" s="250" ph="1">
        <f>D28+F28+V19+T28</f>
        <v>113795.319211956</v>
      </c>
      <c r="X33" s="231" ph="1">
        <f>BE29+BE31</f>
        <v>10200</v>
      </c>
      <c r="Y33" s="252" ph="1">
        <f>+Q10+R10+S10+T10+U10+V10+W10+X10+Y10</f>
        <v>156548.84968800002</v>
      </c>
      <c r="Z33" s="237" ph="1">
        <f>D10+T19+U19+Y28+Z10</f>
        <v>552414.98236926401</v>
      </c>
      <c r="AA33" s="239" ph="1">
        <f>BE19</f>
        <v>1440</v>
      </c>
      <c r="AB33" s="241" ph="1">
        <f>I19</f>
        <v>1090.0772503999999</v>
      </c>
      <c r="AC33" s="243" ph="1">
        <f>AD10</f>
        <v>106572.97405440001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9" t="s" ph="1">
        <v>186</v>
      </c>
      <c r="AA36" s="149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67" priority="96">
      <formula>ABS(D$7-D$10)&gt;=1000</formula>
    </cfRule>
  </conditionalFormatting>
  <conditionalFormatting sqref="E4 E6:E11">
    <cfRule type="expression" dxfId="2266" priority="95">
      <formula>ABS(E$7-E$10)&gt;=1000</formula>
    </cfRule>
  </conditionalFormatting>
  <conditionalFormatting sqref="F4:F11">
    <cfRule type="expression" dxfId="2265" priority="94">
      <formula>ABS(F$7-F$10)&gt;=1000</formula>
    </cfRule>
  </conditionalFormatting>
  <conditionalFormatting sqref="G4:G11">
    <cfRule type="expression" dxfId="2264" priority="93">
      <formula>ABS(G$7-G$10)&gt;=1000</formula>
    </cfRule>
  </conditionalFormatting>
  <conditionalFormatting sqref="H4:H11">
    <cfRule type="expression" dxfId="2263" priority="92">
      <formula>ABS(H$7-H$10)&gt;=1000</formula>
    </cfRule>
  </conditionalFormatting>
  <conditionalFormatting sqref="I4:I11">
    <cfRule type="expression" dxfId="2262" priority="91">
      <formula>ABS(I$7-I$10)&gt;=1000</formula>
    </cfRule>
  </conditionalFormatting>
  <conditionalFormatting sqref="J4:J11">
    <cfRule type="expression" dxfId="2261" priority="90">
      <formula>ABS(J$7-J$10)&gt;=1000</formula>
    </cfRule>
  </conditionalFormatting>
  <conditionalFormatting sqref="K4:K11">
    <cfRule type="expression" dxfId="2260" priority="89">
      <formula>ABS(K$7-K$10)&gt;=1000</formula>
    </cfRule>
  </conditionalFormatting>
  <conditionalFormatting sqref="L4:L11">
    <cfRule type="expression" dxfId="2259" priority="88">
      <formula>ABS(L$7-L$10)&gt;=1000</formula>
    </cfRule>
  </conditionalFormatting>
  <conditionalFormatting sqref="M4 M6:M11">
    <cfRule type="expression" dxfId="2258" priority="87">
      <formula>ABS(M$7-M$10)&gt;=1000</formula>
    </cfRule>
  </conditionalFormatting>
  <conditionalFormatting sqref="N4 N6:N11">
    <cfRule type="expression" dxfId="2257" priority="86">
      <formula>ABS(N$7-N$10)&gt;=1000</formula>
    </cfRule>
  </conditionalFormatting>
  <conditionalFormatting sqref="O4 O6:O11">
    <cfRule type="expression" dxfId="2256" priority="85">
      <formula>ABS(O$7-O$10)&gt;=1000</formula>
    </cfRule>
  </conditionalFormatting>
  <conditionalFormatting sqref="P4 P6:P11">
    <cfRule type="expression" dxfId="2255" priority="84">
      <formula>ABS(P$7-P$10)&gt;=1000</formula>
    </cfRule>
  </conditionalFormatting>
  <conditionalFormatting sqref="Q4:Q11">
    <cfRule type="expression" dxfId="2254" priority="83">
      <formula>ABS(Q$7-Q$10)&gt;=1000</formula>
    </cfRule>
  </conditionalFormatting>
  <conditionalFormatting sqref="R4:R11">
    <cfRule type="expression" dxfId="2253" priority="82">
      <formula>ABS(R$7-R$10)&gt;=1000</formula>
    </cfRule>
  </conditionalFormatting>
  <conditionalFormatting sqref="S4:S11">
    <cfRule type="expression" dxfId="2252" priority="81">
      <formula>ABS(S$7-S$10)&gt;=1000</formula>
    </cfRule>
  </conditionalFormatting>
  <conditionalFormatting sqref="T4:T9 T11">
    <cfRule type="expression" dxfId="2251" priority="80">
      <formula>ABS(T$7-T$10)&gt;=1000</formula>
    </cfRule>
  </conditionalFormatting>
  <conditionalFormatting sqref="U4:U9 U11">
    <cfRule type="expression" dxfId="2250" priority="79">
      <formula>ABS(U$7-U$10)&gt;=1000</formula>
    </cfRule>
  </conditionalFormatting>
  <conditionalFormatting sqref="V4:V9 V11">
    <cfRule type="expression" dxfId="2249" priority="78">
      <formula>ABS(V$7-V$10)&gt;=1000</formula>
    </cfRule>
  </conditionalFormatting>
  <conditionalFormatting sqref="W4:W9 W11">
    <cfRule type="expression" dxfId="2248" priority="77">
      <formula>ABS(W$7-W$10)&gt;=1000</formula>
    </cfRule>
  </conditionalFormatting>
  <conditionalFormatting sqref="X4:X9 X11">
    <cfRule type="expression" dxfId="2247" priority="76">
      <formula>ABS(X$7-X$10)&gt;=1000</formula>
    </cfRule>
  </conditionalFormatting>
  <conditionalFormatting sqref="Y4:Y9 Y11">
    <cfRule type="expression" dxfId="2246" priority="75">
      <formula>ABS(Y$7-Y$10)&gt;=1000</formula>
    </cfRule>
  </conditionalFormatting>
  <conditionalFormatting sqref="Z4:Z11">
    <cfRule type="expression" dxfId="2245" priority="74">
      <formula>ABS(Z$7-Z$10)&gt;=1000</formula>
    </cfRule>
  </conditionalFormatting>
  <conditionalFormatting sqref="AA4:AA11">
    <cfRule type="expression" dxfId="2244" priority="73">
      <formula>ABS(AA$7-AA$10)&gt;=1000</formula>
    </cfRule>
  </conditionalFormatting>
  <conditionalFormatting sqref="AB4:AB11">
    <cfRule type="expression" dxfId="2243" priority="72">
      <formula>ABS(AB$7-AB$10)&gt;=1000</formula>
    </cfRule>
  </conditionalFormatting>
  <conditionalFormatting sqref="AC4 AC6:AC11">
    <cfRule type="expression" dxfId="2242" priority="71">
      <formula>ABS(AC$7-AC$10)&gt;=1000</formula>
    </cfRule>
  </conditionalFormatting>
  <conditionalFormatting sqref="AD4:AD11">
    <cfRule type="expression" dxfId="2241" priority="70">
      <formula>ABS(AD$7-AD$10)&gt;=1000</formula>
    </cfRule>
  </conditionalFormatting>
  <conditionalFormatting sqref="AE4:AE11">
    <cfRule type="expression" dxfId="2240" priority="69">
      <formula>ABS(AE$7-AE$10)&gt;=1000</formula>
    </cfRule>
  </conditionalFormatting>
  <conditionalFormatting sqref="D13:D20">
    <cfRule type="expression" dxfId="2239" priority="68">
      <formula>ABS(D$16-D$19)&gt;=1000</formula>
    </cfRule>
  </conditionalFormatting>
  <conditionalFormatting sqref="E13:E20">
    <cfRule type="expression" dxfId="2238" priority="67">
      <formula>ABS(E$16-E$19)&gt;=1000</formula>
    </cfRule>
  </conditionalFormatting>
  <conditionalFormatting sqref="F13 F15:F20">
    <cfRule type="expression" dxfId="2237" priority="66">
      <formula>ABS(F$16-F$19)&gt;=1000</formula>
    </cfRule>
  </conditionalFormatting>
  <conditionalFormatting sqref="G13:G20">
    <cfRule type="expression" dxfId="2236" priority="65">
      <formula>ABS(G$16-G$19)&gt;=1000</formula>
    </cfRule>
  </conditionalFormatting>
  <conditionalFormatting sqref="H13:H20">
    <cfRule type="expression" dxfId="2235" priority="64">
      <formula>ABS(H$16-H$19)&gt;=1000</formula>
    </cfRule>
  </conditionalFormatting>
  <conditionalFormatting sqref="I13:I20">
    <cfRule type="expression" dxfId="2234" priority="63">
      <formula>ABS(I$16-I$19)&gt;=1000</formula>
    </cfRule>
  </conditionalFormatting>
  <conditionalFormatting sqref="J13:J20">
    <cfRule type="expression" dxfId="2233" priority="62">
      <formula>ABS(J$16-J$19)&gt;=1000</formula>
    </cfRule>
  </conditionalFormatting>
  <conditionalFormatting sqref="L13:L20">
    <cfRule type="expression" dxfId="2232" priority="61">
      <formula>ABS(L$16-L$19)&gt;=1000</formula>
    </cfRule>
  </conditionalFormatting>
  <conditionalFormatting sqref="M13 M15 M17:M18 M20">
    <cfRule type="expression" dxfId="2231" priority="60">
      <formula>ABS(M$16-M$19)&gt;=1000</formula>
    </cfRule>
  </conditionalFormatting>
  <conditionalFormatting sqref="N13:N20">
    <cfRule type="expression" dxfId="2230" priority="59">
      <formula>ABS(N$16-N$19)&gt;=1000</formula>
    </cfRule>
  </conditionalFormatting>
  <conditionalFormatting sqref="O13:O20">
    <cfRule type="expression" dxfId="2229" priority="58">
      <formula>ABS(O$16-O$19)&gt;=1000</formula>
    </cfRule>
  </conditionalFormatting>
  <conditionalFormatting sqref="P13:P20">
    <cfRule type="expression" dxfId="2228" priority="57">
      <formula>ABS(P$16-P$19)&gt;=1000</formula>
    </cfRule>
  </conditionalFormatting>
  <conditionalFormatting sqref="Q13 Q15:Q20">
    <cfRule type="expression" dxfId="2227" priority="56">
      <formula>ABS(Q$16-Q$19)&gt;=1000</formula>
    </cfRule>
  </conditionalFormatting>
  <conditionalFormatting sqref="R13:R20">
    <cfRule type="expression" dxfId="2226" priority="55">
      <formula>ABS(R$16-R$19)&gt;=1000</formula>
    </cfRule>
  </conditionalFormatting>
  <conditionalFormatting sqref="S13:S20">
    <cfRule type="expression" dxfId="2225" priority="54">
      <formula>ABS(S$16-S$19)&gt;=1000</formula>
    </cfRule>
  </conditionalFormatting>
  <conditionalFormatting sqref="T13:T20">
    <cfRule type="expression" dxfId="2224" priority="53">
      <formula>ABS(T$16-T$19)&gt;=1000</formula>
    </cfRule>
  </conditionalFormatting>
  <conditionalFormatting sqref="U13:U20">
    <cfRule type="expression" dxfId="2223" priority="52">
      <formula>ABS(U$16-U$19)&gt;=1000</formula>
    </cfRule>
  </conditionalFormatting>
  <conditionalFormatting sqref="V13:V20">
    <cfRule type="expression" dxfId="2222" priority="51">
      <formula>ABS(V$16-V$19)&gt;=1000</formula>
    </cfRule>
  </conditionalFormatting>
  <conditionalFormatting sqref="W13 W20 W15:W18">
    <cfRule type="expression" dxfId="2221" priority="50">
      <formula>ABS(W$16-W$19)&gt;=1000</formula>
    </cfRule>
  </conditionalFormatting>
  <conditionalFormatting sqref="X13 X15:X20 Y19">
    <cfRule type="expression" dxfId="2220" priority="49">
      <formula>ABS(X$16-X$19)&gt;=1000</formula>
    </cfRule>
  </conditionalFormatting>
  <conditionalFormatting sqref="Y13 Y15:Y18 Y20">
    <cfRule type="expression" dxfId="2219" priority="48">
      <formula>ABS(Y$16-Y$19)&gt;=1000</formula>
    </cfRule>
  </conditionalFormatting>
  <conditionalFormatting sqref="Z13:Z20">
    <cfRule type="expression" dxfId="2218" priority="47">
      <formula>ABS(Z$16-Z$19)&gt;=1000</formula>
    </cfRule>
  </conditionalFormatting>
  <conditionalFormatting sqref="AA13:AA20">
    <cfRule type="expression" dxfId="2217" priority="46">
      <formula>ABS(AA$16-AA$19)&gt;=1000</formula>
    </cfRule>
  </conditionalFormatting>
  <conditionalFormatting sqref="AB13 AB15:AB20">
    <cfRule type="expression" dxfId="2216" priority="45">
      <formula>ABS(AB$16-AB$19)&gt;=1000</formula>
    </cfRule>
  </conditionalFormatting>
  <conditionalFormatting sqref="AC13 AC15:AC20">
    <cfRule type="expression" dxfId="2215" priority="44">
      <formula>ABS(AC$16-AC$19)&gt;=1000</formula>
    </cfRule>
  </conditionalFormatting>
  <conditionalFormatting sqref="AD13:AD20">
    <cfRule type="expression" dxfId="2214" priority="43">
      <formula>ABS(AD$16-AD$19)&gt;=1000</formula>
    </cfRule>
  </conditionalFormatting>
  <conditionalFormatting sqref="AE13:AE20">
    <cfRule type="expression" dxfId="2213" priority="42">
      <formula>ABS(AE$16-AE$19)&gt;=1000</formula>
    </cfRule>
  </conditionalFormatting>
  <conditionalFormatting sqref="D22:D29">
    <cfRule type="expression" dxfId="2212" priority="41">
      <formula>ABS(D$25-D$28)&gt;=1000</formula>
    </cfRule>
  </conditionalFormatting>
  <conditionalFormatting sqref="E22:E29">
    <cfRule type="expression" dxfId="2211" priority="40">
      <formula>ABS(E$25-E$28)&gt;=1000</formula>
    </cfRule>
  </conditionalFormatting>
  <conditionalFormatting sqref="F22:F29">
    <cfRule type="expression" dxfId="2210" priority="39">
      <formula>ABS(F$25-F$28)&gt;=1000</formula>
    </cfRule>
  </conditionalFormatting>
  <conditionalFormatting sqref="G22:G29">
    <cfRule type="expression" dxfId="2209" priority="38">
      <formula>ABS(G$25-G$28)&gt;=1000</formula>
    </cfRule>
  </conditionalFormatting>
  <conditionalFormatting sqref="H22:H29">
    <cfRule type="expression" dxfId="2208" priority="37">
      <formula>ABS(H$25-H$28)&gt;=1000</formula>
    </cfRule>
  </conditionalFormatting>
  <conditionalFormatting sqref="I22 I24:I29">
    <cfRule type="expression" dxfId="2207" priority="36">
      <formula>ABS(I$25-I$28)&gt;=1000</formula>
    </cfRule>
  </conditionalFormatting>
  <conditionalFormatting sqref="J22:J29 K22">
    <cfRule type="expression" dxfId="2206" priority="35">
      <formula>ABS(J$25-J$28)&gt;=1000</formula>
    </cfRule>
  </conditionalFormatting>
  <conditionalFormatting sqref="K23:K29 L25 L28">
    <cfRule type="expression" dxfId="2205" priority="34">
      <formula>ABS(K$25-K$28)&gt;=1000</formula>
    </cfRule>
  </conditionalFormatting>
  <conditionalFormatting sqref="L22:L24 L26:L27 L29">
    <cfRule type="expression" dxfId="2204" priority="33">
      <formula>ABS(L$25-L$28)&gt;=1000</formula>
    </cfRule>
  </conditionalFormatting>
  <conditionalFormatting sqref="M22:M29">
    <cfRule type="expression" dxfId="2203" priority="32">
      <formula>ABS(M$25-M$28)&gt;=1000</formula>
    </cfRule>
  </conditionalFormatting>
  <conditionalFormatting sqref="N22:N29">
    <cfRule type="expression" dxfId="2202" priority="31">
      <formula>ABS(N$25-N$28)&gt;=1000</formula>
    </cfRule>
  </conditionalFormatting>
  <conditionalFormatting sqref="O22:O29">
    <cfRule type="expression" dxfId="2201" priority="30">
      <formula>ABS(O$25-O$28)&gt;=1000</formula>
    </cfRule>
  </conditionalFormatting>
  <conditionalFormatting sqref="P22:P29">
    <cfRule type="expression" dxfId="2200" priority="29">
      <formula>ABS(P$25-P$28)&gt;=1000</formula>
    </cfRule>
  </conditionalFormatting>
  <conditionalFormatting sqref="Q22:Q29">
    <cfRule type="expression" dxfId="2199" priority="28">
      <formula>ABS(Q$25-Q$28)&gt;=1000</formula>
    </cfRule>
  </conditionalFormatting>
  <conditionalFormatting sqref="R22:R29">
    <cfRule type="expression" dxfId="2198" priority="27">
      <formula>ABS(R$25-R$28)&gt;=1000</formula>
    </cfRule>
  </conditionalFormatting>
  <conditionalFormatting sqref="S22:S29">
    <cfRule type="expression" dxfId="2197" priority="26">
      <formula>ABS(S$25-S$28)&gt;=1000</formula>
    </cfRule>
  </conditionalFormatting>
  <conditionalFormatting sqref="T22:T29">
    <cfRule type="expression" dxfId="2196" priority="25">
      <formula>ABS(T$25-T$28)&gt;=1000</formula>
    </cfRule>
  </conditionalFormatting>
  <conditionalFormatting sqref="U22:U29">
    <cfRule type="expression" dxfId="2195" priority="24">
      <formula>ABS(U$25-U$28)&gt;=1000</formula>
    </cfRule>
  </conditionalFormatting>
  <conditionalFormatting sqref="V22:V29">
    <cfRule type="expression" dxfId="2194" priority="23">
      <formula>ABS(V$25-V$28)&gt;=1000</formula>
    </cfRule>
  </conditionalFormatting>
  <conditionalFormatting sqref="W22:W29">
    <cfRule type="expression" dxfId="2193" priority="22">
      <formula>ABS(W$25-W$28)&gt;=1000</formula>
    </cfRule>
  </conditionalFormatting>
  <conditionalFormatting sqref="X22:X29">
    <cfRule type="expression" dxfId="2192" priority="21">
      <formula>ABS(X$25-X$28)&gt;=1000</formula>
    </cfRule>
  </conditionalFormatting>
  <conditionalFormatting sqref="Y22:Y29">
    <cfRule type="expression" dxfId="2191" priority="20">
      <formula>ABS(Y$25-Y$28)&gt;=1000</formula>
    </cfRule>
  </conditionalFormatting>
  <conditionalFormatting sqref="I23">
    <cfRule type="expression" dxfId="2190" priority="19">
      <formula>ABS(I$25-I$28)&gt;=1000</formula>
    </cfRule>
  </conditionalFormatting>
  <conditionalFormatting sqref="F14">
    <cfRule type="expression" dxfId="2189" priority="18">
      <formula>ABS(F$16-F$19)&gt;=1000</formula>
    </cfRule>
  </conditionalFormatting>
  <conditionalFormatting sqref="Q14">
    <cfRule type="expression" dxfId="2188" priority="17">
      <formula>ABS(Q$16-Q$19)&gt;=1000</formula>
    </cfRule>
  </conditionalFormatting>
  <conditionalFormatting sqref="W14">
    <cfRule type="expression" dxfId="2187" priority="16">
      <formula>ABS(W$16-W$19)&gt;=1000</formula>
    </cfRule>
  </conditionalFormatting>
  <conditionalFormatting sqref="Y14">
    <cfRule type="expression" dxfId="2186" priority="15">
      <formula>ABS(Y$16-Y$19)&gt;=1000</formula>
    </cfRule>
  </conditionalFormatting>
  <conditionalFormatting sqref="X14">
    <cfRule type="expression" dxfId="2185" priority="14">
      <formula>ABS(X$16-X$19)&gt;=1000</formula>
    </cfRule>
  </conditionalFormatting>
  <conditionalFormatting sqref="T10:Y10">
    <cfRule type="expression" dxfId="2184" priority="13">
      <formula>ABS(T$7-T$10)&gt;=1000</formula>
    </cfRule>
  </conditionalFormatting>
  <conditionalFormatting sqref="W19">
    <cfRule type="expression" dxfId="2183" priority="12">
      <formula>ABS(W$16-W$19)&gt;=1000</formula>
    </cfRule>
  </conditionalFormatting>
  <conditionalFormatting sqref="AC5">
    <cfRule type="expression" dxfId="2182" priority="11">
      <formula>ABS(AC$7-AC$10)&gt;=1000</formula>
    </cfRule>
  </conditionalFormatting>
  <conditionalFormatting sqref="M14">
    <cfRule type="expression" dxfId="2181" priority="10">
      <formula>ABS(M$16-M$19)&gt;=1000</formula>
    </cfRule>
  </conditionalFormatting>
  <conditionalFormatting sqref="M16">
    <cfRule type="expression" dxfId="2180" priority="9">
      <formula>ABS(M$16-M$19)&gt;=1000</formula>
    </cfRule>
  </conditionalFormatting>
  <conditionalFormatting sqref="M19">
    <cfRule type="expression" dxfId="2179" priority="8">
      <formula>ABS(M$16-M$19)&gt;=1000</formula>
    </cfRule>
  </conditionalFormatting>
  <conditionalFormatting sqref="K13:K20">
    <cfRule type="expression" dxfId="2178" priority="7">
      <formula>ABS(K$16-K$19)&gt;=1000</formula>
    </cfRule>
  </conditionalFormatting>
  <conditionalFormatting sqref="E5">
    <cfRule type="expression" dxfId="2177" priority="6">
      <formula>ABS(E$7-E$10)&gt;=1000</formula>
    </cfRule>
  </conditionalFormatting>
  <conditionalFormatting sqref="AB14:AC14">
    <cfRule type="expression" dxfId="2176" priority="5">
      <formula>ABS(AB$16-AB$19)&gt;=1000</formula>
    </cfRule>
  </conditionalFormatting>
  <conditionalFormatting sqref="M5">
    <cfRule type="expression" dxfId="2175" priority="4">
      <formula>ABS(M$7-M$10)&gt;=1000</formula>
    </cfRule>
  </conditionalFormatting>
  <conditionalFormatting sqref="N5">
    <cfRule type="expression" dxfId="2174" priority="3">
      <formula>ABS(N$7-N$10)&gt;=1000</formula>
    </cfRule>
  </conditionalFormatting>
  <conditionalFormatting sqref="O5">
    <cfRule type="expression" dxfId="2173" priority="2">
      <formula>ABS(O$7-O$10)&gt;=1000</formula>
    </cfRule>
  </conditionalFormatting>
  <conditionalFormatting sqref="P5">
    <cfRule type="expression" dxfId="2172" priority="1">
      <formula>ABS(P$7-P$10)&gt;=1000</formula>
    </cfRule>
  </conditionalFormatting>
  <dataValidations count="1">
    <dataValidation operator="greaterThanOrEqual" allowBlank="1" showErrorMessage="1" sqref="D6" xr:uid="{00000000-0002-0000-06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11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630">
    <pageSetUpPr fitToPage="1"/>
  </sheetPr>
  <dimension ref="A1:CU223"/>
  <sheetViews>
    <sheetView view="pageBreakPreview" topLeftCell="A4" zoomScale="80" zoomScaleNormal="100" zoomScaleSheetLayoutView="80" workbookViewId="0">
      <selection activeCell="M10" sqref="M10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45784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7" t="s" ph="1">
        <v>178</v>
      </c>
      <c r="D6" s="71">
        <v>4190</v>
      </c>
      <c r="E6" s="71">
        <v>4704</v>
      </c>
      <c r="F6" s="71">
        <v>4636</v>
      </c>
      <c r="G6" s="71">
        <v>6656</v>
      </c>
      <c r="H6" s="71">
        <v>5884</v>
      </c>
      <c r="I6" s="71">
        <v>0</v>
      </c>
      <c r="J6" s="71">
        <v>7.9</v>
      </c>
      <c r="K6" s="71">
        <v>7.42</v>
      </c>
      <c r="L6" s="71">
        <v>38.299999999999997</v>
      </c>
      <c r="M6" s="71">
        <v>1380</v>
      </c>
      <c r="N6" s="71">
        <v>5983</v>
      </c>
      <c r="O6" s="71">
        <v>-70</v>
      </c>
      <c r="P6" s="71">
        <v>3324</v>
      </c>
      <c r="Q6" s="71">
        <v>7159</v>
      </c>
      <c r="R6" s="71">
        <v>7122</v>
      </c>
      <c r="S6" s="71">
        <v>5018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2609</v>
      </c>
      <c r="Z6" s="71">
        <v>3233</v>
      </c>
      <c r="AA6" s="71">
        <v>2161</v>
      </c>
      <c r="AB6" s="71">
        <v>3311</v>
      </c>
      <c r="AC6" s="71">
        <v>5892</v>
      </c>
      <c r="AD6" s="71">
        <v>5433</v>
      </c>
      <c r="AE6" s="71">
        <v>3992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131532.95552309998</v>
      </c>
      <c r="E7" s="73" ph="1">
        <f>E6*51.53*LOOKUP(E8,密度!$A$2:$A$50,密度!$B$2:$B$50)</f>
        <v>189627.26697599998</v>
      </c>
      <c r="F7" s="73" ph="1">
        <f>F6*33.183*LOOKUP(F8,密度!$A$2:$A$50,密度!$C$2:$C$50)</f>
        <v>170927.61070680001</v>
      </c>
      <c r="G7" s="73" ph="1">
        <f xml:space="preserve"> (G6+2)*51.53*LOOKUP(G8,密度!$A$2:$A$50,密度!$B$2:$B$50)</f>
        <v>267779.20056999999</v>
      </c>
      <c r="H7" s="73" ph="1">
        <f>(H6)*51.53*LOOKUP(H8,密度!$A$2:$A$50,密度!$B$2:$B$50)</f>
        <v>237741.09593200003</v>
      </c>
      <c r="I7" s="73" ph="1">
        <f>I6*290.8*1.0267</f>
        <v>0</v>
      </c>
      <c r="J7" s="73" ph="1">
        <f>J6*290.8*0.7892</f>
        <v>1813.0449440000002</v>
      </c>
      <c r="K7" s="73" ph="1">
        <f>K6*290.8*1.1126</f>
        <v>2400.6970735999998</v>
      </c>
      <c r="L7" s="73" ph="1">
        <f>L6*290.8*0.777</f>
        <v>8653.9462800000001</v>
      </c>
      <c r="M7" s="73" ph="1">
        <f>M6*33.183*LOOKUP(M8,密度!$A$2:$A$50,密度!$D$2:$D$50)</f>
        <v>47056.414104000003</v>
      </c>
      <c r="N7" s="73" ph="1">
        <f>N6*33.183*LOOKUP(N8,密度!$A$2:$A$50,密度!$E$2:$E$50)</f>
        <v>156206.4638652</v>
      </c>
      <c r="O7" s="73" ph="1">
        <f>O6*20.428*LOOKUP(O8,密度!$A$2:$A$50,密度!$C$2:$C$50)</f>
        <v>-1584.5386760000001</v>
      </c>
      <c r="P7" s="73" ph="1">
        <f>P6*51.53*LOOKUP(P8,密度!$A$2:$A$50,密度!$B$2:$B$50)</f>
        <v>133842.66160799999</v>
      </c>
      <c r="Q7" s="73" ph="1">
        <f>Q6*1.5*1.5*3.1416*LOOKUP(W8,密度!$A$2:$A$50,密度!$L$2:$L$50)</f>
        <v>47517.256848599995</v>
      </c>
      <c r="R7" s="73" ph="1">
        <f>R6*1.5*1.5*3.1416*LOOKUP(R8,密度!$A$2:$A$50,密度!$L$2:$L$50)</f>
        <v>46919.274494400001</v>
      </c>
      <c r="S7" s="73" ph="1">
        <f>S6*1.5*1.5*3.1416*LOOKUP(S8,密度!$A$2:$A$50,密度!$L$2:$L$50)</f>
        <v>33519.371885999994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17280.132823800002</v>
      </c>
      <c r="Z7" s="73" ph="1">
        <f>Z6*33.183*LOOKUP(Z8,密度!$A$2:$A$50,密度!$L$2:$L$50)</f>
        <v>101058.36193799999</v>
      </c>
      <c r="AA7" s="73" ph="1">
        <f>AA6*33.183*LOOKUP(AA8,密度!$A$2:$A$50,密度!$D$2:$D$50)</f>
        <v>73823.862658500017</v>
      </c>
      <c r="AB7" s="73" ph="1">
        <f>AB6*20.428*LOOKUP(AB8,密度!$A$2:$A$50,密度!$D$2:$D$50)</f>
        <v>70342.592320000011</v>
      </c>
      <c r="AC7" s="73" ph="1">
        <f>AC6*51.53*LOOKUP(AC8,密度!$A$2:$A$50,密度!$Q$2:$Q$50)</f>
        <v>287887.51543200004</v>
      </c>
      <c r="AD7" s="73" ph="1">
        <f>AD6*20.428*LOOKUP(AD8,密度!$A$2:$A$50,密度!$V$2:$V$50)</f>
        <v>106279.54626240001</v>
      </c>
      <c r="AE7" s="73" ph="1">
        <f>AE6*20.428</f>
        <v>81548.576000000001</v>
      </c>
    </row>
    <row r="8" spans="1:99" ph="1">
      <c r="B8" s="196" ph="1"/>
      <c r="C8" s="68" t="s" ph="1">
        <v>180</v>
      </c>
      <c r="D8" s="74">
        <v>26</v>
      </c>
      <c r="E8" s="74">
        <v>22</v>
      </c>
      <c r="F8" s="74">
        <v>22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22</v>
      </c>
      <c r="O8" s="74">
        <v>26</v>
      </c>
      <c r="P8" s="74">
        <v>23</v>
      </c>
      <c r="Q8" s="74">
        <v>24</v>
      </c>
      <c r="R8" s="74">
        <v>30</v>
      </c>
      <c r="S8" s="74">
        <v>17</v>
      </c>
      <c r="T8" s="74">
        <v>19</v>
      </c>
      <c r="U8" s="74">
        <v>24</v>
      </c>
      <c r="V8" s="74">
        <v>26</v>
      </c>
      <c r="W8" s="74">
        <v>23</v>
      </c>
      <c r="X8" s="74">
        <v>15</v>
      </c>
      <c r="Y8" s="74">
        <v>25</v>
      </c>
      <c r="Z8" s="74">
        <v>20</v>
      </c>
      <c r="AA8" s="74">
        <v>22</v>
      </c>
      <c r="AB8" s="74">
        <v>10</v>
      </c>
      <c r="AC8" s="74">
        <v>23</v>
      </c>
      <c r="AD8" s="74">
        <v>26</v>
      </c>
      <c r="AE8" s="74">
        <v>25</v>
      </c>
    </row>
    <row r="9" spans="1:99" ph="1">
      <c r="B9" s="196" ph="1">
        <v>0.66666666666666663</v>
      </c>
      <c r="C9" s="147" t="s" ph="1">
        <v>181</v>
      </c>
      <c r="D9" s="71">
        <v>4189</v>
      </c>
      <c r="E9" s="71">
        <v>4694</v>
      </c>
      <c r="F9" s="71">
        <v>4635</v>
      </c>
      <c r="G9" s="71">
        <v>8841</v>
      </c>
      <c r="H9" s="71">
        <v>5995</v>
      </c>
      <c r="I9" s="71">
        <v>0</v>
      </c>
      <c r="J9" s="71">
        <v>7.85</v>
      </c>
      <c r="K9" s="71">
        <v>7.49</v>
      </c>
      <c r="L9" s="71">
        <v>40.159999999999997</v>
      </c>
      <c r="M9" s="71">
        <v>1176</v>
      </c>
      <c r="N9" s="71">
        <v>5981</v>
      </c>
      <c r="O9" s="71">
        <v>0</v>
      </c>
      <c r="P9" s="71">
        <v>3385</v>
      </c>
      <c r="Q9" s="71">
        <v>6731</v>
      </c>
      <c r="R9" s="71">
        <v>7120</v>
      </c>
      <c r="S9" s="71">
        <v>5018</v>
      </c>
      <c r="T9" s="71">
        <v>2584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3916</v>
      </c>
      <c r="AA9" s="71">
        <v>2162</v>
      </c>
      <c r="AB9" s="71">
        <v>3154</v>
      </c>
      <c r="AC9" s="71">
        <v>5891</v>
      </c>
      <c r="AD9" s="71">
        <v>5429</v>
      </c>
      <c r="AE9" s="71">
        <v>3812</v>
      </c>
    </row>
    <row r="10" spans="1:99" s="72" customFormat="1" ht="21.75" ph="1">
      <c r="B10" s="196" ph="1"/>
      <c r="C10" s="147" t="s" ph="1">
        <v>179</v>
      </c>
      <c r="D10" s="73" ph="1">
        <f>D9*33.183*LOOKUP(D11,密度!$A$2:$A$50,密度!$Q$2:$Q$50)</f>
        <v>131803.20119340002</v>
      </c>
      <c r="E10" s="73" ph="1">
        <f>E9*51.53*LOOKUP(E11,密度!$A$2:$A$50,密度!$B$2:$B$50)</f>
        <v>189006.45414799999</v>
      </c>
      <c r="F10" s="73" ph="1">
        <f>F9*33.183*LOOKUP(F11,密度!$A$2:$A$50,密度!$C$2:$C$50)</f>
        <v>170783.078832</v>
      </c>
      <c r="G10" s="73" ph="1">
        <f xml:space="preserve"> (G9+2)*51.53*LOOKUP(G11,密度!$A$2:$A$50,密度!$B$2:$B$50)</f>
        <v>356888.41152800003</v>
      </c>
      <c r="H10" s="73" ph="1">
        <f>(H9)*51.53*LOOKUP(H11,密度!$A$2:$A$50,密度!$B$2:$B$50)</f>
        <v>241947.98452000003</v>
      </c>
      <c r="I10" s="73" ph="1">
        <f>I9*290.8*1.0267</f>
        <v>0</v>
      </c>
      <c r="J10" s="73" ph="1">
        <f>J9*290.8*0.7892</f>
        <v>1801.5699760000002</v>
      </c>
      <c r="K10" s="73" ph="1">
        <f>K9*290.8*1.1126</f>
        <v>2423.3451592000001</v>
      </c>
      <c r="L10" s="73" ph="1">
        <f>L9*290.8*0.777</f>
        <v>9074.2162559999997</v>
      </c>
      <c r="M10" s="73" ph="1">
        <f>M9*33.183*LOOKUP(M11,密度!$A$2:$A$50,密度!$D$2:$D$50)</f>
        <v>40065.127653599993</v>
      </c>
      <c r="N10" s="73" ph="1">
        <f>N9*33.183*LOOKUP(N11,密度!$A$2:$A$50,密度!$E$2:$E$50)</f>
        <v>155439.76401359998</v>
      </c>
      <c r="O10" s="73" ph="1">
        <f>O9*20.428*LOOKUP(O11,密度!$A$2:$A$50,密度!$C$2:$C$50)</f>
        <v>0</v>
      </c>
      <c r="P10" s="73" ph="1">
        <f>P9*51.53*LOOKUP(P11,密度!$A$2:$A$50,密度!$B$2:$B$50)</f>
        <v>135984.88738</v>
      </c>
      <c r="Q10" s="73" ph="1">
        <f>Q9*1.5*1.5*3.1416*LOOKUP(W11,密度!$A$2:$A$50,密度!$L$2:$L$50)</f>
        <v>44533.706817600003</v>
      </c>
      <c r="R10" s="73" ph="1">
        <f>R9*1.5*1.5*3.1416*LOOKUP(R11,密度!$A$2:$A$50,密度!$L$2:$L$50)</f>
        <v>46654.456464000003</v>
      </c>
      <c r="S10" s="73" ph="1">
        <f>S9*1.5*1.5*3.1416*LOOKUP(S11,密度!$A$2:$A$50,密度!$L$2:$L$50)</f>
        <v>33412.961181599996</v>
      </c>
      <c r="T10" s="73" ph="1">
        <f>T9*1.5*1.5*3.1416*LOOKUP(T11,密度!$A$2:$A$50,密度!$L$2:$L$50)</f>
        <v>17205.877180799998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122018.00569199999</v>
      </c>
      <c r="AA10" s="73" ph="1">
        <f>AA9*33.183*LOOKUP(AA11,密度!$A$2:$A$50,密度!$D$2:$D$50)</f>
        <v>73133.433932400003</v>
      </c>
      <c r="AB10" s="73" ph="1">
        <f>AB9*20.428*LOOKUP(AB11,密度!$A$2:$A$50,密度!$D$2:$D$50)</f>
        <v>66672.072937599994</v>
      </c>
      <c r="AC10" s="73" ph="1">
        <f>AC9*51.53*LOOKUP(AC11,密度!$A$2:$A$50,密度!$Q$2:$Q$50)</f>
        <v>286542.4396939</v>
      </c>
      <c r="AD10" s="73" ph="1">
        <f>AD9*20.428*LOOKUP(AD11,密度!$A$2:$A$50,密度!$V$2:$V$50)</f>
        <v>106201.29885120002</v>
      </c>
      <c r="AE10" s="73" ph="1">
        <f>AE9*20.428</f>
        <v>77871.536000000007</v>
      </c>
    </row>
    <row r="11" spans="1:99" ph="1">
      <c r="A11" s="64" t="s" ph="1">
        <v>163</v>
      </c>
      <c r="B11" s="196" ph="1"/>
      <c r="C11" s="147" t="s" ph="1">
        <v>180</v>
      </c>
      <c r="D11" s="74">
        <v>23</v>
      </c>
      <c r="E11" s="74">
        <v>23</v>
      </c>
      <c r="F11" s="74">
        <v>23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28</v>
      </c>
      <c r="P11" s="74">
        <v>25</v>
      </c>
      <c r="Q11" s="74">
        <v>25</v>
      </c>
      <c r="R11" s="74">
        <v>35</v>
      </c>
      <c r="S11" s="74">
        <v>20</v>
      </c>
      <c r="T11" s="74">
        <v>20</v>
      </c>
      <c r="U11" s="74">
        <v>24</v>
      </c>
      <c r="V11" s="74">
        <v>28</v>
      </c>
      <c r="W11" s="74">
        <v>26</v>
      </c>
      <c r="X11" s="74">
        <v>25</v>
      </c>
      <c r="Y11" s="74">
        <v>27</v>
      </c>
      <c r="Z11" s="74">
        <v>23</v>
      </c>
      <c r="AA11" s="74">
        <v>33</v>
      </c>
      <c r="AB11" s="74">
        <v>16</v>
      </c>
      <c r="AC11" s="74">
        <v>29</v>
      </c>
      <c r="AD11" s="74">
        <v>27</v>
      </c>
      <c r="AE11" s="74">
        <v>27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7" t="s" ph="1">
        <v>178</v>
      </c>
      <c r="D15" s="78">
        <v>4773</v>
      </c>
      <c r="E15" s="78">
        <v>5277</v>
      </c>
      <c r="F15" s="78">
        <v>3779</v>
      </c>
      <c r="G15" s="78">
        <v>1045</v>
      </c>
      <c r="H15" s="78">
        <v>4535</v>
      </c>
      <c r="I15" s="78">
        <v>118</v>
      </c>
      <c r="J15" s="78">
        <v>417</v>
      </c>
      <c r="K15" s="78">
        <v>712</v>
      </c>
      <c r="L15" s="78">
        <v>2541</v>
      </c>
      <c r="M15" s="78">
        <v>6532</v>
      </c>
      <c r="N15" s="78">
        <v>-35</v>
      </c>
      <c r="O15" s="78">
        <v>60</v>
      </c>
      <c r="P15" s="78">
        <v>6967</v>
      </c>
      <c r="Q15" s="78">
        <v>38</v>
      </c>
      <c r="R15" s="78">
        <v>3516</v>
      </c>
      <c r="S15" s="78">
        <v>6879</v>
      </c>
      <c r="T15" s="78">
        <v>6586</v>
      </c>
      <c r="U15" s="78">
        <v>2512</v>
      </c>
      <c r="V15" s="78">
        <v>5452</v>
      </c>
      <c r="W15" s="71">
        <v>3763</v>
      </c>
      <c r="X15" s="78">
        <v>151</v>
      </c>
      <c r="Y15" s="106">
        <v>-2369</v>
      </c>
      <c r="Z15" s="78">
        <v>0</v>
      </c>
      <c r="AA15" s="78">
        <v>4240</v>
      </c>
      <c r="AB15" s="78" ph="1">
        <v>6935</v>
      </c>
      <c r="AC15" s="78" ph="1">
        <v>991</v>
      </c>
      <c r="AD15" s="78">
        <v>72.92</v>
      </c>
      <c r="AE15" s="78">
        <v>5.1100000000000003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7" t="s" ph="1">
        <v>179</v>
      </c>
      <c r="D16" s="73" ph="1">
        <f>D15*7.0686*LOOKUP(D17,密度!$A$2:$A$50,密度!$L$2:$L$50)</f>
        <v>31579.168420800001</v>
      </c>
      <c r="E16" s="73" ph="1">
        <f>E15*7.0686*LOOKUP(E17,密度!$A$2:$A$50,密度!$L$2:$L$50)</f>
        <v>34913.738059200004</v>
      </c>
      <c r="F16" s="73" ph="1">
        <f>F15*9.0746*LOOKUP(F17,密度!$A$2:$A$50,密度!$L$2:$L$50)</f>
        <v>32098.166942399999</v>
      </c>
      <c r="G16" s="73" ph="1">
        <f>G15*9.0746*LOOKUP(G17,密度!$A$2:$A$50,密度!$B$2:$B$50)</f>
        <v>7418.5172610999998</v>
      </c>
      <c r="H16" s="73" ph="1">
        <f>H15*9.0746*LOOKUP(H17,密度!$A$2:$A$50,密度!$L$2:$L$50)</f>
        <v>38684.11234</v>
      </c>
      <c r="I16" s="73" ph="1">
        <f>I15*9.0746*LOOKUP(I17,密度!$A$2:$A$50,密度!$U$2:$U$50)</f>
        <v>1092.218856</v>
      </c>
      <c r="J16" s="73" ph="1">
        <f>J15*9.0746*LOOKUP(J17,密度!$A$2:$A$50,密度!$L$2:$L$50)</f>
        <v>3553.2775997999997</v>
      </c>
      <c r="K16" s="73" ph="1">
        <f>K15*9.0746*LOOKUP(K17,密度!$A$2:$A$50,密度!$C$2:$C$50)</f>
        <v>7178.9450987199998</v>
      </c>
      <c r="L16" s="73" ph="1">
        <f>L15*9.0746*LOOKUP(L17,密度!$A$2:$A$50,密度!$E$2:$E$50)</f>
        <v>18034.098681060001</v>
      </c>
      <c r="M16" s="73" ph="1">
        <f>M15*9.0746*LOOKUP(M17,密度!$A$2:$A$50,密度!$M$2:$M$50)</f>
        <v>51688.050438400001</v>
      </c>
      <c r="N16" s="73" ph="1">
        <f>N15*9.0746*LOOKUP(N17,密度!$A$2:$A$50,密度!$M$2:$M$50)</f>
        <v>-279.59296330000001</v>
      </c>
      <c r="O16" s="73" ph="1">
        <f>O15*9.0746*LOOKUP(O17,密度!$A$2:$A$50,密度!$G$2:$G$50)</f>
        <v>524.7659688</v>
      </c>
      <c r="P16" s="73" ph="1">
        <f ca="1">P15*9.0746*LOOKUP(P17,密度!$A$2:$A$51,密度!$Q$2:$Q$50)</f>
        <v>59810.607019346004</v>
      </c>
      <c r="Q16" s="73" ph="1">
        <f>Q15*9.0746*LOOKUP(Q17,密度!$A$2:$A$50,密度!$Q$2:$Q$50)</f>
        <v>327.27926033200004</v>
      </c>
      <c r="R16" s="73" ph="1">
        <f>MAX(R15*9.0746*LOOKUP(R17,密度!$A$2:$A$50,密度!$B$2:$B$50),0)</f>
        <v>24902.862154800001</v>
      </c>
      <c r="S16" s="73" ph="1">
        <f>S15*9.0746*LOOKUP(S17,密度!$A$2:$A$50,密度!$Q$2:$Q$50)</f>
        <v>59246.158732206</v>
      </c>
      <c r="T16" s="73" ph="1">
        <f>T15*9.0746*LOOKUP(T17,密度!$A$2:$A$50,密度!$O$2:$O$50)</f>
        <v>55342.682245600001</v>
      </c>
      <c r="U16" s="73" ph="1">
        <f>U15*9.0746*LOOKUP(U17,密度!$A$2:$A$50,密度!$H$2:$H$50)</f>
        <v>20850.947989439999</v>
      </c>
      <c r="V16" s="73" ph="1">
        <f>MAX(5600*LOOKUP(V17,密度!$A$2:$A$50,密度!$Q$2:$Q$50)+V15*9.0476*LOOKUP(V17,密度!$A$2:$A$50,密度!$Q$2:$Q$50),0)</f>
        <v>51924.078668864</v>
      </c>
      <c r="W16" s="73" ph="1">
        <f>MAX(5600*LOOKUP(W17,密度!$A$2:$A$50,密度!$Q$2:$Q$50)+W15*9.0476*LOOKUP(W17,密度!$A$2:$A$50,密度!$Q$2:$Q$50),0)</f>
        <v>37563.508179436001</v>
      </c>
      <c r="X16" s="73" ph="1">
        <f>MAX(5600*LOOKUP(X17,密度!$A$2:$A$50,密度!$I$2:$I$50)+X15*9.0476*LOOKUP(X17,密度!$A$2:$A$50,密度!$I$2:$I$50),0)</f>
        <v>7270.6099981200005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29996.126598400002</v>
      </c>
      <c r="AB16" s="73" ph="1">
        <f>AB15*9.0746*LOOKUP(AB17,密度!$A$2:$A$50,密度!$L$2:$L$50)</f>
        <v>59156.409939999998</v>
      </c>
      <c r="AC16" s="73" ph="1">
        <f>AC15*9.0746*LOOKUP(AC17,密度!$A$2:$A$50,密度!$L$2:$L$50)</f>
        <v>8471.3387412000011</v>
      </c>
      <c r="AD16" s="73" ph="1">
        <f>AD15*268.68*LOOKUP(AD17,密度!$A$2:$A$50,密度!B2:B50)+IF(AD15&lt;=0,0,1566*LOOKUP(AD17,密度!$A$2:$A$50,密度!B2:B50))</f>
        <v>16494.890309759998</v>
      </c>
      <c r="AE16" s="73" ph="1">
        <f>AE15*268.68*LOOKUP(AE17,密度!$A$2:$A$50,密度!B2:B50)+IF(AE15&lt;=0,0,1566*LOOKUP(AE17,密度!$A$2:$A$50,密度!B2:B50))</f>
        <v>2291.2091620800002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26</v>
      </c>
      <c r="E17" s="74">
        <v>26</v>
      </c>
      <c r="F17" s="74">
        <v>26</v>
      </c>
      <c r="G17" s="74">
        <v>22</v>
      </c>
      <c r="H17" s="74">
        <v>22</v>
      </c>
      <c r="I17" s="74">
        <v>30</v>
      </c>
      <c r="J17" s="74">
        <v>23</v>
      </c>
      <c r="K17" s="74">
        <v>22</v>
      </c>
      <c r="L17" s="74">
        <v>26</v>
      </c>
      <c r="M17" s="74">
        <v>28</v>
      </c>
      <c r="N17" s="74">
        <v>20</v>
      </c>
      <c r="O17" s="74">
        <v>22</v>
      </c>
      <c r="P17" s="74">
        <v>26</v>
      </c>
      <c r="Q17" s="74">
        <v>22</v>
      </c>
      <c r="R17" s="74">
        <v>24</v>
      </c>
      <c r="S17" s="74">
        <v>22</v>
      </c>
      <c r="T17" s="74">
        <v>25</v>
      </c>
      <c r="U17" s="74">
        <v>25</v>
      </c>
      <c r="V17" s="74">
        <v>27</v>
      </c>
      <c r="W17" s="74">
        <v>24</v>
      </c>
      <c r="X17" s="74">
        <v>24</v>
      </c>
      <c r="Y17" s="108">
        <v>28</v>
      </c>
      <c r="Z17" s="74">
        <v>22</v>
      </c>
      <c r="AA17" s="74">
        <v>25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4772</v>
      </c>
      <c r="E18" s="71">
        <v>5277</v>
      </c>
      <c r="F18" s="71">
        <v>1487</v>
      </c>
      <c r="G18" s="71">
        <v>2178</v>
      </c>
      <c r="H18" s="71">
        <v>4533</v>
      </c>
      <c r="I18" s="71">
        <v>118</v>
      </c>
      <c r="J18" s="71">
        <v>424</v>
      </c>
      <c r="K18" s="71">
        <v>712</v>
      </c>
      <c r="L18" s="71">
        <v>2539</v>
      </c>
      <c r="M18" s="71">
        <v>3593</v>
      </c>
      <c r="N18" s="71">
        <v>1210</v>
      </c>
      <c r="O18" s="71">
        <v>61</v>
      </c>
      <c r="P18" s="71">
        <v>6965</v>
      </c>
      <c r="Q18" s="71">
        <v>32</v>
      </c>
      <c r="R18" s="71">
        <v>3516</v>
      </c>
      <c r="S18" s="71">
        <v>6876</v>
      </c>
      <c r="T18" s="71">
        <v>5894</v>
      </c>
      <c r="U18" s="71">
        <v>2511</v>
      </c>
      <c r="V18" s="71">
        <v>5452</v>
      </c>
      <c r="W18" s="71">
        <v>3763</v>
      </c>
      <c r="X18" s="71">
        <v>150</v>
      </c>
      <c r="Y18" s="109">
        <v>-2369</v>
      </c>
      <c r="Z18" s="71">
        <v>0</v>
      </c>
      <c r="AA18" s="71">
        <v>4239</v>
      </c>
      <c r="AB18" s="71">
        <v>6932</v>
      </c>
      <c r="AC18" s="71">
        <v>991</v>
      </c>
      <c r="AD18" s="71">
        <v>84.48</v>
      </c>
      <c r="AE18" s="71">
        <v>33.049999999999997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7" t="s" ph="1">
        <v>179</v>
      </c>
      <c r="D19" s="73" ph="1">
        <f>D18*7.0686*LOOKUP(D20,密度!$A$2:$A$50,密度!$L$2:$L$50)</f>
        <v>31640.014929599998</v>
      </c>
      <c r="E19" s="73" ph="1">
        <f>E18*7.0686*LOOKUP(E20,密度!$A$2:$A$50,密度!$L$2:$L$50)</f>
        <v>34988.340063600001</v>
      </c>
      <c r="F19" s="73" ph="1">
        <f>F18*9.0746*LOOKUP(F20,密度!$A$2:$A$50,密度!$L$2:$L$50)</f>
        <v>12589.836876600002</v>
      </c>
      <c r="G19" s="73" ph="1">
        <f>G18*9.0746*LOOKUP(G20,密度!$A$2:$A$50,密度!$B$2:$B$50)</f>
        <v>15408.387672479999</v>
      </c>
      <c r="H19" s="73" ph="1">
        <f>H18*9.0746*LOOKUP(H20,密度!$A$2:$A$50,密度!$L$2:$L$50)</f>
        <v>38708.187253800003</v>
      </c>
      <c r="I19" s="73" ph="1">
        <f>I18*9.0746*LOOKUP(I20,密度!$A$2:$A$50,密度!$U$2:$U$50)</f>
        <v>1096.5020672000001</v>
      </c>
      <c r="J19" s="73" ph="1">
        <f>J18*9.0746*LOOKUP(J20,密度!$A$2:$A$50,密度!$L$2:$L$50)</f>
        <v>3601.3820544</v>
      </c>
      <c r="K19" s="73" ph="1">
        <f>K18*9.0746*LOOKUP(K20,密度!$A$2:$A$50,密度!$C$2:$C$50)</f>
        <v>7164.7306452800003</v>
      </c>
      <c r="L19" s="73" ph="1">
        <f>L18*9.0746*LOOKUP(L20,密度!$A$2:$A$50,密度!$E$2:$E$50)</f>
        <v>17994.5597414</v>
      </c>
      <c r="M19" s="73" ph="1">
        <f>M18*9.0746*LOOKUP(M20,密度!$A$2:$A$50,密度!$M$2:$M$50)</f>
        <v>28431.592961600003</v>
      </c>
      <c r="N19" s="73" ph="1">
        <f>N18*9.0746*LOOKUP(N20,密度!$A$2:$A$50,密度!$M$2:$M$50)</f>
        <v>9629.6932820000002</v>
      </c>
      <c r="O19" s="73" ph="1">
        <f>O18*9.0746*LOOKUP(O20,密度!$A$2:$A$50,密度!$G$2:$G$50)</f>
        <v>531.51928612000006</v>
      </c>
      <c r="P19" s="73" ph="1">
        <f ca="1">P18*9.0746*LOOKUP(P20,密度!$A$2:$A$51,密度!$Q$2:$Q$50)</f>
        <v>59748.562073480003</v>
      </c>
      <c r="Q19" s="73" ph="1">
        <f>Q18*9.0746*LOOKUP(Q20,密度!$A$2:$A$50,密度!$Q$2:$Q$50)</f>
        <v>275.13316038400001</v>
      </c>
      <c r="R19" s="73" ph="1">
        <f>MAX(R18*9.0746*LOOKUP(R20,密度!$A$2:$A$50,密度!$B$2:$B$50),0)</f>
        <v>24819.90579144</v>
      </c>
      <c r="S19" s="73" ph="1">
        <f>S18*9.0746*LOOKUP(S20,密度!$A$2:$A$50,密度!$Q$2:$Q$50)</f>
        <v>58985.084395872</v>
      </c>
      <c r="T19" s="73" ph="1">
        <f>T18*9.0746*LOOKUP(T20,密度!$A$2:$A$50,密度!$O$2:$O$50)</f>
        <v>49527.751162400004</v>
      </c>
      <c r="U19" s="73" ph="1">
        <f>U18*9.0746*LOOKUP(U20,密度!$A$2:$A$50,密度!$H$2:$H$50)</f>
        <v>20842.647452819998</v>
      </c>
      <c r="V19" s="73" ph="1">
        <f>MAX(5600*LOOKUP(V20,密度!$A$2:$A$50,密度!$Q$2:$Q$50)+V18*9.0476*LOOKUP(V20,密度!$A$2:$A$50,密度!$Q$2:$Q$50),0)</f>
        <v>51885.629408223998</v>
      </c>
      <c r="W19" s="73" ph="1">
        <f>MAX(5600*LOOKUP(W20,密度!$A$2:$A$50,密度!$Q$2:$Q$50)+W18*9.0476*LOOKUP(W20,密度!$A$2:$A$50,密度!$Q$2:$Q$50),0)</f>
        <v>37450.516740856001</v>
      </c>
      <c r="X19" s="73" ph="1">
        <f>MAX(5600*LOOKUP(X20,密度!$A$2:$A$50,密度!$I$2:$I$50)+X18*9.0476*LOOKUP(X20,密度!$A$2:$A$50,密度!$I$2:$I$50),0)</f>
        <v>7211.7713239999994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30023.672546700003</v>
      </c>
      <c r="AB19" s="73" ph="1">
        <f>AB18*9.0746*LOOKUP(AB20,密度!$A$2:$A$50,密度!$L$2:$L$50)</f>
        <v>58816.293932000008</v>
      </c>
      <c r="AC19" s="73" ph="1">
        <f>AC18*9.0746*LOOKUP(AC20,密度!$A$2:$A$50,密度!$L$2:$L$50)</f>
        <v>8444.3599554000011</v>
      </c>
      <c r="AD19" s="73" ph="1">
        <f>AD18*268.68*LOOKUP(AD20,密度!$A$2:$A$50,密度!B5:B53)+IF(AD18&lt;=0,0,1566*LOOKUP(AD20,密度!$A$2:$A$50,密度!B5:B53))</f>
        <v>18853.1951328</v>
      </c>
      <c r="AE19" s="73" ph="1">
        <f>AE18*268.68*LOOKUP(AE20,密度!$A$2:$A$50,密度!B5:B53)+IF(AE18&lt;=0,0,1566*LOOKUP(AE20,密度!$A$2:$A$50,密度!B5:B53))</f>
        <v>8116.4440979999999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24</v>
      </c>
      <c r="E20" s="81">
        <v>24</v>
      </c>
      <c r="F20" s="81">
        <v>29</v>
      </c>
      <c r="G20" s="81">
        <v>25</v>
      </c>
      <c r="H20" s="81">
        <v>21</v>
      </c>
      <c r="I20" s="81">
        <v>26</v>
      </c>
      <c r="J20" s="81">
        <v>26</v>
      </c>
      <c r="K20" s="81">
        <v>25</v>
      </c>
      <c r="L20" s="81">
        <v>27</v>
      </c>
      <c r="M20" s="81">
        <v>28</v>
      </c>
      <c r="N20" s="81">
        <v>23</v>
      </c>
      <c r="O20" s="81">
        <v>25</v>
      </c>
      <c r="P20" s="81">
        <v>27</v>
      </c>
      <c r="Q20" s="81">
        <v>24</v>
      </c>
      <c r="R20" s="81">
        <v>27</v>
      </c>
      <c r="S20" s="81">
        <v>27</v>
      </c>
      <c r="T20" s="81">
        <v>25</v>
      </c>
      <c r="U20" s="81">
        <v>25</v>
      </c>
      <c r="V20" s="81">
        <v>28</v>
      </c>
      <c r="W20" s="81">
        <v>28</v>
      </c>
      <c r="X20" s="81">
        <v>30</v>
      </c>
      <c r="Y20" s="110">
        <v>30</v>
      </c>
      <c r="Z20" s="81">
        <v>25</v>
      </c>
      <c r="AA20" s="81">
        <v>24</v>
      </c>
      <c r="AB20" s="81">
        <v>27</v>
      </c>
      <c r="AC20" s="81">
        <v>23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7" t="s" ph="1">
        <v>178</v>
      </c>
      <c r="D24" s="71">
        <v>3.11</v>
      </c>
      <c r="E24" s="71">
        <v>95.76</v>
      </c>
      <c r="F24" s="71">
        <v>0</v>
      </c>
      <c r="G24" s="71">
        <v>3058</v>
      </c>
      <c r="H24" s="71">
        <v>2142</v>
      </c>
      <c r="I24" s="71">
        <v>3804</v>
      </c>
      <c r="J24" s="71">
        <v>494</v>
      </c>
      <c r="K24" s="71">
        <v>186</v>
      </c>
      <c r="L24" s="71">
        <v>0</v>
      </c>
      <c r="M24" s="71">
        <v>4031</v>
      </c>
      <c r="N24" s="71">
        <v>1635</v>
      </c>
      <c r="O24" s="71">
        <v>0</v>
      </c>
      <c r="P24" s="71">
        <v>1795</v>
      </c>
      <c r="Q24" s="90">
        <v>2211</v>
      </c>
      <c r="R24" s="71">
        <v>3470</v>
      </c>
      <c r="S24" s="71">
        <v>1589</v>
      </c>
      <c r="T24" s="71">
        <v>1762</v>
      </c>
      <c r="U24" s="71">
        <v>6317</v>
      </c>
      <c r="V24" s="71">
        <v>9665</v>
      </c>
      <c r="W24" s="71">
        <v>8355</v>
      </c>
      <c r="X24" s="71">
        <v>3454</v>
      </c>
      <c r="Y24" s="71">
        <v>6327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30267.200171520006</v>
      </c>
      <c r="F25" s="91" ph="1">
        <f>F24*11.702*LOOKUP(F26,密度!$A$2:$A$50,密度!$Q$2:$Q$50)</f>
        <v>0</v>
      </c>
      <c r="G25" s="91" ph="1">
        <f>G24*18.322*LOOKUP(G26,密度!$A$2:$A$50,密度!$B$2:$B$50)</f>
        <v>43679.955809599996</v>
      </c>
      <c r="H25" s="91" ph="1">
        <f>H24*18.322*LOOKUP(H26,密度!$A$2:$A$50,密度!$B$2:$B$50)</f>
        <v>30595.966430399993</v>
      </c>
      <c r="I25" s="91" ph="1">
        <f>I24*18.322*LOOKUP(I26,密度!$A$2:$A$50,密度!$Q$2:$Q$50)</f>
        <v>66035.710473359999</v>
      </c>
      <c r="J25" s="91" ph="1">
        <f>J24*18.322*LOOKUP(J26,密度!$A$2:$A$50,密度!$Q$2:$Q$50)</f>
        <v>8575.6153979600003</v>
      </c>
      <c r="K25" s="91" ph="1">
        <f>K24*18.322*LOOKUP(K26,密度!$A$2:$A$50,密度!$Q$2:$Q$50)</f>
        <v>3228.8754332399999</v>
      </c>
      <c r="L25" s="91" ph="1">
        <f>L24*18.322*LOOKUP(L26,密度!$A$2:$A$50,密度!$Q$2:$Q$50)</f>
        <v>0</v>
      </c>
      <c r="M25" s="91" ph="1">
        <f>M24*18.322*LOOKUP(M26,密度!$A$2:$A$50,密度!$Q$2:$Q$50)</f>
        <v>69976.327265540007</v>
      </c>
      <c r="N25" s="91" ph="1">
        <f>N24*18.322*LOOKUP(N26,密度!$A$2:$A$50,密度!$Q$2:$Q$50)</f>
        <v>28382.856630899998</v>
      </c>
      <c r="O25" s="91" ph="1">
        <f>O24*18.322*LOOKUP(O26,密度!$A$2:$A$50,密度!$C$2:$C$50)</f>
        <v>0</v>
      </c>
      <c r="P25" s="91" ph="1">
        <f>P24*11.702*LOOKUP(P26,密度!$A$2:$A$50,密度!$B$2:$B$50)</f>
        <v>16394.472744999999</v>
      </c>
      <c r="Q25" s="92" ph="1">
        <f>Q24*18.322*LOOKUP(Q26,密度!$A$2:$A$50,密度!$B$2:$B$50)</f>
        <v>31581.550783199993</v>
      </c>
      <c r="R25" s="91" ph="1">
        <f>R24*35.891*LOOKUP(R26,密度!$A$2:$A$50,密度!$C$2:$C$50)</f>
        <v>138191.54799199998</v>
      </c>
      <c r="S25" s="91" ph="1">
        <f>S24*35.891*LOOKUP(S26,密度!$A$2:$A$50,密度!$B$2:$B$50)</f>
        <v>44512.538619499996</v>
      </c>
      <c r="T25" s="91" ph="1">
        <f>T24*35.891*LOOKUP(T26,密度!$A$2:$A$50,密度!$Q$2:$Q$50)</f>
        <v>59917.947846739997</v>
      </c>
      <c r="U25" s="91" ph="1">
        <f>U24*35.891</f>
        <v>226723.44699999999</v>
      </c>
      <c r="V25" s="91" ph="1">
        <f>V24*47.051*LOOKUP(V26,密度!$A$2:$A$50,密度!$B$2:$B$50)</f>
        <v>354930.74765750003</v>
      </c>
      <c r="W25" s="91" ph="1">
        <f>W24*47.051*LOOKUP(W26,密度!$A$2:$A$50,密度!$B$2:$B$50)</f>
        <v>306469.41745800001</v>
      </c>
      <c r="X25" s="91" ph="1">
        <f>X24*47.051*LOOKUP(X26,密度!$A$2:$A$50,密度!$I$2:$I$50)</f>
        <v>168104.64089760001</v>
      </c>
      <c r="Y25" s="91" ph="1">
        <f>Y24*47.051*LOOKUP(Y26,密度!$A$2:$A$50,密度!$L$2:$L$50)</f>
        <v>277746.33464100002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24</v>
      </c>
      <c r="G26" s="74">
        <v>25</v>
      </c>
      <c r="H26" s="74">
        <v>25</v>
      </c>
      <c r="I26" s="74">
        <v>24</v>
      </c>
      <c r="J26" s="74">
        <v>24</v>
      </c>
      <c r="K26" s="74">
        <v>24</v>
      </c>
      <c r="L26" s="74">
        <v>25</v>
      </c>
      <c r="M26" s="74">
        <v>24</v>
      </c>
      <c r="N26" s="74">
        <v>24</v>
      </c>
      <c r="O26" s="74">
        <v>25</v>
      </c>
      <c r="P26" s="74">
        <v>24</v>
      </c>
      <c r="Q26" s="93">
        <v>25</v>
      </c>
      <c r="R26" s="74">
        <v>24</v>
      </c>
      <c r="S26" s="74">
        <v>24</v>
      </c>
      <c r="T26" s="74">
        <v>24</v>
      </c>
      <c r="U26" s="74">
        <v>24</v>
      </c>
      <c r="V26" s="74">
        <v>24</v>
      </c>
      <c r="W26" s="74">
        <v>25</v>
      </c>
      <c r="X26" s="74">
        <v>32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7" t="s" ph="1">
        <v>181</v>
      </c>
      <c r="D27" s="71">
        <v>3.15</v>
      </c>
      <c r="E27" s="71">
        <v>95.66</v>
      </c>
      <c r="F27" s="71">
        <v>0</v>
      </c>
      <c r="G27" s="71">
        <v>2291</v>
      </c>
      <c r="H27" s="71">
        <v>1711</v>
      </c>
      <c r="I27" s="71">
        <v>3801</v>
      </c>
      <c r="J27" s="71">
        <v>1128</v>
      </c>
      <c r="K27" s="71">
        <v>0</v>
      </c>
      <c r="L27" s="71">
        <v>0</v>
      </c>
      <c r="M27" s="71">
        <v>5246</v>
      </c>
      <c r="N27" s="71">
        <v>1632</v>
      </c>
      <c r="O27" s="71">
        <v>2</v>
      </c>
      <c r="P27" s="71">
        <v>1793</v>
      </c>
      <c r="Q27" s="90">
        <v>1662</v>
      </c>
      <c r="R27" s="71">
        <v>2915</v>
      </c>
      <c r="S27" s="71">
        <v>1586</v>
      </c>
      <c r="T27" s="71">
        <v>1761</v>
      </c>
      <c r="U27" s="71">
        <v>6627</v>
      </c>
      <c r="V27" s="71">
        <v>9662</v>
      </c>
      <c r="W27" s="71">
        <v>8831</v>
      </c>
      <c r="X27" s="71">
        <v>3078</v>
      </c>
      <c r="Y27" s="71">
        <v>6323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7" t="s" ph="1">
        <v>179</v>
      </c>
      <c r="D28" s="91" ph="1">
        <f>D27*268.68*LOOKUP(D29,密度!$A$2:$A$50,密度!$Q$2:$Q$50)+IF(D27&lt;=0,0,1566*LOOKUP(D29,密度!$A$2:$A$50,密度!$Q$2:$Q$50))</f>
        <v>2283.8606650800002</v>
      </c>
      <c r="E28" s="91" ph="1">
        <f>E27*268.68*LOOKUP(E29,密度!$A$2:$A$50,密度!$C$2:$C$50)+IF(E27&lt;=0,0,1566*LOOKUP(E29,密度!$A$2:$A$50,密度!$C$2:$C$50))</f>
        <v>30237.406246320003</v>
      </c>
      <c r="F28" s="91" ph="1">
        <f>F27*11.702*LOOKUP(F29,密度!$A$2:$A$50,密度!$Q$2:$Q$50)</f>
        <v>0</v>
      </c>
      <c r="G28" s="91" ph="1">
        <f>G27*18.322*LOOKUP(G29,密度!$A$2:$A$50,密度!$B$2:$B$50)</f>
        <v>32652.898585799998</v>
      </c>
      <c r="H28" s="91" ph="1">
        <f>H27*18.322*LOOKUP(H29,密度!$A$2:$A$50,密度!$B$2:$B$50)</f>
        <v>24358.127934</v>
      </c>
      <c r="I28" s="91" ph="1">
        <f>I27*18.322*LOOKUP(I29,密度!$A$2:$A$50,密度!$Q$2:$Q$50)</f>
        <v>65833.90170504</v>
      </c>
      <c r="J28" s="91" ph="1">
        <f>J27*18.322*LOOKUP(J29,密度!$A$2:$A$50,密度!$Q$2:$Q$50)</f>
        <v>19537.132629120002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90794.240799439998</v>
      </c>
      <c r="N28" s="91" ph="1">
        <f>N27*18.322*LOOKUP(N29,密度!$A$2:$A$50,密度!$Q$2:$Q$50)</f>
        <v>28224.92667072</v>
      </c>
      <c r="O28" s="91" ph="1">
        <f>O27*18.322*LOOKUP(O29,密度!$A$2:$A$50,密度!$C$2:$C$50)</f>
        <v>40.495284399999996</v>
      </c>
      <c r="P28" s="91" ph="1">
        <f>P27*11.702*LOOKUP(P29,密度!$A$2:$A$50,密度!$B$2:$B$50)</f>
        <v>16302.770022000002</v>
      </c>
      <c r="Q28" s="92" ph="1">
        <f>Q27*18.322*LOOKUP(Q29,密度!$A$2:$A$50,密度!$B$2:$B$50)</f>
        <v>23660.554427999999</v>
      </c>
      <c r="R28" s="91" ph="1">
        <f>R27*35.891*LOOKUP(R29,密度!$A$2:$A$50,密度!$C$2:$C$50)</f>
        <v>115858.69626099999</v>
      </c>
      <c r="S28" s="91" ph="1">
        <f>S27*35.891*LOOKUP(S29,密度!$A$2:$A$50,密度!$B$2:$B$50)</f>
        <v>44229.268901999996</v>
      </c>
      <c r="T28" s="91" ph="1">
        <f>T27*35.891*LOOKUP(T29,密度!$A$2:$A$50,密度!$Q$2:$Q$50)</f>
        <v>59703.81065562</v>
      </c>
      <c r="U28" s="91" ph="1">
        <f>U27*35.891</f>
        <v>237849.65699999998</v>
      </c>
      <c r="V28" s="91" ph="1">
        <f>V27*47.051*LOOKUP(V29,密度!$A$2:$A$50,密度!$B$2:$B$50)</f>
        <v>352456.62257860001</v>
      </c>
      <c r="W28" s="91" ph="1">
        <f>W27*47.051*LOOKUP(W29,密度!$A$2:$A$50,密度!$B$2:$B$50)</f>
        <v>323223.19167989999</v>
      </c>
      <c r="X28" s="91" ph="1">
        <f>X27*47.051*LOOKUP(X29,密度!$A$2:$A$50,密度!$I$2:$I$50)</f>
        <v>149644.13493762002</v>
      </c>
      <c r="Y28" s="91" ph="1">
        <f>Y27*47.051*LOOKUP(Y29,密度!$A$2:$A$50,密度!$L$2:$L$50)</f>
        <v>277570.74030900002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7" t="s" ph="1">
        <v>180</v>
      </c>
      <c r="D29" s="74">
        <v>25</v>
      </c>
      <c r="E29" s="74">
        <v>25</v>
      </c>
      <c r="F29" s="74">
        <v>28</v>
      </c>
      <c r="G29" s="74">
        <v>27</v>
      </c>
      <c r="H29" s="74">
        <v>28</v>
      </c>
      <c r="I29" s="74">
        <v>27</v>
      </c>
      <c r="J29" s="74">
        <v>27</v>
      </c>
      <c r="K29" s="74">
        <v>27</v>
      </c>
      <c r="L29" s="74">
        <v>30</v>
      </c>
      <c r="M29" s="74">
        <v>28</v>
      </c>
      <c r="N29" s="74">
        <v>29</v>
      </c>
      <c r="O29" s="74">
        <v>30</v>
      </c>
      <c r="P29" s="74">
        <v>28</v>
      </c>
      <c r="Q29" s="93">
        <v>28</v>
      </c>
      <c r="R29" s="74">
        <v>27</v>
      </c>
      <c r="S29" s="74">
        <v>28</v>
      </c>
      <c r="T29" s="74">
        <v>28</v>
      </c>
      <c r="U29" s="74">
        <v>28</v>
      </c>
      <c r="V29" s="74">
        <v>30</v>
      </c>
      <c r="W29" s="74">
        <v>27</v>
      </c>
      <c r="X29" s="74">
        <v>33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139805.50686999998</v>
      </c>
      <c r="E33" s="218" ph="1">
        <f>M10+I10</f>
        <v>40065.127653599993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22" ph="1">
        <v>0</v>
      </c>
      <c r="H33" s="218" ph="1">
        <f>N19</f>
        <v>9629.6932820000002</v>
      </c>
      <c r="I33" s="231" ph="1">
        <v>0</v>
      </c>
      <c r="J33" s="229" ph="1">
        <f>F10+O28</f>
        <v>170823.57411640001</v>
      </c>
      <c r="K33" s="218" ph="1">
        <f>O10+K10+E28+R28</f>
        <v>148519.44766651999</v>
      </c>
      <c r="L33" s="233" ph="1">
        <f>BE27</f>
        <v>7100</v>
      </c>
      <c r="M33" s="229" ph="1">
        <f>G10+H10+W28+S28+V28+E10</f>
        <v>1507751.9333565002</v>
      </c>
      <c r="N33" s="218" ph="1">
        <f>L10+P10++G28+H28</f>
        <v>202070.1301558</v>
      </c>
      <c r="O33" s="231" ph="1">
        <f>BE17</f>
        <v>2270</v>
      </c>
      <c r="P33" s="229" ph="1">
        <f>L19</f>
        <v>17994.5597414</v>
      </c>
      <c r="Q33" s="218" ph="1">
        <f>J10+N10</f>
        <v>157241.33398959998</v>
      </c>
      <c r="R33" s="231" ph="1">
        <f>BE23</f>
        <v>890</v>
      </c>
      <c r="S33" s="229" ph="1">
        <f>E10+X28</f>
        <v>338650.58908562001</v>
      </c>
      <c r="T33" s="218" ph="1">
        <f>X19</f>
        <v>7211.7713239999994</v>
      </c>
      <c r="U33" s="239" ph="1">
        <f>BE21</f>
        <v>730</v>
      </c>
      <c r="V33" s="250" ph="1">
        <f ca="1">P19+Q19+S19+M28+N28+J28</f>
        <v>257565.07972901597</v>
      </c>
      <c r="W33" s="250" ph="1">
        <f>D28+F28+V19+T28</f>
        <v>113873.30072892399</v>
      </c>
      <c r="X33" s="231" ph="1">
        <f>BE29+BE31</f>
        <v>10200</v>
      </c>
      <c r="Y33" s="252" ph="1">
        <f>+Q10+R10+S10+T10+U10+V10+W10+X10+Y10</f>
        <v>141807.001644</v>
      </c>
      <c r="Z33" s="237" ph="1">
        <f>D10+T19+U19+Y28+Z10</f>
        <v>601762.34580962011</v>
      </c>
      <c r="AA33" s="239" ph="1">
        <f>BE19</f>
        <v>1440</v>
      </c>
      <c r="AB33" s="241" ph="1">
        <f>I19</f>
        <v>1096.5020672000001</v>
      </c>
      <c r="AC33" s="243" ph="1">
        <f>AD10</f>
        <v>106201.29885120002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9" t="s" ph="1">
        <v>186</v>
      </c>
      <c r="AA36" s="149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41" priority="96">
      <formula>ABS(D$7-D$10)&gt;=1000</formula>
    </cfRule>
  </conditionalFormatting>
  <conditionalFormatting sqref="E4 E6:E11">
    <cfRule type="expression" dxfId="2140" priority="95">
      <formula>ABS(E$7-E$10)&gt;=1000</formula>
    </cfRule>
  </conditionalFormatting>
  <conditionalFormatting sqref="F4:F11">
    <cfRule type="expression" dxfId="2139" priority="94">
      <formula>ABS(F$7-F$10)&gt;=1000</formula>
    </cfRule>
  </conditionalFormatting>
  <conditionalFormatting sqref="G4:G11">
    <cfRule type="expression" dxfId="2138" priority="93">
      <formula>ABS(G$7-G$10)&gt;=1000</formula>
    </cfRule>
  </conditionalFormatting>
  <conditionalFormatting sqref="H4:H11">
    <cfRule type="expression" dxfId="2137" priority="92">
      <formula>ABS(H$7-H$10)&gt;=1000</formula>
    </cfRule>
  </conditionalFormatting>
  <conditionalFormatting sqref="I4:I11">
    <cfRule type="expression" dxfId="2136" priority="91">
      <formula>ABS(I$7-I$10)&gt;=1000</formula>
    </cfRule>
  </conditionalFormatting>
  <conditionalFormatting sqref="J4:J11">
    <cfRule type="expression" dxfId="2135" priority="90">
      <formula>ABS(J$7-J$10)&gt;=1000</formula>
    </cfRule>
  </conditionalFormatting>
  <conditionalFormatting sqref="K4:K11">
    <cfRule type="expression" dxfId="2134" priority="89">
      <formula>ABS(K$7-K$10)&gt;=1000</formula>
    </cfRule>
  </conditionalFormatting>
  <conditionalFormatting sqref="L4:L11">
    <cfRule type="expression" dxfId="2133" priority="88">
      <formula>ABS(L$7-L$10)&gt;=1000</formula>
    </cfRule>
  </conditionalFormatting>
  <conditionalFormatting sqref="M4 M6:M11">
    <cfRule type="expression" dxfId="2132" priority="87">
      <formula>ABS(M$7-M$10)&gt;=1000</formula>
    </cfRule>
  </conditionalFormatting>
  <conditionalFormatting sqref="N4 N6:N11">
    <cfRule type="expression" dxfId="2131" priority="86">
      <formula>ABS(N$7-N$10)&gt;=1000</formula>
    </cfRule>
  </conditionalFormatting>
  <conditionalFormatting sqref="O4 O6:O11">
    <cfRule type="expression" dxfId="2130" priority="85">
      <formula>ABS(O$7-O$10)&gt;=1000</formula>
    </cfRule>
  </conditionalFormatting>
  <conditionalFormatting sqref="P4 P6:P11">
    <cfRule type="expression" dxfId="2129" priority="84">
      <formula>ABS(P$7-P$10)&gt;=1000</formula>
    </cfRule>
  </conditionalFormatting>
  <conditionalFormatting sqref="Q4:Q11">
    <cfRule type="expression" dxfId="2128" priority="83">
      <formula>ABS(Q$7-Q$10)&gt;=1000</formula>
    </cfRule>
  </conditionalFormatting>
  <conditionalFormatting sqref="R4:R11">
    <cfRule type="expression" dxfId="2127" priority="82">
      <formula>ABS(R$7-R$10)&gt;=1000</formula>
    </cfRule>
  </conditionalFormatting>
  <conditionalFormatting sqref="S4:S11">
    <cfRule type="expression" dxfId="2126" priority="81">
      <formula>ABS(S$7-S$10)&gt;=1000</formula>
    </cfRule>
  </conditionalFormatting>
  <conditionalFormatting sqref="T4:T9 T11">
    <cfRule type="expression" dxfId="2125" priority="80">
      <formula>ABS(T$7-T$10)&gt;=1000</formula>
    </cfRule>
  </conditionalFormatting>
  <conditionalFormatting sqref="U4:U9 U11">
    <cfRule type="expression" dxfId="2124" priority="79">
      <formula>ABS(U$7-U$10)&gt;=1000</formula>
    </cfRule>
  </conditionalFormatting>
  <conditionalFormatting sqref="V4:V9 V11">
    <cfRule type="expression" dxfId="2123" priority="78">
      <formula>ABS(V$7-V$10)&gt;=1000</formula>
    </cfRule>
  </conditionalFormatting>
  <conditionalFormatting sqref="W4:W9 W11">
    <cfRule type="expression" dxfId="2122" priority="77">
      <formula>ABS(W$7-W$10)&gt;=1000</formula>
    </cfRule>
  </conditionalFormatting>
  <conditionalFormatting sqref="X4:X9 X11">
    <cfRule type="expression" dxfId="2121" priority="76">
      <formula>ABS(X$7-X$10)&gt;=1000</formula>
    </cfRule>
  </conditionalFormatting>
  <conditionalFormatting sqref="Y4:Y9 Y11">
    <cfRule type="expression" dxfId="2120" priority="75">
      <formula>ABS(Y$7-Y$10)&gt;=1000</formula>
    </cfRule>
  </conditionalFormatting>
  <conditionalFormatting sqref="Z4:Z11">
    <cfRule type="expression" dxfId="2119" priority="74">
      <formula>ABS(Z$7-Z$10)&gt;=1000</formula>
    </cfRule>
  </conditionalFormatting>
  <conditionalFormatting sqref="AA4:AA11">
    <cfRule type="expression" dxfId="2118" priority="73">
      <formula>ABS(AA$7-AA$10)&gt;=1000</formula>
    </cfRule>
  </conditionalFormatting>
  <conditionalFormatting sqref="AB4:AB11">
    <cfRule type="expression" dxfId="2117" priority="72">
      <formula>ABS(AB$7-AB$10)&gt;=1000</formula>
    </cfRule>
  </conditionalFormatting>
  <conditionalFormatting sqref="AC4 AC6:AC11">
    <cfRule type="expression" dxfId="2116" priority="71">
      <formula>ABS(AC$7-AC$10)&gt;=1000</formula>
    </cfRule>
  </conditionalFormatting>
  <conditionalFormatting sqref="AD4:AD11">
    <cfRule type="expression" dxfId="2115" priority="70">
      <formula>ABS(AD$7-AD$10)&gt;=1000</formula>
    </cfRule>
  </conditionalFormatting>
  <conditionalFormatting sqref="AE4:AE11">
    <cfRule type="expression" dxfId="2114" priority="69">
      <formula>ABS(AE$7-AE$10)&gt;=1000</formula>
    </cfRule>
  </conditionalFormatting>
  <conditionalFormatting sqref="D13:D20">
    <cfRule type="expression" dxfId="2113" priority="68">
      <formula>ABS(D$16-D$19)&gt;=1000</formula>
    </cfRule>
  </conditionalFormatting>
  <conditionalFormatting sqref="E13:E20">
    <cfRule type="expression" dxfId="2112" priority="67">
      <formula>ABS(E$16-E$19)&gt;=1000</formula>
    </cfRule>
  </conditionalFormatting>
  <conditionalFormatting sqref="F13 F15:F20">
    <cfRule type="expression" dxfId="2111" priority="66">
      <formula>ABS(F$16-F$19)&gt;=1000</formula>
    </cfRule>
  </conditionalFormatting>
  <conditionalFormatting sqref="G13:G20">
    <cfRule type="expression" dxfId="2110" priority="65">
      <formula>ABS(G$16-G$19)&gt;=1000</formula>
    </cfRule>
  </conditionalFormatting>
  <conditionalFormatting sqref="H13:H20">
    <cfRule type="expression" dxfId="2109" priority="64">
      <formula>ABS(H$16-H$19)&gt;=1000</formula>
    </cfRule>
  </conditionalFormatting>
  <conditionalFormatting sqref="I13:I20">
    <cfRule type="expression" dxfId="2108" priority="63">
      <formula>ABS(I$16-I$19)&gt;=1000</formula>
    </cfRule>
  </conditionalFormatting>
  <conditionalFormatting sqref="J13:J20">
    <cfRule type="expression" dxfId="2107" priority="62">
      <formula>ABS(J$16-J$19)&gt;=1000</formula>
    </cfRule>
  </conditionalFormatting>
  <conditionalFormatting sqref="L13:L20">
    <cfRule type="expression" dxfId="2106" priority="61">
      <formula>ABS(L$16-L$19)&gt;=1000</formula>
    </cfRule>
  </conditionalFormatting>
  <conditionalFormatting sqref="M13 M15 M17:M18 M20">
    <cfRule type="expression" dxfId="2105" priority="60">
      <formula>ABS(M$16-M$19)&gt;=1000</formula>
    </cfRule>
  </conditionalFormatting>
  <conditionalFormatting sqref="N13:N20">
    <cfRule type="expression" dxfId="2104" priority="59">
      <formula>ABS(N$16-N$19)&gt;=1000</formula>
    </cfRule>
  </conditionalFormatting>
  <conditionalFormatting sqref="O13:O20">
    <cfRule type="expression" dxfId="2103" priority="58">
      <formula>ABS(O$16-O$19)&gt;=1000</formula>
    </cfRule>
  </conditionalFormatting>
  <conditionalFormatting sqref="P13:P20">
    <cfRule type="expression" dxfId="2102" priority="57">
      <formula>ABS(P$16-P$19)&gt;=1000</formula>
    </cfRule>
  </conditionalFormatting>
  <conditionalFormatting sqref="Q13 Q15:Q20">
    <cfRule type="expression" dxfId="2101" priority="56">
      <formula>ABS(Q$16-Q$19)&gt;=1000</formula>
    </cfRule>
  </conditionalFormatting>
  <conditionalFormatting sqref="R13:R20">
    <cfRule type="expression" dxfId="2100" priority="55">
      <formula>ABS(R$16-R$19)&gt;=1000</formula>
    </cfRule>
  </conditionalFormatting>
  <conditionalFormatting sqref="S13:S20">
    <cfRule type="expression" dxfId="2099" priority="54">
      <formula>ABS(S$16-S$19)&gt;=1000</formula>
    </cfRule>
  </conditionalFormatting>
  <conditionalFormatting sqref="T13:T20">
    <cfRule type="expression" dxfId="2098" priority="53">
      <formula>ABS(T$16-T$19)&gt;=1000</formula>
    </cfRule>
  </conditionalFormatting>
  <conditionalFormatting sqref="U13:U20">
    <cfRule type="expression" dxfId="2097" priority="52">
      <formula>ABS(U$16-U$19)&gt;=1000</formula>
    </cfRule>
  </conditionalFormatting>
  <conditionalFormatting sqref="V13:V20">
    <cfRule type="expression" dxfId="2096" priority="51">
      <formula>ABS(V$16-V$19)&gt;=1000</formula>
    </cfRule>
  </conditionalFormatting>
  <conditionalFormatting sqref="W13 W20 W15:W18">
    <cfRule type="expression" dxfId="2095" priority="50">
      <formula>ABS(W$16-W$19)&gt;=1000</formula>
    </cfRule>
  </conditionalFormatting>
  <conditionalFormatting sqref="X13 X15:X20 Y19">
    <cfRule type="expression" dxfId="2094" priority="49">
      <formula>ABS(X$16-X$19)&gt;=1000</formula>
    </cfRule>
  </conditionalFormatting>
  <conditionalFormatting sqref="Y13 Y15:Y18 Y20">
    <cfRule type="expression" dxfId="2093" priority="48">
      <formula>ABS(Y$16-Y$19)&gt;=1000</formula>
    </cfRule>
  </conditionalFormatting>
  <conditionalFormatting sqref="Z13:Z20">
    <cfRule type="expression" dxfId="2092" priority="47">
      <formula>ABS(Z$16-Z$19)&gt;=1000</formula>
    </cfRule>
  </conditionalFormatting>
  <conditionalFormatting sqref="AA13:AA20">
    <cfRule type="expression" dxfId="2091" priority="46">
      <formula>ABS(AA$16-AA$19)&gt;=1000</formula>
    </cfRule>
  </conditionalFormatting>
  <conditionalFormatting sqref="AB13 AB15:AB20">
    <cfRule type="expression" dxfId="2090" priority="45">
      <formula>ABS(AB$16-AB$19)&gt;=1000</formula>
    </cfRule>
  </conditionalFormatting>
  <conditionalFormatting sqref="AC13 AC15:AC20">
    <cfRule type="expression" dxfId="2089" priority="44">
      <formula>ABS(AC$16-AC$19)&gt;=1000</formula>
    </cfRule>
  </conditionalFormatting>
  <conditionalFormatting sqref="AD13:AD20">
    <cfRule type="expression" dxfId="2088" priority="43">
      <formula>ABS(AD$16-AD$19)&gt;=1000</formula>
    </cfRule>
  </conditionalFormatting>
  <conditionalFormatting sqref="AE13:AE20">
    <cfRule type="expression" dxfId="2087" priority="42">
      <formula>ABS(AE$16-AE$19)&gt;=1000</formula>
    </cfRule>
  </conditionalFormatting>
  <conditionalFormatting sqref="D22:D29">
    <cfRule type="expression" dxfId="2086" priority="41">
      <formula>ABS(D$25-D$28)&gt;=1000</formula>
    </cfRule>
  </conditionalFormatting>
  <conditionalFormatting sqref="E22:E29">
    <cfRule type="expression" dxfId="2085" priority="40">
      <formula>ABS(E$25-E$28)&gt;=1000</formula>
    </cfRule>
  </conditionalFormatting>
  <conditionalFormatting sqref="F22:F29">
    <cfRule type="expression" dxfId="2084" priority="39">
      <formula>ABS(F$25-F$28)&gt;=1000</formula>
    </cfRule>
  </conditionalFormatting>
  <conditionalFormatting sqref="G22:G29">
    <cfRule type="expression" dxfId="2083" priority="38">
      <formula>ABS(G$25-G$28)&gt;=1000</formula>
    </cfRule>
  </conditionalFormatting>
  <conditionalFormatting sqref="H22:H29">
    <cfRule type="expression" dxfId="2082" priority="37">
      <formula>ABS(H$25-H$28)&gt;=1000</formula>
    </cfRule>
  </conditionalFormatting>
  <conditionalFormatting sqref="I22 I24:I29">
    <cfRule type="expression" dxfId="2081" priority="36">
      <formula>ABS(I$25-I$28)&gt;=1000</formula>
    </cfRule>
  </conditionalFormatting>
  <conditionalFormatting sqref="J22:J29 K22">
    <cfRule type="expression" dxfId="2080" priority="35">
      <formula>ABS(J$25-J$28)&gt;=1000</formula>
    </cfRule>
  </conditionalFormatting>
  <conditionalFormatting sqref="K23:K29 L25 L28">
    <cfRule type="expression" dxfId="2079" priority="34">
      <formula>ABS(K$25-K$28)&gt;=1000</formula>
    </cfRule>
  </conditionalFormatting>
  <conditionalFormatting sqref="L22:L24 L26:L27 L29">
    <cfRule type="expression" dxfId="2078" priority="33">
      <formula>ABS(L$25-L$28)&gt;=1000</formula>
    </cfRule>
  </conditionalFormatting>
  <conditionalFormatting sqref="M22:M29">
    <cfRule type="expression" dxfId="2077" priority="32">
      <formula>ABS(M$25-M$28)&gt;=1000</formula>
    </cfRule>
  </conditionalFormatting>
  <conditionalFormatting sqref="N22:N29">
    <cfRule type="expression" dxfId="2076" priority="31">
      <formula>ABS(N$25-N$28)&gt;=1000</formula>
    </cfRule>
  </conditionalFormatting>
  <conditionalFormatting sqref="O22:O29">
    <cfRule type="expression" dxfId="2075" priority="30">
      <formula>ABS(O$25-O$28)&gt;=1000</formula>
    </cfRule>
  </conditionalFormatting>
  <conditionalFormatting sqref="P22:P29">
    <cfRule type="expression" dxfId="2074" priority="29">
      <formula>ABS(P$25-P$28)&gt;=1000</formula>
    </cfRule>
  </conditionalFormatting>
  <conditionalFormatting sqref="Q22:Q29">
    <cfRule type="expression" dxfId="2073" priority="28">
      <formula>ABS(Q$25-Q$28)&gt;=1000</formula>
    </cfRule>
  </conditionalFormatting>
  <conditionalFormatting sqref="R22:R29">
    <cfRule type="expression" dxfId="2072" priority="27">
      <formula>ABS(R$25-R$28)&gt;=1000</formula>
    </cfRule>
  </conditionalFormatting>
  <conditionalFormatting sqref="S22:S29">
    <cfRule type="expression" dxfId="2071" priority="26">
      <formula>ABS(S$25-S$28)&gt;=1000</formula>
    </cfRule>
  </conditionalFormatting>
  <conditionalFormatting sqref="T22:T29">
    <cfRule type="expression" dxfId="2070" priority="25">
      <formula>ABS(T$25-T$28)&gt;=1000</formula>
    </cfRule>
  </conditionalFormatting>
  <conditionalFormatting sqref="U22:U29">
    <cfRule type="expression" dxfId="2069" priority="24">
      <formula>ABS(U$25-U$28)&gt;=1000</formula>
    </cfRule>
  </conditionalFormatting>
  <conditionalFormatting sqref="V22:V29">
    <cfRule type="expression" dxfId="2068" priority="23">
      <formula>ABS(V$25-V$28)&gt;=1000</formula>
    </cfRule>
  </conditionalFormatting>
  <conditionalFormatting sqref="W22:W29">
    <cfRule type="expression" dxfId="2067" priority="22">
      <formula>ABS(W$25-W$28)&gt;=1000</formula>
    </cfRule>
  </conditionalFormatting>
  <conditionalFormatting sqref="X22:X29">
    <cfRule type="expression" dxfId="2066" priority="21">
      <formula>ABS(X$25-X$28)&gt;=1000</formula>
    </cfRule>
  </conditionalFormatting>
  <conditionalFormatting sqref="Y22:Y29">
    <cfRule type="expression" dxfId="2065" priority="20">
      <formula>ABS(Y$25-Y$28)&gt;=1000</formula>
    </cfRule>
  </conditionalFormatting>
  <conditionalFormatting sqref="I23">
    <cfRule type="expression" dxfId="2064" priority="19">
      <formula>ABS(I$25-I$28)&gt;=1000</formula>
    </cfRule>
  </conditionalFormatting>
  <conditionalFormatting sqref="F14">
    <cfRule type="expression" dxfId="2063" priority="18">
      <formula>ABS(F$16-F$19)&gt;=1000</formula>
    </cfRule>
  </conditionalFormatting>
  <conditionalFormatting sqref="Q14">
    <cfRule type="expression" dxfId="2062" priority="17">
      <formula>ABS(Q$16-Q$19)&gt;=1000</formula>
    </cfRule>
  </conditionalFormatting>
  <conditionalFormatting sqref="W14">
    <cfRule type="expression" dxfId="2061" priority="16">
      <formula>ABS(W$16-W$19)&gt;=1000</formula>
    </cfRule>
  </conditionalFormatting>
  <conditionalFormatting sqref="Y14">
    <cfRule type="expression" dxfId="2060" priority="15">
      <formula>ABS(Y$16-Y$19)&gt;=1000</formula>
    </cfRule>
  </conditionalFormatting>
  <conditionalFormatting sqref="X14">
    <cfRule type="expression" dxfId="2059" priority="14">
      <formula>ABS(X$16-X$19)&gt;=1000</formula>
    </cfRule>
  </conditionalFormatting>
  <conditionalFormatting sqref="T10:Y10">
    <cfRule type="expression" dxfId="2058" priority="13">
      <formula>ABS(T$7-T$10)&gt;=1000</formula>
    </cfRule>
  </conditionalFormatting>
  <conditionalFormatting sqref="W19">
    <cfRule type="expression" dxfId="2057" priority="12">
      <formula>ABS(W$16-W$19)&gt;=1000</formula>
    </cfRule>
  </conditionalFormatting>
  <conditionalFormatting sqref="AC5">
    <cfRule type="expression" dxfId="2056" priority="11">
      <formula>ABS(AC$7-AC$10)&gt;=1000</formula>
    </cfRule>
  </conditionalFormatting>
  <conditionalFormatting sqref="M14">
    <cfRule type="expression" dxfId="2055" priority="10">
      <formula>ABS(M$16-M$19)&gt;=1000</formula>
    </cfRule>
  </conditionalFormatting>
  <conditionalFormatting sqref="M16">
    <cfRule type="expression" dxfId="2054" priority="9">
      <formula>ABS(M$16-M$19)&gt;=1000</formula>
    </cfRule>
  </conditionalFormatting>
  <conditionalFormatting sqref="M19">
    <cfRule type="expression" dxfId="2053" priority="8">
      <formula>ABS(M$16-M$19)&gt;=1000</formula>
    </cfRule>
  </conditionalFormatting>
  <conditionalFormatting sqref="K13:K20">
    <cfRule type="expression" dxfId="2052" priority="7">
      <formula>ABS(K$16-K$19)&gt;=1000</formula>
    </cfRule>
  </conditionalFormatting>
  <conditionalFormatting sqref="E5">
    <cfRule type="expression" dxfId="2051" priority="6">
      <formula>ABS(E$7-E$10)&gt;=1000</formula>
    </cfRule>
  </conditionalFormatting>
  <conditionalFormatting sqref="AB14:AC14">
    <cfRule type="expression" dxfId="2050" priority="5">
      <formula>ABS(AB$16-AB$19)&gt;=1000</formula>
    </cfRule>
  </conditionalFormatting>
  <conditionalFormatting sqref="M5">
    <cfRule type="expression" dxfId="2049" priority="4">
      <formula>ABS(M$7-M$10)&gt;=1000</formula>
    </cfRule>
  </conditionalFormatting>
  <conditionalFormatting sqref="N5">
    <cfRule type="expression" dxfId="2048" priority="3">
      <formula>ABS(N$7-N$10)&gt;=1000</formula>
    </cfRule>
  </conditionalFormatting>
  <conditionalFormatting sqref="O5">
    <cfRule type="expression" dxfId="2047" priority="2">
      <formula>ABS(O$7-O$10)&gt;=1000</formula>
    </cfRule>
  </conditionalFormatting>
  <conditionalFormatting sqref="P5">
    <cfRule type="expression" dxfId="2046" priority="1">
      <formula>ABS(P$7-P$10)&gt;=1000</formula>
    </cfRule>
  </conditionalFormatting>
  <dataValidations count="1">
    <dataValidation operator="greaterThanOrEqual" allowBlank="1" showErrorMessage="1" sqref="D6" xr:uid="{00000000-0002-0000-07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2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631">
    <pageSetUpPr fitToPage="1"/>
  </sheetPr>
  <dimension ref="A1:CU223"/>
  <sheetViews>
    <sheetView view="pageBreakPreview" zoomScale="80" zoomScaleNormal="100" zoomScaleSheetLayoutView="80" workbookViewId="0">
      <selection activeCell="L21" sqref="L21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45785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7" t="s" ph="1">
        <v>178</v>
      </c>
      <c r="D6" s="71">
        <v>4185</v>
      </c>
      <c r="E6" s="71">
        <v>4691</v>
      </c>
      <c r="F6" s="71">
        <v>4633</v>
      </c>
      <c r="G6" s="71">
        <v>8827</v>
      </c>
      <c r="H6" s="71">
        <v>5513</v>
      </c>
      <c r="I6" s="71">
        <v>0</v>
      </c>
      <c r="J6" s="71">
        <v>7.82</v>
      </c>
      <c r="K6" s="71">
        <v>7.43</v>
      </c>
      <c r="L6" s="71">
        <v>40.07</v>
      </c>
      <c r="M6" s="71">
        <v>1176</v>
      </c>
      <c r="N6" s="71">
        <v>5974</v>
      </c>
      <c r="O6" s="71">
        <v>0</v>
      </c>
      <c r="P6" s="71">
        <v>3879</v>
      </c>
      <c r="Q6" s="71">
        <v>2219</v>
      </c>
      <c r="R6" s="71">
        <v>7116</v>
      </c>
      <c r="S6" s="71">
        <v>5016</v>
      </c>
      <c r="T6" s="71">
        <v>2586</v>
      </c>
      <c r="U6" s="71">
        <v>53</v>
      </c>
      <c r="V6" s="71">
        <v>0</v>
      </c>
      <c r="W6" s="71">
        <v>0</v>
      </c>
      <c r="X6" s="71">
        <v>0</v>
      </c>
      <c r="Y6" s="71">
        <v>0</v>
      </c>
      <c r="Z6" s="71">
        <v>4724</v>
      </c>
      <c r="AA6" s="71">
        <v>2158</v>
      </c>
      <c r="AB6" s="71">
        <v>3152</v>
      </c>
      <c r="AC6" s="71">
        <v>5889</v>
      </c>
      <c r="AD6" s="71">
        <v>5422</v>
      </c>
      <c r="AE6" s="71">
        <v>3809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131575.96898685003</v>
      </c>
      <c r="E7" s="73" ph="1">
        <f>E6*51.53*LOOKUP(E8,密度!$A$2:$A$50,密度!$B$2:$B$50)</f>
        <v>188668.103015</v>
      </c>
      <c r="F7" s="73" ph="1">
        <f>F6*33.183*LOOKUP(F8,密度!$A$2:$A$50,密度!$C$2:$C$50)</f>
        <v>170709.38602560002</v>
      </c>
      <c r="G7" s="73" ph="1">
        <f xml:space="preserve"> (G6+2)*51.53*LOOKUP(G8,密度!$A$2:$A$50,密度!$B$2:$B$50)</f>
        <v>356732.85791700002</v>
      </c>
      <c r="H7" s="73" ph="1">
        <f>(H6)*51.53*LOOKUP(H8,密度!$A$2:$A$50,密度!$B$2:$B$50)</f>
        <v>222750.962249</v>
      </c>
      <c r="I7" s="73" ph="1">
        <f>I6*290.8*1.0267</f>
        <v>0</v>
      </c>
      <c r="J7" s="73" ph="1">
        <f>J6*290.8*0.7892</f>
        <v>1794.6849952</v>
      </c>
      <c r="K7" s="73" ph="1">
        <f>K6*290.8*1.1126</f>
        <v>2403.9325143999999</v>
      </c>
      <c r="L7" s="73" ph="1">
        <f>L6*290.8*0.777</f>
        <v>9053.8806120000008</v>
      </c>
      <c r="M7" s="73" ph="1">
        <f>M6*33.183*LOOKUP(M8,密度!$A$2:$A$50,密度!$D$2:$D$50)</f>
        <v>40030.006766400002</v>
      </c>
      <c r="N7" s="73" ph="1">
        <f>N6*33.183*LOOKUP(N8,密度!$A$2:$A$50,密度!$E$2:$E$50)</f>
        <v>154821.724002</v>
      </c>
      <c r="O7" s="73" ph="1">
        <f>O6*20.428*LOOKUP(O8,密度!$A$2:$A$50,密度!$C$2:$C$50)</f>
        <v>0</v>
      </c>
      <c r="P7" s="73" ph="1">
        <f>P6*51.53*LOOKUP(P8,密度!$A$2:$A$50,密度!$B$2:$B$50)</f>
        <v>155650.34826899998</v>
      </c>
      <c r="Q7" s="73" ph="1">
        <f>Q6*1.5*1.5*3.1416*LOOKUP(W8,密度!$A$2:$A$50,密度!$L$2:$L$50)</f>
        <v>14697.0543258</v>
      </c>
      <c r="R7" s="73" ph="1">
        <f>R6*1.5*1.5*3.1416*LOOKUP(R8,密度!$A$2:$A$50,密度!$L$2:$L$50)</f>
        <v>46879.746883200001</v>
      </c>
      <c r="S7" s="73" ph="1">
        <f>S6*1.5*1.5*3.1416*LOOKUP(S8,密度!$A$2:$A$50,密度!$L$2:$L$50)</f>
        <v>33506.012232000001</v>
      </c>
      <c r="T7" s="73" ph="1">
        <f>T6*1.5*1.5*3.1416*LOOKUP(T8,密度!$A$2:$A$50,密度!$L$2:$L$50)</f>
        <v>17219.194423199999</v>
      </c>
      <c r="U7" s="73" ph="1">
        <f>U6*1.5*1.5*3.1416*LOOKUP(U8,密度!$A$2:$A$50,密度!$L$2:$L$50)</f>
        <v>351.4083804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147664.615464</v>
      </c>
      <c r="AA7" s="73" ph="1">
        <f>AA6*33.183*LOOKUP(AA8,密度!$A$2:$A$50,密度!$D$2:$D$50)</f>
        <v>73721.376963000017</v>
      </c>
      <c r="AB7" s="73" ph="1">
        <f>AB6*20.428*LOOKUP(AB8,密度!$A$2:$A$50,密度!$D$2:$D$50)</f>
        <v>66629.795148799996</v>
      </c>
      <c r="AC7" s="73" ph="1">
        <f>AC6*51.53*LOOKUP(AC8,密度!$A$2:$A$50,密度!$Q$2:$Q$50)</f>
        <v>287740.93319399998</v>
      </c>
      <c r="AD7" s="73" ph="1">
        <f>AD6*20.428*LOOKUP(AD8,密度!$A$2:$A$50,密度!$V$2:$V$50)</f>
        <v>106064.36588160001</v>
      </c>
      <c r="AE7" s="73" ph="1">
        <f>AE6*20.428</f>
        <v>77810.252000000008</v>
      </c>
    </row>
    <row r="8" spans="1:99" ph="1">
      <c r="B8" s="196" ph="1"/>
      <c r="C8" s="68" t="s" ph="1">
        <v>180</v>
      </c>
      <c r="D8" s="74">
        <v>24</v>
      </c>
      <c r="E8" s="74">
        <v>24</v>
      </c>
      <c r="F8" s="74">
        <v>23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27</v>
      </c>
      <c r="P8" s="74">
        <v>26</v>
      </c>
      <c r="Q8" s="74">
        <v>25</v>
      </c>
      <c r="R8" s="74">
        <v>30</v>
      </c>
      <c r="S8" s="74">
        <v>17</v>
      </c>
      <c r="T8" s="74">
        <v>20</v>
      </c>
      <c r="U8" s="74">
        <v>24</v>
      </c>
      <c r="V8" s="74">
        <v>26</v>
      </c>
      <c r="W8" s="74">
        <v>25</v>
      </c>
      <c r="X8" s="74">
        <v>15</v>
      </c>
      <c r="Y8" s="74">
        <v>24</v>
      </c>
      <c r="Z8" s="74">
        <v>20</v>
      </c>
      <c r="AA8" s="74">
        <v>22</v>
      </c>
      <c r="AB8" s="74">
        <v>16</v>
      </c>
      <c r="AC8" s="74">
        <v>23</v>
      </c>
      <c r="AD8" s="74">
        <v>27</v>
      </c>
      <c r="AE8" s="74">
        <v>27</v>
      </c>
    </row>
    <row r="9" spans="1:99" ph="1">
      <c r="B9" s="196" ph="1">
        <v>0.66666666666666663</v>
      </c>
      <c r="C9" s="147" t="s" ph="1">
        <v>181</v>
      </c>
      <c r="D9" s="71">
        <v>4185</v>
      </c>
      <c r="E9" s="71">
        <v>4689</v>
      </c>
      <c r="F9" s="71">
        <v>4636</v>
      </c>
      <c r="G9" s="71">
        <v>8540</v>
      </c>
      <c r="H9" s="71">
        <v>5278</v>
      </c>
      <c r="I9" s="71">
        <v>0</v>
      </c>
      <c r="J9" s="71">
        <v>7.83</v>
      </c>
      <c r="K9" s="71">
        <v>7.52</v>
      </c>
      <c r="L9" s="71">
        <v>42.14</v>
      </c>
      <c r="M9" s="71">
        <v>1176</v>
      </c>
      <c r="N9" s="71">
        <v>5980</v>
      </c>
      <c r="O9" s="71">
        <v>0</v>
      </c>
      <c r="P9" s="71">
        <v>3859</v>
      </c>
      <c r="Q9" s="71">
        <v>0</v>
      </c>
      <c r="R9" s="71">
        <v>5437</v>
      </c>
      <c r="S9" s="71">
        <v>5023</v>
      </c>
      <c r="T9" s="71">
        <v>5134</v>
      </c>
      <c r="U9" s="71">
        <v>4428</v>
      </c>
      <c r="V9" s="71">
        <v>0</v>
      </c>
      <c r="W9" s="71">
        <v>0</v>
      </c>
      <c r="X9" s="71">
        <v>0</v>
      </c>
      <c r="Y9" s="71">
        <v>0</v>
      </c>
      <c r="Z9" s="71">
        <v>5360</v>
      </c>
      <c r="AA9" s="71">
        <v>2159</v>
      </c>
      <c r="AB9" s="71">
        <v>3074</v>
      </c>
      <c r="AC9" s="71">
        <v>5889</v>
      </c>
      <c r="AD9" s="71">
        <v>5432</v>
      </c>
      <c r="AE9" s="71">
        <v>3739</v>
      </c>
    </row>
    <row r="10" spans="1:99" s="72" customFormat="1" ht="21.75" ph="1">
      <c r="B10" s="196" ph="1"/>
      <c r="C10" s="147" t="s" ph="1">
        <v>179</v>
      </c>
      <c r="D10" s="73" ph="1">
        <f>D9*33.183*LOOKUP(D11,密度!$A$2:$A$50,密度!$Q$2:$Q$50)</f>
        <v>131180.18705010001</v>
      </c>
      <c r="E10" s="73" ph="1">
        <f>E9*51.53*LOOKUP(E11,密度!$A$2:$A$50,密度!$B$2:$B$50)</f>
        <v>187331.21900100002</v>
      </c>
      <c r="F10" s="73" ph="1">
        <f>F9*33.183*LOOKUP(F11,密度!$A$2:$A$50,密度!$C$2:$C$50)</f>
        <v>170589.17065320001</v>
      </c>
      <c r="G10" s="73" ph="1">
        <f xml:space="preserve"> (G9+2)*51.53*LOOKUP(G11,密度!$A$2:$A$50,密度!$B$2:$B$50)</f>
        <v>342011.51501999999</v>
      </c>
      <c r="H10" s="73" ph="1">
        <f>(H9)*51.53*LOOKUP(H11,密度!$A$2:$A$50,密度!$B$2:$B$50)</f>
        <v>211324.83918000004</v>
      </c>
      <c r="I10" s="73" ph="1">
        <f>I9*290.8*1.0267</f>
        <v>0</v>
      </c>
      <c r="J10" s="73" ph="1">
        <f>J9*290.8*0.7892</f>
        <v>1796.9799888</v>
      </c>
      <c r="K10" s="73" ph="1">
        <f>K9*290.8*1.1126</f>
        <v>2433.0514816</v>
      </c>
      <c r="L10" s="73" ph="1">
        <f>L9*290.8*0.777</f>
        <v>9521.6004240000002</v>
      </c>
      <c r="M10" s="73" ph="1">
        <f>M9*33.183*LOOKUP(M11,密度!$A$2:$A$50,密度!$D$2:$D$50)</f>
        <v>39846.597688799993</v>
      </c>
      <c r="N10" s="73" ph="1">
        <f>N9*33.183*LOOKUP(N11,密度!$A$2:$A$50,密度!$E$2:$E$50)</f>
        <v>154739.09833199999</v>
      </c>
      <c r="O10" s="73" ph="1">
        <f>O9*20.428*LOOKUP(O11,密度!$A$2:$A$50,密度!$C$2:$C$50)</f>
        <v>0</v>
      </c>
      <c r="P10" s="73" ph="1">
        <f>P9*51.53*LOOKUP(P11,密度!$A$2:$A$50,密度!$B$2:$B$50)</f>
        <v>154350.684374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35703.307747799998</v>
      </c>
      <c r="S10" s="73" ph="1">
        <f>S9*1.5*1.5*3.1416*LOOKUP(S11,密度!$A$2:$A$50,密度!$L$2:$L$50)</f>
        <v>33410.748709799998</v>
      </c>
      <c r="T10" s="73" ph="1">
        <f>T9*1.5*1.5*3.1416*LOOKUP(T11,密度!$A$2:$A$50,密度!$L$2:$L$50)</f>
        <v>34149.071048400001</v>
      </c>
      <c r="U10" s="73" ph="1">
        <f>U9*1.5*1.5*3.1416*LOOKUP(U11,密度!$A$2:$A$50,密度!$L$2:$L$50)</f>
        <v>29327.8758696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166122.06192000001</v>
      </c>
      <c r="AA10" s="73" ph="1">
        <f>AA9*33.183*LOOKUP(AA11,密度!$A$2:$A$50,密度!$D$2:$D$50)</f>
        <v>73031.953681800005</v>
      </c>
      <c r="AB10" s="73" ph="1">
        <f>AB9*20.428*LOOKUP(AB11,密度!$A$2:$A$50,密度!$D$2:$D$50)</f>
        <v>64980.9613856</v>
      </c>
      <c r="AC10" s="73" ph="1">
        <f>AC9*51.53*LOOKUP(AC11,密度!$A$2:$A$50,密度!$Q$2:$Q$50)</f>
        <v>286445.1582681</v>
      </c>
      <c r="AD10" s="73" ph="1">
        <f>AD9*20.428*LOOKUP(AD11,密度!$A$2:$A$50,密度!$V$2:$V$50)</f>
        <v>106259.9844096</v>
      </c>
      <c r="AE10" s="73" ph="1">
        <f>AE9*20.428</f>
        <v>76380.292000000001</v>
      </c>
    </row>
    <row r="11" spans="1:99" ph="1">
      <c r="A11" s="64" t="s" ph="1">
        <v>163</v>
      </c>
      <c r="B11" s="196" ph="1"/>
      <c r="C11" s="147" t="s" ph="1">
        <v>180</v>
      </c>
      <c r="D11" s="74">
        <v>28</v>
      </c>
      <c r="E11" s="74">
        <v>30</v>
      </c>
      <c r="F11" s="74">
        <v>25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28</v>
      </c>
      <c r="O11" s="74">
        <v>40</v>
      </c>
      <c r="P11" s="74">
        <v>29</v>
      </c>
      <c r="Q11" s="74">
        <v>31</v>
      </c>
      <c r="R11" s="74">
        <v>33</v>
      </c>
      <c r="S11" s="74">
        <v>21</v>
      </c>
      <c r="T11" s="74">
        <v>21</v>
      </c>
      <c r="U11" s="74">
        <v>25</v>
      </c>
      <c r="V11" s="74">
        <v>27</v>
      </c>
      <c r="W11" s="74">
        <v>35</v>
      </c>
      <c r="X11" s="74">
        <v>23</v>
      </c>
      <c r="Y11" s="74">
        <v>29</v>
      </c>
      <c r="Z11" s="74">
        <v>28</v>
      </c>
      <c r="AA11" s="74">
        <v>33</v>
      </c>
      <c r="AB11" s="74">
        <v>16</v>
      </c>
      <c r="AC11" s="74">
        <v>29</v>
      </c>
      <c r="AD11" s="74">
        <v>31</v>
      </c>
      <c r="AE11" s="74">
        <v>29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7" t="s" ph="1">
        <v>178</v>
      </c>
      <c r="D15" s="78">
        <v>4766</v>
      </c>
      <c r="E15" s="78">
        <v>5264</v>
      </c>
      <c r="F15" s="78">
        <v>1485</v>
      </c>
      <c r="G15" s="78">
        <v>2235</v>
      </c>
      <c r="H15" s="78">
        <v>4530</v>
      </c>
      <c r="I15" s="78">
        <v>117</v>
      </c>
      <c r="J15" s="78">
        <v>467</v>
      </c>
      <c r="K15" s="78">
        <v>711</v>
      </c>
      <c r="L15" s="78">
        <v>2532</v>
      </c>
      <c r="M15" s="78">
        <v>3587</v>
      </c>
      <c r="N15" s="78">
        <v>1211</v>
      </c>
      <c r="O15" s="78">
        <v>23</v>
      </c>
      <c r="P15" s="78">
        <v>6957</v>
      </c>
      <c r="Q15" s="78">
        <v>32</v>
      </c>
      <c r="R15" s="78">
        <v>3512</v>
      </c>
      <c r="S15" s="78">
        <v>6869</v>
      </c>
      <c r="T15" s="78">
        <v>5204</v>
      </c>
      <c r="U15" s="78">
        <v>2507</v>
      </c>
      <c r="V15" s="78">
        <v>5451</v>
      </c>
      <c r="W15" s="71">
        <v>3761</v>
      </c>
      <c r="X15" s="78">
        <v>150</v>
      </c>
      <c r="Y15" s="106">
        <v>-2365</v>
      </c>
      <c r="Z15" s="78">
        <v>0</v>
      </c>
      <c r="AA15" s="78">
        <v>4234</v>
      </c>
      <c r="AB15" s="78" ph="1">
        <v>6925</v>
      </c>
      <c r="AC15" s="78" ph="1">
        <v>989</v>
      </c>
      <c r="AD15" s="78">
        <v>28.76</v>
      </c>
      <c r="AE15" s="78">
        <v>84.59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7" t="s" ph="1">
        <v>179</v>
      </c>
      <c r="D16" s="73" ph="1">
        <f>D15*7.0686*LOOKUP(D17,密度!$A$2:$A$50,密度!$L$2:$L$50)</f>
        <v>31566.543901200002</v>
      </c>
      <c r="E16" s="73" ph="1">
        <f>E15*7.0686*LOOKUP(E17,密度!$A$2:$A$50,密度!$L$2:$L$50)</f>
        <v>34864.936444799998</v>
      </c>
      <c r="F16" s="73" ph="1">
        <f>F15*9.0746*LOOKUP(F17,密度!$A$2:$A$50,密度!$L$2:$L$50)</f>
        <v>12572.903673000001</v>
      </c>
      <c r="G16" s="73" ph="1">
        <f>G15*9.0746*LOOKUP(G17,密度!$A$2:$A$50,密度!$B$2:$B$50)</f>
        <v>15811.637487599999</v>
      </c>
      <c r="H16" s="73" ph="1">
        <f>H15*9.0746*LOOKUP(H17,密度!$A$2:$A$50,密度!$L$2:$L$50)</f>
        <v>38641.461719999999</v>
      </c>
      <c r="I16" s="73" ph="1">
        <f>I15*9.0746*LOOKUP(I17,密度!$A$2:$A$50,密度!$U$2:$U$50)</f>
        <v>1091.4565896000001</v>
      </c>
      <c r="J16" s="73" ph="1">
        <f>J15*9.0746*LOOKUP(J17,密度!$A$2:$A$50,密度!$L$2:$L$50)</f>
        <v>3970.8543934000004</v>
      </c>
      <c r="K16" s="73" ph="1">
        <f>K15*9.0746*LOOKUP(K17,密度!$A$2:$A$50,密度!$C$2:$C$50)</f>
        <v>7159.1842497600001</v>
      </c>
      <c r="L16" s="73" ph="1">
        <f>L15*9.0746*LOOKUP(L17,密度!$A$2:$A$50,密度!$E$2:$E$50)</f>
        <v>17970.223479120003</v>
      </c>
      <c r="M16" s="73" ph="1">
        <f>M15*9.0746*LOOKUP(M17,密度!$A$2:$A$50,密度!$M$2:$M$50)</f>
        <v>28452.470893820002</v>
      </c>
      <c r="N16" s="73" ph="1">
        <f>N15*9.0746*LOOKUP(N17,密度!$A$2:$A$50,密度!$M$2:$M$50)</f>
        <v>9648.6410467999995</v>
      </c>
      <c r="O16" s="73" ph="1">
        <f>O15*9.0746*LOOKUP(O17,密度!$A$2:$A$50,密度!$G$2:$G$50)</f>
        <v>200.40891116</v>
      </c>
      <c r="P16" s="73" ph="1">
        <f ca="1">P15*9.0746*LOOKUP(P17,密度!$A$2:$A$51,密度!$Q$2:$Q$50)</f>
        <v>59724.758580966001</v>
      </c>
      <c r="Q16" s="73" ph="1">
        <f>Q15*9.0746*LOOKUP(Q17,密度!$A$2:$A$50,密度!$Q$2:$Q$50)</f>
        <v>274.92117772800003</v>
      </c>
      <c r="R16" s="73" ph="1">
        <f>MAX(R15*9.0746*LOOKUP(R17,密度!$A$2:$A$50,密度!$B$2:$B$50),0)</f>
        <v>24791.669266080004</v>
      </c>
      <c r="S16" s="73" ph="1">
        <f>S15*9.0746*LOOKUP(S17,密度!$A$2:$A$50,密度!$Q$2:$Q$50)</f>
        <v>58969.292323222006</v>
      </c>
      <c r="T16" s="73" ph="1">
        <f>T15*9.0746*LOOKUP(T17,密度!$A$2:$A$50,密度!$O$2:$O$50)</f>
        <v>43729.6262384</v>
      </c>
      <c r="U16" s="73" ph="1">
        <f>U15*9.0746*LOOKUP(U17,密度!$A$2:$A$50,密度!$H$2:$H$50)</f>
        <v>20854.945350739999</v>
      </c>
      <c r="V16" s="73" ph="1">
        <f>MAX(5600*LOOKUP(V17,密度!$A$2:$A$50,密度!$Q$2:$Q$50)+V15*9.0476*LOOKUP(V17,密度!$A$2:$A$50,密度!$Q$2:$Q$50),0)</f>
        <v>51915.525791631997</v>
      </c>
      <c r="W16" s="73" ph="1">
        <f>MAX(5600*LOOKUP(W17,密度!$A$2:$A$50,密度!$Q$2:$Q$50)+W15*9.0476*LOOKUP(W17,密度!$A$2:$A$50,密度!$Q$2:$Q$50),0)</f>
        <v>37461.163269552002</v>
      </c>
      <c r="X16" s="73" ph="1">
        <f>MAX(5600*LOOKUP(X17,密度!$A$2:$A$50,密度!$I$2:$I$50)+X15*9.0476*LOOKUP(X17,密度!$A$2:$A$50,密度!$I$2:$I$50),0)</f>
        <v>7261.1670180000001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29988.258920200002</v>
      </c>
      <c r="AB16" s="73" ph="1">
        <f>AB15*9.0746*LOOKUP(AB17,密度!$A$2:$A$50,密度!$L$2:$L$50)</f>
        <v>58756.900675000004</v>
      </c>
      <c r="AC16" s="73" ph="1">
        <f>AC15*9.0746*LOOKUP(AC17,密度!$A$2:$A$50,密度!$L$2:$L$50)</f>
        <v>8427.3178565999988</v>
      </c>
      <c r="AD16" s="73" ph="1">
        <f>AD15*268.68*LOOKUP(AD17,密度!$A$2:$A$50,密度!B2:B50)+IF(AD15&lt;=0,0,1566*LOOKUP(AD17,密度!$A$2:$A$50,密度!B2:B50))</f>
        <v>7245.0074092800005</v>
      </c>
      <c r="AE16" s="73" ph="1">
        <f>AE15*268.68*LOOKUP(AE17,密度!$A$2:$A$50,密度!B2:B50)+IF(AE15&lt;=0,0,1566*LOOKUP(AE17,密度!$A$2:$A$50,密度!B2:B50))</f>
        <v>18939.322679519999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29</v>
      </c>
      <c r="G17" s="74">
        <v>25</v>
      </c>
      <c r="H17" s="74">
        <v>22</v>
      </c>
      <c r="I17" s="74">
        <v>21</v>
      </c>
      <c r="J17" s="74">
        <v>25</v>
      </c>
      <c r="K17" s="74">
        <v>24</v>
      </c>
      <c r="L17" s="74">
        <v>26</v>
      </c>
      <c r="M17" s="74">
        <v>26</v>
      </c>
      <c r="N17" s="74">
        <v>22</v>
      </c>
      <c r="O17" s="74">
        <v>25</v>
      </c>
      <c r="P17" s="74">
        <v>26</v>
      </c>
      <c r="Q17" s="74">
        <v>25</v>
      </c>
      <c r="R17" s="74">
        <v>27</v>
      </c>
      <c r="S17" s="74">
        <v>26</v>
      </c>
      <c r="T17" s="74">
        <v>25</v>
      </c>
      <c r="U17" s="74">
        <v>23</v>
      </c>
      <c r="V17" s="74">
        <v>27</v>
      </c>
      <c r="W17" s="74">
        <v>27</v>
      </c>
      <c r="X17" s="74">
        <v>24</v>
      </c>
      <c r="Y17" s="108">
        <v>24</v>
      </c>
      <c r="Z17" s="74">
        <v>25</v>
      </c>
      <c r="AA17" s="74">
        <v>24</v>
      </c>
      <c r="AB17" s="74">
        <v>27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3332</v>
      </c>
      <c r="E18" s="71">
        <v>5278</v>
      </c>
      <c r="F18" s="71">
        <v>1485</v>
      </c>
      <c r="G18" s="71">
        <v>2256</v>
      </c>
      <c r="H18" s="71">
        <v>4534</v>
      </c>
      <c r="I18" s="71">
        <v>118</v>
      </c>
      <c r="J18" s="71">
        <v>469</v>
      </c>
      <c r="K18" s="71">
        <v>711</v>
      </c>
      <c r="L18" s="71">
        <v>2539</v>
      </c>
      <c r="M18" s="71">
        <v>3594</v>
      </c>
      <c r="N18" s="71">
        <v>2214</v>
      </c>
      <c r="O18" s="71">
        <v>49</v>
      </c>
      <c r="P18" s="71">
        <v>6967</v>
      </c>
      <c r="Q18" s="71">
        <v>28</v>
      </c>
      <c r="R18" s="71">
        <v>3515</v>
      </c>
      <c r="S18" s="71">
        <v>6879</v>
      </c>
      <c r="T18" s="71">
        <v>3817</v>
      </c>
      <c r="U18" s="71">
        <v>2509</v>
      </c>
      <c r="V18" s="71">
        <v>5451</v>
      </c>
      <c r="W18" s="71">
        <v>3701</v>
      </c>
      <c r="X18" s="71">
        <v>150</v>
      </c>
      <c r="Y18" s="109">
        <v>-9907</v>
      </c>
      <c r="Z18" s="71">
        <v>0</v>
      </c>
      <c r="AA18" s="71">
        <v>4236</v>
      </c>
      <c r="AB18" s="71">
        <v>6935</v>
      </c>
      <c r="AC18" s="71">
        <v>990</v>
      </c>
      <c r="AD18" s="71">
        <v>64.650000000000006</v>
      </c>
      <c r="AE18" s="71">
        <v>83.96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7" t="s" ph="1">
        <v>179</v>
      </c>
      <c r="D19" s="73" ph="1">
        <f>D18*7.0686*LOOKUP(D20,密度!$A$2:$A$50,密度!$L$2:$L$50)</f>
        <v>21998.105236800002</v>
      </c>
      <c r="E19" s="73" ph="1">
        <f>E18*7.0686*LOOKUP(E20,密度!$A$2:$A$50,密度!$L$2:$L$50)</f>
        <v>34845.738127200006</v>
      </c>
      <c r="F19" s="73" ph="1">
        <f>F18*9.0746*LOOKUP(F20,密度!$A$2:$A$50,密度!$L$2:$L$50)</f>
        <v>12559.427892000002</v>
      </c>
      <c r="G19" s="73" ph="1">
        <f>G18*9.0746*LOOKUP(G20,密度!$A$2:$A$50,密度!$B$2:$B$50)</f>
        <v>15925.400303040002</v>
      </c>
      <c r="H19" s="73" ph="1">
        <f>H18*9.0746*LOOKUP(H20,密度!$A$2:$A$50,密度!$L$2:$L$50)</f>
        <v>38593.293743199996</v>
      </c>
      <c r="I19" s="73" ph="1">
        <f>I18*9.0746*LOOKUP(I20,密度!$A$2:$A$50,密度!$U$2:$U$50)</f>
        <v>1094.3604616</v>
      </c>
      <c r="J19" s="73" ph="1">
        <f>J18*9.0746*LOOKUP(J20,密度!$A$2:$A$50,密度!$L$2:$L$50)</f>
        <v>3966.5802568000004</v>
      </c>
      <c r="K19" s="73" ph="1">
        <f>K18*9.0746*LOOKUP(K20,密度!$A$2:$A$50,密度!$C$2:$C$50)</f>
        <v>7130.1500670599999</v>
      </c>
      <c r="L19" s="73" ph="1">
        <f>L18*9.0746*LOOKUP(L20,密度!$A$2:$A$50,密度!$E$2:$E$50)</f>
        <v>17966.91125012</v>
      </c>
      <c r="M19" s="73" ph="1">
        <f>M18*9.0746*LOOKUP(M20,密度!$A$2:$A$50,密度!$M$2:$M$50)</f>
        <v>28439.5060128</v>
      </c>
      <c r="N19" s="73" ph="1">
        <f>N18*9.0746*LOOKUP(N20,密度!$A$2:$A$50,密度!$M$2:$M$50)</f>
        <v>17581.77796644</v>
      </c>
      <c r="O19" s="73" ph="1">
        <f>O18*9.0746*LOOKUP(O20,密度!$A$2:$A$50,密度!$G$2:$G$50)</f>
        <v>424.51251037999998</v>
      </c>
      <c r="P19" s="73" ph="1">
        <f ca="1">P18*9.0746*LOOKUP(P20,密度!$A$2:$A$51,密度!$Q$2:$Q$50)</f>
        <v>59721.462958484</v>
      </c>
      <c r="Q19" s="73" ph="1">
        <f>Q18*9.0746*LOOKUP(Q20,密度!$A$2:$A$50,密度!$Q$2:$Q$50)</f>
        <v>240.01736225599998</v>
      </c>
      <c r="R19" s="73" ph="1">
        <f>MAX(R18*9.0746*LOOKUP(R20,密度!$A$2:$A$50,密度!$B$2:$B$50),0)</f>
        <v>24784.139163</v>
      </c>
      <c r="S19" s="73" ph="1">
        <f>S18*9.0746*LOOKUP(S20,密度!$A$2:$A$50,密度!$Q$2:$Q$50)</f>
        <v>58967.122677108004</v>
      </c>
      <c r="T19" s="73" ph="1">
        <f>T18*9.0746*LOOKUP(T20,密度!$A$2:$A$50,密度!$O$2:$O$50)</f>
        <v>32074.554833200003</v>
      </c>
      <c r="U19" s="73" ph="1">
        <f>U18*9.0746*LOOKUP(U20,密度!$A$2:$A$50,密度!$H$2:$H$50)</f>
        <v>20764.5723168</v>
      </c>
      <c r="V19" s="73" ph="1">
        <f>MAX(5600*LOOKUP(V20,密度!$A$2:$A$50,密度!$Q$2:$Q$50)+V18*9.0476*LOOKUP(V20,密度!$A$2:$A$50,密度!$Q$2:$Q$50),0)</f>
        <v>51839.189121668001</v>
      </c>
      <c r="W19" s="73" ph="1">
        <f>MAX(5600*LOOKUP(W20,密度!$A$2:$A$50,密度!$Q$2:$Q$50)+W18*9.0476*LOOKUP(W20,密度!$A$2:$A$50,密度!$Q$2:$Q$50),0)</f>
        <v>36893.662252667993</v>
      </c>
      <c r="X19" s="73" ph="1">
        <f>MAX(5600*LOOKUP(X20,密度!$A$2:$A$50,密度!$I$2:$I$50)+X18*9.0476*LOOKUP(X20,密度!$A$2:$A$50,密度!$I$2:$I$50),0)</f>
        <v>7227.7727459999987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29902.480356240005</v>
      </c>
      <c r="AB19" s="73" ph="1">
        <f>AB18*9.0746*LOOKUP(AB20,密度!$A$2:$A$50,密度!$L$2:$L$50)</f>
        <v>58841.748185000004</v>
      </c>
      <c r="AC19" s="73" ph="1">
        <f>AC18*9.0746*LOOKUP(AC20,密度!$A$2:$A$50,密度!$L$2:$L$50)</f>
        <v>8390.9196360000005</v>
      </c>
      <c r="AD19" s="73" ph="1">
        <f>AD18*268.68*LOOKUP(AD20,密度!$A$2:$A$50,密度!B5:B53)+IF(AD18&lt;=0,0,1566*LOOKUP(AD20,密度!$A$2:$A$50,密度!B5:B53))</f>
        <v>14713.397874</v>
      </c>
      <c r="AE19" s="73" ph="1">
        <f>AE18*268.68*LOOKUP(AE20,密度!$A$2:$A$50,密度!B5:B53)+IF(AE18&lt;=0,0,1566*LOOKUP(AE20,密度!$A$2:$A$50,密度!B5:B53))</f>
        <v>18744.637665599999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28</v>
      </c>
      <c r="E20" s="81">
        <v>28</v>
      </c>
      <c r="F20" s="81">
        <v>30</v>
      </c>
      <c r="G20" s="81">
        <v>27</v>
      </c>
      <c r="H20" s="81">
        <v>24</v>
      </c>
      <c r="I20" s="81">
        <v>28</v>
      </c>
      <c r="J20" s="81">
        <v>30</v>
      </c>
      <c r="K20" s="81">
        <v>30</v>
      </c>
      <c r="L20" s="81">
        <v>28</v>
      </c>
      <c r="M20" s="81">
        <v>28</v>
      </c>
      <c r="N20" s="81">
        <v>25</v>
      </c>
      <c r="O20" s="81">
        <v>30</v>
      </c>
      <c r="P20" s="81">
        <v>28</v>
      </c>
      <c r="Q20" s="81">
        <v>28</v>
      </c>
      <c r="R20" s="81">
        <v>28</v>
      </c>
      <c r="S20" s="81">
        <v>28</v>
      </c>
      <c r="T20" s="81">
        <v>28</v>
      </c>
      <c r="U20" s="81">
        <v>28</v>
      </c>
      <c r="V20" s="81">
        <v>29</v>
      </c>
      <c r="W20" s="81">
        <v>29</v>
      </c>
      <c r="X20" s="81">
        <v>28</v>
      </c>
      <c r="Y20" s="110">
        <v>29</v>
      </c>
      <c r="Z20" s="81">
        <v>26</v>
      </c>
      <c r="AA20" s="81">
        <v>27</v>
      </c>
      <c r="AB20" s="81">
        <v>27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7" t="s" ph="1">
        <v>178</v>
      </c>
      <c r="D24" s="71">
        <v>3.26</v>
      </c>
      <c r="E24" s="71">
        <v>95.59</v>
      </c>
      <c r="F24" s="71">
        <v>0</v>
      </c>
      <c r="G24" s="71">
        <v>3230</v>
      </c>
      <c r="H24" s="71">
        <v>1492</v>
      </c>
      <c r="I24" s="71">
        <v>3797</v>
      </c>
      <c r="J24" s="71">
        <v>616</v>
      </c>
      <c r="K24" s="71">
        <v>0</v>
      </c>
      <c r="L24" s="71">
        <v>0</v>
      </c>
      <c r="M24" s="71">
        <v>5242</v>
      </c>
      <c r="N24" s="71">
        <v>1646</v>
      </c>
      <c r="O24" s="71">
        <v>4</v>
      </c>
      <c r="P24" s="71">
        <v>395</v>
      </c>
      <c r="Q24" s="90">
        <v>934</v>
      </c>
      <c r="R24" s="71">
        <v>2913</v>
      </c>
      <c r="S24" s="71">
        <v>1586</v>
      </c>
      <c r="T24" s="71">
        <v>1760</v>
      </c>
      <c r="U24" s="71">
        <v>6504</v>
      </c>
      <c r="V24" s="71">
        <v>9657</v>
      </c>
      <c r="W24" s="71">
        <v>8828</v>
      </c>
      <c r="X24" s="71">
        <v>3078</v>
      </c>
      <c r="Y24" s="71">
        <v>6320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2311.8413764319998</v>
      </c>
      <c r="E25" s="91" ph="1">
        <f>E24*268.68*LOOKUP(E26,密度!$A$2:$A$50,密度!$C$2:$C$50)+IF(E24&lt;=0,0,1566*LOOKUP(E26,密度!$A$2:$A$50,密度!$C$2:$C$50))</f>
        <v>30216.550498680004</v>
      </c>
      <c r="F25" s="91" ph="1">
        <f>F24*11.702*LOOKUP(F26,密度!$A$2:$A$50,密度!$Q$2:$Q$50)</f>
        <v>0</v>
      </c>
      <c r="G25" s="91" ph="1">
        <f>G24*18.322*LOOKUP(G26,密度!$A$2:$A$50,密度!$B$2:$B$50)</f>
        <v>46136.774775999998</v>
      </c>
      <c r="H25" s="91" ph="1">
        <f>H24*18.322*LOOKUP(H26,密度!$A$2:$A$50,密度!$B$2:$B$50)</f>
        <v>21311.476150399998</v>
      </c>
      <c r="I25" s="91" ph="1">
        <f>I24*18.322*LOOKUP(I26,密度!$A$2:$A$50,密度!$Q$2:$Q$50)</f>
        <v>65914.193655979994</v>
      </c>
      <c r="J25" s="91" ph="1">
        <f>J24*18.322*LOOKUP(J26,密度!$A$2:$A$50,密度!$Q$2:$Q$50)</f>
        <v>10693.47992944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90998.736672280007</v>
      </c>
      <c r="N25" s="91" ph="1">
        <f>N24*18.322*LOOKUP(N26,密度!$A$2:$A$50,密度!$Q$2:$Q$50)</f>
        <v>28573.81162964</v>
      </c>
      <c r="O25" s="91" ph="1">
        <f>O24*18.322*LOOKUP(O26,密度!$A$2:$A$50,密度!$C$2:$C$50)</f>
        <v>81.269063199999991</v>
      </c>
      <c r="P25" s="91" ph="1">
        <f>P24*11.702*LOOKUP(P26,密度!$A$2:$A$50,密度!$B$2:$B$50)</f>
        <v>3607.697345</v>
      </c>
      <c r="Q25" s="92" ph="1">
        <f>Q24*18.322*LOOKUP(Q26,密度!$A$2:$A$50,密度!$B$2:$B$50)</f>
        <v>13341.098340799999</v>
      </c>
      <c r="R25" s="91" ph="1">
        <f>R24*35.891*LOOKUP(R26,密度!$A$2:$A$50,密度!$C$2:$C$50)</f>
        <v>116009.21593679998</v>
      </c>
      <c r="S25" s="91" ph="1">
        <f>S24*35.891*LOOKUP(S26,密度!$A$2:$A$50,密度!$B$2:$B$50)</f>
        <v>44428.499842999998</v>
      </c>
      <c r="T25" s="91" ph="1">
        <f>T24*35.891*LOOKUP(T26,密度!$A$2:$A$50,密度!$Q$2:$Q$50)</f>
        <v>59849.936555200002</v>
      </c>
      <c r="U25" s="91" ph="1">
        <f>U24*35.891</f>
        <v>233435.06399999998</v>
      </c>
      <c r="V25" s="91" ph="1">
        <f>V24*47.051*LOOKUP(V26,密度!$A$2:$A$50,密度!$B$2:$B$50)</f>
        <v>354636.96121350001</v>
      </c>
      <c r="W25" s="91" ph="1">
        <f>W24*47.051*LOOKUP(W26,密度!$A$2:$A$50,密度!$B$2:$B$50)</f>
        <v>323819.51134879998</v>
      </c>
      <c r="X25" s="91" ph="1">
        <f>X24*47.051*LOOKUP(X26,密度!$A$2:$A$50,密度!$I$2:$I$50)</f>
        <v>149804.8884432</v>
      </c>
      <c r="Y25" s="91" ph="1">
        <f>Y24*47.051*LOOKUP(Y26,密度!$A$2:$A$50,密度!$L$2:$L$50)</f>
        <v>277439.04456000001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24</v>
      </c>
      <c r="G26" s="74">
        <v>25</v>
      </c>
      <c r="H26" s="74">
        <v>25</v>
      </c>
      <c r="I26" s="74">
        <v>24</v>
      </c>
      <c r="J26" s="74">
        <v>24</v>
      </c>
      <c r="K26" s="74">
        <v>24</v>
      </c>
      <c r="L26" s="74">
        <v>25</v>
      </c>
      <c r="M26" s="74">
        <v>24</v>
      </c>
      <c r="N26" s="74">
        <v>24</v>
      </c>
      <c r="O26" s="74">
        <v>25</v>
      </c>
      <c r="P26" s="74">
        <v>24</v>
      </c>
      <c r="Q26" s="93">
        <v>25</v>
      </c>
      <c r="R26" s="74">
        <v>24</v>
      </c>
      <c r="S26" s="74">
        <v>24</v>
      </c>
      <c r="T26" s="74">
        <v>24</v>
      </c>
      <c r="U26" s="74">
        <v>24</v>
      </c>
      <c r="V26" s="74">
        <v>24</v>
      </c>
      <c r="W26" s="74">
        <v>25</v>
      </c>
      <c r="X26" s="74">
        <v>32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7" t="s" ph="1">
        <v>181</v>
      </c>
      <c r="D27" s="71">
        <v>3.25</v>
      </c>
      <c r="E27" s="71">
        <v>95.61</v>
      </c>
      <c r="F27" s="71">
        <v>0</v>
      </c>
      <c r="G27" s="71">
        <v>2571</v>
      </c>
      <c r="H27" s="71">
        <v>1127</v>
      </c>
      <c r="I27" s="71">
        <v>2836</v>
      </c>
      <c r="J27" s="71">
        <v>483</v>
      </c>
      <c r="K27" s="71">
        <v>0</v>
      </c>
      <c r="L27" s="71">
        <v>0</v>
      </c>
      <c r="M27" s="71">
        <v>5246</v>
      </c>
      <c r="N27" s="71">
        <v>2439</v>
      </c>
      <c r="O27" s="71">
        <v>0</v>
      </c>
      <c r="P27" s="71">
        <v>388</v>
      </c>
      <c r="Q27" s="90">
        <v>1346</v>
      </c>
      <c r="R27" s="71">
        <v>2909</v>
      </c>
      <c r="S27" s="71">
        <v>1582</v>
      </c>
      <c r="T27" s="71">
        <v>1758</v>
      </c>
      <c r="U27" s="71">
        <v>6340</v>
      </c>
      <c r="V27" s="71">
        <v>9659</v>
      </c>
      <c r="W27" s="71">
        <v>11092</v>
      </c>
      <c r="X27" s="71">
        <v>3201</v>
      </c>
      <c r="Y27" s="71">
        <v>6458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7" t="s" ph="1">
        <v>179</v>
      </c>
      <c r="D28" s="91" ph="1">
        <f>D27*268.68*LOOKUP(D29,密度!$A$2:$A$50,密度!$Q$2:$Q$50)+IF(D27&lt;=0,0,1566*LOOKUP(D29,密度!$A$2:$A$50,密度!$Q$2:$Q$50))</f>
        <v>2309.2976754000001</v>
      </c>
      <c r="E28" s="91" ph="1">
        <f>E27*268.68*LOOKUP(E29,密度!$A$2:$A$50,密度!$C$2:$C$50)+IF(E27&lt;=0,0,1566*LOOKUP(E29,密度!$A$2:$A$50,密度!$C$2:$C$50))</f>
        <v>30222.509283720003</v>
      </c>
      <c r="F28" s="91" ph="1">
        <f>F27*11.702*LOOKUP(F29,密度!$A$2:$A$50,密度!$Q$2:$Q$50)</f>
        <v>0</v>
      </c>
      <c r="G28" s="91" ph="1">
        <f>G27*18.322*LOOKUP(G29,密度!$A$2:$A$50,密度!$B$2:$B$50)</f>
        <v>36643.650049800002</v>
      </c>
      <c r="H28" s="91" ph="1">
        <f>H27*18.322*LOOKUP(H29,密度!$A$2:$A$50,密度!$B$2:$B$50)</f>
        <v>16044.190638</v>
      </c>
      <c r="I28" s="91" ph="1">
        <f>I27*18.322*LOOKUP(I29,密度!$A$2:$A$50,密度!$Q$2:$Q$50)</f>
        <v>49119.954021439997</v>
      </c>
      <c r="J28" s="91" ph="1">
        <f>J27*18.322*LOOKUP(J29,密度!$A$2:$A$50,密度!$Q$2:$Q$50)</f>
        <v>8365.6339183199998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90794.240799439998</v>
      </c>
      <c r="N28" s="91" ph="1">
        <f>N27*18.322*LOOKUP(N29,密度!$A$2:$A$50,密度!$Q$2:$Q$50)</f>
        <v>42181.737836940003</v>
      </c>
      <c r="O28" s="91" ph="1">
        <f>O27*18.322*LOOKUP(O29,密度!$A$2:$A$50,密度!$C$2:$C$50)</f>
        <v>0</v>
      </c>
      <c r="P28" s="91" ph="1">
        <f>P27*11.702*LOOKUP(P29,密度!$A$2:$A$50,密度!$B$2:$B$50)</f>
        <v>3527.8721520000004</v>
      </c>
      <c r="Q28" s="92" ph="1">
        <f>Q27*18.322*LOOKUP(Q29,密度!$A$2:$A$50,密度!$B$2:$B$50)</f>
        <v>19161.917124</v>
      </c>
      <c r="R28" s="91" ph="1">
        <f>R27*35.891*LOOKUP(R29,密度!$A$2:$A$50,密度!$C$2:$C$50)</f>
        <v>115620.22210059999</v>
      </c>
      <c r="S28" s="91" ph="1">
        <f>S27*35.891*LOOKUP(S29,密度!$A$2:$A$50,密度!$B$2:$B$50)</f>
        <v>44117.719674</v>
      </c>
      <c r="T28" s="91" ph="1">
        <f>T27*35.891*LOOKUP(T29,密度!$A$2:$A$50,密度!$Q$2:$Q$50)</f>
        <v>59602.10058636</v>
      </c>
      <c r="U28" s="91" ph="1">
        <f>U27*35.891</f>
        <v>227548.94</v>
      </c>
      <c r="V28" s="91" ph="1">
        <f>V27*47.051*LOOKUP(V29,密度!$A$2:$A$50,密度!$B$2:$B$50)</f>
        <v>352347.18665769999</v>
      </c>
      <c r="W28" s="91" ph="1">
        <f>W27*47.051*LOOKUP(W29,密度!$A$2:$A$50,密度!$B$2:$B$50)</f>
        <v>405977.99140680005</v>
      </c>
      <c r="X28" s="91" ph="1">
        <f>X27*47.051*LOOKUP(X29,密度!$A$2:$A$50,密度!$I$2:$I$50)</f>
        <v>155624.06625579004</v>
      </c>
      <c r="Y28" s="91" ph="1">
        <f>Y27*47.051*LOOKUP(Y29,密度!$A$2:$A$50,密度!$L$2:$L$50)</f>
        <v>283497.04901400005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7" t="s" ph="1">
        <v>180</v>
      </c>
      <c r="D29" s="74">
        <v>25</v>
      </c>
      <c r="E29" s="74">
        <v>25</v>
      </c>
      <c r="F29" s="74">
        <v>28</v>
      </c>
      <c r="G29" s="74">
        <v>27</v>
      </c>
      <c r="H29" s="74">
        <v>28</v>
      </c>
      <c r="I29" s="74">
        <v>27</v>
      </c>
      <c r="J29" s="74">
        <v>27</v>
      </c>
      <c r="K29" s="74">
        <v>27</v>
      </c>
      <c r="L29" s="74">
        <v>30</v>
      </c>
      <c r="M29" s="74">
        <v>28</v>
      </c>
      <c r="N29" s="74">
        <v>29</v>
      </c>
      <c r="O29" s="74">
        <v>30</v>
      </c>
      <c r="P29" s="74">
        <v>28</v>
      </c>
      <c r="Q29" s="93">
        <v>28</v>
      </c>
      <c r="R29" s="74">
        <v>27</v>
      </c>
      <c r="S29" s="74">
        <v>28</v>
      </c>
      <c r="T29" s="74">
        <v>28</v>
      </c>
      <c r="U29" s="74">
        <v>28</v>
      </c>
      <c r="V29" s="74">
        <v>30</v>
      </c>
      <c r="W29" s="74">
        <v>27</v>
      </c>
      <c r="X29" s="74">
        <v>33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138012.9150674</v>
      </c>
      <c r="E33" s="218" ph="1">
        <f>M10+I10</f>
        <v>39846.597688799993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22" ph="1">
        <v>0</v>
      </c>
      <c r="H33" s="218" ph="1">
        <f>N19</f>
        <v>17581.77796644</v>
      </c>
      <c r="I33" s="231" ph="1">
        <v>0</v>
      </c>
      <c r="J33" s="229" ph="1">
        <f>F10+O28</f>
        <v>170589.17065320001</v>
      </c>
      <c r="K33" s="218" ph="1">
        <f>O10+K10+E28+R28</f>
        <v>148275.78286591999</v>
      </c>
      <c r="L33" s="233" ph="1">
        <f>BE27</f>
        <v>7100</v>
      </c>
      <c r="M33" s="229" ph="1">
        <f>G10+H10+W28+S28+V28+E10</f>
        <v>1543110.4709395003</v>
      </c>
      <c r="N33" s="218" ph="1">
        <f>L10+P10++G28+H28</f>
        <v>216560.1254858</v>
      </c>
      <c r="O33" s="231" ph="1">
        <f>BE17</f>
        <v>2270</v>
      </c>
      <c r="P33" s="229" ph="1">
        <f>L19</f>
        <v>17966.91125012</v>
      </c>
      <c r="Q33" s="218" ph="1">
        <f>J10+N10</f>
        <v>156536.07832080001</v>
      </c>
      <c r="R33" s="231" ph="1">
        <f>BE23</f>
        <v>890</v>
      </c>
      <c r="S33" s="229" ph="1">
        <f>E10+X28</f>
        <v>342955.28525679006</v>
      </c>
      <c r="T33" s="218" ph="1">
        <f>X19</f>
        <v>7227.7727459999987</v>
      </c>
      <c r="U33" s="239" ph="1">
        <f>BE21</f>
        <v>730</v>
      </c>
      <c r="V33" s="250" ph="1">
        <f ca="1">P19+Q19+S19+M28+N28+J28</f>
        <v>260270.21555254803</v>
      </c>
      <c r="W33" s="250" ph="1">
        <f>D28+F28+V19+T28</f>
        <v>113750.58738342801</v>
      </c>
      <c r="X33" s="231" ph="1">
        <f>BE29+BE31</f>
        <v>10200</v>
      </c>
      <c r="Y33" s="252" ph="1">
        <f>+Q10+R10+S10+T10+U10+V10+W10+X10+Y10</f>
        <v>132591.0033756</v>
      </c>
      <c r="Z33" s="237" ph="1">
        <f>D10+T19+U19+Y28+Z10</f>
        <v>633638.42513410002</v>
      </c>
      <c r="AA33" s="239" ph="1">
        <f>BE19</f>
        <v>1440</v>
      </c>
      <c r="AB33" s="241" ph="1">
        <f>I19</f>
        <v>1094.3604616</v>
      </c>
      <c r="AC33" s="243" ph="1">
        <f>AD10</f>
        <v>106259.9844096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9" t="s" ph="1">
        <v>186</v>
      </c>
      <c r="AA36" s="149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15" priority="96">
      <formula>ABS(D$7-D$10)&gt;=1000</formula>
    </cfRule>
  </conditionalFormatting>
  <conditionalFormatting sqref="E4 E6:E11">
    <cfRule type="expression" dxfId="2014" priority="95">
      <formula>ABS(E$7-E$10)&gt;=1000</formula>
    </cfRule>
  </conditionalFormatting>
  <conditionalFormatting sqref="F4:F11">
    <cfRule type="expression" dxfId="2013" priority="94">
      <formula>ABS(F$7-F$10)&gt;=1000</formula>
    </cfRule>
  </conditionalFormatting>
  <conditionalFormatting sqref="G4:G11">
    <cfRule type="expression" dxfId="2012" priority="93">
      <formula>ABS(G$7-G$10)&gt;=1000</formula>
    </cfRule>
  </conditionalFormatting>
  <conditionalFormatting sqref="H4:H11">
    <cfRule type="expression" dxfId="2011" priority="92">
      <formula>ABS(H$7-H$10)&gt;=1000</formula>
    </cfRule>
  </conditionalFormatting>
  <conditionalFormatting sqref="I4:I11">
    <cfRule type="expression" dxfId="2010" priority="91">
      <formula>ABS(I$7-I$10)&gt;=1000</formula>
    </cfRule>
  </conditionalFormatting>
  <conditionalFormatting sqref="J4:J11">
    <cfRule type="expression" dxfId="2009" priority="90">
      <formula>ABS(J$7-J$10)&gt;=1000</formula>
    </cfRule>
  </conditionalFormatting>
  <conditionalFormatting sqref="K4:K11">
    <cfRule type="expression" dxfId="2008" priority="89">
      <formula>ABS(K$7-K$10)&gt;=1000</formula>
    </cfRule>
  </conditionalFormatting>
  <conditionalFormatting sqref="L4:L11">
    <cfRule type="expression" dxfId="2007" priority="88">
      <formula>ABS(L$7-L$10)&gt;=1000</formula>
    </cfRule>
  </conditionalFormatting>
  <conditionalFormatting sqref="M4 M6:M11">
    <cfRule type="expression" dxfId="2006" priority="87">
      <formula>ABS(M$7-M$10)&gt;=1000</formula>
    </cfRule>
  </conditionalFormatting>
  <conditionalFormatting sqref="N4 N6:N11">
    <cfRule type="expression" dxfId="2005" priority="86">
      <formula>ABS(N$7-N$10)&gt;=1000</formula>
    </cfRule>
  </conditionalFormatting>
  <conditionalFormatting sqref="O4 O6:O11">
    <cfRule type="expression" dxfId="2004" priority="85">
      <formula>ABS(O$7-O$10)&gt;=1000</formula>
    </cfRule>
  </conditionalFormatting>
  <conditionalFormatting sqref="P4 P6:P11">
    <cfRule type="expression" dxfId="2003" priority="84">
      <formula>ABS(P$7-P$10)&gt;=1000</formula>
    </cfRule>
  </conditionalFormatting>
  <conditionalFormatting sqref="Q4:Q11">
    <cfRule type="expression" dxfId="2002" priority="83">
      <formula>ABS(Q$7-Q$10)&gt;=1000</formula>
    </cfRule>
  </conditionalFormatting>
  <conditionalFormatting sqref="R4:R11">
    <cfRule type="expression" dxfId="2001" priority="82">
      <formula>ABS(R$7-R$10)&gt;=1000</formula>
    </cfRule>
  </conditionalFormatting>
  <conditionalFormatting sqref="S4:S11">
    <cfRule type="expression" dxfId="2000" priority="81">
      <formula>ABS(S$7-S$10)&gt;=1000</formula>
    </cfRule>
  </conditionalFormatting>
  <conditionalFormatting sqref="T4:T9 T11">
    <cfRule type="expression" dxfId="1999" priority="80">
      <formula>ABS(T$7-T$10)&gt;=1000</formula>
    </cfRule>
  </conditionalFormatting>
  <conditionalFormatting sqref="U4:U9 U11">
    <cfRule type="expression" dxfId="1998" priority="79">
      <formula>ABS(U$7-U$10)&gt;=1000</formula>
    </cfRule>
  </conditionalFormatting>
  <conditionalFormatting sqref="V4:V9 V11">
    <cfRule type="expression" dxfId="1997" priority="78">
      <formula>ABS(V$7-V$10)&gt;=1000</formula>
    </cfRule>
  </conditionalFormatting>
  <conditionalFormatting sqref="W4:W9 W11">
    <cfRule type="expression" dxfId="1996" priority="77">
      <formula>ABS(W$7-W$10)&gt;=1000</formula>
    </cfRule>
  </conditionalFormatting>
  <conditionalFormatting sqref="X4:X9 X11">
    <cfRule type="expression" dxfId="1995" priority="76">
      <formula>ABS(X$7-X$10)&gt;=1000</formula>
    </cfRule>
  </conditionalFormatting>
  <conditionalFormatting sqref="Y4:Y9 Y11">
    <cfRule type="expression" dxfId="1994" priority="75">
      <formula>ABS(Y$7-Y$10)&gt;=1000</formula>
    </cfRule>
  </conditionalFormatting>
  <conditionalFormatting sqref="Z4:Z11">
    <cfRule type="expression" dxfId="1993" priority="74">
      <formula>ABS(Z$7-Z$10)&gt;=1000</formula>
    </cfRule>
  </conditionalFormatting>
  <conditionalFormatting sqref="AA4:AA11">
    <cfRule type="expression" dxfId="1992" priority="73">
      <formula>ABS(AA$7-AA$10)&gt;=1000</formula>
    </cfRule>
  </conditionalFormatting>
  <conditionalFormatting sqref="AB4:AB11">
    <cfRule type="expression" dxfId="1991" priority="72">
      <formula>ABS(AB$7-AB$10)&gt;=1000</formula>
    </cfRule>
  </conditionalFormatting>
  <conditionalFormatting sqref="AC4 AC6:AC11">
    <cfRule type="expression" dxfId="1990" priority="71">
      <formula>ABS(AC$7-AC$10)&gt;=1000</formula>
    </cfRule>
  </conditionalFormatting>
  <conditionalFormatting sqref="AD4:AD11">
    <cfRule type="expression" dxfId="1989" priority="70">
      <formula>ABS(AD$7-AD$10)&gt;=1000</formula>
    </cfRule>
  </conditionalFormatting>
  <conditionalFormatting sqref="AE4:AE11">
    <cfRule type="expression" dxfId="1988" priority="69">
      <formula>ABS(AE$7-AE$10)&gt;=1000</formula>
    </cfRule>
  </conditionalFormatting>
  <conditionalFormatting sqref="D13:D20">
    <cfRule type="expression" dxfId="1987" priority="68">
      <formula>ABS(D$16-D$19)&gt;=1000</formula>
    </cfRule>
  </conditionalFormatting>
  <conditionalFormatting sqref="E13:E20">
    <cfRule type="expression" dxfId="1986" priority="67">
      <formula>ABS(E$16-E$19)&gt;=1000</formula>
    </cfRule>
  </conditionalFormatting>
  <conditionalFormatting sqref="F13 F15:F20">
    <cfRule type="expression" dxfId="1985" priority="66">
      <formula>ABS(F$16-F$19)&gt;=1000</formula>
    </cfRule>
  </conditionalFormatting>
  <conditionalFormatting sqref="G13:G20">
    <cfRule type="expression" dxfId="1984" priority="65">
      <formula>ABS(G$16-G$19)&gt;=1000</formula>
    </cfRule>
  </conditionalFormatting>
  <conditionalFormatting sqref="H13:H20">
    <cfRule type="expression" dxfId="1983" priority="64">
      <formula>ABS(H$16-H$19)&gt;=1000</formula>
    </cfRule>
  </conditionalFormatting>
  <conditionalFormatting sqref="I13:I20">
    <cfRule type="expression" dxfId="1982" priority="63">
      <formula>ABS(I$16-I$19)&gt;=1000</formula>
    </cfRule>
  </conditionalFormatting>
  <conditionalFormatting sqref="J13:J20">
    <cfRule type="expression" dxfId="1981" priority="62">
      <formula>ABS(J$16-J$19)&gt;=1000</formula>
    </cfRule>
  </conditionalFormatting>
  <conditionalFormatting sqref="L13:L20">
    <cfRule type="expression" dxfId="1980" priority="61">
      <formula>ABS(L$16-L$19)&gt;=1000</formula>
    </cfRule>
  </conditionalFormatting>
  <conditionalFormatting sqref="M13 M15 M17:M18 M20">
    <cfRule type="expression" dxfId="1979" priority="60">
      <formula>ABS(M$16-M$19)&gt;=1000</formula>
    </cfRule>
  </conditionalFormatting>
  <conditionalFormatting sqref="N13:N20">
    <cfRule type="expression" dxfId="1978" priority="59">
      <formula>ABS(N$16-N$19)&gt;=1000</formula>
    </cfRule>
  </conditionalFormatting>
  <conditionalFormatting sqref="O13:O20">
    <cfRule type="expression" dxfId="1977" priority="58">
      <formula>ABS(O$16-O$19)&gt;=1000</formula>
    </cfRule>
  </conditionalFormatting>
  <conditionalFormatting sqref="P13:P20">
    <cfRule type="expression" dxfId="1976" priority="57">
      <formula>ABS(P$16-P$19)&gt;=1000</formula>
    </cfRule>
  </conditionalFormatting>
  <conditionalFormatting sqref="Q13 Q15:Q20">
    <cfRule type="expression" dxfId="1975" priority="56">
      <formula>ABS(Q$16-Q$19)&gt;=1000</formula>
    </cfRule>
  </conditionalFormatting>
  <conditionalFormatting sqref="R13:R20">
    <cfRule type="expression" dxfId="1974" priority="55">
      <formula>ABS(R$16-R$19)&gt;=1000</formula>
    </cfRule>
  </conditionalFormatting>
  <conditionalFormatting sqref="S13:S20">
    <cfRule type="expression" dxfId="1973" priority="54">
      <formula>ABS(S$16-S$19)&gt;=1000</formula>
    </cfRule>
  </conditionalFormatting>
  <conditionalFormatting sqref="T13:T20">
    <cfRule type="expression" dxfId="1972" priority="53">
      <formula>ABS(T$16-T$19)&gt;=1000</formula>
    </cfRule>
  </conditionalFormatting>
  <conditionalFormatting sqref="U13:U20">
    <cfRule type="expression" dxfId="1971" priority="52">
      <formula>ABS(U$16-U$19)&gt;=1000</formula>
    </cfRule>
  </conditionalFormatting>
  <conditionalFormatting sqref="V13:V20">
    <cfRule type="expression" dxfId="1970" priority="51">
      <formula>ABS(V$16-V$19)&gt;=1000</formula>
    </cfRule>
  </conditionalFormatting>
  <conditionalFormatting sqref="W13 W20 W15:W18">
    <cfRule type="expression" dxfId="1969" priority="50">
      <formula>ABS(W$16-W$19)&gt;=1000</formula>
    </cfRule>
  </conditionalFormatting>
  <conditionalFormatting sqref="X13 X15:X20 Y19">
    <cfRule type="expression" dxfId="1968" priority="49">
      <formula>ABS(X$16-X$19)&gt;=1000</formula>
    </cfRule>
  </conditionalFormatting>
  <conditionalFormatting sqref="Y13 Y15:Y18 Y20">
    <cfRule type="expression" dxfId="1967" priority="48">
      <formula>ABS(Y$16-Y$19)&gt;=1000</formula>
    </cfRule>
  </conditionalFormatting>
  <conditionalFormatting sqref="Z13:Z20">
    <cfRule type="expression" dxfId="1966" priority="47">
      <formula>ABS(Z$16-Z$19)&gt;=1000</formula>
    </cfRule>
  </conditionalFormatting>
  <conditionalFormatting sqref="AA13:AA20">
    <cfRule type="expression" dxfId="1965" priority="46">
      <formula>ABS(AA$16-AA$19)&gt;=1000</formula>
    </cfRule>
  </conditionalFormatting>
  <conditionalFormatting sqref="AB13 AB15:AB20">
    <cfRule type="expression" dxfId="1964" priority="45">
      <formula>ABS(AB$16-AB$19)&gt;=1000</formula>
    </cfRule>
  </conditionalFormatting>
  <conditionalFormatting sqref="AC13 AC15:AC20">
    <cfRule type="expression" dxfId="1963" priority="44">
      <formula>ABS(AC$16-AC$19)&gt;=1000</formula>
    </cfRule>
  </conditionalFormatting>
  <conditionalFormatting sqref="AD13:AD20">
    <cfRule type="expression" dxfId="1962" priority="43">
      <formula>ABS(AD$16-AD$19)&gt;=1000</formula>
    </cfRule>
  </conditionalFormatting>
  <conditionalFormatting sqref="AE13:AE20">
    <cfRule type="expression" dxfId="1961" priority="42">
      <formula>ABS(AE$16-AE$19)&gt;=1000</formula>
    </cfRule>
  </conditionalFormatting>
  <conditionalFormatting sqref="D22:D29">
    <cfRule type="expression" dxfId="1960" priority="41">
      <formula>ABS(D$25-D$28)&gt;=1000</formula>
    </cfRule>
  </conditionalFormatting>
  <conditionalFormatting sqref="E22:E29">
    <cfRule type="expression" dxfId="1959" priority="40">
      <formula>ABS(E$25-E$28)&gt;=1000</formula>
    </cfRule>
  </conditionalFormatting>
  <conditionalFormatting sqref="F22:F29">
    <cfRule type="expression" dxfId="1958" priority="39">
      <formula>ABS(F$25-F$28)&gt;=1000</formula>
    </cfRule>
  </conditionalFormatting>
  <conditionalFormatting sqref="G22:G29">
    <cfRule type="expression" dxfId="1957" priority="38">
      <formula>ABS(G$25-G$28)&gt;=1000</formula>
    </cfRule>
  </conditionalFormatting>
  <conditionalFormatting sqref="H22:H29">
    <cfRule type="expression" dxfId="1956" priority="37">
      <formula>ABS(H$25-H$28)&gt;=1000</formula>
    </cfRule>
  </conditionalFormatting>
  <conditionalFormatting sqref="I22 I24:I29">
    <cfRule type="expression" dxfId="1955" priority="36">
      <formula>ABS(I$25-I$28)&gt;=1000</formula>
    </cfRule>
  </conditionalFormatting>
  <conditionalFormatting sqref="J22:J29 K22">
    <cfRule type="expression" dxfId="1954" priority="35">
      <formula>ABS(J$25-J$28)&gt;=1000</formula>
    </cfRule>
  </conditionalFormatting>
  <conditionalFormatting sqref="K23:K29 L25 L28">
    <cfRule type="expression" dxfId="1953" priority="34">
      <formula>ABS(K$25-K$28)&gt;=1000</formula>
    </cfRule>
  </conditionalFormatting>
  <conditionalFormatting sqref="L22:L24 L26:L27 L29">
    <cfRule type="expression" dxfId="1952" priority="33">
      <formula>ABS(L$25-L$28)&gt;=1000</formula>
    </cfRule>
  </conditionalFormatting>
  <conditionalFormatting sqref="M22:M29">
    <cfRule type="expression" dxfId="1951" priority="32">
      <formula>ABS(M$25-M$28)&gt;=1000</formula>
    </cfRule>
  </conditionalFormatting>
  <conditionalFormatting sqref="N22:N29">
    <cfRule type="expression" dxfId="1950" priority="31">
      <formula>ABS(N$25-N$28)&gt;=1000</formula>
    </cfRule>
  </conditionalFormatting>
  <conditionalFormatting sqref="O22:O29">
    <cfRule type="expression" dxfId="1949" priority="30">
      <formula>ABS(O$25-O$28)&gt;=1000</formula>
    </cfRule>
  </conditionalFormatting>
  <conditionalFormatting sqref="P22:P29">
    <cfRule type="expression" dxfId="1948" priority="29">
      <formula>ABS(P$25-P$28)&gt;=1000</formula>
    </cfRule>
  </conditionalFormatting>
  <conditionalFormatting sqref="Q22:Q29">
    <cfRule type="expression" dxfId="1947" priority="28">
      <formula>ABS(Q$25-Q$28)&gt;=1000</formula>
    </cfRule>
  </conditionalFormatting>
  <conditionalFormatting sqref="R22:R29">
    <cfRule type="expression" dxfId="1946" priority="27">
      <formula>ABS(R$25-R$28)&gt;=1000</formula>
    </cfRule>
  </conditionalFormatting>
  <conditionalFormatting sqref="S22:S29">
    <cfRule type="expression" dxfId="1945" priority="26">
      <formula>ABS(S$25-S$28)&gt;=1000</formula>
    </cfRule>
  </conditionalFormatting>
  <conditionalFormatting sqref="T22:T29">
    <cfRule type="expression" dxfId="1944" priority="25">
      <formula>ABS(T$25-T$28)&gt;=1000</formula>
    </cfRule>
  </conditionalFormatting>
  <conditionalFormatting sqref="U22:U29">
    <cfRule type="expression" dxfId="1943" priority="24">
      <formula>ABS(U$25-U$28)&gt;=1000</formula>
    </cfRule>
  </conditionalFormatting>
  <conditionalFormatting sqref="V22:V29">
    <cfRule type="expression" dxfId="1942" priority="23">
      <formula>ABS(V$25-V$28)&gt;=1000</formula>
    </cfRule>
  </conditionalFormatting>
  <conditionalFormatting sqref="W22:W29">
    <cfRule type="expression" dxfId="1941" priority="22">
      <formula>ABS(W$25-W$28)&gt;=1000</formula>
    </cfRule>
  </conditionalFormatting>
  <conditionalFormatting sqref="X22:X29">
    <cfRule type="expression" dxfId="1940" priority="21">
      <formula>ABS(X$25-X$28)&gt;=1000</formula>
    </cfRule>
  </conditionalFormatting>
  <conditionalFormatting sqref="Y22:Y29">
    <cfRule type="expression" dxfId="1939" priority="20">
      <formula>ABS(Y$25-Y$28)&gt;=1000</formula>
    </cfRule>
  </conditionalFormatting>
  <conditionalFormatting sqref="I23">
    <cfRule type="expression" dxfId="1938" priority="19">
      <formula>ABS(I$25-I$28)&gt;=1000</formula>
    </cfRule>
  </conditionalFormatting>
  <conditionalFormatting sqref="F14">
    <cfRule type="expression" dxfId="1937" priority="18">
      <formula>ABS(F$16-F$19)&gt;=1000</formula>
    </cfRule>
  </conditionalFormatting>
  <conditionalFormatting sqref="Q14">
    <cfRule type="expression" dxfId="1936" priority="17">
      <formula>ABS(Q$16-Q$19)&gt;=1000</formula>
    </cfRule>
  </conditionalFormatting>
  <conditionalFormatting sqref="W14">
    <cfRule type="expression" dxfId="1935" priority="16">
      <formula>ABS(W$16-W$19)&gt;=1000</formula>
    </cfRule>
  </conditionalFormatting>
  <conditionalFormatting sqref="Y14">
    <cfRule type="expression" dxfId="1934" priority="15">
      <formula>ABS(Y$16-Y$19)&gt;=1000</formula>
    </cfRule>
  </conditionalFormatting>
  <conditionalFormatting sqref="X14">
    <cfRule type="expression" dxfId="1933" priority="14">
      <formula>ABS(X$16-X$19)&gt;=1000</formula>
    </cfRule>
  </conditionalFormatting>
  <conditionalFormatting sqref="T10:Y10">
    <cfRule type="expression" dxfId="1932" priority="13">
      <formula>ABS(T$7-T$10)&gt;=1000</formula>
    </cfRule>
  </conditionalFormatting>
  <conditionalFormatting sqref="W19">
    <cfRule type="expression" dxfId="1931" priority="12">
      <formula>ABS(W$16-W$19)&gt;=1000</formula>
    </cfRule>
  </conditionalFormatting>
  <conditionalFormatting sqref="AC5">
    <cfRule type="expression" dxfId="1930" priority="11">
      <formula>ABS(AC$7-AC$10)&gt;=1000</formula>
    </cfRule>
  </conditionalFormatting>
  <conditionalFormatting sqref="M14">
    <cfRule type="expression" dxfId="1929" priority="10">
      <formula>ABS(M$16-M$19)&gt;=1000</formula>
    </cfRule>
  </conditionalFormatting>
  <conditionalFormatting sqref="M16">
    <cfRule type="expression" dxfId="1928" priority="9">
      <formula>ABS(M$16-M$19)&gt;=1000</formula>
    </cfRule>
  </conditionalFormatting>
  <conditionalFormatting sqref="M19">
    <cfRule type="expression" dxfId="1927" priority="8">
      <formula>ABS(M$16-M$19)&gt;=1000</formula>
    </cfRule>
  </conditionalFormatting>
  <conditionalFormatting sqref="K13:K20">
    <cfRule type="expression" dxfId="1926" priority="7">
      <formula>ABS(K$16-K$19)&gt;=1000</formula>
    </cfRule>
  </conditionalFormatting>
  <conditionalFormatting sqref="E5">
    <cfRule type="expression" dxfId="1925" priority="6">
      <formula>ABS(E$7-E$10)&gt;=1000</formula>
    </cfRule>
  </conditionalFormatting>
  <conditionalFormatting sqref="AB14:AC14">
    <cfRule type="expression" dxfId="1924" priority="5">
      <formula>ABS(AB$16-AB$19)&gt;=1000</formula>
    </cfRule>
  </conditionalFormatting>
  <conditionalFormatting sqref="M5">
    <cfRule type="expression" dxfId="1923" priority="4">
      <formula>ABS(M$7-M$10)&gt;=1000</formula>
    </cfRule>
  </conditionalFormatting>
  <conditionalFormatting sqref="N5">
    <cfRule type="expression" dxfId="1922" priority="3">
      <formula>ABS(N$7-N$10)&gt;=1000</formula>
    </cfRule>
  </conditionalFormatting>
  <conditionalFormatting sqref="O5">
    <cfRule type="expression" dxfId="1921" priority="2">
      <formula>ABS(O$7-O$10)&gt;=1000</formula>
    </cfRule>
  </conditionalFormatting>
  <conditionalFormatting sqref="P5">
    <cfRule type="expression" dxfId="1920" priority="1">
      <formula>ABS(P$7-P$10)&gt;=1000</formula>
    </cfRule>
  </conditionalFormatting>
  <dataValidations count="1">
    <dataValidation operator="greaterThanOrEqual" allowBlank="1" showErrorMessage="1" sqref="D6" xr:uid="{00000000-0002-0000-08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32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632">
    <pageSetUpPr fitToPage="1"/>
  </sheetPr>
  <dimension ref="A1:CU223"/>
  <sheetViews>
    <sheetView view="pageBreakPreview" topLeftCell="A10" zoomScale="80" zoomScaleNormal="100" zoomScaleSheetLayoutView="80" workbookViewId="0">
      <selection activeCell="O40" sqref="O40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45786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47" t="s" ph="1">
        <v>178</v>
      </c>
      <c r="D6" s="71">
        <v>4186</v>
      </c>
      <c r="E6" s="71">
        <v>4701</v>
      </c>
      <c r="F6" s="71">
        <v>4633</v>
      </c>
      <c r="G6" s="71">
        <v>7910</v>
      </c>
      <c r="H6" s="71">
        <v>4794</v>
      </c>
      <c r="I6" s="71">
        <v>0.11</v>
      </c>
      <c r="J6" s="71">
        <v>7.82</v>
      </c>
      <c r="K6" s="71">
        <v>7.52</v>
      </c>
      <c r="L6" s="71">
        <v>37.74</v>
      </c>
      <c r="M6" s="71">
        <v>1177</v>
      </c>
      <c r="N6" s="71">
        <v>5978</v>
      </c>
      <c r="O6" s="71">
        <v>0</v>
      </c>
      <c r="P6" s="71">
        <v>3637</v>
      </c>
      <c r="Q6" s="71">
        <v>0</v>
      </c>
      <c r="R6" s="71">
        <v>1084</v>
      </c>
      <c r="S6" s="71">
        <v>5023</v>
      </c>
      <c r="T6" s="71">
        <v>5136</v>
      </c>
      <c r="U6" s="71">
        <v>4427</v>
      </c>
      <c r="V6" s="71">
        <v>0</v>
      </c>
      <c r="W6" s="71">
        <v>0</v>
      </c>
      <c r="X6" s="71">
        <v>0</v>
      </c>
      <c r="Y6" s="71">
        <v>0</v>
      </c>
      <c r="Z6" s="71">
        <v>5351</v>
      </c>
      <c r="AA6" s="71">
        <v>5158</v>
      </c>
      <c r="AB6" s="71">
        <v>3076</v>
      </c>
      <c r="AC6" s="71">
        <v>5889</v>
      </c>
      <c r="AD6" s="71">
        <v>5426</v>
      </c>
      <c r="AE6" s="71">
        <v>3740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131407.38706914001</v>
      </c>
      <c r="E7" s="73" ph="1">
        <f>E6*51.53*LOOKUP(E8,密度!$A$2:$A$50,密度!$B$2:$B$50)</f>
        <v>188852.276388</v>
      </c>
      <c r="F7" s="73" ph="1">
        <f>F6*33.183*LOOKUP(F8,密度!$A$2:$A$50,密度!$C$2:$C$50)</f>
        <v>170355.79129590001</v>
      </c>
      <c r="G7" s="73" ph="1">
        <f xml:space="preserve"> (G6+2)*51.53*LOOKUP(G8,密度!$A$2:$A$50,密度!$B$2:$B$50)</f>
        <v>317847.09865599999</v>
      </c>
      <c r="H7" s="73" ph="1">
        <f>(H6)*51.53*LOOKUP(H8,密度!$A$2:$A$50,密度!$B$2:$B$50)</f>
        <v>193477.67102400001</v>
      </c>
      <c r="I7" s="73" ph="1">
        <f>I6*290.8*1.0267</f>
        <v>32.842079599999998</v>
      </c>
      <c r="J7" s="73" ph="1">
        <f>J6*290.8*0.7892</f>
        <v>1794.6849952</v>
      </c>
      <c r="K7" s="73" ph="1">
        <f>K6*290.8*1.1126</f>
        <v>2433.0514816</v>
      </c>
      <c r="L7" s="73" ph="1">
        <f>L6*290.8*0.777</f>
        <v>8527.4133840000013</v>
      </c>
      <c r="M7" s="73" ph="1">
        <f>M6*33.183*LOOKUP(M8,密度!$A$2:$A$50,密度!$D$2:$D$50)</f>
        <v>39950.782353900002</v>
      </c>
      <c r="N7" s="73" ph="1">
        <f>N6*33.183*LOOKUP(N8,密度!$A$2:$A$50,密度!$E$2:$E$50)</f>
        <v>155143.5924654</v>
      </c>
      <c r="O7" s="73" ph="1">
        <f>O6*20.428*LOOKUP(O8,密度!$A$2:$A$50,密度!$C$2:$C$50)</f>
        <v>0</v>
      </c>
      <c r="P7" s="73" ph="1">
        <f>P6*51.53*LOOKUP(P8,密度!$A$2:$A$50,密度!$B$2:$B$50)</f>
        <v>145621.15197000001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7125.9970320000002</v>
      </c>
      <c r="S7" s="73" ph="1">
        <f>S6*1.5*1.5*3.1416*LOOKUP(S8,密度!$A$2:$A$50,密度!$L$2:$L$50)</f>
        <v>33481.759865399996</v>
      </c>
      <c r="T7" s="73" ph="1">
        <f>T6*1.5*1.5*3.1416*LOOKUP(T8,密度!$A$2:$A$50,密度!$L$2:$L$50)</f>
        <v>34126.069823999998</v>
      </c>
      <c r="U7" s="73" ph="1">
        <f>U6*1.5*1.5*3.1416*LOOKUP(U8,密度!$A$2:$A$50,密度!$L$2:$L$50)</f>
        <v>29227.374514799998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166020.68785500003</v>
      </c>
      <c r="AA7" s="73" ph="1">
        <f>AA6*33.183*LOOKUP(AA8,密度!$A$2:$A$50,密度!$D$2:$D$50)</f>
        <v>175248.58814459998</v>
      </c>
      <c r="AB7" s="73" ph="1">
        <f>AB6*20.428*LOOKUP(AB8,密度!$A$2:$A$50,密度!$D$2:$D$50)</f>
        <v>65023.239174400005</v>
      </c>
      <c r="AC7" s="73" ph="1">
        <f>AC6*51.53*LOOKUP(AC8,密度!$A$2:$A$50,密度!$Q$2:$Q$50)</f>
        <v>287519.40726989997</v>
      </c>
      <c r="AD7" s="73" ph="1">
        <f>AD6*20.428*LOOKUP(AD8,密度!$A$2:$A$50,密度!$V$2:$V$50)</f>
        <v>106142.61329280002</v>
      </c>
      <c r="AE7" s="73" ph="1">
        <f>AE6*20.428</f>
        <v>76400.72</v>
      </c>
    </row>
    <row r="8" spans="1:99" ph="1">
      <c r="B8" s="196" ph="1"/>
      <c r="C8" s="68" t="s" ph="1">
        <v>180</v>
      </c>
      <c r="D8" s="74">
        <v>26</v>
      </c>
      <c r="E8" s="74">
        <v>25</v>
      </c>
      <c r="F8" s="74">
        <v>26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26</v>
      </c>
      <c r="O8" s="74">
        <v>29</v>
      </c>
      <c r="P8" s="74">
        <v>28</v>
      </c>
      <c r="Q8" s="74">
        <v>24</v>
      </c>
      <c r="R8" s="74">
        <v>32</v>
      </c>
      <c r="S8" s="74">
        <v>19</v>
      </c>
      <c r="T8" s="74">
        <v>22</v>
      </c>
      <c r="U8" s="74">
        <v>28</v>
      </c>
      <c r="V8" s="74">
        <v>28</v>
      </c>
      <c r="W8" s="74">
        <v>27</v>
      </c>
      <c r="X8" s="74">
        <v>18</v>
      </c>
      <c r="Y8" s="74">
        <v>26</v>
      </c>
      <c r="Z8" s="74">
        <v>27</v>
      </c>
      <c r="AA8" s="74">
        <v>28</v>
      </c>
      <c r="AB8" s="74">
        <v>16</v>
      </c>
      <c r="AC8" s="74">
        <v>24</v>
      </c>
      <c r="AD8" s="74">
        <v>26</v>
      </c>
      <c r="AE8" s="74">
        <v>27</v>
      </c>
    </row>
    <row r="9" spans="1:99" ph="1">
      <c r="B9" s="196" ph="1">
        <v>0.66666666666666663</v>
      </c>
      <c r="C9" s="147" t="s" ph="1">
        <v>181</v>
      </c>
      <c r="D9" s="71">
        <v>4222</v>
      </c>
      <c r="E9" s="71">
        <v>4694</v>
      </c>
      <c r="F9" s="71">
        <v>4639</v>
      </c>
      <c r="G9" s="71">
        <v>7596</v>
      </c>
      <c r="H9" s="71">
        <v>4517</v>
      </c>
      <c r="I9" s="71">
        <v>0</v>
      </c>
      <c r="J9" s="71">
        <v>7.81</v>
      </c>
      <c r="K9" s="71">
        <v>7.6</v>
      </c>
      <c r="L9" s="71">
        <v>49.37</v>
      </c>
      <c r="M9" s="71">
        <v>1177</v>
      </c>
      <c r="N9" s="71">
        <v>5985</v>
      </c>
      <c r="O9" s="71">
        <v>0</v>
      </c>
      <c r="P9" s="71">
        <v>3617</v>
      </c>
      <c r="Q9" s="71">
        <v>0</v>
      </c>
      <c r="R9" s="71">
        <v>0</v>
      </c>
      <c r="S9" s="71">
        <v>1349</v>
      </c>
      <c r="T9" s="71">
        <v>7159</v>
      </c>
      <c r="U9" s="71">
        <v>7069</v>
      </c>
      <c r="V9" s="71">
        <v>2963</v>
      </c>
      <c r="W9" s="71">
        <v>0</v>
      </c>
      <c r="X9" s="71">
        <v>0</v>
      </c>
      <c r="Y9" s="71">
        <v>0</v>
      </c>
      <c r="Z9" s="71">
        <v>2321</v>
      </c>
      <c r="AA9" s="71">
        <v>2166</v>
      </c>
      <c r="AB9" s="71">
        <v>3079</v>
      </c>
      <c r="AC9" s="71">
        <v>5956</v>
      </c>
      <c r="AD9" s="71">
        <v>5433</v>
      </c>
      <c r="AE9" s="71">
        <v>3645</v>
      </c>
    </row>
    <row r="10" spans="1:99" s="72" customFormat="1" ht="21.75" ph="1">
      <c r="B10" s="196" ph="1"/>
      <c r="C10" s="147" t="s" ph="1">
        <v>179</v>
      </c>
      <c r="D10" s="73" ph="1">
        <f>D9*33.183*LOOKUP(D11,密度!$A$2:$A$50,密度!$Q$2:$Q$50)</f>
        <v>132339.96409212</v>
      </c>
      <c r="E10" s="73" ph="1">
        <f>E9*51.53*LOOKUP(E11,密度!$A$2:$A$50,密度!$B$2:$B$50)</f>
        <v>188159.86777800001</v>
      </c>
      <c r="F10" s="73" ph="1">
        <f>F9*33.183*LOOKUP(F11,密度!$A$2:$A$50,密度!$C$2:$C$50)</f>
        <v>170468.65663379998</v>
      </c>
      <c r="G10" s="73" ph="1">
        <f xml:space="preserve"> (G9+2)*51.53*LOOKUP(G11,密度!$A$2:$A$50,密度!$B$2:$B$50)</f>
        <v>305232.84322400001</v>
      </c>
      <c r="H10" s="73" ph="1">
        <f>(H9)*51.53*LOOKUP(H11,密度!$A$2:$A$50,密度!$B$2:$B$50)</f>
        <v>181460.483396</v>
      </c>
      <c r="I10" s="73" ph="1">
        <f>I9*290.8*1.0267</f>
        <v>0</v>
      </c>
      <c r="J10" s="73" ph="1">
        <f>J9*290.8*0.7892</f>
        <v>1792.3900016000002</v>
      </c>
      <c r="K10" s="73" ph="1">
        <f>K9*290.8*1.1126</f>
        <v>2458.9350079999999</v>
      </c>
      <c r="L10" s="73" ph="1">
        <f>L9*290.8*0.777</f>
        <v>11155.230492000001</v>
      </c>
      <c r="M10" s="73" ph="1">
        <f>M9*33.183*LOOKUP(M11,密度!$A$2:$A$50,密度!$D$2:$D$50)</f>
        <v>39845.3300982</v>
      </c>
      <c r="N10" s="73" ph="1">
        <f>N9*33.183*LOOKUP(N11,密度!$A$2:$A$50,密度!$E$2:$E$50)</f>
        <v>154868.47884900001</v>
      </c>
      <c r="O10" s="73" ph="1">
        <f>O9*20.428*LOOKUP(O11,密度!$A$2:$A$50,密度!$C$2:$C$50)</f>
        <v>0</v>
      </c>
      <c r="P10" s="73" ph="1">
        <f>P9*51.53*LOOKUP(P11,密度!$A$2:$A$50,密度!$B$2:$B$50)</f>
        <v>144503.52295300001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8972.944457399999</v>
      </c>
      <c r="T10" s="73" ph="1">
        <f>T9*1.5*1.5*3.1416*LOOKUP(T11,密度!$A$2:$A$50,密度!$L$2:$L$50)</f>
        <v>47517.256848599995</v>
      </c>
      <c r="U10" s="73" ph="1">
        <f>U9*1.5*1.5*3.1416*LOOKUP(U11,密度!$A$2:$A$50,密度!$L$2:$L$50)</f>
        <v>46819.953595800005</v>
      </c>
      <c r="V10" s="73" ph="1">
        <f>V9*1.5*1.5*3.1416*LOOKUP(V11,密度!$A$2:$A$50,密度!$L$2:$L$50)</f>
        <v>19582.884783000001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71934.571962000002</v>
      </c>
      <c r="AA10" s="73" ph="1">
        <f>AA9*33.183*LOOKUP(AA11,密度!$A$2:$A$50,密度!$D$2:$D$50)</f>
        <v>73268.74093320001</v>
      </c>
      <c r="AB10" s="73" ph="1">
        <f>AB9*20.428*LOOKUP(AB11,密度!$A$2:$A$50,密度!$D$2:$D$50)</f>
        <v>64923.121546400005</v>
      </c>
      <c r="AC10" s="73" ph="1">
        <f>AC9*51.53*LOOKUP(AC11,密度!$A$2:$A$50,密度!$Q$2:$Q$50)</f>
        <v>289704.08603240002</v>
      </c>
      <c r="AD10" s="73" ph="1">
        <f>AD9*20.428*LOOKUP(AD11,密度!$A$2:$A$50,密度!$V$2:$V$50)</f>
        <v>106279.54626240001</v>
      </c>
      <c r="AE10" s="73" ph="1">
        <f>AE9*20.428</f>
        <v>74460.06</v>
      </c>
    </row>
    <row r="11" spans="1:99" ph="1">
      <c r="A11" s="64" t="s" ph="1">
        <v>163</v>
      </c>
      <c r="B11" s="196" ph="1"/>
      <c r="C11" s="147" t="s" ph="1">
        <v>180</v>
      </c>
      <c r="D11" s="74">
        <v>28</v>
      </c>
      <c r="E11" s="74">
        <v>27</v>
      </c>
      <c r="F11" s="74">
        <v>27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28</v>
      </c>
      <c r="O11" s="74">
        <v>35</v>
      </c>
      <c r="P11" s="74">
        <v>30</v>
      </c>
      <c r="Q11" s="74">
        <v>31</v>
      </c>
      <c r="R11" s="74">
        <v>33</v>
      </c>
      <c r="S11" s="74">
        <v>21</v>
      </c>
      <c r="T11" s="74">
        <v>23</v>
      </c>
      <c r="U11" s="74">
        <v>25</v>
      </c>
      <c r="V11" s="74">
        <v>27</v>
      </c>
      <c r="W11" s="74">
        <v>32</v>
      </c>
      <c r="X11" s="74">
        <v>23</v>
      </c>
      <c r="Y11" s="74">
        <v>30</v>
      </c>
      <c r="Z11" s="74">
        <v>28</v>
      </c>
      <c r="AA11" s="74">
        <v>33</v>
      </c>
      <c r="AB11" s="74">
        <v>19</v>
      </c>
      <c r="AC11" s="74">
        <v>29</v>
      </c>
      <c r="AD11" s="74">
        <v>29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47" t="s" ph="1">
        <v>178</v>
      </c>
      <c r="D15" s="78">
        <v>3330</v>
      </c>
      <c r="E15" s="78">
        <v>5271</v>
      </c>
      <c r="F15" s="78">
        <v>1484</v>
      </c>
      <c r="G15" s="78">
        <v>2328</v>
      </c>
      <c r="H15" s="78">
        <v>4533</v>
      </c>
      <c r="I15" s="78">
        <v>117</v>
      </c>
      <c r="J15" s="78">
        <v>480</v>
      </c>
      <c r="K15" s="78">
        <v>711</v>
      </c>
      <c r="L15" s="78">
        <v>2535</v>
      </c>
      <c r="M15" s="78">
        <v>3590</v>
      </c>
      <c r="N15" s="78">
        <v>2214</v>
      </c>
      <c r="O15" s="78">
        <v>14</v>
      </c>
      <c r="P15" s="78">
        <v>6963</v>
      </c>
      <c r="Q15" s="78">
        <v>32</v>
      </c>
      <c r="R15" s="78">
        <v>3514</v>
      </c>
      <c r="S15" s="78">
        <v>6875</v>
      </c>
      <c r="T15" s="78">
        <v>2956</v>
      </c>
      <c r="U15" s="78">
        <v>2508</v>
      </c>
      <c r="V15" s="78">
        <v>5452</v>
      </c>
      <c r="W15" s="71">
        <v>3762</v>
      </c>
      <c r="X15" s="78">
        <v>151</v>
      </c>
      <c r="Y15" s="106">
        <v>-2364</v>
      </c>
      <c r="Z15" s="78">
        <v>0</v>
      </c>
      <c r="AA15" s="78">
        <v>4235</v>
      </c>
      <c r="AB15" s="78" ph="1">
        <v>6932</v>
      </c>
      <c r="AC15" s="78" ph="1">
        <v>988</v>
      </c>
      <c r="AD15" s="78">
        <v>5.55</v>
      </c>
      <c r="AE15" s="78">
        <v>61.11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47" t="s" ph="1">
        <v>179</v>
      </c>
      <c r="D16" s="73" ph="1">
        <f>D15*7.0686*LOOKUP(D17,密度!$A$2:$A$50,密度!$L$2:$L$50)</f>
        <v>22008.43953</v>
      </c>
      <c r="E16" s="73" ph="1">
        <f>E15*7.0686*LOOKUP(E17,密度!$A$2:$A$50,密度!$L$2:$L$50)</f>
        <v>34836.782211000005</v>
      </c>
      <c r="F16" s="73" ph="1">
        <f>F15*9.0746*LOOKUP(F17,密度!$A$2:$A$50,密度!$L$2:$L$50)</f>
        <v>12550.970364800001</v>
      </c>
      <c r="G16" s="73" ph="1">
        <f>G15*9.0746*LOOKUP(G17,密度!$A$2:$A$50,密度!$B$2:$B$50)</f>
        <v>16469.571396479998</v>
      </c>
      <c r="H16" s="73" ph="1">
        <f>H15*9.0746*LOOKUP(H17,密度!$A$2:$A$50,密度!$L$2:$L$50)</f>
        <v>38584.781768399997</v>
      </c>
      <c r="I16" s="73" ph="1">
        <f>I15*9.0746*LOOKUP(I17,密度!$A$2:$A$50,密度!$U$2:$U$50)</f>
        <v>1089.3331332</v>
      </c>
      <c r="J16" s="73" ph="1">
        <f>J15*9.0746*LOOKUP(J17,密度!$A$2:$A$50,密度!$L$2:$L$50)</f>
        <v>4072.6804800000004</v>
      </c>
      <c r="K16" s="73" ph="1">
        <f>K15*9.0746*LOOKUP(K17,密度!$A$2:$A$50,密度!$C$2:$C$50)</f>
        <v>7154.66782134</v>
      </c>
      <c r="L16" s="73" ph="1">
        <f>L15*9.0746*LOOKUP(L17,密度!$A$2:$A$50,密度!$E$2:$E$50)</f>
        <v>17938.6057578</v>
      </c>
      <c r="M16" s="73" ph="1">
        <f>M15*9.0746*LOOKUP(M17,密度!$A$2:$A$50,密度!$M$2:$M$50)</f>
        <v>28375.275994000003</v>
      </c>
      <c r="N16" s="73" ph="1">
        <f>N15*9.0746*LOOKUP(N17,密度!$A$2:$A$50,密度!$M$2:$M$50)</f>
        <v>17581.77796644</v>
      </c>
      <c r="O16" s="73" ph="1">
        <f>O15*9.0746*LOOKUP(O17,密度!$A$2:$A$50,密度!$G$2:$G$50)</f>
        <v>121.70853519999999</v>
      </c>
      <c r="P16" s="73" ph="1">
        <f ca="1">P15*9.0746*LOOKUP(P17,密度!$A$2:$A$51,密度!$Q$2:$Q$50)</f>
        <v>59687.174763875999</v>
      </c>
      <c r="Q16" s="73" ph="1">
        <f>Q15*9.0746*LOOKUP(Q17,密度!$A$2:$A$50,密度!$Q$2:$Q$50)</f>
        <v>274.50882790400004</v>
      </c>
      <c r="R16" s="73" ph="1">
        <f>MAX(R15*9.0746*LOOKUP(R17,密度!$A$2:$A$50,密度!$B$2:$B$50),0)</f>
        <v>24805.787528760004</v>
      </c>
      <c r="S16" s="73" ph="1">
        <f>S15*9.0746*LOOKUP(S17,密度!$A$2:$A$50,密度!$Q$2:$Q$50)</f>
        <v>58976.505995</v>
      </c>
      <c r="T16" s="73" ph="1">
        <f>T15*9.0746*LOOKUP(T17,密度!$A$2:$A$50,密度!$O$2:$O$50)</f>
        <v>24839.5032976</v>
      </c>
      <c r="U16" s="73" ph="1">
        <f>U15*9.0746*LOOKUP(U17,密度!$A$2:$A$50,密度!$H$2:$H$50)</f>
        <v>20799.538565520001</v>
      </c>
      <c r="V16" s="73" ph="1">
        <f>MAX(5600*LOOKUP(V17,密度!$A$2:$A$50,密度!$Q$2:$Q$50)+V15*9.0476*LOOKUP(V17,密度!$A$2:$A$50,密度!$Q$2:$Q$50),0)</f>
        <v>51924.078668864</v>
      </c>
      <c r="W16" s="73" ph="1">
        <f>MAX(5600*LOOKUP(W17,密度!$A$2:$A$50,密度!$Q$2:$Q$50)+W15*9.0476*LOOKUP(W17,密度!$A$2:$A$50,密度!$Q$2:$Q$50),0)</f>
        <v>37469.716146783998</v>
      </c>
      <c r="X16" s="73" ph="1">
        <f>MAX(5600*LOOKUP(X17,密度!$A$2:$A$50,密度!$I$2:$I$50)+X15*9.0476*LOOKUP(X17,密度!$A$2:$A$50,密度!$I$2:$I$50),0)</f>
        <v>7260.8573354800001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29960.753807600002</v>
      </c>
      <c r="AB16" s="73" ph="1">
        <f>AB15*9.0746*LOOKUP(AB17,密度!$A$2:$A$50,密度!$L$2:$L$50)</f>
        <v>58753.388804800008</v>
      </c>
      <c r="AC16" s="73" ph="1">
        <f>AC15*9.0746*LOOKUP(AC17,密度!$A$2:$A$50,密度!$L$2:$L$50)</f>
        <v>8400.8653976000005</v>
      </c>
      <c r="AD16" s="73" ph="1">
        <f>AD15*268.68*LOOKUP(AD17,密度!$A$2:$A$50,密度!B2:B50)+IF(AD15&lt;=0,0,1566*LOOKUP(AD17,密度!$A$2:$A$50,密度!B2:B50))</f>
        <v>2383.3728504000001</v>
      </c>
      <c r="AE16" s="73" ph="1">
        <f>AE15*268.68*LOOKUP(AE17,密度!$A$2:$A$50,密度!B2:B50)+IF(AE15&lt;=0,0,1566*LOOKUP(AE17,密度!$A$2:$A$50,密度!B2:B50))</f>
        <v>14021.133130080001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27</v>
      </c>
      <c r="E17" s="74">
        <v>27</v>
      </c>
      <c r="F17" s="74">
        <v>30</v>
      </c>
      <c r="G17" s="74">
        <v>25</v>
      </c>
      <c r="H17" s="74">
        <v>24</v>
      </c>
      <c r="I17" s="74">
        <v>24</v>
      </c>
      <c r="J17" s="74">
        <v>27</v>
      </c>
      <c r="K17" s="74">
        <v>25</v>
      </c>
      <c r="L17" s="74">
        <v>28</v>
      </c>
      <c r="M17" s="74">
        <v>29</v>
      </c>
      <c r="N17" s="74">
        <v>25</v>
      </c>
      <c r="O17" s="74">
        <v>27</v>
      </c>
      <c r="P17" s="74">
        <v>28</v>
      </c>
      <c r="Q17" s="74">
        <v>27</v>
      </c>
      <c r="R17" s="74">
        <v>27</v>
      </c>
      <c r="S17" s="74">
        <v>27</v>
      </c>
      <c r="T17" s="74">
        <v>27</v>
      </c>
      <c r="U17" s="74">
        <v>26</v>
      </c>
      <c r="V17" s="74">
        <v>27</v>
      </c>
      <c r="W17" s="74">
        <v>27</v>
      </c>
      <c r="X17" s="74">
        <v>25</v>
      </c>
      <c r="Y17" s="108">
        <v>25</v>
      </c>
      <c r="Z17" s="74">
        <v>26</v>
      </c>
      <c r="AA17" s="74">
        <v>25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4948</v>
      </c>
      <c r="E18" s="71">
        <v>5283</v>
      </c>
      <c r="F18" s="71">
        <v>1484</v>
      </c>
      <c r="G18" s="71">
        <v>2368</v>
      </c>
      <c r="H18" s="71">
        <v>4539</v>
      </c>
      <c r="I18" s="71">
        <v>118</v>
      </c>
      <c r="J18" s="71">
        <v>529</v>
      </c>
      <c r="K18" s="71">
        <v>712</v>
      </c>
      <c r="L18" s="71">
        <v>2543</v>
      </c>
      <c r="M18" s="71">
        <v>3600</v>
      </c>
      <c r="N18" s="71">
        <v>2219</v>
      </c>
      <c r="O18" s="71">
        <v>47</v>
      </c>
      <c r="P18" s="71">
        <v>7069</v>
      </c>
      <c r="Q18" s="71">
        <v>31</v>
      </c>
      <c r="R18" s="71">
        <v>3519</v>
      </c>
      <c r="S18" s="71">
        <v>6888</v>
      </c>
      <c r="T18" s="71">
        <v>2958</v>
      </c>
      <c r="U18" s="71">
        <v>2512</v>
      </c>
      <c r="V18" s="71">
        <v>5373</v>
      </c>
      <c r="W18" s="71">
        <v>3979</v>
      </c>
      <c r="X18" s="71">
        <v>150</v>
      </c>
      <c r="Y18" s="109">
        <v>-9908</v>
      </c>
      <c r="Z18" s="71">
        <v>0</v>
      </c>
      <c r="AA18" s="71">
        <v>4242</v>
      </c>
      <c r="AB18" s="71">
        <v>6947</v>
      </c>
      <c r="AC18" s="71">
        <v>993</v>
      </c>
      <c r="AD18" s="71">
        <v>23.73</v>
      </c>
      <c r="AE18" s="71">
        <v>84.73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47" t="s" ph="1">
        <v>179</v>
      </c>
      <c r="D19" s="73" ph="1">
        <f>D18*7.0686*LOOKUP(D20,密度!$A$2:$A$50,密度!$L$2:$L$50)</f>
        <v>32597.103369600005</v>
      </c>
      <c r="E19" s="73" ph="1">
        <f>E18*7.0686*LOOKUP(E20,密度!$A$2:$A$50,密度!$L$2:$L$50)</f>
        <v>34804.061661600004</v>
      </c>
      <c r="F19" s="73" ph="1">
        <f>F18*9.0746*LOOKUP(F20,密度!$A$2:$A$50,密度!$L$2:$L$50)</f>
        <v>12497.103539200001</v>
      </c>
      <c r="G19" s="73" ph="1">
        <f>G18*9.0746*LOOKUP(G20,密度!$A$2:$A$50,密度!$B$2:$B$50)</f>
        <v>16716.023013120001</v>
      </c>
      <c r="H19" s="73" ph="1">
        <f>H18*9.0746*LOOKUP(H20,密度!$A$2:$A$50,密度!$L$2:$L$50)</f>
        <v>38594.664007800005</v>
      </c>
      <c r="I19" s="73" ph="1">
        <f>I18*9.0746*LOOKUP(I20,密度!$A$2:$A$50,密度!$U$2:$U$50)</f>
        <v>1089.0064475999998</v>
      </c>
      <c r="J19" s="73" ph="1">
        <f>J18*9.0746*LOOKUP(J20,密度!$A$2:$A$50,密度!$L$2:$L$50)</f>
        <v>4450.0295718000007</v>
      </c>
      <c r="K19" s="73" ph="1">
        <f>K18*9.0746*LOOKUP(K20,密度!$A$2:$A$50,密度!$C$2:$C$50)</f>
        <v>7120.148950400001</v>
      </c>
      <c r="L19" s="73" ph="1">
        <f>L18*9.0746*LOOKUP(L20,密度!$A$2:$A$50,密度!$E$2:$E$50)</f>
        <v>17944.44798528</v>
      </c>
      <c r="M19" s="73" ph="1">
        <f>M18*9.0746*LOOKUP(M20,密度!$A$2:$A$50,密度!$M$2:$M$50)</f>
        <v>28384.731727200004</v>
      </c>
      <c r="N19" s="73" ph="1">
        <f>N18*9.0746*LOOKUP(N20,密度!$A$2:$A$50,密度!$M$2:$M$50)</f>
        <v>17601.347341340002</v>
      </c>
      <c r="O19" s="73" ph="1">
        <f>O18*9.0746*LOOKUP(O20,密度!$A$2:$A$50,密度!$G$2:$G$50)</f>
        <v>406.76322800200001</v>
      </c>
      <c r="P19" s="73" ph="1">
        <f ca="1">P18*9.0746*LOOKUP(P20,密度!$A$2:$A$51,密度!$Q$2:$Q$50)</f>
        <v>60551.549561282001</v>
      </c>
      <c r="Q19" s="73" ph="1">
        <f>Q18*9.0746*LOOKUP(Q20,密度!$A$2:$A$50,密度!$Q$2:$Q$50)</f>
        <v>265.37061495800003</v>
      </c>
      <c r="R19" s="73" ph="1">
        <f>MAX(R18*9.0746*LOOKUP(R20,密度!$A$2:$A$50,密度!$B$2:$B$50),0)</f>
        <v>24758.056040219999</v>
      </c>
      <c r="S19" s="73" ph="1">
        <f>S18*9.0746*LOOKUP(S20,密度!$A$2:$A$50,密度!$Q$2:$Q$50)</f>
        <v>58963.638575183999</v>
      </c>
      <c r="T19" s="73" ph="1">
        <f>T18*9.0746*LOOKUP(T20,密度!$A$2:$A$50,密度!$O$2:$O$50)</f>
        <v>24856.309456800001</v>
      </c>
      <c r="U19" s="73" ph="1">
        <f>U18*9.0746*LOOKUP(U20,密度!$A$2:$A$50,密度!$H$2:$H$50)</f>
        <v>20789.400422399998</v>
      </c>
      <c r="V19" s="73" ph="1">
        <f>MAX(5600*LOOKUP(V20,密度!$A$2:$A$50,密度!$Q$2:$Q$50)+V18*9.0476*LOOKUP(V20,密度!$A$2:$A$50,密度!$Q$2:$Q$50),0)</f>
        <v>51173.045638363998</v>
      </c>
      <c r="W19" s="73" ph="1">
        <f>MAX(5600*LOOKUP(W20,密度!$A$2:$A$50,密度!$Q$2:$Q$50)+W18*9.0476*LOOKUP(W20,密度!$A$2:$A$50,密度!$Q$2:$Q$50),0)</f>
        <v>39267.865949571998</v>
      </c>
      <c r="X19" s="73" ph="1">
        <f>MAX(5600*LOOKUP(X20,密度!$A$2:$A$50,密度!$I$2:$I$50)+X18*9.0476*LOOKUP(X20,密度!$A$2:$A$50,密度!$I$2:$I$50),0)</f>
        <v>7227.7727459999987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29975.630706840002</v>
      </c>
      <c r="AB19" s="73" ph="1">
        <f>AB18*9.0746*LOOKUP(AB20,密度!$A$2:$A$50,密度!$L$2:$L$50)</f>
        <v>58817.482704600006</v>
      </c>
      <c r="AC19" s="73" ph="1">
        <f>AC18*9.0746*LOOKUP(AC20,密度!$A$2:$A$50,密度!$L$2:$L$50)</f>
        <v>8407.3355874000008</v>
      </c>
      <c r="AD19" s="73" ph="1">
        <f>AD18*268.68*LOOKUP(AD20,密度!$A$2:$A$50,密度!B5:B53)+IF(AD18&lt;=0,0,1566*LOOKUP(AD20,密度!$A$2:$A$50,密度!B5:B53))</f>
        <v>6170.7602628000004</v>
      </c>
      <c r="AE19" s="73" ph="1">
        <f>AE18*268.68*LOOKUP(AE20,密度!$A$2:$A$50,密度!B5:B53)+IF(AE18&lt;=0,0,1566*LOOKUP(AE20,密度!$A$2:$A$50,密度!B5:B53))</f>
        <v>18905.3862228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30</v>
      </c>
      <c r="E20" s="81">
        <v>30</v>
      </c>
      <c r="F20" s="81">
        <v>34</v>
      </c>
      <c r="G20" s="81">
        <v>27</v>
      </c>
      <c r="H20" s="81">
        <v>25</v>
      </c>
      <c r="I20" s="81">
        <v>33</v>
      </c>
      <c r="J20" s="81">
        <v>35</v>
      </c>
      <c r="K20" s="81">
        <v>33</v>
      </c>
      <c r="L20" s="81">
        <v>30</v>
      </c>
      <c r="M20" s="81">
        <v>31</v>
      </c>
      <c r="N20" s="81">
        <v>26</v>
      </c>
      <c r="O20" s="81">
        <v>31</v>
      </c>
      <c r="P20" s="81">
        <v>29</v>
      </c>
      <c r="Q20" s="81">
        <v>30</v>
      </c>
      <c r="R20" s="81">
        <v>30</v>
      </c>
      <c r="S20" s="81">
        <v>30</v>
      </c>
      <c r="T20" s="81">
        <v>29</v>
      </c>
      <c r="U20" s="81">
        <v>28</v>
      </c>
      <c r="V20" s="81">
        <v>29</v>
      </c>
      <c r="W20" s="81">
        <v>29</v>
      </c>
      <c r="X20" s="81">
        <v>28</v>
      </c>
      <c r="Y20" s="110">
        <v>28</v>
      </c>
      <c r="Z20" s="81">
        <v>32</v>
      </c>
      <c r="AA20" s="81">
        <v>26</v>
      </c>
      <c r="AB20" s="81">
        <v>29</v>
      </c>
      <c r="AC20" s="81">
        <v>29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47" t="s" ph="1">
        <v>178</v>
      </c>
      <c r="D24" s="71">
        <v>3.22</v>
      </c>
      <c r="E24" s="71">
        <v>95.59</v>
      </c>
      <c r="F24" s="71">
        <v>0</v>
      </c>
      <c r="G24" s="71">
        <v>3311</v>
      </c>
      <c r="H24" s="71">
        <v>2266</v>
      </c>
      <c r="I24" s="71">
        <v>2041</v>
      </c>
      <c r="J24" s="71">
        <v>538</v>
      </c>
      <c r="K24" s="71">
        <v>0</v>
      </c>
      <c r="L24" s="71">
        <v>0</v>
      </c>
      <c r="M24" s="71">
        <v>5248</v>
      </c>
      <c r="N24" s="71">
        <v>2432</v>
      </c>
      <c r="O24" s="71">
        <v>0</v>
      </c>
      <c r="P24" s="71">
        <v>393</v>
      </c>
      <c r="Q24" s="90">
        <v>1472</v>
      </c>
      <c r="R24" s="71">
        <v>2914</v>
      </c>
      <c r="S24" s="71">
        <v>1586</v>
      </c>
      <c r="T24" s="71">
        <v>1760</v>
      </c>
      <c r="U24" s="71">
        <v>6542</v>
      </c>
      <c r="V24" s="71">
        <v>9658</v>
      </c>
      <c r="W24" s="71">
        <v>11228</v>
      </c>
      <c r="X24" s="71">
        <v>2724</v>
      </c>
      <c r="Y24" s="71">
        <v>7125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2301.6665723040001</v>
      </c>
      <c r="E25" s="91" ph="1">
        <f>E24*268.68*LOOKUP(E26,密度!$A$2:$A$50,密度!$C$2:$C$50)+IF(E24&lt;=0,0,1566*LOOKUP(E26,密度!$A$2:$A$50,密度!$C$2:$C$50))</f>
        <v>30216.550498680004</v>
      </c>
      <c r="F25" s="91" ph="1">
        <f>F24*11.702*LOOKUP(F26,密度!$A$2:$A$50,密度!$Q$2:$Q$50)</f>
        <v>0</v>
      </c>
      <c r="G25" s="91" ph="1">
        <f>G24*18.322*LOOKUP(G26,密度!$A$2:$A$50,密度!$B$2:$B$50)</f>
        <v>47293.765103199999</v>
      </c>
      <c r="H25" s="91" ph="1">
        <f>H24*18.322*LOOKUP(H26,密度!$A$2:$A$50,密度!$B$2:$B$50)</f>
        <v>32404.527385999994</v>
      </c>
      <c r="I25" s="91" ph="1">
        <f>I24*18.322*LOOKUP(I26,密度!$A$2:$A$50,密度!$Q$2:$Q$50)</f>
        <v>35403.533541479999</v>
      </c>
      <c r="J25" s="91" ph="1">
        <f>J24*18.322*LOOKUP(J26,密度!$A$2:$A$50,密度!$Q$2:$Q$50)</f>
        <v>9339.4353929199988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91032.701629440009</v>
      </c>
      <c r="N25" s="91" ph="1">
        <f>N24*18.322*LOOKUP(N26,密度!$A$2:$A$50,密度!$Q$2:$Q$50)</f>
        <v>42185.88612096</v>
      </c>
      <c r="O25" s="91" ph="1">
        <f>O24*18.322*LOOKUP(O26,密度!$A$2:$A$50,密度!$C$2:$C$50)</f>
        <v>0</v>
      </c>
      <c r="P25" s="91" ph="1">
        <f>P24*11.702*LOOKUP(P26,密度!$A$2:$A$50,密度!$B$2:$B$50)</f>
        <v>3585.2915256000001</v>
      </c>
      <c r="Q25" s="92" ph="1">
        <f>Q24*18.322*LOOKUP(Q26,密度!$A$2:$A$50,密度!$B$2:$B$50)</f>
        <v>21025.799526399998</v>
      </c>
      <c r="R25" s="91" ph="1">
        <f>R24*35.891*LOOKUP(R26,密度!$A$2:$A$50,密度!$C$2:$C$50)</f>
        <v>115892.1610294</v>
      </c>
      <c r="S25" s="91" ph="1">
        <f>S24*35.891*LOOKUP(S26,密度!$A$2:$A$50,密度!$B$2:$B$50)</f>
        <v>44428.499842999998</v>
      </c>
      <c r="T25" s="91" ph="1">
        <f>T24*35.891*LOOKUP(T26,密度!$A$2:$A$50,密度!$Q$2:$Q$50)</f>
        <v>59669.9072992</v>
      </c>
      <c r="U25" s="91" ph="1">
        <f>U24*35.891</f>
        <v>234798.92199999999</v>
      </c>
      <c r="V25" s="91" ph="1">
        <f>V24*47.051*LOOKUP(V26,密度!$A$2:$A$50,密度!$B$2:$B$50)</f>
        <v>354264.70781679999</v>
      </c>
      <c r="W25" s="91" ph="1">
        <f>W24*47.051*LOOKUP(W26,密度!$A$2:$A$50,密度!$B$2:$B$50)</f>
        <v>411378.35462359997</v>
      </c>
      <c r="X25" s="91" ph="1">
        <f>X24*47.051*LOOKUP(X26,密度!$A$2:$A$50,密度!$I$2:$I$50)</f>
        <v>132575.8661856</v>
      </c>
      <c r="Y25" s="91" ph="1">
        <f>Y24*47.051*LOOKUP(Y26,密度!$A$2:$A$50,密度!$L$2:$L$50)</f>
        <v>312777.40387500002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25</v>
      </c>
      <c r="H26" s="74">
        <v>24</v>
      </c>
      <c r="I26" s="74">
        <v>25</v>
      </c>
      <c r="J26" s="74">
        <v>24</v>
      </c>
      <c r="K26" s="74">
        <v>24</v>
      </c>
      <c r="L26" s="74">
        <v>24</v>
      </c>
      <c r="M26" s="74">
        <v>25</v>
      </c>
      <c r="N26" s="74">
        <v>25</v>
      </c>
      <c r="O26" s="74">
        <v>25</v>
      </c>
      <c r="P26" s="74">
        <v>25</v>
      </c>
      <c r="Q26" s="93">
        <v>25</v>
      </c>
      <c r="R26" s="74">
        <v>26</v>
      </c>
      <c r="S26" s="74">
        <v>24</v>
      </c>
      <c r="T26" s="74">
        <v>28</v>
      </c>
      <c r="U26" s="74">
        <v>27</v>
      </c>
      <c r="V26" s="74">
        <v>25</v>
      </c>
      <c r="W26" s="74">
        <v>26</v>
      </c>
      <c r="X26" s="74">
        <v>32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47" t="s" ph="1">
        <v>181</v>
      </c>
      <c r="D27" s="71">
        <v>3.19</v>
      </c>
      <c r="E27" s="71">
        <v>95.7</v>
      </c>
      <c r="F27" s="71">
        <v>0</v>
      </c>
      <c r="G27" s="71">
        <v>2635</v>
      </c>
      <c r="H27" s="71">
        <v>1545</v>
      </c>
      <c r="I27" s="71">
        <v>1184</v>
      </c>
      <c r="J27" s="71">
        <v>536</v>
      </c>
      <c r="K27" s="71">
        <v>0</v>
      </c>
      <c r="L27" s="71">
        <v>0</v>
      </c>
      <c r="M27" s="71">
        <v>5254</v>
      </c>
      <c r="N27" s="71">
        <v>3068</v>
      </c>
      <c r="O27" s="71">
        <v>2</v>
      </c>
      <c r="P27" s="71">
        <v>393</v>
      </c>
      <c r="Q27" s="90">
        <v>2164</v>
      </c>
      <c r="R27" s="71">
        <v>2913</v>
      </c>
      <c r="S27" s="71">
        <v>1585</v>
      </c>
      <c r="T27" s="71">
        <v>1762</v>
      </c>
      <c r="U27" s="71">
        <v>6217</v>
      </c>
      <c r="V27" s="71">
        <v>9665</v>
      </c>
      <c r="W27" s="71">
        <v>11240</v>
      </c>
      <c r="X27" s="71">
        <v>2345</v>
      </c>
      <c r="Y27" s="71">
        <v>7838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47" t="s" ph="1">
        <v>179</v>
      </c>
      <c r="D28" s="91" ph="1">
        <f>D27*268.68*LOOKUP(D29,密度!$A$2:$A$50,密度!$Q$2:$Q$50)+IF(D27&lt;=0,0,1566*LOOKUP(D29,密度!$A$2:$A$50,密度!$Q$2:$Q$50))</f>
        <v>2294.035469208</v>
      </c>
      <c r="E28" s="91" ph="1">
        <f>E27*268.68*LOOKUP(E29,密度!$A$2:$A$50,密度!$C$2:$C$50)+IF(E27&lt;=0,0,1566*LOOKUP(E29,密度!$A$2:$A$50,密度!$C$2:$C$50))</f>
        <v>30249.323816400003</v>
      </c>
      <c r="F28" s="91" ph="1">
        <f>F27*11.702*LOOKUP(F29,密度!$A$2:$A$50,密度!$Q$2:$Q$50)</f>
        <v>0</v>
      </c>
      <c r="G28" s="91" ph="1">
        <f>G27*18.322*LOOKUP(G29,密度!$A$2:$A$50,密度!$B$2:$B$50)</f>
        <v>37555.821813000002</v>
      </c>
      <c r="H28" s="91" ph="1">
        <f>H27*18.322*LOOKUP(H29,密度!$A$2:$A$50,密度!$B$2:$B$50)</f>
        <v>21994.919729999998</v>
      </c>
      <c r="I28" s="91" ph="1">
        <f>I27*18.322*LOOKUP(I29,密度!$A$2:$A$50,密度!$Q$2:$Q$50)</f>
        <v>20507.06119936</v>
      </c>
      <c r="J28" s="91" ph="1">
        <f>J27*18.322*LOOKUP(J29,密度!$A$2:$A$50,密度!$Q$2:$Q$50)</f>
        <v>9283.6020294399987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90932.699420560006</v>
      </c>
      <c r="N28" s="91" ph="1">
        <f>N27*18.322*LOOKUP(N29,密度!$A$2:$A$50,密度!$Q$2:$Q$50)</f>
        <v>53060.094991280006</v>
      </c>
      <c r="O28" s="91" ph="1">
        <f>O27*18.322*LOOKUP(O29,密度!$A$2:$A$50,密度!$C$2:$C$50)</f>
        <v>40.495284399999996</v>
      </c>
      <c r="P28" s="91" ph="1">
        <f>P27*11.702*LOOKUP(P29,密度!$A$2:$A$50,密度!$B$2:$B$50)</f>
        <v>3573.3344220000004</v>
      </c>
      <c r="Q28" s="92" ph="1">
        <f>Q27*18.322*LOOKUP(Q29,密度!$A$2:$A$50,密度!$B$2:$B$50)</f>
        <v>30807.123815999999</v>
      </c>
      <c r="R28" s="91" ph="1">
        <f>R27*35.891*LOOKUP(R29,密度!$A$2:$A$50,密度!$C$2:$C$50)</f>
        <v>115779.20487419999</v>
      </c>
      <c r="S28" s="91" ph="1">
        <f>S27*35.891*LOOKUP(S29,密度!$A$2:$A$50,密度!$B$2:$B$50)</f>
        <v>44201.381594999999</v>
      </c>
      <c r="T28" s="91" ph="1">
        <f>T27*35.891*LOOKUP(T29,密度!$A$2:$A$50,密度!$Q$2:$Q$50)</f>
        <v>59737.71401204</v>
      </c>
      <c r="U28" s="91" ph="1">
        <f>U27*35.891</f>
        <v>223134.34699999998</v>
      </c>
      <c r="V28" s="91" ph="1">
        <f>V27*47.051*LOOKUP(V29,密度!$A$2:$A$50,密度!$B$2:$B$50)</f>
        <v>352566.05849950004</v>
      </c>
      <c r="W28" s="91" ph="1">
        <f>W27*47.051*LOOKUP(W29,密度!$A$2:$A$50,密度!$B$2:$B$50)</f>
        <v>411394.93539599999</v>
      </c>
      <c r="X28" s="91" ph="1">
        <f>X27*47.051*LOOKUP(X29,密度!$A$2:$A$50,密度!$I$2:$I$50)</f>
        <v>114007.63366755001</v>
      </c>
      <c r="Y28" s="91" ph="1">
        <f>Y27*47.051*LOOKUP(Y29,密度!$A$2:$A$50,密度!$L$2:$L$50)</f>
        <v>344077.09355400002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47" t="s" ph="1">
        <v>180</v>
      </c>
      <c r="D29" s="74">
        <v>25</v>
      </c>
      <c r="E29" s="74">
        <v>25</v>
      </c>
      <c r="F29" s="74">
        <v>28</v>
      </c>
      <c r="G29" s="74">
        <v>27</v>
      </c>
      <c r="H29" s="74">
        <v>28</v>
      </c>
      <c r="I29" s="74">
        <v>27</v>
      </c>
      <c r="J29" s="74">
        <v>27</v>
      </c>
      <c r="K29" s="74">
        <v>27</v>
      </c>
      <c r="L29" s="74">
        <v>30</v>
      </c>
      <c r="M29" s="74">
        <v>28</v>
      </c>
      <c r="N29" s="74">
        <v>29</v>
      </c>
      <c r="O29" s="74">
        <v>30</v>
      </c>
      <c r="P29" s="74">
        <v>28</v>
      </c>
      <c r="Q29" s="93">
        <v>28</v>
      </c>
      <c r="R29" s="74">
        <v>27</v>
      </c>
      <c r="S29" s="74">
        <v>28</v>
      </c>
      <c r="T29" s="74">
        <v>28</v>
      </c>
      <c r="U29" s="74">
        <v>28</v>
      </c>
      <c r="V29" s="74">
        <v>30</v>
      </c>
      <c r="W29" s="74">
        <v>27</v>
      </c>
      <c r="X29" s="74">
        <v>33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138191.86247960001</v>
      </c>
      <c r="E33" s="218" ph="1">
        <f>M10+I10</f>
        <v>39845.3300982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22" ph="1">
        <v>0</v>
      </c>
      <c r="H33" s="218" ph="1">
        <f>N19</f>
        <v>17601.347341340002</v>
      </c>
      <c r="I33" s="231" ph="1">
        <v>0</v>
      </c>
      <c r="J33" s="229" ph="1">
        <f>F10+O28</f>
        <v>170509.15191819999</v>
      </c>
      <c r="K33" s="218" ph="1">
        <f>O10+K10+E28+R28</f>
        <v>148487.46369859998</v>
      </c>
      <c r="L33" s="233" ph="1">
        <f>BE27</f>
        <v>7100</v>
      </c>
      <c r="M33" s="229" ph="1">
        <f>G10+H10+W28+S28+V28+E10</f>
        <v>1483015.5698885</v>
      </c>
      <c r="N33" s="218" ph="1">
        <f>L10+P10++G28+H28</f>
        <v>215209.49498799999</v>
      </c>
      <c r="O33" s="231" ph="1">
        <f>BE17</f>
        <v>2270</v>
      </c>
      <c r="P33" s="229" ph="1">
        <f>L19</f>
        <v>17944.44798528</v>
      </c>
      <c r="Q33" s="218" ph="1">
        <f>J10+N10</f>
        <v>156660.8688506</v>
      </c>
      <c r="R33" s="231" ph="1">
        <f>BE23</f>
        <v>890</v>
      </c>
      <c r="S33" s="229" ph="1">
        <f>E10+X28</f>
        <v>302167.50144555001</v>
      </c>
      <c r="T33" s="218" ph="1">
        <f>X19</f>
        <v>7227.7727459999987</v>
      </c>
      <c r="U33" s="239" ph="1">
        <f>BE21</f>
        <v>730</v>
      </c>
      <c r="V33" s="250" ph="1">
        <f ca="1">P19+Q19+S19+M28+N28+J28</f>
        <v>273056.95519270399</v>
      </c>
      <c r="W33" s="250" ph="1">
        <f>D28+F28+V19+T28</f>
        <v>113204.795119612</v>
      </c>
      <c r="X33" s="231" ph="1">
        <f>BE29+BE31</f>
        <v>10200</v>
      </c>
      <c r="Y33" s="252" ph="1">
        <f>+Q10+R10+S10+T10+U10+V10+W10+X10+Y10</f>
        <v>122893.03968480001</v>
      </c>
      <c r="Z33" s="237" ph="1">
        <f>D10+T19+U19+Y28+Z10</f>
        <v>593997.33948732005</v>
      </c>
      <c r="AA33" s="239" ph="1">
        <f>BE19</f>
        <v>1440</v>
      </c>
      <c r="AB33" s="241" ph="1">
        <f>I19</f>
        <v>1089.0064475999998</v>
      </c>
      <c r="AC33" s="243" ph="1">
        <f>AD10</f>
        <v>106279.54626240001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49" t="s" ph="1">
        <v>186</v>
      </c>
      <c r="AA36" s="149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89" priority="96">
      <formula>ABS(D$7-D$10)&gt;=1000</formula>
    </cfRule>
  </conditionalFormatting>
  <conditionalFormatting sqref="E4 E6:E11">
    <cfRule type="expression" dxfId="1888" priority="95">
      <formula>ABS(E$7-E$10)&gt;=1000</formula>
    </cfRule>
  </conditionalFormatting>
  <conditionalFormatting sqref="F4:F11">
    <cfRule type="expression" dxfId="1887" priority="94">
      <formula>ABS(F$7-F$10)&gt;=1000</formula>
    </cfRule>
  </conditionalFormatting>
  <conditionalFormatting sqref="G4:G11">
    <cfRule type="expression" dxfId="1886" priority="93">
      <formula>ABS(G$7-G$10)&gt;=1000</formula>
    </cfRule>
  </conditionalFormatting>
  <conditionalFormatting sqref="H4:H11">
    <cfRule type="expression" dxfId="1885" priority="92">
      <formula>ABS(H$7-H$10)&gt;=1000</formula>
    </cfRule>
  </conditionalFormatting>
  <conditionalFormatting sqref="I4:I11">
    <cfRule type="expression" dxfId="1884" priority="91">
      <formula>ABS(I$7-I$10)&gt;=1000</formula>
    </cfRule>
  </conditionalFormatting>
  <conditionalFormatting sqref="J4:J11">
    <cfRule type="expression" dxfId="1883" priority="90">
      <formula>ABS(J$7-J$10)&gt;=1000</formula>
    </cfRule>
  </conditionalFormatting>
  <conditionalFormatting sqref="K4:K11">
    <cfRule type="expression" dxfId="1882" priority="89">
      <formula>ABS(K$7-K$10)&gt;=1000</formula>
    </cfRule>
  </conditionalFormatting>
  <conditionalFormatting sqref="L4:L11">
    <cfRule type="expression" dxfId="1881" priority="88">
      <formula>ABS(L$7-L$10)&gt;=1000</formula>
    </cfRule>
  </conditionalFormatting>
  <conditionalFormatting sqref="M4 M6:M11">
    <cfRule type="expression" dxfId="1880" priority="87">
      <formula>ABS(M$7-M$10)&gt;=1000</formula>
    </cfRule>
  </conditionalFormatting>
  <conditionalFormatting sqref="N4 N6:N11">
    <cfRule type="expression" dxfId="1879" priority="86">
      <formula>ABS(N$7-N$10)&gt;=1000</formula>
    </cfRule>
  </conditionalFormatting>
  <conditionalFormatting sqref="O4 O6:O11">
    <cfRule type="expression" dxfId="1878" priority="85">
      <formula>ABS(O$7-O$10)&gt;=1000</formula>
    </cfRule>
  </conditionalFormatting>
  <conditionalFormatting sqref="P4 P6:P11">
    <cfRule type="expression" dxfId="1877" priority="84">
      <formula>ABS(P$7-P$10)&gt;=1000</formula>
    </cfRule>
  </conditionalFormatting>
  <conditionalFormatting sqref="Q4:Q11">
    <cfRule type="expression" dxfId="1876" priority="83">
      <formula>ABS(Q$7-Q$10)&gt;=1000</formula>
    </cfRule>
  </conditionalFormatting>
  <conditionalFormatting sqref="R4:R11">
    <cfRule type="expression" dxfId="1875" priority="82">
      <formula>ABS(R$7-R$10)&gt;=1000</formula>
    </cfRule>
  </conditionalFormatting>
  <conditionalFormatting sqref="S4:S11">
    <cfRule type="expression" dxfId="1874" priority="81">
      <formula>ABS(S$7-S$10)&gt;=1000</formula>
    </cfRule>
  </conditionalFormatting>
  <conditionalFormatting sqref="T4:T9 T11">
    <cfRule type="expression" dxfId="1873" priority="80">
      <formula>ABS(T$7-T$10)&gt;=1000</formula>
    </cfRule>
  </conditionalFormatting>
  <conditionalFormatting sqref="U4:U9 U11">
    <cfRule type="expression" dxfId="1872" priority="79">
      <formula>ABS(U$7-U$10)&gt;=1000</formula>
    </cfRule>
  </conditionalFormatting>
  <conditionalFormatting sqref="V4:V9 V11">
    <cfRule type="expression" dxfId="1871" priority="78">
      <formula>ABS(V$7-V$10)&gt;=1000</formula>
    </cfRule>
  </conditionalFormatting>
  <conditionalFormatting sqref="W4:W9 W11">
    <cfRule type="expression" dxfId="1870" priority="77">
      <formula>ABS(W$7-W$10)&gt;=1000</formula>
    </cfRule>
  </conditionalFormatting>
  <conditionalFormatting sqref="X4:X9 X11">
    <cfRule type="expression" dxfId="1869" priority="76">
      <formula>ABS(X$7-X$10)&gt;=1000</formula>
    </cfRule>
  </conditionalFormatting>
  <conditionalFormatting sqref="Y4:Y9 Y11">
    <cfRule type="expression" dxfId="1868" priority="75">
      <formula>ABS(Y$7-Y$10)&gt;=1000</formula>
    </cfRule>
  </conditionalFormatting>
  <conditionalFormatting sqref="Z4:Z11">
    <cfRule type="expression" dxfId="1867" priority="74">
      <formula>ABS(Z$7-Z$10)&gt;=1000</formula>
    </cfRule>
  </conditionalFormatting>
  <conditionalFormatting sqref="AA4:AA11">
    <cfRule type="expression" dxfId="1866" priority="73">
      <formula>ABS(AA$7-AA$10)&gt;=1000</formula>
    </cfRule>
  </conditionalFormatting>
  <conditionalFormatting sqref="AB4:AB11">
    <cfRule type="expression" dxfId="1865" priority="72">
      <formula>ABS(AB$7-AB$10)&gt;=1000</formula>
    </cfRule>
  </conditionalFormatting>
  <conditionalFormatting sqref="AC4 AC6:AC11">
    <cfRule type="expression" dxfId="1864" priority="71">
      <formula>ABS(AC$7-AC$10)&gt;=1000</formula>
    </cfRule>
  </conditionalFormatting>
  <conditionalFormatting sqref="AD4:AD11">
    <cfRule type="expression" dxfId="1863" priority="70">
      <formula>ABS(AD$7-AD$10)&gt;=1000</formula>
    </cfRule>
  </conditionalFormatting>
  <conditionalFormatting sqref="AE4:AE11">
    <cfRule type="expression" dxfId="1862" priority="69">
      <formula>ABS(AE$7-AE$10)&gt;=1000</formula>
    </cfRule>
  </conditionalFormatting>
  <conditionalFormatting sqref="D13:D20">
    <cfRule type="expression" dxfId="1861" priority="68">
      <formula>ABS(D$16-D$19)&gt;=1000</formula>
    </cfRule>
  </conditionalFormatting>
  <conditionalFormatting sqref="E13:E20">
    <cfRule type="expression" dxfId="1860" priority="67">
      <formula>ABS(E$16-E$19)&gt;=1000</formula>
    </cfRule>
  </conditionalFormatting>
  <conditionalFormatting sqref="F13 F15:F20">
    <cfRule type="expression" dxfId="1859" priority="66">
      <formula>ABS(F$16-F$19)&gt;=1000</formula>
    </cfRule>
  </conditionalFormatting>
  <conditionalFormatting sqref="G13:G20">
    <cfRule type="expression" dxfId="1858" priority="65">
      <formula>ABS(G$16-G$19)&gt;=1000</formula>
    </cfRule>
  </conditionalFormatting>
  <conditionalFormatting sqref="H13:H20">
    <cfRule type="expression" dxfId="1857" priority="64">
      <formula>ABS(H$16-H$19)&gt;=1000</formula>
    </cfRule>
  </conditionalFormatting>
  <conditionalFormatting sqref="I13:I20">
    <cfRule type="expression" dxfId="1856" priority="63">
      <formula>ABS(I$16-I$19)&gt;=1000</formula>
    </cfRule>
  </conditionalFormatting>
  <conditionalFormatting sqref="J13:J20">
    <cfRule type="expression" dxfId="1855" priority="62">
      <formula>ABS(J$16-J$19)&gt;=1000</formula>
    </cfRule>
  </conditionalFormatting>
  <conditionalFormatting sqref="L13:L20">
    <cfRule type="expression" dxfId="1854" priority="61">
      <formula>ABS(L$16-L$19)&gt;=1000</formula>
    </cfRule>
  </conditionalFormatting>
  <conditionalFormatting sqref="M13 M15 M17:M18 M20">
    <cfRule type="expression" dxfId="1853" priority="60">
      <formula>ABS(M$16-M$19)&gt;=1000</formula>
    </cfRule>
  </conditionalFormatting>
  <conditionalFormatting sqref="N13:N20">
    <cfRule type="expression" dxfId="1852" priority="59">
      <formula>ABS(N$16-N$19)&gt;=1000</formula>
    </cfRule>
  </conditionalFormatting>
  <conditionalFormatting sqref="O13:O20">
    <cfRule type="expression" dxfId="1851" priority="58">
      <formula>ABS(O$16-O$19)&gt;=1000</formula>
    </cfRule>
  </conditionalFormatting>
  <conditionalFormatting sqref="P13:P20">
    <cfRule type="expression" dxfId="1850" priority="57">
      <formula>ABS(P$16-P$19)&gt;=1000</formula>
    </cfRule>
  </conditionalFormatting>
  <conditionalFormatting sqref="Q13 Q15:Q20">
    <cfRule type="expression" dxfId="1849" priority="56">
      <formula>ABS(Q$16-Q$19)&gt;=1000</formula>
    </cfRule>
  </conditionalFormatting>
  <conditionalFormatting sqref="R13:R20">
    <cfRule type="expression" dxfId="1848" priority="55">
      <formula>ABS(R$16-R$19)&gt;=1000</formula>
    </cfRule>
  </conditionalFormatting>
  <conditionalFormatting sqref="S13:S20">
    <cfRule type="expression" dxfId="1847" priority="54">
      <formula>ABS(S$16-S$19)&gt;=1000</formula>
    </cfRule>
  </conditionalFormatting>
  <conditionalFormatting sqref="T13:T20">
    <cfRule type="expression" dxfId="1846" priority="53">
      <formula>ABS(T$16-T$19)&gt;=1000</formula>
    </cfRule>
  </conditionalFormatting>
  <conditionalFormatting sqref="U13:U20">
    <cfRule type="expression" dxfId="1845" priority="52">
      <formula>ABS(U$16-U$19)&gt;=1000</formula>
    </cfRule>
  </conditionalFormatting>
  <conditionalFormatting sqref="V13:V20">
    <cfRule type="expression" dxfId="1844" priority="51">
      <formula>ABS(V$16-V$19)&gt;=1000</formula>
    </cfRule>
  </conditionalFormatting>
  <conditionalFormatting sqref="W13 W20 W15:W18">
    <cfRule type="expression" dxfId="1843" priority="50">
      <formula>ABS(W$16-W$19)&gt;=1000</formula>
    </cfRule>
  </conditionalFormatting>
  <conditionalFormatting sqref="X13 X15:X20 Y19">
    <cfRule type="expression" dxfId="1842" priority="49">
      <formula>ABS(X$16-X$19)&gt;=1000</formula>
    </cfRule>
  </conditionalFormatting>
  <conditionalFormatting sqref="Y13 Y15:Y18 Y20">
    <cfRule type="expression" dxfId="1841" priority="48">
      <formula>ABS(Y$16-Y$19)&gt;=1000</formula>
    </cfRule>
  </conditionalFormatting>
  <conditionalFormatting sqref="Z13:Z20">
    <cfRule type="expression" dxfId="1840" priority="47">
      <formula>ABS(Z$16-Z$19)&gt;=1000</formula>
    </cfRule>
  </conditionalFormatting>
  <conditionalFormatting sqref="AA13:AA20">
    <cfRule type="expression" dxfId="1839" priority="46">
      <formula>ABS(AA$16-AA$19)&gt;=1000</formula>
    </cfRule>
  </conditionalFormatting>
  <conditionalFormatting sqref="AB13 AB15:AB20">
    <cfRule type="expression" dxfId="1838" priority="45">
      <formula>ABS(AB$16-AB$19)&gt;=1000</formula>
    </cfRule>
  </conditionalFormatting>
  <conditionalFormatting sqref="AC13 AC15:AC20">
    <cfRule type="expression" dxfId="1837" priority="44">
      <formula>ABS(AC$16-AC$19)&gt;=1000</formula>
    </cfRule>
  </conditionalFormatting>
  <conditionalFormatting sqref="AD13:AD20">
    <cfRule type="expression" dxfId="1836" priority="43">
      <formula>ABS(AD$16-AD$19)&gt;=1000</formula>
    </cfRule>
  </conditionalFormatting>
  <conditionalFormatting sqref="AE13:AE20">
    <cfRule type="expression" dxfId="1835" priority="42">
      <formula>ABS(AE$16-AE$19)&gt;=1000</formula>
    </cfRule>
  </conditionalFormatting>
  <conditionalFormatting sqref="D22:D29">
    <cfRule type="expression" dxfId="1834" priority="41">
      <formula>ABS(D$25-D$28)&gt;=1000</formula>
    </cfRule>
  </conditionalFormatting>
  <conditionalFormatting sqref="E22:E29">
    <cfRule type="expression" dxfId="1833" priority="40">
      <formula>ABS(E$25-E$28)&gt;=1000</formula>
    </cfRule>
  </conditionalFormatting>
  <conditionalFormatting sqref="F22:F29">
    <cfRule type="expression" dxfId="1832" priority="39">
      <formula>ABS(F$25-F$28)&gt;=1000</formula>
    </cfRule>
  </conditionalFormatting>
  <conditionalFormatting sqref="G22:G29">
    <cfRule type="expression" dxfId="1831" priority="38">
      <formula>ABS(G$25-G$28)&gt;=1000</formula>
    </cfRule>
  </conditionalFormatting>
  <conditionalFormatting sqref="H22:H29">
    <cfRule type="expression" dxfId="1830" priority="37">
      <formula>ABS(H$25-H$28)&gt;=1000</formula>
    </cfRule>
  </conditionalFormatting>
  <conditionalFormatting sqref="I22 I24:I29">
    <cfRule type="expression" dxfId="1829" priority="36">
      <formula>ABS(I$25-I$28)&gt;=1000</formula>
    </cfRule>
  </conditionalFormatting>
  <conditionalFormatting sqref="J22:J29 K22">
    <cfRule type="expression" dxfId="1828" priority="35">
      <formula>ABS(J$25-J$28)&gt;=1000</formula>
    </cfRule>
  </conditionalFormatting>
  <conditionalFormatting sqref="K23:K29 L25 L28">
    <cfRule type="expression" dxfId="1827" priority="34">
      <formula>ABS(K$25-K$28)&gt;=1000</formula>
    </cfRule>
  </conditionalFormatting>
  <conditionalFormatting sqref="L22:L24 L26:L27 L29">
    <cfRule type="expression" dxfId="1826" priority="33">
      <formula>ABS(L$25-L$28)&gt;=1000</formula>
    </cfRule>
  </conditionalFormatting>
  <conditionalFormatting sqref="M22:M29">
    <cfRule type="expression" dxfId="1825" priority="32">
      <formula>ABS(M$25-M$28)&gt;=1000</formula>
    </cfRule>
  </conditionalFormatting>
  <conditionalFormatting sqref="N22:N29">
    <cfRule type="expression" dxfId="1824" priority="31">
      <formula>ABS(N$25-N$28)&gt;=1000</formula>
    </cfRule>
  </conditionalFormatting>
  <conditionalFormatting sqref="O22:O29">
    <cfRule type="expression" dxfId="1823" priority="30">
      <formula>ABS(O$25-O$28)&gt;=1000</formula>
    </cfRule>
  </conditionalFormatting>
  <conditionalFormatting sqref="P22:P29">
    <cfRule type="expression" dxfId="1822" priority="29">
      <formula>ABS(P$25-P$28)&gt;=1000</formula>
    </cfRule>
  </conditionalFormatting>
  <conditionalFormatting sqref="Q22:Q29">
    <cfRule type="expression" dxfId="1821" priority="28">
      <formula>ABS(Q$25-Q$28)&gt;=1000</formula>
    </cfRule>
  </conditionalFormatting>
  <conditionalFormatting sqref="R22:R29">
    <cfRule type="expression" dxfId="1820" priority="27">
      <formula>ABS(R$25-R$28)&gt;=1000</formula>
    </cfRule>
  </conditionalFormatting>
  <conditionalFormatting sqref="S22:S29">
    <cfRule type="expression" dxfId="1819" priority="26">
      <formula>ABS(S$25-S$28)&gt;=1000</formula>
    </cfRule>
  </conditionalFormatting>
  <conditionalFormatting sqref="T22:T29">
    <cfRule type="expression" dxfId="1818" priority="25">
      <formula>ABS(T$25-T$28)&gt;=1000</formula>
    </cfRule>
  </conditionalFormatting>
  <conditionalFormatting sqref="U22:U29">
    <cfRule type="expression" dxfId="1817" priority="24">
      <formula>ABS(U$25-U$28)&gt;=1000</formula>
    </cfRule>
  </conditionalFormatting>
  <conditionalFormatting sqref="V22:V29">
    <cfRule type="expression" dxfId="1816" priority="23">
      <formula>ABS(V$25-V$28)&gt;=1000</formula>
    </cfRule>
  </conditionalFormatting>
  <conditionalFormatting sqref="W22:W29">
    <cfRule type="expression" dxfId="1815" priority="22">
      <formula>ABS(W$25-W$28)&gt;=1000</formula>
    </cfRule>
  </conditionalFormatting>
  <conditionalFormatting sqref="X22:X29">
    <cfRule type="expression" dxfId="1814" priority="21">
      <formula>ABS(X$25-X$28)&gt;=1000</formula>
    </cfRule>
  </conditionalFormatting>
  <conditionalFormatting sqref="Y22:Y29">
    <cfRule type="expression" dxfId="1813" priority="20">
      <formula>ABS(Y$25-Y$28)&gt;=1000</formula>
    </cfRule>
  </conditionalFormatting>
  <conditionalFormatting sqref="I23">
    <cfRule type="expression" dxfId="1812" priority="19">
      <formula>ABS(I$25-I$28)&gt;=1000</formula>
    </cfRule>
  </conditionalFormatting>
  <conditionalFormatting sqref="F14">
    <cfRule type="expression" dxfId="1811" priority="18">
      <formula>ABS(F$16-F$19)&gt;=1000</formula>
    </cfRule>
  </conditionalFormatting>
  <conditionalFormatting sqref="Q14">
    <cfRule type="expression" dxfId="1810" priority="17">
      <formula>ABS(Q$16-Q$19)&gt;=1000</formula>
    </cfRule>
  </conditionalFormatting>
  <conditionalFormatting sqref="W14">
    <cfRule type="expression" dxfId="1809" priority="16">
      <formula>ABS(W$16-W$19)&gt;=1000</formula>
    </cfRule>
  </conditionalFormatting>
  <conditionalFormatting sqref="Y14">
    <cfRule type="expression" dxfId="1808" priority="15">
      <formula>ABS(Y$16-Y$19)&gt;=1000</formula>
    </cfRule>
  </conditionalFormatting>
  <conditionalFormatting sqref="X14">
    <cfRule type="expression" dxfId="1807" priority="14">
      <formula>ABS(X$16-X$19)&gt;=1000</formula>
    </cfRule>
  </conditionalFormatting>
  <conditionalFormatting sqref="T10:Y10">
    <cfRule type="expression" dxfId="1806" priority="13">
      <formula>ABS(T$7-T$10)&gt;=1000</formula>
    </cfRule>
  </conditionalFormatting>
  <conditionalFormatting sqref="W19">
    <cfRule type="expression" dxfId="1805" priority="12">
      <formula>ABS(W$16-W$19)&gt;=1000</formula>
    </cfRule>
  </conditionalFormatting>
  <conditionalFormatting sqref="AC5">
    <cfRule type="expression" dxfId="1804" priority="11">
      <formula>ABS(AC$7-AC$10)&gt;=1000</formula>
    </cfRule>
  </conditionalFormatting>
  <conditionalFormatting sqref="M14">
    <cfRule type="expression" dxfId="1803" priority="10">
      <formula>ABS(M$16-M$19)&gt;=1000</formula>
    </cfRule>
  </conditionalFormatting>
  <conditionalFormatting sqref="M16">
    <cfRule type="expression" dxfId="1802" priority="9">
      <formula>ABS(M$16-M$19)&gt;=1000</formula>
    </cfRule>
  </conditionalFormatting>
  <conditionalFormatting sqref="M19">
    <cfRule type="expression" dxfId="1801" priority="8">
      <formula>ABS(M$16-M$19)&gt;=1000</formula>
    </cfRule>
  </conditionalFormatting>
  <conditionalFormatting sqref="K13:K20">
    <cfRule type="expression" dxfId="1800" priority="7">
      <formula>ABS(K$16-K$19)&gt;=1000</formula>
    </cfRule>
  </conditionalFormatting>
  <conditionalFormatting sqref="E5">
    <cfRule type="expression" dxfId="1799" priority="6">
      <formula>ABS(E$7-E$10)&gt;=1000</formula>
    </cfRule>
  </conditionalFormatting>
  <conditionalFormatting sqref="AB14:AC14">
    <cfRule type="expression" dxfId="1798" priority="5">
      <formula>ABS(AB$16-AB$19)&gt;=1000</formula>
    </cfRule>
  </conditionalFormatting>
  <conditionalFormatting sqref="M5">
    <cfRule type="expression" dxfId="1797" priority="4">
      <formula>ABS(M$7-M$10)&gt;=1000</formula>
    </cfRule>
  </conditionalFormatting>
  <conditionalFormatting sqref="N5">
    <cfRule type="expression" dxfId="1796" priority="3">
      <formula>ABS(N$7-N$10)&gt;=1000</formula>
    </cfRule>
  </conditionalFormatting>
  <conditionalFormatting sqref="O5">
    <cfRule type="expression" dxfId="1795" priority="2">
      <formula>ABS(O$7-O$10)&gt;=1000</formula>
    </cfRule>
  </conditionalFormatting>
  <conditionalFormatting sqref="P5">
    <cfRule type="expression" dxfId="1794" priority="1">
      <formula>ABS(P$7-P$10)&gt;=1000</formula>
    </cfRule>
  </conditionalFormatting>
  <dataValidations count="1">
    <dataValidation operator="greaterThanOrEqual" allowBlank="1" showErrorMessage="1" sqref="D6" xr:uid="{00000000-0002-0000-09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42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633">
    <pageSetUpPr fitToPage="1"/>
  </sheetPr>
  <dimension ref="A1:CU223"/>
  <sheetViews>
    <sheetView view="pageBreakPreview" zoomScale="80" zoomScaleNormal="100" zoomScaleSheetLayoutView="80" workbookViewId="0">
      <selection activeCell="V15" sqref="V15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45789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52" t="s" ph="1">
        <v>178</v>
      </c>
      <c r="D6" s="71">
        <v>4209</v>
      </c>
      <c r="E6" s="71">
        <v>4695</v>
      </c>
      <c r="F6" s="71">
        <v>4632</v>
      </c>
      <c r="G6" s="71">
        <v>5164</v>
      </c>
      <c r="H6" s="71">
        <v>2587</v>
      </c>
      <c r="I6" s="71">
        <v>0.11</v>
      </c>
      <c r="J6" s="71">
        <v>7.8</v>
      </c>
      <c r="K6" s="71">
        <v>7.32</v>
      </c>
      <c r="L6" s="71">
        <v>38.6</v>
      </c>
      <c r="M6" s="71">
        <v>1175</v>
      </c>
      <c r="N6" s="71">
        <v>5955</v>
      </c>
      <c r="O6" s="71">
        <v>0</v>
      </c>
      <c r="P6" s="71">
        <v>4744</v>
      </c>
      <c r="Q6" s="71">
        <v>0</v>
      </c>
      <c r="R6" s="71">
        <v>0</v>
      </c>
      <c r="S6" s="71">
        <v>0</v>
      </c>
      <c r="T6" s="71">
        <v>4152</v>
      </c>
      <c r="U6" s="71">
        <v>7041</v>
      </c>
      <c r="V6" s="71">
        <v>5101</v>
      </c>
      <c r="W6" s="71">
        <v>4986</v>
      </c>
      <c r="X6" s="71">
        <v>2238</v>
      </c>
      <c r="Y6" s="71">
        <v>0</v>
      </c>
      <c r="Z6" s="71">
        <v>2638</v>
      </c>
      <c r="AA6" s="71">
        <v>2155</v>
      </c>
      <c r="AB6" s="71">
        <v>3068</v>
      </c>
      <c r="AC6" s="71">
        <v>5938</v>
      </c>
      <c r="AD6" s="71">
        <v>5405</v>
      </c>
      <c r="AE6" s="71">
        <v>3848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132228.56942478</v>
      </c>
      <c r="E7" s="73" ph="1">
        <f>E6*51.53*LOOKUP(E8,密度!$A$2:$A$50,密度!$B$2:$B$50)</f>
        <v>189264.45970500002</v>
      </c>
      <c r="F7" s="73" ph="1">
        <f>F6*33.183*LOOKUP(F8,密度!$A$2:$A$50,密度!$C$2:$C$50)</f>
        <v>170672.53962239999</v>
      </c>
      <c r="G7" s="73" ph="1">
        <f xml:space="preserve"> (G6+2)*51.53*LOOKUP(G8,密度!$A$2:$A$50,密度!$B$2:$B$50)</f>
        <v>207772.20638999998</v>
      </c>
      <c r="H7" s="73" ph="1">
        <f>(H6)*51.53*LOOKUP(H8,密度!$A$2:$A$50,密度!$B$2:$B$50)</f>
        <v>104833.49770400001</v>
      </c>
      <c r="I7" s="73" ph="1">
        <f>I6*290.8*1.0267</f>
        <v>32.842079599999998</v>
      </c>
      <c r="J7" s="73" ph="1">
        <f>J6*290.8*0.7892</f>
        <v>1790.0950080000002</v>
      </c>
      <c r="K7" s="73" ph="1">
        <f>K6*290.8*1.1126</f>
        <v>2368.3426656000001</v>
      </c>
      <c r="L7" s="73" ph="1">
        <f>L6*290.8*0.777</f>
        <v>8721.7317600000006</v>
      </c>
      <c r="M7" s="73" ph="1">
        <f>M6*33.183*LOOKUP(M8,密度!$A$2:$A$50,密度!$D$2:$D$50)</f>
        <v>40140.230737500002</v>
      </c>
      <c r="N7" s="73" ph="1">
        <f>N6*33.183*LOOKUP(N8,密度!$A$2:$A$50,密度!$E$2:$E$50)</f>
        <v>154764.05194799998</v>
      </c>
      <c r="O7" s="73" ph="1">
        <f>O6*20.428*LOOKUP(O8,密度!$A$2:$A$50,密度!$C$2:$C$50)</f>
        <v>0</v>
      </c>
      <c r="P7" s="73" ph="1">
        <f>P6*51.53*LOOKUP(P8,密度!$A$2:$A$50,密度!$B$2:$B$50)</f>
        <v>191239.743736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27675.944049599999</v>
      </c>
      <c r="U7" s="73" ph="1">
        <f>U6*1.5*1.5*3.1416*LOOKUP(U8,密度!$A$2:$A$50,密度!$L$2:$L$50)</f>
        <v>46783.811843999996</v>
      </c>
      <c r="V7" s="73" ph="1">
        <f>V6*1.5*1.5*3.1416*LOOKUP(V8,密度!$A$2:$A$50,密度!$L$2:$L$50)</f>
        <v>33713.228241000004</v>
      </c>
      <c r="W7" s="73" ph="1">
        <f>W6*1.5*1.5*3.1416*LOOKUP(W8,密度!$A$2:$A$50,密度!$L$2:$L$50)</f>
        <v>33094.153184399998</v>
      </c>
      <c r="X7" s="73" ph="1">
        <f>X6*1.5*1.5*3.1416*LOOKUP(X8,密度!$A$2:$A$50,密度!$L$2:$L$50)</f>
        <v>14996.911406399999</v>
      </c>
      <c r="Y7" s="73" ph="1">
        <f>Y6*1.5*1.5*3.1416*LOOKUP(Y8,密度!$A$2:$A$50,密度!$L$2:$L$50)</f>
        <v>0</v>
      </c>
      <c r="Z7" s="73" ph="1">
        <f>Z6*33.183*LOOKUP(Z8,密度!$A$2:$A$50,密度!$L$2:$L$50)</f>
        <v>82459.622267999992</v>
      </c>
      <c r="AA7" s="73" ph="1">
        <f>AA6*33.183*LOOKUP(AA8,密度!$A$2:$A$50,密度!$D$2:$D$50)</f>
        <v>73618.891267500017</v>
      </c>
      <c r="AB7" s="73" ph="1">
        <f>AB6*20.428*LOOKUP(AB8,密度!$A$2:$A$50,密度!$D$2:$D$50)</f>
        <v>64960.672295999997</v>
      </c>
      <c r="AC7" s="73" ph="1">
        <f>AC6*51.53*LOOKUP(AC8,密度!$A$2:$A$50,密度!$Q$2:$Q$50)</f>
        <v>290802.15735320002</v>
      </c>
      <c r="AD7" s="73" ph="1">
        <f>AD6*20.428*LOOKUP(AD8,密度!$A$2:$A$50,密度!$V$2:$V$50)</f>
        <v>106085.13707200001</v>
      </c>
      <c r="AE7" s="73" ph="1">
        <f>AE6*20.428</f>
        <v>78606.944000000003</v>
      </c>
    </row>
    <row r="8" spans="1:99" ph="1">
      <c r="B8" s="196" ph="1"/>
      <c r="C8" s="68" t="s" ph="1">
        <v>180</v>
      </c>
      <c r="D8" s="74">
        <v>25</v>
      </c>
      <c r="E8" s="74">
        <v>22</v>
      </c>
      <c r="F8" s="74">
        <v>23</v>
      </c>
      <c r="G8" s="74">
        <v>24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24</v>
      </c>
      <c r="P8" s="74">
        <v>22</v>
      </c>
      <c r="Q8" s="74">
        <v>20</v>
      </c>
      <c r="R8" s="74">
        <v>28</v>
      </c>
      <c r="S8" s="74">
        <v>16</v>
      </c>
      <c r="T8" s="74">
        <v>19</v>
      </c>
      <c r="U8" s="74">
        <v>22</v>
      </c>
      <c r="V8" s="74">
        <v>27</v>
      </c>
      <c r="W8" s="74">
        <v>23</v>
      </c>
      <c r="X8" s="74">
        <v>14</v>
      </c>
      <c r="Y8" s="74">
        <v>21</v>
      </c>
      <c r="Z8" s="74">
        <v>20</v>
      </c>
      <c r="AA8" s="74">
        <v>22</v>
      </c>
      <c r="AB8" s="74">
        <v>14</v>
      </c>
      <c r="AC8" s="74">
        <v>20</v>
      </c>
      <c r="AD8" s="74">
        <v>22</v>
      </c>
      <c r="AE8" s="74">
        <v>27</v>
      </c>
    </row>
    <row r="9" spans="1:99" ph="1">
      <c r="B9" s="196" ph="1">
        <v>0.66666666666666663</v>
      </c>
      <c r="C9" s="152" t="s" ph="1">
        <v>181</v>
      </c>
      <c r="D9" s="71">
        <v>4207</v>
      </c>
      <c r="E9" s="71">
        <v>4692</v>
      </c>
      <c r="F9" s="71">
        <v>4632</v>
      </c>
      <c r="G9" s="71">
        <v>4882</v>
      </c>
      <c r="H9" s="71">
        <v>2361</v>
      </c>
      <c r="I9" s="71">
        <v>0.11</v>
      </c>
      <c r="J9" s="71">
        <v>7.8</v>
      </c>
      <c r="K9" s="71">
        <v>7.52</v>
      </c>
      <c r="L9" s="71">
        <v>18.91</v>
      </c>
      <c r="M9" s="71">
        <v>1173</v>
      </c>
      <c r="N9" s="71">
        <v>5958</v>
      </c>
      <c r="O9" s="71">
        <v>0</v>
      </c>
      <c r="P9" s="71">
        <v>4689</v>
      </c>
      <c r="Q9" s="71">
        <v>0</v>
      </c>
      <c r="R9" s="71">
        <v>0</v>
      </c>
      <c r="S9" s="71">
        <v>0</v>
      </c>
      <c r="T9" s="71">
        <v>0</v>
      </c>
      <c r="U9" s="71">
        <v>6867</v>
      </c>
      <c r="V9" s="71">
        <v>5104</v>
      </c>
      <c r="W9" s="71">
        <v>7106</v>
      </c>
      <c r="X9" s="71">
        <v>7010</v>
      </c>
      <c r="Y9" s="71">
        <v>2732</v>
      </c>
      <c r="Z9" s="71">
        <v>3560</v>
      </c>
      <c r="AA9" s="71">
        <v>2158</v>
      </c>
      <c r="AB9" s="71">
        <v>2867</v>
      </c>
      <c r="AC9" s="71">
        <v>6351</v>
      </c>
      <c r="AD9" s="71">
        <v>5410</v>
      </c>
      <c r="AE9" s="71">
        <v>3748</v>
      </c>
    </row>
    <row r="10" spans="1:99" s="72" customFormat="1" ht="21.75" ph="1">
      <c r="B10" s="196" ph="1"/>
      <c r="C10" s="152" t="s" ph="1">
        <v>179</v>
      </c>
      <c r="D10" s="73" ph="1">
        <f>D9*33.183*LOOKUP(D11,密度!$A$2:$A$50,密度!$Q$2:$Q$50)</f>
        <v>132165.73807794001</v>
      </c>
      <c r="E10" s="73" ph="1">
        <f>E9*51.53*LOOKUP(E11,密度!$A$2:$A$50,密度!$B$2:$B$50)</f>
        <v>188273.12041199999</v>
      </c>
      <c r="F10" s="73" ph="1">
        <f>F9*33.183*LOOKUP(F11,密度!$A$2:$A$50,密度!$C$2:$C$50)</f>
        <v>170549.57669759999</v>
      </c>
      <c r="G10" s="73" ph="1">
        <f xml:space="preserve"> (G9+2)*51.53*LOOKUP(G11,密度!$A$2:$A$50,密度!$B$2:$B$50)</f>
        <v>195977.391324</v>
      </c>
      <c r="H10" s="73" ph="1">
        <f>(H9)*51.53*LOOKUP(H11,密度!$A$2:$A$50,密度!$B$2:$B$50)</f>
        <v>95176.440759000005</v>
      </c>
      <c r="I10" s="73" ph="1">
        <f>I9*290.8*1.0267</f>
        <v>32.842079599999998</v>
      </c>
      <c r="J10" s="73" ph="1">
        <f>J9*290.8*0.7892</f>
        <v>1790.0950080000002</v>
      </c>
      <c r="K10" s="73" ph="1">
        <f>K9*290.8*1.1126</f>
        <v>2433.0514816</v>
      </c>
      <c r="L10" s="73" ph="1">
        <f>L9*290.8*0.777</f>
        <v>4272.7447560000001</v>
      </c>
      <c r="M10" s="73" ph="1">
        <f>M9*33.183*LOOKUP(M11,密度!$A$2:$A$50,密度!$D$2:$D$50)</f>
        <v>39853.934450100001</v>
      </c>
      <c r="N10" s="73" ph="1">
        <f>N9*33.183*LOOKUP(N11,密度!$A$2:$A$50,密度!$E$2:$E$50)</f>
        <v>154842.0187248</v>
      </c>
      <c r="O10" s="73" ph="1">
        <f>O9*20.428*LOOKUP(O11,密度!$A$2:$A$50,密度!$C$2:$C$50)</f>
        <v>0</v>
      </c>
      <c r="P10" s="73" ph="1">
        <f>P9*51.53*LOOKUP(P11,密度!$A$2:$A$50,密度!$B$2:$B$50)</f>
        <v>187959.44184300001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45482.051399399999</v>
      </c>
      <c r="V10" s="73" ph="1">
        <f>V9*1.5*1.5*3.1416*LOOKUP(V11,密度!$A$2:$A$50,密度!$L$2:$L$50)</f>
        <v>33696.977529600008</v>
      </c>
      <c r="W10" s="73" ph="1">
        <f>W9*1.5*1.5*3.1416*LOOKUP(W11,密度!$A$2:$A$50,密度!$L$2:$L$50)</f>
        <v>47115.244360799996</v>
      </c>
      <c r="X10" s="73" ph="1">
        <f>X9*1.5*1.5*3.1416*LOOKUP(X11,密度!$A$2:$A$50,密度!$L$2:$L$50)</f>
        <v>46924.689041999998</v>
      </c>
      <c r="Y10" s="73" ph="1">
        <f>Y9*1.5*1.5*3.1416*LOOKUP(Y11,密度!$A$2:$A$50,密度!$L$2:$L$50)</f>
        <v>18152.730287999999</v>
      </c>
      <c r="Z10" s="73" ph="1">
        <f>Z9*33.183*LOOKUP(Z11,密度!$A$2:$A$50,密度!$L$2:$L$50)</f>
        <v>110807.32823999999</v>
      </c>
      <c r="AA10" s="73" ph="1">
        <f>AA9*33.183*LOOKUP(AA11,密度!$A$2:$A$50,密度!$D$2:$D$50)</f>
        <v>73248.758130599992</v>
      </c>
      <c r="AB10" s="73" ph="1">
        <f>AB9*20.428*LOOKUP(AB11,密度!$A$2:$A$50,密度!$D$2:$D$50)</f>
        <v>60652.063905600007</v>
      </c>
      <c r="AC10" s="73" ph="1">
        <f>AC9*51.53*LOOKUP(AC11,密度!$A$2:$A$50,密度!$Q$2:$Q$50)</f>
        <v>309836.78798220004</v>
      </c>
      <c r="AD10" s="73" ph="1">
        <f>AD9*20.428*LOOKUP(AD11,密度!$A$2:$A$50,密度!$V$2:$V$50)</f>
        <v>105829.62364800001</v>
      </c>
      <c r="AE10" s="73" ph="1">
        <f>AE9*20.428</f>
        <v>76564.144</v>
      </c>
    </row>
    <row r="11" spans="1:99" ph="1">
      <c r="A11" s="64" t="s" ph="1">
        <v>163</v>
      </c>
      <c r="B11" s="196" ph="1"/>
      <c r="C11" s="152" t="s" ph="1">
        <v>180</v>
      </c>
      <c r="D11" s="74">
        <v>25</v>
      </c>
      <c r="E11" s="74">
        <v>26</v>
      </c>
      <c r="F11" s="74">
        <v>24</v>
      </c>
      <c r="G11" s="74">
        <v>26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25</v>
      </c>
      <c r="O11" s="74">
        <v>33</v>
      </c>
      <c r="P11" s="74">
        <v>27</v>
      </c>
      <c r="Q11" s="74">
        <v>28</v>
      </c>
      <c r="R11" s="74">
        <v>32</v>
      </c>
      <c r="S11" s="74">
        <v>22</v>
      </c>
      <c r="T11" s="74">
        <v>25</v>
      </c>
      <c r="U11" s="74">
        <v>25</v>
      </c>
      <c r="V11" s="74">
        <v>28</v>
      </c>
      <c r="W11" s="74">
        <v>24</v>
      </c>
      <c r="X11" s="74">
        <v>15</v>
      </c>
      <c r="Y11" s="74">
        <v>22</v>
      </c>
      <c r="Z11" s="74">
        <v>24</v>
      </c>
      <c r="AA11" s="74">
        <v>29</v>
      </c>
      <c r="AB11" s="74">
        <v>15</v>
      </c>
      <c r="AC11" s="74">
        <v>25</v>
      </c>
      <c r="AD11" s="74">
        <v>26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52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52" t="s" ph="1">
        <v>178</v>
      </c>
      <c r="D15" s="78">
        <v>4919</v>
      </c>
      <c r="E15" s="78">
        <v>5248</v>
      </c>
      <c r="F15" s="78">
        <v>1494</v>
      </c>
      <c r="G15" s="78">
        <v>2612</v>
      </c>
      <c r="H15" s="78">
        <v>4517</v>
      </c>
      <c r="I15" s="78">
        <v>117</v>
      </c>
      <c r="J15" s="78">
        <v>611</v>
      </c>
      <c r="K15" s="78">
        <v>710</v>
      </c>
      <c r="L15" s="78">
        <v>2535</v>
      </c>
      <c r="M15" s="78">
        <v>3573</v>
      </c>
      <c r="N15" s="78">
        <v>3291</v>
      </c>
      <c r="O15" s="78">
        <v>0</v>
      </c>
      <c r="P15" s="78">
        <v>7025</v>
      </c>
      <c r="Q15" s="78">
        <v>36</v>
      </c>
      <c r="R15" s="78">
        <v>3502</v>
      </c>
      <c r="S15" s="78">
        <v>5990</v>
      </c>
      <c r="T15" s="78">
        <v>2942</v>
      </c>
      <c r="U15" s="78">
        <v>2501</v>
      </c>
      <c r="V15" s="78">
        <v>0</v>
      </c>
      <c r="W15" s="71">
        <v>3975</v>
      </c>
      <c r="X15" s="78">
        <v>151</v>
      </c>
      <c r="Y15" s="106">
        <v>-9905</v>
      </c>
      <c r="Z15" s="78">
        <v>0</v>
      </c>
      <c r="AA15" s="78">
        <v>4219</v>
      </c>
      <c r="AB15" s="78" ph="1">
        <v>6899</v>
      </c>
      <c r="AC15" s="78" ph="1">
        <v>987</v>
      </c>
      <c r="AD15" s="78">
        <v>5.5</v>
      </c>
      <c r="AE15" s="78">
        <v>70.709999999999994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52" t="s" ph="1">
        <v>179</v>
      </c>
      <c r="D16" s="73" ph="1">
        <f>D15*7.0686*LOOKUP(D17,密度!$A$2:$A$50,密度!$L$2:$L$50)</f>
        <v>32684.216795999993</v>
      </c>
      <c r="E16" s="73" ph="1">
        <f>E15*7.0686*LOOKUP(E17,密度!$A$2:$A$50,密度!$L$2:$L$50)</f>
        <v>34870.252031999997</v>
      </c>
      <c r="F16" s="73" ph="1">
        <f>F15*9.0746*LOOKUP(F17,密度!$A$2:$A$50,密度!$L$2:$L$50)</f>
        <v>12716.8903512</v>
      </c>
      <c r="G16" s="73" ph="1">
        <f>G15*9.0746*LOOKUP(G17,密度!$A$2:$A$50,密度!$B$2:$B$50)</f>
        <v>18542.743622960003</v>
      </c>
      <c r="H16" s="73" ph="1">
        <f>H15*9.0746*LOOKUP(H17,密度!$A$2:$A$50,密度!$L$2:$L$50)</f>
        <v>38612.550044399999</v>
      </c>
      <c r="I16" s="73" ph="1">
        <f>I15*9.0746*LOOKUP(I17,密度!$A$2:$A$50,密度!$U$2:$U$50)</f>
        <v>1091.4565896000001</v>
      </c>
      <c r="J16" s="73" ph="1">
        <f>J15*9.0746*LOOKUP(J17,密度!$A$2:$A$50,密度!$L$2:$L$50)</f>
        <v>5211.9057640000001</v>
      </c>
      <c r="K16" s="73" ph="1">
        <f>K15*9.0746*LOOKUP(K17,密度!$A$2:$A$50,密度!$C$2:$C$50)</f>
        <v>7168.4439716000006</v>
      </c>
      <c r="L16" s="73" ph="1">
        <f>L15*9.0746*LOOKUP(L17,密度!$A$2:$A$50,密度!$E$2:$E$50)</f>
        <v>18127.239468</v>
      </c>
      <c r="M16" s="73" ph="1">
        <f>M15*9.0746*LOOKUP(M17,密度!$A$2:$A$50,密度!$M$2:$M$50)</f>
        <v>28435.449666600001</v>
      </c>
      <c r="N16" s="73" ph="1">
        <f>N15*9.0746*LOOKUP(N17,密度!$A$2:$A$50,密度!$M$2:$M$50)</f>
        <v>26289.72692058</v>
      </c>
      <c r="O16" s="73" ph="1">
        <f>O15*9.0746*LOOKUP(O17,密度!$A$2:$A$50,密度!$G$2:$G$50)</f>
        <v>0</v>
      </c>
      <c r="P16" s="73" ph="1">
        <f ca="1">P15*9.0746*LOOKUP(P17,密度!$A$2:$A$51,密度!$Q$2:$Q$50)</f>
        <v>60503.600100850002</v>
      </c>
      <c r="Q16" s="73" ph="1">
        <f>Q15*9.0746*LOOKUP(Q17,密度!$A$2:$A$50,密度!$Q$2:$Q$50)</f>
        <v>310.25004746400003</v>
      </c>
      <c r="R16" s="73" ph="1">
        <f>MAX(R15*9.0746*LOOKUP(R17,密度!$A$2:$A$50,密度!$B$2:$B$50),0)</f>
        <v>24803.704000600002</v>
      </c>
      <c r="S16" s="73" ph="1">
        <f>S15*9.0746*LOOKUP(S17,密度!$A$2:$A$50,密度!$Q$2:$Q$50)</f>
        <v>51589.54656286</v>
      </c>
      <c r="T16" s="73" ph="1">
        <f>T15*9.0746*LOOKUP(T17,密度!$A$2:$A$50,密度!$O$2:$O$50)</f>
        <v>24828.650076000002</v>
      </c>
      <c r="U16" s="73" ph="1">
        <f>U15*9.0746*LOOKUP(U17,密度!$A$2:$A$50,密度!$H$2:$H$50)</f>
        <v>20829.998367879998</v>
      </c>
      <c r="V16" s="73" ph="1">
        <f>MAX(5600*LOOKUP(V17,密度!$A$2:$A$50,密度!$Q$2:$Q$50)+V15*9.0476*LOOKUP(V17,密度!$A$2:$A$50,密度!$Q$2:$Q$50),0)</f>
        <v>5322.1279999999997</v>
      </c>
      <c r="W16" s="73" ph="1">
        <f>MAX(5600*LOOKUP(W17,密度!$A$2:$A$50,密度!$Q$2:$Q$50)+W15*9.0476*LOOKUP(W17,密度!$A$2:$A$50,密度!$Q$2:$Q$50),0)</f>
        <v>39380.842048700004</v>
      </c>
      <c r="X16" s="73" ph="1">
        <f>MAX(5600*LOOKUP(X17,密度!$A$2:$A$50,密度!$I$2:$I$50)+X15*9.0476*LOOKUP(X17,密度!$A$2:$A$50,密度!$I$2:$I$50),0)</f>
        <v>7293.5984171999999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29985.389531679997</v>
      </c>
      <c r="AB16" s="73" ph="1">
        <f>AB15*9.0746*LOOKUP(AB17,密度!$A$2:$A$50,密度!$L$2:$L$50)</f>
        <v>58786.719810599992</v>
      </c>
      <c r="AC16" s="73" ph="1">
        <f>AC15*9.0746*LOOKUP(AC17,密度!$A$2:$A$50,密度!$L$2:$L$50)</f>
        <v>8437.1456483999991</v>
      </c>
      <c r="AD16" s="73" ph="1">
        <f>AD15*268.68*LOOKUP(AD17,密度!$A$2:$A$50,密度!B2:B50)+IF(AD15&lt;=0,0,1566*LOOKUP(AD17,密度!$A$2:$A$50,密度!B2:B50))</f>
        <v>2372.8997039999999</v>
      </c>
      <c r="AE16" s="73" ph="1">
        <f>AE15*268.68*LOOKUP(AE17,密度!$A$2:$A$50,密度!B2:B50)+IF(AE15&lt;=0,0,1566*LOOKUP(AE17,密度!$A$2:$A$50,密度!B2:B50))</f>
        <v>16031.977238879999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22</v>
      </c>
      <c r="E17" s="74">
        <v>22</v>
      </c>
      <c r="F17" s="74">
        <v>24</v>
      </c>
      <c r="G17" s="74">
        <v>22</v>
      </c>
      <c r="H17" s="74">
        <v>20</v>
      </c>
      <c r="I17" s="74">
        <v>20</v>
      </c>
      <c r="J17" s="74">
        <v>22</v>
      </c>
      <c r="K17" s="74">
        <v>20</v>
      </c>
      <c r="L17" s="74">
        <v>21</v>
      </c>
      <c r="M17" s="74">
        <v>23</v>
      </c>
      <c r="N17" s="74">
        <v>20</v>
      </c>
      <c r="O17" s="74">
        <v>22</v>
      </c>
      <c r="P17" s="74">
        <v>22</v>
      </c>
      <c r="Q17" s="74">
        <v>21</v>
      </c>
      <c r="R17" s="74">
        <v>24</v>
      </c>
      <c r="S17" s="74">
        <v>22</v>
      </c>
      <c r="T17" s="74">
        <v>22</v>
      </c>
      <c r="U17" s="74">
        <v>22</v>
      </c>
      <c r="V17" s="74">
        <v>20</v>
      </c>
      <c r="W17" s="74">
        <v>24</v>
      </c>
      <c r="X17" s="74">
        <v>21</v>
      </c>
      <c r="Y17" s="108">
        <v>21</v>
      </c>
      <c r="Z17" s="74">
        <v>21</v>
      </c>
      <c r="AA17" s="74">
        <v>21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4395</v>
      </c>
      <c r="E18" s="71">
        <v>4327</v>
      </c>
      <c r="F18" s="71">
        <v>1494</v>
      </c>
      <c r="G18" s="71">
        <v>2741</v>
      </c>
      <c r="H18" s="71">
        <v>1766</v>
      </c>
      <c r="I18" s="71">
        <v>117</v>
      </c>
      <c r="J18" s="71">
        <v>652</v>
      </c>
      <c r="K18" s="71">
        <v>709</v>
      </c>
      <c r="L18" s="71">
        <v>2526</v>
      </c>
      <c r="M18" s="71">
        <v>4975</v>
      </c>
      <c r="N18" s="71">
        <v>2955</v>
      </c>
      <c r="O18" s="71">
        <v>29</v>
      </c>
      <c r="P18" s="71">
        <v>7033</v>
      </c>
      <c r="Q18" s="71">
        <v>30</v>
      </c>
      <c r="R18" s="71">
        <v>3504</v>
      </c>
      <c r="S18" s="71">
        <v>4830</v>
      </c>
      <c r="T18" s="71">
        <v>2396</v>
      </c>
      <c r="U18" s="71">
        <v>4262</v>
      </c>
      <c r="V18" s="71">
        <v>0</v>
      </c>
      <c r="W18" s="71">
        <v>3975</v>
      </c>
      <c r="X18" s="71">
        <v>149</v>
      </c>
      <c r="Y18" s="109">
        <v>-9906</v>
      </c>
      <c r="Z18" s="71">
        <v>0</v>
      </c>
      <c r="AA18" s="71">
        <v>4222</v>
      </c>
      <c r="AB18" s="71">
        <v>6908</v>
      </c>
      <c r="AC18" s="71">
        <v>988</v>
      </c>
      <c r="AD18" s="71">
        <v>26.52</v>
      </c>
      <c r="AE18" s="71">
        <v>84.62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52" t="s" ph="1">
        <v>179</v>
      </c>
      <c r="D19" s="73" ph="1">
        <f>D18*7.0686*LOOKUP(D20,密度!$A$2:$A$50,密度!$L$2:$L$50)</f>
        <v>29078.241192000001</v>
      </c>
      <c r="E19" s="73" ph="1">
        <f>E18*7.0686*LOOKUP(E20,密度!$A$2:$A$50,密度!$L$2:$L$50)</f>
        <v>28628.338939200003</v>
      </c>
      <c r="F19" s="73" ph="1">
        <f>F18*9.0746*LOOKUP(F20,密度!$A$2:$A$50,密度!$L$2:$L$50)</f>
        <v>12635.545636800001</v>
      </c>
      <c r="G19" s="73" ph="1">
        <f>G18*9.0746*LOOKUP(G20,密度!$A$2:$A$50,密度!$B$2:$B$50)</f>
        <v>19413.7500473</v>
      </c>
      <c r="H19" s="73" ph="1">
        <f>H18*9.0746*LOOKUP(H20,密度!$A$2:$A$50,密度!$L$2:$L$50)</f>
        <v>15048.173240399999</v>
      </c>
      <c r="I19" s="73" ph="1">
        <f>I18*9.0746*LOOKUP(I20,密度!$A$2:$A$50,密度!$U$2:$U$50)</f>
        <v>1082.9627640000001</v>
      </c>
      <c r="J19" s="73" ph="1">
        <f>J18*9.0746*LOOKUP(J20,密度!$A$2:$A$50,密度!$L$2:$L$50)</f>
        <v>5520.2243736000009</v>
      </c>
      <c r="K19" s="73" ph="1">
        <f>K18*9.0746*LOOKUP(K20,密度!$A$2:$A$50,密度!$C$2:$C$50)</f>
        <v>7144.1930105600004</v>
      </c>
      <c r="L19" s="73" ph="1">
        <f>L18*9.0746*LOOKUP(L20,密度!$A$2:$A$50,密度!$E$2:$E$50)</f>
        <v>17952.854694720001</v>
      </c>
      <c r="M19" s="73" ph="1">
        <f>M18*9.0746*LOOKUP(M20,密度!$A$2:$A$50,密度!$M$2:$M$50)</f>
        <v>39462.236603500001</v>
      </c>
      <c r="N19" s="73" ph="1">
        <f>N18*9.0746*LOOKUP(N20,密度!$A$2:$A$50,密度!$M$2:$M$50)</f>
        <v>23487.646523700001</v>
      </c>
      <c r="O19" s="73" ph="1">
        <f>O18*9.0746*LOOKUP(O20,密度!$A$2:$A$50,密度!$G$2:$G$50)</f>
        <v>251.24209798000001</v>
      </c>
      <c r="P19" s="73" ph="1">
        <f ca="1">P18*9.0746*LOOKUP(P20,密度!$A$2:$A$51,密度!$Q$2:$Q$50)</f>
        <v>60422.520092532002</v>
      </c>
      <c r="Q19" s="73" ph="1">
        <f>Q18*9.0746*LOOKUP(Q20,密度!$A$2:$A$50,密度!$Q$2:$Q$50)</f>
        <v>257.35202616000004</v>
      </c>
      <c r="R19" s="73" ph="1">
        <f>MAX(R18*9.0746*LOOKUP(R20,密度!$A$2:$A$50,密度!$B$2:$B$50),0)</f>
        <v>24735.196215360003</v>
      </c>
      <c r="S19" s="73" ph="1">
        <f>S18*9.0746*LOOKUP(S20,密度!$A$2:$A$50,密度!$Q$2:$Q$50)</f>
        <v>41464.79573754</v>
      </c>
      <c r="T19" s="73" ph="1">
        <f>T18*9.0746*LOOKUP(T20,密度!$A$2:$A$50,密度!$O$2:$O$50)</f>
        <v>20133.778721600003</v>
      </c>
      <c r="U19" s="73" ph="1">
        <f>U18*9.0746*LOOKUP(U20,密度!$A$2:$A$50,密度!$H$2:$H$50)</f>
        <v>35307.270373080006</v>
      </c>
      <c r="V19" s="73" ph="1">
        <f>MAX(5600*LOOKUP(V20,密度!$A$2:$A$50,密度!$Q$2:$Q$50)+V18*9.0476*LOOKUP(V20,密度!$A$2:$A$50,密度!$Q$2:$Q$50),0)</f>
        <v>5293.7920000000004</v>
      </c>
      <c r="W19" s="73" ph="1">
        <f>MAX(5600*LOOKUP(W20,密度!$A$2:$A$50,密度!$Q$2:$Q$50)+W18*9.0476*LOOKUP(W20,密度!$A$2:$A$50,密度!$Q$2:$Q$50),0)</f>
        <v>39320.989586299998</v>
      </c>
      <c r="X19" s="73" ph="1">
        <f>MAX(5600*LOOKUP(X20,密度!$A$2:$A$50,密度!$I$2:$I$50)+X18*9.0476*LOOKUP(X20,密度!$A$2:$A$50,密度!$I$2:$I$50),0)</f>
        <v>7241.9967085199996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29937.747881679999</v>
      </c>
      <c r="AB19" s="73" ph="1">
        <f>AB18*9.0746*LOOKUP(AB20,密度!$A$2:$A$50,密度!$L$2:$L$50)</f>
        <v>58800.721918399999</v>
      </c>
      <c r="AC19" s="73" ph="1">
        <f>AC18*9.0746*LOOKUP(AC20,密度!$A$2:$A$50,密度!$L$2:$L$50)</f>
        <v>8382.9339880000007</v>
      </c>
      <c r="AD19" s="73" ph="1">
        <f>AD18*268.68*LOOKUP(AD20,密度!$A$2:$A$50,密度!B5:B53)+IF(AD18&lt;=0,0,1566*LOOKUP(AD20,密度!$A$2:$A$50,密度!B5:B53))</f>
        <v>6753.2128272000009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26</v>
      </c>
      <c r="E20" s="81">
        <v>26</v>
      </c>
      <c r="F20" s="81">
        <v>30</v>
      </c>
      <c r="G20" s="81">
        <v>24</v>
      </c>
      <c r="H20" s="81">
        <v>23</v>
      </c>
      <c r="I20" s="81">
        <v>30</v>
      </c>
      <c r="J20" s="81">
        <v>29</v>
      </c>
      <c r="K20" s="81">
        <v>23</v>
      </c>
      <c r="L20" s="81">
        <v>25</v>
      </c>
      <c r="M20" s="81">
        <v>26</v>
      </c>
      <c r="N20" s="81">
        <v>24</v>
      </c>
      <c r="O20" s="81">
        <v>30</v>
      </c>
      <c r="P20" s="81">
        <v>25</v>
      </c>
      <c r="Q20" s="81">
        <v>27</v>
      </c>
      <c r="R20" s="81">
        <v>27</v>
      </c>
      <c r="S20" s="81">
        <v>26</v>
      </c>
      <c r="T20" s="81">
        <v>26</v>
      </c>
      <c r="U20" s="81">
        <v>27</v>
      </c>
      <c r="V20" s="81">
        <v>27</v>
      </c>
      <c r="W20" s="81">
        <v>26</v>
      </c>
      <c r="X20" s="81">
        <v>25</v>
      </c>
      <c r="Y20" s="110">
        <v>25</v>
      </c>
      <c r="Z20" s="81">
        <v>29</v>
      </c>
      <c r="AA20" s="81">
        <v>23</v>
      </c>
      <c r="AB20" s="81">
        <v>24</v>
      </c>
      <c r="AC20" s="81">
        <v>27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52" t="s" ph="1">
        <v>178</v>
      </c>
      <c r="D24" s="71">
        <v>66.099999999999994</v>
      </c>
      <c r="E24" s="71">
        <v>95.42</v>
      </c>
      <c r="F24" s="71">
        <v>0</v>
      </c>
      <c r="G24" s="71">
        <v>3095</v>
      </c>
      <c r="H24" s="71">
        <v>1205</v>
      </c>
      <c r="I24" s="71">
        <v>1176</v>
      </c>
      <c r="J24" s="71">
        <v>1913</v>
      </c>
      <c r="K24" s="71">
        <v>0</v>
      </c>
      <c r="L24" s="71">
        <v>0</v>
      </c>
      <c r="M24" s="71">
        <v>5235</v>
      </c>
      <c r="N24" s="71">
        <v>4180</v>
      </c>
      <c r="O24" s="71">
        <v>5</v>
      </c>
      <c r="P24" s="71">
        <v>2449</v>
      </c>
      <c r="Q24" s="90">
        <v>2869</v>
      </c>
      <c r="R24" s="71">
        <v>2913</v>
      </c>
      <c r="S24" s="71">
        <v>1584</v>
      </c>
      <c r="T24" s="71">
        <v>1758</v>
      </c>
      <c r="U24" s="71">
        <v>5299</v>
      </c>
      <c r="V24" s="71">
        <v>9642</v>
      </c>
      <c r="W24" s="71">
        <v>11220</v>
      </c>
      <c r="X24" s="71">
        <v>1870</v>
      </c>
      <c r="Y24" s="71">
        <v>8033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18296.458661520002</v>
      </c>
      <c r="E25" s="91" ph="1">
        <f>E24*268.68*LOOKUP(E26,密度!$A$2:$A$50,密度!$C$2:$C$50)+IF(E24&lt;=0,0,1566*LOOKUP(E26,密度!$A$2:$A$50,密度!$C$2:$C$50))</f>
        <v>30165.900825840003</v>
      </c>
      <c r="F25" s="91" ph="1">
        <f>F24*11.702*LOOKUP(F26,密度!$A$2:$A$50,密度!$Q$2:$Q$50)</f>
        <v>0</v>
      </c>
      <c r="G25" s="91" ph="1">
        <f>G24*18.322*LOOKUP(G26,密度!$A$2:$A$50,密度!$B$2:$B$50)</f>
        <v>44412.601287999998</v>
      </c>
      <c r="H25" s="91" ph="1">
        <f>H24*18.322*LOOKUP(H26,密度!$A$2:$A$50,密度!$B$2:$B$50)</f>
        <v>17271.627223</v>
      </c>
      <c r="I25" s="91" ph="1">
        <f>I24*18.322*LOOKUP(I26,密度!$A$2:$A$50,密度!$Q$2:$Q$50)</f>
        <v>20477.52613536</v>
      </c>
      <c r="J25" s="91" ph="1">
        <f>J24*18.322*LOOKUP(J26,密度!$A$2:$A$50,密度!$Q$2:$Q$50)</f>
        <v>33286.621204340001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91090.152642300003</v>
      </c>
      <c r="N25" s="91" ph="1">
        <f>N24*18.322*LOOKUP(N26,密度!$A$2:$A$50,密度!$Q$2:$Q$50)</f>
        <v>72785.764664799994</v>
      </c>
      <c r="O25" s="91" ph="1">
        <f>O24*18.322*LOOKUP(O26,密度!$A$2:$A$50,密度!$C$2:$C$50)</f>
        <v>101.86115900000001</v>
      </c>
      <c r="P25" s="91" ph="1">
        <f>P24*11.702*LOOKUP(P26,密度!$A$2:$A$50,密度!$B$2:$B$50)</f>
        <v>22419.308295399998</v>
      </c>
      <c r="Q25" s="92" ph="1">
        <f>Q24*18.322*LOOKUP(Q26,密度!$A$2:$A$50,密度!$B$2:$B$50)</f>
        <v>41122.239421400001</v>
      </c>
      <c r="R25" s="91" ph="1">
        <f>R24*35.891*LOOKUP(R26,密度!$A$2:$A$50,密度!$C$2:$C$50)</f>
        <v>116009.21593679998</v>
      </c>
      <c r="S25" s="91" ph="1">
        <f>S24*35.891*LOOKUP(S26,密度!$A$2:$A$50,密度!$B$2:$B$50)</f>
        <v>44474.806411199999</v>
      </c>
      <c r="T25" s="91" ph="1">
        <f>T24*35.891*LOOKUP(T26,密度!$A$2:$A$50,密度!$Q$2:$Q$50)</f>
        <v>59884.141396019993</v>
      </c>
      <c r="U25" s="91" ph="1">
        <f>U24*35.891</f>
        <v>190186.40899999999</v>
      </c>
      <c r="V25" s="91" ph="1">
        <f>V24*47.051*LOOKUP(V26,密度!$A$2:$A$50,密度!$B$2:$B$50)</f>
        <v>354902.7099666</v>
      </c>
      <c r="W25" s="91" ph="1">
        <f>W24*47.051*LOOKUP(W26,密度!$A$2:$A$50,密度!$B$2:$B$50)</f>
        <v>411560.36671199993</v>
      </c>
      <c r="X25" s="91" ph="1">
        <f>X24*47.051*LOOKUP(X26,密度!$A$2:$A$50,密度!$I$2:$I$50)</f>
        <v>91302.418449000019</v>
      </c>
      <c r="Y25" s="91" ph="1">
        <f>Y24*47.051*LOOKUP(Y26,密度!$A$2:$A$50,密度!$L$2:$L$50)</f>
        <v>353393.23860500002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20</v>
      </c>
      <c r="J26" s="74">
        <v>21</v>
      </c>
      <c r="K26" s="74">
        <v>21</v>
      </c>
      <c r="L26" s="74">
        <v>22</v>
      </c>
      <c r="M26" s="74">
        <v>21</v>
      </c>
      <c r="N26" s="74">
        <v>20</v>
      </c>
      <c r="O26" s="74">
        <v>21</v>
      </c>
      <c r="P26" s="74">
        <v>22</v>
      </c>
      <c r="Q26" s="93">
        <v>22</v>
      </c>
      <c r="R26" s="74">
        <v>24</v>
      </c>
      <c r="S26" s="74">
        <v>22</v>
      </c>
      <c r="T26" s="74">
        <v>22</v>
      </c>
      <c r="U26" s="74">
        <v>23</v>
      </c>
      <c r="V26" s="74">
        <v>22</v>
      </c>
      <c r="W26" s="74">
        <v>25</v>
      </c>
      <c r="X26" s="74">
        <v>29</v>
      </c>
      <c r="Y26" s="74">
        <v>27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52" t="s" ph="1">
        <v>181</v>
      </c>
      <c r="D27" s="71">
        <v>10.9</v>
      </c>
      <c r="E27" s="71">
        <v>95.41</v>
      </c>
      <c r="F27" s="71">
        <v>2150</v>
      </c>
      <c r="G27" s="71">
        <v>2576</v>
      </c>
      <c r="H27" s="71">
        <v>1120</v>
      </c>
      <c r="I27" s="71">
        <v>314</v>
      </c>
      <c r="J27" s="71">
        <v>2046</v>
      </c>
      <c r="K27" s="71">
        <v>0</v>
      </c>
      <c r="L27" s="71">
        <v>0</v>
      </c>
      <c r="M27" s="71">
        <v>5236</v>
      </c>
      <c r="N27" s="71">
        <v>5310</v>
      </c>
      <c r="O27" s="71">
        <v>0</v>
      </c>
      <c r="P27" s="71">
        <v>2446</v>
      </c>
      <c r="Q27" s="90">
        <v>3214</v>
      </c>
      <c r="R27" s="71">
        <v>2910</v>
      </c>
      <c r="S27" s="71">
        <v>1580</v>
      </c>
      <c r="T27" s="71">
        <v>1756</v>
      </c>
      <c r="U27" s="71">
        <v>4987</v>
      </c>
      <c r="V27" s="71">
        <v>9641</v>
      </c>
      <c r="W27" s="71">
        <v>10893</v>
      </c>
      <c r="X27" s="71">
        <v>1924</v>
      </c>
      <c r="Y27" s="71">
        <v>6438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52" t="s" ph="1">
        <v>179</v>
      </c>
      <c r="D28" s="91" ph="1">
        <f>D27*268.68*LOOKUP(D29,密度!$A$2:$A$50,密度!$Q$2:$Q$50)+IF(D27&lt;=0,0,1566*LOOKUP(D29,密度!$A$2:$A$50,密度!$Q$2:$Q$50))</f>
        <v>4255.2289648799997</v>
      </c>
      <c r="E28" s="91" ph="1">
        <f>E27*268.68*LOOKUP(E29,密度!$A$2:$A$50,密度!$C$2:$C$50)+IF(E27&lt;=0,0,1566*LOOKUP(E29,密度!$A$2:$A$50,密度!$C$2:$C$50))</f>
        <v>30162.92143332</v>
      </c>
      <c r="F28" s="91" ph="1">
        <f>F27*11.702*LOOKUP(F29,密度!$A$2:$A$50,密度!$Q$2:$Q$50)</f>
        <v>23819.315682</v>
      </c>
      <c r="G28" s="91" ph="1">
        <f>G27*18.322*LOOKUP(G29,密度!$A$2:$A$50,密度!$B$2:$B$50)</f>
        <v>36714.913468799998</v>
      </c>
      <c r="H28" s="91" ph="1">
        <f>H27*18.322*LOOKUP(H29,密度!$A$2:$A$50,密度!$B$2:$B$50)</f>
        <v>15963.005856</v>
      </c>
      <c r="I28" s="91" ph="1">
        <f>I27*18.322*LOOKUP(I29,密度!$A$2:$A$50,密度!$Q$2:$Q$50)</f>
        <v>5434.5008789600006</v>
      </c>
      <c r="J28" s="91" ph="1">
        <f>J27*18.322*LOOKUP(J29,密度!$A$2:$A$50,密度!$Q$2:$Q$50)</f>
        <v>35410.792351439995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90621.16752304</v>
      </c>
      <c r="N28" s="91" ph="1">
        <f>N27*18.322*LOOKUP(N29,密度!$A$2:$A$50,密度!$Q$2:$Q$50)</f>
        <v>91970.012642400005</v>
      </c>
      <c r="O28" s="91" ph="1">
        <f>O27*18.322*LOOKUP(O29,密度!$A$2:$A$50,密度!$C$2:$C$50)</f>
        <v>0</v>
      </c>
      <c r="P28" s="91" ph="1">
        <f>P27*11.702*LOOKUP(P29,密度!$A$2:$A$50,密度!$B$2:$B$50)</f>
        <v>22288.801740399998</v>
      </c>
      <c r="Q28" s="92" ph="1">
        <f>Q27*18.322*LOOKUP(Q29,密度!$A$2:$A$50,密度!$B$2:$B$50)</f>
        <v>45961.231693999995</v>
      </c>
      <c r="R28" s="91" ph="1">
        <f>R27*35.891*LOOKUP(R29,密度!$A$2:$A$50,密度!$C$2:$C$50)</f>
        <v>115816.63200899999</v>
      </c>
      <c r="S28" s="91" ph="1">
        <f>S27*35.891*LOOKUP(S29,密度!$A$2:$A$50,密度!$B$2:$B$50)</f>
        <v>44158.348285999993</v>
      </c>
      <c r="T28" s="91" ph="1">
        <f>T27*35.891*LOOKUP(T29,密度!$A$2:$A$50,密度!$Q$2:$Q$50)</f>
        <v>59667.906017039997</v>
      </c>
      <c r="U28" s="91" ph="1">
        <f>U27*35.891</f>
        <v>178988.41699999999</v>
      </c>
      <c r="V28" s="91" ph="1">
        <f>V27*47.051*LOOKUP(V29,密度!$A$2:$A$50,密度!$B$2:$B$50)</f>
        <v>354049.38832549995</v>
      </c>
      <c r="W28" s="91" ph="1">
        <f>W27*47.051*LOOKUP(W29,密度!$A$2:$A$50,密度!$B$2:$B$50)</f>
        <v>399565.69292279996</v>
      </c>
      <c r="X28" s="91" ph="1">
        <f>X27*47.051*LOOKUP(X29,密度!$A$2:$A$50,密度!$I$2:$I$50)</f>
        <v>94047.590223600011</v>
      </c>
      <c r="Y28" s="91" ph="1">
        <f>Y27*47.051*LOOKUP(Y29,密度!$A$2:$A$50,密度!$L$2:$L$50)</f>
        <v>283527.82036800002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52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28</v>
      </c>
      <c r="J29" s="74">
        <v>28</v>
      </c>
      <c r="K29" s="74">
        <v>28</v>
      </c>
      <c r="L29" s="74">
        <v>28</v>
      </c>
      <c r="M29" s="74">
        <v>28</v>
      </c>
      <c r="N29" s="74">
        <v>27</v>
      </c>
      <c r="O29" s="74">
        <v>27</v>
      </c>
      <c r="P29" s="74">
        <v>26</v>
      </c>
      <c r="Q29" s="93">
        <v>24</v>
      </c>
      <c r="R29" s="74">
        <v>25</v>
      </c>
      <c r="S29" s="74">
        <v>26</v>
      </c>
      <c r="T29" s="74">
        <v>25</v>
      </c>
      <c r="U29" s="74">
        <v>25</v>
      </c>
      <c r="V29" s="74">
        <v>24</v>
      </c>
      <c r="W29" s="74">
        <v>25</v>
      </c>
      <c r="X29" s="74">
        <v>28</v>
      </c>
      <c r="Y29" s="74">
        <v>26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52" t="s" ph="1">
        <v>5</v>
      </c>
      <c r="F32" s="151" t="s" ph="1">
        <v>43</v>
      </c>
      <c r="G32" s="97" t="s" ph="1">
        <v>4</v>
      </c>
      <c r="H32" s="152" t="s" ph="1">
        <v>5</v>
      </c>
      <c r="I32" s="151" t="s" ph="1">
        <v>43</v>
      </c>
      <c r="J32" s="97" t="s" ph="1">
        <v>4</v>
      </c>
      <c r="K32" s="152" t="s" ph="1">
        <v>5</v>
      </c>
      <c r="L32" s="151" t="s" ph="1">
        <v>43</v>
      </c>
      <c r="M32" s="97" t="s" ph="1">
        <v>4</v>
      </c>
      <c r="N32" s="152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2" t="s" ph="1">
        <v>5</v>
      </c>
      <c r="U32" s="99" t="s" ph="1">
        <v>43</v>
      </c>
      <c r="V32" s="97" t="s" ph="1">
        <v>4</v>
      </c>
      <c r="W32" s="152" t="s" ph="1">
        <v>5</v>
      </c>
      <c r="X32" s="99" t="s" ph="1">
        <v>43</v>
      </c>
      <c r="Y32" s="100" t="s" ph="1">
        <v>4</v>
      </c>
      <c r="Z32" s="152" t="s" ph="1">
        <v>5</v>
      </c>
      <c r="AA32" s="151" t="s" ph="1">
        <v>43</v>
      </c>
      <c r="AB32" s="97" t="s" ph="1">
        <v>85</v>
      </c>
      <c r="AC32" s="152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133900.8220362</v>
      </c>
      <c r="E33" s="218" ph="1">
        <f>M10+I10</f>
        <v>39886.776529700001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22" ph="1">
        <v>0</v>
      </c>
      <c r="H33" s="218" ph="1">
        <f>N19</f>
        <v>23487.646523700001</v>
      </c>
      <c r="I33" s="231" ph="1">
        <v>0</v>
      </c>
      <c r="J33" s="229" ph="1">
        <f>F10+O28</f>
        <v>170549.57669759999</v>
      </c>
      <c r="K33" s="218" ph="1">
        <f>O10+K10+E28+R28</f>
        <v>148412.60492392001</v>
      </c>
      <c r="L33" s="233" ph="1">
        <f>BE27</f>
        <v>7100</v>
      </c>
      <c r="M33" s="229" ph="1">
        <f>G10+H10+W28+S28+V28+E10</f>
        <v>1277200.3820292999</v>
      </c>
      <c r="N33" s="218" ph="1">
        <f>L10+P10++G28+H28</f>
        <v>244910.1059238</v>
      </c>
      <c r="O33" s="231" ph="1">
        <f>BE17</f>
        <v>2270</v>
      </c>
      <c r="P33" s="229" ph="1">
        <f>L19</f>
        <v>17952.854694720001</v>
      </c>
      <c r="Q33" s="218" ph="1">
        <f>J10+N10</f>
        <v>156632.1137328</v>
      </c>
      <c r="R33" s="231" ph="1">
        <f>BE23</f>
        <v>890</v>
      </c>
      <c r="S33" s="229" ph="1">
        <f>E10+X28</f>
        <v>282320.71063560003</v>
      </c>
      <c r="T33" s="218" ph="1">
        <f>X19</f>
        <v>7241.9967085199996</v>
      </c>
      <c r="U33" s="239" ph="1">
        <f>BE21</f>
        <v>730</v>
      </c>
      <c r="V33" s="250" ph="1">
        <f ca="1">P19+Q19+S19+M28+N28+J28</f>
        <v>320146.64037311199</v>
      </c>
      <c r="W33" s="250" ph="1">
        <f>D28+F28+V19+T28</f>
        <v>93036.242663919998</v>
      </c>
      <c r="X33" s="231" ph="1">
        <f>BE29+BE31</f>
        <v>10200</v>
      </c>
      <c r="Y33" s="252" ph="1">
        <f>+Q10+R10+S10+T10+U10+V10+W10+X10+Y10</f>
        <v>191371.69261980001</v>
      </c>
      <c r="Z33" s="237" ph="1">
        <f>D10+T19+U19+Y28+Z10</f>
        <v>581941.93578061997</v>
      </c>
      <c r="AA33" s="239" ph="1">
        <f>BE19</f>
        <v>1440</v>
      </c>
      <c r="AB33" s="241" ph="1">
        <f>I19</f>
        <v>1082.9627640000001</v>
      </c>
      <c r="AC33" s="243" ph="1">
        <f>AD10</f>
        <v>105829.62364800001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50" t="s" ph="1">
        <v>186</v>
      </c>
      <c r="AA36" s="150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345</v>
      </c>
      <c r="AI37" s="150" t="s" ph="1">
        <v>212</v>
      </c>
      <c r="AJ37" s="150" t="s" ph="1">
        <v>213</v>
      </c>
      <c r="AK37" s="150" t="s" ph="1">
        <v>214</v>
      </c>
      <c r="AM37" s="150" t="s" ph="1">
        <v>213</v>
      </c>
      <c r="AN37" s="150" t="s" ph="1">
        <v>214</v>
      </c>
      <c r="AO37" s="150" t="s" ph="1">
        <v>215</v>
      </c>
      <c r="AP37" s="150" t="s" ph="1">
        <v>213</v>
      </c>
      <c r="AQ37" s="150" t="s" ph="1">
        <v>214</v>
      </c>
      <c r="AR37" s="150" t="s" ph="1">
        <v>215</v>
      </c>
      <c r="AS37" s="150" t="s" ph="1">
        <v>213</v>
      </c>
      <c r="AT37" s="150" t="s" ph="1">
        <v>214</v>
      </c>
      <c r="AU37" s="150" t="s" ph="1">
        <v>215</v>
      </c>
      <c r="AV37" s="150" t="s" ph="1">
        <v>213</v>
      </c>
      <c r="AW37" s="150" t="s" ph="1">
        <v>214</v>
      </c>
      <c r="AX37" s="150" t="s" ph="1">
        <v>215</v>
      </c>
      <c r="AY37" s="150" t="s" ph="1">
        <v>214</v>
      </c>
      <c r="AZ37" s="150" t="s" ph="1">
        <v>216</v>
      </c>
      <c r="BD37" s="150" t="s" ph="1">
        <v>308</v>
      </c>
      <c r="BE37" s="15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63" priority="96">
      <formula>ABS(D$7-D$10)&gt;=1000</formula>
    </cfRule>
  </conditionalFormatting>
  <conditionalFormatting sqref="E4 E6:E11">
    <cfRule type="expression" dxfId="1762" priority="95">
      <formula>ABS(E$7-E$10)&gt;=1000</formula>
    </cfRule>
  </conditionalFormatting>
  <conditionalFormatting sqref="F4:F11">
    <cfRule type="expression" dxfId="1761" priority="94">
      <formula>ABS(F$7-F$10)&gt;=1000</formula>
    </cfRule>
  </conditionalFormatting>
  <conditionalFormatting sqref="G4:G11">
    <cfRule type="expression" dxfId="1760" priority="93">
      <formula>ABS(G$7-G$10)&gt;=1000</formula>
    </cfRule>
  </conditionalFormatting>
  <conditionalFormatting sqref="H4:H11">
    <cfRule type="expression" dxfId="1759" priority="92">
      <formula>ABS(H$7-H$10)&gt;=1000</formula>
    </cfRule>
  </conditionalFormatting>
  <conditionalFormatting sqref="I4:I11">
    <cfRule type="expression" dxfId="1758" priority="91">
      <formula>ABS(I$7-I$10)&gt;=1000</formula>
    </cfRule>
  </conditionalFormatting>
  <conditionalFormatting sqref="J4:J11">
    <cfRule type="expression" dxfId="1757" priority="90">
      <formula>ABS(J$7-J$10)&gt;=1000</formula>
    </cfRule>
  </conditionalFormatting>
  <conditionalFormatting sqref="K4:K11">
    <cfRule type="expression" dxfId="1756" priority="89">
      <formula>ABS(K$7-K$10)&gt;=1000</formula>
    </cfRule>
  </conditionalFormatting>
  <conditionalFormatting sqref="L4:L11">
    <cfRule type="expression" dxfId="1755" priority="88">
      <formula>ABS(L$7-L$10)&gt;=1000</formula>
    </cfRule>
  </conditionalFormatting>
  <conditionalFormatting sqref="M4 M6:M11">
    <cfRule type="expression" dxfId="1754" priority="87">
      <formula>ABS(M$7-M$10)&gt;=1000</formula>
    </cfRule>
  </conditionalFormatting>
  <conditionalFormatting sqref="N4 N6:N11">
    <cfRule type="expression" dxfId="1753" priority="86">
      <formula>ABS(N$7-N$10)&gt;=1000</formula>
    </cfRule>
  </conditionalFormatting>
  <conditionalFormatting sqref="O4 O6:O11">
    <cfRule type="expression" dxfId="1752" priority="85">
      <formula>ABS(O$7-O$10)&gt;=1000</formula>
    </cfRule>
  </conditionalFormatting>
  <conditionalFormatting sqref="P4 P6:P11">
    <cfRule type="expression" dxfId="1751" priority="84">
      <formula>ABS(P$7-P$10)&gt;=1000</formula>
    </cfRule>
  </conditionalFormatting>
  <conditionalFormatting sqref="Q4:Q11">
    <cfRule type="expression" dxfId="1750" priority="83">
      <formula>ABS(Q$7-Q$10)&gt;=1000</formula>
    </cfRule>
  </conditionalFormatting>
  <conditionalFormatting sqref="R4:R11">
    <cfRule type="expression" dxfId="1749" priority="82">
      <formula>ABS(R$7-R$10)&gt;=1000</formula>
    </cfRule>
  </conditionalFormatting>
  <conditionalFormatting sqref="S4:S11">
    <cfRule type="expression" dxfId="1748" priority="81">
      <formula>ABS(S$7-S$10)&gt;=1000</formula>
    </cfRule>
  </conditionalFormatting>
  <conditionalFormatting sqref="T4:T9 T11">
    <cfRule type="expression" dxfId="1747" priority="80">
      <formula>ABS(T$7-T$10)&gt;=1000</formula>
    </cfRule>
  </conditionalFormatting>
  <conditionalFormatting sqref="U4:U9 U11">
    <cfRule type="expression" dxfId="1746" priority="79">
      <formula>ABS(U$7-U$10)&gt;=1000</formula>
    </cfRule>
  </conditionalFormatting>
  <conditionalFormatting sqref="V4:V9 V11">
    <cfRule type="expression" dxfId="1745" priority="78">
      <formula>ABS(V$7-V$10)&gt;=1000</formula>
    </cfRule>
  </conditionalFormatting>
  <conditionalFormatting sqref="W4:W9 W11">
    <cfRule type="expression" dxfId="1744" priority="77">
      <formula>ABS(W$7-W$10)&gt;=1000</formula>
    </cfRule>
  </conditionalFormatting>
  <conditionalFormatting sqref="X4:X9 X11">
    <cfRule type="expression" dxfId="1743" priority="76">
      <formula>ABS(X$7-X$10)&gt;=1000</formula>
    </cfRule>
  </conditionalFormatting>
  <conditionalFormatting sqref="Y4:Y9 Y11">
    <cfRule type="expression" dxfId="1742" priority="75">
      <formula>ABS(Y$7-Y$10)&gt;=1000</formula>
    </cfRule>
  </conditionalFormatting>
  <conditionalFormatting sqref="Z4:Z11">
    <cfRule type="expression" dxfId="1741" priority="74">
      <formula>ABS(Z$7-Z$10)&gt;=1000</formula>
    </cfRule>
  </conditionalFormatting>
  <conditionalFormatting sqref="AA4:AA11">
    <cfRule type="expression" dxfId="1740" priority="73">
      <formula>ABS(AA$7-AA$10)&gt;=1000</formula>
    </cfRule>
  </conditionalFormatting>
  <conditionalFormatting sqref="AB4:AB11">
    <cfRule type="expression" dxfId="1739" priority="72">
      <formula>ABS(AB$7-AB$10)&gt;=1000</formula>
    </cfRule>
  </conditionalFormatting>
  <conditionalFormatting sqref="AC4 AC6:AC11">
    <cfRule type="expression" dxfId="1738" priority="71">
      <formula>ABS(AC$7-AC$10)&gt;=1000</formula>
    </cfRule>
  </conditionalFormatting>
  <conditionalFormatting sqref="AD4:AD11">
    <cfRule type="expression" dxfId="1737" priority="70">
      <formula>ABS(AD$7-AD$10)&gt;=1000</formula>
    </cfRule>
  </conditionalFormatting>
  <conditionalFormatting sqref="AE4:AE11">
    <cfRule type="expression" dxfId="1736" priority="69">
      <formula>ABS(AE$7-AE$10)&gt;=1000</formula>
    </cfRule>
  </conditionalFormatting>
  <conditionalFormatting sqref="D13:D20">
    <cfRule type="expression" dxfId="1735" priority="68">
      <formula>ABS(D$16-D$19)&gt;=1000</formula>
    </cfRule>
  </conditionalFormatting>
  <conditionalFormatting sqref="E13:E20">
    <cfRule type="expression" dxfId="1734" priority="67">
      <formula>ABS(E$16-E$19)&gt;=1000</formula>
    </cfRule>
  </conditionalFormatting>
  <conditionalFormatting sqref="F13 F15:F20">
    <cfRule type="expression" dxfId="1733" priority="66">
      <formula>ABS(F$16-F$19)&gt;=1000</formula>
    </cfRule>
  </conditionalFormatting>
  <conditionalFormatting sqref="G13:G20">
    <cfRule type="expression" dxfId="1732" priority="65">
      <formula>ABS(G$16-G$19)&gt;=1000</formula>
    </cfRule>
  </conditionalFormatting>
  <conditionalFormatting sqref="H13:H20">
    <cfRule type="expression" dxfId="1731" priority="64">
      <formula>ABS(H$16-H$19)&gt;=1000</formula>
    </cfRule>
  </conditionalFormatting>
  <conditionalFormatting sqref="I13:I20">
    <cfRule type="expression" dxfId="1730" priority="63">
      <formula>ABS(I$16-I$19)&gt;=1000</formula>
    </cfRule>
  </conditionalFormatting>
  <conditionalFormatting sqref="J13:J20">
    <cfRule type="expression" dxfId="1729" priority="62">
      <formula>ABS(J$16-J$19)&gt;=1000</formula>
    </cfRule>
  </conditionalFormatting>
  <conditionalFormatting sqref="L13:L20">
    <cfRule type="expression" dxfId="1728" priority="61">
      <formula>ABS(L$16-L$19)&gt;=1000</formula>
    </cfRule>
  </conditionalFormatting>
  <conditionalFormatting sqref="M13 M15 M17:M18 M20">
    <cfRule type="expression" dxfId="1727" priority="60">
      <formula>ABS(M$16-M$19)&gt;=1000</formula>
    </cfRule>
  </conditionalFormatting>
  <conditionalFormatting sqref="N13:N20">
    <cfRule type="expression" dxfId="1726" priority="59">
      <formula>ABS(N$16-N$19)&gt;=1000</formula>
    </cfRule>
  </conditionalFormatting>
  <conditionalFormatting sqref="O13:O20">
    <cfRule type="expression" dxfId="1725" priority="58">
      <formula>ABS(O$16-O$19)&gt;=1000</formula>
    </cfRule>
  </conditionalFormatting>
  <conditionalFormatting sqref="P13:P20">
    <cfRule type="expression" dxfId="1724" priority="57">
      <formula>ABS(P$16-P$19)&gt;=1000</formula>
    </cfRule>
  </conditionalFormatting>
  <conditionalFormatting sqref="Q13 Q15:Q20">
    <cfRule type="expression" dxfId="1723" priority="56">
      <formula>ABS(Q$16-Q$19)&gt;=1000</formula>
    </cfRule>
  </conditionalFormatting>
  <conditionalFormatting sqref="R13:R20">
    <cfRule type="expression" dxfId="1722" priority="55">
      <formula>ABS(R$16-R$19)&gt;=1000</formula>
    </cfRule>
  </conditionalFormatting>
  <conditionalFormatting sqref="S13:S20">
    <cfRule type="expression" dxfId="1721" priority="54">
      <formula>ABS(S$16-S$19)&gt;=1000</formula>
    </cfRule>
  </conditionalFormatting>
  <conditionalFormatting sqref="T13:T20">
    <cfRule type="expression" dxfId="1720" priority="53">
      <formula>ABS(T$16-T$19)&gt;=1000</formula>
    </cfRule>
  </conditionalFormatting>
  <conditionalFormatting sqref="U13:U20">
    <cfRule type="expression" dxfId="1719" priority="52">
      <formula>ABS(U$16-U$19)&gt;=1000</formula>
    </cfRule>
  </conditionalFormatting>
  <conditionalFormatting sqref="V13:V20">
    <cfRule type="expression" dxfId="1718" priority="51">
      <formula>ABS(V$16-V$19)&gt;=1000</formula>
    </cfRule>
  </conditionalFormatting>
  <conditionalFormatting sqref="W13 W20 W15:W18">
    <cfRule type="expression" dxfId="1717" priority="50">
      <formula>ABS(W$16-W$19)&gt;=1000</formula>
    </cfRule>
  </conditionalFormatting>
  <conditionalFormatting sqref="X13 X15:X20 Y19">
    <cfRule type="expression" dxfId="1716" priority="49">
      <formula>ABS(X$16-X$19)&gt;=1000</formula>
    </cfRule>
  </conditionalFormatting>
  <conditionalFormatting sqref="Y13 Y15:Y18 Y20">
    <cfRule type="expression" dxfId="1715" priority="48">
      <formula>ABS(Y$16-Y$19)&gt;=1000</formula>
    </cfRule>
  </conditionalFormatting>
  <conditionalFormatting sqref="Z13:Z20">
    <cfRule type="expression" dxfId="1714" priority="47">
      <formula>ABS(Z$16-Z$19)&gt;=1000</formula>
    </cfRule>
  </conditionalFormatting>
  <conditionalFormatting sqref="AA13:AA20">
    <cfRule type="expression" dxfId="1713" priority="46">
      <formula>ABS(AA$16-AA$19)&gt;=1000</formula>
    </cfRule>
  </conditionalFormatting>
  <conditionalFormatting sqref="AB13 AB15:AB20">
    <cfRule type="expression" dxfId="1712" priority="45">
      <formula>ABS(AB$16-AB$19)&gt;=1000</formula>
    </cfRule>
  </conditionalFormatting>
  <conditionalFormatting sqref="AC13 AC15:AC20">
    <cfRule type="expression" dxfId="1711" priority="44">
      <formula>ABS(AC$16-AC$19)&gt;=1000</formula>
    </cfRule>
  </conditionalFormatting>
  <conditionalFormatting sqref="AD13:AD20">
    <cfRule type="expression" dxfId="1710" priority="43">
      <formula>ABS(AD$16-AD$19)&gt;=1000</formula>
    </cfRule>
  </conditionalFormatting>
  <conditionalFormatting sqref="AE13:AE20">
    <cfRule type="expression" dxfId="1709" priority="42">
      <formula>ABS(AE$16-AE$19)&gt;=1000</formula>
    </cfRule>
  </conditionalFormatting>
  <conditionalFormatting sqref="D22:D29">
    <cfRule type="expression" dxfId="1708" priority="41">
      <formula>ABS(D$25-D$28)&gt;=1000</formula>
    </cfRule>
  </conditionalFormatting>
  <conditionalFormatting sqref="E22:E29">
    <cfRule type="expression" dxfId="1707" priority="40">
      <formula>ABS(E$25-E$28)&gt;=1000</formula>
    </cfRule>
  </conditionalFormatting>
  <conditionalFormatting sqref="F22:F29">
    <cfRule type="expression" dxfId="1706" priority="39">
      <formula>ABS(F$25-F$28)&gt;=1000</formula>
    </cfRule>
  </conditionalFormatting>
  <conditionalFormatting sqref="G22:G29">
    <cfRule type="expression" dxfId="1705" priority="38">
      <formula>ABS(G$25-G$28)&gt;=1000</formula>
    </cfRule>
  </conditionalFormatting>
  <conditionalFormatting sqref="H22:H29">
    <cfRule type="expression" dxfId="1704" priority="37">
      <formula>ABS(H$25-H$28)&gt;=1000</formula>
    </cfRule>
  </conditionalFormatting>
  <conditionalFormatting sqref="I22 I24:I29">
    <cfRule type="expression" dxfId="1703" priority="36">
      <formula>ABS(I$25-I$28)&gt;=1000</formula>
    </cfRule>
  </conditionalFormatting>
  <conditionalFormatting sqref="J22:J29 K22">
    <cfRule type="expression" dxfId="1702" priority="35">
      <formula>ABS(J$25-J$28)&gt;=1000</formula>
    </cfRule>
  </conditionalFormatting>
  <conditionalFormatting sqref="K23:K29 L25 L28">
    <cfRule type="expression" dxfId="1701" priority="34">
      <formula>ABS(K$25-K$28)&gt;=1000</formula>
    </cfRule>
  </conditionalFormatting>
  <conditionalFormatting sqref="L22:L24 L26:L27 L29">
    <cfRule type="expression" dxfId="1700" priority="33">
      <formula>ABS(L$25-L$28)&gt;=1000</formula>
    </cfRule>
  </conditionalFormatting>
  <conditionalFormatting sqref="M22:M29">
    <cfRule type="expression" dxfId="1699" priority="32">
      <formula>ABS(M$25-M$28)&gt;=1000</formula>
    </cfRule>
  </conditionalFormatting>
  <conditionalFormatting sqref="N22:N29">
    <cfRule type="expression" dxfId="1698" priority="31">
      <formula>ABS(N$25-N$28)&gt;=1000</formula>
    </cfRule>
  </conditionalFormatting>
  <conditionalFormatting sqref="O22:O29">
    <cfRule type="expression" dxfId="1697" priority="30">
      <formula>ABS(O$25-O$28)&gt;=1000</formula>
    </cfRule>
  </conditionalFormatting>
  <conditionalFormatting sqref="P22:P29">
    <cfRule type="expression" dxfId="1696" priority="29">
      <formula>ABS(P$25-P$28)&gt;=1000</formula>
    </cfRule>
  </conditionalFormatting>
  <conditionalFormatting sqref="Q22:Q29">
    <cfRule type="expression" dxfId="1695" priority="28">
      <formula>ABS(Q$25-Q$28)&gt;=1000</formula>
    </cfRule>
  </conditionalFormatting>
  <conditionalFormatting sqref="R22:R29">
    <cfRule type="expression" dxfId="1694" priority="27">
      <formula>ABS(R$25-R$28)&gt;=1000</formula>
    </cfRule>
  </conditionalFormatting>
  <conditionalFormatting sqref="S22:S29">
    <cfRule type="expression" dxfId="1693" priority="26">
      <formula>ABS(S$25-S$28)&gt;=1000</formula>
    </cfRule>
  </conditionalFormatting>
  <conditionalFormatting sqref="T22:T29">
    <cfRule type="expression" dxfId="1692" priority="25">
      <formula>ABS(T$25-T$28)&gt;=1000</formula>
    </cfRule>
  </conditionalFormatting>
  <conditionalFormatting sqref="U22:U29">
    <cfRule type="expression" dxfId="1691" priority="24">
      <formula>ABS(U$25-U$28)&gt;=1000</formula>
    </cfRule>
  </conditionalFormatting>
  <conditionalFormatting sqref="V22:V29">
    <cfRule type="expression" dxfId="1690" priority="23">
      <formula>ABS(V$25-V$28)&gt;=1000</formula>
    </cfRule>
  </conditionalFormatting>
  <conditionalFormatting sqref="W22:W29">
    <cfRule type="expression" dxfId="1689" priority="22">
      <formula>ABS(W$25-W$28)&gt;=1000</formula>
    </cfRule>
  </conditionalFormatting>
  <conditionalFormatting sqref="X22:X29">
    <cfRule type="expression" dxfId="1688" priority="21">
      <formula>ABS(X$25-X$28)&gt;=1000</formula>
    </cfRule>
  </conditionalFormatting>
  <conditionalFormatting sqref="Y22:Y29">
    <cfRule type="expression" dxfId="1687" priority="20">
      <formula>ABS(Y$25-Y$28)&gt;=1000</formula>
    </cfRule>
  </conditionalFormatting>
  <conditionalFormatting sqref="I23">
    <cfRule type="expression" dxfId="1686" priority="19">
      <formula>ABS(I$25-I$28)&gt;=1000</formula>
    </cfRule>
  </conditionalFormatting>
  <conditionalFormatting sqref="F14">
    <cfRule type="expression" dxfId="1685" priority="18">
      <formula>ABS(F$16-F$19)&gt;=1000</formula>
    </cfRule>
  </conditionalFormatting>
  <conditionalFormatting sqref="Q14">
    <cfRule type="expression" dxfId="1684" priority="17">
      <formula>ABS(Q$16-Q$19)&gt;=1000</formula>
    </cfRule>
  </conditionalFormatting>
  <conditionalFormatting sqref="W14">
    <cfRule type="expression" dxfId="1683" priority="16">
      <formula>ABS(W$16-W$19)&gt;=1000</formula>
    </cfRule>
  </conditionalFormatting>
  <conditionalFormatting sqref="Y14">
    <cfRule type="expression" dxfId="1682" priority="15">
      <formula>ABS(Y$16-Y$19)&gt;=1000</formula>
    </cfRule>
  </conditionalFormatting>
  <conditionalFormatting sqref="X14">
    <cfRule type="expression" dxfId="1681" priority="14">
      <formula>ABS(X$16-X$19)&gt;=1000</formula>
    </cfRule>
  </conditionalFormatting>
  <conditionalFormatting sqref="T10:Y10">
    <cfRule type="expression" dxfId="1680" priority="13">
      <formula>ABS(T$7-T$10)&gt;=1000</formula>
    </cfRule>
  </conditionalFormatting>
  <conditionalFormatting sqref="W19">
    <cfRule type="expression" dxfId="1679" priority="12">
      <formula>ABS(W$16-W$19)&gt;=1000</formula>
    </cfRule>
  </conditionalFormatting>
  <conditionalFormatting sqref="AC5">
    <cfRule type="expression" dxfId="1678" priority="11">
      <formula>ABS(AC$7-AC$10)&gt;=1000</formula>
    </cfRule>
  </conditionalFormatting>
  <conditionalFormatting sqref="M14">
    <cfRule type="expression" dxfId="1677" priority="10">
      <formula>ABS(M$16-M$19)&gt;=1000</formula>
    </cfRule>
  </conditionalFormatting>
  <conditionalFormatting sqref="M16">
    <cfRule type="expression" dxfId="1676" priority="9">
      <formula>ABS(M$16-M$19)&gt;=1000</formula>
    </cfRule>
  </conditionalFormatting>
  <conditionalFormatting sqref="M19">
    <cfRule type="expression" dxfId="1675" priority="8">
      <formula>ABS(M$16-M$19)&gt;=1000</formula>
    </cfRule>
  </conditionalFormatting>
  <conditionalFormatting sqref="K13:K20">
    <cfRule type="expression" dxfId="1674" priority="7">
      <formula>ABS(K$16-K$19)&gt;=1000</formula>
    </cfRule>
  </conditionalFormatting>
  <conditionalFormatting sqref="E5">
    <cfRule type="expression" dxfId="1673" priority="6">
      <formula>ABS(E$7-E$10)&gt;=1000</formula>
    </cfRule>
  </conditionalFormatting>
  <conditionalFormatting sqref="AB14:AC14">
    <cfRule type="expression" dxfId="1672" priority="5">
      <formula>ABS(AB$16-AB$19)&gt;=1000</formula>
    </cfRule>
  </conditionalFormatting>
  <conditionalFormatting sqref="M5">
    <cfRule type="expression" dxfId="1671" priority="4">
      <formula>ABS(M$7-M$10)&gt;=1000</formula>
    </cfRule>
  </conditionalFormatting>
  <conditionalFormatting sqref="N5">
    <cfRule type="expression" dxfId="1670" priority="3">
      <formula>ABS(N$7-N$10)&gt;=1000</formula>
    </cfRule>
  </conditionalFormatting>
  <conditionalFormatting sqref="O5">
    <cfRule type="expression" dxfId="1669" priority="2">
      <formula>ABS(O$7-O$10)&gt;=1000</formula>
    </cfRule>
  </conditionalFormatting>
  <conditionalFormatting sqref="P5">
    <cfRule type="expression" dxfId="1668" priority="1">
      <formula>ABS(P$7-P$10)&gt;=1000</formula>
    </cfRule>
  </conditionalFormatting>
  <dataValidations count="1">
    <dataValidation operator="greaterThanOrEqual" allowBlank="1" showErrorMessage="1" sqref="D6" xr:uid="{00000000-0002-0000-0A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62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634">
    <pageSetUpPr fitToPage="1"/>
  </sheetPr>
  <dimension ref="A1:CU223"/>
  <sheetViews>
    <sheetView view="pageBreakPreview" topLeftCell="A7" zoomScale="80" zoomScaleNormal="100" zoomScaleSheetLayoutView="80" workbookViewId="0">
      <selection activeCell="T18" sqref="T18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45790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53" t="s" ph="1">
        <v>178</v>
      </c>
      <c r="D6" s="71">
        <v>4201</v>
      </c>
      <c r="E6" s="71">
        <v>4692</v>
      </c>
      <c r="F6" s="71">
        <v>4630</v>
      </c>
      <c r="G6" s="71">
        <v>4249</v>
      </c>
      <c r="H6" s="71">
        <v>1868</v>
      </c>
      <c r="I6" s="71">
        <v>0.11</v>
      </c>
      <c r="J6" s="71">
        <v>7.82</v>
      </c>
      <c r="K6" s="71">
        <v>7.4</v>
      </c>
      <c r="L6" s="71">
        <v>36.82</v>
      </c>
      <c r="M6" s="71">
        <v>1174</v>
      </c>
      <c r="N6" s="71">
        <v>5957</v>
      </c>
      <c r="O6" s="71">
        <v>0</v>
      </c>
      <c r="P6" s="71">
        <v>4800</v>
      </c>
      <c r="Q6" s="71">
        <v>0</v>
      </c>
      <c r="R6" s="71">
        <v>0</v>
      </c>
      <c r="S6" s="71">
        <v>0</v>
      </c>
      <c r="T6" s="71">
        <v>0</v>
      </c>
      <c r="U6" s="71">
        <v>3513</v>
      </c>
      <c r="V6" s="71">
        <v>5104</v>
      </c>
      <c r="W6" s="71">
        <v>7108</v>
      </c>
      <c r="X6" s="71">
        <v>7012</v>
      </c>
      <c r="Y6" s="71">
        <v>2733</v>
      </c>
      <c r="Z6" s="71">
        <v>4323</v>
      </c>
      <c r="AA6" s="71">
        <v>2154</v>
      </c>
      <c r="AB6" s="71">
        <v>2867</v>
      </c>
      <c r="AC6" s="71">
        <v>6349</v>
      </c>
      <c r="AD6" s="71">
        <v>5404</v>
      </c>
      <c r="AE6" s="71">
        <v>3744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131977.24403741999</v>
      </c>
      <c r="E7" s="73" ph="1">
        <f>E6*51.53*LOOKUP(E8,密度!$A$2:$A$50,密度!$B$2:$B$50)</f>
        <v>188490.721296</v>
      </c>
      <c r="F7" s="73" ph="1">
        <f>F6*33.183*LOOKUP(F8,密度!$A$2:$A$50,密度!$C$2:$C$50)</f>
        <v>170368.390881</v>
      </c>
      <c r="G7" s="73" ph="1">
        <f xml:space="preserve"> (G6+2)*51.53*LOOKUP(G8,密度!$A$2:$A$50,密度!$B$2:$B$50)</f>
        <v>170971.670415</v>
      </c>
      <c r="H7" s="73" ph="1">
        <f>(H6)*51.53*LOOKUP(H8,密度!$A$2:$A$50,密度!$B$2:$B$50)</f>
        <v>75629.942028000005</v>
      </c>
      <c r="I7" s="73" ph="1">
        <f>I6*290.8*1.0267</f>
        <v>32.842079599999998</v>
      </c>
      <c r="J7" s="73" ph="1">
        <f>J6*290.8*0.7892</f>
        <v>1794.6849952</v>
      </c>
      <c r="K7" s="73" ph="1">
        <f>K6*290.8*1.1126</f>
        <v>2394.2261920000001</v>
      </c>
      <c r="L7" s="73" ph="1">
        <f>L6*290.8*0.777</f>
        <v>8319.5379120000016</v>
      </c>
      <c r="M7" s="73" ph="1">
        <f>M6*33.183*LOOKUP(M8,密度!$A$2:$A$50,密度!$D$2:$D$50)</f>
        <v>39922.971681599993</v>
      </c>
      <c r="N7" s="73" ph="1">
        <f>N6*33.183*LOOKUP(N8,密度!$A$2:$A$50,密度!$E$2:$E$50)</f>
        <v>154816.02979919998</v>
      </c>
      <c r="O7" s="73" ph="1">
        <f>O6*20.428*LOOKUP(O8,密度!$A$2:$A$50,密度!$C$2:$C$50)</f>
        <v>0</v>
      </c>
      <c r="P7" s="73" ph="1">
        <f>P6*51.53*LOOKUP(P8,密度!$A$2:$A$50,密度!$B$2:$B$50)</f>
        <v>193051.992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23292.408308399998</v>
      </c>
      <c r="V7" s="73" ph="1">
        <f>V6*1.5*1.5*3.1416*LOOKUP(V8,密度!$A$2:$A$50,密度!$L$2:$L$50)</f>
        <v>33696.977529600008</v>
      </c>
      <c r="W7" s="73" ph="1">
        <f>W6*1.5*1.5*3.1416*LOOKUP(W8,密度!$A$2:$A$50,密度!$L$2:$L$50)</f>
        <v>47178.7486632</v>
      </c>
      <c r="X7" s="73" ph="1">
        <f>X6*1.5*1.5*3.1416*LOOKUP(X8,密度!$A$2:$A$50,密度!$L$2:$L$50)</f>
        <v>46938.07697039999</v>
      </c>
      <c r="Y7" s="73" ph="1">
        <f>Y6*1.5*1.5*3.1416*LOOKUP(Y8,密度!$A$2:$A$50,密度!$L$2:$L$50)</f>
        <v>18159.374771999996</v>
      </c>
      <c r="Z7" s="73" ph="1">
        <f>Z6*33.183*LOOKUP(Z8,密度!$A$2:$A$50,密度!$L$2:$L$50)</f>
        <v>134412.752133</v>
      </c>
      <c r="AA7" s="73" ph="1">
        <f>AA6*33.183*LOOKUP(AA8,密度!$A$2:$A$50,密度!$D$2:$D$50)</f>
        <v>73248.791313599999</v>
      </c>
      <c r="AB7" s="73" ph="1">
        <f>AB6*20.428*LOOKUP(AB8,密度!$A$2:$A$50,密度!$D$2:$D$50)</f>
        <v>60704.774274000003</v>
      </c>
      <c r="AC7" s="73" ph="1">
        <f>AC6*51.53*LOOKUP(AC8,密度!$A$2:$A$50,密度!$Q$2:$Q$50)</f>
        <v>309978.04665590002</v>
      </c>
      <c r="AD7" s="73" ph="1">
        <f>AD6*20.428*LOOKUP(AD8,密度!$A$2:$A$50,密度!$V$2:$V$50)</f>
        <v>106065.50984960001</v>
      </c>
      <c r="AE7" s="73" ph="1">
        <f>AE6*20.428</f>
        <v>76482.432000000001</v>
      </c>
    </row>
    <row r="8" spans="1:99" ph="1">
      <c r="B8" s="196" ph="1"/>
      <c r="C8" s="68" t="s" ph="1">
        <v>180</v>
      </c>
      <c r="D8" s="74">
        <v>25</v>
      </c>
      <c r="E8" s="74">
        <v>25</v>
      </c>
      <c r="F8" s="74">
        <v>25</v>
      </c>
      <c r="G8" s="74">
        <v>24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25</v>
      </c>
      <c r="O8" s="74">
        <v>26</v>
      </c>
      <c r="P8" s="74">
        <v>24</v>
      </c>
      <c r="Q8" s="74">
        <v>21</v>
      </c>
      <c r="R8" s="74">
        <v>30</v>
      </c>
      <c r="S8" s="74">
        <v>30</v>
      </c>
      <c r="T8" s="74">
        <v>18</v>
      </c>
      <c r="U8" s="74">
        <v>24</v>
      </c>
      <c r="V8" s="74">
        <v>28</v>
      </c>
      <c r="W8" s="74">
        <v>23</v>
      </c>
      <c r="X8" s="74">
        <v>15</v>
      </c>
      <c r="Y8" s="74">
        <v>22</v>
      </c>
      <c r="Z8" s="74">
        <v>25</v>
      </c>
      <c r="AA8" s="74">
        <v>27</v>
      </c>
      <c r="AB8" s="74">
        <v>14</v>
      </c>
      <c r="AC8" s="74">
        <v>24</v>
      </c>
      <c r="AD8" s="74">
        <v>22</v>
      </c>
      <c r="AE8" s="74">
        <v>27</v>
      </c>
    </row>
    <row r="9" spans="1:99" ph="1">
      <c r="B9" s="196" ph="1">
        <v>0.66666666666666663</v>
      </c>
      <c r="C9" s="153" t="s" ph="1">
        <v>181</v>
      </c>
      <c r="D9" s="71">
        <v>4209</v>
      </c>
      <c r="E9" s="71">
        <v>4692</v>
      </c>
      <c r="F9" s="71">
        <v>4633</v>
      </c>
      <c r="G9" s="71">
        <v>5936</v>
      </c>
      <c r="H9" s="71">
        <v>1635</v>
      </c>
      <c r="I9" s="71">
        <v>0</v>
      </c>
      <c r="J9" s="71">
        <v>7.82</v>
      </c>
      <c r="K9" s="71">
        <v>7.5</v>
      </c>
      <c r="L9" s="71">
        <v>18.82</v>
      </c>
      <c r="M9" s="71">
        <v>1174</v>
      </c>
      <c r="N9" s="71">
        <v>5963</v>
      </c>
      <c r="O9" s="71">
        <v>0</v>
      </c>
      <c r="P9" s="71">
        <v>4686</v>
      </c>
      <c r="Q9" s="71">
        <v>2600</v>
      </c>
      <c r="R9" s="71">
        <v>0</v>
      </c>
      <c r="S9" s="71">
        <v>0</v>
      </c>
      <c r="T9" s="71">
        <v>0</v>
      </c>
      <c r="U9" s="71">
        <v>0</v>
      </c>
      <c r="V9" s="71">
        <v>4175</v>
      </c>
      <c r="W9" s="71">
        <v>7120</v>
      </c>
      <c r="X9" s="71">
        <v>7022</v>
      </c>
      <c r="Y9" s="71">
        <v>2737</v>
      </c>
      <c r="Z9" s="71">
        <v>5249</v>
      </c>
      <c r="AA9" s="71">
        <v>2155</v>
      </c>
      <c r="AB9" s="71">
        <v>2646</v>
      </c>
      <c r="AC9" s="71">
        <v>6756</v>
      </c>
      <c r="AD9" s="71">
        <v>5411</v>
      </c>
      <c r="AE9" s="71">
        <v>3622</v>
      </c>
    </row>
    <row r="10" spans="1:99" s="72" customFormat="1" ht="21.75" ph="1">
      <c r="B10" s="196" ph="1"/>
      <c r="C10" s="153" t="s" ph="1">
        <v>179</v>
      </c>
      <c r="D10" s="73" ph="1">
        <f>D9*33.183*LOOKUP(D11,密度!$A$2:$A$50,密度!$Q$2:$Q$50)</f>
        <v>132129.40567941</v>
      </c>
      <c r="E10" s="73" ph="1">
        <f>E9*51.53*LOOKUP(E11,密度!$A$2:$A$50,密度!$B$2:$B$50)</f>
        <v>187451.07262799999</v>
      </c>
      <c r="F10" s="73" ph="1">
        <f>F9*33.183*LOOKUP(F11,密度!$A$2:$A$50,密度!$C$2:$C$50)</f>
        <v>170355.79129590001</v>
      </c>
      <c r="G10" s="73" ph="1">
        <f xml:space="preserve"> (G9+2)*51.53*LOOKUP(G11,密度!$A$2:$A$50,密度!$B$2:$B$50)</f>
        <v>238025.84040600003</v>
      </c>
      <c r="H10" s="73" ph="1">
        <f>(H9)*51.53*LOOKUP(H11,密度!$A$2:$A$50,密度!$B$2:$B$50)</f>
        <v>65463.454350000007</v>
      </c>
      <c r="I10" s="73" ph="1">
        <f>I9*290.8*1.0267</f>
        <v>0</v>
      </c>
      <c r="J10" s="73" ph="1">
        <f>J9*290.8*0.7892</f>
        <v>1794.6849952</v>
      </c>
      <c r="K10" s="73" ph="1">
        <f>K9*290.8*1.1126</f>
        <v>2426.5806000000002</v>
      </c>
      <c r="L10" s="73" ph="1">
        <f>L9*290.8*0.777</f>
        <v>4252.4091120000003</v>
      </c>
      <c r="M10" s="73" ph="1">
        <f>M9*33.183*LOOKUP(M11,密度!$A$2:$A$50,密度!$D$2:$D$50)</f>
        <v>39743.770208399998</v>
      </c>
      <c r="N10" s="73" ph="1">
        <f>N9*33.183*LOOKUP(N11,密度!$A$2:$A$50,密度!$E$2:$E$50)</f>
        <v>154299.2045742</v>
      </c>
      <c r="O10" s="73" ph="1">
        <f>O9*20.428*LOOKUP(O11,密度!$A$2:$A$50,密度!$C$2:$C$50)</f>
        <v>0</v>
      </c>
      <c r="P10" s="73" ph="1">
        <f>P9*51.53*LOOKUP(P11,密度!$A$2:$A$50,密度!$B$2:$B$50)</f>
        <v>187839.18628200001</v>
      </c>
      <c r="Q10" s="73" ph="1">
        <f>Q9*1.5*1.5*3.1416*LOOKUP(W11,密度!$A$2:$A$50,密度!$L$2:$L$50)</f>
        <v>17220.52332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27563.652269999999</v>
      </c>
      <c r="W10" s="73" ph="1">
        <f>W9*1.5*1.5*3.1416*LOOKUP(W11,密度!$A$2:$A$50,密度!$L$2:$L$50)</f>
        <v>47157.740784000001</v>
      </c>
      <c r="X10" s="73" ph="1">
        <f>X9*1.5*1.5*3.1416*LOOKUP(X11,密度!$A$2:$A$50,密度!$L$2:$L$50)</f>
        <v>46905.745193999996</v>
      </c>
      <c r="Y10" s="73" ph="1">
        <f>Y9*1.5*1.5*3.1416*LOOKUP(Y11,密度!$A$2:$A$50,密度!$L$2:$L$50)</f>
        <v>18147.259191599998</v>
      </c>
      <c r="Z10" s="73" ph="1">
        <f>Z9*33.183*LOOKUP(Z11,密度!$A$2:$A$50,密度!$L$2:$L$50)</f>
        <v>162507.67001100001</v>
      </c>
      <c r="AA10" s="73" ph="1">
        <f>AA9*33.183*LOOKUP(AA11,密度!$A$2:$A$50,密度!$D$2:$D$50)</f>
        <v>72767.929824000006</v>
      </c>
      <c r="AB10" s="73" ph="1">
        <f>AB9*20.428*LOOKUP(AB11,密度!$A$2:$A$50,密度!$D$2:$D$50)</f>
        <v>55841.625352800002</v>
      </c>
      <c r="AC10" s="73" ph="1">
        <f>AC9*51.53*LOOKUP(AC11,密度!$A$2:$A$50,密度!$Q$2:$Q$50)</f>
        <v>329100.5663376</v>
      </c>
      <c r="AD10" s="73" ph="1">
        <f>AD9*20.428*LOOKUP(AD11,密度!$A$2:$A$50,密度!$V$2:$V$50)</f>
        <v>105849.18550080001</v>
      </c>
      <c r="AE10" s="73" ph="1">
        <f>AE9*20.428</f>
        <v>73990.216</v>
      </c>
    </row>
    <row r="11" spans="1:99" ph="1">
      <c r="A11" s="64" t="s" ph="1">
        <v>163</v>
      </c>
      <c r="B11" s="196" ph="1"/>
      <c r="C11" s="153" t="s" ph="1">
        <v>180</v>
      </c>
      <c r="D11" s="74">
        <v>26</v>
      </c>
      <c r="E11" s="74">
        <v>30</v>
      </c>
      <c r="F11" s="74">
        <v>26</v>
      </c>
      <c r="G11" s="74">
        <v>27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28</v>
      </c>
      <c r="O11" s="74">
        <v>41</v>
      </c>
      <c r="P11" s="74">
        <v>27</v>
      </c>
      <c r="Q11" s="74">
        <v>23</v>
      </c>
      <c r="R11" s="74">
        <v>36</v>
      </c>
      <c r="S11" s="74">
        <v>18</v>
      </c>
      <c r="T11" s="74">
        <v>30</v>
      </c>
      <c r="U11" s="74">
        <v>27</v>
      </c>
      <c r="V11" s="74">
        <v>28</v>
      </c>
      <c r="W11" s="74">
        <v>25</v>
      </c>
      <c r="X11" s="74">
        <v>17</v>
      </c>
      <c r="Y11" s="74">
        <v>24</v>
      </c>
      <c r="Z11" s="74">
        <v>29</v>
      </c>
      <c r="AA11" s="74">
        <v>35</v>
      </c>
      <c r="AB11" s="74">
        <v>18</v>
      </c>
      <c r="AC11" s="74">
        <v>27</v>
      </c>
      <c r="AD11" s="74">
        <v>30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53" t="s" ph="1">
        <v>178</v>
      </c>
      <c r="D15" s="78">
        <v>4395</v>
      </c>
      <c r="E15" s="78">
        <v>4268</v>
      </c>
      <c r="F15" s="78">
        <v>1566</v>
      </c>
      <c r="G15" s="78">
        <v>2796</v>
      </c>
      <c r="H15" s="78">
        <v>1765</v>
      </c>
      <c r="I15" s="78">
        <v>117</v>
      </c>
      <c r="J15" s="78">
        <v>661</v>
      </c>
      <c r="K15" s="78">
        <v>710</v>
      </c>
      <c r="L15" s="78">
        <v>2525</v>
      </c>
      <c r="M15" s="78">
        <v>6074</v>
      </c>
      <c r="N15" s="78">
        <v>1828</v>
      </c>
      <c r="O15" s="78">
        <v>0</v>
      </c>
      <c r="P15" s="78">
        <v>7031</v>
      </c>
      <c r="Q15" s="78">
        <v>31</v>
      </c>
      <c r="R15" s="78">
        <v>3504</v>
      </c>
      <c r="S15" s="78">
        <v>2364</v>
      </c>
      <c r="T15" s="78">
        <v>2396</v>
      </c>
      <c r="U15" s="78">
        <v>4261</v>
      </c>
      <c r="V15" s="78">
        <v>0</v>
      </c>
      <c r="W15" s="71">
        <v>3975</v>
      </c>
      <c r="X15" s="78">
        <v>150</v>
      </c>
      <c r="Y15" s="106">
        <v>-9906</v>
      </c>
      <c r="Z15" s="78">
        <v>0</v>
      </c>
      <c r="AA15" s="78">
        <v>4222</v>
      </c>
      <c r="AB15" s="78" ph="1">
        <v>6905</v>
      </c>
      <c r="AC15" s="78" ph="1">
        <v>985</v>
      </c>
      <c r="AD15" s="78">
        <v>84.82</v>
      </c>
      <c r="AE15" s="78">
        <v>25.01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53" t="s" ph="1">
        <v>179</v>
      </c>
      <c r="D16" s="73" ph="1">
        <f>D15*7.0686*LOOKUP(D17,密度!$A$2:$A$50,密度!$L$2:$L$50)</f>
        <v>29202.507179999997</v>
      </c>
      <c r="E16" s="73" ph="1">
        <f>E15*7.0686*LOOKUP(E17,密度!$A$2:$A$50,密度!$L$2:$L$50)</f>
        <v>28358.657712</v>
      </c>
      <c r="F16" s="73" ph="1">
        <f>F15*9.0746*LOOKUP(F17,密度!$A$2:$A$50,密度!$L$2:$L$50)</f>
        <v>13244.4875952</v>
      </c>
      <c r="G16" s="73" ph="1">
        <f>G15*9.0746*LOOKUP(G17,密度!$A$2:$A$50,密度!$B$2:$B$50)</f>
        <v>19848.970585679999</v>
      </c>
      <c r="H16" s="73" ph="1">
        <f>H15*9.0746*LOOKUP(H17,密度!$A$2:$A$50,密度!$L$2:$L$50)</f>
        <v>15071.685528999998</v>
      </c>
      <c r="I16" s="73" ph="1">
        <f>I15*9.0746*LOOKUP(I17,密度!$A$2:$A$50,密度!$U$2:$U$50)</f>
        <v>1088.271405</v>
      </c>
      <c r="J16" s="73" ph="1">
        <f>J15*9.0746*LOOKUP(J17,密度!$A$2:$A$50,密度!$L$2:$L$50)</f>
        <v>5638.4119639999999</v>
      </c>
      <c r="K16" s="73" ph="1">
        <f>K15*9.0746*LOOKUP(K17,密度!$A$2:$A$50,密度!$C$2:$C$50)</f>
        <v>7149.1150736</v>
      </c>
      <c r="L16" s="73" ph="1">
        <f>L15*9.0746*LOOKUP(L17,密度!$A$2:$A$50,密度!$E$2:$E$50)</f>
        <v>17945.747468000001</v>
      </c>
      <c r="M16" s="73" ph="1">
        <f>M15*9.0746*LOOKUP(M17,密度!$A$2:$A$50,密度!$M$2:$M$50)</f>
        <v>48179.623141639997</v>
      </c>
      <c r="N16" s="73" ph="1">
        <f>N15*9.0746*LOOKUP(N17,密度!$A$2:$A$50,密度!$M$2:$M$50)</f>
        <v>14564.587806400001</v>
      </c>
      <c r="O16" s="73" ph="1">
        <f>O15*9.0746*LOOKUP(O17,密度!$A$2:$A$50,密度!$G$2:$G$50)</f>
        <v>0</v>
      </c>
      <c r="P16" s="73" ph="1">
        <f ca="1">P15*9.0746*LOOKUP(P17,密度!$A$2:$A$51,密度!$Q$2:$Q$50)</f>
        <v>60405.337518924003</v>
      </c>
      <c r="Q16" s="73" ph="1">
        <f>Q15*9.0746*LOOKUP(Q17,密度!$A$2:$A$50,密度!$Q$2:$Q$50)</f>
        <v>266.99097553400003</v>
      </c>
      <c r="R16" s="73" ph="1">
        <f>MAX(R15*9.0746*LOOKUP(R17,密度!$A$2:$A$50,密度!$B$2:$B$50),0)</f>
        <v>24735.196215360003</v>
      </c>
      <c r="S16" s="73" ph="1">
        <f>S15*9.0746*LOOKUP(S17,密度!$A$2:$A$50,密度!$Q$2:$Q$50)</f>
        <v>20309.802004656001</v>
      </c>
      <c r="T16" s="73" ph="1">
        <f>T15*9.0746*LOOKUP(T17,密度!$A$2:$A$50,密度!$O$2:$O$50)</f>
        <v>20220.749688000004</v>
      </c>
      <c r="U16" s="73" ph="1">
        <f>U15*9.0746*LOOKUP(U17,密度!$A$2:$A$50,密度!$H$2:$H$50)</f>
        <v>35488.453836679997</v>
      </c>
      <c r="V16" s="73" ph="1">
        <f>MAX(5600*LOOKUP(V17,密度!$A$2:$A$50,密度!$Q$2:$Q$50)+V15*9.0476*LOOKUP(V17,密度!$A$2:$A$50,密度!$Q$2:$Q$50),0)</f>
        <v>5305.8320000000003</v>
      </c>
      <c r="W16" s="73" ph="1">
        <f>MAX(5600*LOOKUP(W17,密度!$A$2:$A$50,密度!$Q$2:$Q$50)+W15*9.0476*LOOKUP(W17,密度!$A$2:$A$50,密度!$Q$2:$Q$50),0)</f>
        <v>39380.842048700004</v>
      </c>
      <c r="X16" s="73" ph="1">
        <f>MAX(5600*LOOKUP(X17,密度!$A$2:$A$50,密度!$I$2:$I$50)+X15*9.0476*LOOKUP(X17,密度!$A$2:$A$50,密度!$I$2:$I$50),0)</f>
        <v>7272.9941560000007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29972.229546759998</v>
      </c>
      <c r="AB16" s="73" ph="1">
        <f>AB15*9.0746*LOOKUP(AB17,密度!$A$2:$A$50,密度!$L$2:$L$50)</f>
        <v>58837.846106999998</v>
      </c>
      <c r="AC16" s="73" ph="1">
        <f>AC15*9.0746*LOOKUP(AC17,密度!$A$2:$A$50,密度!$L$2:$L$50)</f>
        <v>8411.1106209999998</v>
      </c>
      <c r="AD16" s="73" ph="1">
        <f>AD15*268.68*LOOKUP(AD17,密度!$A$2:$A$50,密度!B2:B50)+IF(AD15&lt;=0,0,1566*LOOKUP(AD17,密度!$A$2:$A$50,密度!B2:B50))</f>
        <v>18987.499152959997</v>
      </c>
      <c r="AE16" s="73" ph="1">
        <f>AE15*268.68*LOOKUP(AE17,密度!$A$2:$A$50,密度!B2:B50)+IF(AE15&lt;=0,0,1566*LOOKUP(AE17,密度!$A$2:$A$50,密度!B2:B50))</f>
        <v>6459.5214292799992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22</v>
      </c>
      <c r="E17" s="74">
        <v>22</v>
      </c>
      <c r="F17" s="74">
        <v>30</v>
      </c>
      <c r="G17" s="74">
        <v>22</v>
      </c>
      <c r="H17" s="74">
        <v>21</v>
      </c>
      <c r="I17" s="74">
        <v>25</v>
      </c>
      <c r="J17" s="74">
        <v>22</v>
      </c>
      <c r="K17" s="74">
        <v>24</v>
      </c>
      <c r="L17" s="74">
        <v>25</v>
      </c>
      <c r="M17" s="74">
        <v>26</v>
      </c>
      <c r="N17" s="74">
        <v>22</v>
      </c>
      <c r="O17" s="74">
        <v>25</v>
      </c>
      <c r="P17" s="74">
        <v>25</v>
      </c>
      <c r="Q17" s="74">
        <v>22</v>
      </c>
      <c r="R17" s="74">
        <v>27</v>
      </c>
      <c r="S17" s="74">
        <v>25</v>
      </c>
      <c r="T17" s="74">
        <v>24</v>
      </c>
      <c r="U17" s="74">
        <v>22</v>
      </c>
      <c r="V17" s="74">
        <v>24</v>
      </c>
      <c r="W17" s="74">
        <v>24</v>
      </c>
      <c r="X17" s="74">
        <v>22</v>
      </c>
      <c r="Y17" s="108">
        <v>22</v>
      </c>
      <c r="Z17" s="74">
        <v>22</v>
      </c>
      <c r="AA17" s="74">
        <v>22</v>
      </c>
      <c r="AB17" s="74">
        <v>23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4403</v>
      </c>
      <c r="E18" s="71">
        <v>1153</v>
      </c>
      <c r="F18" s="71">
        <v>1567</v>
      </c>
      <c r="G18" s="71">
        <v>2833</v>
      </c>
      <c r="H18" s="71">
        <v>3</v>
      </c>
      <c r="I18" s="71">
        <v>118</v>
      </c>
      <c r="J18" s="71">
        <v>714</v>
      </c>
      <c r="K18" s="71">
        <v>709</v>
      </c>
      <c r="L18" s="71">
        <v>2533</v>
      </c>
      <c r="M18" s="71">
        <v>3116</v>
      </c>
      <c r="N18" s="71">
        <v>1830</v>
      </c>
      <c r="O18" s="71">
        <v>28</v>
      </c>
      <c r="P18" s="71">
        <v>7044</v>
      </c>
      <c r="Q18" s="71">
        <v>27</v>
      </c>
      <c r="R18" s="71">
        <v>3508</v>
      </c>
      <c r="S18" s="71">
        <v>1273</v>
      </c>
      <c r="T18" s="71">
        <v>1713</v>
      </c>
      <c r="U18" s="71">
        <v>4263</v>
      </c>
      <c r="V18" s="71">
        <v>0</v>
      </c>
      <c r="W18" s="71">
        <v>3975</v>
      </c>
      <c r="X18" s="71">
        <v>148</v>
      </c>
      <c r="Y18" s="109">
        <v>-9907</v>
      </c>
      <c r="Z18" s="71">
        <v>0</v>
      </c>
      <c r="AA18" s="71">
        <v>4226</v>
      </c>
      <c r="AB18" s="71">
        <v>6921</v>
      </c>
      <c r="AC18" s="71">
        <v>988</v>
      </c>
      <c r="AD18" s="71">
        <v>84.51</v>
      </c>
      <c r="AE18" s="71">
        <v>62.11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53" t="s" ph="1">
        <v>179</v>
      </c>
      <c r="D19" s="73" ph="1">
        <f>D18*7.0686*LOOKUP(D20,密度!$A$2:$A$50,密度!$L$2:$L$50)</f>
        <v>29068.924777200002</v>
      </c>
      <c r="E19" s="73" ph="1">
        <f>E18*7.0686*LOOKUP(E20,密度!$A$2:$A$50,密度!$L$2:$L$50)</f>
        <v>7612.1894772000005</v>
      </c>
      <c r="F19" s="73" ph="1">
        <f>F18*9.0746*LOOKUP(F20,密度!$A$2:$A$50,密度!$L$2:$L$50)</f>
        <v>13252.9451224</v>
      </c>
      <c r="G19" s="73" ph="1">
        <f>G18*9.0746*LOOKUP(G20,密度!$A$2:$A$50,密度!$B$2:$B$50)</f>
        <v>20042.223267280002</v>
      </c>
      <c r="H19" s="73" ph="1">
        <f>H18*9.0746*LOOKUP(H20,密度!$A$2:$A$50,密度!$L$2:$L$50)</f>
        <v>25.318134000000001</v>
      </c>
      <c r="I19" s="73" ph="1">
        <f>I18*9.0746*LOOKUP(I20,密度!$A$2:$A$50,密度!$U$2:$U$50)</f>
        <v>1092.218856</v>
      </c>
      <c r="J19" s="73" ph="1">
        <f>J18*9.0746*LOOKUP(J20,密度!$A$2:$A$50,密度!$L$2:$L$50)</f>
        <v>6038.6744208</v>
      </c>
      <c r="K19" s="73" ph="1">
        <f>K18*9.0746*LOOKUP(K20,密度!$A$2:$A$50,密度!$C$2:$C$50)</f>
        <v>7110.0933861399999</v>
      </c>
      <c r="L19" s="73" ph="1">
        <f>L18*9.0746*LOOKUP(L20,密度!$A$2:$A$50,密度!$E$2:$E$50)</f>
        <v>17924.453011640002</v>
      </c>
      <c r="M19" s="73" ph="1">
        <f>M18*9.0746*LOOKUP(M20,密度!$A$2:$A$50,密度!$M$2:$M$50)</f>
        <v>24628.791085600002</v>
      </c>
      <c r="N19" s="73" ph="1">
        <f>N18*9.0746*LOOKUP(N20,密度!$A$2:$A$50,密度!$M$2:$M$50)</f>
        <v>14545.6491162</v>
      </c>
      <c r="O19" s="73" ph="1">
        <f>O18*9.0746*LOOKUP(O20,密度!$A$2:$A$50,密度!$G$2:$G$50)</f>
        <v>241.783279416</v>
      </c>
      <c r="P19" s="73" ph="1">
        <f ca="1">P18*9.0746*LOOKUP(P20,密度!$A$2:$A$51,密度!$Q$2:$Q$50)</f>
        <v>60471.639994872006</v>
      </c>
      <c r="Q19" s="73" ph="1">
        <f>Q18*9.0746*LOOKUP(Q20,密度!$A$2:$A$50,密度!$Q$2:$Q$50)</f>
        <v>231.12924528600001</v>
      </c>
      <c r="R19" s="73" ph="1">
        <f>MAX(R18*9.0746*LOOKUP(R20,密度!$A$2:$A$50,密度!$B$2:$B$50),0)</f>
        <v>24734.782413600002</v>
      </c>
      <c r="S19" s="73" ph="1">
        <f>S18*9.0746*LOOKUP(S20,密度!$A$2:$A$50,密度!$Q$2:$Q$50)</f>
        <v>10897.315898114</v>
      </c>
      <c r="T19" s="73" ph="1">
        <f>T18*9.0746*LOOKUP(T20,密度!$A$2:$A$50,密度!$O$2:$O$50)</f>
        <v>14394.475354800001</v>
      </c>
      <c r="U19" s="73" ph="1">
        <f>U18*9.0746*LOOKUP(U20,密度!$A$2:$A$50,密度!$H$2:$H$50)</f>
        <v>35280.7380576</v>
      </c>
      <c r="V19" s="73" ph="1">
        <f>MAX(5600*LOOKUP(V20,密度!$A$2:$A$50,密度!$Q$2:$Q$50)+V18*9.0476*LOOKUP(V20,密度!$A$2:$A$50,密度!$Q$2:$Q$50),0)</f>
        <v>5282.6480000000001</v>
      </c>
      <c r="W19" s="73" ph="1">
        <f>MAX(5600*LOOKUP(W20,密度!$A$2:$A$50,密度!$Q$2:$Q$50)+W18*9.0476*LOOKUP(W20,密度!$A$2:$A$50,密度!$Q$2:$Q$50),0)</f>
        <v>39291.4789972</v>
      </c>
      <c r="X19" s="73" ph="1">
        <f>MAX(5600*LOOKUP(X20,密度!$A$2:$A$50,密度!$I$2:$I$50)+X18*9.0476*LOOKUP(X20,密度!$A$2:$A$50,密度!$I$2:$I$50),0)</f>
        <v>7223.5456367999996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29931.597117799996</v>
      </c>
      <c r="AB19" s="73" ph="1">
        <f>AB18*9.0746*LOOKUP(AB20,密度!$A$2:$A$50,密度!$L$2:$L$50)</f>
        <v>58785.766977600004</v>
      </c>
      <c r="AC19" s="73" ph="1">
        <f>AC18*9.0746*LOOKUP(AC20,密度!$A$2:$A$50,密度!$L$2:$L$50)</f>
        <v>8382.9339880000007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14183.1363996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28</v>
      </c>
      <c r="E20" s="81">
        <v>28</v>
      </c>
      <c r="F20" s="81">
        <v>30</v>
      </c>
      <c r="G20" s="81">
        <v>25</v>
      </c>
      <c r="H20" s="81">
        <v>32</v>
      </c>
      <c r="I20" s="81">
        <v>30</v>
      </c>
      <c r="J20" s="81">
        <v>30</v>
      </c>
      <c r="K20" s="81">
        <v>30</v>
      </c>
      <c r="L20" s="81">
        <v>28</v>
      </c>
      <c r="M20" s="81">
        <v>29</v>
      </c>
      <c r="N20" s="81">
        <v>24</v>
      </c>
      <c r="O20" s="81">
        <v>33</v>
      </c>
      <c r="P20" s="81">
        <v>26</v>
      </c>
      <c r="Q20" s="81">
        <v>30</v>
      </c>
      <c r="R20" s="81">
        <v>28</v>
      </c>
      <c r="S20" s="81">
        <v>30</v>
      </c>
      <c r="T20" s="81">
        <v>27</v>
      </c>
      <c r="U20" s="81">
        <v>28</v>
      </c>
      <c r="V20" s="81">
        <v>30</v>
      </c>
      <c r="W20" s="81">
        <v>27</v>
      </c>
      <c r="X20" s="81">
        <v>26</v>
      </c>
      <c r="Y20" s="110">
        <v>26</v>
      </c>
      <c r="Z20" s="81">
        <v>30</v>
      </c>
      <c r="AA20" s="81">
        <v>24</v>
      </c>
      <c r="AB20" s="81">
        <v>26</v>
      </c>
      <c r="AC20" s="81">
        <v>27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53" t="s" ph="1">
        <v>178</v>
      </c>
      <c r="D24" s="71">
        <v>51.51</v>
      </c>
      <c r="E24" s="71">
        <v>95.4</v>
      </c>
      <c r="F24" s="71">
        <v>2263</v>
      </c>
      <c r="G24" s="71">
        <v>2183</v>
      </c>
      <c r="H24" s="71">
        <v>2264</v>
      </c>
      <c r="I24" s="71">
        <v>314</v>
      </c>
      <c r="J24" s="71">
        <v>3176</v>
      </c>
      <c r="K24" s="71">
        <v>0</v>
      </c>
      <c r="L24" s="71">
        <v>0</v>
      </c>
      <c r="M24" s="71">
        <v>5237</v>
      </c>
      <c r="N24" s="71">
        <v>5312</v>
      </c>
      <c r="O24" s="71">
        <v>5</v>
      </c>
      <c r="P24" s="71">
        <v>2447</v>
      </c>
      <c r="Q24" s="90">
        <v>3260</v>
      </c>
      <c r="R24" s="71">
        <v>2911</v>
      </c>
      <c r="S24" s="71">
        <v>1582</v>
      </c>
      <c r="T24" s="71">
        <v>1757</v>
      </c>
      <c r="U24" s="71">
        <v>4829</v>
      </c>
      <c r="V24" s="71">
        <v>9638</v>
      </c>
      <c r="W24" s="71">
        <v>10895</v>
      </c>
      <c r="X24" s="71">
        <v>1984</v>
      </c>
      <c r="Y24" s="71">
        <v>6431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14585.198855832001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25071.21459924</v>
      </c>
      <c r="G25" s="91" ph="1">
        <f>G24*18.322*LOOKUP(G26,密度!$A$2:$A$50,密度!$B$2:$B$50)</f>
        <v>31325.592443199999</v>
      </c>
      <c r="H25" s="91" ph="1">
        <f>H24*18.322*LOOKUP(H26,密度!$A$2:$A$50,密度!$B$2:$B$50)</f>
        <v>32525.258372800003</v>
      </c>
      <c r="I25" s="91" ph="1">
        <f>I24*18.322*LOOKUP(I26,密度!$A$2:$A$50,密度!$Q$2:$Q$50)</f>
        <v>5467.6387810400001</v>
      </c>
      <c r="J25" s="91" ph="1">
        <f>J24*18.322*LOOKUP(J26,密度!$A$2:$A$50,密度!$Q$2:$Q$50)</f>
        <v>55303.250855359998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91067.381694259995</v>
      </c>
      <c r="N25" s="91" ph="1">
        <f>N24*18.322*LOOKUP(N26,密度!$A$2:$A$50,密度!$Q$2:$Q$50)</f>
        <v>92497.124856319992</v>
      </c>
      <c r="O25" s="91" ph="1">
        <f>O24*18.322*LOOKUP(O26,密度!$A$2:$A$50,密度!$C$2:$C$50)</f>
        <v>101.925286</v>
      </c>
      <c r="P25" s="91" ph="1">
        <f>P24*11.702*LOOKUP(P26,密度!$A$2:$A$50,密度!$B$2:$B$50)</f>
        <v>22452.541975400003</v>
      </c>
      <c r="Q25" s="92" ph="1">
        <f>Q24*18.322*LOOKUP(Q26,密度!$A$2:$A$50,密度!$B$2:$B$50)</f>
        <v>46780.316703999997</v>
      </c>
      <c r="R25" s="91" ph="1">
        <f>R24*35.891*LOOKUP(R26,密度!$A$2:$A$50,密度!$C$2:$C$50)</f>
        <v>116086.28468110001</v>
      </c>
      <c r="S25" s="91" ph="1">
        <f>S24*35.891*LOOKUP(S26,密度!$A$2:$A$50,密度!$B$2:$B$50)</f>
        <v>44469.7529584</v>
      </c>
      <c r="T25" s="91" ph="1">
        <f>T24*35.891*LOOKUP(T26,密度!$A$2:$A$50,密度!$Q$2:$Q$50)</f>
        <v>59887.913899029998</v>
      </c>
      <c r="U25" s="91" ph="1">
        <f>U24*35.891</f>
        <v>173317.639</v>
      </c>
      <c r="V25" s="91" ph="1">
        <f>V24*47.051*LOOKUP(V26,密度!$A$2:$A$50,密度!$B$2:$B$50)</f>
        <v>354347.34819320001</v>
      </c>
      <c r="W25" s="91" ph="1">
        <f>W24*47.051*LOOKUP(W26,密度!$A$2:$A$50,密度!$B$2:$B$50)</f>
        <v>399639.05484200001</v>
      </c>
      <c r="X25" s="91" ph="1">
        <f>X24*47.051*LOOKUP(X26,密度!$A$2:$A$50,密度!$I$2:$I$50)</f>
        <v>96980.467257600001</v>
      </c>
      <c r="Y25" s="91" ph="1">
        <f>Y24*47.051*LOOKUP(Y26,密度!$A$2:$A$50,密度!$L$2:$L$50)</f>
        <v>283219.54221600003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21</v>
      </c>
      <c r="H26" s="74">
        <v>20</v>
      </c>
      <c r="I26" s="74">
        <v>20</v>
      </c>
      <c r="J26" s="74">
        <v>20</v>
      </c>
      <c r="K26" s="74">
        <v>21</v>
      </c>
      <c r="L26" s="74">
        <v>20</v>
      </c>
      <c r="M26" s="74">
        <v>22</v>
      </c>
      <c r="N26" s="74">
        <v>20</v>
      </c>
      <c r="O26" s="74">
        <v>20</v>
      </c>
      <c r="P26" s="74">
        <v>20</v>
      </c>
      <c r="Q26" s="93">
        <v>21</v>
      </c>
      <c r="R26" s="74">
        <v>22</v>
      </c>
      <c r="S26" s="74">
        <v>21</v>
      </c>
      <c r="T26" s="74">
        <v>21</v>
      </c>
      <c r="U26" s="74">
        <v>23</v>
      </c>
      <c r="V26" s="74">
        <v>23</v>
      </c>
      <c r="W26" s="74">
        <v>25</v>
      </c>
      <c r="X26" s="74">
        <v>28</v>
      </c>
      <c r="Y26" s="74">
        <v>26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53" t="s" ph="1">
        <v>181</v>
      </c>
      <c r="D27" s="71">
        <v>45.96</v>
      </c>
      <c r="E27" s="71">
        <v>95.55</v>
      </c>
      <c r="F27" s="71">
        <v>3944</v>
      </c>
      <c r="G27" s="71">
        <v>1695</v>
      </c>
      <c r="H27" s="71">
        <v>1766</v>
      </c>
      <c r="I27" s="71">
        <v>311</v>
      </c>
      <c r="J27" s="71">
        <v>3175</v>
      </c>
      <c r="K27" s="71">
        <v>0</v>
      </c>
      <c r="L27" s="71">
        <v>0</v>
      </c>
      <c r="M27" s="71">
        <v>5239</v>
      </c>
      <c r="N27" s="71">
        <v>5311</v>
      </c>
      <c r="O27" s="71">
        <v>0</v>
      </c>
      <c r="P27" s="71">
        <v>2448</v>
      </c>
      <c r="Q27" s="90">
        <v>3822</v>
      </c>
      <c r="R27" s="71">
        <v>2907</v>
      </c>
      <c r="S27" s="71">
        <v>1578</v>
      </c>
      <c r="T27" s="71">
        <v>1755</v>
      </c>
      <c r="U27" s="71">
        <v>4853</v>
      </c>
      <c r="V27" s="71">
        <v>9640</v>
      </c>
      <c r="W27" s="71">
        <v>10897</v>
      </c>
      <c r="X27" s="71">
        <v>2583</v>
      </c>
      <c r="Y27" s="71">
        <v>4852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53" t="s" ph="1">
        <v>179</v>
      </c>
      <c r="D28" s="91" ph="1">
        <f>D27*268.68*LOOKUP(D29,密度!$A$2:$A$50,密度!$Q$2:$Q$50)+IF(D27&lt;=0,0,1566*LOOKUP(D29,密度!$A$2:$A$50,密度!$Q$2:$Q$50))</f>
        <v>13173.444783072</v>
      </c>
      <c r="E28" s="91" ph="1">
        <f>E27*268.68*LOOKUP(E29,密度!$A$2:$A$50,密度!$C$2:$C$50)+IF(E27&lt;=0,0,1566*LOOKUP(E29,密度!$A$2:$A$50,密度!$C$2:$C$50))</f>
        <v>30204.6329286</v>
      </c>
      <c r="F28" s="91" ph="1">
        <f>F27*11.702*LOOKUP(F29,密度!$A$2:$A$50,密度!$Q$2:$Q$50)</f>
        <v>43629.059020160006</v>
      </c>
      <c r="G28" s="91" ph="1">
        <f>G27*18.322*LOOKUP(G29,密度!$A$2:$A$50,密度!$B$2:$B$50)</f>
        <v>24183.143672999995</v>
      </c>
      <c r="H28" s="91" ph="1">
        <f>H27*18.322*LOOKUP(H29,密度!$A$2:$A$50,密度!$B$2:$B$50)</f>
        <v>25254.366885999996</v>
      </c>
      <c r="I28" s="91" ph="1">
        <f>I27*18.322*LOOKUP(I29,密度!$A$2:$A$50,密度!$Q$2:$Q$50)</f>
        <v>5398.81860074</v>
      </c>
      <c r="J28" s="91" ph="1">
        <f>J27*18.322*LOOKUP(J29,密度!$A$2:$A$50,密度!$Q$2:$Q$50)</f>
        <v>55116.556454500002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90808.433936739995</v>
      </c>
      <c r="N28" s="91" ph="1">
        <f>N27*18.322*LOOKUP(N29,密度!$A$2:$A$50,密度!$Q$2:$Q$50)</f>
        <v>92125.510357079998</v>
      </c>
      <c r="O28" s="91" ph="1">
        <f>O27*18.322*LOOKUP(O29,密度!$A$2:$A$50,密度!$C$2:$C$50)</f>
        <v>0</v>
      </c>
      <c r="P28" s="91" ph="1">
        <f>P27*11.702*LOOKUP(P29,密度!$A$2:$A$50,密度!$B$2:$B$50)</f>
        <v>22307.026435199998</v>
      </c>
      <c r="Q28" s="92" ph="1">
        <f>Q27*18.322*LOOKUP(Q29,密度!$A$2:$A$50,密度!$B$2:$B$50)</f>
        <v>54655.826861999994</v>
      </c>
      <c r="R28" s="91" ph="1">
        <f>R27*35.891*LOOKUP(R29,密度!$A$2:$A$50,密度!$C$2:$C$50)</f>
        <v>115770.26801519998</v>
      </c>
      <c r="S28" s="91" ph="1">
        <f>S27*35.891*LOOKUP(S29,密度!$A$2:$A$50,密度!$B$2:$B$50)</f>
        <v>44153.424040799997</v>
      </c>
      <c r="T28" s="91" ph="1">
        <f>T27*35.891*LOOKUP(T29,密度!$A$2:$A$50,密度!$Q$2:$Q$50)</f>
        <v>59679.90832635</v>
      </c>
      <c r="U28" s="91" ph="1">
        <f>U27*35.891</f>
        <v>174179.02299999999</v>
      </c>
      <c r="V28" s="91" ph="1">
        <f>V27*47.051*LOOKUP(V29,密度!$A$2:$A$50,密度!$B$2:$B$50)</f>
        <v>353196.23606799997</v>
      </c>
      <c r="W28" s="91" ph="1">
        <f>W27*47.051*LOOKUP(W29,密度!$A$2:$A$50,密度!$B$2:$B$50)</f>
        <v>399712.4167612</v>
      </c>
      <c r="X28" s="91" ph="1">
        <f>X27*47.051*LOOKUP(X29,密度!$A$2:$A$50,密度!$I$2:$I$50)</f>
        <v>126260.3563137</v>
      </c>
      <c r="Y28" s="91" ph="1">
        <f>Y27*47.051*LOOKUP(Y29,密度!$A$2:$A$50,密度!$L$2:$L$50)</f>
        <v>213452.50762000002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53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24</v>
      </c>
      <c r="I29" s="74">
        <v>24</v>
      </c>
      <c r="J29" s="74">
        <v>24</v>
      </c>
      <c r="K29" s="74">
        <v>26</v>
      </c>
      <c r="L29" s="74">
        <v>25</v>
      </c>
      <c r="M29" s="74">
        <v>26</v>
      </c>
      <c r="N29" s="74">
        <v>25</v>
      </c>
      <c r="O29" s="74">
        <v>25</v>
      </c>
      <c r="P29" s="74">
        <v>26</v>
      </c>
      <c r="Q29" s="93">
        <v>24</v>
      </c>
      <c r="R29" s="74">
        <v>24</v>
      </c>
      <c r="S29" s="74">
        <v>25</v>
      </c>
      <c r="T29" s="74">
        <v>24</v>
      </c>
      <c r="U29" s="74">
        <v>24</v>
      </c>
      <c r="V29" s="74">
        <v>26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53" t="s" ph="1">
        <v>5</v>
      </c>
      <c r="F32" s="154" t="s" ph="1">
        <v>43</v>
      </c>
      <c r="G32" s="97" t="s" ph="1">
        <v>4</v>
      </c>
      <c r="H32" s="153" t="s" ph="1">
        <v>5</v>
      </c>
      <c r="I32" s="154" t="s" ph="1">
        <v>43</v>
      </c>
      <c r="J32" s="97" t="s" ph="1">
        <v>4</v>
      </c>
      <c r="K32" s="153" t="s" ph="1">
        <v>5</v>
      </c>
      <c r="L32" s="154" t="s" ph="1">
        <v>43</v>
      </c>
      <c r="M32" s="97" t="s" ph="1">
        <v>4</v>
      </c>
      <c r="N32" s="153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4" t="s" ph="1">
        <v>43</v>
      </c>
      <c r="AB32" s="97" t="s" ph="1">
        <v>85</v>
      </c>
      <c r="AC32" s="153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128609.5551768</v>
      </c>
      <c r="E33" s="218" ph="1">
        <f>M10+I10</f>
        <v>39743.770208399998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22" ph="1">
        <v>0</v>
      </c>
      <c r="H33" s="218" ph="1">
        <f>N19</f>
        <v>14545.6491162</v>
      </c>
      <c r="I33" s="231" ph="1">
        <v>0</v>
      </c>
      <c r="J33" s="229" ph="1">
        <f>F10+O28</f>
        <v>170355.79129590001</v>
      </c>
      <c r="K33" s="218" ph="1">
        <f>O10+K10+E28+R28</f>
        <v>148401.48154379998</v>
      </c>
      <c r="L33" s="233" ph="1">
        <f>BE27</f>
        <v>7100</v>
      </c>
      <c r="M33" s="229" ph="1">
        <f>G10+H10+W28+S28+V28+E10</f>
        <v>1288002.444254</v>
      </c>
      <c r="N33" s="218" ph="1">
        <f>L10+P10++G28+H28</f>
        <v>241529.10595299999</v>
      </c>
      <c r="O33" s="231" ph="1">
        <f>BE17</f>
        <v>2270</v>
      </c>
      <c r="P33" s="229" ph="1">
        <f>L19</f>
        <v>17924.453011640002</v>
      </c>
      <c r="Q33" s="218" ph="1">
        <f>J10+N10</f>
        <v>156093.88956939999</v>
      </c>
      <c r="R33" s="231" ph="1">
        <f>BE23</f>
        <v>890</v>
      </c>
      <c r="S33" s="229" ph="1">
        <f>E10+X28</f>
        <v>313711.42894170003</v>
      </c>
      <c r="T33" s="218" ph="1">
        <f>X19</f>
        <v>7223.5456367999996</v>
      </c>
      <c r="U33" s="239" ph="1">
        <f>BE21</f>
        <v>730</v>
      </c>
      <c r="V33" s="250" ph="1">
        <f ca="1">P19+Q19+S19+M28+N28+J28</f>
        <v>309650.58588659199</v>
      </c>
      <c r="W33" s="250" ph="1">
        <f>D28+F28+V19+T28</f>
        <v>121765.06012958201</v>
      </c>
      <c r="X33" s="231" ph="1">
        <f>BE29+BE31</f>
        <v>10200</v>
      </c>
      <c r="Y33" s="252" ph="1">
        <f>+Q10+R10+S10+T10+U10+V10+W10+X10+Y10</f>
        <v>156994.92075959998</v>
      </c>
      <c r="Z33" s="237" ph="1">
        <f>D10+T19+U19+Y28+Z10</f>
        <v>557764.79672281002</v>
      </c>
      <c r="AA33" s="239" ph="1">
        <f>BE19</f>
        <v>1440</v>
      </c>
      <c r="AB33" s="241" ph="1">
        <f>I19</f>
        <v>1092.218856</v>
      </c>
      <c r="AC33" s="243" ph="1">
        <f>AD10</f>
        <v>105849.18550080001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55" t="s" ph="1">
        <v>186</v>
      </c>
      <c r="AA36" s="155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5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5" t="s" ph="1">
        <v>345</v>
      </c>
      <c r="AI37" s="155" t="s" ph="1">
        <v>212</v>
      </c>
      <c r="AJ37" s="155" t="s" ph="1">
        <v>213</v>
      </c>
      <c r="AK37" s="155" t="s" ph="1">
        <v>214</v>
      </c>
      <c r="AM37" s="155" t="s" ph="1">
        <v>213</v>
      </c>
      <c r="AN37" s="155" t="s" ph="1">
        <v>214</v>
      </c>
      <c r="AO37" s="155" t="s" ph="1">
        <v>215</v>
      </c>
      <c r="AP37" s="155" t="s" ph="1">
        <v>213</v>
      </c>
      <c r="AQ37" s="155" t="s" ph="1">
        <v>214</v>
      </c>
      <c r="AR37" s="155" t="s" ph="1">
        <v>215</v>
      </c>
      <c r="AS37" s="155" t="s" ph="1">
        <v>213</v>
      </c>
      <c r="AT37" s="155" t="s" ph="1">
        <v>214</v>
      </c>
      <c r="AU37" s="155" t="s" ph="1">
        <v>215</v>
      </c>
      <c r="AV37" s="155" t="s" ph="1">
        <v>213</v>
      </c>
      <c r="AW37" s="155" t="s" ph="1">
        <v>214</v>
      </c>
      <c r="AX37" s="155" t="s" ph="1">
        <v>215</v>
      </c>
      <c r="AY37" s="155" t="s" ph="1">
        <v>214</v>
      </c>
      <c r="AZ37" s="155" t="s" ph="1">
        <v>216</v>
      </c>
      <c r="BD37" s="155" t="s" ph="1">
        <v>308</v>
      </c>
      <c r="BE37" s="15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37" priority="96">
      <formula>ABS(D$7-D$10)&gt;=1000</formula>
    </cfRule>
  </conditionalFormatting>
  <conditionalFormatting sqref="E4 E6:E11">
    <cfRule type="expression" dxfId="1636" priority="95">
      <formula>ABS(E$7-E$10)&gt;=1000</formula>
    </cfRule>
  </conditionalFormatting>
  <conditionalFormatting sqref="F4:F11">
    <cfRule type="expression" dxfId="1635" priority="94">
      <formula>ABS(F$7-F$10)&gt;=1000</formula>
    </cfRule>
  </conditionalFormatting>
  <conditionalFormatting sqref="G4:G11">
    <cfRule type="expression" dxfId="1634" priority="93">
      <formula>ABS(G$7-G$10)&gt;=1000</formula>
    </cfRule>
  </conditionalFormatting>
  <conditionalFormatting sqref="H4:H11">
    <cfRule type="expression" dxfId="1633" priority="92">
      <formula>ABS(H$7-H$10)&gt;=1000</formula>
    </cfRule>
  </conditionalFormatting>
  <conditionalFormatting sqref="I4:I11">
    <cfRule type="expression" dxfId="1632" priority="91">
      <formula>ABS(I$7-I$10)&gt;=1000</formula>
    </cfRule>
  </conditionalFormatting>
  <conditionalFormatting sqref="J4:J11">
    <cfRule type="expression" dxfId="1631" priority="90">
      <formula>ABS(J$7-J$10)&gt;=1000</formula>
    </cfRule>
  </conditionalFormatting>
  <conditionalFormatting sqref="K4:K11">
    <cfRule type="expression" dxfId="1630" priority="89">
      <formula>ABS(K$7-K$10)&gt;=1000</formula>
    </cfRule>
  </conditionalFormatting>
  <conditionalFormatting sqref="L4:L11">
    <cfRule type="expression" dxfId="1629" priority="88">
      <formula>ABS(L$7-L$10)&gt;=1000</formula>
    </cfRule>
  </conditionalFormatting>
  <conditionalFormatting sqref="M4 M6:M11">
    <cfRule type="expression" dxfId="1628" priority="87">
      <formula>ABS(M$7-M$10)&gt;=1000</formula>
    </cfRule>
  </conditionalFormatting>
  <conditionalFormatting sqref="N4 N6:N11">
    <cfRule type="expression" dxfId="1627" priority="86">
      <formula>ABS(N$7-N$10)&gt;=1000</formula>
    </cfRule>
  </conditionalFormatting>
  <conditionalFormatting sqref="O4 O6:O11">
    <cfRule type="expression" dxfId="1626" priority="85">
      <formula>ABS(O$7-O$10)&gt;=1000</formula>
    </cfRule>
  </conditionalFormatting>
  <conditionalFormatting sqref="P4 P6:P11">
    <cfRule type="expression" dxfId="1625" priority="84">
      <formula>ABS(P$7-P$10)&gt;=1000</formula>
    </cfRule>
  </conditionalFormatting>
  <conditionalFormatting sqref="Q4:Q11">
    <cfRule type="expression" dxfId="1624" priority="83">
      <formula>ABS(Q$7-Q$10)&gt;=1000</formula>
    </cfRule>
  </conditionalFormatting>
  <conditionalFormatting sqref="R4:R11">
    <cfRule type="expression" dxfId="1623" priority="82">
      <formula>ABS(R$7-R$10)&gt;=1000</formula>
    </cfRule>
  </conditionalFormatting>
  <conditionalFormatting sqref="S4:S11">
    <cfRule type="expression" dxfId="1622" priority="81">
      <formula>ABS(S$7-S$10)&gt;=1000</formula>
    </cfRule>
  </conditionalFormatting>
  <conditionalFormatting sqref="T4:T9 T11">
    <cfRule type="expression" dxfId="1621" priority="80">
      <formula>ABS(T$7-T$10)&gt;=1000</formula>
    </cfRule>
  </conditionalFormatting>
  <conditionalFormatting sqref="U4:U9 U11">
    <cfRule type="expression" dxfId="1620" priority="79">
      <formula>ABS(U$7-U$10)&gt;=1000</formula>
    </cfRule>
  </conditionalFormatting>
  <conditionalFormatting sqref="V4:V9 V11">
    <cfRule type="expression" dxfId="1619" priority="78">
      <formula>ABS(V$7-V$10)&gt;=1000</formula>
    </cfRule>
  </conditionalFormatting>
  <conditionalFormatting sqref="W4:W9 W11">
    <cfRule type="expression" dxfId="1618" priority="77">
      <formula>ABS(W$7-W$10)&gt;=1000</formula>
    </cfRule>
  </conditionalFormatting>
  <conditionalFormatting sqref="X4:X9 X11">
    <cfRule type="expression" dxfId="1617" priority="76">
      <formula>ABS(X$7-X$10)&gt;=1000</formula>
    </cfRule>
  </conditionalFormatting>
  <conditionalFormatting sqref="Y4:Y9 Y11">
    <cfRule type="expression" dxfId="1616" priority="75">
      <formula>ABS(Y$7-Y$10)&gt;=1000</formula>
    </cfRule>
  </conditionalFormatting>
  <conditionalFormatting sqref="Z4:Z11">
    <cfRule type="expression" dxfId="1615" priority="74">
      <formula>ABS(Z$7-Z$10)&gt;=1000</formula>
    </cfRule>
  </conditionalFormatting>
  <conditionalFormatting sqref="AA4:AA11">
    <cfRule type="expression" dxfId="1614" priority="73">
      <formula>ABS(AA$7-AA$10)&gt;=1000</formula>
    </cfRule>
  </conditionalFormatting>
  <conditionalFormatting sqref="AB4:AB11">
    <cfRule type="expression" dxfId="1613" priority="72">
      <formula>ABS(AB$7-AB$10)&gt;=1000</formula>
    </cfRule>
  </conditionalFormatting>
  <conditionalFormatting sqref="AC4 AC6:AC11">
    <cfRule type="expression" dxfId="1612" priority="71">
      <formula>ABS(AC$7-AC$10)&gt;=1000</formula>
    </cfRule>
  </conditionalFormatting>
  <conditionalFormatting sqref="AD4:AD11">
    <cfRule type="expression" dxfId="1611" priority="70">
      <formula>ABS(AD$7-AD$10)&gt;=1000</formula>
    </cfRule>
  </conditionalFormatting>
  <conditionalFormatting sqref="AE4:AE11">
    <cfRule type="expression" dxfId="1610" priority="69">
      <formula>ABS(AE$7-AE$10)&gt;=1000</formula>
    </cfRule>
  </conditionalFormatting>
  <conditionalFormatting sqref="D13:D20">
    <cfRule type="expression" dxfId="1609" priority="68">
      <formula>ABS(D$16-D$19)&gt;=1000</formula>
    </cfRule>
  </conditionalFormatting>
  <conditionalFormatting sqref="E13:E20">
    <cfRule type="expression" dxfId="1608" priority="67">
      <formula>ABS(E$16-E$19)&gt;=1000</formula>
    </cfRule>
  </conditionalFormatting>
  <conditionalFormatting sqref="F13 F15:F20">
    <cfRule type="expression" dxfId="1607" priority="66">
      <formula>ABS(F$16-F$19)&gt;=1000</formula>
    </cfRule>
  </conditionalFormatting>
  <conditionalFormatting sqref="G13:G20">
    <cfRule type="expression" dxfId="1606" priority="65">
      <formula>ABS(G$16-G$19)&gt;=1000</formula>
    </cfRule>
  </conditionalFormatting>
  <conditionalFormatting sqref="H13:H20">
    <cfRule type="expression" dxfId="1605" priority="64">
      <formula>ABS(H$16-H$19)&gt;=1000</formula>
    </cfRule>
  </conditionalFormatting>
  <conditionalFormatting sqref="I13:I20">
    <cfRule type="expression" dxfId="1604" priority="63">
      <formula>ABS(I$16-I$19)&gt;=1000</formula>
    </cfRule>
  </conditionalFormatting>
  <conditionalFormatting sqref="J13:J20">
    <cfRule type="expression" dxfId="1603" priority="62">
      <formula>ABS(J$16-J$19)&gt;=1000</formula>
    </cfRule>
  </conditionalFormatting>
  <conditionalFormatting sqref="L13:L20">
    <cfRule type="expression" dxfId="1602" priority="61">
      <formula>ABS(L$16-L$19)&gt;=1000</formula>
    </cfRule>
  </conditionalFormatting>
  <conditionalFormatting sqref="M13 M15 M17:M18 M20">
    <cfRule type="expression" dxfId="1601" priority="60">
      <formula>ABS(M$16-M$19)&gt;=1000</formula>
    </cfRule>
  </conditionalFormatting>
  <conditionalFormatting sqref="N13:N20">
    <cfRule type="expression" dxfId="1600" priority="59">
      <formula>ABS(N$16-N$19)&gt;=1000</formula>
    </cfRule>
  </conditionalFormatting>
  <conditionalFormatting sqref="O13:O20">
    <cfRule type="expression" dxfId="1599" priority="58">
      <formula>ABS(O$16-O$19)&gt;=1000</formula>
    </cfRule>
  </conditionalFormatting>
  <conditionalFormatting sqref="P13:P20">
    <cfRule type="expression" dxfId="1598" priority="57">
      <formula>ABS(P$16-P$19)&gt;=1000</formula>
    </cfRule>
  </conditionalFormatting>
  <conditionalFormatting sqref="Q13 Q15:Q20">
    <cfRule type="expression" dxfId="1597" priority="56">
      <formula>ABS(Q$16-Q$19)&gt;=1000</formula>
    </cfRule>
  </conditionalFormatting>
  <conditionalFormatting sqref="R13:R20">
    <cfRule type="expression" dxfId="1596" priority="55">
      <formula>ABS(R$16-R$19)&gt;=1000</formula>
    </cfRule>
  </conditionalFormatting>
  <conditionalFormatting sqref="S13:S20">
    <cfRule type="expression" dxfId="1595" priority="54">
      <formula>ABS(S$16-S$19)&gt;=1000</formula>
    </cfRule>
  </conditionalFormatting>
  <conditionalFormatting sqref="T13:T20">
    <cfRule type="expression" dxfId="1594" priority="53">
      <formula>ABS(T$16-T$19)&gt;=1000</formula>
    </cfRule>
  </conditionalFormatting>
  <conditionalFormatting sqref="U13:U20">
    <cfRule type="expression" dxfId="1593" priority="52">
      <formula>ABS(U$16-U$19)&gt;=1000</formula>
    </cfRule>
  </conditionalFormatting>
  <conditionalFormatting sqref="V13:V20">
    <cfRule type="expression" dxfId="1592" priority="51">
      <formula>ABS(V$16-V$19)&gt;=1000</formula>
    </cfRule>
  </conditionalFormatting>
  <conditionalFormatting sqref="W13 W20 W15:W18">
    <cfRule type="expression" dxfId="1591" priority="50">
      <formula>ABS(W$16-W$19)&gt;=1000</formula>
    </cfRule>
  </conditionalFormatting>
  <conditionalFormatting sqref="X13 X15:X20 Y19">
    <cfRule type="expression" dxfId="1590" priority="49">
      <formula>ABS(X$16-X$19)&gt;=1000</formula>
    </cfRule>
  </conditionalFormatting>
  <conditionalFormatting sqref="Y13 Y15:Y18 Y20">
    <cfRule type="expression" dxfId="1589" priority="48">
      <formula>ABS(Y$16-Y$19)&gt;=1000</formula>
    </cfRule>
  </conditionalFormatting>
  <conditionalFormatting sqref="Z13:Z20">
    <cfRule type="expression" dxfId="1588" priority="47">
      <formula>ABS(Z$16-Z$19)&gt;=1000</formula>
    </cfRule>
  </conditionalFormatting>
  <conditionalFormatting sqref="AA13:AA20">
    <cfRule type="expression" dxfId="1587" priority="46">
      <formula>ABS(AA$16-AA$19)&gt;=1000</formula>
    </cfRule>
  </conditionalFormatting>
  <conditionalFormatting sqref="AB13 AB15:AB20">
    <cfRule type="expression" dxfId="1586" priority="45">
      <formula>ABS(AB$16-AB$19)&gt;=1000</formula>
    </cfRule>
  </conditionalFormatting>
  <conditionalFormatting sqref="AC13 AC15:AC20">
    <cfRule type="expression" dxfId="1585" priority="44">
      <formula>ABS(AC$16-AC$19)&gt;=1000</formula>
    </cfRule>
  </conditionalFormatting>
  <conditionalFormatting sqref="AD13:AD20">
    <cfRule type="expression" dxfId="1584" priority="43">
      <formula>ABS(AD$16-AD$19)&gt;=1000</formula>
    </cfRule>
  </conditionalFormatting>
  <conditionalFormatting sqref="AE13:AE20">
    <cfRule type="expression" dxfId="1583" priority="42">
      <formula>ABS(AE$16-AE$19)&gt;=1000</formula>
    </cfRule>
  </conditionalFormatting>
  <conditionalFormatting sqref="D22:D29">
    <cfRule type="expression" dxfId="1582" priority="41">
      <formula>ABS(D$25-D$28)&gt;=1000</formula>
    </cfRule>
  </conditionalFormatting>
  <conditionalFormatting sqref="E22:E29">
    <cfRule type="expression" dxfId="1581" priority="40">
      <formula>ABS(E$25-E$28)&gt;=1000</formula>
    </cfRule>
  </conditionalFormatting>
  <conditionalFormatting sqref="F22:F29">
    <cfRule type="expression" dxfId="1580" priority="39">
      <formula>ABS(F$25-F$28)&gt;=1000</formula>
    </cfRule>
  </conditionalFormatting>
  <conditionalFormatting sqref="G22:G29">
    <cfRule type="expression" dxfId="1579" priority="38">
      <formula>ABS(G$25-G$28)&gt;=1000</formula>
    </cfRule>
  </conditionalFormatting>
  <conditionalFormatting sqref="H22:H29">
    <cfRule type="expression" dxfId="1578" priority="37">
      <formula>ABS(H$25-H$28)&gt;=1000</formula>
    </cfRule>
  </conditionalFormatting>
  <conditionalFormatting sqref="I22 I24:I29">
    <cfRule type="expression" dxfId="1577" priority="36">
      <formula>ABS(I$25-I$28)&gt;=1000</formula>
    </cfRule>
  </conditionalFormatting>
  <conditionalFormatting sqref="J22:J29 K22">
    <cfRule type="expression" dxfId="1576" priority="35">
      <formula>ABS(J$25-J$28)&gt;=1000</formula>
    </cfRule>
  </conditionalFormatting>
  <conditionalFormatting sqref="K23:K29 L25 L28">
    <cfRule type="expression" dxfId="1575" priority="34">
      <formula>ABS(K$25-K$28)&gt;=1000</formula>
    </cfRule>
  </conditionalFormatting>
  <conditionalFormatting sqref="L22:L24 L26:L27 L29">
    <cfRule type="expression" dxfId="1574" priority="33">
      <formula>ABS(L$25-L$28)&gt;=1000</formula>
    </cfRule>
  </conditionalFormatting>
  <conditionalFormatting sqref="M22:M29">
    <cfRule type="expression" dxfId="1573" priority="32">
      <formula>ABS(M$25-M$28)&gt;=1000</formula>
    </cfRule>
  </conditionalFormatting>
  <conditionalFormatting sqref="N22:N29">
    <cfRule type="expression" dxfId="1572" priority="31">
      <formula>ABS(N$25-N$28)&gt;=1000</formula>
    </cfRule>
  </conditionalFormatting>
  <conditionalFormatting sqref="O22:O29">
    <cfRule type="expression" dxfId="1571" priority="30">
      <formula>ABS(O$25-O$28)&gt;=1000</formula>
    </cfRule>
  </conditionalFormatting>
  <conditionalFormatting sqref="P22:P29">
    <cfRule type="expression" dxfId="1570" priority="29">
      <formula>ABS(P$25-P$28)&gt;=1000</formula>
    </cfRule>
  </conditionalFormatting>
  <conditionalFormatting sqref="Q22:Q29">
    <cfRule type="expression" dxfId="1569" priority="28">
      <formula>ABS(Q$25-Q$28)&gt;=1000</formula>
    </cfRule>
  </conditionalFormatting>
  <conditionalFormatting sqref="R22:R29">
    <cfRule type="expression" dxfId="1568" priority="27">
      <formula>ABS(R$25-R$28)&gt;=1000</formula>
    </cfRule>
  </conditionalFormatting>
  <conditionalFormatting sqref="S22:S29">
    <cfRule type="expression" dxfId="1567" priority="26">
      <formula>ABS(S$25-S$28)&gt;=1000</formula>
    </cfRule>
  </conditionalFormatting>
  <conditionalFormatting sqref="T22:T29">
    <cfRule type="expression" dxfId="1566" priority="25">
      <formula>ABS(T$25-T$28)&gt;=1000</formula>
    </cfRule>
  </conditionalFormatting>
  <conditionalFormatting sqref="U22:U29">
    <cfRule type="expression" dxfId="1565" priority="24">
      <formula>ABS(U$25-U$28)&gt;=1000</formula>
    </cfRule>
  </conditionalFormatting>
  <conditionalFormatting sqref="V22:V29">
    <cfRule type="expression" dxfId="1564" priority="23">
      <formula>ABS(V$25-V$28)&gt;=1000</formula>
    </cfRule>
  </conditionalFormatting>
  <conditionalFormatting sqref="W22:W29">
    <cfRule type="expression" dxfId="1563" priority="22">
      <formula>ABS(W$25-W$28)&gt;=1000</formula>
    </cfRule>
  </conditionalFormatting>
  <conditionalFormatting sqref="X22:X29">
    <cfRule type="expression" dxfId="1562" priority="21">
      <formula>ABS(X$25-X$28)&gt;=1000</formula>
    </cfRule>
  </conditionalFormatting>
  <conditionalFormatting sqref="Y22:Y29">
    <cfRule type="expression" dxfId="1561" priority="20">
      <formula>ABS(Y$25-Y$28)&gt;=1000</formula>
    </cfRule>
  </conditionalFormatting>
  <conditionalFormatting sqref="I23">
    <cfRule type="expression" dxfId="1560" priority="19">
      <formula>ABS(I$25-I$28)&gt;=1000</formula>
    </cfRule>
  </conditionalFormatting>
  <conditionalFormatting sqref="F14">
    <cfRule type="expression" dxfId="1559" priority="18">
      <formula>ABS(F$16-F$19)&gt;=1000</formula>
    </cfRule>
  </conditionalFormatting>
  <conditionalFormatting sqref="Q14">
    <cfRule type="expression" dxfId="1558" priority="17">
      <formula>ABS(Q$16-Q$19)&gt;=1000</formula>
    </cfRule>
  </conditionalFormatting>
  <conditionalFormatting sqref="W14">
    <cfRule type="expression" dxfId="1557" priority="16">
      <formula>ABS(W$16-W$19)&gt;=1000</formula>
    </cfRule>
  </conditionalFormatting>
  <conditionalFormatting sqref="Y14">
    <cfRule type="expression" dxfId="1556" priority="15">
      <formula>ABS(Y$16-Y$19)&gt;=1000</formula>
    </cfRule>
  </conditionalFormatting>
  <conditionalFormatting sqref="X14">
    <cfRule type="expression" dxfId="1555" priority="14">
      <formula>ABS(X$16-X$19)&gt;=1000</formula>
    </cfRule>
  </conditionalFormatting>
  <conditionalFormatting sqref="T10:Y10">
    <cfRule type="expression" dxfId="1554" priority="13">
      <formula>ABS(T$7-T$10)&gt;=1000</formula>
    </cfRule>
  </conditionalFormatting>
  <conditionalFormatting sqref="W19">
    <cfRule type="expression" dxfId="1553" priority="12">
      <formula>ABS(W$16-W$19)&gt;=1000</formula>
    </cfRule>
  </conditionalFormatting>
  <conditionalFormatting sqref="AC5">
    <cfRule type="expression" dxfId="1552" priority="11">
      <formula>ABS(AC$7-AC$10)&gt;=1000</formula>
    </cfRule>
  </conditionalFormatting>
  <conditionalFormatting sqref="M14">
    <cfRule type="expression" dxfId="1551" priority="10">
      <formula>ABS(M$16-M$19)&gt;=1000</formula>
    </cfRule>
  </conditionalFormatting>
  <conditionalFormatting sqref="M16">
    <cfRule type="expression" dxfId="1550" priority="9">
      <formula>ABS(M$16-M$19)&gt;=1000</formula>
    </cfRule>
  </conditionalFormatting>
  <conditionalFormatting sqref="M19">
    <cfRule type="expression" dxfId="1549" priority="8">
      <formula>ABS(M$16-M$19)&gt;=1000</formula>
    </cfRule>
  </conditionalFormatting>
  <conditionalFormatting sqref="K13:K20">
    <cfRule type="expression" dxfId="1548" priority="7">
      <formula>ABS(K$16-K$19)&gt;=1000</formula>
    </cfRule>
  </conditionalFormatting>
  <conditionalFormatting sqref="E5">
    <cfRule type="expression" dxfId="1547" priority="6">
      <formula>ABS(E$7-E$10)&gt;=1000</formula>
    </cfRule>
  </conditionalFormatting>
  <conditionalFormatting sqref="AB14:AC14">
    <cfRule type="expression" dxfId="1546" priority="5">
      <formula>ABS(AB$16-AB$19)&gt;=1000</formula>
    </cfRule>
  </conditionalFormatting>
  <conditionalFormatting sqref="M5">
    <cfRule type="expression" dxfId="1545" priority="4">
      <formula>ABS(M$7-M$10)&gt;=1000</formula>
    </cfRule>
  </conditionalFormatting>
  <conditionalFormatting sqref="N5">
    <cfRule type="expression" dxfId="1544" priority="3">
      <formula>ABS(N$7-N$10)&gt;=1000</formula>
    </cfRule>
  </conditionalFormatting>
  <conditionalFormatting sqref="O5">
    <cfRule type="expression" dxfId="1543" priority="2">
      <formula>ABS(O$7-O$10)&gt;=1000</formula>
    </cfRule>
  </conditionalFormatting>
  <conditionalFormatting sqref="P5">
    <cfRule type="expression" dxfId="1542" priority="1">
      <formula>ABS(P$7-P$10)&gt;=1000</formula>
    </cfRule>
  </conditionalFormatting>
  <dataValidations count="1">
    <dataValidation operator="greaterThanOrEqual" allowBlank="1" showErrorMessage="1" sqref="D6" xr:uid="{00000000-0002-0000-0B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635">
    <pageSetUpPr fitToPage="1"/>
  </sheetPr>
  <dimension ref="A1:CU223"/>
  <sheetViews>
    <sheetView view="pageBreakPreview" zoomScale="80" zoomScaleNormal="100" zoomScaleSheetLayoutView="80" workbookViewId="0">
      <selection activeCell="AB36" sqref="AB36:AC36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45791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53" t="s" ph="1">
        <v>178</v>
      </c>
      <c r="D6" s="71">
        <v>4210</v>
      </c>
      <c r="E6" s="71">
        <v>4684</v>
      </c>
      <c r="F6" s="71">
        <v>4630</v>
      </c>
      <c r="G6" s="71">
        <v>6589</v>
      </c>
      <c r="H6" s="71">
        <v>1356</v>
      </c>
      <c r="I6" s="71">
        <v>0</v>
      </c>
      <c r="J6" s="71">
        <v>7.8</v>
      </c>
      <c r="K6" s="71">
        <v>7.3</v>
      </c>
      <c r="L6" s="71">
        <v>63.8</v>
      </c>
      <c r="M6" s="71">
        <v>1175</v>
      </c>
      <c r="N6" s="71">
        <v>5905</v>
      </c>
      <c r="O6" s="71">
        <v>0</v>
      </c>
      <c r="P6" s="71">
        <v>4890</v>
      </c>
      <c r="Q6" s="71">
        <v>2604</v>
      </c>
      <c r="R6" s="71">
        <v>0</v>
      </c>
      <c r="S6" s="71">
        <v>0</v>
      </c>
      <c r="T6" s="71">
        <v>0</v>
      </c>
      <c r="U6" s="71">
        <v>0</v>
      </c>
      <c r="V6" s="71">
        <v>310</v>
      </c>
      <c r="W6" s="71">
        <v>7118</v>
      </c>
      <c r="X6" s="71">
        <v>7022</v>
      </c>
      <c r="Y6" s="71">
        <v>2737</v>
      </c>
      <c r="Z6" s="71">
        <v>6062</v>
      </c>
      <c r="AA6" s="71">
        <v>2154</v>
      </c>
      <c r="AB6" s="71">
        <v>2646</v>
      </c>
      <c r="AC6" s="71">
        <v>6754</v>
      </c>
      <c r="AD6" s="71">
        <v>5405</v>
      </c>
      <c r="AE6" s="71">
        <v>3620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132259.98509820001</v>
      </c>
      <c r="E7" s="73" ph="1">
        <f>E6*51.53*LOOKUP(E8,密度!$A$2:$A$50,密度!$B$2:$B$50)</f>
        <v>188169.338992</v>
      </c>
      <c r="F7" s="73" ph="1">
        <f>F6*33.183*LOOKUP(F8,密度!$A$2:$A$50,密度!$C$2:$C$50)</f>
        <v>170475.936984</v>
      </c>
      <c r="G7" s="73" ph="1">
        <f xml:space="preserve"> (G6+2)*51.53*LOOKUP(G8,密度!$A$2:$A$50,密度!$B$2:$B$50)</f>
        <v>265084.51651499997</v>
      </c>
      <c r="H7" s="73" ph="1">
        <f>(H6)*51.53*LOOKUP(H8,密度!$A$2:$A$50,密度!$B$2:$B$50)</f>
        <v>54788.736588000007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2361.8717840000004</v>
      </c>
      <c r="L7" s="73" ph="1">
        <f>L6*290.8*0.777</f>
        <v>14415.712080000001</v>
      </c>
      <c r="M7" s="73" ph="1">
        <f>M6*33.183*LOOKUP(M8,密度!$A$2:$A$50,密度!$D$2:$D$50)</f>
        <v>39921.886597500001</v>
      </c>
      <c r="N7" s="73" ph="1">
        <f>N6*33.183*LOOKUP(N8,密度!$A$2:$A$50,密度!$E$2:$E$50)</f>
        <v>153033.52531500001</v>
      </c>
      <c r="O7" s="73" ph="1">
        <f>O6*20.428*LOOKUP(O8,密度!$A$2:$A$50,密度!$C$2:$C$50)</f>
        <v>0</v>
      </c>
      <c r="P7" s="73" ph="1">
        <f>P6*51.53*LOOKUP(P8,密度!$A$2:$A$50,密度!$B$2:$B$50)</f>
        <v>196444.93332000001</v>
      </c>
      <c r="Q7" s="73" ph="1">
        <f>Q6*1.5*1.5*3.1416*LOOKUP(W8,密度!$A$2:$A$50,密度!$L$2:$L$50)</f>
        <v>17247.016432799999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2046.6424440000003</v>
      </c>
      <c r="W7" s="73" ph="1">
        <f>W6*1.5*1.5*3.1416*LOOKUP(W8,密度!$A$2:$A$50,密度!$L$2:$L$50)</f>
        <v>47144.4942276</v>
      </c>
      <c r="X7" s="73" ph="1">
        <f>X6*1.5*1.5*3.1416*LOOKUP(X8,密度!$A$2:$A$50,密度!$L$2:$L$50)</f>
        <v>46508.659520399997</v>
      </c>
      <c r="Y7" s="73" ph="1">
        <f>Y6*1.5*1.5*3.1416*LOOKUP(Y8,密度!$A$2:$A$50,密度!$L$2:$L$50)</f>
        <v>18166.6059498</v>
      </c>
      <c r="Z7" s="73" ph="1">
        <f>Z6*33.183*LOOKUP(Z8,密度!$A$2:$A$50,密度!$L$2:$L$50)</f>
        <v>188482.559202</v>
      </c>
      <c r="AA7" s="73" ph="1">
        <f>AA6*33.183*LOOKUP(AA8,密度!$A$2:$A$50,密度!$D$2:$D$50)</f>
        <v>73384.596059399992</v>
      </c>
      <c r="AB7" s="73" ph="1">
        <f>AB6*20.428*LOOKUP(AB8,密度!$A$2:$A$50,密度!$D$2:$D$50)</f>
        <v>55933.514582399999</v>
      </c>
      <c r="AC7" s="73" ph="1">
        <f>AC6*51.53*LOOKUP(AC8,密度!$A$2:$A$50,密度!$Q$2:$Q$50)</f>
        <v>330315.22840580001</v>
      </c>
      <c r="AD7" s="73" ph="1">
        <f>AD6*20.428*LOOKUP(AD8,密度!$A$2:$A$50,密度!$V$2:$V$50)</f>
        <v>106085.13707200001</v>
      </c>
      <c r="AE7" s="73" ph="1">
        <f>AE6*20.428</f>
        <v>73949.36</v>
      </c>
    </row>
    <row r="8" spans="1:99" ph="1">
      <c r="B8" s="196" ph="1"/>
      <c r="C8" s="68" t="s" ph="1">
        <v>180</v>
      </c>
      <c r="D8" s="74">
        <v>25</v>
      </c>
      <c r="E8" s="74">
        <v>25</v>
      </c>
      <c r="F8" s="74">
        <v>24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27</v>
      </c>
      <c r="P8" s="74">
        <v>25</v>
      </c>
      <c r="Q8" s="74">
        <v>23</v>
      </c>
      <c r="R8" s="74">
        <v>30</v>
      </c>
      <c r="S8" s="74">
        <v>22</v>
      </c>
      <c r="T8" s="74">
        <v>20</v>
      </c>
      <c r="U8" s="74">
        <v>25</v>
      </c>
      <c r="V8" s="74">
        <v>28</v>
      </c>
      <c r="W8" s="74">
        <v>25</v>
      </c>
      <c r="X8" s="74">
        <v>25</v>
      </c>
      <c r="Y8" s="74">
        <v>23</v>
      </c>
      <c r="Z8" s="74">
        <v>25</v>
      </c>
      <c r="AA8" s="74">
        <v>25</v>
      </c>
      <c r="AB8" s="74">
        <v>16</v>
      </c>
      <c r="AC8" s="74">
        <v>22</v>
      </c>
      <c r="AD8" s="74">
        <v>23</v>
      </c>
      <c r="AE8" s="74">
        <v>27</v>
      </c>
    </row>
    <row r="9" spans="1:99" ph="1">
      <c r="B9" s="196" ph="1">
        <v>0.66666666666666663</v>
      </c>
      <c r="C9" s="153" t="s" ph="1">
        <v>181</v>
      </c>
      <c r="D9" s="71">
        <v>4212</v>
      </c>
      <c r="E9" s="71">
        <v>4685</v>
      </c>
      <c r="F9" s="71">
        <v>4633</v>
      </c>
      <c r="G9" s="71">
        <v>7700</v>
      </c>
      <c r="H9" s="71">
        <v>1263</v>
      </c>
      <c r="I9" s="71">
        <v>0</v>
      </c>
      <c r="J9" s="71">
        <v>7.9</v>
      </c>
      <c r="K9" s="71">
        <v>7.5</v>
      </c>
      <c r="L9" s="71">
        <v>39.9</v>
      </c>
      <c r="M9" s="71">
        <v>1174</v>
      </c>
      <c r="N9" s="71">
        <v>5863</v>
      </c>
      <c r="O9" s="71">
        <v>0</v>
      </c>
      <c r="P9" s="71">
        <v>4833</v>
      </c>
      <c r="Q9" s="71">
        <v>7000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4100</v>
      </c>
      <c r="X9" s="71">
        <v>6950</v>
      </c>
      <c r="Y9" s="71">
        <v>4700</v>
      </c>
      <c r="Z9" s="71">
        <v>6677</v>
      </c>
      <c r="AA9" s="71">
        <v>2157</v>
      </c>
      <c r="AB9" s="71">
        <v>2631</v>
      </c>
      <c r="AC9" s="71">
        <v>6775</v>
      </c>
      <c r="AD9" s="71">
        <v>5413</v>
      </c>
      <c r="AE9" s="71">
        <v>3422</v>
      </c>
    </row>
    <row r="10" spans="1:99" s="72" customFormat="1" ht="21.75" ph="1">
      <c r="B10" s="196" ph="1"/>
      <c r="C10" s="153" t="s" ph="1">
        <v>179</v>
      </c>
      <c r="D10" s="73" ph="1">
        <f>D9*33.183*LOOKUP(D11,密度!$A$2:$A$50,密度!$Q$2:$Q$50)</f>
        <v>132124.34759472002</v>
      </c>
      <c r="E10" s="73" ph="1">
        <f>E9*51.53*LOOKUP(E11,密度!$A$2:$A$50,密度!$B$2:$B$50)</f>
        <v>187171.41416500002</v>
      </c>
      <c r="F10" s="73" ph="1">
        <f>F9*33.183*LOOKUP(F11,密度!$A$2:$A$50,密度!$C$2:$C$50)</f>
        <v>170478.78076710002</v>
      </c>
      <c r="G10" s="73" ph="1">
        <f xml:space="preserve"> (G9+2)*51.53*LOOKUP(G11,密度!$A$2:$A$50,密度!$B$2:$B$50)</f>
        <v>308736.11027400004</v>
      </c>
      <c r="H10" s="73" ph="1">
        <f>(H9)*51.53*LOOKUP(H11,密度!$A$2:$A$50,密度!$B$2:$B$50)</f>
        <v>50516.951117999997</v>
      </c>
      <c r="I10" s="73" ph="1">
        <f>I9*290.8*1.0267</f>
        <v>0</v>
      </c>
      <c r="J10" s="73" ph="1">
        <f>J9*290.8*0.7892</f>
        <v>1813.0449440000002</v>
      </c>
      <c r="K10" s="73" ph="1">
        <f>K9*290.8*1.1126</f>
        <v>2426.5806000000002</v>
      </c>
      <c r="L10" s="73" ph="1">
        <f>L9*290.8*0.777</f>
        <v>9015.4688399999995</v>
      </c>
      <c r="M10" s="73" ph="1">
        <f>M9*33.183*LOOKUP(M11,密度!$A$2:$A$50,密度!$D$2:$D$50)</f>
        <v>39642.482419200001</v>
      </c>
      <c r="N10" s="73" ph="1">
        <f>N9*33.183*LOOKUP(N11,密度!$A$2:$A$50,密度!$E$2:$E$50)</f>
        <v>151711.59423420002</v>
      </c>
      <c r="O10" s="73" ph="1">
        <f>O9*20.428*LOOKUP(O11,密度!$A$2:$A$50,密度!$C$2:$C$50)</f>
        <v>0</v>
      </c>
      <c r="P10" s="73" ph="1">
        <f>P9*51.53*LOOKUP(P11,密度!$A$2:$A$50,密度!$B$2:$B$50)</f>
        <v>193308.33313800002</v>
      </c>
      <c r="Q10" s="73" ph="1">
        <f>Q9*1.5*1.5*3.1416*LOOKUP(W11,密度!$A$2:$A$50,密度!$L$2:$L$50)</f>
        <v>46263.987000000001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27097.4781</v>
      </c>
      <c r="X10" s="73" ph="1">
        <f>X9*1.5*1.5*3.1416*LOOKUP(X11,密度!$A$2:$A$50,密度!$L$2:$L$50)</f>
        <v>46277.417339999993</v>
      </c>
      <c r="Y10" s="73" ph="1">
        <f>Y9*1.5*1.5*3.1416*LOOKUP(Y11,密度!$A$2:$A$50,密度!$L$2:$L$50)</f>
        <v>31129.40754</v>
      </c>
      <c r="Z10" s="73" ph="1">
        <f>Z9*33.183*LOOKUP(Z11,密度!$A$2:$A$50,密度!$L$2:$L$50)</f>
        <v>206496.61441200002</v>
      </c>
      <c r="AA10" s="73" ph="1">
        <f>AA9*33.183*LOOKUP(AA11,密度!$A$2:$A$50,密度!$D$2:$D$50)</f>
        <v>72835.463865600002</v>
      </c>
      <c r="AB10" s="73" ph="1">
        <f>AB9*20.428*LOOKUP(AB11,密度!$A$2:$A$50,密度!$D$2:$D$50)</f>
        <v>55433.694535200004</v>
      </c>
      <c r="AC10" s="73" ph="1">
        <f>AC9*51.53*LOOKUP(AC11,密度!$A$2:$A$50,密度!$Q$2:$Q$50)</f>
        <v>330521.84515499999</v>
      </c>
      <c r="AD10" s="73" ph="1">
        <f>AD9*20.428*LOOKUP(AD11,密度!$A$2:$A$50,密度!$V$2:$V$50)</f>
        <v>105888.30920640001</v>
      </c>
      <c r="AE10" s="73" ph="1">
        <f>AE9*20.428</f>
        <v>69904.616000000009</v>
      </c>
    </row>
    <row r="11" spans="1:99" ph="1">
      <c r="A11" s="64" t="s" ph="1">
        <v>163</v>
      </c>
      <c r="B11" s="196" ph="1"/>
      <c r="C11" s="153" t="s" ph="1">
        <v>180</v>
      </c>
      <c r="D11" s="74">
        <v>27</v>
      </c>
      <c r="E11" s="74">
        <v>30</v>
      </c>
      <c r="F11" s="74">
        <v>25</v>
      </c>
      <c r="G11" s="74">
        <v>27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28</v>
      </c>
      <c r="O11" s="74">
        <v>41</v>
      </c>
      <c r="P11" s="74">
        <v>29</v>
      </c>
      <c r="Q11" s="74">
        <v>27</v>
      </c>
      <c r="R11" s="74">
        <v>35</v>
      </c>
      <c r="S11" s="74">
        <v>25</v>
      </c>
      <c r="T11" s="74">
        <v>31</v>
      </c>
      <c r="U11" s="74">
        <v>30</v>
      </c>
      <c r="V11" s="74">
        <v>25</v>
      </c>
      <c r="W11" s="74">
        <v>27</v>
      </c>
      <c r="X11" s="74">
        <v>20</v>
      </c>
      <c r="Y11" s="74">
        <v>25</v>
      </c>
      <c r="Z11" s="74">
        <v>30</v>
      </c>
      <c r="AA11" s="74">
        <v>35</v>
      </c>
      <c r="AB11" s="74">
        <v>20</v>
      </c>
      <c r="AC11" s="74">
        <v>25</v>
      </c>
      <c r="AD11" s="74">
        <v>31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5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53" t="s" ph="1">
        <v>178</v>
      </c>
      <c r="D15" s="78">
        <v>4401</v>
      </c>
      <c r="E15" s="78">
        <v>1153</v>
      </c>
      <c r="F15" s="78">
        <v>1601</v>
      </c>
      <c r="G15" s="78">
        <v>2931</v>
      </c>
      <c r="H15" s="78">
        <v>1</v>
      </c>
      <c r="I15" s="78">
        <v>117</v>
      </c>
      <c r="J15" s="78">
        <v>753</v>
      </c>
      <c r="K15" s="78">
        <v>710</v>
      </c>
      <c r="L15" s="78">
        <v>2527</v>
      </c>
      <c r="M15" s="78">
        <v>3111</v>
      </c>
      <c r="N15" s="78">
        <v>1830</v>
      </c>
      <c r="O15" s="78">
        <v>0</v>
      </c>
      <c r="P15" s="78">
        <v>5923</v>
      </c>
      <c r="Q15" s="78">
        <v>31</v>
      </c>
      <c r="R15" s="78">
        <v>3507</v>
      </c>
      <c r="S15" s="78">
        <v>0</v>
      </c>
      <c r="T15" s="78">
        <v>1032</v>
      </c>
      <c r="U15" s="78">
        <v>4262</v>
      </c>
      <c r="V15" s="78">
        <v>0</v>
      </c>
      <c r="W15" s="71">
        <v>3975</v>
      </c>
      <c r="X15" s="78">
        <v>149</v>
      </c>
      <c r="Y15" s="106">
        <v>-2361</v>
      </c>
      <c r="Z15" s="78">
        <v>0</v>
      </c>
      <c r="AA15" s="78">
        <v>4221</v>
      </c>
      <c r="AB15" s="78" ph="1">
        <v>6916</v>
      </c>
      <c r="AC15" s="78" ph="1">
        <v>986</v>
      </c>
      <c r="AD15" s="78">
        <v>62.9</v>
      </c>
      <c r="AE15" s="78">
        <v>5.3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53" t="s" ph="1">
        <v>179</v>
      </c>
      <c r="D16" s="73" ph="1">
        <f>D15*7.0686*LOOKUP(D17,密度!$A$2:$A$50,密度!$L$2:$L$50)</f>
        <v>29149.047358200001</v>
      </c>
      <c r="E16" s="73" ph="1">
        <f>E15*7.0686*LOOKUP(E17,密度!$A$2:$A$50,密度!$L$2:$L$50)</f>
        <v>7636.6397646000005</v>
      </c>
      <c r="F16" s="73" ph="1">
        <f>F15*9.0746*LOOKUP(F17,密度!$A$2:$A$50,密度!$L$2:$L$50)</f>
        <v>13540.501047200001</v>
      </c>
      <c r="G16" s="73" ph="1">
        <f>G15*9.0746*LOOKUP(G17,密度!$A$2:$A$50,密度!$B$2:$B$50)</f>
        <v>20735.529966959999</v>
      </c>
      <c r="H16" s="73" ph="1">
        <f>H15*9.0746*LOOKUP(H17,密度!$A$2:$A$50,密度!$L$2:$L$50)</f>
        <v>8.5119747999999991</v>
      </c>
      <c r="I16" s="73" ph="1">
        <f>I15*9.0746*LOOKUP(I17,密度!$A$2:$A$50,密度!$U$2:$U$50)</f>
        <v>1090.3948613999999</v>
      </c>
      <c r="J16" s="73" ph="1">
        <f>J15*9.0746*LOOKUP(J17,密度!$A$2:$A$50,密度!$L$2:$L$50)</f>
        <v>6416.3501981999998</v>
      </c>
      <c r="K16" s="73" ph="1">
        <f>K15*9.0746*LOOKUP(K17,密度!$A$2:$A$50,密度!$C$2:$C$50)</f>
        <v>7154.2694464000006</v>
      </c>
      <c r="L16" s="73" ph="1">
        <f>L15*9.0746*LOOKUP(L17,密度!$A$2:$A$50,密度!$E$2:$E$50)</f>
        <v>17959.961921440001</v>
      </c>
      <c r="M16" s="73" ph="1">
        <f>M15*9.0746*LOOKUP(M17,密度!$A$2:$A$50,密度!$M$2:$M$50)</f>
        <v>24705.018633060001</v>
      </c>
      <c r="N16" s="73" ph="1">
        <f>N15*9.0746*LOOKUP(N17,密度!$A$2:$A$50,密度!$M$2:$M$50)</f>
        <v>14532.363901799999</v>
      </c>
      <c r="O16" s="73" ph="1">
        <f>O15*9.0746*LOOKUP(O17,密度!$A$2:$A$50,密度!$G$2:$G$50)</f>
        <v>0</v>
      </c>
      <c r="P16" s="73" ph="1">
        <f ca="1">P15*9.0746*LOOKUP(P17,密度!$A$2:$A$51,密度!$Q$2:$Q$50)</f>
        <v>50886.191740092007</v>
      </c>
      <c r="Q16" s="73" ph="1">
        <f>Q15*9.0746*LOOKUP(Q17,密度!$A$2:$A$50,密度!$Q$2:$Q$50)</f>
        <v>266.32989092400004</v>
      </c>
      <c r="R16" s="73" ph="1">
        <f>MAX(R15*9.0746*LOOKUP(R17,密度!$A$2:$A$50,密度!$B$2:$B$50),0)</f>
        <v>24810.475467119999</v>
      </c>
      <c r="S16" s="73" ph="1">
        <f>S15*9.0746*LOOKUP(S17,密度!$A$2:$A$50,密度!$Q$2:$Q$50)</f>
        <v>0</v>
      </c>
      <c r="T16" s="73" ph="1">
        <f>T15*9.0746*LOOKUP(T17,密度!$A$2:$A$50,密度!$O$2:$O$50)</f>
        <v>8671.9781471999995</v>
      </c>
      <c r="U16" s="73" ph="1">
        <f>U15*9.0746*LOOKUP(U17,密度!$A$2:$A$50,密度!$H$2:$H$50)</f>
        <v>35454.238964839999</v>
      </c>
      <c r="V16" s="73" ph="1">
        <f>MAX(5600*LOOKUP(V17,密度!$A$2:$A$50,密度!$Q$2:$Q$50)+V15*9.0476*LOOKUP(V17,密度!$A$2:$A$50,密度!$Q$2:$Q$50),0)</f>
        <v>5301.7440000000006</v>
      </c>
      <c r="W16" s="73" ph="1">
        <f>MAX(5600*LOOKUP(W17,密度!$A$2:$A$50,密度!$Q$2:$Q$50)+W15*9.0476*LOOKUP(W17,密度!$A$2:$A$50,密度!$Q$2:$Q$50),0)</f>
        <v>39350.500175399997</v>
      </c>
      <c r="X16" s="73" ph="1">
        <f>MAX(5600*LOOKUP(X17,密度!$A$2:$A$50,密度!$I$2:$I$50)+X15*9.0476*LOOKUP(X17,密度!$A$2:$A$50,密度!$I$2:$I$50),0)</f>
        <v>7241.9967085199996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29861.709993359997</v>
      </c>
      <c r="AB16" s="73" ph="1">
        <f>AB15*9.0746*LOOKUP(AB17,密度!$A$2:$A$50,密度!$L$2:$L$50)</f>
        <v>58806.057783200005</v>
      </c>
      <c r="AC16" s="73" ph="1">
        <f>AC15*9.0746*LOOKUP(AC17,密度!$A$2:$A$50,密度!$L$2:$L$50)</f>
        <v>8401.7547083999998</v>
      </c>
      <c r="AD16" s="73" ph="1">
        <f>AD15*268.68*LOOKUP(AD17,密度!$A$2:$A$50,密度!B2:B50)+IF(AD15&lt;=0,0,1566*LOOKUP(AD17,密度!$A$2:$A$50,密度!B2:B50))</f>
        <v>14396.071771200001</v>
      </c>
      <c r="AE16" s="73" ph="1">
        <f>AE15*268.68*LOOKUP(AE17,密度!$A$2:$A$50,密度!B2:B50)+IF(AE15&lt;=0,0,1566*LOOKUP(AE17,密度!$A$2:$A$50,密度!B2:B50))</f>
        <v>2331.0071183999999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30</v>
      </c>
      <c r="G17" s="74">
        <v>25</v>
      </c>
      <c r="H17" s="74">
        <v>24</v>
      </c>
      <c r="I17" s="74">
        <v>23</v>
      </c>
      <c r="J17" s="74">
        <v>23</v>
      </c>
      <c r="K17" s="74">
        <v>23</v>
      </c>
      <c r="L17" s="74">
        <v>25</v>
      </c>
      <c r="M17" s="74">
        <v>25</v>
      </c>
      <c r="N17" s="74">
        <v>25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23</v>
      </c>
      <c r="V17" s="74">
        <v>25</v>
      </c>
      <c r="W17" s="74">
        <v>25</v>
      </c>
      <c r="X17" s="74">
        <v>25</v>
      </c>
      <c r="Y17" s="108">
        <v>25</v>
      </c>
      <c r="Z17" s="74">
        <v>25</v>
      </c>
      <c r="AA17" s="74">
        <v>25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4409</v>
      </c>
      <c r="E18" s="71">
        <v>1154</v>
      </c>
      <c r="F18" s="71">
        <v>1602</v>
      </c>
      <c r="G18" s="71">
        <v>2969</v>
      </c>
      <c r="H18" s="71">
        <v>0</v>
      </c>
      <c r="I18" s="71">
        <v>118</v>
      </c>
      <c r="J18" s="71">
        <v>771</v>
      </c>
      <c r="K18" s="71">
        <v>710</v>
      </c>
      <c r="L18" s="71">
        <v>2536</v>
      </c>
      <c r="M18" s="71">
        <v>4000</v>
      </c>
      <c r="N18" s="71">
        <v>2430</v>
      </c>
      <c r="O18" s="71">
        <v>18</v>
      </c>
      <c r="P18" s="71">
        <v>4802</v>
      </c>
      <c r="Q18" s="71">
        <v>28</v>
      </c>
      <c r="R18" s="71">
        <v>3512</v>
      </c>
      <c r="S18" s="71">
        <v>0</v>
      </c>
      <c r="T18" s="71">
        <v>621</v>
      </c>
      <c r="U18" s="71">
        <v>5528</v>
      </c>
      <c r="V18" s="71">
        <v>0</v>
      </c>
      <c r="W18" s="71">
        <v>3976</v>
      </c>
      <c r="X18" s="71">
        <v>149</v>
      </c>
      <c r="Y18" s="109">
        <v>-9906</v>
      </c>
      <c r="Z18" s="71">
        <v>0</v>
      </c>
      <c r="AA18" s="71">
        <v>4223</v>
      </c>
      <c r="AB18" s="71">
        <v>4128</v>
      </c>
      <c r="AC18" s="71">
        <v>989</v>
      </c>
      <c r="AD18" s="71">
        <v>84.6</v>
      </c>
      <c r="AE18" s="71">
        <v>20.9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53" t="s" ph="1">
        <v>179</v>
      </c>
      <c r="D19" s="73" ph="1">
        <f>D18*7.0686*LOOKUP(D20,密度!$A$2:$A$50,密度!$L$2:$L$50)</f>
        <v>29046.206296800003</v>
      </c>
      <c r="E19" s="73" ph="1">
        <f>E18*7.0686*LOOKUP(E20,密度!$A$2:$A$50,密度!$L$2:$L$50)</f>
        <v>7602.4772208000004</v>
      </c>
      <c r="F19" s="73" ph="1">
        <f>F18*9.0746*LOOKUP(F20,密度!$A$2:$A$50,密度!$L$2:$L$50)</f>
        <v>13548.958574400001</v>
      </c>
      <c r="G19" s="73" ph="1">
        <f>G18*9.0746*LOOKUP(G20,密度!$A$2:$A$50,密度!$B$2:$B$50)</f>
        <v>21004.363177039999</v>
      </c>
      <c r="H19" s="73" ph="1">
        <f>H18*9.0746*LOOKUP(H20,密度!$A$2:$A$50,密度!$L$2:$L$50)</f>
        <v>0</v>
      </c>
      <c r="I19" s="73" ph="1">
        <f>I18*9.0746*LOOKUP(I20,密度!$A$2:$A$50,密度!$U$2:$U$50)</f>
        <v>1092.218856</v>
      </c>
      <c r="J19" s="73" ph="1">
        <f>J18*9.0746*LOOKUP(J20,密度!$A$2:$A$50,密度!$L$2:$L$50)</f>
        <v>6520.7534712000006</v>
      </c>
      <c r="K19" s="73" ph="1">
        <f>K18*9.0746*LOOKUP(K20,密度!$A$2:$A$50,密度!$C$2:$C$50)</f>
        <v>7120.1217266000003</v>
      </c>
      <c r="L19" s="73" ph="1">
        <f>L18*9.0746*LOOKUP(L20,密度!$A$2:$A$50,密度!$E$2:$E$50)</f>
        <v>17945.682130880003</v>
      </c>
      <c r="M19" s="73" ph="1">
        <f>M18*9.0746*LOOKUP(M20,密度!$A$2:$A$50,密度!$M$2:$M$50)</f>
        <v>31652.2048</v>
      </c>
      <c r="N19" s="73" ph="1">
        <f>N18*9.0746*LOOKUP(N20,密度!$A$2:$A$50,密度!$M$2:$M$50)</f>
        <v>19297.073377800003</v>
      </c>
      <c r="O19" s="73" ph="1">
        <f>O18*9.0746*LOOKUP(O20,密度!$A$2:$A$50,密度!$G$2:$G$50)</f>
        <v>155.606884992</v>
      </c>
      <c r="P19" s="73" ph="1">
        <f ca="1">P18*9.0746*LOOKUP(P20,密度!$A$2:$A$51,密度!$Q$2:$Q$50)</f>
        <v>41106.764291236002</v>
      </c>
      <c r="Q19" s="73" ph="1">
        <f>Q18*9.0746*LOOKUP(Q20,密度!$A$2:$A$50,密度!$Q$2:$Q$50)</f>
        <v>239.68958770399999</v>
      </c>
      <c r="R19" s="73" ph="1">
        <f>MAX(R18*9.0746*LOOKUP(R20,密度!$A$2:$A$50,密度!$B$2:$B$50),0)</f>
        <v>24708.807278560002</v>
      </c>
      <c r="S19" s="73" ph="1">
        <f>S18*9.0746*LOOKUP(S20,密度!$A$2:$A$50,密度!$Q$2:$Q$50)</f>
        <v>0</v>
      </c>
      <c r="T19" s="73" ph="1">
        <f>T18*9.0746*LOOKUP(T20,密度!$A$2:$A$50,密度!$O$2:$O$50)</f>
        <v>5195.7711252000008</v>
      </c>
      <c r="U19" s="73" ph="1">
        <f>U18*9.0746*LOOKUP(U20,密度!$A$2:$A$50,密度!$H$2:$H$50)</f>
        <v>45845.234924320001</v>
      </c>
      <c r="V19" s="73" ph="1">
        <f>MAX(5600*LOOKUP(V20,密度!$A$2:$A$50,密度!$Q$2:$Q$50)+V18*9.0476*LOOKUP(V20,密度!$A$2:$A$50,密度!$Q$2:$Q$50),0)</f>
        <v>5282.6480000000001</v>
      </c>
      <c r="W19" s="73" ph="1">
        <f>MAX(5600*LOOKUP(W20,密度!$A$2:$A$50,密度!$Q$2:$Q$50)+W18*9.0476*LOOKUP(W20,密度!$A$2:$A$50,密度!$Q$2:$Q$50),0)</f>
        <v>39217.301091807996</v>
      </c>
      <c r="X19" s="73" ph="1">
        <f>MAX(5600*LOOKUP(X20,密度!$A$2:$A$50,密度!$I$2:$I$50)+X18*9.0476*LOOKUP(X20,密度!$A$2:$A$50,密度!$I$2:$I$50),0)</f>
        <v>7218.3731943599987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29875.859109679997</v>
      </c>
      <c r="AB19" s="73" ph="1">
        <f>AB18*9.0746*LOOKUP(AB20,密度!$A$2:$A$50,密度!$L$2:$L$50)</f>
        <v>34987.592179200001</v>
      </c>
      <c r="AC19" s="73" ph="1">
        <f>AC18*9.0746*LOOKUP(AC20,密度!$A$2:$A$50,密度!$L$2:$L$50)</f>
        <v>8382.4439595999993</v>
      </c>
      <c r="AD19" s="73" ph="1">
        <f>AD18*268.68*LOOKUP(AD20,密度!$A$2:$A$50,密度!B5:B53)+IF(AD18&lt;=0,0,1566*LOOKUP(AD20,密度!$A$2:$A$50,密度!B5:B53))</f>
        <v>18878.246855999998</v>
      </c>
      <c r="AE19" s="73" ph="1">
        <f>AE18*268.68*LOOKUP(AE20,密度!$A$2:$A$50,密度!B5:B53)+IF(AE18&lt;=0,0,1566*LOOKUP(AE20,密度!$A$2:$A$50,密度!B5:B53))</f>
        <v>5579.9571239999996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30</v>
      </c>
      <c r="E20" s="81">
        <v>30</v>
      </c>
      <c r="F20" s="81">
        <v>30</v>
      </c>
      <c r="G20" s="81">
        <v>25</v>
      </c>
      <c r="H20" s="81">
        <v>31</v>
      </c>
      <c r="I20" s="81">
        <v>30</v>
      </c>
      <c r="J20" s="81">
        <v>30</v>
      </c>
      <c r="K20" s="81">
        <v>30</v>
      </c>
      <c r="L20" s="81">
        <v>28</v>
      </c>
      <c r="M20" s="81">
        <v>28</v>
      </c>
      <c r="N20" s="81">
        <v>25</v>
      </c>
      <c r="O20" s="81">
        <v>32</v>
      </c>
      <c r="P20" s="81">
        <v>30</v>
      </c>
      <c r="Q20" s="81">
        <v>30</v>
      </c>
      <c r="R20" s="81">
        <v>30</v>
      </c>
      <c r="S20" s="81">
        <v>30</v>
      </c>
      <c r="T20" s="81">
        <v>30</v>
      </c>
      <c r="U20" s="81">
        <v>26</v>
      </c>
      <c r="V20" s="81">
        <v>30</v>
      </c>
      <c r="W20" s="81">
        <v>30</v>
      </c>
      <c r="X20" s="81">
        <v>28</v>
      </c>
      <c r="Y20" s="110">
        <v>28</v>
      </c>
      <c r="Z20" s="81">
        <v>30</v>
      </c>
      <c r="AA20" s="81">
        <v>25</v>
      </c>
      <c r="AB20" s="81">
        <v>28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53" t="s" ph="1">
        <v>178</v>
      </c>
      <c r="D24" s="71">
        <v>91.3</v>
      </c>
      <c r="E24" s="71">
        <v>95.5</v>
      </c>
      <c r="F24" s="71">
        <v>3996</v>
      </c>
      <c r="G24" s="71">
        <v>2841</v>
      </c>
      <c r="H24" s="71">
        <v>2558</v>
      </c>
      <c r="I24" s="71">
        <v>761</v>
      </c>
      <c r="J24" s="71">
        <v>3180</v>
      </c>
      <c r="K24" s="71">
        <v>0</v>
      </c>
      <c r="L24" s="71">
        <v>0</v>
      </c>
      <c r="M24" s="71">
        <v>5246</v>
      </c>
      <c r="N24" s="71">
        <v>5316</v>
      </c>
      <c r="O24" s="71">
        <v>4</v>
      </c>
      <c r="P24" s="71">
        <v>2451</v>
      </c>
      <c r="Q24" s="90">
        <v>2151</v>
      </c>
      <c r="R24" s="71">
        <v>2911</v>
      </c>
      <c r="S24" s="71">
        <v>1583</v>
      </c>
      <c r="T24" s="71">
        <v>1758</v>
      </c>
      <c r="U24" s="71">
        <v>4628</v>
      </c>
      <c r="V24" s="71">
        <v>9640</v>
      </c>
      <c r="W24" s="71">
        <v>10900</v>
      </c>
      <c r="X24" s="71">
        <v>2581</v>
      </c>
      <c r="Y24" s="71">
        <v>4832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24706.585262160002</v>
      </c>
      <c r="E25" s="91" ph="1">
        <f>E24*268.68*LOOKUP(E26,密度!$A$2:$A$50,密度!$C$2:$C$50)+IF(E24&lt;=0,0,1566*LOOKUP(E26,密度!$A$2:$A$50,密度!$C$2:$C$50))</f>
        <v>30189.735966000004</v>
      </c>
      <c r="F25" s="91" ph="1">
        <f>F24*11.702*LOOKUP(F26,密度!$A$2:$A$50,密度!$Q$2:$Q$50)</f>
        <v>44270.690914080005</v>
      </c>
      <c r="G25" s="91" ph="1">
        <f>G24*18.322*LOOKUP(G26,密度!$A$2:$A$50,密度!$B$2:$B$50)</f>
        <v>40674.059482799996</v>
      </c>
      <c r="H25" s="91" ph="1">
        <f>H24*18.322*LOOKUP(H26,密度!$A$2:$A$50,密度!$B$2:$B$50)</f>
        <v>36664.582934799997</v>
      </c>
      <c r="I25" s="91" ph="1">
        <f>I24*18.322*LOOKUP(I26,密度!$A$2:$A$50,密度!$Q$2:$Q$50)</f>
        <v>13233.20173178</v>
      </c>
      <c r="J25" s="91" ph="1">
        <f>J24*18.322*LOOKUP(J26,密度!$A$2:$A$50,密度!$Q$2:$Q$50)</f>
        <v>55297.741796399998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90998.009288879999</v>
      </c>
      <c r="N25" s="91" ph="1">
        <f>N24*18.322*LOOKUP(N26,密度!$A$2:$A$50,密度!$Q$2:$Q$50)</f>
        <v>92212.241208480002</v>
      </c>
      <c r="O25" s="91" ph="1">
        <f>O24*18.322*LOOKUP(O26,密度!$A$2:$A$50,密度!$C$2:$C$50)</f>
        <v>81.320364799999993</v>
      </c>
      <c r="P25" s="91" ph="1">
        <f>P24*11.702*LOOKUP(P26,密度!$A$2:$A$50,密度!$B$2:$B$50)</f>
        <v>22385.990361</v>
      </c>
      <c r="Q25" s="92" ph="1">
        <f>Q24*18.322*LOOKUP(Q26,密度!$A$2:$A$50,密度!$B$2:$B$50)</f>
        <v>30795.460030799997</v>
      </c>
      <c r="R25" s="91" ph="1">
        <f>R24*35.891*LOOKUP(R26,密度!$A$2:$A$50,密度!$C$2:$C$50)</f>
        <v>116013.1495904</v>
      </c>
      <c r="S25" s="91" ph="1">
        <f>S24*35.891*LOOKUP(S26,密度!$A$2:$A$50,密度!$B$2:$B$50)</f>
        <v>44344.461066499993</v>
      </c>
      <c r="T25" s="91" ph="1">
        <f>T24*35.891*LOOKUP(T26,密度!$A$2:$A$50,密度!$Q$2:$Q$50)</f>
        <v>59827.985619599996</v>
      </c>
      <c r="U25" s="91" ph="1">
        <f>U24*35.891</f>
        <v>166103.54799999998</v>
      </c>
      <c r="V25" s="91" ph="1">
        <f>V24*47.051*LOOKUP(V26,密度!$A$2:$A$50,密度!$B$2:$B$50)</f>
        <v>353604.45054400002</v>
      </c>
      <c r="W25" s="91" ph="1">
        <f>W24*47.051*LOOKUP(W26,密度!$A$2:$A$50,密度!$B$2:$B$50)</f>
        <v>399822.45964000002</v>
      </c>
      <c r="X25" s="91" ph="1">
        <f>X24*47.051*LOOKUP(X26,密度!$A$2:$A$50,密度!$I$2:$I$50)</f>
        <v>126162.5937459</v>
      </c>
      <c r="Y25" s="91" ph="1">
        <f>Y24*47.051*LOOKUP(Y26,密度!$A$2:$A$50,密度!$L$2:$L$50)</f>
        <v>212800.00435200002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23</v>
      </c>
      <c r="H26" s="74">
        <v>22</v>
      </c>
      <c r="I26" s="74">
        <v>22</v>
      </c>
      <c r="J26" s="74">
        <v>22</v>
      </c>
      <c r="K26" s="74">
        <v>23</v>
      </c>
      <c r="L26" s="74">
        <v>22</v>
      </c>
      <c r="M26" s="74">
        <v>25</v>
      </c>
      <c r="N26" s="74">
        <v>25</v>
      </c>
      <c r="O26" s="74">
        <v>24</v>
      </c>
      <c r="P26" s="74">
        <v>24</v>
      </c>
      <c r="Q26" s="93">
        <v>23</v>
      </c>
      <c r="R26" s="74">
        <v>23</v>
      </c>
      <c r="S26" s="74">
        <v>24</v>
      </c>
      <c r="T26" s="74">
        <v>23</v>
      </c>
      <c r="U26" s="74">
        <v>25</v>
      </c>
      <c r="V26" s="74">
        <v>25</v>
      </c>
      <c r="W26" s="74">
        <v>25</v>
      </c>
      <c r="X26" s="74">
        <v>28</v>
      </c>
      <c r="Y26" s="74">
        <v>26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53" t="s" ph="1">
        <v>181</v>
      </c>
      <c r="D27" s="71">
        <v>91.2</v>
      </c>
      <c r="E27" s="71">
        <v>95.6</v>
      </c>
      <c r="F27" s="71">
        <v>4000</v>
      </c>
      <c r="G27" s="71">
        <v>2380</v>
      </c>
      <c r="H27" s="71">
        <v>2306</v>
      </c>
      <c r="I27" s="71">
        <v>1314</v>
      </c>
      <c r="J27" s="71">
        <v>3180</v>
      </c>
      <c r="K27" s="71">
        <v>0</v>
      </c>
      <c r="L27" s="71">
        <v>0</v>
      </c>
      <c r="M27" s="71">
        <v>5249</v>
      </c>
      <c r="N27" s="71">
        <v>5316</v>
      </c>
      <c r="O27" s="71">
        <v>0</v>
      </c>
      <c r="P27" s="71">
        <v>2450</v>
      </c>
      <c r="Q27" s="90">
        <v>2319</v>
      </c>
      <c r="R27" s="71">
        <v>2908</v>
      </c>
      <c r="S27" s="71">
        <v>1580</v>
      </c>
      <c r="T27" s="71">
        <v>1757</v>
      </c>
      <c r="U27" s="71">
        <v>4473</v>
      </c>
      <c r="V27" s="71">
        <v>9644</v>
      </c>
      <c r="W27" s="71">
        <v>10900</v>
      </c>
      <c r="X27" s="71">
        <v>3183</v>
      </c>
      <c r="Y27" s="71">
        <v>3258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53" t="s" ph="1">
        <v>179</v>
      </c>
      <c r="D28" s="91" ph="1">
        <f>D27*268.68*LOOKUP(D29,密度!$A$2:$A$50,密度!$Q$2:$Q$50)+IF(D27&lt;=0,0,1566*LOOKUP(D29,密度!$A$2:$A$50,密度!$Q$2:$Q$50))</f>
        <v>24681.148251840004</v>
      </c>
      <c r="E28" s="91" ph="1">
        <f>E27*268.68*LOOKUP(E29,密度!$A$2:$A$50,密度!$C$2:$C$50)+IF(E27&lt;=0,0,1566*LOOKUP(E29,密度!$A$2:$A$50,密度!$C$2:$C$50))</f>
        <v>30219.529891200003</v>
      </c>
      <c r="F28" s="91" ph="1">
        <f>F27*11.702*LOOKUP(F29,密度!$A$2:$A$50,密度!$Q$2:$Q$50)</f>
        <v>44248.538560000001</v>
      </c>
      <c r="G28" s="91" ph="1">
        <f>G27*18.322*LOOKUP(G29,密度!$A$2:$A$50,密度!$B$2:$B$50)</f>
        <v>33956.272531999995</v>
      </c>
      <c r="H28" s="91" ph="1">
        <f>H27*18.322*LOOKUP(H29,密度!$A$2:$A$50,密度!$B$2:$B$50)</f>
        <v>32938.514747199995</v>
      </c>
      <c r="I28" s="91" ph="1">
        <f>I27*18.322*LOOKUP(I29,密度!$A$2:$A$50,密度!$Q$2:$Q$50)</f>
        <v>22810.442576760001</v>
      </c>
      <c r="J28" s="91" ph="1">
        <f>J27*18.322*LOOKUP(J29,密度!$A$2:$A$50,密度!$Q$2:$Q$50)</f>
        <v>55160.821490399998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91050.047799720007</v>
      </c>
      <c r="N28" s="91" ph="1">
        <f>N27*18.322*LOOKUP(N29,密度!$A$2:$A$50,密度!$Q$2:$Q$50)</f>
        <v>92212.241208480002</v>
      </c>
      <c r="O28" s="91" ph="1">
        <f>O27*18.322*LOOKUP(O29,密度!$A$2:$A$50,密度!$C$2:$C$50)</f>
        <v>0</v>
      </c>
      <c r="P28" s="91" ph="1">
        <f>P27*11.702*LOOKUP(P29,密度!$A$2:$A$50,密度!$B$2:$B$50)</f>
        <v>22376.856950000001</v>
      </c>
      <c r="Q28" s="92" ph="1">
        <f>Q27*18.322*LOOKUP(Q29,密度!$A$2:$A$50,密度!$B$2:$B$50)</f>
        <v>33162.444399</v>
      </c>
      <c r="R28" s="91" ph="1">
        <f>R27*35.891*LOOKUP(R29,密度!$A$2:$A$50,密度!$C$2:$C$50)</f>
        <v>115737.03294919999</v>
      </c>
      <c r="S28" s="91" ph="1">
        <f>S27*35.891*LOOKUP(S29,密度!$A$2:$A$50,密度!$B$2:$B$50)</f>
        <v>44260.422289999995</v>
      </c>
      <c r="T28" s="91" ph="1">
        <f>T27*35.891*LOOKUP(T29,密度!$A$2:$A$50,密度!$Q$2:$Q$50)</f>
        <v>59657.112516609996</v>
      </c>
      <c r="U28" s="91" ph="1">
        <f>U27*35.891</f>
        <v>160540.443</v>
      </c>
      <c r="V28" s="91" ph="1">
        <f>V27*47.051*LOOKUP(V29,密度!$A$2:$A$50,密度!$B$2:$B$50)</f>
        <v>353751.1743824</v>
      </c>
      <c r="W28" s="91" ph="1">
        <f>W27*47.051*LOOKUP(W29,密度!$A$2:$A$50,密度!$B$2:$B$50)</f>
        <v>399822.45964000002</v>
      </c>
      <c r="X28" s="91" ph="1">
        <f>X27*47.051*LOOKUP(X29,密度!$A$2:$A$50,密度!$I$2:$I$50)</f>
        <v>155589.12665369999</v>
      </c>
      <c r="Y28" s="91" ph="1">
        <f>Y27*47.051*LOOKUP(Y29,密度!$A$2:$A$50,密度!$L$2:$L$50)</f>
        <v>143328.16773000002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53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53" t="s" ph="1">
        <v>5</v>
      </c>
      <c r="F32" s="154" t="s" ph="1">
        <v>43</v>
      </c>
      <c r="G32" s="97" t="s" ph="1">
        <v>4</v>
      </c>
      <c r="H32" s="153" t="s" ph="1">
        <v>5</v>
      </c>
      <c r="I32" s="154" t="s" ph="1">
        <v>43</v>
      </c>
      <c r="J32" s="97" t="s" ph="1">
        <v>4</v>
      </c>
      <c r="K32" s="153" t="s" ph="1">
        <v>5</v>
      </c>
      <c r="L32" s="154" t="s" ph="1">
        <v>43</v>
      </c>
      <c r="M32" s="97" t="s" ph="1">
        <v>4</v>
      </c>
      <c r="N32" s="153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4" t="s" ph="1">
        <v>43</v>
      </c>
      <c r="AB32" s="97" t="s" ph="1">
        <v>85</v>
      </c>
      <c r="AC32" s="153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128269.15840080001</v>
      </c>
      <c r="E33" s="218" ph="1">
        <f>M10+I10</f>
        <v>39642.482419200001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22" ph="1">
        <v>0</v>
      </c>
      <c r="H33" s="218" ph="1">
        <f>N19</f>
        <v>19297.073377800003</v>
      </c>
      <c r="I33" s="231" ph="1">
        <v>0</v>
      </c>
      <c r="J33" s="229" ph="1">
        <f>F10+O28</f>
        <v>170478.78076710002</v>
      </c>
      <c r="K33" s="218" ph="1">
        <f>O10+K10+E28+R28</f>
        <v>148383.14344039999</v>
      </c>
      <c r="L33" s="233" ph="1">
        <f>BE27</f>
        <v>7100</v>
      </c>
      <c r="M33" s="229" ph="1">
        <f>G10+H10+W28+S28+V28+E10</f>
        <v>1344258.5318694001</v>
      </c>
      <c r="N33" s="218" ph="1">
        <f>L10+P10++G28+H28</f>
        <v>269218.58925720002</v>
      </c>
      <c r="O33" s="231" ph="1">
        <f>BE17</f>
        <v>2270</v>
      </c>
      <c r="P33" s="229" ph="1">
        <f>L19</f>
        <v>17945.682130880003</v>
      </c>
      <c r="Q33" s="218" ph="1">
        <f>J10+N10</f>
        <v>153524.63917820001</v>
      </c>
      <c r="R33" s="231" ph="1">
        <f>BE23</f>
        <v>890</v>
      </c>
      <c r="S33" s="229" ph="1">
        <f>E10+X28</f>
        <v>342760.54081869998</v>
      </c>
      <c r="T33" s="218" ph="1">
        <f>X19</f>
        <v>7218.3731943599987</v>
      </c>
      <c r="U33" s="239" ph="1">
        <f>BE21</f>
        <v>730</v>
      </c>
      <c r="V33" s="250" ph="1">
        <f ca="1">P19+Q19+S19+M28+N28+J28</f>
        <v>279769.56437754002</v>
      </c>
      <c r="W33" s="250" ph="1">
        <f>D28+F28+V19+T28</f>
        <v>133869.44732844998</v>
      </c>
      <c r="X33" s="231" ph="1">
        <f>BE29+BE31</f>
        <v>10200</v>
      </c>
      <c r="Y33" s="252" ph="1">
        <f>+Q10+R10+S10+T10+U10+V10+W10+X10+Y10</f>
        <v>150768.28998</v>
      </c>
      <c r="Z33" s="237" ph="1">
        <f>D10+T19+U19+Y28+Z10</f>
        <v>532990.13578624011</v>
      </c>
      <c r="AA33" s="239" ph="1">
        <f>BE19</f>
        <v>1440</v>
      </c>
      <c r="AB33" s="241" ph="1">
        <f>I19</f>
        <v>1092.218856</v>
      </c>
      <c r="AC33" s="243" ph="1">
        <f>AD10</f>
        <v>105888.30920640001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55" t="s" ph="1">
        <v>186</v>
      </c>
      <c r="AA36" s="155" ph="1"/>
      <c r="AB36" s="236" t="s" ph="1">
        <v>648</v>
      </c>
      <c r="AC36" s="236" ph="1"/>
      <c r="AD36" s="236" ph="1"/>
      <c r="AE36" s="236" ph="1"/>
      <c r="BA36" s="64" ph="1">
        <v>2270</v>
      </c>
    </row>
    <row r="37" spans="1:57" s="15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5" t="s" ph="1">
        <v>345</v>
      </c>
      <c r="AI37" s="155" t="s" ph="1">
        <v>212</v>
      </c>
      <c r="AJ37" s="155" t="s" ph="1">
        <v>213</v>
      </c>
      <c r="AK37" s="155" t="s" ph="1">
        <v>214</v>
      </c>
      <c r="AM37" s="155" t="s" ph="1">
        <v>213</v>
      </c>
      <c r="AN37" s="155" t="s" ph="1">
        <v>214</v>
      </c>
      <c r="AO37" s="155" t="s" ph="1">
        <v>215</v>
      </c>
      <c r="AP37" s="155" t="s" ph="1">
        <v>213</v>
      </c>
      <c r="AQ37" s="155" t="s" ph="1">
        <v>214</v>
      </c>
      <c r="AR37" s="155" t="s" ph="1">
        <v>215</v>
      </c>
      <c r="AS37" s="155" t="s" ph="1">
        <v>213</v>
      </c>
      <c r="AT37" s="155" t="s" ph="1">
        <v>214</v>
      </c>
      <c r="AU37" s="155" t="s" ph="1">
        <v>215</v>
      </c>
      <c r="AV37" s="155" t="s" ph="1">
        <v>213</v>
      </c>
      <c r="AW37" s="155" t="s" ph="1">
        <v>214</v>
      </c>
      <c r="AX37" s="155" t="s" ph="1">
        <v>215</v>
      </c>
      <c r="AY37" s="155" t="s" ph="1">
        <v>214</v>
      </c>
      <c r="AZ37" s="155" t="s" ph="1">
        <v>216</v>
      </c>
      <c r="BD37" s="155" t="s" ph="1">
        <v>308</v>
      </c>
      <c r="BE37" s="15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11" priority="96">
      <formula>ABS(D$7-D$10)&gt;=1000</formula>
    </cfRule>
  </conditionalFormatting>
  <conditionalFormatting sqref="E4 E6:E11">
    <cfRule type="expression" dxfId="1510" priority="95">
      <formula>ABS(E$7-E$10)&gt;=1000</formula>
    </cfRule>
  </conditionalFormatting>
  <conditionalFormatting sqref="F4:F11">
    <cfRule type="expression" dxfId="1509" priority="94">
      <formula>ABS(F$7-F$10)&gt;=1000</formula>
    </cfRule>
  </conditionalFormatting>
  <conditionalFormatting sqref="G4:G11">
    <cfRule type="expression" dxfId="1508" priority="93">
      <formula>ABS(G$7-G$10)&gt;=1000</formula>
    </cfRule>
  </conditionalFormatting>
  <conditionalFormatting sqref="H4:H11">
    <cfRule type="expression" dxfId="1507" priority="92">
      <formula>ABS(H$7-H$10)&gt;=1000</formula>
    </cfRule>
  </conditionalFormatting>
  <conditionalFormatting sqref="I4:I11">
    <cfRule type="expression" dxfId="1506" priority="91">
      <formula>ABS(I$7-I$10)&gt;=1000</formula>
    </cfRule>
  </conditionalFormatting>
  <conditionalFormatting sqref="J4:J11">
    <cfRule type="expression" dxfId="1505" priority="90">
      <formula>ABS(J$7-J$10)&gt;=1000</formula>
    </cfRule>
  </conditionalFormatting>
  <conditionalFormatting sqref="K4:K11">
    <cfRule type="expression" dxfId="1504" priority="89">
      <formula>ABS(K$7-K$10)&gt;=1000</formula>
    </cfRule>
  </conditionalFormatting>
  <conditionalFormatting sqref="L4:L11">
    <cfRule type="expression" dxfId="1503" priority="88">
      <formula>ABS(L$7-L$10)&gt;=1000</formula>
    </cfRule>
  </conditionalFormatting>
  <conditionalFormatting sqref="M4 M6:M11">
    <cfRule type="expression" dxfId="1502" priority="87">
      <formula>ABS(M$7-M$10)&gt;=1000</formula>
    </cfRule>
  </conditionalFormatting>
  <conditionalFormatting sqref="N4 N6:N11">
    <cfRule type="expression" dxfId="1501" priority="86">
      <formula>ABS(N$7-N$10)&gt;=1000</formula>
    </cfRule>
  </conditionalFormatting>
  <conditionalFormatting sqref="O4 O6:O11">
    <cfRule type="expression" dxfId="1500" priority="85">
      <formula>ABS(O$7-O$10)&gt;=1000</formula>
    </cfRule>
  </conditionalFormatting>
  <conditionalFormatting sqref="P4 P6:P11">
    <cfRule type="expression" dxfId="1499" priority="84">
      <formula>ABS(P$7-P$10)&gt;=1000</formula>
    </cfRule>
  </conditionalFormatting>
  <conditionalFormatting sqref="Q4:Q11">
    <cfRule type="expression" dxfId="1498" priority="83">
      <formula>ABS(Q$7-Q$10)&gt;=1000</formula>
    </cfRule>
  </conditionalFormatting>
  <conditionalFormatting sqref="R4:R11">
    <cfRule type="expression" dxfId="1497" priority="82">
      <formula>ABS(R$7-R$10)&gt;=1000</formula>
    </cfRule>
  </conditionalFormatting>
  <conditionalFormatting sqref="S4:S11">
    <cfRule type="expression" dxfId="1496" priority="81">
      <formula>ABS(S$7-S$10)&gt;=1000</formula>
    </cfRule>
  </conditionalFormatting>
  <conditionalFormatting sqref="T4:T9 T11">
    <cfRule type="expression" dxfId="1495" priority="80">
      <formula>ABS(T$7-T$10)&gt;=1000</formula>
    </cfRule>
  </conditionalFormatting>
  <conditionalFormatting sqref="U4:U9 U11">
    <cfRule type="expression" dxfId="1494" priority="79">
      <formula>ABS(U$7-U$10)&gt;=1000</formula>
    </cfRule>
  </conditionalFormatting>
  <conditionalFormatting sqref="V4:V9 V11">
    <cfRule type="expression" dxfId="1493" priority="78">
      <formula>ABS(V$7-V$10)&gt;=1000</formula>
    </cfRule>
  </conditionalFormatting>
  <conditionalFormatting sqref="W4:W9 W11">
    <cfRule type="expression" dxfId="1492" priority="77">
      <formula>ABS(W$7-W$10)&gt;=1000</formula>
    </cfRule>
  </conditionalFormatting>
  <conditionalFormatting sqref="X4:X9 X11">
    <cfRule type="expression" dxfId="1491" priority="76">
      <formula>ABS(X$7-X$10)&gt;=1000</formula>
    </cfRule>
  </conditionalFormatting>
  <conditionalFormatting sqref="Y4:Y9 Y11">
    <cfRule type="expression" dxfId="1490" priority="75">
      <formula>ABS(Y$7-Y$10)&gt;=1000</formula>
    </cfRule>
  </conditionalFormatting>
  <conditionalFormatting sqref="Z4:Z11">
    <cfRule type="expression" dxfId="1489" priority="74">
      <formula>ABS(Z$7-Z$10)&gt;=1000</formula>
    </cfRule>
  </conditionalFormatting>
  <conditionalFormatting sqref="AA4:AA11">
    <cfRule type="expression" dxfId="1488" priority="73">
      <formula>ABS(AA$7-AA$10)&gt;=1000</formula>
    </cfRule>
  </conditionalFormatting>
  <conditionalFormatting sqref="AB4:AB11">
    <cfRule type="expression" dxfId="1487" priority="72">
      <formula>ABS(AB$7-AB$10)&gt;=1000</formula>
    </cfRule>
  </conditionalFormatting>
  <conditionalFormatting sqref="AC4 AC6:AC11">
    <cfRule type="expression" dxfId="1486" priority="71">
      <formula>ABS(AC$7-AC$10)&gt;=1000</formula>
    </cfRule>
  </conditionalFormatting>
  <conditionalFormatting sqref="AD4:AD11">
    <cfRule type="expression" dxfId="1485" priority="70">
      <formula>ABS(AD$7-AD$10)&gt;=1000</formula>
    </cfRule>
  </conditionalFormatting>
  <conditionalFormatting sqref="AE4:AE11">
    <cfRule type="expression" dxfId="1484" priority="69">
      <formula>ABS(AE$7-AE$10)&gt;=1000</formula>
    </cfRule>
  </conditionalFormatting>
  <conditionalFormatting sqref="D13:D20">
    <cfRule type="expression" dxfId="1483" priority="68">
      <formula>ABS(D$16-D$19)&gt;=1000</formula>
    </cfRule>
  </conditionalFormatting>
  <conditionalFormatting sqref="E13:E20">
    <cfRule type="expression" dxfId="1482" priority="67">
      <formula>ABS(E$16-E$19)&gt;=1000</formula>
    </cfRule>
  </conditionalFormatting>
  <conditionalFormatting sqref="F13 F15:F20">
    <cfRule type="expression" dxfId="1481" priority="66">
      <formula>ABS(F$16-F$19)&gt;=1000</formula>
    </cfRule>
  </conditionalFormatting>
  <conditionalFormatting sqref="G13:G20">
    <cfRule type="expression" dxfId="1480" priority="65">
      <formula>ABS(G$16-G$19)&gt;=1000</formula>
    </cfRule>
  </conditionalFormatting>
  <conditionalFormatting sqref="H13:H20">
    <cfRule type="expression" dxfId="1479" priority="64">
      <formula>ABS(H$16-H$19)&gt;=1000</formula>
    </cfRule>
  </conditionalFormatting>
  <conditionalFormatting sqref="I13:I20">
    <cfRule type="expression" dxfId="1478" priority="63">
      <formula>ABS(I$16-I$19)&gt;=1000</formula>
    </cfRule>
  </conditionalFormatting>
  <conditionalFormatting sqref="J13:J20">
    <cfRule type="expression" dxfId="1477" priority="62">
      <formula>ABS(J$16-J$19)&gt;=1000</formula>
    </cfRule>
  </conditionalFormatting>
  <conditionalFormatting sqref="L13:L20">
    <cfRule type="expression" dxfId="1476" priority="61">
      <formula>ABS(L$16-L$19)&gt;=1000</formula>
    </cfRule>
  </conditionalFormatting>
  <conditionalFormatting sqref="M13 M15 M17:M18 M20">
    <cfRule type="expression" dxfId="1475" priority="60">
      <formula>ABS(M$16-M$19)&gt;=1000</formula>
    </cfRule>
  </conditionalFormatting>
  <conditionalFormatting sqref="N13:N20">
    <cfRule type="expression" dxfId="1474" priority="59">
      <formula>ABS(N$16-N$19)&gt;=1000</formula>
    </cfRule>
  </conditionalFormatting>
  <conditionalFormatting sqref="O13:O20">
    <cfRule type="expression" dxfId="1473" priority="58">
      <formula>ABS(O$16-O$19)&gt;=1000</formula>
    </cfRule>
  </conditionalFormatting>
  <conditionalFormatting sqref="P13:P20">
    <cfRule type="expression" dxfId="1472" priority="57">
      <formula>ABS(P$16-P$19)&gt;=1000</formula>
    </cfRule>
  </conditionalFormatting>
  <conditionalFormatting sqref="Q13 Q15:Q20">
    <cfRule type="expression" dxfId="1471" priority="56">
      <formula>ABS(Q$16-Q$19)&gt;=1000</formula>
    </cfRule>
  </conditionalFormatting>
  <conditionalFormatting sqref="R13:R20">
    <cfRule type="expression" dxfId="1470" priority="55">
      <formula>ABS(R$16-R$19)&gt;=1000</formula>
    </cfRule>
  </conditionalFormatting>
  <conditionalFormatting sqref="S13:S20">
    <cfRule type="expression" dxfId="1469" priority="54">
      <formula>ABS(S$16-S$19)&gt;=1000</formula>
    </cfRule>
  </conditionalFormatting>
  <conditionalFormatting sqref="T13:T20">
    <cfRule type="expression" dxfId="1468" priority="53">
      <formula>ABS(T$16-T$19)&gt;=1000</formula>
    </cfRule>
  </conditionalFormatting>
  <conditionalFormatting sqref="U13:U20">
    <cfRule type="expression" dxfId="1467" priority="52">
      <formula>ABS(U$16-U$19)&gt;=1000</formula>
    </cfRule>
  </conditionalFormatting>
  <conditionalFormatting sqref="V13:V20">
    <cfRule type="expression" dxfId="1466" priority="51">
      <formula>ABS(V$16-V$19)&gt;=1000</formula>
    </cfRule>
  </conditionalFormatting>
  <conditionalFormatting sqref="W13 W20 W15:W18">
    <cfRule type="expression" dxfId="1465" priority="50">
      <formula>ABS(W$16-W$19)&gt;=1000</formula>
    </cfRule>
  </conditionalFormatting>
  <conditionalFormatting sqref="X13 X15:X20 Y19">
    <cfRule type="expression" dxfId="1464" priority="49">
      <formula>ABS(X$16-X$19)&gt;=1000</formula>
    </cfRule>
  </conditionalFormatting>
  <conditionalFormatting sqref="Y13 Y15:Y18 Y20">
    <cfRule type="expression" dxfId="1463" priority="48">
      <formula>ABS(Y$16-Y$19)&gt;=1000</formula>
    </cfRule>
  </conditionalFormatting>
  <conditionalFormatting sqref="Z13:Z20">
    <cfRule type="expression" dxfId="1462" priority="47">
      <formula>ABS(Z$16-Z$19)&gt;=1000</formula>
    </cfRule>
  </conditionalFormatting>
  <conditionalFormatting sqref="AA13:AA20">
    <cfRule type="expression" dxfId="1461" priority="46">
      <formula>ABS(AA$16-AA$19)&gt;=1000</formula>
    </cfRule>
  </conditionalFormatting>
  <conditionalFormatting sqref="AB13 AB15:AB20">
    <cfRule type="expression" dxfId="1460" priority="45">
      <formula>ABS(AB$16-AB$19)&gt;=1000</formula>
    </cfRule>
  </conditionalFormatting>
  <conditionalFormatting sqref="AC13 AC15:AC20">
    <cfRule type="expression" dxfId="1459" priority="44">
      <formula>ABS(AC$16-AC$19)&gt;=1000</formula>
    </cfRule>
  </conditionalFormatting>
  <conditionalFormatting sqref="AD13:AD20">
    <cfRule type="expression" dxfId="1458" priority="43">
      <formula>ABS(AD$16-AD$19)&gt;=1000</formula>
    </cfRule>
  </conditionalFormatting>
  <conditionalFormatting sqref="AE13:AE20">
    <cfRule type="expression" dxfId="1457" priority="42">
      <formula>ABS(AE$16-AE$19)&gt;=1000</formula>
    </cfRule>
  </conditionalFormatting>
  <conditionalFormatting sqref="D22:D29">
    <cfRule type="expression" dxfId="1456" priority="41">
      <formula>ABS(D$25-D$28)&gt;=1000</formula>
    </cfRule>
  </conditionalFormatting>
  <conditionalFormatting sqref="E22:E29">
    <cfRule type="expression" dxfId="1455" priority="40">
      <formula>ABS(E$25-E$28)&gt;=1000</formula>
    </cfRule>
  </conditionalFormatting>
  <conditionalFormatting sqref="F22:F29">
    <cfRule type="expression" dxfId="1454" priority="39">
      <formula>ABS(F$25-F$28)&gt;=1000</formula>
    </cfRule>
  </conditionalFormatting>
  <conditionalFormatting sqref="G22:G29">
    <cfRule type="expression" dxfId="1453" priority="38">
      <formula>ABS(G$25-G$28)&gt;=1000</formula>
    </cfRule>
  </conditionalFormatting>
  <conditionalFormatting sqref="H22:H29">
    <cfRule type="expression" dxfId="1452" priority="37">
      <formula>ABS(H$25-H$28)&gt;=1000</formula>
    </cfRule>
  </conditionalFormatting>
  <conditionalFormatting sqref="I22 I24:I29">
    <cfRule type="expression" dxfId="1451" priority="36">
      <formula>ABS(I$25-I$28)&gt;=1000</formula>
    </cfRule>
  </conditionalFormatting>
  <conditionalFormatting sqref="J22:J29 K22">
    <cfRule type="expression" dxfId="1450" priority="35">
      <formula>ABS(J$25-J$28)&gt;=1000</formula>
    </cfRule>
  </conditionalFormatting>
  <conditionalFormatting sqref="K23:K29 L25 L28">
    <cfRule type="expression" dxfId="1449" priority="34">
      <formula>ABS(K$25-K$28)&gt;=1000</formula>
    </cfRule>
  </conditionalFormatting>
  <conditionalFormatting sqref="L22:L24 L26:L27 L29">
    <cfRule type="expression" dxfId="1448" priority="33">
      <formula>ABS(L$25-L$28)&gt;=1000</formula>
    </cfRule>
  </conditionalFormatting>
  <conditionalFormatting sqref="M22:M29">
    <cfRule type="expression" dxfId="1447" priority="32">
      <formula>ABS(M$25-M$28)&gt;=1000</formula>
    </cfRule>
  </conditionalFormatting>
  <conditionalFormatting sqref="N22:N29">
    <cfRule type="expression" dxfId="1446" priority="31">
      <formula>ABS(N$25-N$28)&gt;=1000</formula>
    </cfRule>
  </conditionalFormatting>
  <conditionalFormatting sqref="O22:O29">
    <cfRule type="expression" dxfId="1445" priority="30">
      <formula>ABS(O$25-O$28)&gt;=1000</formula>
    </cfRule>
  </conditionalFormatting>
  <conditionalFormatting sqref="P22:P29">
    <cfRule type="expression" dxfId="1444" priority="29">
      <formula>ABS(P$25-P$28)&gt;=1000</formula>
    </cfRule>
  </conditionalFormatting>
  <conditionalFormatting sqref="Q22:Q29">
    <cfRule type="expression" dxfId="1443" priority="28">
      <formula>ABS(Q$25-Q$28)&gt;=1000</formula>
    </cfRule>
  </conditionalFormatting>
  <conditionalFormatting sqref="R22:R29">
    <cfRule type="expression" dxfId="1442" priority="27">
      <formula>ABS(R$25-R$28)&gt;=1000</formula>
    </cfRule>
  </conditionalFormatting>
  <conditionalFormatting sqref="S22:S29">
    <cfRule type="expression" dxfId="1441" priority="26">
      <formula>ABS(S$25-S$28)&gt;=1000</formula>
    </cfRule>
  </conditionalFormatting>
  <conditionalFormatting sqref="T22:T29">
    <cfRule type="expression" dxfId="1440" priority="25">
      <formula>ABS(T$25-T$28)&gt;=1000</formula>
    </cfRule>
  </conditionalFormatting>
  <conditionalFormatting sqref="U22:U29">
    <cfRule type="expression" dxfId="1439" priority="24">
      <formula>ABS(U$25-U$28)&gt;=1000</formula>
    </cfRule>
  </conditionalFormatting>
  <conditionalFormatting sqref="V22:V29">
    <cfRule type="expression" dxfId="1438" priority="23">
      <formula>ABS(V$25-V$28)&gt;=1000</formula>
    </cfRule>
  </conditionalFormatting>
  <conditionalFormatting sqref="W22:W29">
    <cfRule type="expression" dxfId="1437" priority="22">
      <formula>ABS(W$25-W$28)&gt;=1000</formula>
    </cfRule>
  </conditionalFormatting>
  <conditionalFormatting sqref="X22:X29">
    <cfRule type="expression" dxfId="1436" priority="21">
      <formula>ABS(X$25-X$28)&gt;=1000</formula>
    </cfRule>
  </conditionalFormatting>
  <conditionalFormatting sqref="Y22:Y29">
    <cfRule type="expression" dxfId="1435" priority="20">
      <formula>ABS(Y$25-Y$28)&gt;=1000</formula>
    </cfRule>
  </conditionalFormatting>
  <conditionalFormatting sqref="I23">
    <cfRule type="expression" dxfId="1434" priority="19">
      <formula>ABS(I$25-I$28)&gt;=1000</formula>
    </cfRule>
  </conditionalFormatting>
  <conditionalFormatting sqref="F14">
    <cfRule type="expression" dxfId="1433" priority="18">
      <formula>ABS(F$16-F$19)&gt;=1000</formula>
    </cfRule>
  </conditionalFormatting>
  <conditionalFormatting sqref="Q14">
    <cfRule type="expression" dxfId="1432" priority="17">
      <formula>ABS(Q$16-Q$19)&gt;=1000</formula>
    </cfRule>
  </conditionalFormatting>
  <conditionalFormatting sqref="W14">
    <cfRule type="expression" dxfId="1431" priority="16">
      <formula>ABS(W$16-W$19)&gt;=1000</formula>
    </cfRule>
  </conditionalFormatting>
  <conditionalFormatting sqref="Y14">
    <cfRule type="expression" dxfId="1430" priority="15">
      <formula>ABS(Y$16-Y$19)&gt;=1000</formula>
    </cfRule>
  </conditionalFormatting>
  <conditionalFormatting sqref="X14">
    <cfRule type="expression" dxfId="1429" priority="14">
      <formula>ABS(X$16-X$19)&gt;=1000</formula>
    </cfRule>
  </conditionalFormatting>
  <conditionalFormatting sqref="T10:Y10">
    <cfRule type="expression" dxfId="1428" priority="13">
      <formula>ABS(T$7-T$10)&gt;=1000</formula>
    </cfRule>
  </conditionalFormatting>
  <conditionalFormatting sqref="W19">
    <cfRule type="expression" dxfId="1427" priority="12">
      <formula>ABS(W$16-W$19)&gt;=1000</formula>
    </cfRule>
  </conditionalFormatting>
  <conditionalFormatting sqref="AC5">
    <cfRule type="expression" dxfId="1426" priority="11">
      <formula>ABS(AC$7-AC$10)&gt;=1000</formula>
    </cfRule>
  </conditionalFormatting>
  <conditionalFormatting sqref="M14">
    <cfRule type="expression" dxfId="1425" priority="10">
      <formula>ABS(M$16-M$19)&gt;=1000</formula>
    </cfRule>
  </conditionalFormatting>
  <conditionalFormatting sqref="M16">
    <cfRule type="expression" dxfId="1424" priority="9">
      <formula>ABS(M$16-M$19)&gt;=1000</formula>
    </cfRule>
  </conditionalFormatting>
  <conditionalFormatting sqref="M19">
    <cfRule type="expression" dxfId="1423" priority="8">
      <formula>ABS(M$16-M$19)&gt;=1000</formula>
    </cfRule>
  </conditionalFormatting>
  <conditionalFormatting sqref="K13:K20">
    <cfRule type="expression" dxfId="1422" priority="7">
      <formula>ABS(K$16-K$19)&gt;=1000</formula>
    </cfRule>
  </conditionalFormatting>
  <conditionalFormatting sqref="E5">
    <cfRule type="expression" dxfId="1421" priority="6">
      <formula>ABS(E$7-E$10)&gt;=1000</formula>
    </cfRule>
  </conditionalFormatting>
  <conditionalFormatting sqref="AB14:AC14">
    <cfRule type="expression" dxfId="1420" priority="5">
      <formula>ABS(AB$16-AB$19)&gt;=1000</formula>
    </cfRule>
  </conditionalFormatting>
  <conditionalFormatting sqref="M5">
    <cfRule type="expression" dxfId="1419" priority="4">
      <formula>ABS(M$7-M$10)&gt;=1000</formula>
    </cfRule>
  </conditionalFormatting>
  <conditionalFormatting sqref="N5">
    <cfRule type="expression" dxfId="1418" priority="3">
      <formula>ABS(N$7-N$10)&gt;=1000</formula>
    </cfRule>
  </conditionalFormatting>
  <conditionalFormatting sqref="O5">
    <cfRule type="expression" dxfId="1417" priority="2">
      <formula>ABS(O$7-O$10)&gt;=1000</formula>
    </cfRule>
  </conditionalFormatting>
  <conditionalFormatting sqref="P5">
    <cfRule type="expression" dxfId="1416" priority="1">
      <formula>ABS(P$7-P$10)&gt;=1000</formula>
    </cfRule>
  </conditionalFormatting>
  <dataValidations count="1">
    <dataValidation operator="greaterThanOrEqual" allowBlank="1" showErrorMessage="1" sqref="D6" xr:uid="{00000000-0002-0000-0C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93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636">
    <pageSetUpPr fitToPage="1"/>
  </sheetPr>
  <dimension ref="A1:CU223"/>
  <sheetViews>
    <sheetView view="pageBreakPreview" zoomScale="80" zoomScaleNormal="100" zoomScaleSheetLayoutView="80" workbookViewId="0">
      <selection activeCell="S26" sqref="S26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45792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58" t="s" ph="1">
        <v>178</v>
      </c>
      <c r="D6" s="71">
        <v>4213</v>
      </c>
      <c r="E6" s="71">
        <v>4697</v>
      </c>
      <c r="F6" s="71">
        <v>4632</v>
      </c>
      <c r="G6" s="71">
        <v>8334</v>
      </c>
      <c r="H6" s="71">
        <v>1017</v>
      </c>
      <c r="I6" s="71">
        <v>0</v>
      </c>
      <c r="J6" s="71">
        <v>7.8</v>
      </c>
      <c r="K6" s="71">
        <v>7.4</v>
      </c>
      <c r="L6" s="71">
        <v>62.7</v>
      </c>
      <c r="M6" s="71">
        <v>1176</v>
      </c>
      <c r="N6" s="71">
        <v>5682</v>
      </c>
      <c r="O6" s="71">
        <v>0</v>
      </c>
      <c r="P6" s="71">
        <v>5176</v>
      </c>
      <c r="Q6" s="71">
        <v>7167</v>
      </c>
      <c r="R6" s="71">
        <v>2846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6914</v>
      </c>
      <c r="Y6" s="71">
        <v>4819</v>
      </c>
      <c r="Z6" s="71">
        <v>6668</v>
      </c>
      <c r="AA6" s="71">
        <v>2155</v>
      </c>
      <c r="AB6" s="71">
        <v>2631</v>
      </c>
      <c r="AC6" s="71">
        <v>6772</v>
      </c>
      <c r="AD6" s="71">
        <v>5407</v>
      </c>
      <c r="AE6" s="71">
        <v>3426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132254.97413337001</v>
      </c>
      <c r="E7" s="73" ph="1">
        <f>E6*51.53*LOOKUP(E8,密度!$A$2:$A$50,密度!$B$2:$B$50)</f>
        <v>188691.58523599998</v>
      </c>
      <c r="F7" s="73" ph="1">
        <f>F6*33.183*LOOKUP(F8,密度!$A$2:$A$50,密度!$C$2:$C$50)</f>
        <v>170441.98413839997</v>
      </c>
      <c r="G7" s="73" ph="1">
        <f xml:space="preserve"> (G6+2)*51.53*LOOKUP(G8,密度!$A$2:$A$50,密度!$B$2:$B$50)</f>
        <v>334880.36076800001</v>
      </c>
      <c r="H7" s="73" ph="1">
        <f>(H6)*51.53*LOOKUP(H8,密度!$A$2:$A$50,密度!$B$2:$B$50)</f>
        <v>41091.552441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2394.2261920000001</v>
      </c>
      <c r="L7" s="73" ph="1">
        <f>L6*290.8*0.777</f>
        <v>14167.16532</v>
      </c>
      <c r="M7" s="73" ph="1">
        <f>M6*33.183*LOOKUP(M8,密度!$A$2:$A$50,密度!$D$2:$D$50)</f>
        <v>39916.839463199998</v>
      </c>
      <c r="N7" s="73" ph="1">
        <f>N6*33.183*LOOKUP(N8,密度!$A$2:$A$50,密度!$E$2:$E$50)</f>
        <v>147028.01951880002</v>
      </c>
      <c r="O7" s="73" ph="1">
        <f>O6*20.428*LOOKUP(O8,密度!$A$2:$A$50,密度!$C$2:$C$50)</f>
        <v>0</v>
      </c>
      <c r="P7" s="73" ph="1">
        <f>P6*51.53*LOOKUP(P8,密度!$A$2:$A$50,密度!$B$2:$B$50)</f>
        <v>207694.30333600001</v>
      </c>
      <c r="Q7" s="73" ph="1">
        <f>Q6*1.5*1.5*3.1416*LOOKUP(W8,密度!$A$2:$A$50,密度!$L$2:$L$50)</f>
        <v>47469.034859400002</v>
      </c>
      <c r="R7" s="73" ph="1">
        <f>R6*1.5*1.5*3.1416*LOOKUP(R8,密度!$A$2:$A$50,密度!$L$2:$L$50)</f>
        <v>18749.2635792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46282.0684788</v>
      </c>
      <c r="Y7" s="73" ph="1">
        <f>Y6*1.5*1.5*3.1416*LOOKUP(Y8,密度!$A$2:$A$50,密度!$L$2:$L$50)</f>
        <v>31951.641229199995</v>
      </c>
      <c r="Z7" s="73" ph="1">
        <f>Z6*33.183*LOOKUP(Z8,密度!$A$2:$A$50,密度!$L$2:$L$50)</f>
        <v>206660.80389600003</v>
      </c>
      <c r="AA7" s="73" ph="1">
        <f>AA6*33.183*LOOKUP(AA8,密度!$A$2:$A$50,密度!$D$2:$D$50)</f>
        <v>73418.665045500005</v>
      </c>
      <c r="AB7" s="73" ph="1">
        <f>AB6*20.428*LOOKUP(AB8,密度!$A$2:$A$50,密度!$D$2:$D$50)</f>
        <v>55568.059705200001</v>
      </c>
      <c r="AC7" s="73" ph="1">
        <f>AC6*51.53*LOOKUP(AC8,密度!$A$2:$A$50,密度!$Q$2:$Q$50)</f>
        <v>330884.97191200004</v>
      </c>
      <c r="AD7" s="73" ph="1">
        <f>AD6*20.428*LOOKUP(AD8,密度!$A$2:$A$50,密度!$V$2:$V$50)</f>
        <v>106124.39151680001</v>
      </c>
      <c r="AE7" s="73" ph="1">
        <f>AE6*20.428</f>
        <v>69986.328000000009</v>
      </c>
    </row>
    <row r="8" spans="1:99" ph="1">
      <c r="B8" s="196" ph="1"/>
      <c r="C8" s="68" t="s" ph="1">
        <v>180</v>
      </c>
      <c r="D8" s="74">
        <v>26</v>
      </c>
      <c r="E8" s="74">
        <v>25</v>
      </c>
      <c r="F8" s="74">
        <v>25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27</v>
      </c>
      <c r="P8" s="74">
        <v>26</v>
      </c>
      <c r="Q8" s="74">
        <v>25</v>
      </c>
      <c r="R8" s="74">
        <v>30</v>
      </c>
      <c r="S8" s="74">
        <v>21</v>
      </c>
      <c r="T8" s="74">
        <v>20</v>
      </c>
      <c r="U8" s="74">
        <v>25</v>
      </c>
      <c r="V8" s="74">
        <v>28</v>
      </c>
      <c r="W8" s="74">
        <v>25</v>
      </c>
      <c r="X8" s="74">
        <v>15</v>
      </c>
      <c r="Y8" s="74">
        <v>24</v>
      </c>
      <c r="Z8" s="74">
        <v>28</v>
      </c>
      <c r="AA8" s="74">
        <v>25</v>
      </c>
      <c r="AB8" s="74">
        <v>17</v>
      </c>
      <c r="AC8" s="74">
        <v>23</v>
      </c>
      <c r="AD8" s="74">
        <v>24</v>
      </c>
      <c r="AE8" s="74">
        <v>17</v>
      </c>
    </row>
    <row r="9" spans="1:99" ph="1">
      <c r="B9" s="196" ph="1">
        <v>0.66666666666666663</v>
      </c>
      <c r="C9" s="158" t="s" ph="1">
        <v>181</v>
      </c>
      <c r="D9" s="71">
        <v>4216</v>
      </c>
      <c r="E9" s="71">
        <v>4689</v>
      </c>
      <c r="F9" s="71">
        <v>4635</v>
      </c>
      <c r="G9" s="71">
        <v>8344</v>
      </c>
      <c r="H9" s="71">
        <v>1012</v>
      </c>
      <c r="I9" s="71">
        <v>0</v>
      </c>
      <c r="J9" s="71">
        <v>7.84</v>
      </c>
      <c r="K9" s="71">
        <v>7.42</v>
      </c>
      <c r="L9" s="71">
        <v>20.13</v>
      </c>
      <c r="M9" s="71">
        <v>1176</v>
      </c>
      <c r="N9" s="71">
        <v>5689</v>
      </c>
      <c r="O9" s="71">
        <v>0</v>
      </c>
      <c r="P9" s="71">
        <v>4891</v>
      </c>
      <c r="Q9" s="71">
        <v>7178</v>
      </c>
      <c r="R9" s="71">
        <v>7130</v>
      </c>
      <c r="S9" s="71">
        <v>757</v>
      </c>
      <c r="T9" s="71">
        <v>0</v>
      </c>
      <c r="U9" s="71">
        <v>0</v>
      </c>
      <c r="V9" s="71">
        <v>0</v>
      </c>
      <c r="W9" s="71">
        <v>0</v>
      </c>
      <c r="X9" s="71">
        <v>1925</v>
      </c>
      <c r="Y9" s="71">
        <v>4826</v>
      </c>
      <c r="Z9" s="71">
        <v>4388</v>
      </c>
      <c r="AA9" s="71">
        <v>2161</v>
      </c>
      <c r="AB9" s="71">
        <v>2634</v>
      </c>
      <c r="AC9" s="71">
        <v>6934</v>
      </c>
      <c r="AD9" s="71">
        <v>5416</v>
      </c>
      <c r="AE9" s="71">
        <v>3292</v>
      </c>
    </row>
    <row r="10" spans="1:99" s="72" customFormat="1" ht="21.75" ph="1">
      <c r="B10" s="196" ph="1"/>
      <c r="C10" s="158" t="s" ph="1">
        <v>179</v>
      </c>
      <c r="D10" s="73" ph="1">
        <f>D9*33.183*LOOKUP(D11,密度!$A$2:$A$50,密度!$Q$2:$Q$50)</f>
        <v>132249.82180896</v>
      </c>
      <c r="E10" s="73" ph="1">
        <f>E9*51.53*LOOKUP(E11,密度!$A$2:$A$50,密度!$B$2:$B$50)</f>
        <v>187331.21900100002</v>
      </c>
      <c r="F10" s="73" ph="1">
        <f>F9*33.183*LOOKUP(F11,密度!$A$2:$A$50,密度!$C$2:$C$50)</f>
        <v>170552.37402449999</v>
      </c>
      <c r="G10" s="73" ph="1">
        <f xml:space="preserve"> (G9+2)*51.53*LOOKUP(G11,密度!$A$2:$A$50,密度!$B$2:$B$50)</f>
        <v>334895.02620600001</v>
      </c>
      <c r="H10" s="73" ph="1">
        <f>(H9)*51.53*LOOKUP(H11,密度!$A$2:$A$50,密度!$B$2:$B$50)</f>
        <v>40607.927931999999</v>
      </c>
      <c r="I10" s="73" ph="1">
        <f>I9*290.8*1.0267</f>
        <v>0</v>
      </c>
      <c r="J10" s="73" ph="1">
        <f>J9*290.8*0.7892</f>
        <v>1799.2749824</v>
      </c>
      <c r="K10" s="73" ph="1">
        <f>K9*290.8*1.1126</f>
        <v>2400.6970735999998</v>
      </c>
      <c r="L10" s="73" ph="1">
        <f>L9*290.8*0.777</f>
        <v>4548.4057080000002</v>
      </c>
      <c r="M10" s="73" ph="1">
        <f>M9*33.183*LOOKUP(M11,密度!$A$2:$A$50,密度!$D$2:$D$50)</f>
        <v>39639.7746864</v>
      </c>
      <c r="N10" s="73" ph="1">
        <f>N9*33.183*LOOKUP(N11,密度!$A$2:$A$50,密度!$E$2:$E$50)</f>
        <v>146793.8404512</v>
      </c>
      <c r="O10" s="73" ph="1">
        <f>O9*20.428*LOOKUP(O11,密度!$A$2:$A$50,密度!$C$2:$C$50)</f>
        <v>0</v>
      </c>
      <c r="P10" s="73" ph="1">
        <f>P9*51.53*LOOKUP(P11,密度!$A$2:$A$50,密度!$B$2:$B$50)</f>
        <v>195829.81971000001</v>
      </c>
      <c r="Q10" s="73" ph="1">
        <f>Q9*1.5*1.5*3.1416*LOOKUP(W11,密度!$A$2:$A$50,密度!$L$2:$L$50)</f>
        <v>47440.414098000001</v>
      </c>
      <c r="R10" s="73" ph="1">
        <f>R9*1.5*1.5*3.1416*LOOKUP(R11,密度!$A$2:$A$50,密度!$L$2:$L$50)</f>
        <v>46719.982386000003</v>
      </c>
      <c r="S10" s="73" ph="1">
        <f>S9*1.5*1.5*3.1416*LOOKUP(S11,密度!$A$2:$A$50,密度!$L$2:$L$50)</f>
        <v>5024.5234578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12817.845809999999</v>
      </c>
      <c r="Y10" s="73" ph="1">
        <f>Y9*1.5*1.5*3.1416*LOOKUP(Y11,密度!$A$2:$A$50,密度!$L$2:$L$50)</f>
        <v>31929.827529600003</v>
      </c>
      <c r="Z10" s="73" ph="1">
        <f>Z9*33.183*LOOKUP(Z11,密度!$A$2:$A$50,密度!$L$2:$L$50)</f>
        <v>135705.727728</v>
      </c>
      <c r="AA10" s="73" ph="1">
        <f>AA9*33.183*LOOKUP(AA11,密度!$A$2:$A$50,密度!$D$2:$D$50)</f>
        <v>72970.53194880001</v>
      </c>
      <c r="AB10" s="73" ph="1">
        <f>AB9*20.428*LOOKUP(AB11,密度!$A$2:$A$50,密度!$D$2:$D$50)</f>
        <v>55448.476235999995</v>
      </c>
      <c r="AC10" s="73" ph="1">
        <f>AC9*51.53*LOOKUP(AC11,密度!$A$2:$A$50,密度!$Q$2:$Q$50)</f>
        <v>338278.74159480003</v>
      </c>
      <c r="AD10" s="73" ph="1">
        <f>AD9*20.428*LOOKUP(AD11,密度!$A$2:$A$50,密度!$V$2:$V$50)</f>
        <v>105946.99476480001</v>
      </c>
      <c r="AE10" s="73" ph="1">
        <f>AE9*20.428</f>
        <v>67248.97600000001</v>
      </c>
    </row>
    <row r="11" spans="1:99" ph="1">
      <c r="A11" s="64" t="s" ph="1">
        <v>163</v>
      </c>
      <c r="B11" s="196" ph="1"/>
      <c r="C11" s="158" t="s" ph="1">
        <v>180</v>
      </c>
      <c r="D11" s="74">
        <v>27</v>
      </c>
      <c r="E11" s="74">
        <v>30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30</v>
      </c>
      <c r="O11" s="74">
        <v>39</v>
      </c>
      <c r="P11" s="74">
        <v>28</v>
      </c>
      <c r="Q11" s="74">
        <v>27</v>
      </c>
      <c r="R11" s="74">
        <v>35</v>
      </c>
      <c r="S11" s="74">
        <v>23</v>
      </c>
      <c r="T11" s="74">
        <v>30</v>
      </c>
      <c r="U11" s="74">
        <v>30</v>
      </c>
      <c r="V11" s="74">
        <v>28</v>
      </c>
      <c r="W11" s="74">
        <v>27</v>
      </c>
      <c r="X11" s="74">
        <v>20</v>
      </c>
      <c r="Y11" s="74">
        <v>26</v>
      </c>
      <c r="Z11" s="74">
        <v>30</v>
      </c>
      <c r="AA11" s="74">
        <v>35</v>
      </c>
      <c r="AB11" s="74">
        <v>21</v>
      </c>
      <c r="AC11" s="74">
        <v>25</v>
      </c>
      <c r="AD11" s="74">
        <v>29</v>
      </c>
      <c r="AE11" s="74">
        <v>28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5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58" t="s" ph="1">
        <v>178</v>
      </c>
      <c r="D15" s="78">
        <v>4407</v>
      </c>
      <c r="E15" s="78">
        <v>1154</v>
      </c>
      <c r="F15" s="78">
        <v>1714</v>
      </c>
      <c r="G15" s="78">
        <v>3566</v>
      </c>
      <c r="H15" s="78">
        <v>0</v>
      </c>
      <c r="I15" s="78">
        <v>117</v>
      </c>
      <c r="J15" s="78">
        <v>882</v>
      </c>
      <c r="K15" s="78">
        <v>711</v>
      </c>
      <c r="L15" s="78">
        <v>2530</v>
      </c>
      <c r="M15" s="78">
        <v>6356</v>
      </c>
      <c r="N15" s="78">
        <v>5</v>
      </c>
      <c r="O15" s="78">
        <v>0</v>
      </c>
      <c r="P15" s="78">
        <v>2765</v>
      </c>
      <c r="Q15" s="78">
        <v>32</v>
      </c>
      <c r="R15" s="78">
        <v>3510</v>
      </c>
      <c r="S15" s="78">
        <v>0</v>
      </c>
      <c r="T15" s="78">
        <v>621</v>
      </c>
      <c r="U15" s="78">
        <v>6042</v>
      </c>
      <c r="V15" s="78">
        <v>0</v>
      </c>
      <c r="W15" s="71">
        <v>3976</v>
      </c>
      <c r="X15" s="78">
        <v>149</v>
      </c>
      <c r="Y15" s="106">
        <v>-2365</v>
      </c>
      <c r="Z15" s="78">
        <v>0</v>
      </c>
      <c r="AA15" s="78">
        <v>4228</v>
      </c>
      <c r="AB15" s="78" ph="1">
        <v>4124</v>
      </c>
      <c r="AC15" s="78" ph="1">
        <v>987</v>
      </c>
      <c r="AD15" s="78">
        <v>20.2</v>
      </c>
      <c r="AE15" s="78">
        <v>85.1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58" t="s" ph="1">
        <v>179</v>
      </c>
      <c r="D16" s="73" ph="1">
        <f>D15*7.0686*LOOKUP(D17,密度!$A$2:$A$50,密度!$L$2:$L$50)</f>
        <v>29188.787027400002</v>
      </c>
      <c r="E16" s="73" ph="1">
        <f>E15*7.0686*LOOKUP(E17,密度!$A$2:$A$50,密度!$L$2:$L$50)</f>
        <v>7643.2630428000002</v>
      </c>
      <c r="F16" s="73" ph="1">
        <f>F15*9.0746*LOOKUP(F17,密度!$A$2:$A$50,密度!$L$2:$L$50)</f>
        <v>14496.2016208</v>
      </c>
      <c r="G16" s="73" ph="1">
        <f>G15*9.0746*LOOKUP(G17,密度!$A$2:$A$50,密度!$B$2:$B$50)</f>
        <v>25172.862358440001</v>
      </c>
      <c r="H16" s="73" ph="1">
        <f>H15*9.0746*LOOKUP(H17,密度!$A$2:$A$50,密度!$L$2:$L$50)</f>
        <v>0</v>
      </c>
      <c r="I16" s="73" ph="1">
        <f>I15*9.0746*LOOKUP(I17,密度!$A$2:$A$50,密度!$U$2:$U$50)</f>
        <v>1091.4565896000001</v>
      </c>
      <c r="J16" s="73" ph="1">
        <f>J15*9.0746*LOOKUP(J17,密度!$A$2:$A$50,密度!$L$2:$L$50)</f>
        <v>7483.5503820000004</v>
      </c>
      <c r="K16" s="73" ph="1">
        <f>K15*9.0746*LOOKUP(K17,密度!$A$2:$A$50,密度!$C$2:$C$50)</f>
        <v>7144.9897604400003</v>
      </c>
      <c r="L16" s="73" ph="1">
        <f>L15*9.0746*LOOKUP(L17,密度!$A$2:$A$50,密度!$E$2:$E$50)</f>
        <v>17877.969280599998</v>
      </c>
      <c r="M16" s="73" ph="1">
        <f>M15*9.0746*LOOKUP(M17,密度!$A$2:$A$50,密度!$M$2:$M$50)</f>
        <v>50237.675269599997</v>
      </c>
      <c r="N16" s="73" ph="1">
        <f>N15*9.0746*LOOKUP(N17,密度!$A$2:$A$50,密度!$M$2:$M$50)</f>
        <v>39.705912300000001</v>
      </c>
      <c r="O16" s="73" ph="1">
        <f>O15*9.0746*LOOKUP(O17,密度!$A$2:$A$50,密度!$G$2:$G$50)</f>
        <v>0</v>
      </c>
      <c r="P16" s="73" ph="1">
        <f ca="1">P15*9.0746*LOOKUP(P17,密度!$A$2:$A$51,密度!$Q$2:$Q$50)</f>
        <v>23701.714522779999</v>
      </c>
      <c r="Q16" s="73" ph="1">
        <f>Q15*9.0746*LOOKUP(Q17,密度!$A$2:$A$50,密度!$Q$2:$Q$50)</f>
        <v>274.92117772800003</v>
      </c>
      <c r="R16" s="73" ph="1">
        <f>MAX(R15*9.0746*LOOKUP(R17,密度!$A$2:$A$50,密度!$B$2:$B$50),0)</f>
        <v>24723.402865200002</v>
      </c>
      <c r="S16" s="73" ph="1">
        <f>S15*9.0746*LOOKUP(S17,密度!$A$2:$A$50,密度!$Q$2:$Q$50)</f>
        <v>0</v>
      </c>
      <c r="T16" s="73" ph="1">
        <f>T15*9.0746*LOOKUP(T17,密度!$A$2:$A$50,密度!$O$2:$O$50)</f>
        <v>5240.8537380000007</v>
      </c>
      <c r="U16" s="73" ph="1">
        <f>U15*9.0746*LOOKUP(U17,密度!$A$2:$A$50,密度!$H$2:$H$50)</f>
        <v>50151.84225804</v>
      </c>
      <c r="V16" s="73" ph="1">
        <f>MAX(5600*LOOKUP(V17,密度!$A$2:$A$50,密度!$Q$2:$Q$50)+V15*9.0476*LOOKUP(V17,密度!$A$2:$A$50,密度!$Q$2:$Q$50),0)</f>
        <v>5293.7920000000004</v>
      </c>
      <c r="W16" s="73" ph="1">
        <f>MAX(5600*LOOKUP(W17,密度!$A$2:$A$50,密度!$Q$2:$Q$50)+W15*9.0476*LOOKUP(W17,密度!$A$2:$A$50,密度!$Q$2:$Q$50),0)</f>
        <v>39329.548887327997</v>
      </c>
      <c r="X16" s="73" ph="1">
        <f>MAX(5600*LOOKUP(X17,密度!$A$2:$A$50,密度!$I$2:$I$50)+X15*9.0476*LOOKUP(X17,密度!$A$2:$A$50,密度!$I$2:$I$50),0)</f>
        <v>7241.9967085199996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29945.762568399998</v>
      </c>
      <c r="AB16" s="73" ph="1">
        <f>AB15*9.0746*LOOKUP(AB17,密度!$A$2:$A$50,密度!$L$2:$L$50)</f>
        <v>35028.536774400003</v>
      </c>
      <c r="AC16" s="73" ph="1">
        <f>AC15*9.0746*LOOKUP(AC17,密度!$A$2:$A$50,密度!$L$2:$L$50)</f>
        <v>8392.3624973999995</v>
      </c>
      <c r="AD16" s="73" ph="1">
        <f>AD15*268.68*LOOKUP(AD17,密度!$A$2:$A$50,密度!B2:B50)+IF(AD15&lt;=0,0,1566*LOOKUP(AD17,密度!$A$2:$A$50,密度!B2:B50))</f>
        <v>5452.0047455999993</v>
      </c>
      <c r="AE16" s="73" ph="1">
        <f>AE15*268.68*LOOKUP(AE17,密度!$A$2:$A$50,密度!B2:B50)+IF(AE15&lt;=0,0,1566*LOOKUP(AE17,密度!$A$2:$A$50,密度!B2:B50))</f>
        <v>19046.148772799996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30</v>
      </c>
      <c r="G17" s="74">
        <v>27</v>
      </c>
      <c r="H17" s="74">
        <v>22</v>
      </c>
      <c r="I17" s="74">
        <v>21</v>
      </c>
      <c r="J17" s="74">
        <v>27</v>
      </c>
      <c r="K17" s="74">
        <v>27</v>
      </c>
      <c r="L17" s="74">
        <v>29</v>
      </c>
      <c r="M17" s="74">
        <v>29</v>
      </c>
      <c r="N17" s="74">
        <v>25</v>
      </c>
      <c r="O17" s="74">
        <v>27</v>
      </c>
      <c r="P17" s="74">
        <v>28</v>
      </c>
      <c r="Q17" s="74">
        <v>25</v>
      </c>
      <c r="R17" s="74">
        <v>29</v>
      </c>
      <c r="S17" s="74">
        <v>25</v>
      </c>
      <c r="T17" s="74">
        <v>24</v>
      </c>
      <c r="U17" s="74">
        <v>25</v>
      </c>
      <c r="V17" s="74">
        <v>27</v>
      </c>
      <c r="W17" s="74">
        <v>26</v>
      </c>
      <c r="X17" s="74">
        <v>25</v>
      </c>
      <c r="Y17" s="108">
        <v>25</v>
      </c>
      <c r="Z17" s="74">
        <v>25</v>
      </c>
      <c r="AA17" s="74">
        <v>24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5411</v>
      </c>
      <c r="E18" s="71">
        <v>595</v>
      </c>
      <c r="F18" s="71">
        <v>1715</v>
      </c>
      <c r="G18" s="71">
        <v>3679</v>
      </c>
      <c r="H18" s="71">
        <v>0</v>
      </c>
      <c r="I18" s="71">
        <v>118</v>
      </c>
      <c r="J18" s="71">
        <v>1077</v>
      </c>
      <c r="K18" s="71">
        <v>711</v>
      </c>
      <c r="L18" s="71">
        <v>2540</v>
      </c>
      <c r="M18" s="71">
        <v>3393</v>
      </c>
      <c r="N18" s="71">
        <v>1055</v>
      </c>
      <c r="O18" s="71">
        <v>18</v>
      </c>
      <c r="P18" s="71">
        <v>1500</v>
      </c>
      <c r="Q18" s="71">
        <v>28</v>
      </c>
      <c r="R18" s="71">
        <v>3516</v>
      </c>
      <c r="S18" s="71">
        <v>0</v>
      </c>
      <c r="T18" s="71">
        <v>6647</v>
      </c>
      <c r="U18" s="71">
        <v>1774</v>
      </c>
      <c r="V18" s="71">
        <v>0</v>
      </c>
      <c r="W18" s="71">
        <v>3976</v>
      </c>
      <c r="X18" s="71">
        <v>148</v>
      </c>
      <c r="Y18" s="109">
        <v>-9908</v>
      </c>
      <c r="Z18" s="71">
        <v>0</v>
      </c>
      <c r="AA18" s="71">
        <v>4234</v>
      </c>
      <c r="AB18" s="71">
        <v>5039</v>
      </c>
      <c r="AC18" s="71">
        <v>0</v>
      </c>
      <c r="AD18" s="71">
        <v>57.07</v>
      </c>
      <c r="AE18" s="71">
        <v>84.07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58" t="s" ph="1">
        <v>179</v>
      </c>
      <c r="D19" s="73" ph="1">
        <f>D18*7.0686*LOOKUP(D20,密度!$A$2:$A$50,密度!$L$2:$L$50)</f>
        <v>35647.317367200005</v>
      </c>
      <c r="E19" s="73" ph="1">
        <f>E18*7.0686*LOOKUP(E20,密度!$A$2:$A$50,密度!$L$2:$L$50)</f>
        <v>3919.8214440000002</v>
      </c>
      <c r="F19" s="73" ph="1">
        <f>F18*9.0746*LOOKUP(F20,密度!$A$2:$A$50,密度!$L$2:$L$50)</f>
        <v>14504.659148000001</v>
      </c>
      <c r="G19" s="73" ph="1">
        <f>G18*9.0746*LOOKUP(G20,密度!$A$2:$A$50,密度!$B$2:$B$50)</f>
        <v>25970.54419986</v>
      </c>
      <c r="H19" s="73" ph="1">
        <f>H18*9.0746*LOOKUP(H20,密度!$A$2:$A$50,密度!$L$2:$L$50)</f>
        <v>0</v>
      </c>
      <c r="I19" s="73" ph="1">
        <f>I18*9.0746*LOOKUP(I20,密度!$A$2:$A$50,密度!$U$2:$U$50)</f>
        <v>1092.218856</v>
      </c>
      <c r="J19" s="73" ph="1">
        <f>J18*9.0746*LOOKUP(J20,密度!$A$2:$A$50,密度!$L$2:$L$50)</f>
        <v>9098.9834501999994</v>
      </c>
      <c r="K19" s="73" ph="1">
        <f>K18*9.0746*LOOKUP(K20,密度!$A$2:$A$50,密度!$C$2:$C$50)</f>
        <v>7130.1500670599999</v>
      </c>
      <c r="L19" s="73" ph="1">
        <f>L18*9.0746*LOOKUP(L20,密度!$A$2:$A$50,密度!$E$2:$E$50)</f>
        <v>17948.633190799999</v>
      </c>
      <c r="M19" s="73" ph="1">
        <f>M18*9.0746*LOOKUP(M20,密度!$A$2:$A$50,密度!$M$2:$M$50)</f>
        <v>26818.192603799998</v>
      </c>
      <c r="N19" s="73" ph="1">
        <f>N18*9.0746*LOOKUP(N20,密度!$A$2:$A$50,密度!$M$2:$M$50)</f>
        <v>8348.2690160000002</v>
      </c>
      <c r="O19" s="73" ph="1">
        <f>O18*9.0746*LOOKUP(O20,密度!$A$2:$A$50,密度!$G$2:$G$50)</f>
        <v>155.94337116</v>
      </c>
      <c r="P19" s="73" ph="1">
        <f ca="1">P18*9.0746*LOOKUP(P20,密度!$A$2:$A$51,密度!$Q$2:$Q$50)</f>
        <v>12840.513627</v>
      </c>
      <c r="Q19" s="73" ph="1">
        <f>Q18*9.0746*LOOKUP(Q20,密度!$A$2:$A$50,密度!$Q$2:$Q$50)</f>
        <v>239.68958770399999</v>
      </c>
      <c r="R19" s="73" ph="1">
        <f>MAX(R18*9.0746*LOOKUP(R20,密度!$A$2:$A$50,密度!$B$2:$B$50),0)</f>
        <v>24736.949428079999</v>
      </c>
      <c r="S19" s="73" ph="1">
        <f>S18*9.0746*LOOKUP(S20,密度!$A$2:$A$50,密度!$Q$2:$Q$50)</f>
        <v>0</v>
      </c>
      <c r="T19" s="73" ph="1">
        <f>T18*9.0746*LOOKUP(T20,密度!$A$2:$A$50,密度!$O$2:$O$50)</f>
        <v>55855.270101200003</v>
      </c>
      <c r="U19" s="73" ph="1">
        <f>U18*9.0746*LOOKUP(U20,密度!$A$2:$A$50,密度!$H$2:$H$50)</f>
        <v>14681.686444800001</v>
      </c>
      <c r="V19" s="73" ph="1">
        <f>MAX(5600*LOOKUP(V20,密度!$A$2:$A$50,密度!$Q$2:$Q$50)+V18*9.0476*LOOKUP(V20,密度!$A$2:$A$50,密度!$Q$2:$Q$50),0)</f>
        <v>5282.6480000000001</v>
      </c>
      <c r="W19" s="73" ph="1">
        <f>MAX(5600*LOOKUP(W20,密度!$A$2:$A$50,密度!$Q$2:$Q$50)+W18*9.0476*LOOKUP(W20,密度!$A$2:$A$50,密度!$Q$2:$Q$50),0)</f>
        <v>39217.301091807996</v>
      </c>
      <c r="X19" s="73" ph="1">
        <f>MAX(5600*LOOKUP(X20,密度!$A$2:$A$50,密度!$I$2:$I$50)+X18*9.0476*LOOKUP(X20,密度!$A$2:$A$50,密度!$I$2:$I$50),0)</f>
        <v>7208.9736427199987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29919.099578680001</v>
      </c>
      <c r="AB19" s="73" ph="1">
        <f>AB18*9.0746*LOOKUP(AB20,密度!$A$2:$A$50,密度!$L$2:$L$50)</f>
        <v>42663.206470200006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13130.964025199999</v>
      </c>
      <c r="AE19" s="73" ph="1">
        <f>AE18*268.68*LOOKUP(AE20,密度!$A$2:$A$50,密度!B5:B53)+IF(AE18&lt;=0,0,1566*LOOKUP(AE20,密度!$A$2:$A$50,密度!B5:B53))</f>
        <v>18767.601745199998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30</v>
      </c>
      <c r="E20" s="81">
        <v>30</v>
      </c>
      <c r="F20" s="81">
        <v>30</v>
      </c>
      <c r="G20" s="81">
        <v>27</v>
      </c>
      <c r="H20" s="81">
        <v>28</v>
      </c>
      <c r="I20" s="81">
        <v>30</v>
      </c>
      <c r="J20" s="81">
        <v>31</v>
      </c>
      <c r="K20" s="81">
        <v>30</v>
      </c>
      <c r="L20" s="81">
        <v>29</v>
      </c>
      <c r="M20" s="81">
        <v>29</v>
      </c>
      <c r="N20" s="81">
        <v>28</v>
      </c>
      <c r="O20" s="81">
        <v>30</v>
      </c>
      <c r="P20" s="81">
        <v>30</v>
      </c>
      <c r="Q20" s="81">
        <v>30</v>
      </c>
      <c r="R20" s="81">
        <v>30</v>
      </c>
      <c r="S20" s="81">
        <v>30</v>
      </c>
      <c r="T20" s="81">
        <v>27</v>
      </c>
      <c r="U20" s="81">
        <v>28</v>
      </c>
      <c r="V20" s="81">
        <v>30</v>
      </c>
      <c r="W20" s="81">
        <v>30</v>
      </c>
      <c r="X20" s="81">
        <v>28</v>
      </c>
      <c r="Y20" s="110">
        <v>28</v>
      </c>
      <c r="Z20" s="81">
        <v>31</v>
      </c>
      <c r="AA20" s="81">
        <v>26</v>
      </c>
      <c r="AB20" s="81">
        <v>29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58" t="s" ph="1">
        <v>178</v>
      </c>
      <c r="D24" s="71">
        <v>91.1</v>
      </c>
      <c r="E24" s="71">
        <v>95.6</v>
      </c>
      <c r="F24" s="71">
        <v>3999</v>
      </c>
      <c r="G24" s="71">
        <v>2793</v>
      </c>
      <c r="H24" s="71">
        <v>1907</v>
      </c>
      <c r="I24" s="71">
        <v>2259</v>
      </c>
      <c r="J24" s="71">
        <v>3184</v>
      </c>
      <c r="K24" s="71">
        <v>0</v>
      </c>
      <c r="L24" s="71">
        <v>0</v>
      </c>
      <c r="M24" s="71">
        <v>5253</v>
      </c>
      <c r="N24" s="71">
        <v>5316</v>
      </c>
      <c r="O24" s="71">
        <v>4</v>
      </c>
      <c r="P24" s="71">
        <v>2453</v>
      </c>
      <c r="Q24" s="90">
        <v>787</v>
      </c>
      <c r="R24" s="71">
        <v>2911</v>
      </c>
      <c r="S24" s="71">
        <v>1584</v>
      </c>
      <c r="T24" s="71">
        <v>1759</v>
      </c>
      <c r="U24" s="71">
        <v>4795</v>
      </c>
      <c r="V24" s="71">
        <v>9644</v>
      </c>
      <c r="W24" s="71">
        <v>10904</v>
      </c>
      <c r="X24" s="71">
        <v>3185</v>
      </c>
      <c r="Y24" s="71">
        <v>3860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24655.711241520003</v>
      </c>
      <c r="E25" s="91" ph="1">
        <f>E24*268.68*LOOKUP(E26,密度!$A$2:$A$50,密度!$C$2:$C$50)+IF(E24&lt;=0,0,1566*LOOKUP(E26,密度!$A$2:$A$50,密度!$C$2:$C$50))</f>
        <v>30219.529891200003</v>
      </c>
      <c r="F25" s="91" ph="1">
        <f>F24*11.702*LOOKUP(F26,密度!$A$2:$A$50,密度!$Q$2:$Q$50)</f>
        <v>44303.92716852</v>
      </c>
      <c r="G25" s="91" ph="1">
        <f>G24*18.322*LOOKUP(G26,密度!$A$2:$A$50,密度!$B$2:$B$50)</f>
        <v>40032.9085758</v>
      </c>
      <c r="H25" s="91" ph="1">
        <f>H24*18.322*LOOKUP(H26,密度!$A$2:$A$50,密度!$B$2:$B$50)</f>
        <v>27333.604244199996</v>
      </c>
      <c r="I25" s="91" ph="1">
        <f>I24*18.322*LOOKUP(I26,密度!$A$2:$A$50,密度!$Q$2:$Q$50)</f>
        <v>39245.427183600004</v>
      </c>
      <c r="J25" s="91" ph="1">
        <f>J24*18.322*LOOKUP(J26,密度!$A$2:$A$50,密度!$Q$2:$Q$50)</f>
        <v>55367.298704319997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91259.950861200006</v>
      </c>
      <c r="N25" s="91" ph="1">
        <f>N24*18.322*LOOKUP(N26,密度!$A$2:$A$50,密度!$Q$2:$Q$50)</f>
        <v>92283.343027440002</v>
      </c>
      <c r="O25" s="91" ph="1">
        <f>O24*18.322*LOOKUP(O26,密度!$A$2:$A$50,密度!$C$2:$C$50)</f>
        <v>81.320364799999993</v>
      </c>
      <c r="P25" s="91" ph="1">
        <f>P24*11.702*LOOKUP(P26,密度!$A$2:$A$50,密度!$B$2:$B$50)</f>
        <v>22378.4226776</v>
      </c>
      <c r="Q25" s="92" ph="1">
        <f>Q24*18.322*LOOKUP(Q26,密度!$A$2:$A$50,密度!$B$2:$B$50)</f>
        <v>11241.375154399999</v>
      </c>
      <c r="R25" s="91" ph="1">
        <f>R24*35.891*LOOKUP(R26,密度!$A$2:$A$50,密度!$C$2:$C$50)</f>
        <v>115856.4315389</v>
      </c>
      <c r="S25" s="91" ph="1">
        <f>S24*35.891*LOOKUP(S26,密度!$A$2:$A$50,密度!$B$2:$B$50)</f>
        <v>44270.141572799992</v>
      </c>
      <c r="T25" s="91" ph="1">
        <f>T24*35.891*LOOKUP(T26,密度!$A$2:$A$50,密度!$Q$2:$Q$50)</f>
        <v>59769.844353060005</v>
      </c>
      <c r="U25" s="91" ph="1">
        <f>U24*35.891</f>
        <v>172097.345</v>
      </c>
      <c r="V25" s="91" ph="1">
        <f>V24*47.051*LOOKUP(V26,密度!$A$2:$A$50,密度!$B$2:$B$50)</f>
        <v>353342.7905228</v>
      </c>
      <c r="W25" s="91" ph="1">
        <f>W24*47.051*LOOKUP(W26,密度!$A$2:$A$50,密度!$B$2:$B$50)</f>
        <v>399969.18347839999</v>
      </c>
      <c r="X25" s="91" ph="1">
        <f>X24*47.051*LOOKUP(X26,密度!$A$2:$A$50,密度!$I$2:$I$50)</f>
        <v>155686.88922149999</v>
      </c>
      <c r="Y25" s="91" ph="1">
        <f>Y24*47.051*LOOKUP(Y26,密度!$A$2:$A$50,密度!$L$2:$L$50)</f>
        <v>169993.38096000001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22</v>
      </c>
      <c r="H26" s="74">
        <v>22</v>
      </c>
      <c r="I26" s="74">
        <v>23</v>
      </c>
      <c r="J26" s="74">
        <v>22</v>
      </c>
      <c r="K26" s="74">
        <v>25</v>
      </c>
      <c r="L26" s="74">
        <v>25</v>
      </c>
      <c r="M26" s="74">
        <v>23</v>
      </c>
      <c r="N26" s="74">
        <v>24</v>
      </c>
      <c r="O26" s="74">
        <v>24</v>
      </c>
      <c r="P26" s="74">
        <v>25</v>
      </c>
      <c r="Q26" s="93">
        <v>25</v>
      </c>
      <c r="R26" s="74">
        <v>25</v>
      </c>
      <c r="S26" s="74">
        <v>26</v>
      </c>
      <c r="T26" s="74">
        <v>25</v>
      </c>
      <c r="U26" s="74">
        <v>25</v>
      </c>
      <c r="V26" s="74">
        <v>26</v>
      </c>
      <c r="W26" s="74">
        <v>25</v>
      </c>
      <c r="X26" s="74">
        <v>28</v>
      </c>
      <c r="Y26" s="74">
        <v>26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58" t="s" ph="1">
        <v>181</v>
      </c>
      <c r="D27" s="71">
        <v>91.16</v>
      </c>
      <c r="E27" s="71">
        <v>95.68</v>
      </c>
      <c r="F27" s="71">
        <v>4003</v>
      </c>
      <c r="G27" s="71">
        <v>2280</v>
      </c>
      <c r="H27" s="71">
        <v>1792</v>
      </c>
      <c r="I27" s="71">
        <v>2748</v>
      </c>
      <c r="J27" s="71">
        <v>3185</v>
      </c>
      <c r="K27" s="71">
        <v>0</v>
      </c>
      <c r="L27" s="71">
        <v>0</v>
      </c>
      <c r="M27" s="71">
        <v>5255</v>
      </c>
      <c r="N27" s="71">
        <v>5321</v>
      </c>
      <c r="O27" s="71">
        <v>0</v>
      </c>
      <c r="P27" s="71">
        <v>1193</v>
      </c>
      <c r="Q27" s="90">
        <v>956</v>
      </c>
      <c r="R27" s="71">
        <v>2909</v>
      </c>
      <c r="S27" s="71">
        <v>1581</v>
      </c>
      <c r="T27" s="71">
        <v>1758</v>
      </c>
      <c r="U27" s="71">
        <v>4787</v>
      </c>
      <c r="V27" s="71">
        <v>9650</v>
      </c>
      <c r="W27" s="71">
        <v>10909</v>
      </c>
      <c r="X27" s="71">
        <v>3310</v>
      </c>
      <c r="Y27" s="71">
        <v>4614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58" t="s" ph="1">
        <v>179</v>
      </c>
      <c r="D28" s="91" ph="1">
        <f>D27*268.68*LOOKUP(D29,密度!$A$2:$A$50,密度!$Q$2:$Q$50)+IF(D27&lt;=0,0,1566*LOOKUP(D29,密度!$A$2:$A$50,密度!$Q$2:$Q$50))</f>
        <v>24670.973447712004</v>
      </c>
      <c r="E28" s="91" ph="1">
        <f>E27*268.68*LOOKUP(E29,密度!$A$2:$A$50,密度!$C$2:$C$50)+IF(E27&lt;=0,0,1566*LOOKUP(E29,密度!$A$2:$A$50,密度!$C$2:$C$50))</f>
        <v>30243.365031360005</v>
      </c>
      <c r="F28" s="91" ph="1">
        <f>F27*11.702*LOOKUP(F29,密度!$A$2:$A$50,密度!$Q$2:$Q$50)</f>
        <v>44281.724963920002</v>
      </c>
      <c r="G28" s="91" ph="1">
        <f>G27*18.322*LOOKUP(G29,密度!$A$2:$A$50,密度!$B$2:$B$50)</f>
        <v>32529.538391999995</v>
      </c>
      <c r="H28" s="91" ph="1">
        <f>H27*18.322*LOOKUP(H29,密度!$A$2:$A$50,密度!$B$2:$B$50)</f>
        <v>25596.625510399997</v>
      </c>
      <c r="I28" s="91" ph="1">
        <f>I27*18.322*LOOKUP(I29,密度!$A$2:$A$50,密度!$Q$2:$Q$50)</f>
        <v>47704.03059432</v>
      </c>
      <c r="J28" s="91" ph="1">
        <f>J27*18.322*LOOKUP(J29,密度!$A$2:$A$50,密度!$Q$2:$Q$50)</f>
        <v>55247.552341800001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91154.124821400008</v>
      </c>
      <c r="N28" s="91" ph="1">
        <f>N27*18.322*LOOKUP(N29,密度!$A$2:$A$50,密度!$Q$2:$Q$50)</f>
        <v>92298.97205987999</v>
      </c>
      <c r="O28" s="91" ph="1">
        <f>O27*18.322*LOOKUP(O29,密度!$A$2:$A$50,密度!$C$2:$C$50)</f>
        <v>0</v>
      </c>
      <c r="P28" s="91" ph="1">
        <f>P27*11.702*LOOKUP(P29,密度!$A$2:$A$50,密度!$B$2:$B$50)</f>
        <v>10896.159323</v>
      </c>
      <c r="Q28" s="92" ph="1">
        <f>Q27*18.322*LOOKUP(Q29,密度!$A$2:$A$50,密度!$B$2:$B$50)</f>
        <v>13671.106875999998</v>
      </c>
      <c r="R28" s="91" ph="1">
        <f>R27*35.891*LOOKUP(R29,密度!$A$2:$A$50,密度!$C$2:$C$50)</f>
        <v>115776.83247909999</v>
      </c>
      <c r="S28" s="91" ph="1">
        <f>S27*35.891*LOOKUP(S29,密度!$A$2:$A$50,密度!$B$2:$B$50)</f>
        <v>44288.435215499994</v>
      </c>
      <c r="T28" s="91" ph="1">
        <f>T27*35.891*LOOKUP(T29,密度!$A$2:$A$50,密度!$Q$2:$Q$50)</f>
        <v>59691.066479339999</v>
      </c>
      <c r="U28" s="91" ph="1">
        <f>U27*35.891</f>
        <v>171810.217</v>
      </c>
      <c r="V28" s="91" ph="1">
        <f>V27*47.051*LOOKUP(V29,密度!$A$2:$A$50,密度!$B$2:$B$50)</f>
        <v>353971.26014000003</v>
      </c>
      <c r="W28" s="91" ph="1">
        <f>W27*47.051*LOOKUP(W29,密度!$A$2:$A$50,密度!$B$2:$B$50)</f>
        <v>400152.5882764</v>
      </c>
      <c r="X28" s="91" ph="1">
        <f>X27*47.051*LOOKUP(X29,密度!$A$2:$A$50,密度!$I$2:$I$50)</f>
        <v>161797.04970899998</v>
      </c>
      <c r="Y28" s="91" ph="1">
        <f>Y27*47.051*LOOKUP(Y29,密度!$A$2:$A$50,密度!$L$2:$L$50)</f>
        <v>202982.24859000003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58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85</v>
      </c>
      <c r="AC32" s="158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128419.00818480001</v>
      </c>
      <c r="E33" s="218" ph="1">
        <f>M10+I10</f>
        <v>39639.7746864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22" ph="1">
        <v>0</v>
      </c>
      <c r="H33" s="218" ph="1">
        <f>N19</f>
        <v>8348.2690160000002</v>
      </c>
      <c r="I33" s="231" ph="1">
        <v>0</v>
      </c>
      <c r="J33" s="229" ph="1">
        <f>F10+O28</f>
        <v>170552.37402449999</v>
      </c>
      <c r="K33" s="218" ph="1">
        <f>O10+K10+E28+R28</f>
        <v>148420.89458406001</v>
      </c>
      <c r="L33" s="233" ph="1">
        <f>BE27</f>
        <v>7100</v>
      </c>
      <c r="M33" s="229" ph="1">
        <f>G10+H10+W28+S28+V28+E10</f>
        <v>1361246.4567708999</v>
      </c>
      <c r="N33" s="218" ph="1">
        <f>L10+P10++G28+H28</f>
        <v>258504.38932039999</v>
      </c>
      <c r="O33" s="231" ph="1">
        <f>BE17</f>
        <v>2270</v>
      </c>
      <c r="P33" s="229" ph="1">
        <f>L19</f>
        <v>17948.633190799999</v>
      </c>
      <c r="Q33" s="218" ph="1">
        <f>J10+N10</f>
        <v>148593.1154336</v>
      </c>
      <c r="R33" s="231" ph="1">
        <f>BE23</f>
        <v>890</v>
      </c>
      <c r="S33" s="229" ph="1">
        <f>E10+X28</f>
        <v>349128.26870999997</v>
      </c>
      <c r="T33" s="218" ph="1">
        <f>X19</f>
        <v>7208.9736427199987</v>
      </c>
      <c r="U33" s="239" ph="1">
        <f>BE21</f>
        <v>730</v>
      </c>
      <c r="V33" s="250" ph="1">
        <f ca="1">P19+Q19+S19+M28+N28+J28</f>
        <v>251780.85243778402</v>
      </c>
      <c r="W33" s="250" ph="1">
        <f>D28+F28+V19+T28</f>
        <v>133926.41289097202</v>
      </c>
      <c r="X33" s="231" ph="1">
        <f>BE29+BE31</f>
        <v>10200</v>
      </c>
      <c r="Y33" s="252" ph="1">
        <f>+Q10+R10+S10+T10+U10+V10+W10+X10+Y10</f>
        <v>143932.59328139998</v>
      </c>
      <c r="Z33" s="237" ph="1">
        <f>D10+T19+U19+Y28+Z10</f>
        <v>541474.75467296003</v>
      </c>
      <c r="AA33" s="239" ph="1">
        <f>BE19</f>
        <v>1440</v>
      </c>
      <c r="AB33" s="241" ph="1">
        <f>I19</f>
        <v>1092.218856</v>
      </c>
      <c r="AC33" s="243" ph="1">
        <f>AD10</f>
        <v>105946.99476480001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56" t="s" ph="1">
        <v>186</v>
      </c>
      <c r="AA36" s="156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345</v>
      </c>
      <c r="AI37" s="156" t="s" ph="1">
        <v>212</v>
      </c>
      <c r="AJ37" s="156" t="s" ph="1">
        <v>213</v>
      </c>
      <c r="AK37" s="156" t="s" ph="1">
        <v>214</v>
      </c>
      <c r="AM37" s="156" t="s" ph="1">
        <v>213</v>
      </c>
      <c r="AN37" s="156" t="s" ph="1">
        <v>214</v>
      </c>
      <c r="AO37" s="156" t="s" ph="1">
        <v>215</v>
      </c>
      <c r="AP37" s="156" t="s" ph="1">
        <v>213</v>
      </c>
      <c r="AQ37" s="156" t="s" ph="1">
        <v>214</v>
      </c>
      <c r="AR37" s="156" t="s" ph="1">
        <v>215</v>
      </c>
      <c r="AS37" s="156" t="s" ph="1">
        <v>213</v>
      </c>
      <c r="AT37" s="156" t="s" ph="1">
        <v>214</v>
      </c>
      <c r="AU37" s="156" t="s" ph="1">
        <v>215</v>
      </c>
      <c r="AV37" s="156" t="s" ph="1">
        <v>213</v>
      </c>
      <c r="AW37" s="156" t="s" ph="1">
        <v>214</v>
      </c>
      <c r="AX37" s="156" t="s" ph="1">
        <v>215</v>
      </c>
      <c r="AY37" s="156" t="s" ph="1">
        <v>214</v>
      </c>
      <c r="AZ37" s="156" t="s" ph="1">
        <v>216</v>
      </c>
      <c r="BD37" s="156" t="s" ph="1">
        <v>308</v>
      </c>
      <c r="BE37" s="15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85" priority="96">
      <formula>ABS(D$7-D$10)&gt;=1000</formula>
    </cfRule>
  </conditionalFormatting>
  <conditionalFormatting sqref="E4 E6:E11">
    <cfRule type="expression" dxfId="1384" priority="95">
      <formula>ABS(E$7-E$10)&gt;=1000</formula>
    </cfRule>
  </conditionalFormatting>
  <conditionalFormatting sqref="F4:F11">
    <cfRule type="expression" dxfId="1383" priority="94">
      <formula>ABS(F$7-F$10)&gt;=1000</formula>
    </cfRule>
  </conditionalFormatting>
  <conditionalFormatting sqref="G4:G11">
    <cfRule type="expression" dxfId="1382" priority="93">
      <formula>ABS(G$7-G$10)&gt;=1000</formula>
    </cfRule>
  </conditionalFormatting>
  <conditionalFormatting sqref="H4:H11">
    <cfRule type="expression" dxfId="1381" priority="92">
      <formula>ABS(H$7-H$10)&gt;=1000</formula>
    </cfRule>
  </conditionalFormatting>
  <conditionalFormatting sqref="I4:I11">
    <cfRule type="expression" dxfId="1380" priority="91">
      <formula>ABS(I$7-I$10)&gt;=1000</formula>
    </cfRule>
  </conditionalFormatting>
  <conditionalFormatting sqref="J4:J11">
    <cfRule type="expression" dxfId="1379" priority="90">
      <formula>ABS(J$7-J$10)&gt;=1000</formula>
    </cfRule>
  </conditionalFormatting>
  <conditionalFormatting sqref="K4:K11">
    <cfRule type="expression" dxfId="1378" priority="89">
      <formula>ABS(K$7-K$10)&gt;=1000</formula>
    </cfRule>
  </conditionalFormatting>
  <conditionalFormatting sqref="L4:L11">
    <cfRule type="expression" dxfId="1377" priority="88">
      <formula>ABS(L$7-L$10)&gt;=1000</formula>
    </cfRule>
  </conditionalFormatting>
  <conditionalFormatting sqref="M4 M6:M11">
    <cfRule type="expression" dxfId="1376" priority="87">
      <formula>ABS(M$7-M$10)&gt;=1000</formula>
    </cfRule>
  </conditionalFormatting>
  <conditionalFormatting sqref="N4 N6:N11">
    <cfRule type="expression" dxfId="1375" priority="86">
      <formula>ABS(N$7-N$10)&gt;=1000</formula>
    </cfRule>
  </conditionalFormatting>
  <conditionalFormatting sqref="O4 O6:O11">
    <cfRule type="expression" dxfId="1374" priority="85">
      <formula>ABS(O$7-O$10)&gt;=1000</formula>
    </cfRule>
  </conditionalFormatting>
  <conditionalFormatting sqref="P4 P6:P11">
    <cfRule type="expression" dxfId="1373" priority="84">
      <formula>ABS(P$7-P$10)&gt;=1000</formula>
    </cfRule>
  </conditionalFormatting>
  <conditionalFormatting sqref="Q4:Q11">
    <cfRule type="expression" dxfId="1372" priority="83">
      <formula>ABS(Q$7-Q$10)&gt;=1000</formula>
    </cfRule>
  </conditionalFormatting>
  <conditionalFormatting sqref="R4:R11">
    <cfRule type="expression" dxfId="1371" priority="82">
      <formula>ABS(R$7-R$10)&gt;=1000</formula>
    </cfRule>
  </conditionalFormatting>
  <conditionalFormatting sqref="S4:S11">
    <cfRule type="expression" dxfId="1370" priority="81">
      <formula>ABS(S$7-S$10)&gt;=1000</formula>
    </cfRule>
  </conditionalFormatting>
  <conditionalFormatting sqref="T4:T9 T11">
    <cfRule type="expression" dxfId="1369" priority="80">
      <formula>ABS(T$7-T$10)&gt;=1000</formula>
    </cfRule>
  </conditionalFormatting>
  <conditionalFormatting sqref="U4:U9 U11">
    <cfRule type="expression" dxfId="1368" priority="79">
      <formula>ABS(U$7-U$10)&gt;=1000</formula>
    </cfRule>
  </conditionalFormatting>
  <conditionalFormatting sqref="V4:V9 V11">
    <cfRule type="expression" dxfId="1367" priority="78">
      <formula>ABS(V$7-V$10)&gt;=1000</formula>
    </cfRule>
  </conditionalFormatting>
  <conditionalFormatting sqref="W4:W9 W11">
    <cfRule type="expression" dxfId="1366" priority="77">
      <formula>ABS(W$7-W$10)&gt;=1000</formula>
    </cfRule>
  </conditionalFormatting>
  <conditionalFormatting sqref="X4:X9 X11">
    <cfRule type="expression" dxfId="1365" priority="76">
      <formula>ABS(X$7-X$10)&gt;=1000</formula>
    </cfRule>
  </conditionalFormatting>
  <conditionalFormatting sqref="Y4:Y9 Y11">
    <cfRule type="expression" dxfId="1364" priority="75">
      <formula>ABS(Y$7-Y$10)&gt;=1000</formula>
    </cfRule>
  </conditionalFormatting>
  <conditionalFormatting sqref="Z4:Z11">
    <cfRule type="expression" dxfId="1363" priority="74">
      <formula>ABS(Z$7-Z$10)&gt;=1000</formula>
    </cfRule>
  </conditionalFormatting>
  <conditionalFormatting sqref="AA4:AA11">
    <cfRule type="expression" dxfId="1362" priority="73">
      <formula>ABS(AA$7-AA$10)&gt;=1000</formula>
    </cfRule>
  </conditionalFormatting>
  <conditionalFormatting sqref="AB4:AB11">
    <cfRule type="expression" dxfId="1361" priority="72">
      <formula>ABS(AB$7-AB$10)&gt;=1000</formula>
    </cfRule>
  </conditionalFormatting>
  <conditionalFormatting sqref="AC4 AC6:AC11">
    <cfRule type="expression" dxfId="1360" priority="71">
      <formula>ABS(AC$7-AC$10)&gt;=1000</formula>
    </cfRule>
  </conditionalFormatting>
  <conditionalFormatting sqref="AD4:AD11">
    <cfRule type="expression" dxfId="1359" priority="70">
      <formula>ABS(AD$7-AD$10)&gt;=1000</formula>
    </cfRule>
  </conditionalFormatting>
  <conditionalFormatting sqref="AE4:AE11">
    <cfRule type="expression" dxfId="1358" priority="69">
      <formula>ABS(AE$7-AE$10)&gt;=1000</formula>
    </cfRule>
  </conditionalFormatting>
  <conditionalFormatting sqref="D13:D20">
    <cfRule type="expression" dxfId="1357" priority="68">
      <formula>ABS(D$16-D$19)&gt;=1000</formula>
    </cfRule>
  </conditionalFormatting>
  <conditionalFormatting sqref="E13:E20">
    <cfRule type="expression" dxfId="1356" priority="67">
      <formula>ABS(E$16-E$19)&gt;=1000</formula>
    </cfRule>
  </conditionalFormatting>
  <conditionalFormatting sqref="F13 F15:F20">
    <cfRule type="expression" dxfId="1355" priority="66">
      <formula>ABS(F$16-F$19)&gt;=1000</formula>
    </cfRule>
  </conditionalFormatting>
  <conditionalFormatting sqref="G13:G20">
    <cfRule type="expression" dxfId="1354" priority="65">
      <formula>ABS(G$16-G$19)&gt;=1000</formula>
    </cfRule>
  </conditionalFormatting>
  <conditionalFormatting sqref="H13:H20">
    <cfRule type="expression" dxfId="1353" priority="64">
      <formula>ABS(H$16-H$19)&gt;=1000</formula>
    </cfRule>
  </conditionalFormatting>
  <conditionalFormatting sqref="I13:I20">
    <cfRule type="expression" dxfId="1352" priority="63">
      <formula>ABS(I$16-I$19)&gt;=1000</formula>
    </cfRule>
  </conditionalFormatting>
  <conditionalFormatting sqref="J13:J20">
    <cfRule type="expression" dxfId="1351" priority="62">
      <formula>ABS(J$16-J$19)&gt;=1000</formula>
    </cfRule>
  </conditionalFormatting>
  <conditionalFormatting sqref="L13:L20">
    <cfRule type="expression" dxfId="1350" priority="61">
      <formula>ABS(L$16-L$19)&gt;=1000</formula>
    </cfRule>
  </conditionalFormatting>
  <conditionalFormatting sqref="M13 M15 M17:M18 M20">
    <cfRule type="expression" dxfId="1349" priority="60">
      <formula>ABS(M$16-M$19)&gt;=1000</formula>
    </cfRule>
  </conditionalFormatting>
  <conditionalFormatting sqref="N13:N20">
    <cfRule type="expression" dxfId="1348" priority="59">
      <formula>ABS(N$16-N$19)&gt;=1000</formula>
    </cfRule>
  </conditionalFormatting>
  <conditionalFormatting sqref="O13:O20">
    <cfRule type="expression" dxfId="1347" priority="58">
      <formula>ABS(O$16-O$19)&gt;=1000</formula>
    </cfRule>
  </conditionalFormatting>
  <conditionalFormatting sqref="P13:P20">
    <cfRule type="expression" dxfId="1346" priority="57">
      <formula>ABS(P$16-P$19)&gt;=1000</formula>
    </cfRule>
  </conditionalFormatting>
  <conditionalFormatting sqref="Q13 Q15:Q20">
    <cfRule type="expression" dxfId="1345" priority="56">
      <formula>ABS(Q$16-Q$19)&gt;=1000</formula>
    </cfRule>
  </conditionalFormatting>
  <conditionalFormatting sqref="R13:R20">
    <cfRule type="expression" dxfId="1344" priority="55">
      <formula>ABS(R$16-R$19)&gt;=1000</formula>
    </cfRule>
  </conditionalFormatting>
  <conditionalFormatting sqref="S13:S20">
    <cfRule type="expression" dxfId="1343" priority="54">
      <formula>ABS(S$16-S$19)&gt;=1000</formula>
    </cfRule>
  </conditionalFormatting>
  <conditionalFormatting sqref="T13:T20">
    <cfRule type="expression" dxfId="1342" priority="53">
      <formula>ABS(T$16-T$19)&gt;=1000</formula>
    </cfRule>
  </conditionalFormatting>
  <conditionalFormatting sqref="U13:U20">
    <cfRule type="expression" dxfId="1341" priority="52">
      <formula>ABS(U$16-U$19)&gt;=1000</formula>
    </cfRule>
  </conditionalFormatting>
  <conditionalFormatting sqref="V13:V20">
    <cfRule type="expression" dxfId="1340" priority="51">
      <formula>ABS(V$16-V$19)&gt;=1000</formula>
    </cfRule>
  </conditionalFormatting>
  <conditionalFormatting sqref="W13 W20 W15:W18">
    <cfRule type="expression" dxfId="1339" priority="50">
      <formula>ABS(W$16-W$19)&gt;=1000</formula>
    </cfRule>
  </conditionalFormatting>
  <conditionalFormatting sqref="X13 X15:X20 Y19">
    <cfRule type="expression" dxfId="1338" priority="49">
      <formula>ABS(X$16-X$19)&gt;=1000</formula>
    </cfRule>
  </conditionalFormatting>
  <conditionalFormatting sqref="Y13 Y15:Y18 Y20">
    <cfRule type="expression" dxfId="1337" priority="48">
      <formula>ABS(Y$16-Y$19)&gt;=1000</formula>
    </cfRule>
  </conditionalFormatting>
  <conditionalFormatting sqref="Z13:Z20">
    <cfRule type="expression" dxfId="1336" priority="47">
      <formula>ABS(Z$16-Z$19)&gt;=1000</formula>
    </cfRule>
  </conditionalFormatting>
  <conditionalFormatting sqref="AA13:AA20">
    <cfRule type="expression" dxfId="1335" priority="46">
      <formula>ABS(AA$16-AA$19)&gt;=1000</formula>
    </cfRule>
  </conditionalFormatting>
  <conditionalFormatting sqref="AB13 AB15:AB20">
    <cfRule type="expression" dxfId="1334" priority="45">
      <formula>ABS(AB$16-AB$19)&gt;=1000</formula>
    </cfRule>
  </conditionalFormatting>
  <conditionalFormatting sqref="AC13 AC15:AC20">
    <cfRule type="expression" dxfId="1333" priority="44">
      <formula>ABS(AC$16-AC$19)&gt;=1000</formula>
    </cfRule>
  </conditionalFormatting>
  <conditionalFormatting sqref="AD13:AD20">
    <cfRule type="expression" dxfId="1332" priority="43">
      <formula>ABS(AD$16-AD$19)&gt;=1000</formula>
    </cfRule>
  </conditionalFormatting>
  <conditionalFormatting sqref="AE13:AE20">
    <cfRule type="expression" dxfId="1331" priority="42">
      <formula>ABS(AE$16-AE$19)&gt;=1000</formula>
    </cfRule>
  </conditionalFormatting>
  <conditionalFormatting sqref="D22:D29">
    <cfRule type="expression" dxfId="1330" priority="41">
      <formula>ABS(D$25-D$28)&gt;=1000</formula>
    </cfRule>
  </conditionalFormatting>
  <conditionalFormatting sqref="E22:E29">
    <cfRule type="expression" dxfId="1329" priority="40">
      <formula>ABS(E$25-E$28)&gt;=1000</formula>
    </cfRule>
  </conditionalFormatting>
  <conditionalFormatting sqref="F22:F29">
    <cfRule type="expression" dxfId="1328" priority="39">
      <formula>ABS(F$25-F$28)&gt;=1000</formula>
    </cfRule>
  </conditionalFormatting>
  <conditionalFormatting sqref="G22:G29">
    <cfRule type="expression" dxfId="1327" priority="38">
      <formula>ABS(G$25-G$28)&gt;=1000</formula>
    </cfRule>
  </conditionalFormatting>
  <conditionalFormatting sqref="H22:H29">
    <cfRule type="expression" dxfId="1326" priority="37">
      <formula>ABS(H$25-H$28)&gt;=1000</formula>
    </cfRule>
  </conditionalFormatting>
  <conditionalFormatting sqref="I22 I24:I29">
    <cfRule type="expression" dxfId="1325" priority="36">
      <formula>ABS(I$25-I$28)&gt;=1000</formula>
    </cfRule>
  </conditionalFormatting>
  <conditionalFormatting sqref="J22:J29 K22">
    <cfRule type="expression" dxfId="1324" priority="35">
      <formula>ABS(J$25-J$28)&gt;=1000</formula>
    </cfRule>
  </conditionalFormatting>
  <conditionalFormatting sqref="K23:K29 L25 L28">
    <cfRule type="expression" dxfId="1323" priority="34">
      <formula>ABS(K$25-K$28)&gt;=1000</formula>
    </cfRule>
  </conditionalFormatting>
  <conditionalFormatting sqref="L22:L24 L26:L27 L29">
    <cfRule type="expression" dxfId="1322" priority="33">
      <formula>ABS(L$25-L$28)&gt;=1000</formula>
    </cfRule>
  </conditionalFormatting>
  <conditionalFormatting sqref="M22:M29">
    <cfRule type="expression" dxfId="1321" priority="32">
      <formula>ABS(M$25-M$28)&gt;=1000</formula>
    </cfRule>
  </conditionalFormatting>
  <conditionalFormatting sqref="N22:N29">
    <cfRule type="expression" dxfId="1320" priority="31">
      <formula>ABS(N$25-N$28)&gt;=1000</formula>
    </cfRule>
  </conditionalFormatting>
  <conditionalFormatting sqref="O22:O29">
    <cfRule type="expression" dxfId="1319" priority="30">
      <formula>ABS(O$25-O$28)&gt;=1000</formula>
    </cfRule>
  </conditionalFormatting>
  <conditionalFormatting sqref="P22:P29">
    <cfRule type="expression" dxfId="1318" priority="29">
      <formula>ABS(P$25-P$28)&gt;=1000</formula>
    </cfRule>
  </conditionalFormatting>
  <conditionalFormatting sqref="Q22:Q29">
    <cfRule type="expression" dxfId="1317" priority="28">
      <formula>ABS(Q$25-Q$28)&gt;=1000</formula>
    </cfRule>
  </conditionalFormatting>
  <conditionalFormatting sqref="R22:R29">
    <cfRule type="expression" dxfId="1316" priority="27">
      <formula>ABS(R$25-R$28)&gt;=1000</formula>
    </cfRule>
  </conditionalFormatting>
  <conditionalFormatting sqref="S22:S29">
    <cfRule type="expression" dxfId="1315" priority="26">
      <formula>ABS(S$25-S$28)&gt;=1000</formula>
    </cfRule>
  </conditionalFormatting>
  <conditionalFormatting sqref="T22:T29">
    <cfRule type="expression" dxfId="1314" priority="25">
      <formula>ABS(T$25-T$28)&gt;=1000</formula>
    </cfRule>
  </conditionalFormatting>
  <conditionalFormatting sqref="U22:U29">
    <cfRule type="expression" dxfId="1313" priority="24">
      <formula>ABS(U$25-U$28)&gt;=1000</formula>
    </cfRule>
  </conditionalFormatting>
  <conditionalFormatting sqref="V22:V29">
    <cfRule type="expression" dxfId="1312" priority="23">
      <formula>ABS(V$25-V$28)&gt;=1000</formula>
    </cfRule>
  </conditionalFormatting>
  <conditionalFormatting sqref="W22:W29">
    <cfRule type="expression" dxfId="1311" priority="22">
      <formula>ABS(W$25-W$28)&gt;=1000</formula>
    </cfRule>
  </conditionalFormatting>
  <conditionalFormatting sqref="X22:X29">
    <cfRule type="expression" dxfId="1310" priority="21">
      <formula>ABS(X$25-X$28)&gt;=1000</formula>
    </cfRule>
  </conditionalFormatting>
  <conditionalFormatting sqref="Y22:Y29">
    <cfRule type="expression" dxfId="1309" priority="20">
      <formula>ABS(Y$25-Y$28)&gt;=1000</formula>
    </cfRule>
  </conditionalFormatting>
  <conditionalFormatting sqref="I23">
    <cfRule type="expression" dxfId="1308" priority="19">
      <formula>ABS(I$25-I$28)&gt;=1000</formula>
    </cfRule>
  </conditionalFormatting>
  <conditionalFormatting sqref="F14">
    <cfRule type="expression" dxfId="1307" priority="18">
      <formula>ABS(F$16-F$19)&gt;=1000</formula>
    </cfRule>
  </conditionalFormatting>
  <conditionalFormatting sqref="Q14">
    <cfRule type="expression" dxfId="1306" priority="17">
      <formula>ABS(Q$16-Q$19)&gt;=1000</formula>
    </cfRule>
  </conditionalFormatting>
  <conditionalFormatting sqref="W14">
    <cfRule type="expression" dxfId="1305" priority="16">
      <formula>ABS(W$16-W$19)&gt;=1000</formula>
    </cfRule>
  </conditionalFormatting>
  <conditionalFormatting sqref="Y14">
    <cfRule type="expression" dxfId="1304" priority="15">
      <formula>ABS(Y$16-Y$19)&gt;=1000</formula>
    </cfRule>
  </conditionalFormatting>
  <conditionalFormatting sqref="X14">
    <cfRule type="expression" dxfId="1303" priority="14">
      <formula>ABS(X$16-X$19)&gt;=1000</formula>
    </cfRule>
  </conditionalFormatting>
  <conditionalFormatting sqref="T10:Y10">
    <cfRule type="expression" dxfId="1302" priority="13">
      <formula>ABS(T$7-T$10)&gt;=1000</formula>
    </cfRule>
  </conditionalFormatting>
  <conditionalFormatting sqref="W19">
    <cfRule type="expression" dxfId="1301" priority="12">
      <formula>ABS(W$16-W$19)&gt;=1000</formula>
    </cfRule>
  </conditionalFormatting>
  <conditionalFormatting sqref="AC5">
    <cfRule type="expression" dxfId="1300" priority="11">
      <formula>ABS(AC$7-AC$10)&gt;=1000</formula>
    </cfRule>
  </conditionalFormatting>
  <conditionalFormatting sqref="M14">
    <cfRule type="expression" dxfId="1299" priority="10">
      <formula>ABS(M$16-M$19)&gt;=1000</formula>
    </cfRule>
  </conditionalFormatting>
  <conditionalFormatting sqref="M16">
    <cfRule type="expression" dxfId="1298" priority="9">
      <formula>ABS(M$16-M$19)&gt;=1000</formula>
    </cfRule>
  </conditionalFormatting>
  <conditionalFormatting sqref="M19">
    <cfRule type="expression" dxfId="1297" priority="8">
      <formula>ABS(M$16-M$19)&gt;=1000</formula>
    </cfRule>
  </conditionalFormatting>
  <conditionalFormatting sqref="K13:K20">
    <cfRule type="expression" dxfId="1296" priority="7">
      <formula>ABS(K$16-K$19)&gt;=1000</formula>
    </cfRule>
  </conditionalFormatting>
  <conditionalFormatting sqref="E5">
    <cfRule type="expression" dxfId="1295" priority="6">
      <formula>ABS(E$7-E$10)&gt;=1000</formula>
    </cfRule>
  </conditionalFormatting>
  <conditionalFormatting sqref="AB14:AC14">
    <cfRule type="expression" dxfId="1294" priority="5">
      <formula>ABS(AB$16-AB$19)&gt;=1000</formula>
    </cfRule>
  </conditionalFormatting>
  <conditionalFormatting sqref="M5">
    <cfRule type="expression" dxfId="1293" priority="4">
      <formula>ABS(M$7-M$10)&gt;=1000</formula>
    </cfRule>
  </conditionalFormatting>
  <conditionalFormatting sqref="N5">
    <cfRule type="expression" dxfId="1292" priority="3">
      <formula>ABS(N$7-N$10)&gt;=1000</formula>
    </cfRule>
  </conditionalFormatting>
  <conditionalFormatting sqref="O5">
    <cfRule type="expression" dxfId="1291" priority="2">
      <formula>ABS(O$7-O$10)&gt;=1000</formula>
    </cfRule>
  </conditionalFormatting>
  <conditionalFormatting sqref="P5">
    <cfRule type="expression" dxfId="1290" priority="1">
      <formula>ABS(P$7-P$10)&gt;=1000</formula>
    </cfRule>
  </conditionalFormatting>
  <dataValidations count="1">
    <dataValidation operator="greaterThanOrEqual" allowBlank="1" showErrorMessage="1" sqref="D6" xr:uid="{00000000-0002-0000-0D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1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37">
    <pageSetUpPr fitToPage="1"/>
  </sheetPr>
  <dimension ref="A1:CU223"/>
  <sheetViews>
    <sheetView view="pageBreakPreview" zoomScale="80" zoomScaleNormal="100" zoomScaleSheetLayoutView="80" workbookViewId="0">
      <selection activeCell="D6" sqref="D6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45793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59" t="s" ph="1">
        <v>178</v>
      </c>
      <c r="D6" s="71">
        <v>4216</v>
      </c>
      <c r="E6" s="71">
        <v>4699</v>
      </c>
      <c r="F6" s="71">
        <v>4629</v>
      </c>
      <c r="G6" s="71">
        <v>8341</v>
      </c>
      <c r="H6" s="71">
        <v>1011</v>
      </c>
      <c r="I6" s="71">
        <v>0</v>
      </c>
      <c r="J6" s="71">
        <v>7.8</v>
      </c>
      <c r="K6" s="71">
        <v>7.4</v>
      </c>
      <c r="L6" s="71">
        <v>64.099999999999994</v>
      </c>
      <c r="M6" s="71">
        <v>1176</v>
      </c>
      <c r="N6" s="71">
        <v>5688</v>
      </c>
      <c r="O6" s="71">
        <v>0</v>
      </c>
      <c r="P6" s="71">
        <v>4731</v>
      </c>
      <c r="Q6" s="71">
        <v>7178</v>
      </c>
      <c r="R6" s="71">
        <v>7132</v>
      </c>
      <c r="S6" s="71">
        <v>757</v>
      </c>
      <c r="T6" s="71">
        <v>0</v>
      </c>
      <c r="U6" s="71">
        <v>0</v>
      </c>
      <c r="V6" s="71">
        <v>0</v>
      </c>
      <c r="W6" s="71">
        <v>0</v>
      </c>
      <c r="X6" s="71">
        <v>901</v>
      </c>
      <c r="Y6" s="71">
        <v>4825</v>
      </c>
      <c r="Z6" s="71">
        <v>4384</v>
      </c>
      <c r="AA6" s="71">
        <v>2158</v>
      </c>
      <c r="AB6" s="71">
        <v>2633</v>
      </c>
      <c r="AC6" s="71">
        <v>6933</v>
      </c>
      <c r="AD6" s="71">
        <v>5411</v>
      </c>
      <c r="AE6" s="71">
        <v>3382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132249.82180896</v>
      </c>
      <c r="E7" s="73" ph="1">
        <f>E6*51.53*LOOKUP(E8,密度!$A$2:$A$50,密度!$B$2:$B$50)</f>
        <v>188771.93081199998</v>
      </c>
      <c r="F7" s="73" ph="1">
        <f>F6*33.183*LOOKUP(F8,密度!$A$2:$A$50,密度!$C$2:$C$50)</f>
        <v>170208.71096669999</v>
      </c>
      <c r="G7" s="73" ph="1">
        <f xml:space="preserve"> (G6+2)*51.53*LOOKUP(G8,密度!$A$2:$A$50,密度!$B$2:$B$50)</f>
        <v>335161.57028400002</v>
      </c>
      <c r="H7" s="73" ph="1">
        <f>(H6)*51.53*LOOKUP(H8,密度!$A$2:$A$50,密度!$B$2:$B$50)</f>
        <v>40755.350108999999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2394.2261920000001</v>
      </c>
      <c r="L7" s="73" ph="1">
        <f>L6*290.8*0.777</f>
        <v>14483.49756</v>
      </c>
      <c r="M7" s="73" ph="1">
        <f>M6*33.183*LOOKUP(M8,密度!$A$2:$A$50,密度!$D$2:$D$50)</f>
        <v>39846.597688799993</v>
      </c>
      <c r="N7" s="73" ph="1">
        <f>N6*33.183*LOOKUP(N8,密度!$A$2:$A$50,密度!$E$2:$E$50)</f>
        <v>146975.65674479998</v>
      </c>
      <c r="O7" s="73" ph="1">
        <f>O6*20.428*LOOKUP(O8,密度!$A$2:$A$50,密度!$C$2:$C$50)</f>
        <v>0</v>
      </c>
      <c r="P7" s="73" ph="1">
        <f>P6*51.53*LOOKUP(P8,密度!$A$2:$A$50,密度!$B$2:$B$50)</f>
        <v>190057.46002799997</v>
      </c>
      <c r="Q7" s="73" ph="1">
        <f>Q6*1.5*1.5*3.1416*LOOKUP(W8,密度!$A$2:$A$50,密度!$L$2:$L$50)</f>
        <v>47440.414098000001</v>
      </c>
      <c r="R7" s="73" ph="1">
        <f>R6*1.5*1.5*3.1416*LOOKUP(R8,密度!$A$2:$A$50,密度!$L$2:$L$50)</f>
        <v>46934.740591200003</v>
      </c>
      <c r="S7" s="73" ph="1">
        <f>S6*1.5*1.5*3.1416*LOOKUP(S8,密度!$A$2:$A$50,密度!$L$2:$L$50)</f>
        <v>5029.8743879999993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6005.7865098000002</v>
      </c>
      <c r="Y7" s="73" ph="1">
        <f>Y6*1.5*1.5*3.1416*LOOKUP(Y8,密度!$A$2:$A$50,密度!$L$2:$L$50)</f>
        <v>31923.211320000006</v>
      </c>
      <c r="Z7" s="73" ph="1">
        <f>Z6*33.183*LOOKUP(Z8,密度!$A$2:$A$50,密度!$L$2:$L$50)</f>
        <v>135872.97004800002</v>
      </c>
      <c r="AA7" s="73" ph="1">
        <f>AA6*33.183*LOOKUP(AA8,密度!$A$2:$A$50,密度!$D$2:$D$50)</f>
        <v>73456.423981200001</v>
      </c>
      <c r="AB7" s="73" ph="1">
        <f>AB6*20.428*LOOKUP(AB8,密度!$A$2:$A$50,密度!$D$2:$D$50)</f>
        <v>55518.862952800002</v>
      </c>
      <c r="AC7" s="73" ph="1">
        <f>AC6*51.53*LOOKUP(AC8,密度!$A$2:$A$50,密度!$Q$2:$Q$50)</f>
        <v>338490.75405029999</v>
      </c>
      <c r="AD7" s="73" ph="1">
        <f>AD6*20.428*LOOKUP(AD8,密度!$A$2:$A$50,密度!$V$2:$V$50)</f>
        <v>106202.9004064</v>
      </c>
      <c r="AE7" s="73" ph="1">
        <f>AE6*20.428</f>
        <v>69087.495999999999</v>
      </c>
    </row>
    <row r="8" spans="1:99" ph="1">
      <c r="B8" s="196" ph="1"/>
      <c r="C8" s="68" t="s" ph="1">
        <v>180</v>
      </c>
      <c r="D8" s="74">
        <v>27</v>
      </c>
      <c r="E8" s="74">
        <v>25</v>
      </c>
      <c r="F8" s="74">
        <v>26</v>
      </c>
      <c r="G8" s="74">
        <v>25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29</v>
      </c>
      <c r="O8" s="74">
        <v>29</v>
      </c>
      <c r="P8" s="74">
        <v>25</v>
      </c>
      <c r="Q8" s="74">
        <v>26</v>
      </c>
      <c r="R8" s="74">
        <v>31</v>
      </c>
      <c r="S8" s="74">
        <v>22</v>
      </c>
      <c r="T8" s="74">
        <v>21</v>
      </c>
      <c r="U8" s="74">
        <v>26</v>
      </c>
      <c r="V8" s="74">
        <v>28</v>
      </c>
      <c r="W8" s="74">
        <v>27</v>
      </c>
      <c r="X8" s="74">
        <v>19</v>
      </c>
      <c r="Y8" s="74">
        <v>26</v>
      </c>
      <c r="Z8" s="74">
        <v>28</v>
      </c>
      <c r="AA8" s="74">
        <v>26</v>
      </c>
      <c r="AB8" s="74">
        <v>19</v>
      </c>
      <c r="AC8" s="74">
        <v>24</v>
      </c>
      <c r="AD8" s="74">
        <v>25</v>
      </c>
      <c r="AE8" s="74">
        <v>28</v>
      </c>
    </row>
    <row r="9" spans="1:99" ph="1">
      <c r="B9" s="196" ph="1">
        <v>0.66666666666666663</v>
      </c>
      <c r="C9" s="159" t="s" ph="1">
        <v>181</v>
      </c>
      <c r="D9" s="71">
        <v>4219</v>
      </c>
      <c r="E9" s="71">
        <v>4693</v>
      </c>
      <c r="F9" s="71">
        <v>5366</v>
      </c>
      <c r="G9" s="71">
        <v>9231</v>
      </c>
      <c r="H9" s="71">
        <v>1012</v>
      </c>
      <c r="I9" s="71">
        <v>0</v>
      </c>
      <c r="J9" s="71">
        <v>7.82</v>
      </c>
      <c r="K9" s="71">
        <v>7.42</v>
      </c>
      <c r="L9" s="71">
        <v>15.48</v>
      </c>
      <c r="M9" s="71">
        <v>1176</v>
      </c>
      <c r="N9" s="71">
        <v>5695</v>
      </c>
      <c r="O9" s="71">
        <v>0</v>
      </c>
      <c r="P9" s="71">
        <v>4486</v>
      </c>
      <c r="Q9" s="71">
        <v>7188</v>
      </c>
      <c r="R9" s="71">
        <v>7143</v>
      </c>
      <c r="S9" s="71">
        <v>3437</v>
      </c>
      <c r="T9" s="71">
        <v>1942</v>
      </c>
      <c r="U9" s="71">
        <v>0</v>
      </c>
      <c r="V9" s="71">
        <v>0</v>
      </c>
      <c r="W9" s="71">
        <v>0</v>
      </c>
      <c r="X9" s="71">
        <v>0</v>
      </c>
      <c r="Y9" s="71">
        <v>1980</v>
      </c>
      <c r="Z9" s="71">
        <v>2105</v>
      </c>
      <c r="AA9" s="71">
        <v>2164</v>
      </c>
      <c r="AB9" s="71">
        <v>2514</v>
      </c>
      <c r="AC9" s="71">
        <v>6941</v>
      </c>
      <c r="AD9" s="71">
        <v>5419</v>
      </c>
      <c r="AE9" s="71">
        <v>3230</v>
      </c>
    </row>
    <row r="10" spans="1:99" s="72" customFormat="1" ht="21.75" ph="1">
      <c r="B10" s="196" ph="1"/>
      <c r="C10" s="159" t="s" ph="1">
        <v>179</v>
      </c>
      <c r="D10" s="73" ph="1">
        <f>D9*33.183*LOOKUP(D11,密度!$A$2:$A$50,密度!$Q$2:$Q$50)</f>
        <v>132065.32930640999</v>
      </c>
      <c r="E10" s="73" ph="1">
        <f>E9*51.53*LOOKUP(E11,密度!$A$2:$A$50,密度!$B$2:$B$50)</f>
        <v>188119.78259100002</v>
      </c>
      <c r="F10" s="73" ph="1">
        <f>F9*33.183*LOOKUP(F11,密度!$A$2:$A$50,密度!$C$2:$C$50)</f>
        <v>197450.7096042</v>
      </c>
      <c r="G10" s="73" ph="1">
        <f xml:space="preserve"> (G9+2)*51.53*LOOKUP(G11,密度!$A$2:$A$50,密度!$B$2:$B$50)</f>
        <v>369678.33273000002</v>
      </c>
      <c r="H10" s="73" ph="1">
        <f>(H9)*51.53*LOOKUP(H11,密度!$A$2:$A$50,密度!$B$2:$B$50)</f>
        <v>40519.275720000005</v>
      </c>
      <c r="I10" s="73" ph="1">
        <f>I9*290.8*1.0267</f>
        <v>0</v>
      </c>
      <c r="J10" s="73" ph="1">
        <f>J9*290.8*0.7892</f>
        <v>1794.6849952</v>
      </c>
      <c r="K10" s="73" ph="1">
        <f>K9*290.8*1.1126</f>
        <v>2400.6970735999998</v>
      </c>
      <c r="L10" s="73" ph="1">
        <f>L9*290.8*0.777</f>
        <v>3497.7307680000008</v>
      </c>
      <c r="M10" s="73" ph="1">
        <f>M9*33.183*LOOKUP(M11,密度!$A$2:$A$50,密度!$D$2:$D$50)</f>
        <v>39745.137347999997</v>
      </c>
      <c r="N10" s="73" ph="1">
        <f>N9*33.183*LOOKUP(N11,密度!$A$2:$A$50,密度!$E$2:$E$50)</f>
        <v>146948.659056</v>
      </c>
      <c r="O10" s="73" ph="1">
        <f>O9*20.428*LOOKUP(O11,密度!$A$2:$A$50,密度!$C$2:$C$50)</f>
        <v>0</v>
      </c>
      <c r="P10" s="73" ph="1">
        <f>P9*51.53*LOOKUP(P11,密度!$A$2:$A$50,密度!$B$2:$B$50)</f>
        <v>179221.123574</v>
      </c>
      <c r="Q10" s="73" ph="1">
        <f>Q9*1.5*1.5*3.1416*LOOKUP(W11,密度!$A$2:$A$50,密度!$L$2:$L$50)</f>
        <v>47100.032733600005</v>
      </c>
      <c r="R10" s="73" ph="1">
        <f>R9*1.5*1.5*3.1416*LOOKUP(R11,密度!$A$2:$A$50,密度!$L$2:$L$50)</f>
        <v>46805.166084600001</v>
      </c>
      <c r="S10" s="73" ph="1">
        <f>S9*1.5*1.5*3.1416*LOOKUP(S11,密度!$A$2:$A$50,密度!$L$2:$L$50)</f>
        <v>22812.7967298</v>
      </c>
      <c r="T10" s="73" ph="1">
        <f>T9*1.5*1.5*3.1416*LOOKUP(T11,密度!$A$2:$A$50,密度!$L$2:$L$50)</f>
        <v>12889.8607068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13100.095008</v>
      </c>
      <c r="Z10" s="73" ph="1">
        <f>Z9*33.183*LOOKUP(Z11,密度!$A$2:$A$50,密度!$L$2:$L$50)</f>
        <v>65100.400379999999</v>
      </c>
      <c r="AA10" s="73" ph="1">
        <f>AA9*33.183*LOOKUP(AA11,密度!$A$2:$A$50,密度!$D$2:$D$50)</f>
        <v>73071.833011200011</v>
      </c>
      <c r="AB10" s="73" ph="1">
        <f>AB9*20.428*LOOKUP(AB11,密度!$A$2:$A$50,密度!$D$2:$D$50)</f>
        <v>52870.993764000013</v>
      </c>
      <c r="AC10" s="73" ph="1">
        <f>AC9*51.53*LOOKUP(AC11,密度!$A$2:$A$50,密度!$Q$2:$Q$50)</f>
        <v>338620.24018019997</v>
      </c>
      <c r="AD10" s="73" ph="1">
        <f>AD9*20.428*LOOKUP(AD11,密度!$A$2:$A$50,密度!$V$2:$V$50)</f>
        <v>106005.68032320001</v>
      </c>
      <c r="AE10" s="73" ph="1">
        <f>AE9*20.428</f>
        <v>65982.44</v>
      </c>
    </row>
    <row r="11" spans="1:99" ph="1">
      <c r="A11" s="64" t="s" ph="1">
        <v>163</v>
      </c>
      <c r="B11" s="196" ph="1"/>
      <c r="C11" s="159" t="s" ph="1">
        <v>180</v>
      </c>
      <c r="D11" s="74">
        <v>30</v>
      </c>
      <c r="E11" s="74">
        <v>27</v>
      </c>
      <c r="F11" s="74">
        <v>25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30</v>
      </c>
      <c r="O11" s="74">
        <v>39</v>
      </c>
      <c r="P11" s="74">
        <v>30</v>
      </c>
      <c r="Q11" s="74">
        <v>27</v>
      </c>
      <c r="R11" s="74">
        <v>35</v>
      </c>
      <c r="S11" s="74">
        <v>23</v>
      </c>
      <c r="T11" s="74">
        <v>23</v>
      </c>
      <c r="U11" s="74">
        <v>31</v>
      </c>
      <c r="V11" s="74">
        <v>28</v>
      </c>
      <c r="W11" s="74">
        <v>35</v>
      </c>
      <c r="X11" s="74">
        <v>20</v>
      </c>
      <c r="Y11" s="74">
        <v>26</v>
      </c>
      <c r="Z11" s="74">
        <v>30</v>
      </c>
      <c r="AA11" s="74">
        <v>35</v>
      </c>
      <c r="AB11" s="74">
        <v>22</v>
      </c>
      <c r="AC11" s="74">
        <v>25</v>
      </c>
      <c r="AD11" s="74">
        <v>30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59" t="s" ph="1">
        <v>178</v>
      </c>
      <c r="D15" s="78">
        <v>5406</v>
      </c>
      <c r="E15" s="78">
        <v>594</v>
      </c>
      <c r="F15" s="78">
        <v>1715</v>
      </c>
      <c r="G15" s="78">
        <v>3713</v>
      </c>
      <c r="H15" s="78">
        <v>0</v>
      </c>
      <c r="I15" s="78">
        <v>117</v>
      </c>
      <c r="J15" s="78">
        <v>1715</v>
      </c>
      <c r="K15" s="78">
        <v>711</v>
      </c>
      <c r="L15" s="78">
        <v>2533</v>
      </c>
      <c r="M15" s="78">
        <v>3387</v>
      </c>
      <c r="N15" s="78">
        <v>1055</v>
      </c>
      <c r="O15" s="78">
        <v>0</v>
      </c>
      <c r="P15" s="78">
        <v>0</v>
      </c>
      <c r="Q15" s="78">
        <v>31</v>
      </c>
      <c r="R15" s="78">
        <v>3513</v>
      </c>
      <c r="S15" s="78">
        <v>0</v>
      </c>
      <c r="T15" s="78">
        <v>6638</v>
      </c>
      <c r="U15" s="78">
        <v>1773</v>
      </c>
      <c r="V15" s="78">
        <v>0</v>
      </c>
      <c r="W15" s="71">
        <v>3162</v>
      </c>
      <c r="X15" s="78">
        <v>49</v>
      </c>
      <c r="Y15" s="106">
        <v>-2366</v>
      </c>
      <c r="Z15" s="78">
        <v>0</v>
      </c>
      <c r="AA15" s="78">
        <v>4233</v>
      </c>
      <c r="AB15" s="78" ph="1">
        <v>5119</v>
      </c>
      <c r="AC15" s="78" ph="1">
        <v>0</v>
      </c>
      <c r="AD15" s="78">
        <v>83.7</v>
      </c>
      <c r="AE15" s="78">
        <v>31.2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59" t="s" ph="1">
        <v>179</v>
      </c>
      <c r="D16" s="73" ph="1">
        <f>D15*7.0686*LOOKUP(D17,密度!$A$2:$A$50,密度!$L$2:$L$50)</f>
        <v>35767.2290976</v>
      </c>
      <c r="E16" s="73" ph="1">
        <f>E15*7.0686*LOOKUP(E17,密度!$A$2:$A$50,密度!$L$2:$L$50)</f>
        <v>3930.0285024000004</v>
      </c>
      <c r="F16" s="73" ph="1">
        <f>F15*9.0746*LOOKUP(F17,密度!$A$2:$A$50,密度!$L$2:$L$50)</f>
        <v>14457.970331</v>
      </c>
      <c r="G16" s="73" ph="1">
        <f>G15*9.0746*LOOKUP(G17,密度!$A$2:$A$50,密度!$B$2:$B$50)</f>
        <v>26210.554665420004</v>
      </c>
      <c r="H16" s="73" ph="1">
        <f>H15*9.0746*LOOKUP(H17,密度!$A$2:$A$50,密度!$L$2:$L$50)</f>
        <v>0</v>
      </c>
      <c r="I16" s="73" ph="1">
        <f>I15*9.0746*LOOKUP(I17,密度!$A$2:$A$50,密度!$U$2:$U$50)</f>
        <v>1087.2096768000001</v>
      </c>
      <c r="J16" s="73" ph="1">
        <f>J15*9.0746*LOOKUP(J17,密度!$A$2:$A$50,密度!$L$2:$L$50)</f>
        <v>14520.222087000002</v>
      </c>
      <c r="K16" s="73" ph="1">
        <f>K15*9.0746*LOOKUP(K17,密度!$A$2:$A$50,密度!$C$2:$C$50)</f>
        <v>7154.66782134</v>
      </c>
      <c r="L16" s="73" ph="1">
        <f>L15*9.0746*LOOKUP(L17,密度!$A$2:$A$50,密度!$E$2:$E$50)</f>
        <v>17873.883895679999</v>
      </c>
      <c r="M16" s="73" ph="1">
        <f>M15*9.0746*LOOKUP(M17,密度!$A$2:$A$50,密度!$M$2:$M$50)</f>
        <v>26736.959506980002</v>
      </c>
      <c r="N16" s="73" ph="1">
        <f>N15*9.0746*LOOKUP(N17,密度!$A$2:$A$50,密度!$M$2:$M$50)</f>
        <v>8348.2690160000002</v>
      </c>
      <c r="O16" s="73" ph="1">
        <f>O15*9.0746*LOOKUP(O17,密度!$A$2:$A$50,密度!$G$2:$G$50)</f>
        <v>0</v>
      </c>
      <c r="P16" s="73" ph="1">
        <f ca="1">P15*9.0746*LOOKUP(P17,密度!$A$2:$A$51,密度!$Q$2:$Q$50)</f>
        <v>0</v>
      </c>
      <c r="Q16" s="73" ph="1">
        <f>Q15*9.0746*LOOKUP(Q17,密度!$A$2:$A$50,密度!$Q$2:$Q$50)</f>
        <v>266.13015897800005</v>
      </c>
      <c r="R16" s="73" ph="1">
        <f>MAX(R15*9.0746*LOOKUP(R17,密度!$A$2:$A$50,密度!$B$2:$B$50),0)</f>
        <v>24770.0372346</v>
      </c>
      <c r="S16" s="73" ph="1">
        <f>S15*9.0746*LOOKUP(S17,密度!$A$2:$A$50,密度!$Q$2:$Q$50)</f>
        <v>0</v>
      </c>
      <c r="T16" s="73" ph="1">
        <f>T15*9.0746*LOOKUP(T17,密度!$A$2:$A$50,密度!$O$2:$O$50)</f>
        <v>55779.642384800005</v>
      </c>
      <c r="U16" s="73" ph="1">
        <f>U15*9.0746*LOOKUP(U17,密度!$A$2:$A$50,密度!$H$2:$H$50)</f>
        <v>14703.980014620001</v>
      </c>
      <c r="V16" s="73" ph="1">
        <f>MAX(5600*LOOKUP(V17,密度!$A$2:$A$50,密度!$Q$2:$Q$50)+V15*9.0476*LOOKUP(V17,密度!$A$2:$A$50,密度!$Q$2:$Q$50),0)</f>
        <v>5289.8720000000003</v>
      </c>
      <c r="W16" s="73" ph="1">
        <f>MAX(5600*LOOKUP(W17,密度!$A$2:$A$50,密度!$Q$2:$Q$50)+W15*9.0476*LOOKUP(W17,密度!$A$2:$A$50,密度!$Q$2:$Q$50),0)</f>
        <v>32337.989807583999</v>
      </c>
      <c r="X16" s="73" ph="1">
        <f>MAX(5600*LOOKUP(X17,密度!$A$2:$A$50,密度!$I$2:$I$50)+X15*9.0476*LOOKUP(X17,密度!$A$2:$A$50,密度!$I$2:$I$50),0)</f>
        <v>6285.0656959999997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29981.176194900003</v>
      </c>
      <c r="AB16" s="73" ph="1">
        <f>AB15*9.0746*LOOKUP(AB17,密度!$A$2:$A$50,密度!$L$2:$L$50)</f>
        <v>43433.440369000004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18752.900673599997</v>
      </c>
      <c r="AE16" s="73" ph="1">
        <f>AE15*268.68*LOOKUP(AE17,密度!$A$2:$A$50,密度!B2:B50)+IF(AE15&lt;=0,0,1566*LOOKUP(AE17,密度!$A$2:$A$50,密度!B2:B50))</f>
        <v>7756.0969535999993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26</v>
      </c>
      <c r="E17" s="74">
        <v>26</v>
      </c>
      <c r="F17" s="74">
        <v>33</v>
      </c>
      <c r="G17" s="74">
        <v>27</v>
      </c>
      <c r="H17" s="74">
        <v>24</v>
      </c>
      <c r="I17" s="74">
        <v>26</v>
      </c>
      <c r="J17" s="74">
        <v>29</v>
      </c>
      <c r="K17" s="74">
        <v>25</v>
      </c>
      <c r="L17" s="74">
        <v>30</v>
      </c>
      <c r="M17" s="74">
        <v>30</v>
      </c>
      <c r="N17" s="74">
        <v>28</v>
      </c>
      <c r="O17" s="74">
        <v>29</v>
      </c>
      <c r="P17" s="74">
        <v>25</v>
      </c>
      <c r="Q17" s="74">
        <v>26</v>
      </c>
      <c r="R17" s="74">
        <v>28</v>
      </c>
      <c r="S17" s="74">
        <v>26</v>
      </c>
      <c r="T17" s="74">
        <v>25</v>
      </c>
      <c r="U17" s="74">
        <v>26</v>
      </c>
      <c r="V17" s="74">
        <v>28</v>
      </c>
      <c r="W17" s="74">
        <v>27</v>
      </c>
      <c r="X17" s="74">
        <v>27</v>
      </c>
      <c r="Y17" s="108">
        <v>27</v>
      </c>
      <c r="Z17" s="74">
        <v>27</v>
      </c>
      <c r="AA17" s="74">
        <v>24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4966</v>
      </c>
      <c r="E18" s="71">
        <v>539</v>
      </c>
      <c r="F18" s="71">
        <v>1716</v>
      </c>
      <c r="G18" s="71">
        <v>3738</v>
      </c>
      <c r="H18" s="71">
        <v>0</v>
      </c>
      <c r="I18" s="71">
        <v>118</v>
      </c>
      <c r="J18" s="71">
        <v>1945</v>
      </c>
      <c r="K18" s="71">
        <v>711</v>
      </c>
      <c r="L18" s="71">
        <v>2541</v>
      </c>
      <c r="M18" s="71">
        <v>3396</v>
      </c>
      <c r="N18" s="71">
        <v>2101</v>
      </c>
      <c r="O18" s="71">
        <v>27</v>
      </c>
      <c r="P18" s="71">
        <v>0</v>
      </c>
      <c r="Q18" s="71">
        <v>28</v>
      </c>
      <c r="R18" s="71">
        <v>3519</v>
      </c>
      <c r="S18" s="71">
        <v>0</v>
      </c>
      <c r="T18" s="71">
        <v>5952</v>
      </c>
      <c r="U18" s="71">
        <v>1774</v>
      </c>
      <c r="V18" s="71">
        <v>0</v>
      </c>
      <c r="W18" s="71">
        <v>1856</v>
      </c>
      <c r="X18" s="71">
        <v>149</v>
      </c>
      <c r="Y18" s="109">
        <v>-9908</v>
      </c>
      <c r="Z18" s="71">
        <v>0</v>
      </c>
      <c r="AA18" s="71">
        <v>4238</v>
      </c>
      <c r="AB18" s="71">
        <v>5129</v>
      </c>
      <c r="AC18" s="71">
        <v>0</v>
      </c>
      <c r="AD18" s="71">
        <v>0</v>
      </c>
      <c r="AE18" s="71">
        <v>72.17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59" t="s" ph="1">
        <v>179</v>
      </c>
      <c r="D19" s="73" ph="1">
        <f>D18*7.0686*LOOKUP(D20,密度!$A$2:$A$50,密度!$L$2:$L$50)</f>
        <v>32645.480868000002</v>
      </c>
      <c r="E19" s="73" ph="1">
        <f>E18*7.0686*LOOKUP(E20,密度!$A$2:$A$50,密度!$L$2:$L$50)</f>
        <v>3543.277122</v>
      </c>
      <c r="F19" s="73" ph="1">
        <f>F18*9.0746*LOOKUP(F20,密度!$A$2:$A$50,密度!$L$2:$L$50)</f>
        <v>14481.972648000001</v>
      </c>
      <c r="G19" s="73" ph="1">
        <f>G18*9.0746*LOOKUP(G20,密度!$A$2:$A$50,密度!$B$2:$B$50)</f>
        <v>26329.367495760001</v>
      </c>
      <c r="H19" s="73" ph="1">
        <f>H18*9.0746*LOOKUP(H20,密度!$A$2:$A$50,密度!$L$2:$L$50)</f>
        <v>0</v>
      </c>
      <c r="I19" s="73" ph="1">
        <f>I18*9.0746*LOOKUP(I20,密度!$A$2:$A$50,密度!$U$2:$U$50)</f>
        <v>1090.0772503999999</v>
      </c>
      <c r="J19" s="73" ph="1">
        <f>J18*9.0746*LOOKUP(J20,密度!$A$2:$A$50,密度!$L$2:$L$50)</f>
        <v>16432.240307000004</v>
      </c>
      <c r="K19" s="73" ph="1">
        <f>K18*9.0746*LOOKUP(K20,密度!$A$2:$A$50,密度!$C$2:$C$50)</f>
        <v>7116.6007817999998</v>
      </c>
      <c r="L19" s="73" ph="1">
        <f>L18*9.0746*LOOKUP(L20,密度!$A$2:$A$50,密度!$E$2:$E$50)</f>
        <v>17930.335167360001</v>
      </c>
      <c r="M19" s="73" ph="1">
        <f>M18*9.0746*LOOKUP(M20,密度!$A$2:$A$50,密度!$M$2:$M$50)</f>
        <v>26776.263595992001</v>
      </c>
      <c r="N19" s="73" ph="1">
        <f>N18*9.0746*LOOKUP(N20,密度!$A$2:$A$50,密度!$M$2:$M$50)</f>
        <v>16665.35861386</v>
      </c>
      <c r="O19" s="73" ph="1">
        <f>O18*9.0746*LOOKUP(O20,密度!$A$2:$A$50,密度!$G$2:$G$50)</f>
        <v>233.67249268200001</v>
      </c>
      <c r="P19" s="73" ph="1">
        <f ca="1">P18*9.0746*LOOKUP(P20,密度!$A$2:$A$51,密度!$Q$2:$Q$50)</f>
        <v>0</v>
      </c>
      <c r="Q19" s="73" ph="1">
        <f>Q18*9.0746*LOOKUP(Q20,密度!$A$2:$A$50,密度!$Q$2:$Q$50)</f>
        <v>239.32624071999999</v>
      </c>
      <c r="R19" s="73" ph="1">
        <f>MAX(R18*9.0746*LOOKUP(R20,密度!$A$2:$A$50,密度!$B$2:$B$50),0)</f>
        <v>24758.056040219999</v>
      </c>
      <c r="S19" s="73" ph="1">
        <f>S18*9.0746*LOOKUP(S20,密度!$A$2:$A$50,密度!$Q$2:$Q$50)</f>
        <v>0</v>
      </c>
      <c r="T19" s="73" ph="1">
        <f>T18*9.0746*LOOKUP(T20,密度!$A$2:$A$50,密度!$O$2:$O$50)</f>
        <v>50015.129779200004</v>
      </c>
      <c r="U19" s="73" ph="1">
        <f>U18*9.0746*LOOKUP(U20,密度!$A$2:$A$50,密度!$H$2:$H$50)</f>
        <v>14665.588104400002</v>
      </c>
      <c r="V19" s="73" ph="1">
        <f>MAX(5600*LOOKUP(V20,密度!$A$2:$A$50,密度!$Q$2:$Q$50)+V18*9.0476*LOOKUP(V20,密度!$A$2:$A$50,密度!$Q$2:$Q$50),0)</f>
        <v>5271</v>
      </c>
      <c r="W19" s="73" ph="1">
        <f>MAX(5600*LOOKUP(W20,密度!$A$2:$A$50,密度!$Q$2:$Q$50)+W18*9.0476*LOOKUP(W20,密度!$A$2:$A$50,密度!$Q$2:$Q$50),0)</f>
        <v>21152.257500671996</v>
      </c>
      <c r="X19" s="73" ph="1">
        <f>MAX(5600*LOOKUP(X20,密度!$A$2:$A$50,密度!$I$2:$I$50)+X18*9.0476*LOOKUP(X20,密度!$A$2:$A$50,密度!$I$2:$I$50),0)</f>
        <v>7218.3731943599987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29916.598618920005</v>
      </c>
      <c r="AB19" s="73" ph="1">
        <f>AB18*9.0746*LOOKUP(AB20,密度!$A$2:$A$50,密度!$L$2:$L$50)</f>
        <v>43425.200632200009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16283.3058612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32</v>
      </c>
      <c r="E20" s="81">
        <v>32</v>
      </c>
      <c r="F20" s="81">
        <v>32</v>
      </c>
      <c r="G20" s="81">
        <v>29</v>
      </c>
      <c r="H20" s="81">
        <v>30</v>
      </c>
      <c r="I20" s="81">
        <v>32</v>
      </c>
      <c r="J20" s="81">
        <v>31</v>
      </c>
      <c r="K20" s="81">
        <v>32</v>
      </c>
      <c r="L20" s="81">
        <v>30</v>
      </c>
      <c r="M20" s="81">
        <v>31</v>
      </c>
      <c r="N20" s="81">
        <v>26</v>
      </c>
      <c r="O20" s="81">
        <v>31</v>
      </c>
      <c r="P20" s="81">
        <v>31</v>
      </c>
      <c r="Q20" s="81">
        <v>32</v>
      </c>
      <c r="R20" s="81">
        <v>30</v>
      </c>
      <c r="S20" s="81">
        <v>32</v>
      </c>
      <c r="T20" s="81">
        <v>29</v>
      </c>
      <c r="U20" s="81">
        <v>29</v>
      </c>
      <c r="V20" s="81">
        <v>33</v>
      </c>
      <c r="W20" s="81">
        <v>28</v>
      </c>
      <c r="X20" s="81">
        <v>28</v>
      </c>
      <c r="Y20" s="110">
        <v>28</v>
      </c>
      <c r="Z20" s="81">
        <v>32</v>
      </c>
      <c r="AA20" s="81">
        <v>27</v>
      </c>
      <c r="AB20" s="81">
        <v>29</v>
      </c>
      <c r="AC20" s="81">
        <v>31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59" t="s" ph="1">
        <v>178</v>
      </c>
      <c r="D24" s="71">
        <v>91.1</v>
      </c>
      <c r="E24" s="71">
        <v>95.7</v>
      </c>
      <c r="F24" s="71">
        <v>4001</v>
      </c>
      <c r="G24" s="71">
        <v>2279</v>
      </c>
      <c r="H24" s="71">
        <v>1793</v>
      </c>
      <c r="I24" s="71">
        <v>3604</v>
      </c>
      <c r="J24" s="71">
        <v>3187</v>
      </c>
      <c r="K24" s="71">
        <v>0</v>
      </c>
      <c r="L24" s="71">
        <v>0</v>
      </c>
      <c r="M24" s="71">
        <v>5255</v>
      </c>
      <c r="N24" s="71">
        <v>5324</v>
      </c>
      <c r="O24" s="71">
        <v>0</v>
      </c>
      <c r="P24" s="71">
        <v>640</v>
      </c>
      <c r="Q24" s="90">
        <v>962</v>
      </c>
      <c r="R24" s="71">
        <v>2911</v>
      </c>
      <c r="S24" s="71">
        <v>1583</v>
      </c>
      <c r="T24" s="71">
        <v>1760</v>
      </c>
      <c r="U24" s="71">
        <v>4931</v>
      </c>
      <c r="V24" s="71">
        <v>9650</v>
      </c>
      <c r="W24" s="71">
        <v>10911</v>
      </c>
      <c r="X24" s="71">
        <v>3311</v>
      </c>
      <c r="Y24" s="71">
        <v>4789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24655.711241520003</v>
      </c>
      <c r="E25" s="91" ph="1">
        <f>E24*268.68*LOOKUP(E26,密度!$A$2:$A$50,密度!$C$2:$C$50)+IF(E24&lt;=0,0,1566*LOOKUP(E26,密度!$A$2:$A$50,密度!$C$2:$C$50))</f>
        <v>30249.323816400003</v>
      </c>
      <c r="F25" s="91" ph="1">
        <f>F24*11.702*LOOKUP(F26,密度!$A$2:$A$50,密度!$Q$2:$Q$50)</f>
        <v>44360.263053939998</v>
      </c>
      <c r="G25" s="91" ph="1">
        <f>G24*18.322*LOOKUP(G26,密度!$A$2:$A$50,密度!$B$2:$B$50)</f>
        <v>32628.011813199995</v>
      </c>
      <c r="H25" s="91" ph="1">
        <f>H24*18.322*LOOKUP(H26,密度!$A$2:$A$50,密度!$B$2:$B$50)</f>
        <v>25699.607975799998</v>
      </c>
      <c r="I25" s="91" ph="1">
        <f>I24*18.322*LOOKUP(I26,密度!$A$2:$A$50,密度!$Q$2:$Q$50)</f>
        <v>62612.005121599999</v>
      </c>
      <c r="J25" s="91" ph="1">
        <f>J24*18.322*LOOKUP(J26,密度!$A$2:$A$50,密度!$Q$2:$Q$50)</f>
        <v>55419.466385259999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91380.387779900004</v>
      </c>
      <c r="N25" s="91" ph="1">
        <f>N24*18.322*LOOKUP(N26,密度!$A$2:$A$50,密度!$Q$2:$Q$50)</f>
        <v>92493.428209599995</v>
      </c>
      <c r="O25" s="91" ph="1">
        <f>O24*18.322*LOOKUP(O26,密度!$A$2:$A$50,密度!$C$2:$C$50)</f>
        <v>0</v>
      </c>
      <c r="P25" s="91" ph="1">
        <f>P24*11.702*LOOKUP(P26,密度!$A$2:$A$50,密度!$B$2:$B$50)</f>
        <v>5858.8637439999993</v>
      </c>
      <c r="Q25" s="92" ph="1">
        <f>Q24*18.322*LOOKUP(Q26,密度!$A$2:$A$50,密度!$B$2:$B$50)</f>
        <v>13741.045614399998</v>
      </c>
      <c r="R25" s="91" ph="1">
        <f>R24*35.891*LOOKUP(R26,密度!$A$2:$A$50,密度!$C$2:$C$50)</f>
        <v>116013.1495904</v>
      </c>
      <c r="S25" s="91" ph="1">
        <f>S24*35.891*LOOKUP(S26,密度!$A$2:$A$50,密度!$B$2:$B$50)</f>
        <v>44395.594974199994</v>
      </c>
      <c r="T25" s="91" ph="1">
        <f>T24*35.891*LOOKUP(T26,密度!$A$2:$A$50,密度!$Q$2:$Q$50)</f>
        <v>59896.049311999996</v>
      </c>
      <c r="U25" s="91" ph="1">
        <f>U24*35.891</f>
        <v>176978.52099999998</v>
      </c>
      <c r="V25" s="91" ph="1">
        <f>V24*47.051*LOOKUP(V26,密度!$A$2:$A$50,密度!$B$2:$B$50)</f>
        <v>354788.53600999998</v>
      </c>
      <c r="W25" s="91" ph="1">
        <f>W24*47.051*LOOKUP(W26,密度!$A$2:$A$50,密度!$B$2:$B$50)</f>
        <v>400225.95019559999</v>
      </c>
      <c r="X25" s="91" ph="1">
        <f>X24*47.051*LOOKUP(X26,密度!$A$2:$A$50,密度!$I$2:$I$50)</f>
        <v>161845.93099289999</v>
      </c>
      <c r="Y25" s="91" ph="1">
        <f>Y24*47.051*LOOKUP(Y26,密度!$A$2:$A$50,密度!$L$2:$L$50)</f>
        <v>210906.29570400002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24</v>
      </c>
      <c r="G26" s="74">
        <v>23</v>
      </c>
      <c r="H26" s="74">
        <v>22</v>
      </c>
      <c r="I26" s="74">
        <v>23</v>
      </c>
      <c r="J26" s="74">
        <v>22</v>
      </c>
      <c r="K26" s="74">
        <v>21</v>
      </c>
      <c r="L26" s="74">
        <v>24</v>
      </c>
      <c r="M26" s="74">
        <v>22</v>
      </c>
      <c r="N26" s="74">
        <v>23</v>
      </c>
      <c r="O26" s="74">
        <v>24</v>
      </c>
      <c r="P26" s="74">
        <v>22</v>
      </c>
      <c r="Q26" s="93">
        <v>25</v>
      </c>
      <c r="R26" s="74">
        <v>23</v>
      </c>
      <c r="S26" s="74">
        <v>23</v>
      </c>
      <c r="T26" s="74">
        <v>23</v>
      </c>
      <c r="U26" s="74">
        <v>24</v>
      </c>
      <c r="V26" s="74">
        <v>23</v>
      </c>
      <c r="W26" s="74">
        <v>25</v>
      </c>
      <c r="X26" s="74">
        <v>28</v>
      </c>
      <c r="Y26" s="74">
        <v>26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59" t="s" ph="1">
        <v>181</v>
      </c>
      <c r="D27" s="71">
        <v>91.2</v>
      </c>
      <c r="E27" s="71">
        <v>95.74</v>
      </c>
      <c r="F27" s="71">
        <v>4005</v>
      </c>
      <c r="G27" s="71">
        <v>1504</v>
      </c>
      <c r="H27" s="71">
        <v>1722</v>
      </c>
      <c r="I27" s="71">
        <v>3245</v>
      </c>
      <c r="J27" s="71">
        <v>3189</v>
      </c>
      <c r="K27" s="71">
        <v>0</v>
      </c>
      <c r="L27" s="71">
        <v>0</v>
      </c>
      <c r="M27" s="71">
        <v>5258</v>
      </c>
      <c r="N27" s="71">
        <v>5325</v>
      </c>
      <c r="O27" s="71">
        <v>0</v>
      </c>
      <c r="P27" s="71">
        <v>1233</v>
      </c>
      <c r="Q27" s="90">
        <v>1337</v>
      </c>
      <c r="R27" s="71">
        <v>2909</v>
      </c>
      <c r="S27" s="71">
        <v>1582</v>
      </c>
      <c r="T27" s="71">
        <v>1760</v>
      </c>
      <c r="U27" s="71">
        <v>4792</v>
      </c>
      <c r="V27" s="71">
        <v>9656</v>
      </c>
      <c r="W27" s="71">
        <v>10915</v>
      </c>
      <c r="X27" s="71">
        <v>3892</v>
      </c>
      <c r="Y27" s="71">
        <v>5354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59" t="s" ph="1">
        <v>179</v>
      </c>
      <c r="D28" s="91" ph="1">
        <f>D27*268.68*LOOKUP(D29,密度!$A$2:$A$50,密度!$Q$2:$Q$50)+IF(D27&lt;=0,0,1566*LOOKUP(D29,密度!$A$2:$A$50,密度!$Q$2:$Q$50))</f>
        <v>24681.148251840004</v>
      </c>
      <c r="E28" s="91" ph="1">
        <f>E27*268.68*LOOKUP(E29,密度!$A$2:$A$50,密度!$C$2:$C$50)+IF(E27&lt;=0,0,1566*LOOKUP(E29,密度!$A$2:$A$50,密度!$C$2:$C$50))</f>
        <v>30261.241386480004</v>
      </c>
      <c r="F28" s="91" ph="1">
        <f>F27*11.702*LOOKUP(F29,密度!$A$2:$A$50,密度!$Q$2:$Q$50)</f>
        <v>44303.849233200002</v>
      </c>
      <c r="G28" s="91" ph="1">
        <f>G27*18.322*LOOKUP(G29,密度!$A$2:$A$50,密度!$B$2:$B$50)</f>
        <v>21458.0814656</v>
      </c>
      <c r="H28" s="91" ph="1">
        <f>H27*18.322*LOOKUP(H29,密度!$A$2:$A$50,密度!$B$2:$B$50)</f>
        <v>24596.757326399998</v>
      </c>
      <c r="I28" s="91" ph="1">
        <f>I27*18.322*LOOKUP(I29,密度!$A$2:$A$50,密度!$Q$2:$Q$50)</f>
        <v>56331.724628299999</v>
      </c>
      <c r="J28" s="91" ph="1">
        <f>J27*18.322*LOOKUP(J29,密度!$A$2:$A$50,密度!$Q$2:$Q$50)</f>
        <v>55316.937022919999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91206.163332240001</v>
      </c>
      <c r="N28" s="91" ph="1">
        <f>N27*18.322*LOOKUP(N29,密度!$A$2:$A$50,密度!$Q$2:$Q$50)</f>
        <v>92368.356740999996</v>
      </c>
      <c r="O28" s="91" ph="1">
        <f>O27*18.322*LOOKUP(O29,密度!$A$2:$A$50,密度!$C$2:$C$50)</f>
        <v>0</v>
      </c>
      <c r="P28" s="91" ph="1">
        <f>P27*11.702*LOOKUP(P29,密度!$A$2:$A$50,密度!$B$2:$B$50)</f>
        <v>11261.495763000001</v>
      </c>
      <c r="Q28" s="92" ph="1">
        <f>Q27*18.322*LOOKUP(Q29,密度!$A$2:$A$50,密度!$B$2:$B$50)</f>
        <v>19119.529177</v>
      </c>
      <c r="R28" s="91" ph="1">
        <f>R27*35.891*LOOKUP(R29,密度!$A$2:$A$50,密度!$C$2:$C$50)</f>
        <v>115776.83247909999</v>
      </c>
      <c r="S28" s="91" ph="1">
        <f>S27*35.891*LOOKUP(S29,密度!$A$2:$A$50,密度!$B$2:$B$50)</f>
        <v>44316.448140999993</v>
      </c>
      <c r="T28" s="91" ph="1">
        <f>T27*35.891*LOOKUP(T29,密度!$A$2:$A$50,密度!$Q$2:$Q$50)</f>
        <v>59758.974404799999</v>
      </c>
      <c r="U28" s="91" ph="1">
        <f>U27*35.891</f>
        <v>171989.67199999999</v>
      </c>
      <c r="V28" s="91" ph="1">
        <f>V27*47.051*LOOKUP(V29,密度!$A$2:$A$50,密度!$B$2:$B$50)</f>
        <v>354191.3458976</v>
      </c>
      <c r="W28" s="91" ph="1">
        <f>W27*47.051*LOOKUP(W29,密度!$A$2:$A$50,密度!$B$2:$B$50)</f>
        <v>400372.67403400003</v>
      </c>
      <c r="X28" s="91" ph="1">
        <f>X27*47.051*LOOKUP(X29,密度!$A$2:$A$50,密度!$I$2:$I$50)</f>
        <v>190245.95693879999</v>
      </c>
      <c r="Y28" s="91" ph="1">
        <f>Y27*47.051*LOOKUP(Y29,密度!$A$2:$A$50,密度!$L$2:$L$50)</f>
        <v>235536.83549000003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59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125942.82677520002</v>
      </c>
      <c r="E33" s="218" ph="1">
        <f>M10+I10</f>
        <v>39745.137347999997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22" ph="1">
        <v>0</v>
      </c>
      <c r="H33" s="218" ph="1">
        <f>N19</f>
        <v>16665.35861386</v>
      </c>
      <c r="I33" s="231" ph="1">
        <v>0</v>
      </c>
      <c r="J33" s="229" ph="1">
        <f>F10+O28</f>
        <v>197450.7096042</v>
      </c>
      <c r="K33" s="218" ph="1">
        <f>O10+K10+E28+R28</f>
        <v>148438.77093917999</v>
      </c>
      <c r="L33" s="233" ph="1">
        <f>BE27</f>
        <v>7100</v>
      </c>
      <c r="M33" s="229" ph="1">
        <f>G10+H10+W28+S28+V28+E10</f>
        <v>1397197.8591136001</v>
      </c>
      <c r="N33" s="218" ph="1">
        <f>L10+P10++G28+H28</f>
        <v>228773.693134</v>
      </c>
      <c r="O33" s="231" ph="1">
        <f>BE17</f>
        <v>2270</v>
      </c>
      <c r="P33" s="229" ph="1">
        <f>L19</f>
        <v>17930.335167360001</v>
      </c>
      <c r="Q33" s="218" ph="1">
        <f>J10+N10</f>
        <v>148743.34405119999</v>
      </c>
      <c r="R33" s="231" ph="1">
        <f>BE23</f>
        <v>890</v>
      </c>
      <c r="S33" s="229" ph="1">
        <f>E10+X28</f>
        <v>378365.73952980002</v>
      </c>
      <c r="T33" s="218" ph="1">
        <f>X19</f>
        <v>7218.3731943599987</v>
      </c>
      <c r="U33" s="239" ph="1">
        <f>BE21</f>
        <v>730</v>
      </c>
      <c r="V33" s="250" ph="1">
        <f ca="1">P19+Q19+S19+M28+N28+J28</f>
        <v>239130.78333687998</v>
      </c>
      <c r="W33" s="250" ph="1">
        <f>D28+F28+V19+T28</f>
        <v>134014.97188984</v>
      </c>
      <c r="X33" s="231" ph="1">
        <f>BE29+BE31</f>
        <v>10200</v>
      </c>
      <c r="Y33" s="252" ph="1">
        <f>+Q10+R10+S10+T10+U10+V10+W10+X10+Y10</f>
        <v>142707.95126279999</v>
      </c>
      <c r="Z33" s="237" ph="1">
        <f>D10+T19+U19+Y28+Z10</f>
        <v>497383.28306001006</v>
      </c>
      <c r="AA33" s="239" ph="1">
        <f>BE19</f>
        <v>1440</v>
      </c>
      <c r="AB33" s="241" ph="1">
        <f>I19</f>
        <v>1090.0772503999999</v>
      </c>
      <c r="AC33" s="243" ph="1">
        <f>AD10</f>
        <v>106005.68032320001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1" t="s" ph="1">
        <v>186</v>
      </c>
      <c r="AA36" s="161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9" priority="96">
      <formula>ABS(D$7-D$10)&gt;=1000</formula>
    </cfRule>
  </conditionalFormatting>
  <conditionalFormatting sqref="E4 E6:E11">
    <cfRule type="expression" dxfId="1258" priority="95">
      <formula>ABS(E$7-E$10)&gt;=1000</formula>
    </cfRule>
  </conditionalFormatting>
  <conditionalFormatting sqref="F4:F11">
    <cfRule type="expression" dxfId="1257" priority="94">
      <formula>ABS(F$7-F$10)&gt;=1000</formula>
    </cfRule>
  </conditionalFormatting>
  <conditionalFormatting sqref="G4:G11">
    <cfRule type="expression" dxfId="1256" priority="93">
      <formula>ABS(G$7-G$10)&gt;=1000</formula>
    </cfRule>
  </conditionalFormatting>
  <conditionalFormatting sqref="H4:H11">
    <cfRule type="expression" dxfId="1255" priority="92">
      <formula>ABS(H$7-H$10)&gt;=1000</formula>
    </cfRule>
  </conditionalFormatting>
  <conditionalFormatting sqref="I4:I11">
    <cfRule type="expression" dxfId="1254" priority="91">
      <formula>ABS(I$7-I$10)&gt;=1000</formula>
    </cfRule>
  </conditionalFormatting>
  <conditionalFormatting sqref="J4:J11">
    <cfRule type="expression" dxfId="1253" priority="90">
      <formula>ABS(J$7-J$10)&gt;=1000</formula>
    </cfRule>
  </conditionalFormatting>
  <conditionalFormatting sqref="K4:K11">
    <cfRule type="expression" dxfId="1252" priority="89">
      <formula>ABS(K$7-K$10)&gt;=1000</formula>
    </cfRule>
  </conditionalFormatting>
  <conditionalFormatting sqref="L4:L11">
    <cfRule type="expression" dxfId="1251" priority="88">
      <formula>ABS(L$7-L$10)&gt;=1000</formula>
    </cfRule>
  </conditionalFormatting>
  <conditionalFormatting sqref="M4 M6:M11">
    <cfRule type="expression" dxfId="1250" priority="87">
      <formula>ABS(M$7-M$10)&gt;=1000</formula>
    </cfRule>
  </conditionalFormatting>
  <conditionalFormatting sqref="N4 N6:N11">
    <cfRule type="expression" dxfId="1249" priority="86">
      <formula>ABS(N$7-N$10)&gt;=1000</formula>
    </cfRule>
  </conditionalFormatting>
  <conditionalFormatting sqref="O4 O6:O11">
    <cfRule type="expression" dxfId="1248" priority="85">
      <formula>ABS(O$7-O$10)&gt;=1000</formula>
    </cfRule>
  </conditionalFormatting>
  <conditionalFormatting sqref="P4 P6:P11">
    <cfRule type="expression" dxfId="1247" priority="84">
      <formula>ABS(P$7-P$10)&gt;=1000</formula>
    </cfRule>
  </conditionalFormatting>
  <conditionalFormatting sqref="Q4:Q11">
    <cfRule type="expression" dxfId="1246" priority="83">
      <formula>ABS(Q$7-Q$10)&gt;=1000</formula>
    </cfRule>
  </conditionalFormatting>
  <conditionalFormatting sqref="R4:R11">
    <cfRule type="expression" dxfId="1245" priority="82">
      <formula>ABS(R$7-R$10)&gt;=1000</formula>
    </cfRule>
  </conditionalFormatting>
  <conditionalFormatting sqref="S4:S11">
    <cfRule type="expression" dxfId="1244" priority="81">
      <formula>ABS(S$7-S$10)&gt;=1000</formula>
    </cfRule>
  </conditionalFormatting>
  <conditionalFormatting sqref="T4:T9 T11">
    <cfRule type="expression" dxfId="1243" priority="80">
      <formula>ABS(T$7-T$10)&gt;=1000</formula>
    </cfRule>
  </conditionalFormatting>
  <conditionalFormatting sqref="U4:U9 U11">
    <cfRule type="expression" dxfId="1242" priority="79">
      <formula>ABS(U$7-U$10)&gt;=1000</formula>
    </cfRule>
  </conditionalFormatting>
  <conditionalFormatting sqref="V4:V9 V11">
    <cfRule type="expression" dxfId="1241" priority="78">
      <formula>ABS(V$7-V$10)&gt;=1000</formula>
    </cfRule>
  </conditionalFormatting>
  <conditionalFormatting sqref="W4:W9 W11">
    <cfRule type="expression" dxfId="1240" priority="77">
      <formula>ABS(W$7-W$10)&gt;=1000</formula>
    </cfRule>
  </conditionalFormatting>
  <conditionalFormatting sqref="X4:X9 X11">
    <cfRule type="expression" dxfId="1239" priority="76">
      <formula>ABS(X$7-X$10)&gt;=1000</formula>
    </cfRule>
  </conditionalFormatting>
  <conditionalFormatting sqref="Y4:Y9 Y11">
    <cfRule type="expression" dxfId="1238" priority="75">
      <formula>ABS(Y$7-Y$10)&gt;=1000</formula>
    </cfRule>
  </conditionalFormatting>
  <conditionalFormatting sqref="Z4:Z11">
    <cfRule type="expression" dxfId="1237" priority="74">
      <formula>ABS(Z$7-Z$10)&gt;=1000</formula>
    </cfRule>
  </conditionalFormatting>
  <conditionalFormatting sqref="AA4:AA11">
    <cfRule type="expression" dxfId="1236" priority="73">
      <formula>ABS(AA$7-AA$10)&gt;=1000</formula>
    </cfRule>
  </conditionalFormatting>
  <conditionalFormatting sqref="AB4:AB11">
    <cfRule type="expression" dxfId="1235" priority="72">
      <formula>ABS(AB$7-AB$10)&gt;=1000</formula>
    </cfRule>
  </conditionalFormatting>
  <conditionalFormatting sqref="AC4 AC6:AC11">
    <cfRule type="expression" dxfId="1234" priority="71">
      <formula>ABS(AC$7-AC$10)&gt;=1000</formula>
    </cfRule>
  </conditionalFormatting>
  <conditionalFormatting sqref="AD4:AD11">
    <cfRule type="expression" dxfId="1233" priority="70">
      <formula>ABS(AD$7-AD$10)&gt;=1000</formula>
    </cfRule>
  </conditionalFormatting>
  <conditionalFormatting sqref="AE4:AE11">
    <cfRule type="expression" dxfId="1232" priority="69">
      <formula>ABS(AE$7-AE$10)&gt;=1000</formula>
    </cfRule>
  </conditionalFormatting>
  <conditionalFormatting sqref="D13:D20">
    <cfRule type="expression" dxfId="1231" priority="68">
      <formula>ABS(D$16-D$19)&gt;=1000</formula>
    </cfRule>
  </conditionalFormatting>
  <conditionalFormatting sqref="E13:E20">
    <cfRule type="expression" dxfId="1230" priority="67">
      <formula>ABS(E$16-E$19)&gt;=1000</formula>
    </cfRule>
  </conditionalFormatting>
  <conditionalFormatting sqref="F13 F15:F20">
    <cfRule type="expression" dxfId="1229" priority="66">
      <formula>ABS(F$16-F$19)&gt;=1000</formula>
    </cfRule>
  </conditionalFormatting>
  <conditionalFormatting sqref="G13:G20">
    <cfRule type="expression" dxfId="1228" priority="65">
      <formula>ABS(G$16-G$19)&gt;=1000</formula>
    </cfRule>
  </conditionalFormatting>
  <conditionalFormatting sqref="H13:H20">
    <cfRule type="expression" dxfId="1227" priority="64">
      <formula>ABS(H$16-H$19)&gt;=1000</formula>
    </cfRule>
  </conditionalFormatting>
  <conditionalFormatting sqref="I13:I20">
    <cfRule type="expression" dxfId="1226" priority="63">
      <formula>ABS(I$16-I$19)&gt;=1000</formula>
    </cfRule>
  </conditionalFormatting>
  <conditionalFormatting sqref="J13:J20">
    <cfRule type="expression" dxfId="1225" priority="62">
      <formula>ABS(J$16-J$19)&gt;=1000</formula>
    </cfRule>
  </conditionalFormatting>
  <conditionalFormatting sqref="L13:L20">
    <cfRule type="expression" dxfId="1224" priority="61">
      <formula>ABS(L$16-L$19)&gt;=1000</formula>
    </cfRule>
  </conditionalFormatting>
  <conditionalFormatting sqref="M13 M15 M17:M18 M20">
    <cfRule type="expression" dxfId="1223" priority="60">
      <formula>ABS(M$16-M$19)&gt;=1000</formula>
    </cfRule>
  </conditionalFormatting>
  <conditionalFormatting sqref="N13:N20">
    <cfRule type="expression" dxfId="1222" priority="59">
      <formula>ABS(N$16-N$19)&gt;=1000</formula>
    </cfRule>
  </conditionalFormatting>
  <conditionalFormatting sqref="O13:O20">
    <cfRule type="expression" dxfId="1221" priority="58">
      <formula>ABS(O$16-O$19)&gt;=1000</formula>
    </cfRule>
  </conditionalFormatting>
  <conditionalFormatting sqref="P13:P20">
    <cfRule type="expression" dxfId="1220" priority="57">
      <formula>ABS(P$16-P$19)&gt;=1000</formula>
    </cfRule>
  </conditionalFormatting>
  <conditionalFormatting sqref="Q13 Q15:Q20">
    <cfRule type="expression" dxfId="1219" priority="56">
      <formula>ABS(Q$16-Q$19)&gt;=1000</formula>
    </cfRule>
  </conditionalFormatting>
  <conditionalFormatting sqref="R13:R20">
    <cfRule type="expression" dxfId="1218" priority="55">
      <formula>ABS(R$16-R$19)&gt;=1000</formula>
    </cfRule>
  </conditionalFormatting>
  <conditionalFormatting sqref="S13:S20">
    <cfRule type="expression" dxfId="1217" priority="54">
      <formula>ABS(S$16-S$19)&gt;=1000</formula>
    </cfRule>
  </conditionalFormatting>
  <conditionalFormatting sqref="T13:T20">
    <cfRule type="expression" dxfId="1216" priority="53">
      <formula>ABS(T$16-T$19)&gt;=1000</formula>
    </cfRule>
  </conditionalFormatting>
  <conditionalFormatting sqref="U13:U20">
    <cfRule type="expression" dxfId="1215" priority="52">
      <formula>ABS(U$16-U$19)&gt;=1000</formula>
    </cfRule>
  </conditionalFormatting>
  <conditionalFormatting sqref="V13:V20">
    <cfRule type="expression" dxfId="1214" priority="51">
      <formula>ABS(V$16-V$19)&gt;=1000</formula>
    </cfRule>
  </conditionalFormatting>
  <conditionalFormatting sqref="W13 W20 W15:W18">
    <cfRule type="expression" dxfId="1213" priority="50">
      <formula>ABS(W$16-W$19)&gt;=1000</formula>
    </cfRule>
  </conditionalFormatting>
  <conditionalFormatting sqref="X13 X15:X20 Y19">
    <cfRule type="expression" dxfId="1212" priority="49">
      <formula>ABS(X$16-X$19)&gt;=1000</formula>
    </cfRule>
  </conditionalFormatting>
  <conditionalFormatting sqref="Y13 Y15:Y18 Y20">
    <cfRule type="expression" dxfId="1211" priority="48">
      <formula>ABS(Y$16-Y$19)&gt;=1000</formula>
    </cfRule>
  </conditionalFormatting>
  <conditionalFormatting sqref="Z13:Z20">
    <cfRule type="expression" dxfId="1210" priority="47">
      <formula>ABS(Z$16-Z$19)&gt;=1000</formula>
    </cfRule>
  </conditionalFormatting>
  <conditionalFormatting sqref="AA13:AA20">
    <cfRule type="expression" dxfId="1209" priority="46">
      <formula>ABS(AA$16-AA$19)&gt;=1000</formula>
    </cfRule>
  </conditionalFormatting>
  <conditionalFormatting sqref="AB13 AB15:AB20">
    <cfRule type="expression" dxfId="1208" priority="45">
      <formula>ABS(AB$16-AB$19)&gt;=1000</formula>
    </cfRule>
  </conditionalFormatting>
  <conditionalFormatting sqref="AC13 AC15:AC20">
    <cfRule type="expression" dxfId="1207" priority="44">
      <formula>ABS(AC$16-AC$19)&gt;=1000</formula>
    </cfRule>
  </conditionalFormatting>
  <conditionalFormatting sqref="AD13:AD20">
    <cfRule type="expression" dxfId="1206" priority="43">
      <formula>ABS(AD$16-AD$19)&gt;=1000</formula>
    </cfRule>
  </conditionalFormatting>
  <conditionalFormatting sqref="AE13:AE20">
    <cfRule type="expression" dxfId="1205" priority="42">
      <formula>ABS(AE$16-AE$19)&gt;=1000</formula>
    </cfRule>
  </conditionalFormatting>
  <conditionalFormatting sqref="D22:D29">
    <cfRule type="expression" dxfId="1204" priority="41">
      <formula>ABS(D$25-D$28)&gt;=1000</formula>
    </cfRule>
  </conditionalFormatting>
  <conditionalFormatting sqref="E22:E29">
    <cfRule type="expression" dxfId="1203" priority="40">
      <formula>ABS(E$25-E$28)&gt;=1000</formula>
    </cfRule>
  </conditionalFormatting>
  <conditionalFormatting sqref="F22:F29">
    <cfRule type="expression" dxfId="1202" priority="39">
      <formula>ABS(F$25-F$28)&gt;=1000</formula>
    </cfRule>
  </conditionalFormatting>
  <conditionalFormatting sqref="G22:G29">
    <cfRule type="expression" dxfId="1201" priority="38">
      <formula>ABS(G$25-G$28)&gt;=1000</formula>
    </cfRule>
  </conditionalFormatting>
  <conditionalFormatting sqref="H22:H29">
    <cfRule type="expression" dxfId="1200" priority="37">
      <formula>ABS(H$25-H$28)&gt;=1000</formula>
    </cfRule>
  </conditionalFormatting>
  <conditionalFormatting sqref="I22 I24:I29">
    <cfRule type="expression" dxfId="1199" priority="36">
      <formula>ABS(I$25-I$28)&gt;=1000</formula>
    </cfRule>
  </conditionalFormatting>
  <conditionalFormatting sqref="J22:J29 K22">
    <cfRule type="expression" dxfId="1198" priority="35">
      <formula>ABS(J$25-J$28)&gt;=1000</formula>
    </cfRule>
  </conditionalFormatting>
  <conditionalFormatting sqref="K23:K29 L25 L28">
    <cfRule type="expression" dxfId="1197" priority="34">
      <formula>ABS(K$25-K$28)&gt;=1000</formula>
    </cfRule>
  </conditionalFormatting>
  <conditionalFormatting sqref="L22:L24 L26:L27 L29">
    <cfRule type="expression" dxfId="1196" priority="33">
      <formula>ABS(L$25-L$28)&gt;=1000</formula>
    </cfRule>
  </conditionalFormatting>
  <conditionalFormatting sqref="M22:M29">
    <cfRule type="expression" dxfId="1195" priority="32">
      <formula>ABS(M$25-M$28)&gt;=1000</formula>
    </cfRule>
  </conditionalFormatting>
  <conditionalFormatting sqref="N22:N29">
    <cfRule type="expression" dxfId="1194" priority="31">
      <formula>ABS(N$25-N$28)&gt;=1000</formula>
    </cfRule>
  </conditionalFormatting>
  <conditionalFormatting sqref="O22:O29">
    <cfRule type="expression" dxfId="1193" priority="30">
      <formula>ABS(O$25-O$28)&gt;=1000</formula>
    </cfRule>
  </conditionalFormatting>
  <conditionalFormatting sqref="P22:P29">
    <cfRule type="expression" dxfId="1192" priority="29">
      <formula>ABS(P$25-P$28)&gt;=1000</formula>
    </cfRule>
  </conditionalFormatting>
  <conditionalFormatting sqref="Q22:Q29">
    <cfRule type="expression" dxfId="1191" priority="28">
      <formula>ABS(Q$25-Q$28)&gt;=1000</formula>
    </cfRule>
  </conditionalFormatting>
  <conditionalFormatting sqref="R22:R29">
    <cfRule type="expression" dxfId="1190" priority="27">
      <formula>ABS(R$25-R$28)&gt;=1000</formula>
    </cfRule>
  </conditionalFormatting>
  <conditionalFormatting sqref="S22:S29">
    <cfRule type="expression" dxfId="1189" priority="26">
      <formula>ABS(S$25-S$28)&gt;=1000</formula>
    </cfRule>
  </conditionalFormatting>
  <conditionalFormatting sqref="T22:T29">
    <cfRule type="expression" dxfId="1188" priority="25">
      <formula>ABS(T$25-T$28)&gt;=1000</formula>
    </cfRule>
  </conditionalFormatting>
  <conditionalFormatting sqref="U22:U29">
    <cfRule type="expression" dxfId="1187" priority="24">
      <formula>ABS(U$25-U$28)&gt;=1000</formula>
    </cfRule>
  </conditionalFormatting>
  <conditionalFormatting sqref="V22:V29">
    <cfRule type="expression" dxfId="1186" priority="23">
      <formula>ABS(V$25-V$28)&gt;=1000</formula>
    </cfRule>
  </conditionalFormatting>
  <conditionalFormatting sqref="W22:W29">
    <cfRule type="expression" dxfId="1185" priority="22">
      <formula>ABS(W$25-W$28)&gt;=1000</formula>
    </cfRule>
  </conditionalFormatting>
  <conditionalFormatting sqref="X22:X29">
    <cfRule type="expression" dxfId="1184" priority="21">
      <formula>ABS(X$25-X$28)&gt;=1000</formula>
    </cfRule>
  </conditionalFormatting>
  <conditionalFormatting sqref="Y22:Y29">
    <cfRule type="expression" dxfId="1183" priority="20">
      <formula>ABS(Y$25-Y$28)&gt;=1000</formula>
    </cfRule>
  </conditionalFormatting>
  <conditionalFormatting sqref="I23">
    <cfRule type="expression" dxfId="1182" priority="19">
      <formula>ABS(I$25-I$28)&gt;=1000</formula>
    </cfRule>
  </conditionalFormatting>
  <conditionalFormatting sqref="F14">
    <cfRule type="expression" dxfId="1181" priority="18">
      <formula>ABS(F$16-F$19)&gt;=1000</formula>
    </cfRule>
  </conditionalFormatting>
  <conditionalFormatting sqref="Q14">
    <cfRule type="expression" dxfId="1180" priority="17">
      <formula>ABS(Q$16-Q$19)&gt;=1000</formula>
    </cfRule>
  </conditionalFormatting>
  <conditionalFormatting sqref="W14">
    <cfRule type="expression" dxfId="1179" priority="16">
      <formula>ABS(W$16-W$19)&gt;=1000</formula>
    </cfRule>
  </conditionalFormatting>
  <conditionalFormatting sqref="Y14">
    <cfRule type="expression" dxfId="1178" priority="15">
      <formula>ABS(Y$16-Y$19)&gt;=1000</formula>
    </cfRule>
  </conditionalFormatting>
  <conditionalFormatting sqref="X14">
    <cfRule type="expression" dxfId="1177" priority="14">
      <formula>ABS(X$16-X$19)&gt;=1000</formula>
    </cfRule>
  </conditionalFormatting>
  <conditionalFormatting sqref="T10:Y10">
    <cfRule type="expression" dxfId="1176" priority="13">
      <formula>ABS(T$7-T$10)&gt;=1000</formula>
    </cfRule>
  </conditionalFormatting>
  <conditionalFormatting sqref="W19">
    <cfRule type="expression" dxfId="1175" priority="12">
      <formula>ABS(W$16-W$19)&gt;=1000</formula>
    </cfRule>
  </conditionalFormatting>
  <conditionalFormatting sqref="AC5">
    <cfRule type="expression" dxfId="1174" priority="11">
      <formula>ABS(AC$7-AC$10)&gt;=1000</formula>
    </cfRule>
  </conditionalFormatting>
  <conditionalFormatting sqref="M14">
    <cfRule type="expression" dxfId="1173" priority="10">
      <formula>ABS(M$16-M$19)&gt;=1000</formula>
    </cfRule>
  </conditionalFormatting>
  <conditionalFormatting sqref="M16">
    <cfRule type="expression" dxfId="1172" priority="9">
      <formula>ABS(M$16-M$19)&gt;=1000</formula>
    </cfRule>
  </conditionalFormatting>
  <conditionalFormatting sqref="M19">
    <cfRule type="expression" dxfId="1171" priority="8">
      <formula>ABS(M$16-M$19)&gt;=1000</formula>
    </cfRule>
  </conditionalFormatting>
  <conditionalFormatting sqref="K13:K20">
    <cfRule type="expression" dxfId="1170" priority="7">
      <formula>ABS(K$16-K$19)&gt;=1000</formula>
    </cfRule>
  </conditionalFormatting>
  <conditionalFormatting sqref="E5">
    <cfRule type="expression" dxfId="1169" priority="6">
      <formula>ABS(E$7-E$10)&gt;=1000</formula>
    </cfRule>
  </conditionalFormatting>
  <conditionalFormatting sqref="AB14:AC14">
    <cfRule type="expression" dxfId="1168" priority="5">
      <formula>ABS(AB$16-AB$19)&gt;=1000</formula>
    </cfRule>
  </conditionalFormatting>
  <conditionalFormatting sqref="M5">
    <cfRule type="expression" dxfId="1167" priority="4">
      <formula>ABS(M$7-M$10)&gt;=1000</formula>
    </cfRule>
  </conditionalFormatting>
  <conditionalFormatting sqref="N5">
    <cfRule type="expression" dxfId="1166" priority="3">
      <formula>ABS(N$7-N$10)&gt;=1000</formula>
    </cfRule>
  </conditionalFormatting>
  <conditionalFormatting sqref="O5">
    <cfRule type="expression" dxfId="1165" priority="2">
      <formula>ABS(O$7-O$10)&gt;=1000</formula>
    </cfRule>
  </conditionalFormatting>
  <conditionalFormatting sqref="P5">
    <cfRule type="expression" dxfId="1164" priority="1">
      <formula>ABS(P$7-P$10)&gt;=1000</formula>
    </cfRule>
  </conditionalFormatting>
  <dataValidations count="1">
    <dataValidation operator="greaterThanOrEqual" allowBlank="1" showErrorMessage="1" sqref="D6" xr:uid="{00000000-0002-0000-0E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34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38">
    <pageSetUpPr fitToPage="1"/>
  </sheetPr>
  <dimension ref="A1:CU223"/>
  <sheetViews>
    <sheetView view="pageBreakPreview" topLeftCell="A7" zoomScale="80" zoomScaleNormal="100" zoomScaleSheetLayoutView="80" workbookViewId="0">
      <selection activeCell="Z15" sqref="Z15:Z19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45796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64" t="s" ph="1">
        <v>178</v>
      </c>
      <c r="D6" s="71">
        <v>172</v>
      </c>
      <c r="E6" s="71">
        <v>4707</v>
      </c>
      <c r="F6" s="71">
        <v>4282</v>
      </c>
      <c r="G6" s="71">
        <v>7879</v>
      </c>
      <c r="H6" s="71">
        <v>1017</v>
      </c>
      <c r="I6" s="71">
        <v>0</v>
      </c>
      <c r="J6" s="71">
        <v>7.82</v>
      </c>
      <c r="K6" s="71">
        <v>56.82</v>
      </c>
      <c r="L6" s="71">
        <v>51.11</v>
      </c>
      <c r="M6" s="71">
        <v>1178</v>
      </c>
      <c r="N6" s="71">
        <v>5702</v>
      </c>
      <c r="O6" s="71">
        <v>0</v>
      </c>
      <c r="P6" s="71">
        <v>3808</v>
      </c>
      <c r="Q6" s="71">
        <v>1534</v>
      </c>
      <c r="R6" s="71">
        <v>7156</v>
      </c>
      <c r="S6" s="71">
        <v>5961</v>
      </c>
      <c r="T6" s="71">
        <v>4814</v>
      </c>
      <c r="U6" s="71">
        <v>5188</v>
      </c>
      <c r="V6" s="71">
        <v>2240</v>
      </c>
      <c r="W6" s="71">
        <v>0</v>
      </c>
      <c r="X6" s="71">
        <v>0</v>
      </c>
      <c r="Y6" s="71">
        <v>0</v>
      </c>
      <c r="Z6" s="71">
        <v>2085</v>
      </c>
      <c r="AA6" s="71">
        <v>2165</v>
      </c>
      <c r="AB6" s="71">
        <v>2516</v>
      </c>
      <c r="AC6" s="71">
        <v>7121</v>
      </c>
      <c r="AD6" s="71">
        <v>5418</v>
      </c>
      <c r="AE6" s="71">
        <v>3038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5391.3959791199995</v>
      </c>
      <c r="E7" s="73" ph="1">
        <f>E6*51.53*LOOKUP(E8,密度!$A$2:$A$50,密度!$B$2:$B$50)</f>
        <v>188462.67866999999</v>
      </c>
      <c r="F7" s="73" ph="1">
        <f>F6*33.183*LOOKUP(F8,密度!$A$2:$A$50,密度!$C$2:$C$50)</f>
        <v>157350.02968439998</v>
      </c>
      <c r="G7" s="73" ph="1">
        <f xml:space="preserve"> (G6+2)*51.53*LOOKUP(G8,密度!$A$2:$A$50,密度!$B$2:$B$50)</f>
        <v>315911.35874699999</v>
      </c>
      <c r="H7" s="73" ph="1">
        <f>(H6)*51.53*LOOKUP(H8,密度!$A$2:$A$50,密度!$B$2:$B$50)</f>
        <v>40950.056214000004</v>
      </c>
      <c r="I7" s="73" ph="1">
        <f>I6*290.8*1.0267</f>
        <v>0</v>
      </c>
      <c r="J7" s="73" ph="1">
        <f>J6*290.8*0.7892</f>
        <v>1794.6849952</v>
      </c>
      <c r="K7" s="73" ph="1">
        <f>K6*290.8*1.1126</f>
        <v>18383.774625600003</v>
      </c>
      <c r="L7" s="73" ph="1">
        <f>L6*290.8*0.777</f>
        <v>11548.386276000001</v>
      </c>
      <c r="M7" s="73" ph="1">
        <f>M6*33.183*LOOKUP(M8,密度!$A$2:$A$50,密度!$D$2:$D$50)</f>
        <v>39914.364011399994</v>
      </c>
      <c r="N7" s="73" ph="1">
        <f>N6*33.183*LOOKUP(N8,密度!$A$2:$A$50,密度!$E$2:$E$50)</f>
        <v>147129.28076159998</v>
      </c>
      <c r="O7" s="73" ph="1">
        <f>O6*20.428*LOOKUP(O8,密度!$A$2:$A$50,密度!$C$2:$C$50)</f>
        <v>0</v>
      </c>
      <c r="P7" s="73" ph="1">
        <f>P6*51.53*LOOKUP(P8,密度!$A$2:$A$50,密度!$B$2:$B$50)</f>
        <v>152644.392096</v>
      </c>
      <c r="Q7" s="73" ph="1">
        <f>Q6*1.5*1.5*3.1416*LOOKUP(W8,密度!$A$2:$A$50,密度!$L$2:$L$50)</f>
        <v>10127.579061599999</v>
      </c>
      <c r="R7" s="73" ph="1">
        <f>R6*1.5*1.5*3.1416*LOOKUP(R8,密度!$A$2:$A$50,密度!$L$2:$L$50)</f>
        <v>46890.349783199999</v>
      </c>
      <c r="S7" s="73" ph="1">
        <f>S6*1.5*1.5*3.1416*LOOKUP(S8,密度!$A$2:$A$50,密度!$L$2:$L$50)</f>
        <v>39607.769123999999</v>
      </c>
      <c r="T7" s="73" ph="1">
        <f>T6*1.5*1.5*3.1416*LOOKUP(T8,密度!$A$2:$A$50,密度!$L$2:$L$50)</f>
        <v>31918.4894952</v>
      </c>
      <c r="U7" s="73" ph="1">
        <f>U6*1.5*1.5*3.1416*LOOKUP(U8,密度!$A$2:$A$50,密度!$L$2:$L$50)</f>
        <v>34214.879714400005</v>
      </c>
      <c r="V7" s="73" ph="1">
        <f>V6*1.5*1.5*3.1416*LOOKUP(V8,密度!$A$2:$A$50,密度!$L$2:$L$50)</f>
        <v>14788.642175999999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64689.428925</v>
      </c>
      <c r="AA7" s="73" ph="1">
        <f>AA6*33.183*LOOKUP(AA8,密度!$A$2:$A$50,密度!$D$2:$D$50)</f>
        <v>73421.701289999997</v>
      </c>
      <c r="AB7" s="73" ph="1">
        <f>AB6*20.428*LOOKUP(AB8,密度!$A$2:$A$50,密度!$D$2:$D$50)</f>
        <v>53010.709027200013</v>
      </c>
      <c r="AC7" s="73" ph="1">
        <f>AC6*51.53*LOOKUP(AC8,密度!$A$2:$A$50,密度!$Q$2:$Q$50)</f>
        <v>346880.57029160002</v>
      </c>
      <c r="AD7" s="73" ph="1">
        <f>AD6*20.428*LOOKUP(AD8,密度!$A$2:$A$50,密度!$V$2:$V$50)</f>
        <v>105986.1184704</v>
      </c>
      <c r="AE7" s="73" ph="1">
        <f>AE6*20.428</f>
        <v>62060.264000000003</v>
      </c>
    </row>
    <row r="8" spans="1:99" ph="1">
      <c r="B8" s="196" ph="1"/>
      <c r="C8" s="68" t="s" ph="1">
        <v>180</v>
      </c>
      <c r="D8" s="74">
        <v>28</v>
      </c>
      <c r="E8" s="74">
        <v>28</v>
      </c>
      <c r="F8" s="74">
        <v>27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30</v>
      </c>
      <c r="P8" s="74">
        <v>27</v>
      </c>
      <c r="Q8" s="74">
        <v>28</v>
      </c>
      <c r="R8" s="74">
        <v>35</v>
      </c>
      <c r="S8" s="74">
        <v>22</v>
      </c>
      <c r="T8" s="74">
        <v>24</v>
      </c>
      <c r="U8" s="74">
        <v>29</v>
      </c>
      <c r="V8" s="74">
        <v>28</v>
      </c>
      <c r="W8" s="74">
        <v>28</v>
      </c>
      <c r="X8" s="74">
        <v>20</v>
      </c>
      <c r="Y8" s="74">
        <v>27</v>
      </c>
      <c r="Z8" s="74">
        <v>27</v>
      </c>
      <c r="AA8" s="74">
        <v>30</v>
      </c>
      <c r="AB8" s="74">
        <v>20</v>
      </c>
      <c r="AC8" s="74">
        <v>27</v>
      </c>
      <c r="AD8" s="74">
        <v>26</v>
      </c>
      <c r="AE8" s="74">
        <v>28</v>
      </c>
    </row>
    <row r="9" spans="1:99" ph="1">
      <c r="B9" s="196" ph="1">
        <v>0.66666666666666663</v>
      </c>
      <c r="C9" s="164" t="s" ph="1">
        <v>181</v>
      </c>
      <c r="D9" s="71">
        <v>482</v>
      </c>
      <c r="E9" s="71">
        <v>4699</v>
      </c>
      <c r="F9" s="71">
        <v>4845</v>
      </c>
      <c r="G9" s="71">
        <v>8787</v>
      </c>
      <c r="H9" s="71">
        <v>1019</v>
      </c>
      <c r="I9" s="71">
        <v>0</v>
      </c>
      <c r="J9" s="71">
        <v>7.8</v>
      </c>
      <c r="K9" s="71">
        <v>9.8000000000000007</v>
      </c>
      <c r="L9" s="71">
        <v>9.9</v>
      </c>
      <c r="M9" s="71">
        <v>1178</v>
      </c>
      <c r="N9" s="71">
        <v>5709</v>
      </c>
      <c r="O9" s="71">
        <v>1083</v>
      </c>
      <c r="P9" s="71">
        <v>3468</v>
      </c>
      <c r="Q9" s="71">
        <v>0</v>
      </c>
      <c r="R9" s="71">
        <v>5482</v>
      </c>
      <c r="S9" s="71">
        <v>5969</v>
      </c>
      <c r="T9" s="71">
        <v>4818</v>
      </c>
      <c r="U9" s="71">
        <v>6876</v>
      </c>
      <c r="V9" s="71">
        <v>4418</v>
      </c>
      <c r="W9" s="71">
        <v>2515</v>
      </c>
      <c r="X9" s="71">
        <v>0</v>
      </c>
      <c r="Y9" s="71">
        <v>0</v>
      </c>
      <c r="Z9" s="71">
        <v>795</v>
      </c>
      <c r="AA9" s="71">
        <v>2168</v>
      </c>
      <c r="AB9" s="71">
        <v>2456</v>
      </c>
      <c r="AC9" s="71">
        <v>7463</v>
      </c>
      <c r="AD9" s="71">
        <v>5426</v>
      </c>
      <c r="AE9" s="71">
        <v>2913</v>
      </c>
    </row>
    <row r="10" spans="1:99" s="72" customFormat="1" ht="21.75" ph="1">
      <c r="B10" s="196" ph="1"/>
      <c r="C10" s="164" t="s" ph="1">
        <v>179</v>
      </c>
      <c r="D10" s="73" ph="1">
        <f>D9*33.183*LOOKUP(D11,密度!$A$2:$A$50,密度!$Q$2:$Q$50)</f>
        <v>15087.814345979999</v>
      </c>
      <c r="E10" s="73" ph="1">
        <f>E9*51.53*LOOKUP(E11,密度!$A$2:$A$50,密度!$B$2:$B$50)</f>
        <v>187948.65661400001</v>
      </c>
      <c r="F10" s="73" ph="1">
        <f>F9*33.183*LOOKUP(F11,密度!$A$2:$A$50,密度!$C$2:$C$50)</f>
        <v>177507.96220350004</v>
      </c>
      <c r="G10" s="73" ph="1">
        <f xml:space="preserve"> (G9+2)*51.53*LOOKUP(G11,密度!$A$2:$A$50,密度!$B$2:$B$50)</f>
        <v>351538.78335400001</v>
      </c>
      <c r="H10" s="73" ph="1">
        <f>(H9)*51.53*LOOKUP(H11,密度!$A$2:$A$50,密度!$B$2:$B$50)</f>
        <v>40757.540134000003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3170.7319840000005</v>
      </c>
      <c r="L10" s="73" ph="1">
        <f>L9*290.8*0.777</f>
        <v>2236.9208400000002</v>
      </c>
      <c r="M10" s="73" ph="1">
        <f>M9*33.183*LOOKUP(M11,密度!$A$2:$A$50,密度!$D$2:$D$50)</f>
        <v>39535.195143600002</v>
      </c>
      <c r="N10" s="73" ph="1">
        <f>N9*33.183*LOOKUP(N11,密度!$A$2:$A$50,密度!$E$2:$E$50)</f>
        <v>146877.97528404</v>
      </c>
      <c r="O10" s="73" ph="1">
        <f>O9*20.428*LOOKUP(O11,密度!$A$2:$A$50,密度!$C$2:$C$50)</f>
        <v>24262.8687708</v>
      </c>
      <c r="P10" s="73" ph="1">
        <f>P9*51.53*LOOKUP(P11,密度!$A$2:$A$50,密度!$B$2:$B$50)</f>
        <v>138389.95737600001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35921.310440399997</v>
      </c>
      <c r="S10" s="73" ph="1">
        <f>S9*1.5*1.5*3.1416*LOOKUP(S11,密度!$A$2:$A$50,密度!$L$2:$L$50)</f>
        <v>39534.347575800006</v>
      </c>
      <c r="T10" s="73" ph="1">
        <f>T9*1.5*1.5*3.1416*LOOKUP(T11,密度!$A$2:$A$50,密度!$L$2:$L$50)</f>
        <v>31706.6152788</v>
      </c>
      <c r="U10" s="73" ph="1">
        <f>U9*1.5*1.5*3.1416*LOOKUP(U11,密度!$A$2:$A$50,密度!$L$2:$L$50)</f>
        <v>45298.642435200003</v>
      </c>
      <c r="V10" s="73" ph="1">
        <f>V9*1.5*1.5*3.1416*LOOKUP(V11,密度!$A$2:$A$50,密度!$L$2:$L$50)</f>
        <v>29261.643087600001</v>
      </c>
      <c r="W10" s="73" ph="1">
        <f>W9*1.5*1.5*3.1416*LOOKUP(W11,密度!$A$2:$A$50,密度!$L$2:$L$50)</f>
        <v>16639.767144000001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24586.61202</v>
      </c>
      <c r="AA10" s="73" ph="1">
        <f>AA9*33.183*LOOKUP(AA11,密度!$A$2:$A$50,密度!$D$2:$D$50)</f>
        <v>73206.901094400004</v>
      </c>
      <c r="AB10" s="73" ph="1">
        <f>AB9*20.428*LOOKUP(AB11,密度!$A$2:$A$50,密度!$D$2:$D$50)</f>
        <v>51555.892236800006</v>
      </c>
      <c r="AC10" s="73" ph="1">
        <f>AC9*51.53*LOOKUP(AC11,密度!$A$2:$A$50,密度!$Q$2:$Q$50)</f>
        <v>364086.27754860005</v>
      </c>
      <c r="AD10" s="73" ph="1">
        <f>AD9*20.428*LOOKUP(AD11,密度!$A$2:$A$50,密度!$V$2:$V$50)</f>
        <v>106142.61329280002</v>
      </c>
      <c r="AE10" s="73" ph="1">
        <f>AE9*20.428</f>
        <v>59506.764000000003</v>
      </c>
    </row>
    <row r="11" spans="1:99" ph="1">
      <c r="A11" s="64" t="s" ph="1">
        <v>163</v>
      </c>
      <c r="B11" s="196" ph="1"/>
      <c r="C11" s="164" t="s" ph="1">
        <v>180</v>
      </c>
      <c r="D11" s="74">
        <v>30</v>
      </c>
      <c r="E11" s="74">
        <v>29</v>
      </c>
      <c r="F11" s="74">
        <v>31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32</v>
      </c>
      <c r="O11" s="74">
        <v>38</v>
      </c>
      <c r="P11" s="74">
        <v>31</v>
      </c>
      <c r="Q11" s="74">
        <v>27</v>
      </c>
      <c r="R11" s="74">
        <v>35</v>
      </c>
      <c r="S11" s="74">
        <v>25</v>
      </c>
      <c r="T11" s="74">
        <v>31</v>
      </c>
      <c r="U11" s="74">
        <v>30</v>
      </c>
      <c r="V11" s="74">
        <v>25</v>
      </c>
      <c r="W11" s="74">
        <v>26</v>
      </c>
      <c r="X11" s="74">
        <v>20</v>
      </c>
      <c r="Y11" s="74">
        <v>25</v>
      </c>
      <c r="Z11" s="74">
        <v>30</v>
      </c>
      <c r="AA11" s="74">
        <v>35</v>
      </c>
      <c r="AB11" s="74">
        <v>24</v>
      </c>
      <c r="AC11" s="74">
        <v>25</v>
      </c>
      <c r="AD11" s="74">
        <v>30</v>
      </c>
      <c r="AE11" s="74">
        <v>29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6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64" t="s" ph="1">
        <v>178</v>
      </c>
      <c r="D15" s="78">
        <v>4969</v>
      </c>
      <c r="E15" s="78">
        <v>2186</v>
      </c>
      <c r="F15" s="78">
        <v>1718</v>
      </c>
      <c r="G15" s="78">
        <v>3906</v>
      </c>
      <c r="H15" s="78">
        <v>0</v>
      </c>
      <c r="I15" s="78">
        <v>117</v>
      </c>
      <c r="J15" s="78">
        <v>3404</v>
      </c>
      <c r="K15" s="78">
        <v>1018</v>
      </c>
      <c r="L15" s="78">
        <v>2536</v>
      </c>
      <c r="M15" s="78">
        <v>3391</v>
      </c>
      <c r="N15" s="78">
        <v>3722</v>
      </c>
      <c r="O15" s="78">
        <v>0</v>
      </c>
      <c r="P15" s="78">
        <v>3048</v>
      </c>
      <c r="Q15" s="78">
        <v>7012</v>
      </c>
      <c r="R15" s="78">
        <v>3521</v>
      </c>
      <c r="S15" s="78">
        <v>0</v>
      </c>
      <c r="T15" s="78">
        <v>5294</v>
      </c>
      <c r="U15" s="78">
        <v>1776</v>
      </c>
      <c r="V15" s="78">
        <v>2384</v>
      </c>
      <c r="W15" s="71">
        <v>0</v>
      </c>
      <c r="X15" s="78">
        <v>150</v>
      </c>
      <c r="Y15" s="106">
        <v>-2366</v>
      </c>
      <c r="Z15" s="78">
        <v>0</v>
      </c>
      <c r="AA15" s="78">
        <v>4243</v>
      </c>
      <c r="AB15" s="78" ph="1">
        <v>5134</v>
      </c>
      <c r="AC15" s="78" ph="1">
        <v>36</v>
      </c>
      <c r="AD15" s="78">
        <v>84.62</v>
      </c>
      <c r="AE15" s="78">
        <v>25.71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64" t="s" ph="1">
        <v>179</v>
      </c>
      <c r="D16" s="73" ph="1">
        <f>D15*7.0686*LOOKUP(D17,密度!$A$2:$A$50,密度!$L$2:$L$50)</f>
        <v>32770.573882199998</v>
      </c>
      <c r="E16" s="73" ph="1">
        <f>E15*7.0686*LOOKUP(E17,密度!$A$2:$A$50,密度!$L$2:$L$50)</f>
        <v>14416.6783068</v>
      </c>
      <c r="F16" s="73" ph="1">
        <f>F15*9.0746*LOOKUP(F17,密度!$A$2:$A$50,密度!$L$2:$L$50)</f>
        <v>14452.080915600001</v>
      </c>
      <c r="G16" s="73" ph="1">
        <f>G15*9.0746*LOOKUP(G17,密度!$A$2:$A$50,密度!$B$2:$B$50)</f>
        <v>27512.70985512</v>
      </c>
      <c r="H16" s="73" ph="1">
        <f>H15*9.0746*LOOKUP(H17,密度!$A$2:$A$50,密度!$L$2:$L$50)</f>
        <v>0</v>
      </c>
      <c r="I16" s="73" ph="1">
        <f>I15*9.0746*LOOKUP(I17,密度!$A$2:$A$50,密度!$U$2:$U$50)</f>
        <v>1085.0862204</v>
      </c>
      <c r="J16" s="73" ph="1">
        <f>J15*9.0746*LOOKUP(J17,密度!$A$2:$A$50,密度!$L$2:$L$50)</f>
        <v>28882.092403999999</v>
      </c>
      <c r="K16" s="73" ph="1">
        <f>K15*9.0746*LOOKUP(K17,密度!$A$2:$A$50,密度!$C$2:$C$50)</f>
        <v>10236.564416680001</v>
      </c>
      <c r="L16" s="73" ph="1">
        <f>L15*9.0746*LOOKUP(L17,密度!$A$2:$A$50,密度!$E$2:$E$50)</f>
        <v>17895.053122559999</v>
      </c>
      <c r="M16" s="73" ph="1">
        <f>M15*9.0746*LOOKUP(M17,密度!$A$2:$A$50,密度!$M$2:$M$50)</f>
        <v>26704.529790452001</v>
      </c>
      <c r="N16" s="73" ph="1">
        <f>N15*9.0746*LOOKUP(N17,密度!$A$2:$A$50,密度!$M$2:$M$50)</f>
        <v>29489.529793720001</v>
      </c>
      <c r="O16" s="73" ph="1">
        <f>O15*9.0746*LOOKUP(O17,密度!$A$2:$A$50,密度!$G$2:$G$50)</f>
        <v>0</v>
      </c>
      <c r="P16" s="73" ph="1">
        <f ca="1">P15*9.0746*LOOKUP(P17,密度!$A$2:$A$51,密度!$Q$2:$Q$50)</f>
        <v>26052.370775519998</v>
      </c>
      <c r="Q16" s="73" ph="1">
        <f>Q15*9.0746*LOOKUP(Q17,密度!$A$2:$A$50,密度!$Q$2:$Q$50)</f>
        <v>59934.128568879998</v>
      </c>
      <c r="R16" s="73" ph="1">
        <f>MAX(R15*9.0746*LOOKUP(R17,密度!$A$2:$A$50,密度!$B$2:$B$50),0)</f>
        <v>24800.88361492</v>
      </c>
      <c r="S16" s="73" ph="1">
        <f>S15*9.0746*LOOKUP(S17,密度!$A$2:$A$50,密度!$Q$2:$Q$50)</f>
        <v>0</v>
      </c>
      <c r="T16" s="73" ph="1">
        <f>T15*9.0746*LOOKUP(T17,密度!$A$2:$A$50,密度!$O$2:$O$50)</f>
        <v>44485.903402399999</v>
      </c>
      <c r="U16" s="73" ph="1">
        <f>U15*9.0746*LOOKUP(U17,密度!$A$2:$A$50,密度!$H$2:$H$50)</f>
        <v>14682.122025600002</v>
      </c>
      <c r="V16" s="73" ph="1">
        <f>MAX(5600*LOOKUP(V17,密度!$A$2:$A$50,密度!$Q$2:$Q$50)+V15*9.0476*LOOKUP(V17,密度!$A$2:$A$50,密度!$Q$2:$Q$50),0)</f>
        <v>25573.271543999996</v>
      </c>
      <c r="W16" s="73" ph="1">
        <f>MAX(5600*LOOKUP(W17,密度!$A$2:$A$50,密度!$Q$2:$Q$50)+W15*9.0476*LOOKUP(W17,密度!$A$2:$A$50,密度!$Q$2:$Q$50),0)</f>
        <v>5289.8720000000003</v>
      </c>
      <c r="X16" s="73" ph="1">
        <f>MAX(5600*LOOKUP(X17,密度!$A$2:$A$50,密度!$I$2:$I$50)+X15*9.0476*LOOKUP(X17,密度!$A$2:$A$50,密度!$I$2:$I$50),0)</f>
        <v>7227.7727459999987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29917.241100600004</v>
      </c>
      <c r="AB16" s="73" ph="1">
        <f>AB15*9.0746*LOOKUP(AB17,密度!$A$2:$A$50,密度!$L$2:$L$50)</f>
        <v>43420.944644800009</v>
      </c>
      <c r="AC16" s="73" ph="1">
        <f>AC15*9.0746*LOOKUP(AC17,密度!$A$2:$A$50,密度!$L$2:$L$50)</f>
        <v>305.45103600000004</v>
      </c>
      <c r="AD16" s="73" ph="1">
        <f>AD15*268.68*LOOKUP(AD17,密度!$A$2:$A$50,密度!B2:B50)+IF(AD15&lt;=0,0,1566*LOOKUP(AD17,密度!$A$2:$A$50,密度!B2:B50))</f>
        <v>18945.606567359999</v>
      </c>
      <c r="AE16" s="73" ph="1">
        <f>AE15*268.68*LOOKUP(AE17,密度!$A$2:$A$50,密度!B2:B50)+IF(AE15&lt;=0,0,1566*LOOKUP(AE17,密度!$A$2:$A$50,密度!B2:B50))</f>
        <v>6606.1454788800002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29</v>
      </c>
      <c r="E17" s="74">
        <v>29</v>
      </c>
      <c r="F17" s="74">
        <v>35</v>
      </c>
      <c r="G17" s="74">
        <v>29</v>
      </c>
      <c r="H17" s="74">
        <v>27</v>
      </c>
      <c r="I17" s="74">
        <v>28</v>
      </c>
      <c r="J17" s="74">
        <v>27</v>
      </c>
      <c r="K17" s="74">
        <v>26</v>
      </c>
      <c r="L17" s="74">
        <v>30</v>
      </c>
      <c r="M17" s="74">
        <v>32</v>
      </c>
      <c r="N17" s="74">
        <v>27</v>
      </c>
      <c r="O17" s="74">
        <v>30</v>
      </c>
      <c r="P17" s="74">
        <v>32</v>
      </c>
      <c r="Q17" s="74">
        <v>32</v>
      </c>
      <c r="R17" s="74">
        <v>29</v>
      </c>
      <c r="S17" s="74">
        <v>28</v>
      </c>
      <c r="T17" s="74">
        <v>29</v>
      </c>
      <c r="U17" s="74">
        <v>29</v>
      </c>
      <c r="V17" s="74">
        <v>33</v>
      </c>
      <c r="W17" s="74">
        <v>28</v>
      </c>
      <c r="X17" s="74">
        <v>28</v>
      </c>
      <c r="Y17" s="108">
        <v>28</v>
      </c>
      <c r="Z17" s="74">
        <v>28</v>
      </c>
      <c r="AA17" s="74">
        <v>28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4150</v>
      </c>
      <c r="E18" s="71">
        <v>62</v>
      </c>
      <c r="F18" s="71">
        <v>1739</v>
      </c>
      <c r="G18" s="71">
        <v>552</v>
      </c>
      <c r="H18" s="71">
        <v>0</v>
      </c>
      <c r="I18" s="71">
        <v>118</v>
      </c>
      <c r="J18" s="71">
        <v>2251</v>
      </c>
      <c r="K18" s="71">
        <v>1029</v>
      </c>
      <c r="L18" s="71">
        <v>2542</v>
      </c>
      <c r="M18" s="71">
        <v>438</v>
      </c>
      <c r="N18" s="71">
        <v>4855</v>
      </c>
      <c r="O18" s="71">
        <v>0</v>
      </c>
      <c r="P18" s="71">
        <v>3050</v>
      </c>
      <c r="Q18" s="71">
        <v>7016</v>
      </c>
      <c r="R18" s="71">
        <v>3526</v>
      </c>
      <c r="S18" s="71">
        <v>0</v>
      </c>
      <c r="T18" s="71">
        <v>4052</v>
      </c>
      <c r="U18" s="71">
        <v>3585</v>
      </c>
      <c r="V18" s="71">
        <v>2381</v>
      </c>
      <c r="W18" s="71">
        <v>-792</v>
      </c>
      <c r="X18" s="71">
        <v>29</v>
      </c>
      <c r="Y18" s="109">
        <v>-9908</v>
      </c>
      <c r="Z18" s="71">
        <v>0</v>
      </c>
      <c r="AA18" s="71">
        <v>4247</v>
      </c>
      <c r="AB18" s="71">
        <v>5141</v>
      </c>
      <c r="AC18" s="71">
        <v>0</v>
      </c>
      <c r="AD18" s="71">
        <v>83.99</v>
      </c>
      <c r="AE18" s="71">
        <v>70.12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64" t="s" ph="1">
        <v>179</v>
      </c>
      <c r="D19" s="73" ph="1">
        <f>D18*7.0686*LOOKUP(D20,密度!$A$2:$A$50,密度!$L$2:$L$50)</f>
        <v>27251.927009999999</v>
      </c>
      <c r="E19" s="73" ph="1">
        <f>E18*7.0686*LOOKUP(E20,密度!$A$2:$A$50,密度!$L$2:$L$50)</f>
        <v>407.13722280000002</v>
      </c>
      <c r="F19" s="73" ph="1">
        <f>F18*9.0746*LOOKUP(F20,密度!$A$2:$A$50,密度!$L$2:$L$50)</f>
        <v>14676.078342000001</v>
      </c>
      <c r="G19" s="73" ph="1">
        <f>G18*9.0746*LOOKUP(G20,密度!$A$2:$A$50,密度!$B$2:$B$50)</f>
        <v>3883.6166337600002</v>
      </c>
      <c r="H19" s="73" ph="1">
        <f>H18*9.0746*LOOKUP(H20,密度!$A$2:$A$50,密度!$L$2:$L$50)</f>
        <v>0</v>
      </c>
      <c r="I19" s="73" ph="1">
        <f>I18*9.0746*LOOKUP(I20,密度!$A$2:$A$50,密度!$U$2:$U$50)</f>
        <v>1090.0772503999999</v>
      </c>
      <c r="J19" s="73" ph="1">
        <f>J18*9.0746*LOOKUP(J20,密度!$A$2:$A$50,密度!$L$2:$L$50)</f>
        <v>18997.039878000003</v>
      </c>
      <c r="K19" s="73" ph="1">
        <f>K18*9.0746*LOOKUP(K20,密度!$A$2:$A$50,密度!$C$2:$C$50)</f>
        <v>10290.2152668</v>
      </c>
      <c r="L19" s="73" ph="1">
        <f>L18*9.0746*LOOKUP(L20,密度!$A$2:$A$50,密度!$E$2:$E$50)</f>
        <v>17910.863798139999</v>
      </c>
      <c r="M19" s="73" ph="1">
        <f>M18*9.0746*LOOKUP(M20,密度!$A$2:$A$50,密度!$M$2:$M$50)</f>
        <v>3432.6086507760006</v>
      </c>
      <c r="N19" s="73" ph="1">
        <f>N18*9.0746*LOOKUP(N20,密度!$A$2:$A$50,密度!$M$2:$M$50)</f>
        <v>38466.326477300005</v>
      </c>
      <c r="O19" s="73" ph="1">
        <f>O18*9.0746*LOOKUP(O20,密度!$A$2:$A$50,密度!$G$2:$G$50)</f>
        <v>0</v>
      </c>
      <c r="P19" s="73" ph="1">
        <f ca="1">P18*9.0746*LOOKUP(P20,密度!$A$2:$A$51,密度!$Q$2:$Q$50)</f>
        <v>26069.465507000001</v>
      </c>
      <c r="Q19" s="73" ph="1">
        <f>Q18*9.0746*LOOKUP(Q20,密度!$A$2:$A$50,密度!$Q$2:$Q$50)</f>
        <v>59926.934226000005</v>
      </c>
      <c r="R19" s="73" ph="1">
        <f>MAX(R18*9.0746*LOOKUP(R20,密度!$A$2:$A$50,密度!$B$2:$B$50),0)</f>
        <v>24778.50746624</v>
      </c>
      <c r="S19" s="73" ph="1">
        <f>S18*9.0746*LOOKUP(S20,密度!$A$2:$A$50,密度!$Q$2:$Q$50)</f>
        <v>0</v>
      </c>
      <c r="T19" s="73" ph="1">
        <f>T18*9.0746*LOOKUP(T20,密度!$A$2:$A$50,密度!$O$2:$O$50)</f>
        <v>33902.197422400008</v>
      </c>
      <c r="U19" s="73" ph="1">
        <f>U18*9.0746*LOOKUP(U20,密度!$A$2:$A$50,密度!$H$2:$H$50)</f>
        <v>29604.521310000004</v>
      </c>
      <c r="V19" s="73" ph="1">
        <f>MAX(5600*LOOKUP(V20,密度!$A$2:$A$50,密度!$Q$2:$Q$50)+V18*9.0476*LOOKUP(V20,密度!$A$2:$A$50,密度!$Q$2:$Q$50),0)</f>
        <v>25547.723383500001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6090.4269975599991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29914.613096440004</v>
      </c>
      <c r="AB19" s="73" ph="1">
        <f>AB18*9.0746*LOOKUP(AB20,密度!$A$2:$A$50,密度!$L$2:$L$50)</f>
        <v>43433.494816600003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18750.900596399999</v>
      </c>
      <c r="AE19" s="73" ph="1">
        <f>AE18*268.68*LOOKUP(AE20,密度!$A$2:$A$50,密度!B5:B53)+IF(AE18&lt;=0,0,1566*LOOKUP(AE20,密度!$A$2:$A$50,密度!B5:B53))</f>
        <v>15855.338923200003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33</v>
      </c>
      <c r="E20" s="81">
        <v>33</v>
      </c>
      <c r="F20" s="81">
        <v>32</v>
      </c>
      <c r="G20" s="81">
        <v>30</v>
      </c>
      <c r="H20" s="81">
        <v>30</v>
      </c>
      <c r="I20" s="81">
        <v>32</v>
      </c>
      <c r="J20" s="81">
        <v>32</v>
      </c>
      <c r="K20" s="81">
        <v>33</v>
      </c>
      <c r="L20" s="81">
        <v>31</v>
      </c>
      <c r="M20" s="81">
        <v>36</v>
      </c>
      <c r="N20" s="81">
        <v>27</v>
      </c>
      <c r="O20" s="81">
        <v>31</v>
      </c>
      <c r="P20" s="81">
        <v>32</v>
      </c>
      <c r="Q20" s="81">
        <v>33</v>
      </c>
      <c r="R20" s="81">
        <v>31</v>
      </c>
      <c r="S20" s="81">
        <v>32</v>
      </c>
      <c r="T20" s="81">
        <v>30</v>
      </c>
      <c r="U20" s="81">
        <v>30</v>
      </c>
      <c r="V20" s="81">
        <v>33</v>
      </c>
      <c r="W20" s="81">
        <v>33</v>
      </c>
      <c r="X20" s="81">
        <v>28</v>
      </c>
      <c r="Y20" s="110">
        <v>28</v>
      </c>
      <c r="Z20" s="81">
        <v>34</v>
      </c>
      <c r="AA20" s="81">
        <v>29</v>
      </c>
      <c r="AB20" s="81">
        <v>31</v>
      </c>
      <c r="AC20" s="81">
        <v>32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64" t="s" ph="1">
        <v>178</v>
      </c>
      <c r="D24" s="71">
        <v>91.21</v>
      </c>
      <c r="E24" s="71">
        <v>95.82</v>
      </c>
      <c r="F24" s="71">
        <v>4004</v>
      </c>
      <c r="G24" s="71">
        <v>2121</v>
      </c>
      <c r="H24" s="71">
        <v>1695</v>
      </c>
      <c r="I24" s="71">
        <v>4244</v>
      </c>
      <c r="J24" s="71">
        <v>3195</v>
      </c>
      <c r="K24" s="71">
        <v>0</v>
      </c>
      <c r="L24" s="71">
        <v>0</v>
      </c>
      <c r="M24" s="71">
        <v>5265</v>
      </c>
      <c r="N24" s="71">
        <v>5333</v>
      </c>
      <c r="O24" s="71">
        <v>0</v>
      </c>
      <c r="P24" s="71">
        <v>383</v>
      </c>
      <c r="Q24" s="90">
        <v>2527</v>
      </c>
      <c r="R24" s="71">
        <v>2914</v>
      </c>
      <c r="S24" s="71">
        <v>1586</v>
      </c>
      <c r="T24" s="71">
        <v>1763</v>
      </c>
      <c r="U24" s="71">
        <v>4966</v>
      </c>
      <c r="V24" s="71">
        <v>9665</v>
      </c>
      <c r="W24" s="71">
        <v>10931</v>
      </c>
      <c r="X24" s="71">
        <v>3913</v>
      </c>
      <c r="Y24" s="71">
        <v>6314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24683.691952871999</v>
      </c>
      <c r="E25" s="91" ph="1">
        <f>E24*268.68*LOOKUP(E26,密度!$A$2:$A$50,密度!$C$2:$C$50)+IF(E24&lt;=0,0,1566*LOOKUP(E26,密度!$A$2:$A$50,密度!$C$2:$C$50))</f>
        <v>30285.076526639998</v>
      </c>
      <c r="F25" s="91" ph="1">
        <f>F24*11.702*LOOKUP(F26,密度!$A$2:$A$50,密度!$Q$2:$Q$50)</f>
        <v>44326.054012239998</v>
      </c>
      <c r="G25" s="91" ph="1">
        <f>G24*18.322*LOOKUP(G26,密度!$A$2:$A$50,密度!$B$2:$B$50)</f>
        <v>30261.031109399999</v>
      </c>
      <c r="H25" s="91" ph="1">
        <f>H24*18.322*LOOKUP(H26,密度!$A$2:$A$50,密度!$B$2:$B$50)</f>
        <v>24158.299040999998</v>
      </c>
      <c r="I25" s="91" ph="1">
        <f>I24*18.322*LOOKUP(I26,密度!$A$2:$A$50,密度!$Q$2:$Q$50)</f>
        <v>73398.645092239996</v>
      </c>
      <c r="J25" s="91" ph="1">
        <f>J24*18.322*LOOKUP(J26,密度!$A$2:$A$50,密度!$Q$2:$Q$50)</f>
        <v>55337.888962800003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91190.605755600001</v>
      </c>
      <c r="N25" s="91" ph="1">
        <f>N24*18.322*LOOKUP(N26,密度!$A$2:$A$50,密度!$Q$2:$Q$50)</f>
        <v>92368.376162319997</v>
      </c>
      <c r="O25" s="91" ph="1">
        <f>O24*18.322*LOOKUP(O26,密度!$A$2:$A$50,密度!$C$2:$C$50)</f>
        <v>0</v>
      </c>
      <c r="P25" s="91" ph="1">
        <f>P24*11.702*LOOKUP(P26,密度!$A$2:$A$50,密度!$B$2:$B$50)</f>
        <v>3486.4435614000004</v>
      </c>
      <c r="Q25" s="92" ph="1">
        <f>Q24*18.322*LOOKUP(Q26,密度!$A$2:$A$50,密度!$B$2:$B$50)</f>
        <v>35974.862238000002</v>
      </c>
      <c r="R25" s="91" ph="1">
        <f>R24*35.891*LOOKUP(R26,密度!$A$2:$A$50,密度!$C$2:$C$50)</f>
        <v>115892.1610294</v>
      </c>
      <c r="S25" s="91" ph="1">
        <f>S24*35.891*LOOKUP(S26,密度!$A$2:$A$50,密度!$B$2:$B$50)</f>
        <v>44280.499715400001</v>
      </c>
      <c r="T25" s="91" ph="1">
        <f>T24*35.891*LOOKUP(T26,密度!$A$2:$A$50,密度!$Q$2:$Q$50)</f>
        <v>59815.910451560005</v>
      </c>
      <c r="U25" s="91" ph="1">
        <f>U24*35.891</f>
        <v>178234.70600000001</v>
      </c>
      <c r="V25" s="91" ph="1">
        <f>V24*47.051*LOOKUP(V26,密度!$A$2:$A$50,密度!$B$2:$B$50)</f>
        <v>353748.40307850007</v>
      </c>
      <c r="W25" s="91" ph="1">
        <f>W24*47.051*LOOKUP(W26,密度!$A$2:$A$50,密度!$B$2:$B$50)</f>
        <v>400959.5693876</v>
      </c>
      <c r="X25" s="91" ph="1">
        <f>X24*47.051*LOOKUP(X26,密度!$A$2:$A$50,密度!$I$2:$I$50)</f>
        <v>191051.53122510001</v>
      </c>
      <c r="Y25" s="91" ph="1">
        <f>Y24*47.051*LOOKUP(Y26,密度!$A$2:$A$50,密度!$L$2:$L$50)</f>
        <v>277769.81309000001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26</v>
      </c>
      <c r="G26" s="74">
        <v>26</v>
      </c>
      <c r="H26" s="74">
        <v>27</v>
      </c>
      <c r="I26" s="74">
        <v>29</v>
      </c>
      <c r="J26" s="74">
        <v>27</v>
      </c>
      <c r="K26" s="74">
        <v>27</v>
      </c>
      <c r="L26" s="74">
        <v>27</v>
      </c>
      <c r="M26" s="74">
        <v>27</v>
      </c>
      <c r="N26" s="74">
        <v>27</v>
      </c>
      <c r="O26" s="74">
        <v>26</v>
      </c>
      <c r="P26" s="74">
        <v>27</v>
      </c>
      <c r="Q26" s="93">
        <v>28</v>
      </c>
      <c r="R26" s="74">
        <v>26</v>
      </c>
      <c r="S26" s="74">
        <v>27</v>
      </c>
      <c r="T26" s="74">
        <v>27</v>
      </c>
      <c r="U26" s="74">
        <v>27</v>
      </c>
      <c r="V26" s="74">
        <v>27</v>
      </c>
      <c r="W26" s="74">
        <v>25</v>
      </c>
      <c r="X26" s="74">
        <v>29</v>
      </c>
      <c r="Y26" s="74">
        <v>27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64" t="s" ph="1">
        <v>181</v>
      </c>
      <c r="D27" s="71">
        <v>91.29</v>
      </c>
      <c r="E27" s="71">
        <v>95.83</v>
      </c>
      <c r="F27" s="71">
        <v>4007</v>
      </c>
      <c r="G27" s="71">
        <v>1529</v>
      </c>
      <c r="H27" s="71">
        <v>1097</v>
      </c>
      <c r="I27" s="71">
        <v>4245</v>
      </c>
      <c r="J27" s="71">
        <v>3195</v>
      </c>
      <c r="K27" s="71">
        <v>0</v>
      </c>
      <c r="L27" s="71">
        <v>0</v>
      </c>
      <c r="M27" s="71">
        <v>5268</v>
      </c>
      <c r="N27" s="71">
        <v>5334</v>
      </c>
      <c r="O27" s="71">
        <v>850</v>
      </c>
      <c r="P27" s="71">
        <v>383</v>
      </c>
      <c r="Q27" s="90">
        <v>3077</v>
      </c>
      <c r="R27" s="71">
        <v>2913</v>
      </c>
      <c r="S27" s="71">
        <v>1584</v>
      </c>
      <c r="T27" s="71">
        <v>1761</v>
      </c>
      <c r="U27" s="71">
        <v>4950</v>
      </c>
      <c r="V27" s="71">
        <v>9669</v>
      </c>
      <c r="W27" s="71">
        <v>10933</v>
      </c>
      <c r="X27" s="71">
        <v>3901</v>
      </c>
      <c r="Y27" s="71">
        <v>6717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64" t="s" ph="1">
        <v>179</v>
      </c>
      <c r="D28" s="91" ph="1">
        <f>D27*268.68*LOOKUP(D29,密度!$A$2:$A$50,密度!$Q$2:$Q$50)+IF(D27&lt;=0,0,1566*LOOKUP(D29,密度!$A$2:$A$50,密度!$Q$2:$Q$50))</f>
        <v>24704.041561128004</v>
      </c>
      <c r="E28" s="91" ph="1">
        <f>E27*268.68*LOOKUP(E29,密度!$A$2:$A$50,密度!$C$2:$C$50)+IF(E27&lt;=0,0,1566*LOOKUP(E29,密度!$A$2:$A$50,密度!$C$2:$C$50))</f>
        <v>30288.05591916</v>
      </c>
      <c r="F28" s="91" ph="1">
        <f>F27*11.702*LOOKUP(F29,密度!$A$2:$A$50,密度!$Q$2:$Q$50)</f>
        <v>44325.973502480003</v>
      </c>
      <c r="G28" s="91" ph="1">
        <f>G27*18.322*LOOKUP(G29,密度!$A$2:$A$50,密度!$B$2:$B$50)</f>
        <v>21814.765000599997</v>
      </c>
      <c r="H28" s="91" ph="1">
        <f>H27*18.322*LOOKUP(H29,密度!$A$2:$A$50,密度!$B$2:$B$50)</f>
        <v>15669.3628264</v>
      </c>
      <c r="I28" s="91" ph="1">
        <f>I27*18.322*LOOKUP(I29,密度!$A$2:$A$50,密度!$Q$2:$Q$50)</f>
        <v>73691.269968299996</v>
      </c>
      <c r="J28" s="91" ph="1">
        <f>J27*18.322*LOOKUP(J29,密度!$A$2:$A$50,密度!$Q$2:$Q$50)</f>
        <v>55421.0140446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91379.625035040008</v>
      </c>
      <c r="N28" s="91" ph="1">
        <f>N27*18.322*LOOKUP(N29,密度!$A$2:$A$50,密度!$Q$2:$Q$50)</f>
        <v>92524.472273520005</v>
      </c>
      <c r="O28" s="91" ph="1">
        <f>O27*18.322*LOOKUP(O29,密度!$A$2:$A$50,密度!$C$2:$C$50)</f>
        <v>17257.216970000001</v>
      </c>
      <c r="P28" s="91" ph="1">
        <f>P27*11.702*LOOKUP(P29,密度!$A$2:$A$50,密度!$B$2:$B$50)</f>
        <v>3498.0964129999998</v>
      </c>
      <c r="Q28" s="92" ph="1">
        <f>Q27*18.322*LOOKUP(Q29,密度!$A$2:$A$50,密度!$B$2:$B$50)</f>
        <v>44002.087716999995</v>
      </c>
      <c r="R28" s="91" ph="1">
        <f>R27*35.891*LOOKUP(R29,密度!$A$2:$A$50,密度!$C$2:$C$50)</f>
        <v>115936.03059869999</v>
      </c>
      <c r="S28" s="91" ph="1">
        <f>S27*35.891*LOOKUP(S29,密度!$A$2:$A$50,密度!$B$2:$B$50)</f>
        <v>44372.473991999999</v>
      </c>
      <c r="T28" s="91" ph="1">
        <f>T27*35.891*LOOKUP(T29,密度!$A$2:$A$50,密度!$Q$2:$Q$50)</f>
        <v>59792.928367530003</v>
      </c>
      <c r="U28" s="91" ph="1">
        <f>U27*35.891</f>
        <v>177660.44999999998</v>
      </c>
      <c r="V28" s="91" ph="1">
        <f>V27*47.051*LOOKUP(V29,密度!$A$2:$A$50,密度!$B$2:$B$50)</f>
        <v>354668.19837239996</v>
      </c>
      <c r="W28" s="91" ph="1">
        <f>W27*47.051*LOOKUP(W29,密度!$A$2:$A$50,密度!$B$2:$B$50)</f>
        <v>401032.93130679999</v>
      </c>
      <c r="X28" s="91" ph="1">
        <f>X27*47.051*LOOKUP(X29,密度!$A$2:$A$50,密度!$I$2:$I$50)</f>
        <v>190685.88849389998</v>
      </c>
      <c r="Y28" s="91" ph="1">
        <f>Y27*47.051*LOOKUP(Y29,密度!$A$2:$A$50,密度!$L$2:$L$50)</f>
        <v>295498.86514500005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64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64" t="s" ph="1">
        <v>5</v>
      </c>
      <c r="F32" s="163" t="s" ph="1">
        <v>43</v>
      </c>
      <c r="G32" s="97" t="s" ph="1">
        <v>4</v>
      </c>
      <c r="H32" s="164" t="s" ph="1">
        <v>5</v>
      </c>
      <c r="I32" s="163" t="s" ph="1">
        <v>43</v>
      </c>
      <c r="J32" s="97" t="s" ph="1">
        <v>4</v>
      </c>
      <c r="K32" s="164" t="s" ph="1">
        <v>5</v>
      </c>
      <c r="L32" s="163" t="s" ph="1">
        <v>43</v>
      </c>
      <c r="M32" s="97" t="s" ph="1">
        <v>4</v>
      </c>
      <c r="N32" s="164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3" t="s" ph="1">
        <v>43</v>
      </c>
      <c r="AB32" s="97" t="s" ph="1">
        <v>85</v>
      </c>
      <c r="AC32" s="164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124762.79333120001</v>
      </c>
      <c r="E33" s="218" ph="1">
        <f>M10+I10</f>
        <v>39535.195143600002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22" ph="1">
        <v>0</v>
      </c>
      <c r="H33" s="218" ph="1">
        <f>N19</f>
        <v>38466.326477300005</v>
      </c>
      <c r="I33" s="231" ph="1">
        <v>0</v>
      </c>
      <c r="J33" s="229" ph="1">
        <f>F10+O28</f>
        <v>194765.17917350004</v>
      </c>
      <c r="K33" s="218" ph="1">
        <f>O10+K10+E28+R28</f>
        <v>173657.68727266</v>
      </c>
      <c r="L33" s="233" ph="1">
        <f>BE27</f>
        <v>7100</v>
      </c>
      <c r="M33" s="229" ph="1">
        <f>G10+H10+W28+S28+V28+E10</f>
        <v>1380318.5837731999</v>
      </c>
      <c r="N33" s="218" ph="1">
        <f>L10+P10++G28+H28</f>
        <v>178111.006043</v>
      </c>
      <c r="O33" s="231" ph="1">
        <f>BE17</f>
        <v>2270</v>
      </c>
      <c r="P33" s="229" ph="1">
        <f>L19</f>
        <v>17910.863798139999</v>
      </c>
      <c r="Q33" s="218" ph="1">
        <f>J10+N10</f>
        <v>148668.07029204001</v>
      </c>
      <c r="R33" s="231" ph="1">
        <f>BE23</f>
        <v>890</v>
      </c>
      <c r="S33" s="229" ph="1">
        <f>E10+X28</f>
        <v>378634.54510789999</v>
      </c>
      <c r="T33" s="218" ph="1">
        <f>X19</f>
        <v>6090.4269975599991</v>
      </c>
      <c r="U33" s="239" ph="1">
        <f>BE21</f>
        <v>730</v>
      </c>
      <c r="V33" s="250" ph="1">
        <f ca="1">P19+Q19+S19+M28+N28+J28</f>
        <v>325321.51108616003</v>
      </c>
      <c r="W33" s="250" ph="1">
        <f>D28+F28+V19+T28</f>
        <v>154370.66681463801</v>
      </c>
      <c r="X33" s="231" ph="1">
        <f>BE29+BE31</f>
        <v>10200</v>
      </c>
      <c r="Y33" s="252" ph="1">
        <f>+Q10+R10+S10+T10+U10+V10+W10+X10+Y10</f>
        <v>198362.32596180003</v>
      </c>
      <c r="Z33" s="237" ph="1">
        <f>D10+T19+U19+Y28+Z10</f>
        <v>398680.01024338009</v>
      </c>
      <c r="AA33" s="239" ph="1">
        <f>BE19</f>
        <v>1440</v>
      </c>
      <c r="AB33" s="241" ph="1">
        <f>I19</f>
        <v>1090.0772503999999</v>
      </c>
      <c r="AC33" s="243" ph="1">
        <f>AD10</f>
        <v>106142.61329280002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2" t="s" ph="1">
        <v>186</v>
      </c>
      <c r="AA36" s="162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345</v>
      </c>
      <c r="AI37" s="162" t="s" ph="1">
        <v>212</v>
      </c>
      <c r="AJ37" s="162" t="s" ph="1">
        <v>213</v>
      </c>
      <c r="AK37" s="162" t="s" ph="1">
        <v>214</v>
      </c>
      <c r="AM37" s="162" t="s" ph="1">
        <v>213</v>
      </c>
      <c r="AN37" s="162" t="s" ph="1">
        <v>214</v>
      </c>
      <c r="AO37" s="162" t="s" ph="1">
        <v>215</v>
      </c>
      <c r="AP37" s="162" t="s" ph="1">
        <v>213</v>
      </c>
      <c r="AQ37" s="162" t="s" ph="1">
        <v>214</v>
      </c>
      <c r="AR37" s="162" t="s" ph="1">
        <v>215</v>
      </c>
      <c r="AS37" s="162" t="s" ph="1">
        <v>213</v>
      </c>
      <c r="AT37" s="162" t="s" ph="1">
        <v>214</v>
      </c>
      <c r="AU37" s="162" t="s" ph="1">
        <v>215</v>
      </c>
      <c r="AV37" s="162" t="s" ph="1">
        <v>213</v>
      </c>
      <c r="AW37" s="162" t="s" ph="1">
        <v>214</v>
      </c>
      <c r="AX37" s="162" t="s" ph="1">
        <v>215</v>
      </c>
      <c r="AY37" s="162" t="s" ph="1">
        <v>214</v>
      </c>
      <c r="AZ37" s="162" t="s" ph="1">
        <v>216</v>
      </c>
      <c r="BD37" s="162" t="s" ph="1">
        <v>308</v>
      </c>
      <c r="BE37" s="16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33" priority="96">
      <formula>ABS(D$7-D$10)&gt;=1000</formula>
    </cfRule>
  </conditionalFormatting>
  <conditionalFormatting sqref="E4 E6:E11">
    <cfRule type="expression" dxfId="1132" priority="95">
      <formula>ABS(E$7-E$10)&gt;=1000</formula>
    </cfRule>
  </conditionalFormatting>
  <conditionalFormatting sqref="F4:F11">
    <cfRule type="expression" dxfId="1131" priority="94">
      <formula>ABS(F$7-F$10)&gt;=1000</formula>
    </cfRule>
  </conditionalFormatting>
  <conditionalFormatting sqref="G4:G11">
    <cfRule type="expression" dxfId="1130" priority="93">
      <formula>ABS(G$7-G$10)&gt;=1000</formula>
    </cfRule>
  </conditionalFormatting>
  <conditionalFormatting sqref="H4:H11">
    <cfRule type="expression" dxfId="1129" priority="92">
      <formula>ABS(H$7-H$10)&gt;=1000</formula>
    </cfRule>
  </conditionalFormatting>
  <conditionalFormatting sqref="I4:I11">
    <cfRule type="expression" dxfId="1128" priority="91">
      <formula>ABS(I$7-I$10)&gt;=1000</formula>
    </cfRule>
  </conditionalFormatting>
  <conditionalFormatting sqref="J4:J11">
    <cfRule type="expression" dxfId="1127" priority="90">
      <formula>ABS(J$7-J$10)&gt;=1000</formula>
    </cfRule>
  </conditionalFormatting>
  <conditionalFormatting sqref="K4:K11">
    <cfRule type="expression" dxfId="1126" priority="89">
      <formula>ABS(K$7-K$10)&gt;=1000</formula>
    </cfRule>
  </conditionalFormatting>
  <conditionalFormatting sqref="L4:L11">
    <cfRule type="expression" dxfId="1125" priority="88">
      <formula>ABS(L$7-L$10)&gt;=1000</formula>
    </cfRule>
  </conditionalFormatting>
  <conditionalFormatting sqref="M4 M6:M11">
    <cfRule type="expression" dxfId="1124" priority="87">
      <formula>ABS(M$7-M$10)&gt;=1000</formula>
    </cfRule>
  </conditionalFormatting>
  <conditionalFormatting sqref="N4 N6:N11">
    <cfRule type="expression" dxfId="1123" priority="86">
      <formula>ABS(N$7-N$10)&gt;=1000</formula>
    </cfRule>
  </conditionalFormatting>
  <conditionalFormatting sqref="O4 O6:O11">
    <cfRule type="expression" dxfId="1122" priority="85">
      <formula>ABS(O$7-O$10)&gt;=1000</formula>
    </cfRule>
  </conditionalFormatting>
  <conditionalFormatting sqref="P4 P6:P11">
    <cfRule type="expression" dxfId="1121" priority="84">
      <formula>ABS(P$7-P$10)&gt;=1000</formula>
    </cfRule>
  </conditionalFormatting>
  <conditionalFormatting sqref="Q4:Q11">
    <cfRule type="expression" dxfId="1120" priority="83">
      <formula>ABS(Q$7-Q$10)&gt;=1000</formula>
    </cfRule>
  </conditionalFormatting>
  <conditionalFormatting sqref="R4:R11">
    <cfRule type="expression" dxfId="1119" priority="82">
      <formula>ABS(R$7-R$10)&gt;=1000</formula>
    </cfRule>
  </conditionalFormatting>
  <conditionalFormatting sqref="S4:S11">
    <cfRule type="expression" dxfId="1118" priority="81">
      <formula>ABS(S$7-S$10)&gt;=1000</formula>
    </cfRule>
  </conditionalFormatting>
  <conditionalFormatting sqref="T4:T9 T11">
    <cfRule type="expression" dxfId="1117" priority="80">
      <formula>ABS(T$7-T$10)&gt;=1000</formula>
    </cfRule>
  </conditionalFormatting>
  <conditionalFormatting sqref="U4:U9 U11">
    <cfRule type="expression" dxfId="1116" priority="79">
      <formula>ABS(U$7-U$10)&gt;=1000</formula>
    </cfRule>
  </conditionalFormatting>
  <conditionalFormatting sqref="V4:V9 V11">
    <cfRule type="expression" dxfId="1115" priority="78">
      <formula>ABS(V$7-V$10)&gt;=1000</formula>
    </cfRule>
  </conditionalFormatting>
  <conditionalFormatting sqref="W4:W9 W11">
    <cfRule type="expression" dxfId="1114" priority="77">
      <formula>ABS(W$7-W$10)&gt;=1000</formula>
    </cfRule>
  </conditionalFormatting>
  <conditionalFormatting sqref="X4:X9 X11">
    <cfRule type="expression" dxfId="1113" priority="76">
      <formula>ABS(X$7-X$10)&gt;=1000</formula>
    </cfRule>
  </conditionalFormatting>
  <conditionalFormatting sqref="Y4:Y9 Y11">
    <cfRule type="expression" dxfId="1112" priority="75">
      <formula>ABS(Y$7-Y$10)&gt;=1000</formula>
    </cfRule>
  </conditionalFormatting>
  <conditionalFormatting sqref="Z4:Z11">
    <cfRule type="expression" dxfId="1111" priority="74">
      <formula>ABS(Z$7-Z$10)&gt;=1000</formula>
    </cfRule>
  </conditionalFormatting>
  <conditionalFormatting sqref="AA4:AA11">
    <cfRule type="expression" dxfId="1110" priority="73">
      <formula>ABS(AA$7-AA$10)&gt;=1000</formula>
    </cfRule>
  </conditionalFormatting>
  <conditionalFormatting sqref="AB4:AB11">
    <cfRule type="expression" dxfId="1109" priority="72">
      <formula>ABS(AB$7-AB$10)&gt;=1000</formula>
    </cfRule>
  </conditionalFormatting>
  <conditionalFormatting sqref="AC4 AC6:AC11">
    <cfRule type="expression" dxfId="1108" priority="71">
      <formula>ABS(AC$7-AC$10)&gt;=1000</formula>
    </cfRule>
  </conditionalFormatting>
  <conditionalFormatting sqref="AD4:AD11">
    <cfRule type="expression" dxfId="1107" priority="70">
      <formula>ABS(AD$7-AD$10)&gt;=1000</formula>
    </cfRule>
  </conditionalFormatting>
  <conditionalFormatting sqref="AE4:AE11">
    <cfRule type="expression" dxfId="1106" priority="69">
      <formula>ABS(AE$7-AE$10)&gt;=1000</formula>
    </cfRule>
  </conditionalFormatting>
  <conditionalFormatting sqref="D13:D20">
    <cfRule type="expression" dxfId="1105" priority="68">
      <formula>ABS(D$16-D$19)&gt;=1000</formula>
    </cfRule>
  </conditionalFormatting>
  <conditionalFormatting sqref="E13:E20">
    <cfRule type="expression" dxfId="1104" priority="67">
      <formula>ABS(E$16-E$19)&gt;=1000</formula>
    </cfRule>
  </conditionalFormatting>
  <conditionalFormatting sqref="F13 F15:F20">
    <cfRule type="expression" dxfId="1103" priority="66">
      <formula>ABS(F$16-F$19)&gt;=1000</formula>
    </cfRule>
  </conditionalFormatting>
  <conditionalFormatting sqref="G13:G20">
    <cfRule type="expression" dxfId="1102" priority="65">
      <formula>ABS(G$16-G$19)&gt;=1000</formula>
    </cfRule>
  </conditionalFormatting>
  <conditionalFormatting sqref="H13:H20">
    <cfRule type="expression" dxfId="1101" priority="64">
      <formula>ABS(H$16-H$19)&gt;=1000</formula>
    </cfRule>
  </conditionalFormatting>
  <conditionalFormatting sqref="I13:I20">
    <cfRule type="expression" dxfId="1100" priority="63">
      <formula>ABS(I$16-I$19)&gt;=1000</formula>
    </cfRule>
  </conditionalFormatting>
  <conditionalFormatting sqref="J13:J20">
    <cfRule type="expression" dxfId="1099" priority="62">
      <formula>ABS(J$16-J$19)&gt;=1000</formula>
    </cfRule>
  </conditionalFormatting>
  <conditionalFormatting sqref="L13:L20">
    <cfRule type="expression" dxfId="1098" priority="61">
      <formula>ABS(L$16-L$19)&gt;=1000</formula>
    </cfRule>
  </conditionalFormatting>
  <conditionalFormatting sqref="M13 M15 M17:M18 M20">
    <cfRule type="expression" dxfId="1097" priority="60">
      <formula>ABS(M$16-M$19)&gt;=1000</formula>
    </cfRule>
  </conditionalFormatting>
  <conditionalFormatting sqref="N13:N20">
    <cfRule type="expression" dxfId="1096" priority="59">
      <formula>ABS(N$16-N$19)&gt;=1000</formula>
    </cfRule>
  </conditionalFormatting>
  <conditionalFormatting sqref="O13:O20">
    <cfRule type="expression" dxfId="1095" priority="58">
      <formula>ABS(O$16-O$19)&gt;=1000</formula>
    </cfRule>
  </conditionalFormatting>
  <conditionalFormatting sqref="P13:P20">
    <cfRule type="expression" dxfId="1094" priority="57">
      <formula>ABS(P$16-P$19)&gt;=1000</formula>
    </cfRule>
  </conditionalFormatting>
  <conditionalFormatting sqref="Q13 Q15:Q20">
    <cfRule type="expression" dxfId="1093" priority="56">
      <formula>ABS(Q$16-Q$19)&gt;=1000</formula>
    </cfRule>
  </conditionalFormatting>
  <conditionalFormatting sqref="R13:R20">
    <cfRule type="expression" dxfId="1092" priority="55">
      <formula>ABS(R$16-R$19)&gt;=1000</formula>
    </cfRule>
  </conditionalFormatting>
  <conditionalFormatting sqref="S13:S20">
    <cfRule type="expression" dxfId="1091" priority="54">
      <formula>ABS(S$16-S$19)&gt;=1000</formula>
    </cfRule>
  </conditionalFormatting>
  <conditionalFormatting sqref="T13:T20">
    <cfRule type="expression" dxfId="1090" priority="53">
      <formula>ABS(T$16-T$19)&gt;=1000</formula>
    </cfRule>
  </conditionalFormatting>
  <conditionalFormatting sqref="U13:U20">
    <cfRule type="expression" dxfId="1089" priority="52">
      <formula>ABS(U$16-U$19)&gt;=1000</formula>
    </cfRule>
  </conditionalFormatting>
  <conditionalFormatting sqref="V13:V20">
    <cfRule type="expression" dxfId="1088" priority="51">
      <formula>ABS(V$16-V$19)&gt;=1000</formula>
    </cfRule>
  </conditionalFormatting>
  <conditionalFormatting sqref="W13 W20 W15:W18">
    <cfRule type="expression" dxfId="1087" priority="50">
      <formula>ABS(W$16-W$19)&gt;=1000</formula>
    </cfRule>
  </conditionalFormatting>
  <conditionalFormatting sqref="X13 X15:X20 Y19">
    <cfRule type="expression" dxfId="1086" priority="49">
      <formula>ABS(X$16-X$19)&gt;=1000</formula>
    </cfRule>
  </conditionalFormatting>
  <conditionalFormatting sqref="Y13 Y15:Y18 Y20">
    <cfRule type="expression" dxfId="1085" priority="48">
      <formula>ABS(Y$16-Y$19)&gt;=1000</formula>
    </cfRule>
  </conditionalFormatting>
  <conditionalFormatting sqref="Z13:Z20">
    <cfRule type="expression" dxfId="1084" priority="47">
      <formula>ABS(Z$16-Z$19)&gt;=1000</formula>
    </cfRule>
  </conditionalFormatting>
  <conditionalFormatting sqref="AA13:AA20">
    <cfRule type="expression" dxfId="1083" priority="46">
      <formula>ABS(AA$16-AA$19)&gt;=1000</formula>
    </cfRule>
  </conditionalFormatting>
  <conditionalFormatting sqref="AB13 AB15:AB20">
    <cfRule type="expression" dxfId="1082" priority="45">
      <formula>ABS(AB$16-AB$19)&gt;=1000</formula>
    </cfRule>
  </conditionalFormatting>
  <conditionalFormatting sqref="AC13 AC15:AC20">
    <cfRule type="expression" dxfId="1081" priority="44">
      <formula>ABS(AC$16-AC$19)&gt;=1000</formula>
    </cfRule>
  </conditionalFormatting>
  <conditionalFormatting sqref="AD13:AD20">
    <cfRule type="expression" dxfId="1080" priority="43">
      <formula>ABS(AD$16-AD$19)&gt;=1000</formula>
    </cfRule>
  </conditionalFormatting>
  <conditionalFormatting sqref="AE13:AE20">
    <cfRule type="expression" dxfId="1079" priority="42">
      <formula>ABS(AE$16-AE$19)&gt;=1000</formula>
    </cfRule>
  </conditionalFormatting>
  <conditionalFormatting sqref="D22:D29">
    <cfRule type="expression" dxfId="1078" priority="41">
      <formula>ABS(D$25-D$28)&gt;=1000</formula>
    </cfRule>
  </conditionalFormatting>
  <conditionalFormatting sqref="E22:E29">
    <cfRule type="expression" dxfId="1077" priority="40">
      <formula>ABS(E$25-E$28)&gt;=1000</formula>
    </cfRule>
  </conditionalFormatting>
  <conditionalFormatting sqref="F22:F29">
    <cfRule type="expression" dxfId="1076" priority="39">
      <formula>ABS(F$25-F$28)&gt;=1000</formula>
    </cfRule>
  </conditionalFormatting>
  <conditionalFormatting sqref="G22:G29">
    <cfRule type="expression" dxfId="1075" priority="38">
      <formula>ABS(G$25-G$28)&gt;=1000</formula>
    </cfRule>
  </conditionalFormatting>
  <conditionalFormatting sqref="H22:H29">
    <cfRule type="expression" dxfId="1074" priority="37">
      <formula>ABS(H$25-H$28)&gt;=1000</formula>
    </cfRule>
  </conditionalFormatting>
  <conditionalFormatting sqref="I22 I24:I29">
    <cfRule type="expression" dxfId="1073" priority="36">
      <formula>ABS(I$25-I$28)&gt;=1000</formula>
    </cfRule>
  </conditionalFormatting>
  <conditionalFormatting sqref="J22:J29 K22">
    <cfRule type="expression" dxfId="1072" priority="35">
      <formula>ABS(J$25-J$28)&gt;=1000</formula>
    </cfRule>
  </conditionalFormatting>
  <conditionalFormatting sqref="K23:K29 L25 L28">
    <cfRule type="expression" dxfId="1071" priority="34">
      <formula>ABS(K$25-K$28)&gt;=1000</formula>
    </cfRule>
  </conditionalFormatting>
  <conditionalFormatting sqref="L22:L24 L26:L27 L29">
    <cfRule type="expression" dxfId="1070" priority="33">
      <formula>ABS(L$25-L$28)&gt;=1000</formula>
    </cfRule>
  </conditionalFormatting>
  <conditionalFormatting sqref="M22:M29">
    <cfRule type="expression" dxfId="1069" priority="32">
      <formula>ABS(M$25-M$28)&gt;=1000</formula>
    </cfRule>
  </conditionalFormatting>
  <conditionalFormatting sqref="N22:N29">
    <cfRule type="expression" dxfId="1068" priority="31">
      <formula>ABS(N$25-N$28)&gt;=1000</formula>
    </cfRule>
  </conditionalFormatting>
  <conditionalFormatting sqref="O22:O29">
    <cfRule type="expression" dxfId="1067" priority="30">
      <formula>ABS(O$25-O$28)&gt;=1000</formula>
    </cfRule>
  </conditionalFormatting>
  <conditionalFormatting sqref="P22:P29">
    <cfRule type="expression" dxfId="1066" priority="29">
      <formula>ABS(P$25-P$28)&gt;=1000</formula>
    </cfRule>
  </conditionalFormatting>
  <conditionalFormatting sqref="Q22:Q29">
    <cfRule type="expression" dxfId="1065" priority="28">
      <formula>ABS(Q$25-Q$28)&gt;=1000</formula>
    </cfRule>
  </conditionalFormatting>
  <conditionalFormatting sqref="R22:R29">
    <cfRule type="expression" dxfId="1064" priority="27">
      <formula>ABS(R$25-R$28)&gt;=1000</formula>
    </cfRule>
  </conditionalFormatting>
  <conditionalFormatting sqref="S22:S29">
    <cfRule type="expression" dxfId="1063" priority="26">
      <formula>ABS(S$25-S$28)&gt;=1000</formula>
    </cfRule>
  </conditionalFormatting>
  <conditionalFormatting sqref="T22:T29">
    <cfRule type="expression" dxfId="1062" priority="25">
      <formula>ABS(T$25-T$28)&gt;=1000</formula>
    </cfRule>
  </conditionalFormatting>
  <conditionalFormatting sqref="U22:U29">
    <cfRule type="expression" dxfId="1061" priority="24">
      <formula>ABS(U$25-U$28)&gt;=1000</formula>
    </cfRule>
  </conditionalFormatting>
  <conditionalFormatting sqref="V22:V29">
    <cfRule type="expression" dxfId="1060" priority="23">
      <formula>ABS(V$25-V$28)&gt;=1000</formula>
    </cfRule>
  </conditionalFormatting>
  <conditionalFormatting sqref="W22:W29">
    <cfRule type="expression" dxfId="1059" priority="22">
      <formula>ABS(W$25-W$28)&gt;=1000</formula>
    </cfRule>
  </conditionalFormatting>
  <conditionalFormatting sqref="X22:X29">
    <cfRule type="expression" dxfId="1058" priority="21">
      <formula>ABS(X$25-X$28)&gt;=1000</formula>
    </cfRule>
  </conditionalFormatting>
  <conditionalFormatting sqref="Y22:Y29">
    <cfRule type="expression" dxfId="1057" priority="20">
      <formula>ABS(Y$25-Y$28)&gt;=1000</formula>
    </cfRule>
  </conditionalFormatting>
  <conditionalFormatting sqref="I23">
    <cfRule type="expression" dxfId="1056" priority="19">
      <formula>ABS(I$25-I$28)&gt;=1000</formula>
    </cfRule>
  </conditionalFormatting>
  <conditionalFormatting sqref="F14">
    <cfRule type="expression" dxfId="1055" priority="18">
      <formula>ABS(F$16-F$19)&gt;=1000</formula>
    </cfRule>
  </conditionalFormatting>
  <conditionalFormatting sqref="Q14">
    <cfRule type="expression" dxfId="1054" priority="17">
      <formula>ABS(Q$16-Q$19)&gt;=1000</formula>
    </cfRule>
  </conditionalFormatting>
  <conditionalFormatting sqref="W14">
    <cfRule type="expression" dxfId="1053" priority="16">
      <formula>ABS(W$16-W$19)&gt;=1000</formula>
    </cfRule>
  </conditionalFormatting>
  <conditionalFormatting sqref="Y14">
    <cfRule type="expression" dxfId="1052" priority="15">
      <formula>ABS(Y$16-Y$19)&gt;=1000</formula>
    </cfRule>
  </conditionalFormatting>
  <conditionalFormatting sqref="X14">
    <cfRule type="expression" dxfId="1051" priority="14">
      <formula>ABS(X$16-X$19)&gt;=1000</formula>
    </cfRule>
  </conditionalFormatting>
  <conditionalFormatting sqref="T10:Y10">
    <cfRule type="expression" dxfId="1050" priority="13">
      <formula>ABS(T$7-T$10)&gt;=1000</formula>
    </cfRule>
  </conditionalFormatting>
  <conditionalFormatting sqref="W19">
    <cfRule type="expression" dxfId="1049" priority="12">
      <formula>ABS(W$16-W$19)&gt;=1000</formula>
    </cfRule>
  </conditionalFormatting>
  <conditionalFormatting sqref="AC5">
    <cfRule type="expression" dxfId="1048" priority="11">
      <formula>ABS(AC$7-AC$10)&gt;=1000</formula>
    </cfRule>
  </conditionalFormatting>
  <conditionalFormatting sqref="M14">
    <cfRule type="expression" dxfId="1047" priority="10">
      <formula>ABS(M$16-M$19)&gt;=1000</formula>
    </cfRule>
  </conditionalFormatting>
  <conditionalFormatting sqref="M16">
    <cfRule type="expression" dxfId="1046" priority="9">
      <formula>ABS(M$16-M$19)&gt;=1000</formula>
    </cfRule>
  </conditionalFormatting>
  <conditionalFormatting sqref="M19">
    <cfRule type="expression" dxfId="1045" priority="8">
      <formula>ABS(M$16-M$19)&gt;=1000</formula>
    </cfRule>
  </conditionalFormatting>
  <conditionalFormatting sqref="K13:K20">
    <cfRule type="expression" dxfId="1044" priority="7">
      <formula>ABS(K$16-K$19)&gt;=1000</formula>
    </cfRule>
  </conditionalFormatting>
  <conditionalFormatting sqref="E5">
    <cfRule type="expression" dxfId="1043" priority="6">
      <formula>ABS(E$7-E$10)&gt;=1000</formula>
    </cfRule>
  </conditionalFormatting>
  <conditionalFormatting sqref="AB14:AC14">
    <cfRule type="expression" dxfId="1042" priority="5">
      <formula>ABS(AB$16-AB$19)&gt;=1000</formula>
    </cfRule>
  </conditionalFormatting>
  <conditionalFormatting sqref="M5">
    <cfRule type="expression" dxfId="1041" priority="4">
      <formula>ABS(M$7-M$10)&gt;=1000</formula>
    </cfRule>
  </conditionalFormatting>
  <conditionalFormatting sqref="N5">
    <cfRule type="expression" dxfId="1040" priority="3">
      <formula>ABS(N$7-N$10)&gt;=1000</formula>
    </cfRule>
  </conditionalFormatting>
  <conditionalFormatting sqref="O5">
    <cfRule type="expression" dxfId="1039" priority="2">
      <formula>ABS(O$7-O$10)&gt;=1000</formula>
    </cfRule>
  </conditionalFormatting>
  <conditionalFormatting sqref="P5">
    <cfRule type="expression" dxfId="1038" priority="1">
      <formula>ABS(P$7-P$10)&gt;=1000</formula>
    </cfRule>
  </conditionalFormatting>
  <dataValidations count="1">
    <dataValidation operator="greaterThanOrEqual" allowBlank="1" showErrorMessage="1" sqref="D6" xr:uid="{00000000-0002-0000-0F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54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39">
    <pageSetUpPr fitToPage="1"/>
  </sheetPr>
  <dimension ref="A1:CU223"/>
  <sheetViews>
    <sheetView view="pageBreakPreview" topLeftCell="A7" zoomScale="80" zoomScaleNormal="100" zoomScaleSheetLayoutView="80" workbookViewId="0">
      <selection activeCell="V27" sqref="V27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45797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64" t="s" ph="1">
        <v>178</v>
      </c>
      <c r="D6" s="71">
        <v>1046</v>
      </c>
      <c r="E6" s="71">
        <v>4711</v>
      </c>
      <c r="F6" s="71">
        <v>4351</v>
      </c>
      <c r="G6" s="71">
        <v>8289</v>
      </c>
      <c r="H6" s="71">
        <v>1021</v>
      </c>
      <c r="I6" s="71">
        <v>0.11</v>
      </c>
      <c r="J6" s="71">
        <v>7.82</v>
      </c>
      <c r="K6" s="71">
        <v>65.52</v>
      </c>
      <c r="L6" s="71">
        <v>53.12</v>
      </c>
      <c r="M6" s="71">
        <v>1178</v>
      </c>
      <c r="N6" s="71">
        <v>5705</v>
      </c>
      <c r="O6" s="71">
        <v>1083</v>
      </c>
      <c r="P6" s="71">
        <v>3304</v>
      </c>
      <c r="Q6" s="71">
        <v>0</v>
      </c>
      <c r="R6" s="71">
        <v>3024</v>
      </c>
      <c r="S6" s="71">
        <v>5965</v>
      </c>
      <c r="T6" s="71">
        <v>4815</v>
      </c>
      <c r="U6" s="71">
        <v>6873</v>
      </c>
      <c r="V6" s="71">
        <v>4417</v>
      </c>
      <c r="W6" s="71">
        <v>2515</v>
      </c>
      <c r="X6" s="71">
        <v>0</v>
      </c>
      <c r="Y6" s="71">
        <v>0</v>
      </c>
      <c r="Z6" s="71">
        <v>1275</v>
      </c>
      <c r="AA6" s="71">
        <v>2166</v>
      </c>
      <c r="AB6" s="71">
        <v>2455</v>
      </c>
      <c r="AC6" s="71">
        <v>7420</v>
      </c>
      <c r="AD6" s="71">
        <v>5422</v>
      </c>
      <c r="AE6" s="71">
        <v>2914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32692.800814199996</v>
      </c>
      <c r="E7" s="73" ph="1">
        <f>E6*51.53*LOOKUP(E8,密度!$A$2:$A$50,密度!$B$2:$B$50)</f>
        <v>188622.83391000002</v>
      </c>
      <c r="F7" s="73" ph="1">
        <f>F6*33.183*LOOKUP(F8,密度!$A$2:$A$50,密度!$C$2:$C$50)</f>
        <v>159770.05923780001</v>
      </c>
      <c r="G7" s="73" ph="1">
        <f xml:space="preserve"> (G6+2)*51.53*LOOKUP(G8,密度!$A$2:$A$50,密度!$B$2:$B$50)</f>
        <v>331961.77370999998</v>
      </c>
      <c r="H7" s="73" ph="1">
        <f>(H6)*51.53*LOOKUP(H8,密度!$A$2:$A$50,密度!$B$2:$B$50)</f>
        <v>40879.625010000003</v>
      </c>
      <c r="I7" s="73" ph="1">
        <f>I6*290.8*1.0267</f>
        <v>32.842079599999998</v>
      </c>
      <c r="J7" s="73" ph="1">
        <f>J6*290.8*0.7892</f>
        <v>1794.6849952</v>
      </c>
      <c r="K7" s="73" ph="1">
        <f>K6*290.8*1.1126</f>
        <v>21198.608121600002</v>
      </c>
      <c r="L7" s="73" ph="1">
        <f>L6*290.8*0.777</f>
        <v>12002.548992</v>
      </c>
      <c r="M7" s="73" ph="1">
        <f>M6*33.183*LOOKUP(M8,密度!$A$2:$A$50,密度!$D$2:$D$50)</f>
        <v>39949.544628000003</v>
      </c>
      <c r="N7" s="73" ph="1">
        <f>N6*33.183*LOOKUP(N8,密度!$A$2:$A$50,密度!$E$2:$E$50)</f>
        <v>147206.69006399997</v>
      </c>
      <c r="O7" s="73" ph="1">
        <f>O6*20.428*LOOKUP(O8,密度!$A$2:$A$50,密度!$C$2:$C$50)</f>
        <v>24448.7063724</v>
      </c>
      <c r="P7" s="73" ph="1">
        <f>P6*51.53*LOOKUP(P8,密度!$A$2:$A$50,密度!$B$2:$B$50)</f>
        <v>132288.22824</v>
      </c>
      <c r="Q7" s="73" ph="1">
        <f>Q6*1.5*1.5*3.1416*LOOKUP(W8,密度!$A$2:$A$50,密度!$L$2:$L$50)</f>
        <v>0</v>
      </c>
      <c r="R7" s="73" ph="1">
        <f>R6*1.5*1.5*3.1416*LOOKUP(R8,密度!$A$2:$A$50,密度!$L$2:$L$50)</f>
        <v>19815.038812800001</v>
      </c>
      <c r="S7" s="73" ph="1">
        <f>S6*1.5*1.5*3.1416*LOOKUP(S8,密度!$A$2:$A$50,密度!$L$2:$L$50)</f>
        <v>39550.018661999995</v>
      </c>
      <c r="T7" s="73" ph="1">
        <f>T6*1.5*1.5*3.1416*LOOKUP(T8,密度!$A$2:$A$50,密度!$L$2:$L$50)</f>
        <v>31891.084533000001</v>
      </c>
      <c r="U7" s="73" ph="1">
        <f>U6*1.5*1.5*3.1416*LOOKUP(U8,密度!$A$2:$A$50,密度!$L$2:$L$50)</f>
        <v>45327.461117400002</v>
      </c>
      <c r="V7" s="73" ph="1">
        <f>V6*1.5*1.5*3.1416*LOOKUP(V8,密度!$A$2:$A$50,密度!$L$2:$L$50)</f>
        <v>29161.3537908</v>
      </c>
      <c r="W7" s="73" ph="1">
        <f>W6*1.5*1.5*3.1416*LOOKUP(W8,密度!$A$2:$A$50,密度!$L$2:$L$50)</f>
        <v>16621.989614999999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39431.358899999999</v>
      </c>
      <c r="AA7" s="73" ph="1">
        <f>AA6*33.183*LOOKUP(AA8,密度!$A$2:$A$50,密度!$D$2:$D$50)</f>
        <v>73455.614315999992</v>
      </c>
      <c r="AB7" s="73" ph="1">
        <f>AB6*20.428*LOOKUP(AB8,密度!$A$2:$A$50,密度!$D$2:$D$50)</f>
        <v>51725.473236000013</v>
      </c>
      <c r="AC7" s="73" ph="1">
        <f>AC6*51.53*LOOKUP(AC8,密度!$A$2:$A$50,密度!$Q$2:$Q$50)</f>
        <v>361988.50052400003</v>
      </c>
      <c r="AD7" s="73" ph="1">
        <f>AD6*20.428*LOOKUP(AD8,密度!$A$2:$A$50,密度!$V$2:$V$50)</f>
        <v>106418.7998528</v>
      </c>
      <c r="AE7" s="73" ph="1">
        <f>AE6*20.428</f>
        <v>59527.192000000003</v>
      </c>
    </row>
    <row r="8" spans="1:99" ph="1">
      <c r="B8" s="196" ph="1"/>
      <c r="C8" s="68" t="s" ph="1">
        <v>180</v>
      </c>
      <c r="D8" s="74">
        <v>32</v>
      </c>
      <c r="E8" s="74">
        <v>28</v>
      </c>
      <c r="F8" s="74">
        <v>28</v>
      </c>
      <c r="G8" s="74">
        <v>28</v>
      </c>
      <c r="H8" s="74">
        <v>28</v>
      </c>
      <c r="I8" s="74">
        <v>22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27</v>
      </c>
      <c r="R8" s="74">
        <v>35</v>
      </c>
      <c r="S8" s="74">
        <v>24</v>
      </c>
      <c r="T8" s="74">
        <v>25</v>
      </c>
      <c r="U8" s="74">
        <v>29</v>
      </c>
      <c r="V8" s="74">
        <v>28</v>
      </c>
      <c r="W8" s="74">
        <v>27</v>
      </c>
      <c r="X8" s="74">
        <v>30</v>
      </c>
      <c r="Y8" s="74">
        <v>27</v>
      </c>
      <c r="Z8" s="74">
        <v>30</v>
      </c>
      <c r="AA8" s="74">
        <v>30</v>
      </c>
      <c r="AB8" s="74">
        <v>20</v>
      </c>
      <c r="AC8" s="74">
        <v>25</v>
      </c>
      <c r="AD8" s="74">
        <v>25</v>
      </c>
      <c r="AE8" s="74">
        <v>28</v>
      </c>
    </row>
    <row r="9" spans="1:99" ph="1">
      <c r="B9" s="196" ph="1">
        <v>0.66666666666666663</v>
      </c>
      <c r="C9" s="164" t="s" ph="1">
        <v>181</v>
      </c>
      <c r="D9" s="71">
        <v>1342</v>
      </c>
      <c r="E9" s="71">
        <v>4700</v>
      </c>
      <c r="F9" s="71">
        <v>4046</v>
      </c>
      <c r="G9" s="71">
        <v>8829</v>
      </c>
      <c r="H9" s="71">
        <v>1021</v>
      </c>
      <c r="I9" s="71">
        <v>0</v>
      </c>
      <c r="J9" s="71">
        <v>7.81</v>
      </c>
      <c r="K9" s="71">
        <v>23.46</v>
      </c>
      <c r="L9" s="71">
        <v>20.67</v>
      </c>
      <c r="M9" s="71">
        <v>1179</v>
      </c>
      <c r="N9" s="71">
        <v>5638</v>
      </c>
      <c r="O9" s="71">
        <v>2136</v>
      </c>
      <c r="P9" s="71">
        <v>2967</v>
      </c>
      <c r="Q9" s="71">
        <v>0</v>
      </c>
      <c r="R9" s="71">
        <v>0</v>
      </c>
      <c r="S9" s="71">
        <v>4402</v>
      </c>
      <c r="T9" s="71">
        <v>4820</v>
      </c>
      <c r="U9" s="71">
        <v>6882</v>
      </c>
      <c r="V9" s="71">
        <v>4426</v>
      </c>
      <c r="W9" s="71">
        <v>7083</v>
      </c>
      <c r="X9" s="71">
        <v>267</v>
      </c>
      <c r="Y9" s="71">
        <v>0</v>
      </c>
      <c r="Z9" s="71">
        <v>2299</v>
      </c>
      <c r="AA9" s="71">
        <v>3336</v>
      </c>
      <c r="AB9" s="71">
        <v>2442</v>
      </c>
      <c r="AC9" s="71">
        <v>7199</v>
      </c>
      <c r="AD9" s="71">
        <v>5428</v>
      </c>
      <c r="AE9" s="71">
        <v>2854</v>
      </c>
    </row>
    <row r="10" spans="1:99" s="72" customFormat="1" ht="21.75" ph="1">
      <c r="B10" s="196" ph="1"/>
      <c r="C10" s="164" t="s" ph="1">
        <v>179</v>
      </c>
      <c r="D10" s="73" ph="1">
        <f>D9*33.183*LOOKUP(D11,密度!$A$2:$A$50,密度!$Q$2:$Q$50)</f>
        <v>41885.964475740002</v>
      </c>
      <c r="E10" s="73" ph="1">
        <f>E9*51.53*LOOKUP(E11,密度!$A$2:$A$50,密度!$B$2:$B$50)</f>
        <v>187770.68229999999</v>
      </c>
      <c r="F10" s="73" ph="1">
        <f>F9*33.183*LOOKUP(F11,密度!$A$2:$A$50,密度!$C$2:$C$50)</f>
        <v>148087.03505400001</v>
      </c>
      <c r="G10" s="73" ph="1">
        <f xml:space="preserve"> (G9+2)*51.53*LOOKUP(G11,密度!$A$2:$A$50,密度!$B$2:$B$50)</f>
        <v>353218.681966</v>
      </c>
      <c r="H10" s="73" ph="1">
        <f>(H9)*51.53*LOOKUP(H11,密度!$A$2:$A$50,密度!$B$2:$B$50)</f>
        <v>40837.535306000005</v>
      </c>
      <c r="I10" s="73" ph="1">
        <f>I9*290.8*1.0267</f>
        <v>0</v>
      </c>
      <c r="J10" s="73" ph="1">
        <f>J9*290.8*0.7892</f>
        <v>1792.3900016000002</v>
      </c>
      <c r="K10" s="73" ph="1">
        <f>K9*290.8*1.1126</f>
        <v>7590.3441168000008</v>
      </c>
      <c r="L10" s="73" ph="1">
        <f>L9*290.8*0.777</f>
        <v>4670.4195720000007</v>
      </c>
      <c r="M10" s="73" ph="1">
        <f>M9*33.183*LOOKUP(M11,密度!$A$2:$A$50,密度!$D$2:$D$50)</f>
        <v>39568.7564298</v>
      </c>
      <c r="N10" s="73" ph="1">
        <f>N9*33.183*LOOKUP(N11,密度!$A$2:$A$50,密度!$E$2:$E$50)</f>
        <v>145051.32679127998</v>
      </c>
      <c r="O10" s="73" ph="1">
        <f>O9*20.428*LOOKUP(O11,密度!$A$2:$A$50,密度!$C$2:$C$50)</f>
        <v>47945.267750400002</v>
      </c>
      <c r="P10" s="73" ph="1">
        <f>P9*51.53*LOOKUP(P11,密度!$A$2:$A$50,密度!$B$2:$B$50)</f>
        <v>118397.63654400001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29155.670636400002</v>
      </c>
      <c r="T10" s="73" ph="1">
        <f>T9*1.5*1.5*3.1416*LOOKUP(T11,密度!$A$2:$A$50,密度!$L$2:$L$50)</f>
        <v>31890.130272000002</v>
      </c>
      <c r="U10" s="73" ph="1">
        <f>U9*1.5*1.5*3.1416*LOOKUP(U11,密度!$A$2:$A$50,密度!$L$2:$L$50)</f>
        <v>45338.170046400002</v>
      </c>
      <c r="V10" s="73" ph="1">
        <f>V9*1.5*1.5*3.1416*LOOKUP(V11,密度!$A$2:$A$50,密度!$L$2:$L$50)</f>
        <v>29314.629313199999</v>
      </c>
      <c r="W10" s="73" ph="1">
        <f>W9*1.5*1.5*3.1416*LOOKUP(W11,密度!$A$2:$A$50,密度!$L$2:$L$50)</f>
        <v>46712.4119154</v>
      </c>
      <c r="X10" s="73" ph="1">
        <f>X9*1.5*1.5*3.1416*LOOKUP(X11,密度!$A$2:$A$50,密度!$L$2:$L$50)</f>
        <v>1768.4152794000001</v>
      </c>
      <c r="Y10" s="73" ph="1">
        <f>Y9*1.5*1.5*3.1416*LOOKUP(Y11,密度!$A$2:$A$50,密度!$L$2:$L$50)</f>
        <v>0</v>
      </c>
      <c r="Z10" s="73" ph="1">
        <f>Z9*33.183*LOOKUP(Z11,密度!$A$2:$A$50,密度!$L$2:$L$50)</f>
        <v>71100.152244000012</v>
      </c>
      <c r="AA10" s="73" ph="1">
        <f>AA9*33.183*LOOKUP(AA11,密度!$A$2:$A$50,密度!$D$2:$D$50)</f>
        <v>112646.78138880001</v>
      </c>
      <c r="AB10" s="73" ph="1">
        <f>AB9*20.428*LOOKUP(AB11,密度!$A$2:$A$50,密度!$D$2:$D$50)</f>
        <v>51262.006857600005</v>
      </c>
      <c r="AC10" s="73" ph="1">
        <f>AC9*51.53*LOOKUP(AC11,密度!$A$2:$A$50,密度!$Q$2:$Q$50)</f>
        <v>351206.90232780005</v>
      </c>
      <c r="AD10" s="73" ph="1">
        <f>AD9*20.428*LOOKUP(AD11,密度!$A$2:$A$50,密度!$V$2:$V$50)</f>
        <v>106181.73699840001</v>
      </c>
      <c r="AE10" s="73" ph="1">
        <f>AE9*20.428</f>
        <v>58301.512000000002</v>
      </c>
    </row>
    <row r="11" spans="1:99" ph="1">
      <c r="A11" s="64" t="s" ph="1">
        <v>163</v>
      </c>
      <c r="B11" s="196" ph="1"/>
      <c r="C11" s="164" t="s" ph="1">
        <v>180</v>
      </c>
      <c r="D11" s="74">
        <v>34</v>
      </c>
      <c r="E11" s="74">
        <v>30</v>
      </c>
      <c r="F11" s="74">
        <v>32</v>
      </c>
      <c r="G11" s="74">
        <v>29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32</v>
      </c>
      <c r="O11" s="74">
        <v>36</v>
      </c>
      <c r="P11" s="74">
        <v>31</v>
      </c>
      <c r="Q11" s="74">
        <v>40</v>
      </c>
      <c r="R11" s="74">
        <v>35</v>
      </c>
      <c r="S11" s="74">
        <v>25</v>
      </c>
      <c r="T11" s="74">
        <v>26</v>
      </c>
      <c r="U11" s="74">
        <v>30</v>
      </c>
      <c r="V11" s="74">
        <v>25</v>
      </c>
      <c r="W11" s="74">
        <v>29</v>
      </c>
      <c r="X11" s="74">
        <v>25</v>
      </c>
      <c r="Y11" s="74">
        <v>33</v>
      </c>
      <c r="Z11" s="74">
        <v>30</v>
      </c>
      <c r="AA11" s="74">
        <v>35</v>
      </c>
      <c r="AB11" s="74">
        <v>24</v>
      </c>
      <c r="AC11" s="74">
        <v>25</v>
      </c>
      <c r="AD11" s="74">
        <v>30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6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64" t="s" ph="1">
        <v>178</v>
      </c>
      <c r="D15" s="78">
        <v>4144</v>
      </c>
      <c r="E15" s="78">
        <v>62</v>
      </c>
      <c r="F15" s="78">
        <v>1894</v>
      </c>
      <c r="G15" s="78">
        <v>599</v>
      </c>
      <c r="H15" s="78">
        <v>0</v>
      </c>
      <c r="I15" s="78">
        <v>117</v>
      </c>
      <c r="J15" s="78">
        <v>155</v>
      </c>
      <c r="K15" s="78">
        <v>1060</v>
      </c>
      <c r="L15" s="78">
        <v>2537</v>
      </c>
      <c r="M15" s="78">
        <v>435</v>
      </c>
      <c r="N15" s="78">
        <v>4850</v>
      </c>
      <c r="O15" s="78">
        <v>0</v>
      </c>
      <c r="P15" s="78">
        <v>3044</v>
      </c>
      <c r="Q15" s="78">
        <v>7003</v>
      </c>
      <c r="R15" s="78">
        <v>3521</v>
      </c>
      <c r="S15" s="78">
        <v>0</v>
      </c>
      <c r="T15" s="78">
        <v>3354</v>
      </c>
      <c r="U15" s="78">
        <v>3576</v>
      </c>
      <c r="V15" s="78">
        <v>2380</v>
      </c>
      <c r="W15" s="71">
        <v>-792</v>
      </c>
      <c r="X15" s="78">
        <v>29</v>
      </c>
      <c r="Y15" s="106">
        <v>-2366</v>
      </c>
      <c r="Z15" s="78">
        <v>0</v>
      </c>
      <c r="AA15" s="78">
        <v>4243</v>
      </c>
      <c r="AB15" s="78" ph="1">
        <v>5136</v>
      </c>
      <c r="AC15" s="78" ph="1">
        <v>0</v>
      </c>
      <c r="AD15" s="78">
        <v>58.21</v>
      </c>
      <c r="AE15" s="78">
        <v>83.33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64" t="s" ph="1">
        <v>179</v>
      </c>
      <c r="D16" s="73" ph="1">
        <f>D15*7.0686*LOOKUP(D17,密度!$A$2:$A$50,密度!$L$2:$L$50)</f>
        <v>27329.695747199999</v>
      </c>
      <c r="E16" s="73" ph="1">
        <f>E15*7.0686*LOOKUP(E17,密度!$A$2:$A$50,密度!$L$2:$L$50)</f>
        <v>408.89023560000004</v>
      </c>
      <c r="F16" s="73" ph="1">
        <f>F15*9.0746*LOOKUP(F17,密度!$A$2:$A$50,密度!$L$2:$L$50)</f>
        <v>15949.807347200003</v>
      </c>
      <c r="G16" s="73" ph="1">
        <f>G15*9.0746*LOOKUP(G17,密度!$A$2:$A$50,密度!$B$2:$B$50)</f>
        <v>4228.4196726600003</v>
      </c>
      <c r="H16" s="73" ph="1">
        <f>H15*9.0746*LOOKUP(H17,密度!$A$2:$A$50,密度!$L$2:$L$50)</f>
        <v>0</v>
      </c>
      <c r="I16" s="73" ph="1">
        <f>I15*9.0746*LOOKUP(I17,密度!$A$2:$A$50,密度!$U$2:$U$50)</f>
        <v>1086.1479485999998</v>
      </c>
      <c r="J16" s="73" ph="1">
        <f>J15*9.0746*LOOKUP(J17,密度!$A$2:$A$50,密度!$L$2:$L$50)</f>
        <v>1312.3232790000002</v>
      </c>
      <c r="K16" s="73" ph="1">
        <f>K15*9.0746*LOOKUP(K17,密度!$A$2:$A$50,密度!$C$2:$C$50)</f>
        <v>10658.898115600003</v>
      </c>
      <c r="L16" s="73" ph="1">
        <f>L15*9.0746*LOOKUP(L17,密度!$A$2:$A$50,密度!$E$2:$E$50)</f>
        <v>17902.10953152</v>
      </c>
      <c r="M16" s="73" ph="1">
        <f>M15*9.0746*LOOKUP(M17,密度!$A$2:$A$50,密度!$M$2:$M$50)</f>
        <v>3425.6769268200001</v>
      </c>
      <c r="N16" s="73" ph="1">
        <f>N15*9.0746*LOOKUP(N17,密度!$A$2:$A$50,密度!$M$2:$M$50)</f>
        <v>37440.846766999995</v>
      </c>
      <c r="O16" s="73" ph="1">
        <f>O15*9.0746*LOOKUP(O17,密度!$A$2:$A$50,密度!$G$2:$G$50)</f>
        <v>0</v>
      </c>
      <c r="P16" s="73" ph="1">
        <f ca="1">P15*9.0746*LOOKUP(P17,密度!$A$2:$A$51,密度!$Q$2:$Q$50)</f>
        <v>26057.682320391999</v>
      </c>
      <c r="Q16" s="73" ph="1">
        <f>Q15*9.0746*LOOKUP(Q17,密度!$A$2:$A$50,密度!$Q$2:$Q$50)</f>
        <v>59900.415885404</v>
      </c>
      <c r="R16" s="73" ph="1">
        <f>MAX(R15*9.0746*LOOKUP(R17,密度!$A$2:$A$50,密度!$B$2:$B$50),0)</f>
        <v>24826.444948200002</v>
      </c>
      <c r="S16" s="73" ph="1">
        <f>S15*9.0746*LOOKUP(S17,密度!$A$2:$A$50,密度!$Q$2:$Q$50)</f>
        <v>0</v>
      </c>
      <c r="T16" s="73" ph="1">
        <f>T15*9.0746*LOOKUP(T17,密度!$A$2:$A$50,密度!$O$2:$O$50)</f>
        <v>28183.928978399999</v>
      </c>
      <c r="U16" s="73" ph="1">
        <f>U15*9.0746*LOOKUP(U17,密度!$A$2:$A$50,密度!$H$2:$H$50)</f>
        <v>29562.651105600002</v>
      </c>
      <c r="V16" s="73" ph="1">
        <f>MAX(5600*LOOKUP(V17,密度!$A$2:$A$50,密度!$Q$2:$Q$50)+V15*9.0476*LOOKUP(V17,密度!$A$2:$A$50,密度!$Q$2:$Q$50),0)</f>
        <v>25539.207329999997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6090.4269975599991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29917.241100600004</v>
      </c>
      <c r="AB16" s="73" ph="1">
        <f>AB15*9.0746*LOOKUP(AB17,密度!$A$2:$A$50,密度!$L$2:$L$50)</f>
        <v>43437.859699200002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13413.69063888</v>
      </c>
      <c r="AE16" s="73" ph="1">
        <f>AE15*268.68*LOOKUP(AE17,密度!$A$2:$A$50,密度!B2:B50)+IF(AE15&lt;=0,0,1566*LOOKUP(AE17,密度!$A$2:$A$50,密度!B2:B50))</f>
        <v>18675.399390239996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29</v>
      </c>
      <c r="E17" s="74">
        <v>29</v>
      </c>
      <c r="F17" s="74">
        <v>34</v>
      </c>
      <c r="G17" s="74">
        <v>27</v>
      </c>
      <c r="H17" s="74">
        <v>28</v>
      </c>
      <c r="I17" s="74">
        <v>27</v>
      </c>
      <c r="J17" s="74">
        <v>29</v>
      </c>
      <c r="K17" s="74">
        <v>26</v>
      </c>
      <c r="L17" s="74">
        <v>30</v>
      </c>
      <c r="M17" s="74">
        <v>32</v>
      </c>
      <c r="N17" s="74">
        <v>56</v>
      </c>
      <c r="O17" s="74">
        <v>29</v>
      </c>
      <c r="P17" s="74">
        <v>30</v>
      </c>
      <c r="Q17" s="74">
        <v>31</v>
      </c>
      <c r="R17" s="74">
        <v>28</v>
      </c>
      <c r="S17" s="74">
        <v>28</v>
      </c>
      <c r="T17" s="74">
        <v>29</v>
      </c>
      <c r="U17" s="74">
        <v>29</v>
      </c>
      <c r="V17" s="74">
        <v>33</v>
      </c>
      <c r="W17" s="74">
        <v>27</v>
      </c>
      <c r="X17" s="74">
        <v>28</v>
      </c>
      <c r="Y17" s="108">
        <v>28</v>
      </c>
      <c r="Z17" s="74">
        <v>28</v>
      </c>
      <c r="AA17" s="74">
        <v>28</v>
      </c>
      <c r="AB17" s="74">
        <v>30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4152</v>
      </c>
      <c r="E18" s="71">
        <v>62</v>
      </c>
      <c r="F18" s="71">
        <v>1965</v>
      </c>
      <c r="G18" s="71">
        <v>628</v>
      </c>
      <c r="H18" s="71">
        <v>0</v>
      </c>
      <c r="I18" s="71">
        <v>118</v>
      </c>
      <c r="J18" s="71">
        <v>172</v>
      </c>
      <c r="K18" s="71">
        <v>1087</v>
      </c>
      <c r="L18" s="71">
        <v>823</v>
      </c>
      <c r="M18" s="71">
        <v>3599</v>
      </c>
      <c r="N18" s="71">
        <v>2793</v>
      </c>
      <c r="O18" s="71">
        <v>0</v>
      </c>
      <c r="P18" s="71">
        <v>3045</v>
      </c>
      <c r="Q18" s="71">
        <v>7011</v>
      </c>
      <c r="R18" s="71">
        <v>3528</v>
      </c>
      <c r="S18" s="71">
        <v>0</v>
      </c>
      <c r="T18" s="71">
        <v>2415</v>
      </c>
      <c r="U18" s="71">
        <v>3578</v>
      </c>
      <c r="V18" s="71">
        <v>2380</v>
      </c>
      <c r="W18" s="71">
        <v>-792</v>
      </c>
      <c r="X18" s="71">
        <v>27</v>
      </c>
      <c r="Y18" s="109">
        <v>-9907</v>
      </c>
      <c r="Z18" s="71">
        <v>0</v>
      </c>
      <c r="AA18" s="71">
        <v>4249</v>
      </c>
      <c r="AB18" s="71">
        <v>5144</v>
      </c>
      <c r="AC18" s="71">
        <v>0</v>
      </c>
      <c r="AD18" s="71">
        <v>85.48</v>
      </c>
      <c r="AE18" s="71">
        <v>15.26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64" t="s" ph="1">
        <v>179</v>
      </c>
      <c r="D19" s="73" ph="1">
        <f>D18*7.0686*LOOKUP(D20,密度!$A$2:$A$50,密度!$L$2:$L$50)</f>
        <v>27558.548740799997</v>
      </c>
      <c r="E19" s="73" ph="1">
        <f>E18*7.0686*LOOKUP(E20,密度!$A$2:$A$50,密度!$L$2:$L$50)</f>
        <v>411.51975479999999</v>
      </c>
      <c r="F19" s="73" ph="1">
        <f>F18*9.0746*LOOKUP(F20,密度!$A$2:$A$50,密度!$L$2:$L$50)</f>
        <v>16565.546181000002</v>
      </c>
      <c r="G19" s="73" ph="1">
        <f>G18*9.0746*LOOKUP(G20,密度!$A$2:$A$50,密度!$B$2:$B$50)</f>
        <v>4418.31747464</v>
      </c>
      <c r="H19" s="73" ph="1">
        <f>H18*9.0746*LOOKUP(H20,密度!$A$2:$A$50,密度!$L$2:$L$50)</f>
        <v>0</v>
      </c>
      <c r="I19" s="73" ph="1">
        <f>I18*9.0746*LOOKUP(I20,密度!$A$2:$A$50,密度!$U$2:$U$50)</f>
        <v>1087.9356447999999</v>
      </c>
      <c r="J19" s="73" ph="1">
        <f>J18*9.0746*LOOKUP(J20,密度!$A$2:$A$50,密度!$L$2:$L$50)</f>
        <v>1446.8905224000002</v>
      </c>
      <c r="K19" s="73" ph="1">
        <f>K18*9.0746*LOOKUP(K20,密度!$A$2:$A$50,密度!$C$2:$C$50)</f>
        <v>10880.0914906</v>
      </c>
      <c r="L19" s="73" ph="1">
        <f>L18*9.0746*LOOKUP(L20,密度!$A$2:$A$50,密度!$E$2:$E$50)</f>
        <v>5765.0787698940003</v>
      </c>
      <c r="M19" s="73" ph="1">
        <f>M18*9.0746*LOOKUP(M20,密度!$A$2:$A$50,密度!$M$2:$M$50)</f>
        <v>28308.262160158003</v>
      </c>
      <c r="N19" s="73" ph="1">
        <f>N18*9.0746*LOOKUP(N20,密度!$A$2:$A$50,密度!$M$2:$M$50)</f>
        <v>22101.152001600003</v>
      </c>
      <c r="O19" s="73" ph="1">
        <f>O18*9.0746*LOOKUP(O20,密度!$A$2:$A$50,密度!$G$2:$G$50)</f>
        <v>0</v>
      </c>
      <c r="P19" s="73" ph="1">
        <f ca="1">P18*9.0746*LOOKUP(P20,密度!$A$2:$A$51,密度!$Q$2:$Q$50)</f>
        <v>26045.51854506</v>
      </c>
      <c r="Q19" s="73" ph="1">
        <f>Q18*9.0746*LOOKUP(Q20,密度!$A$2:$A$50,密度!$Q$2:$Q$50)</f>
        <v>60326.399932920009</v>
      </c>
      <c r="R19" s="73" ph="1">
        <f>MAX(R18*9.0746*LOOKUP(R20,密度!$A$2:$A$50,密度!$B$2:$B$50),0)</f>
        <v>24792.562206719998</v>
      </c>
      <c r="S19" s="73" ph="1">
        <f>S18*9.0746*LOOKUP(S20,密度!$A$2:$A$50,密度!$Q$2:$Q$50)</f>
        <v>0</v>
      </c>
      <c r="T19" s="73" ph="1">
        <f>T18*9.0746*LOOKUP(T20,密度!$A$2:$A$50,密度!$O$2:$O$50)</f>
        <v>20223.308725199997</v>
      </c>
      <c r="U19" s="73" ph="1">
        <f>U18*9.0746*LOOKUP(U20,密度!$A$2:$A$50,密度!$H$2:$H$50)</f>
        <v>29546.716108000001</v>
      </c>
      <c r="V19" s="73" ph="1">
        <f>MAX(5600*LOOKUP(V20,密度!$A$2:$A$50,密度!$Q$2:$Q$50)+V18*9.0476*LOOKUP(V20,密度!$A$2:$A$50,密度!$Q$2:$Q$50),0)</f>
        <v>25539.207329999997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6071.6278942799991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29928.700505480003</v>
      </c>
      <c r="AB19" s="73" ph="1">
        <f>AB18*9.0746*LOOKUP(AB20,密度!$A$2:$A$50,密度!$L$2:$L$50)</f>
        <v>43458.840174400008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19061.959492800001</v>
      </c>
      <c r="AE19" s="73" ph="1">
        <f>AE18*268.68*LOOKUP(AE20,密度!$A$2:$A$50,密度!B5:B53)+IF(AE18&lt;=0,0,1566*LOOKUP(AE20,密度!$A$2:$A$50,密度!B5:B53))</f>
        <v>4402.5261336000003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23</v>
      </c>
      <c r="E20" s="81">
        <v>23</v>
      </c>
      <c r="F20" s="81">
        <v>33</v>
      </c>
      <c r="G20" s="81">
        <v>30</v>
      </c>
      <c r="H20" s="81">
        <v>29</v>
      </c>
      <c r="I20" s="81">
        <v>34</v>
      </c>
      <c r="J20" s="81">
        <v>35</v>
      </c>
      <c r="K20" s="81">
        <v>32</v>
      </c>
      <c r="L20" s="81">
        <v>35</v>
      </c>
      <c r="M20" s="81">
        <v>33</v>
      </c>
      <c r="N20" s="81">
        <v>28</v>
      </c>
      <c r="O20" s="81">
        <v>31</v>
      </c>
      <c r="P20" s="81">
        <v>31</v>
      </c>
      <c r="Q20" s="81">
        <v>23</v>
      </c>
      <c r="R20" s="81">
        <v>31</v>
      </c>
      <c r="S20" s="81">
        <v>35</v>
      </c>
      <c r="T20" s="81">
        <v>31</v>
      </c>
      <c r="U20" s="81">
        <v>30</v>
      </c>
      <c r="V20" s="81">
        <v>33</v>
      </c>
      <c r="W20" s="81">
        <v>33</v>
      </c>
      <c r="X20" s="81">
        <v>28</v>
      </c>
      <c r="Y20" s="110">
        <v>28</v>
      </c>
      <c r="Z20" s="81">
        <v>34</v>
      </c>
      <c r="AA20" s="81">
        <v>29</v>
      </c>
      <c r="AB20" s="81">
        <v>31</v>
      </c>
      <c r="AC20" s="81">
        <v>32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64" t="s" ph="1">
        <v>178</v>
      </c>
      <c r="D24" s="71">
        <v>91.24</v>
      </c>
      <c r="E24" s="71">
        <v>95.88</v>
      </c>
      <c r="F24" s="71">
        <v>4004</v>
      </c>
      <c r="G24" s="71">
        <v>2298</v>
      </c>
      <c r="H24" s="71">
        <v>713</v>
      </c>
      <c r="I24" s="71">
        <v>4245</v>
      </c>
      <c r="J24" s="71">
        <v>3196</v>
      </c>
      <c r="K24" s="71">
        <v>0</v>
      </c>
      <c r="L24" s="71">
        <v>0</v>
      </c>
      <c r="M24" s="71">
        <v>5267</v>
      </c>
      <c r="N24" s="71">
        <v>5335</v>
      </c>
      <c r="O24" s="71">
        <v>856</v>
      </c>
      <c r="P24" s="71">
        <v>389</v>
      </c>
      <c r="Q24" s="90">
        <v>3209</v>
      </c>
      <c r="R24" s="71">
        <v>2915</v>
      </c>
      <c r="S24" s="71">
        <v>1588</v>
      </c>
      <c r="T24" s="71">
        <v>1764</v>
      </c>
      <c r="U24" s="71">
        <v>5166</v>
      </c>
      <c r="V24" s="71">
        <v>9667</v>
      </c>
      <c r="W24" s="71">
        <v>10934</v>
      </c>
      <c r="X24" s="71">
        <v>3901</v>
      </c>
      <c r="Y24" s="71">
        <v>6715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24691.323055968001</v>
      </c>
      <c r="E25" s="91" ph="1">
        <f>E24*268.68*LOOKUP(E26,密度!$A$2:$A$50,密度!$C$2:$C$50)+IF(E24&lt;=0,0,1566*LOOKUP(E26,密度!$A$2:$A$50,密度!$C$2:$C$50))</f>
        <v>30302.952881759997</v>
      </c>
      <c r="F25" s="91" ph="1">
        <f>F24*11.702*LOOKUP(F26,密度!$A$2:$A$50,密度!$Q$2:$Q$50)</f>
        <v>44326.054012239998</v>
      </c>
      <c r="G25" s="91" ph="1">
        <f>G24*18.322*LOOKUP(G26,密度!$A$2:$A$50,密度!$B$2:$B$50)</f>
        <v>32752.667372399999</v>
      </c>
      <c r="H25" s="91" ph="1">
        <f>H24*18.322*LOOKUP(H26,密度!$A$2:$A$50,密度!$B$2:$B$50)</f>
        <v>10162.1635494</v>
      </c>
      <c r="I25" s="91" ph="1">
        <f>I24*18.322*LOOKUP(I26,密度!$A$2:$A$50,密度!$Q$2:$Q$50)</f>
        <v>73415.939777699998</v>
      </c>
      <c r="J25" s="91" ph="1">
        <f>J24*18.322*LOOKUP(J26,密度!$A$2:$A$50,密度!$Q$2:$Q$50)</f>
        <v>55355.209115840007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91362.27886476001</v>
      </c>
      <c r="N25" s="91" ph="1">
        <f>N24*18.322*LOOKUP(N26,密度!$A$2:$A$50,密度!$Q$2:$Q$50)</f>
        <v>92403.016468400005</v>
      </c>
      <c r="O25" s="91" ph="1">
        <f>O24*18.322*LOOKUP(O26,密度!$A$2:$A$50,密度!$C$2:$C$50)</f>
        <v>17379.032619199999</v>
      </c>
      <c r="P25" s="91" ph="1">
        <f>P24*11.702*LOOKUP(P26,密度!$A$2:$A$50,密度!$B$2:$B$50)</f>
        <v>3541.0614762000005</v>
      </c>
      <c r="Q25" s="92" ph="1">
        <f>Q24*18.322*LOOKUP(Q26,密度!$A$2:$A$50,密度!$B$2:$B$50)</f>
        <v>45683.946545999999</v>
      </c>
      <c r="R25" s="91" ph="1">
        <f>R24*35.891*LOOKUP(R26,密度!$A$2:$A$50,密度!$C$2:$C$50)</f>
        <v>115774.99844900001</v>
      </c>
      <c r="S25" s="91" ph="1">
        <f>S24*35.891*LOOKUP(S26,密度!$A$2:$A$50,密度!$B$2:$B$50)</f>
        <v>44381.934859599991</v>
      </c>
      <c r="T25" s="91" ph="1">
        <f>T24*35.891*LOOKUP(T26,密度!$A$2:$A$50,密度!$Q$2:$Q$50)</f>
        <v>59849.838931679995</v>
      </c>
      <c r="U25" s="91" ph="1">
        <f>U24*35.891</f>
        <v>185412.90599999999</v>
      </c>
      <c r="V25" s="91" ph="1">
        <f>V24*47.051*LOOKUP(V26,密度!$A$2:$A$50,密度!$B$2:$B$50)</f>
        <v>353821.60502429999</v>
      </c>
      <c r="W25" s="91" ph="1">
        <f>W24*47.051*LOOKUP(W26,密度!$A$2:$A$50,密度!$B$2:$B$50)</f>
        <v>399732.02761800005</v>
      </c>
      <c r="X25" s="91" ph="1">
        <f>X24*47.051*LOOKUP(X26,密度!$A$2:$A$50,密度!$I$2:$I$50)</f>
        <v>190685.88849389998</v>
      </c>
      <c r="Y25" s="91" ph="1">
        <f>Y24*47.051*LOOKUP(Y26,密度!$A$2:$A$50,密度!$L$2:$L$50)</f>
        <v>294147.08991500002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29</v>
      </c>
      <c r="J26" s="74">
        <v>27</v>
      </c>
      <c r="K26" s="74">
        <v>27</v>
      </c>
      <c r="L26" s="74">
        <v>28</v>
      </c>
      <c r="M26" s="74">
        <v>25</v>
      </c>
      <c r="N26" s="74">
        <v>27</v>
      </c>
      <c r="O26" s="74">
        <v>26</v>
      </c>
      <c r="P26" s="74">
        <v>27</v>
      </c>
      <c r="Q26" s="93">
        <v>28</v>
      </c>
      <c r="R26" s="74">
        <v>28</v>
      </c>
      <c r="S26" s="74">
        <v>26</v>
      </c>
      <c r="T26" s="74">
        <v>27</v>
      </c>
      <c r="U26" s="74">
        <v>27</v>
      </c>
      <c r="V26" s="74">
        <v>27</v>
      </c>
      <c r="W26" s="74">
        <v>28</v>
      </c>
      <c r="X26" s="74">
        <v>28</v>
      </c>
      <c r="Y26" s="74">
        <v>31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64" t="s" ph="1">
        <v>181</v>
      </c>
      <c r="D27" s="71">
        <v>91.31</v>
      </c>
      <c r="E27" s="71">
        <v>95.86</v>
      </c>
      <c r="F27" s="71">
        <v>4009</v>
      </c>
      <c r="G27" s="71">
        <v>1746</v>
      </c>
      <c r="H27" s="71">
        <v>1521</v>
      </c>
      <c r="I27" s="71">
        <v>4246</v>
      </c>
      <c r="J27" s="71">
        <v>3198</v>
      </c>
      <c r="K27" s="71">
        <v>0</v>
      </c>
      <c r="L27" s="71">
        <v>0</v>
      </c>
      <c r="M27" s="71">
        <v>5271</v>
      </c>
      <c r="N27" s="71">
        <v>5336</v>
      </c>
      <c r="O27" s="71">
        <v>2235</v>
      </c>
      <c r="P27" s="71">
        <v>392</v>
      </c>
      <c r="Q27" s="90">
        <v>3490</v>
      </c>
      <c r="R27" s="71">
        <v>2883</v>
      </c>
      <c r="S27" s="71">
        <v>1584</v>
      </c>
      <c r="T27" s="71">
        <v>1763</v>
      </c>
      <c r="U27" s="71">
        <v>5236</v>
      </c>
      <c r="V27" s="71">
        <v>9673</v>
      </c>
      <c r="W27" s="71">
        <v>10937</v>
      </c>
      <c r="X27" s="71">
        <v>3901</v>
      </c>
      <c r="Y27" s="71">
        <v>5649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64" t="s" ph="1">
        <v>179</v>
      </c>
      <c r="D28" s="91" ph="1">
        <f>D27*268.68*LOOKUP(D29,密度!$A$2:$A$50,密度!$Q$2:$Q$50)+IF(D27&lt;=0,0,1566*LOOKUP(D29,密度!$A$2:$A$50,密度!$Q$2:$Q$50))</f>
        <v>24709.128963192001</v>
      </c>
      <c r="E28" s="91" ph="1">
        <f>E27*268.68*LOOKUP(E29,密度!$A$2:$A$50,密度!$C$2:$C$50)+IF(E27&lt;=0,0,1566*LOOKUP(E29,密度!$A$2:$A$50,密度!$C$2:$C$50))</f>
        <v>30296.994096720002</v>
      </c>
      <c r="F28" s="91" ph="1">
        <f>F27*11.702*LOOKUP(F29,密度!$A$2:$A$50,密度!$Q$2:$Q$50)</f>
        <v>44348.097771760004</v>
      </c>
      <c r="G28" s="91" ph="1">
        <f>G27*18.322*LOOKUP(G29,密度!$A$2:$A$50,密度!$B$2:$B$50)</f>
        <v>24910.778084399997</v>
      </c>
      <c r="H28" s="91" ph="1">
        <f>H27*18.322*LOOKUP(H29,密度!$A$2:$A$50,密度!$B$2:$B$50)</f>
        <v>21725.707255199999</v>
      </c>
      <c r="I28" s="91" ph="1">
        <f>I27*18.322*LOOKUP(I29,密度!$A$2:$A$50,密度!$Q$2:$Q$50)</f>
        <v>73708.62951364</v>
      </c>
      <c r="J28" s="91" ph="1">
        <f>J27*18.322*LOOKUP(J29,密度!$A$2:$A$50,密度!$Q$2:$Q$50)</f>
        <v>55473.052555439994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91431.663545880001</v>
      </c>
      <c r="N28" s="91" ph="1">
        <f>N27*18.322*LOOKUP(N29,密度!$A$2:$A$50,密度!$Q$2:$Q$50)</f>
        <v>92559.16461408</v>
      </c>
      <c r="O28" s="91" ph="1">
        <f>O27*18.322*LOOKUP(O29,密度!$A$2:$A$50,密度!$C$2:$C$50)</f>
        <v>45376.329326999999</v>
      </c>
      <c r="P28" s="91" ph="1">
        <f>P27*11.702*LOOKUP(P29,密度!$A$2:$A$50,密度!$B$2:$B$50)</f>
        <v>3580.2971120000002</v>
      </c>
      <c r="Q28" s="92" ph="1">
        <f>Q27*18.322*LOOKUP(Q29,密度!$A$2:$A$50,密度!$B$2:$B$50)</f>
        <v>49908.120289999999</v>
      </c>
      <c r="R28" s="91" ph="1">
        <f>R27*35.891*LOOKUP(R29,密度!$A$2:$A$50,密度!$C$2:$C$50)</f>
        <v>114742.0447017</v>
      </c>
      <c r="S28" s="91" ph="1">
        <f>S27*35.891*LOOKUP(S29,密度!$A$2:$A$50,密度!$B$2:$B$50)</f>
        <v>44372.473991999999</v>
      </c>
      <c r="T28" s="91" ph="1">
        <f>T27*35.891*LOOKUP(T29,密度!$A$2:$A$50,密度!$Q$2:$Q$50)</f>
        <v>59860.836292990003</v>
      </c>
      <c r="U28" s="91" ph="1">
        <f>U27*35.891</f>
        <v>187925.27599999998</v>
      </c>
      <c r="V28" s="91" ph="1">
        <f>V27*47.051*LOOKUP(V29,密度!$A$2:$A$50,密度!$B$2:$B$50)</f>
        <v>354814.9222108</v>
      </c>
      <c r="W28" s="91" ph="1">
        <f>W27*47.051*LOOKUP(W29,密度!$A$2:$A$50,密度!$B$2:$B$50)</f>
        <v>401179.65514519997</v>
      </c>
      <c r="X28" s="91" ph="1">
        <f>X27*47.051*LOOKUP(X29,密度!$A$2:$A$50,密度!$I$2:$I$50)</f>
        <v>190685.88849389998</v>
      </c>
      <c r="Y28" s="91" ph="1">
        <f>Y27*47.051*LOOKUP(Y29,密度!$A$2:$A$50,密度!$L$2:$L$50)</f>
        <v>248514.67756499999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64" t="s" ph="1">
        <v>180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64" t="s" ph="1">
        <v>5</v>
      </c>
      <c r="F32" s="163" t="s" ph="1">
        <v>43</v>
      </c>
      <c r="G32" s="97" t="s" ph="1">
        <v>4</v>
      </c>
      <c r="H32" s="164" t="s" ph="1">
        <v>5</v>
      </c>
      <c r="I32" s="163" t="s" ph="1">
        <v>43</v>
      </c>
      <c r="J32" s="97" t="s" ph="1">
        <v>4</v>
      </c>
      <c r="K32" s="164" t="s" ph="1">
        <v>5</v>
      </c>
      <c r="L32" s="163" t="s" ph="1">
        <v>43</v>
      </c>
      <c r="M32" s="97" t="s" ph="1">
        <v>4</v>
      </c>
      <c r="N32" s="164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3" t="s" ph="1">
        <v>43</v>
      </c>
      <c r="AB32" s="97" t="s" ph="1">
        <v>85</v>
      </c>
      <c r="AC32" s="164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163908.78824640001</v>
      </c>
      <c r="E33" s="218" ph="1">
        <f>M10+I10</f>
        <v>39568.7564298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22" ph="1">
        <v>0</v>
      </c>
      <c r="H33" s="218" ph="1">
        <f>N19</f>
        <v>22101.152001600003</v>
      </c>
      <c r="I33" s="231" ph="1">
        <v>0</v>
      </c>
      <c r="J33" s="229" ph="1">
        <f>F10+O28</f>
        <v>193463.36438099999</v>
      </c>
      <c r="K33" s="218" ph="1">
        <f>O10+K10+E28+R28</f>
        <v>200574.65066561999</v>
      </c>
      <c r="L33" s="233" ph="1">
        <f>BE27</f>
        <v>7100</v>
      </c>
      <c r="M33" s="229" ph="1">
        <f>G10+H10+W28+S28+V28+E10</f>
        <v>1382193.95092</v>
      </c>
      <c r="N33" s="218" ph="1">
        <f>L10+P10++G28+H28</f>
        <v>169704.5414556</v>
      </c>
      <c r="O33" s="231" ph="1">
        <f>BE17</f>
        <v>2270</v>
      </c>
      <c r="P33" s="229" ph="1">
        <f>L19</f>
        <v>5765.0787698940003</v>
      </c>
      <c r="Q33" s="218" ph="1">
        <f>J10+N10</f>
        <v>146843.71679287998</v>
      </c>
      <c r="R33" s="231" ph="1">
        <f>BE23</f>
        <v>890</v>
      </c>
      <c r="S33" s="229" ph="1">
        <f>E10+X28</f>
        <v>378456.57079389994</v>
      </c>
      <c r="T33" s="218" ph="1">
        <f>X19</f>
        <v>6071.6278942799991</v>
      </c>
      <c r="U33" s="239" ph="1">
        <f>BE21</f>
        <v>730</v>
      </c>
      <c r="V33" s="250" ph="1">
        <f ca="1">P19+Q19+S19+M28+N28+J28</f>
        <v>325835.79919337999</v>
      </c>
      <c r="W33" s="250" ph="1">
        <f>D28+F28+V19+T28</f>
        <v>154457.27035794203</v>
      </c>
      <c r="X33" s="231" ph="1">
        <f>BE29+BE31</f>
        <v>10200</v>
      </c>
      <c r="Y33" s="252" ph="1">
        <f>+Q10+R10+S10+T10+U10+V10+W10+X10+Y10</f>
        <v>184179.42746280003</v>
      </c>
      <c r="Z33" s="237" ph="1">
        <f>D10+T19+U19+Y28+Z10</f>
        <v>411270.81911793997</v>
      </c>
      <c r="AA33" s="239" ph="1">
        <f>BE19</f>
        <v>1440</v>
      </c>
      <c r="AB33" s="241" ph="1">
        <f>I19</f>
        <v>1087.9356447999999</v>
      </c>
      <c r="AC33" s="243" ph="1">
        <f>AD10</f>
        <v>106181.73699840001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2" t="s" ph="1">
        <v>186</v>
      </c>
      <c r="AA36" s="162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2" t="s" ph="1">
        <v>345</v>
      </c>
      <c r="AI37" s="162" t="s" ph="1">
        <v>212</v>
      </c>
      <c r="AJ37" s="162" t="s" ph="1">
        <v>213</v>
      </c>
      <c r="AK37" s="162" t="s" ph="1">
        <v>214</v>
      </c>
      <c r="AM37" s="162" t="s" ph="1">
        <v>213</v>
      </c>
      <c r="AN37" s="162" t="s" ph="1">
        <v>214</v>
      </c>
      <c r="AO37" s="162" t="s" ph="1">
        <v>215</v>
      </c>
      <c r="AP37" s="162" t="s" ph="1">
        <v>213</v>
      </c>
      <c r="AQ37" s="162" t="s" ph="1">
        <v>214</v>
      </c>
      <c r="AR37" s="162" t="s" ph="1">
        <v>215</v>
      </c>
      <c r="AS37" s="162" t="s" ph="1">
        <v>213</v>
      </c>
      <c r="AT37" s="162" t="s" ph="1">
        <v>214</v>
      </c>
      <c r="AU37" s="162" t="s" ph="1">
        <v>215</v>
      </c>
      <c r="AV37" s="162" t="s" ph="1">
        <v>213</v>
      </c>
      <c r="AW37" s="162" t="s" ph="1">
        <v>214</v>
      </c>
      <c r="AX37" s="162" t="s" ph="1">
        <v>215</v>
      </c>
      <c r="AY37" s="162" t="s" ph="1">
        <v>214</v>
      </c>
      <c r="AZ37" s="162" t="s" ph="1">
        <v>216</v>
      </c>
      <c r="BD37" s="162" t="s" ph="1">
        <v>308</v>
      </c>
      <c r="BE37" s="16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07" priority="96">
      <formula>ABS(D$7-D$10)&gt;=1000</formula>
    </cfRule>
  </conditionalFormatting>
  <conditionalFormatting sqref="E4 E6:E11">
    <cfRule type="expression" dxfId="1006" priority="95">
      <formula>ABS(E$7-E$10)&gt;=1000</formula>
    </cfRule>
  </conditionalFormatting>
  <conditionalFormatting sqref="F4:F11">
    <cfRule type="expression" dxfId="1005" priority="94">
      <formula>ABS(F$7-F$10)&gt;=1000</formula>
    </cfRule>
  </conditionalFormatting>
  <conditionalFormatting sqref="G4:G11">
    <cfRule type="expression" dxfId="1004" priority="93">
      <formula>ABS(G$7-G$10)&gt;=1000</formula>
    </cfRule>
  </conditionalFormatting>
  <conditionalFormatting sqref="H4:H11">
    <cfRule type="expression" dxfId="1003" priority="92">
      <formula>ABS(H$7-H$10)&gt;=1000</formula>
    </cfRule>
  </conditionalFormatting>
  <conditionalFormatting sqref="I4:I11">
    <cfRule type="expression" dxfId="1002" priority="91">
      <formula>ABS(I$7-I$10)&gt;=1000</formula>
    </cfRule>
  </conditionalFormatting>
  <conditionalFormatting sqref="J4:J11">
    <cfRule type="expression" dxfId="1001" priority="90">
      <formula>ABS(J$7-J$10)&gt;=1000</formula>
    </cfRule>
  </conditionalFormatting>
  <conditionalFormatting sqref="K4:K11">
    <cfRule type="expression" dxfId="1000" priority="89">
      <formula>ABS(K$7-K$10)&gt;=1000</formula>
    </cfRule>
  </conditionalFormatting>
  <conditionalFormatting sqref="L4:L11">
    <cfRule type="expression" dxfId="999" priority="88">
      <formula>ABS(L$7-L$10)&gt;=1000</formula>
    </cfRule>
  </conditionalFormatting>
  <conditionalFormatting sqref="M4 M6:M11">
    <cfRule type="expression" dxfId="998" priority="87">
      <formula>ABS(M$7-M$10)&gt;=1000</formula>
    </cfRule>
  </conditionalFormatting>
  <conditionalFormatting sqref="N4 N6:N11">
    <cfRule type="expression" dxfId="997" priority="86">
      <formula>ABS(N$7-N$10)&gt;=1000</formula>
    </cfRule>
  </conditionalFormatting>
  <conditionalFormatting sqref="O4 O6:O11">
    <cfRule type="expression" dxfId="996" priority="85">
      <formula>ABS(O$7-O$10)&gt;=1000</formula>
    </cfRule>
  </conditionalFormatting>
  <conditionalFormatting sqref="P4 P6:P11">
    <cfRule type="expression" dxfId="995" priority="84">
      <formula>ABS(P$7-P$10)&gt;=1000</formula>
    </cfRule>
  </conditionalFormatting>
  <conditionalFormatting sqref="Q4:Q11">
    <cfRule type="expression" dxfId="994" priority="83">
      <formula>ABS(Q$7-Q$10)&gt;=1000</formula>
    </cfRule>
  </conditionalFormatting>
  <conditionalFormatting sqref="R4:R11">
    <cfRule type="expression" dxfId="993" priority="82">
      <formula>ABS(R$7-R$10)&gt;=1000</formula>
    </cfRule>
  </conditionalFormatting>
  <conditionalFormatting sqref="S4:S11">
    <cfRule type="expression" dxfId="992" priority="81">
      <formula>ABS(S$7-S$10)&gt;=1000</formula>
    </cfRule>
  </conditionalFormatting>
  <conditionalFormatting sqref="T4:T9 T11">
    <cfRule type="expression" dxfId="991" priority="80">
      <formula>ABS(T$7-T$10)&gt;=1000</formula>
    </cfRule>
  </conditionalFormatting>
  <conditionalFormatting sqref="U4:U9 U11">
    <cfRule type="expression" dxfId="990" priority="79">
      <formula>ABS(U$7-U$10)&gt;=1000</formula>
    </cfRule>
  </conditionalFormatting>
  <conditionalFormatting sqref="V4:V9 V11">
    <cfRule type="expression" dxfId="989" priority="78">
      <formula>ABS(V$7-V$10)&gt;=1000</formula>
    </cfRule>
  </conditionalFormatting>
  <conditionalFormatting sqref="W4:W9 W11">
    <cfRule type="expression" dxfId="988" priority="77">
      <formula>ABS(W$7-W$10)&gt;=1000</formula>
    </cfRule>
  </conditionalFormatting>
  <conditionalFormatting sqref="X4:X9 X11">
    <cfRule type="expression" dxfId="987" priority="76">
      <formula>ABS(X$7-X$10)&gt;=1000</formula>
    </cfRule>
  </conditionalFormatting>
  <conditionalFormatting sqref="Y4:Y9 Y11">
    <cfRule type="expression" dxfId="986" priority="75">
      <formula>ABS(Y$7-Y$10)&gt;=1000</formula>
    </cfRule>
  </conditionalFormatting>
  <conditionalFormatting sqref="Z4:Z11">
    <cfRule type="expression" dxfId="985" priority="74">
      <formula>ABS(Z$7-Z$10)&gt;=1000</formula>
    </cfRule>
  </conditionalFormatting>
  <conditionalFormatting sqref="AA4:AA11">
    <cfRule type="expression" dxfId="984" priority="73">
      <formula>ABS(AA$7-AA$10)&gt;=1000</formula>
    </cfRule>
  </conditionalFormatting>
  <conditionalFormatting sqref="AB4:AB11">
    <cfRule type="expression" dxfId="983" priority="72">
      <formula>ABS(AB$7-AB$10)&gt;=1000</formula>
    </cfRule>
  </conditionalFormatting>
  <conditionalFormatting sqref="AC4 AC6:AC11">
    <cfRule type="expression" dxfId="982" priority="71">
      <formula>ABS(AC$7-AC$10)&gt;=1000</formula>
    </cfRule>
  </conditionalFormatting>
  <conditionalFormatting sqref="AD4:AD11">
    <cfRule type="expression" dxfId="981" priority="70">
      <formula>ABS(AD$7-AD$10)&gt;=1000</formula>
    </cfRule>
  </conditionalFormatting>
  <conditionalFormatting sqref="AE4:AE11">
    <cfRule type="expression" dxfId="980" priority="69">
      <formula>ABS(AE$7-AE$10)&gt;=1000</formula>
    </cfRule>
  </conditionalFormatting>
  <conditionalFormatting sqref="D13:D20">
    <cfRule type="expression" dxfId="979" priority="68">
      <formula>ABS(D$16-D$19)&gt;=1000</formula>
    </cfRule>
  </conditionalFormatting>
  <conditionalFormatting sqref="E13:E20">
    <cfRule type="expression" dxfId="978" priority="67">
      <formula>ABS(E$16-E$19)&gt;=1000</formula>
    </cfRule>
  </conditionalFormatting>
  <conditionalFormatting sqref="F13 F15:F20">
    <cfRule type="expression" dxfId="977" priority="66">
      <formula>ABS(F$16-F$19)&gt;=1000</formula>
    </cfRule>
  </conditionalFormatting>
  <conditionalFormatting sqref="G13:G20">
    <cfRule type="expression" dxfId="976" priority="65">
      <formula>ABS(G$16-G$19)&gt;=1000</formula>
    </cfRule>
  </conditionalFormatting>
  <conditionalFormatting sqref="H13:H20">
    <cfRule type="expression" dxfId="975" priority="64">
      <formula>ABS(H$16-H$19)&gt;=1000</formula>
    </cfRule>
  </conditionalFormatting>
  <conditionalFormatting sqref="I13:I20">
    <cfRule type="expression" dxfId="974" priority="63">
      <formula>ABS(I$16-I$19)&gt;=1000</formula>
    </cfRule>
  </conditionalFormatting>
  <conditionalFormatting sqref="J13:J20">
    <cfRule type="expression" dxfId="973" priority="62">
      <formula>ABS(J$16-J$19)&gt;=1000</formula>
    </cfRule>
  </conditionalFormatting>
  <conditionalFormatting sqref="L13:L20">
    <cfRule type="expression" dxfId="972" priority="61">
      <formula>ABS(L$16-L$19)&gt;=1000</formula>
    </cfRule>
  </conditionalFormatting>
  <conditionalFormatting sqref="M13 M15 M17:M18 M20">
    <cfRule type="expression" dxfId="971" priority="60">
      <formula>ABS(M$16-M$19)&gt;=1000</formula>
    </cfRule>
  </conditionalFormatting>
  <conditionalFormatting sqref="N13:N20">
    <cfRule type="expression" dxfId="970" priority="59">
      <formula>ABS(N$16-N$19)&gt;=1000</formula>
    </cfRule>
  </conditionalFormatting>
  <conditionalFormatting sqref="O13:O20">
    <cfRule type="expression" dxfId="969" priority="58">
      <formula>ABS(O$16-O$19)&gt;=1000</formula>
    </cfRule>
  </conditionalFormatting>
  <conditionalFormatting sqref="P13:P20">
    <cfRule type="expression" dxfId="968" priority="57">
      <formula>ABS(P$16-P$19)&gt;=1000</formula>
    </cfRule>
  </conditionalFormatting>
  <conditionalFormatting sqref="Q13 Q15:Q20">
    <cfRule type="expression" dxfId="967" priority="56">
      <formula>ABS(Q$16-Q$19)&gt;=1000</formula>
    </cfRule>
  </conditionalFormatting>
  <conditionalFormatting sqref="R13:R20">
    <cfRule type="expression" dxfId="966" priority="55">
      <formula>ABS(R$16-R$19)&gt;=1000</formula>
    </cfRule>
  </conditionalFormatting>
  <conditionalFormatting sqref="S13:S20">
    <cfRule type="expression" dxfId="965" priority="54">
      <formula>ABS(S$16-S$19)&gt;=1000</formula>
    </cfRule>
  </conditionalFormatting>
  <conditionalFormatting sqref="T13:T20">
    <cfRule type="expression" dxfId="964" priority="53">
      <formula>ABS(T$16-T$19)&gt;=1000</formula>
    </cfRule>
  </conditionalFormatting>
  <conditionalFormatting sqref="U13:U20">
    <cfRule type="expression" dxfId="963" priority="52">
      <formula>ABS(U$16-U$19)&gt;=1000</formula>
    </cfRule>
  </conditionalFormatting>
  <conditionalFormatting sqref="V13:V20">
    <cfRule type="expression" dxfId="962" priority="51">
      <formula>ABS(V$16-V$19)&gt;=1000</formula>
    </cfRule>
  </conditionalFormatting>
  <conditionalFormatting sqref="W13 W20 W15:W18">
    <cfRule type="expression" dxfId="961" priority="50">
      <formula>ABS(W$16-W$19)&gt;=1000</formula>
    </cfRule>
  </conditionalFormatting>
  <conditionalFormatting sqref="X13 X15:X20 Y19">
    <cfRule type="expression" dxfId="960" priority="49">
      <formula>ABS(X$16-X$19)&gt;=1000</formula>
    </cfRule>
  </conditionalFormatting>
  <conditionalFormatting sqref="Y13 Y15:Y18 Y20">
    <cfRule type="expression" dxfId="959" priority="48">
      <formula>ABS(Y$16-Y$19)&gt;=1000</formula>
    </cfRule>
  </conditionalFormatting>
  <conditionalFormatting sqref="Z13:Z20">
    <cfRule type="expression" dxfId="958" priority="47">
      <formula>ABS(Z$16-Z$19)&gt;=1000</formula>
    </cfRule>
  </conditionalFormatting>
  <conditionalFormatting sqref="AA13:AA20">
    <cfRule type="expression" dxfId="957" priority="46">
      <formula>ABS(AA$16-AA$19)&gt;=1000</formula>
    </cfRule>
  </conditionalFormatting>
  <conditionalFormatting sqref="AB13 AB15:AB20">
    <cfRule type="expression" dxfId="956" priority="45">
      <formula>ABS(AB$16-AB$19)&gt;=1000</formula>
    </cfRule>
  </conditionalFormatting>
  <conditionalFormatting sqref="AC13 AC15:AC20">
    <cfRule type="expression" dxfId="955" priority="44">
      <formula>ABS(AC$16-AC$19)&gt;=1000</formula>
    </cfRule>
  </conditionalFormatting>
  <conditionalFormatting sqref="AD13:AD20">
    <cfRule type="expression" dxfId="954" priority="43">
      <formula>ABS(AD$16-AD$19)&gt;=1000</formula>
    </cfRule>
  </conditionalFormatting>
  <conditionalFormatting sqref="AE13:AE20">
    <cfRule type="expression" dxfId="953" priority="42">
      <formula>ABS(AE$16-AE$19)&gt;=1000</formula>
    </cfRule>
  </conditionalFormatting>
  <conditionalFormatting sqref="D22:D29">
    <cfRule type="expression" dxfId="952" priority="41">
      <formula>ABS(D$25-D$28)&gt;=1000</formula>
    </cfRule>
  </conditionalFormatting>
  <conditionalFormatting sqref="E22:E29">
    <cfRule type="expression" dxfId="951" priority="40">
      <formula>ABS(E$25-E$28)&gt;=1000</formula>
    </cfRule>
  </conditionalFormatting>
  <conditionalFormatting sqref="F22:F29">
    <cfRule type="expression" dxfId="950" priority="39">
      <formula>ABS(F$25-F$28)&gt;=1000</formula>
    </cfRule>
  </conditionalFormatting>
  <conditionalFormatting sqref="G22:G29">
    <cfRule type="expression" dxfId="949" priority="38">
      <formula>ABS(G$25-G$28)&gt;=1000</formula>
    </cfRule>
  </conditionalFormatting>
  <conditionalFormatting sqref="H22:H29">
    <cfRule type="expression" dxfId="948" priority="37">
      <formula>ABS(H$25-H$28)&gt;=1000</formula>
    </cfRule>
  </conditionalFormatting>
  <conditionalFormatting sqref="I22 I24:I29">
    <cfRule type="expression" dxfId="947" priority="36">
      <formula>ABS(I$25-I$28)&gt;=1000</formula>
    </cfRule>
  </conditionalFormatting>
  <conditionalFormatting sqref="J22:J29 K22">
    <cfRule type="expression" dxfId="946" priority="35">
      <formula>ABS(J$25-J$28)&gt;=1000</formula>
    </cfRule>
  </conditionalFormatting>
  <conditionalFormatting sqref="K23:K29 L25 L28">
    <cfRule type="expression" dxfId="945" priority="34">
      <formula>ABS(K$25-K$28)&gt;=1000</formula>
    </cfRule>
  </conditionalFormatting>
  <conditionalFormatting sqref="L22:L24 L26:L27 L29">
    <cfRule type="expression" dxfId="944" priority="33">
      <formula>ABS(L$25-L$28)&gt;=1000</formula>
    </cfRule>
  </conditionalFormatting>
  <conditionalFormatting sqref="M22:M29">
    <cfRule type="expression" dxfId="943" priority="32">
      <formula>ABS(M$25-M$28)&gt;=1000</formula>
    </cfRule>
  </conditionalFormatting>
  <conditionalFormatting sqref="N22:N29">
    <cfRule type="expression" dxfId="942" priority="31">
      <formula>ABS(N$25-N$28)&gt;=1000</formula>
    </cfRule>
  </conditionalFormatting>
  <conditionalFormatting sqref="O22:O29">
    <cfRule type="expression" dxfId="941" priority="30">
      <formula>ABS(O$25-O$28)&gt;=1000</formula>
    </cfRule>
  </conditionalFormatting>
  <conditionalFormatting sqref="P22:P29">
    <cfRule type="expression" dxfId="940" priority="29">
      <formula>ABS(P$25-P$28)&gt;=1000</formula>
    </cfRule>
  </conditionalFormatting>
  <conditionalFormatting sqref="Q22:Q29">
    <cfRule type="expression" dxfId="939" priority="28">
      <formula>ABS(Q$25-Q$28)&gt;=1000</formula>
    </cfRule>
  </conditionalFormatting>
  <conditionalFormatting sqref="R22:R29">
    <cfRule type="expression" dxfId="938" priority="27">
      <formula>ABS(R$25-R$28)&gt;=1000</formula>
    </cfRule>
  </conditionalFormatting>
  <conditionalFormatting sqref="S22:S29">
    <cfRule type="expression" dxfId="937" priority="26">
      <formula>ABS(S$25-S$28)&gt;=1000</formula>
    </cfRule>
  </conditionalFormatting>
  <conditionalFormatting sqref="T22:T29">
    <cfRule type="expression" dxfId="936" priority="25">
      <formula>ABS(T$25-T$28)&gt;=1000</formula>
    </cfRule>
  </conditionalFormatting>
  <conditionalFormatting sqref="U22:U29">
    <cfRule type="expression" dxfId="935" priority="24">
      <formula>ABS(U$25-U$28)&gt;=1000</formula>
    </cfRule>
  </conditionalFormatting>
  <conditionalFormatting sqref="V22:V29">
    <cfRule type="expression" dxfId="934" priority="23">
      <formula>ABS(V$25-V$28)&gt;=1000</formula>
    </cfRule>
  </conditionalFormatting>
  <conditionalFormatting sqref="W22:W29">
    <cfRule type="expression" dxfId="933" priority="22">
      <formula>ABS(W$25-W$28)&gt;=1000</formula>
    </cfRule>
  </conditionalFormatting>
  <conditionalFormatting sqref="X22:X29">
    <cfRule type="expression" dxfId="932" priority="21">
      <formula>ABS(X$25-X$28)&gt;=1000</formula>
    </cfRule>
  </conditionalFormatting>
  <conditionalFormatting sqref="Y22:Y29">
    <cfRule type="expression" dxfId="931" priority="20">
      <formula>ABS(Y$25-Y$28)&gt;=1000</formula>
    </cfRule>
  </conditionalFormatting>
  <conditionalFormatting sqref="I23">
    <cfRule type="expression" dxfId="930" priority="19">
      <formula>ABS(I$25-I$28)&gt;=1000</formula>
    </cfRule>
  </conditionalFormatting>
  <conditionalFormatting sqref="F14">
    <cfRule type="expression" dxfId="929" priority="18">
      <formula>ABS(F$16-F$19)&gt;=1000</formula>
    </cfRule>
  </conditionalFormatting>
  <conditionalFormatting sqref="Q14">
    <cfRule type="expression" dxfId="928" priority="17">
      <formula>ABS(Q$16-Q$19)&gt;=1000</formula>
    </cfRule>
  </conditionalFormatting>
  <conditionalFormatting sqref="W14">
    <cfRule type="expression" dxfId="927" priority="16">
      <formula>ABS(W$16-W$19)&gt;=1000</formula>
    </cfRule>
  </conditionalFormatting>
  <conditionalFormatting sqref="Y14">
    <cfRule type="expression" dxfId="926" priority="15">
      <formula>ABS(Y$16-Y$19)&gt;=1000</formula>
    </cfRule>
  </conditionalFormatting>
  <conditionalFormatting sqref="X14">
    <cfRule type="expression" dxfId="925" priority="14">
      <formula>ABS(X$16-X$19)&gt;=1000</formula>
    </cfRule>
  </conditionalFormatting>
  <conditionalFormatting sqref="T10:Y10">
    <cfRule type="expression" dxfId="924" priority="13">
      <formula>ABS(T$7-T$10)&gt;=1000</formula>
    </cfRule>
  </conditionalFormatting>
  <conditionalFormatting sqref="W19">
    <cfRule type="expression" dxfId="923" priority="12">
      <formula>ABS(W$16-W$19)&gt;=1000</formula>
    </cfRule>
  </conditionalFormatting>
  <conditionalFormatting sqref="AC5">
    <cfRule type="expression" dxfId="922" priority="11">
      <formula>ABS(AC$7-AC$10)&gt;=1000</formula>
    </cfRule>
  </conditionalFormatting>
  <conditionalFormatting sqref="M14">
    <cfRule type="expression" dxfId="921" priority="10">
      <formula>ABS(M$16-M$19)&gt;=1000</formula>
    </cfRule>
  </conditionalFormatting>
  <conditionalFormatting sqref="M16">
    <cfRule type="expression" dxfId="920" priority="9">
      <formula>ABS(M$16-M$19)&gt;=1000</formula>
    </cfRule>
  </conditionalFormatting>
  <conditionalFormatting sqref="M19">
    <cfRule type="expression" dxfId="919" priority="8">
      <formula>ABS(M$16-M$19)&gt;=1000</formula>
    </cfRule>
  </conditionalFormatting>
  <conditionalFormatting sqref="K13:K20">
    <cfRule type="expression" dxfId="918" priority="7">
      <formula>ABS(K$16-K$19)&gt;=1000</formula>
    </cfRule>
  </conditionalFormatting>
  <conditionalFormatting sqref="E5">
    <cfRule type="expression" dxfId="917" priority="6">
      <formula>ABS(E$7-E$10)&gt;=1000</formula>
    </cfRule>
  </conditionalFormatting>
  <conditionalFormatting sqref="AB14:AC14">
    <cfRule type="expression" dxfId="916" priority="5">
      <formula>ABS(AB$16-AB$19)&gt;=1000</formula>
    </cfRule>
  </conditionalFormatting>
  <conditionalFormatting sqref="M5">
    <cfRule type="expression" dxfId="915" priority="4">
      <formula>ABS(M$7-M$10)&gt;=1000</formula>
    </cfRule>
  </conditionalFormatting>
  <conditionalFormatting sqref="N5">
    <cfRule type="expression" dxfId="914" priority="3">
      <formula>ABS(N$7-N$10)&gt;=1000</formula>
    </cfRule>
  </conditionalFormatting>
  <conditionalFormatting sqref="O5">
    <cfRule type="expression" dxfId="913" priority="2">
      <formula>ABS(O$7-O$10)&gt;=1000</formula>
    </cfRule>
  </conditionalFormatting>
  <conditionalFormatting sqref="P5">
    <cfRule type="expression" dxfId="912" priority="1">
      <formula>ABS(P$7-P$10)&gt;=1000</formula>
    </cfRule>
  </conditionalFormatting>
  <dataValidations count="1">
    <dataValidation operator="greaterThanOrEqual" allowBlank="1" showErrorMessage="1" sqref="D6" xr:uid="{00000000-0002-0000-10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65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640">
    <pageSetUpPr fitToPage="1"/>
  </sheetPr>
  <dimension ref="A1:CU223"/>
  <sheetViews>
    <sheetView view="pageBreakPreview" topLeftCell="A13" zoomScale="80" zoomScaleNormal="100" zoomScaleSheetLayoutView="80" workbookViewId="0">
      <selection activeCell="R24" sqref="R24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45798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65" t="s" ph="1">
        <v>178</v>
      </c>
      <c r="D6" s="71">
        <v>1850</v>
      </c>
      <c r="E6" s="71">
        <v>4713</v>
      </c>
      <c r="F6" s="71">
        <v>3593</v>
      </c>
      <c r="G6" s="71">
        <v>8260</v>
      </c>
      <c r="H6" s="71">
        <v>1022</v>
      </c>
      <c r="I6" s="71">
        <v>0.11</v>
      </c>
      <c r="J6" s="71">
        <v>7.81</v>
      </c>
      <c r="K6" s="71">
        <v>40.82</v>
      </c>
      <c r="L6" s="71">
        <v>61.72</v>
      </c>
      <c r="M6" s="71">
        <v>1179</v>
      </c>
      <c r="N6" s="71">
        <v>5475</v>
      </c>
      <c r="O6" s="71">
        <v>2642</v>
      </c>
      <c r="P6" s="71">
        <v>2427</v>
      </c>
      <c r="Q6" s="71">
        <v>0</v>
      </c>
      <c r="R6" s="71">
        <v>0</v>
      </c>
      <c r="S6" s="71">
        <v>1944</v>
      </c>
      <c r="T6" s="71">
        <v>4816</v>
      </c>
      <c r="U6" s="71">
        <v>6878</v>
      </c>
      <c r="V6" s="71">
        <v>4423</v>
      </c>
      <c r="W6" s="71">
        <v>7081</v>
      </c>
      <c r="X6" s="71">
        <v>755</v>
      </c>
      <c r="Y6" s="71">
        <v>0</v>
      </c>
      <c r="Z6" s="71">
        <v>2782</v>
      </c>
      <c r="AA6" s="71">
        <v>3335</v>
      </c>
      <c r="AB6" s="71">
        <v>2439</v>
      </c>
      <c r="AC6" s="71">
        <v>6727</v>
      </c>
      <c r="AD6" s="71">
        <v>5426</v>
      </c>
      <c r="AE6" s="71">
        <v>2858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57821.875245000003</v>
      </c>
      <c r="E7" s="73" ph="1">
        <f>E6*51.53*LOOKUP(E8,密度!$A$2:$A$50,密度!$B$2:$B$50)</f>
        <v>188508.622818</v>
      </c>
      <c r="F7" s="73" ph="1">
        <f>F6*33.183*LOOKUP(F8,密度!$A$2:$A$50,密度!$C$2:$C$50)</f>
        <v>131936.06592540001</v>
      </c>
      <c r="G7" s="73" ph="1">
        <f xml:space="preserve"> (G6+2)*51.53*LOOKUP(G8,密度!$A$2:$A$50,密度!$B$2:$B$50)</f>
        <v>331183.81499400001</v>
      </c>
      <c r="H7" s="73" ph="1">
        <f>(H6)*51.53*LOOKUP(H8,密度!$A$2:$A$50,密度!$B$2:$B$50)</f>
        <v>41151.383924000002</v>
      </c>
      <c r="I7" s="73" ph="1">
        <f>I6*290.8*1.0267</f>
        <v>32.842079599999998</v>
      </c>
      <c r="J7" s="73" ph="1">
        <f>J6*290.8*0.7892</f>
        <v>1792.3900016000002</v>
      </c>
      <c r="K7" s="73" ph="1">
        <f>K6*290.8*1.1126</f>
        <v>13207.069345600001</v>
      </c>
      <c r="L7" s="73" ph="1">
        <f>L6*290.8*0.777</f>
        <v>13945.732752</v>
      </c>
      <c r="M7" s="73" ph="1">
        <f>M6*33.183*LOOKUP(M8,密度!$A$2:$A$50,密度!$D$2:$D$50)</f>
        <v>40018.668135299995</v>
      </c>
      <c r="N7" s="73" ph="1">
        <f>N6*33.183*LOOKUP(N8,密度!$A$2:$A$50,密度!$E$2:$E$50)</f>
        <v>141271.97687999997</v>
      </c>
      <c r="O7" s="73" ph="1">
        <f>O6*20.428*LOOKUP(O8,密度!$A$2:$A$50,密度!$C$2:$C$50)</f>
        <v>59475.795152000013</v>
      </c>
      <c r="P7" s="73" ph="1">
        <f>P6*51.53*LOOKUP(P8,密度!$A$2:$A$50,密度!$B$2:$B$50)</f>
        <v>97174.191869999995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12889.394179199999</v>
      </c>
      <c r="T7" s="73" ph="1">
        <f>T6*1.5*1.5*3.1416*LOOKUP(T8,密度!$A$2:$A$50,密度!$L$2:$L$50)</f>
        <v>31897.707811200002</v>
      </c>
      <c r="U7" s="73" ph="1">
        <f>U6*1.5*1.5*3.1416*LOOKUP(U8,密度!$A$2:$A$50,密度!$L$2:$L$50)</f>
        <v>45360.4361364</v>
      </c>
      <c r="V7" s="73" ph="1">
        <f>V6*1.5*1.5*3.1416*LOOKUP(V8,密度!$A$2:$A$50,密度!$L$2:$L$50)</f>
        <v>29169.701807400001</v>
      </c>
      <c r="W7" s="73" ph="1">
        <f>W6*1.5*1.5*3.1416*LOOKUP(W8,密度!$A$2:$A$50,密度!$L$2:$L$50)</f>
        <v>46699.221907800005</v>
      </c>
      <c r="X7" s="73" ph="1">
        <f>X6*1.5*1.5*3.1416*LOOKUP(X8,密度!$A$2:$A$50,密度!$L$2:$L$50)</f>
        <v>5027.2590059999993</v>
      </c>
      <c r="Y7" s="73" ph="1">
        <f>Y6*1.5*1.5*3.1416*LOOKUP(Y8,密度!$A$2:$A$50,密度!$L$2:$L$50)</f>
        <v>0</v>
      </c>
      <c r="Z7" s="73" ph="1">
        <f>Z6*33.183*LOOKUP(Z8,密度!$A$2:$A$50,密度!$L$2:$L$50)</f>
        <v>86222.30900400001</v>
      </c>
      <c r="AA7" s="73" ph="1">
        <f>AA6*33.183*LOOKUP(AA8,密度!$A$2:$A$50,密度!$D$2:$D$50)</f>
        <v>112812.21191700001</v>
      </c>
      <c r="AB7" s="73" ph="1">
        <f>AB6*20.428*LOOKUP(AB8,密度!$A$2:$A$50,密度!$D$2:$D$50)</f>
        <v>51388.362208800005</v>
      </c>
      <c r="AC7" s="73" ph="1">
        <f>AC6*51.53*LOOKUP(AC8,密度!$A$2:$A$50,密度!$Q$2:$Q$50)</f>
        <v>327934.02452929999</v>
      </c>
      <c r="AD7" s="73" ph="1">
        <f>AD6*20.428*LOOKUP(AD8,密度!$A$2:$A$50,密度!$V$2:$V$50)</f>
        <v>106142.61329280002</v>
      </c>
      <c r="AE7" s="73" ph="1">
        <f>AE6*20.428</f>
        <v>58383.224000000002</v>
      </c>
    </row>
    <row r="8" spans="1:99" ph="1">
      <c r="B8" s="196" ph="1"/>
      <c r="C8" s="68" t="s" ph="1">
        <v>180</v>
      </c>
      <c r="D8" s="74">
        <v>32</v>
      </c>
      <c r="E8" s="74">
        <v>29</v>
      </c>
      <c r="F8" s="74">
        <v>28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33</v>
      </c>
      <c r="P8" s="74">
        <v>28</v>
      </c>
      <c r="Q8" s="74">
        <v>27</v>
      </c>
      <c r="R8" s="74">
        <v>32</v>
      </c>
      <c r="S8" s="74">
        <v>24</v>
      </c>
      <c r="T8" s="74">
        <v>25</v>
      </c>
      <c r="U8" s="74">
        <v>29</v>
      </c>
      <c r="V8" s="74">
        <v>29</v>
      </c>
      <c r="W8" s="74">
        <v>29</v>
      </c>
      <c r="X8" s="74">
        <v>20</v>
      </c>
      <c r="Y8" s="74">
        <v>28</v>
      </c>
      <c r="Z8" s="74">
        <v>28</v>
      </c>
      <c r="AA8" s="74">
        <v>33</v>
      </c>
      <c r="AB8" s="74">
        <v>20</v>
      </c>
      <c r="AC8" s="74">
        <v>26</v>
      </c>
      <c r="AD8" s="74">
        <v>26</v>
      </c>
      <c r="AE8" s="74">
        <v>28</v>
      </c>
    </row>
    <row r="9" spans="1:99" ph="1">
      <c r="B9" s="196" ph="1">
        <v>0.66666666666666663</v>
      </c>
      <c r="C9" s="165" t="s" ph="1">
        <v>181</v>
      </c>
      <c r="D9" s="71">
        <v>2126</v>
      </c>
      <c r="E9" s="71">
        <v>4713</v>
      </c>
      <c r="F9" s="71">
        <v>4153</v>
      </c>
      <c r="G9" s="71">
        <v>8421</v>
      </c>
      <c r="H9" s="71">
        <v>1024</v>
      </c>
      <c r="I9" s="71">
        <v>0.11</v>
      </c>
      <c r="J9" s="71">
        <v>7.81</v>
      </c>
      <c r="K9" s="71">
        <v>12.8</v>
      </c>
      <c r="L9" s="71">
        <v>13.22</v>
      </c>
      <c r="M9" s="71">
        <v>812</v>
      </c>
      <c r="N9" s="71">
        <v>5478</v>
      </c>
      <c r="O9" s="71">
        <v>3317</v>
      </c>
      <c r="P9" s="71">
        <v>2357</v>
      </c>
      <c r="Q9" s="71">
        <v>0</v>
      </c>
      <c r="R9" s="71">
        <v>0</v>
      </c>
      <c r="S9" s="71">
        <v>0</v>
      </c>
      <c r="T9" s="71">
        <v>3879</v>
      </c>
      <c r="U9" s="71">
        <v>6882</v>
      </c>
      <c r="V9" s="71">
        <v>4427</v>
      </c>
      <c r="W9" s="71">
        <v>7088</v>
      </c>
      <c r="X9" s="71">
        <v>7080</v>
      </c>
      <c r="Y9" s="71">
        <v>2034</v>
      </c>
      <c r="Z9" s="71">
        <v>3250</v>
      </c>
      <c r="AA9" s="71">
        <v>3924</v>
      </c>
      <c r="AB9" s="71">
        <v>2421</v>
      </c>
      <c r="AC9" s="71">
        <v>6476</v>
      </c>
      <c r="AD9" s="71">
        <v>5427</v>
      </c>
      <c r="AE9" s="71">
        <v>2815</v>
      </c>
    </row>
    <row r="10" spans="1:99" s="72" customFormat="1" ht="21.75" ph="1">
      <c r="B10" s="196" ph="1"/>
      <c r="C10" s="165" t="s" ph="1">
        <v>179</v>
      </c>
      <c r="D10" s="73" ph="1">
        <f>D9*33.183*LOOKUP(D11,密度!$A$2:$A$50,密度!$Q$2:$Q$50)</f>
        <v>66402.418342500008</v>
      </c>
      <c r="E10" s="73" ph="1">
        <f>E9*51.53*LOOKUP(E11,密度!$A$2:$A$50,密度!$B$2:$B$50)</f>
        <v>188290.04801699999</v>
      </c>
      <c r="F10" s="73" ph="1">
        <f>F9*33.183*LOOKUP(F11,密度!$A$2:$A$50,密度!$C$2:$C$50)</f>
        <v>152292.72479490002</v>
      </c>
      <c r="G10" s="73" ph="1">
        <f xml:space="preserve"> (G9+2)*51.53*LOOKUP(G11,密度!$A$2:$A$50,密度!$B$2:$B$50)</f>
        <v>336509.03340700001</v>
      </c>
      <c r="H10" s="73" ph="1">
        <f>(H9)*51.53*LOOKUP(H11,密度!$A$2:$A$50,密度!$B$2:$B$50)</f>
        <v>40910.038015999999</v>
      </c>
      <c r="I10" s="73" ph="1">
        <f>I9*290.8*1.0267</f>
        <v>32.842079599999998</v>
      </c>
      <c r="J10" s="73" ph="1">
        <f>J9*290.8*0.7892</f>
        <v>1792.3900016000002</v>
      </c>
      <c r="K10" s="73" ph="1">
        <f>K9*290.8*1.1126</f>
        <v>4141.3642240000008</v>
      </c>
      <c r="L10" s="73" ph="1">
        <f>L9*290.8*0.777</f>
        <v>2987.0801520000005</v>
      </c>
      <c r="M10" s="73" ph="1">
        <f>M9*33.183*LOOKUP(M11,密度!$A$2:$A$50,密度!$D$2:$D$50)</f>
        <v>27443.071026000001</v>
      </c>
      <c r="N10" s="73" ph="1">
        <f>N9*33.183*LOOKUP(N11,密度!$A$2:$A$50,密度!$E$2:$E$50)</f>
        <v>141349.38618239999</v>
      </c>
      <c r="O10" s="73" ph="1">
        <f>O9*20.428*LOOKUP(O11,密度!$A$2:$A$50,密度!$C$2:$C$50)</f>
        <v>74454.331988800011</v>
      </c>
      <c r="P10" s="73" ph="1">
        <f>P9*51.53*LOOKUP(P11,密度!$A$2:$A$50,密度!$B$2:$B$50)</f>
        <v>93946.378435000006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25664.2770384</v>
      </c>
      <c r="U10" s="73" ph="1">
        <f>U9*1.5*1.5*3.1416*LOOKUP(U11,密度!$A$2:$A$50,密度!$L$2:$L$50)</f>
        <v>45338.170046400002</v>
      </c>
      <c r="V10" s="73" ph="1">
        <f>V9*1.5*1.5*3.1416*LOOKUP(V11,密度!$A$2:$A$50,密度!$L$2:$L$50)</f>
        <v>29227.374514799998</v>
      </c>
      <c r="W10" s="73" ph="1">
        <f>W9*1.5*1.5*3.1416*LOOKUP(W11,密度!$A$2:$A$50,密度!$L$2:$L$50)</f>
        <v>46695.2846976</v>
      </c>
      <c r="X10" s="73" ph="1">
        <f>X9*1.5*1.5*3.1416*LOOKUP(X11,密度!$A$2:$A$50,密度!$L$2:$L$50)</f>
        <v>47143.038095999997</v>
      </c>
      <c r="Y10" s="73" ph="1">
        <f>Y9*1.5*1.5*3.1416*LOOKUP(Y11,密度!$A$2:$A$50,密度!$L$2:$L$50)</f>
        <v>13457.370326400001</v>
      </c>
      <c r="Z10" s="73" ph="1">
        <f>Z9*33.183*LOOKUP(Z11,密度!$A$2:$A$50,密度!$L$2:$L$50)</f>
        <v>100511.307</v>
      </c>
      <c r="AA10" s="73" ph="1">
        <f>AA9*33.183*LOOKUP(AA11,密度!$A$2:$A$50,密度!$D$2:$D$50)</f>
        <v>132736.16778480003</v>
      </c>
      <c r="AB10" s="73" ph="1">
        <f>AB9*20.428*LOOKUP(AB11,密度!$A$2:$A$50,密度!$D$2:$D$50)</f>
        <v>50870.6349768</v>
      </c>
      <c r="AC10" s="73" ph="1">
        <f>AC9*51.53*LOOKUP(AC11,密度!$A$2:$A$50,密度!$Q$2:$Q$50)</f>
        <v>314797.03177240002</v>
      </c>
      <c r="AD10" s="73" ph="1">
        <f>AD9*20.428*LOOKUP(AD11,密度!$A$2:$A$50,密度!$V$2:$V$50)</f>
        <v>106162.17514560001</v>
      </c>
      <c r="AE10" s="73" ph="1">
        <f>AE9*20.428</f>
        <v>57504.82</v>
      </c>
    </row>
    <row r="11" spans="1:99" ph="1">
      <c r="A11" s="64" t="s" ph="1">
        <v>163</v>
      </c>
      <c r="B11" s="196" ph="1"/>
      <c r="C11" s="165" t="s" ph="1">
        <v>180</v>
      </c>
      <c r="D11" s="74">
        <v>33</v>
      </c>
      <c r="E11" s="74">
        <v>30</v>
      </c>
      <c r="F11" s="74">
        <v>30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30</v>
      </c>
      <c r="O11" s="74">
        <v>36</v>
      </c>
      <c r="P11" s="74">
        <v>32</v>
      </c>
      <c r="Q11" s="74">
        <v>30</v>
      </c>
      <c r="R11" s="74">
        <v>37</v>
      </c>
      <c r="S11" s="74">
        <v>27</v>
      </c>
      <c r="T11" s="74">
        <v>26</v>
      </c>
      <c r="U11" s="74">
        <v>30</v>
      </c>
      <c r="V11" s="74">
        <v>28</v>
      </c>
      <c r="W11" s="74">
        <v>30</v>
      </c>
      <c r="X11" s="74">
        <v>20</v>
      </c>
      <c r="Y11" s="74">
        <v>26</v>
      </c>
      <c r="Z11" s="74">
        <v>30</v>
      </c>
      <c r="AA11" s="74">
        <v>33</v>
      </c>
      <c r="AB11" s="74">
        <v>23</v>
      </c>
      <c r="AC11" s="74">
        <v>30</v>
      </c>
      <c r="AD11" s="74">
        <v>29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65" t="s" ph="1">
        <v>178</v>
      </c>
      <c r="D15" s="78">
        <v>4145</v>
      </c>
      <c r="E15" s="78">
        <v>62</v>
      </c>
      <c r="F15" s="78">
        <v>2093</v>
      </c>
      <c r="G15" s="78">
        <v>0</v>
      </c>
      <c r="H15" s="78">
        <v>671</v>
      </c>
      <c r="I15" s="78">
        <v>118</v>
      </c>
      <c r="J15" s="78">
        <v>171</v>
      </c>
      <c r="K15" s="78">
        <v>1117</v>
      </c>
      <c r="L15" s="78">
        <v>814</v>
      </c>
      <c r="M15" s="78">
        <v>6359</v>
      </c>
      <c r="N15" s="78">
        <v>3</v>
      </c>
      <c r="O15" s="78">
        <v>728</v>
      </c>
      <c r="P15" s="78">
        <v>3041</v>
      </c>
      <c r="Q15" s="78">
        <v>7001</v>
      </c>
      <c r="R15" s="78">
        <v>3525</v>
      </c>
      <c r="S15" s="78">
        <v>0</v>
      </c>
      <c r="T15" s="78">
        <v>2412</v>
      </c>
      <c r="U15" s="78">
        <v>3575</v>
      </c>
      <c r="V15" s="78">
        <v>2379</v>
      </c>
      <c r="W15" s="71">
        <v>-792</v>
      </c>
      <c r="X15" s="78">
        <v>29</v>
      </c>
      <c r="Y15" s="106">
        <v>-9907</v>
      </c>
      <c r="Z15" s="78">
        <v>0</v>
      </c>
      <c r="AA15" s="78">
        <v>4246</v>
      </c>
      <c r="AB15" s="78" ph="1">
        <v>5137</v>
      </c>
      <c r="AC15" s="78" ph="1">
        <v>0</v>
      </c>
      <c r="AD15" s="78">
        <v>5.1100000000000003</v>
      </c>
      <c r="AE15" s="78">
        <v>81.02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65" t="s" ph="1">
        <v>179</v>
      </c>
      <c r="D16" s="73" ph="1">
        <f>D15*7.0686*LOOKUP(D17,密度!$A$2:$A$50,密度!$L$2:$L$50)</f>
        <v>27336.290751000004</v>
      </c>
      <c r="E16" s="73" ph="1">
        <f>E15*7.0686*LOOKUP(E17,密度!$A$2:$A$50,密度!$L$2:$L$50)</f>
        <v>408.89023560000004</v>
      </c>
      <c r="F16" s="73" ph="1">
        <f>F15*9.0746*LOOKUP(F17,密度!$A$2:$A$50,密度!$L$2:$L$50)</f>
        <v>17701.6044296</v>
      </c>
      <c r="G16" s="73" ph="1">
        <f>G15*9.0746*LOOKUP(G17,密度!$A$2:$A$50,密度!$B$2:$B$50)</f>
        <v>0</v>
      </c>
      <c r="H16" s="73" ph="1">
        <f>H15*9.0746*LOOKUP(H17,密度!$A$2:$A$50,密度!$L$2:$L$50)</f>
        <v>5693.2679210000006</v>
      </c>
      <c r="I16" s="73" ph="1">
        <f>I15*9.0746*LOOKUP(I17,密度!$A$2:$A$50,密度!$U$2:$U$50)</f>
        <v>1095.4312643999999</v>
      </c>
      <c r="J16" s="73" ph="1">
        <f>J15*9.0746*LOOKUP(J17,密度!$A$2:$A$50,密度!$L$2:$L$50)</f>
        <v>1447.7889078000001</v>
      </c>
      <c r="K16" s="73" ph="1">
        <f>K15*9.0746*LOOKUP(K17,密度!$A$2:$A$50,密度!$C$2:$C$50)</f>
        <v>11216.86078612</v>
      </c>
      <c r="L16" s="73" ph="1">
        <f>L15*9.0746*LOOKUP(L17,密度!$A$2:$A$50,密度!$E$2:$E$50)</f>
        <v>5752.0422902800001</v>
      </c>
      <c r="M16" s="73" ph="1">
        <f>M15*9.0746*LOOKUP(M17,密度!$A$2:$A$50,密度!$M$2:$M$50)</f>
        <v>50197.911279859996</v>
      </c>
      <c r="N16" s="73" ph="1">
        <f>N15*9.0746*LOOKUP(N17,密度!$A$2:$A$50,密度!$M$2:$M$50)</f>
        <v>23.823547380000001</v>
      </c>
      <c r="O16" s="73" ph="1">
        <f>O15*9.0746*LOOKUP(O17,密度!$A$2:$A$50,密度!$G$2:$G$50)</f>
        <v>6322.2375215999991</v>
      </c>
      <c r="P16" s="73" ph="1">
        <f ca="1">P15*9.0746*LOOKUP(P17,密度!$A$2:$A$51,密度!$Q$2:$Q$50)</f>
        <v>26032.001293138001</v>
      </c>
      <c r="Q16" s="73" ph="1">
        <f>Q15*9.0746*LOOKUP(Q17,密度!$A$2:$A$50,密度!$Q$2:$Q$50)</f>
        <v>59840.10754574</v>
      </c>
      <c r="R16" s="73" ph="1">
        <f>MAX(R15*9.0746*LOOKUP(R17,密度!$A$2:$A$50,密度!$B$2:$B$50),0)</f>
        <v>24829.058432999998</v>
      </c>
      <c r="S16" s="73" ph="1">
        <f>S15*9.0746*LOOKUP(S17,密度!$A$2:$A$50,密度!$Q$2:$Q$50)</f>
        <v>0</v>
      </c>
      <c r="T16" s="73" ph="1">
        <f>T15*9.0746*LOOKUP(T17,密度!$A$2:$A$50,密度!$O$2:$O$50)</f>
        <v>20268.227995200003</v>
      </c>
      <c r="U16" s="73" ph="1">
        <f>U15*9.0746*LOOKUP(U17,密度!$A$2:$A$50,密度!$H$2:$H$50)</f>
        <v>29554.384145</v>
      </c>
      <c r="V16" s="73" ph="1">
        <f>MAX(5600*LOOKUP(V17,密度!$A$2:$A$50,密度!$Q$2:$Q$50)+V15*9.0476*LOOKUP(V17,密度!$A$2:$A$50,密度!$Q$2:$Q$50),0)</f>
        <v>25530.691276499998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6083.3921410800012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29907.569391920002</v>
      </c>
      <c r="AB16" s="73" ph="1">
        <f>AB15*9.0746*LOOKUP(AB17,密度!$A$2:$A$50,密度!$L$2:$L$50)</f>
        <v>43399.701006200004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2291.2091620800002</v>
      </c>
      <c r="AE16" s="73" ph="1">
        <f>AE15*268.68*LOOKUP(AE17,密度!$A$2:$A$50,密度!B2:B50)+IF(AE15&lt;=0,0,1566*LOOKUP(AE17,密度!$A$2:$A$50,密度!B2:B50))</f>
        <v>18191.540026559996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29</v>
      </c>
      <c r="E17" s="74">
        <v>29</v>
      </c>
      <c r="F17" s="74">
        <v>30</v>
      </c>
      <c r="G17" s="74">
        <v>24</v>
      </c>
      <c r="H17" s="74">
        <v>27</v>
      </c>
      <c r="I17" s="74">
        <v>27</v>
      </c>
      <c r="J17" s="74">
        <v>29</v>
      </c>
      <c r="K17" s="74">
        <v>28</v>
      </c>
      <c r="L17" s="74">
        <v>29</v>
      </c>
      <c r="M17" s="74">
        <v>30</v>
      </c>
      <c r="N17" s="74">
        <v>25</v>
      </c>
      <c r="O17" s="74">
        <v>28</v>
      </c>
      <c r="P17" s="74">
        <v>30</v>
      </c>
      <c r="Q17" s="74">
        <v>32</v>
      </c>
      <c r="R17" s="74">
        <v>29</v>
      </c>
      <c r="S17" s="74">
        <v>30</v>
      </c>
      <c r="T17" s="74">
        <v>29</v>
      </c>
      <c r="U17" s="74">
        <v>29</v>
      </c>
      <c r="V17" s="74">
        <v>33</v>
      </c>
      <c r="W17" s="74">
        <v>28</v>
      </c>
      <c r="X17" s="74">
        <v>29</v>
      </c>
      <c r="Y17" s="108">
        <v>29</v>
      </c>
      <c r="Z17" s="74">
        <v>30</v>
      </c>
      <c r="AA17" s="74">
        <v>29</v>
      </c>
      <c r="AB17" s="74">
        <v>31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4149</v>
      </c>
      <c r="E18" s="71">
        <v>1698</v>
      </c>
      <c r="F18" s="71">
        <v>2164</v>
      </c>
      <c r="G18" s="71">
        <v>1675</v>
      </c>
      <c r="H18" s="71">
        <v>0</v>
      </c>
      <c r="I18" s="71">
        <v>118</v>
      </c>
      <c r="J18" s="71">
        <v>179</v>
      </c>
      <c r="K18" s="71">
        <v>1181</v>
      </c>
      <c r="L18" s="71">
        <v>815</v>
      </c>
      <c r="M18" s="71">
        <v>6367</v>
      </c>
      <c r="N18" s="71">
        <v>0</v>
      </c>
      <c r="O18" s="71">
        <v>1050</v>
      </c>
      <c r="P18" s="71">
        <v>3042</v>
      </c>
      <c r="Q18" s="71">
        <v>7004</v>
      </c>
      <c r="R18" s="71">
        <v>3526</v>
      </c>
      <c r="S18" s="71">
        <v>0</v>
      </c>
      <c r="T18" s="71">
        <v>2413</v>
      </c>
      <c r="U18" s="71">
        <v>5346</v>
      </c>
      <c r="V18" s="71">
        <v>2378</v>
      </c>
      <c r="W18" s="71">
        <v>-792</v>
      </c>
      <c r="X18" s="71">
        <v>28</v>
      </c>
      <c r="Y18" s="109">
        <v>-9907</v>
      </c>
      <c r="Z18" s="71">
        <v>0</v>
      </c>
      <c r="AA18" s="71">
        <v>0</v>
      </c>
      <c r="AB18" s="71">
        <v>5142</v>
      </c>
      <c r="AC18" s="71">
        <v>4247</v>
      </c>
      <c r="AD18" s="71">
        <v>30.01</v>
      </c>
      <c r="AE18" s="71">
        <v>84.12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65" t="s" ph="1">
        <v>179</v>
      </c>
      <c r="D19" s="73" ph="1">
        <f>D18*7.0686*LOOKUP(D20,密度!$A$2:$A$50,密度!$L$2:$L$50)</f>
        <v>27333.343144800001</v>
      </c>
      <c r="E19" s="73" ph="1">
        <f>E18*7.0686*LOOKUP(E20,密度!$A$2:$A$50,密度!$L$2:$L$50)</f>
        <v>11186.3139696</v>
      </c>
      <c r="F19" s="73" ph="1">
        <f>F18*9.0746*LOOKUP(F20,密度!$A$2:$A$50,密度!$L$2:$L$50)</f>
        <v>18262.813992000003</v>
      </c>
      <c r="G19" s="73" ph="1">
        <f>G18*9.0746*LOOKUP(G20,密度!$A$2:$A$50,密度!$B$2:$B$50)</f>
        <v>11784.525111499999</v>
      </c>
      <c r="H19" s="73" ph="1">
        <f>H18*9.0746*LOOKUP(H20,密度!$A$2:$A$50,密度!$L$2:$L$50)</f>
        <v>0</v>
      </c>
      <c r="I19" s="73" ph="1">
        <f>I18*9.0746*LOOKUP(I20,密度!$A$2:$A$50,密度!$U$2:$U$50)</f>
        <v>1086.8648419999997</v>
      </c>
      <c r="J19" s="73" ph="1">
        <f>J18*9.0746*LOOKUP(J20,密度!$A$2:$A$50,密度!$L$2:$L$50)</f>
        <v>1510.6486620000001</v>
      </c>
      <c r="K19" s="73" ph="1">
        <f>K18*9.0746*LOOKUP(K20,密度!$A$2:$A$50,密度!$C$2:$C$50)</f>
        <v>11832.752980660001</v>
      </c>
      <c r="L19" s="73" ph="1">
        <f>L18*9.0746*LOOKUP(L20,密度!$A$2:$A$50,密度!$E$2:$E$50)</f>
        <v>5742.4681335499999</v>
      </c>
      <c r="M19" s="73" ph="1">
        <f>M18*9.0746*LOOKUP(M20,密度!$A$2:$A$50,密度!$M$2:$M$50)</f>
        <v>50201.55191863401</v>
      </c>
      <c r="N19" s="73" ph="1">
        <f>N18*9.0746*LOOKUP(N20,密度!$A$2:$A$50,密度!$M$2:$M$50)</f>
        <v>0</v>
      </c>
      <c r="O19" s="73" ph="1">
        <f>O18*9.0746*LOOKUP(O20,密度!$A$2:$A$50,密度!$G$2:$G$50)</f>
        <v>9096.6966510000002</v>
      </c>
      <c r="P19" s="73" ph="1">
        <f ca="1">P18*9.0746*LOOKUP(P20,密度!$A$2:$A$51,密度!$Q$2:$Q$50)</f>
        <v>26040.561635555998</v>
      </c>
      <c r="Q19" s="73" ph="1">
        <f>Q18*9.0746*LOOKUP(Q20,密度!$A$2:$A$50,密度!$Q$2:$Q$50)</f>
        <v>59956.638295672004</v>
      </c>
      <c r="R19" s="73" ph="1">
        <f>MAX(R18*9.0746*LOOKUP(R20,密度!$A$2:$A$50,密度!$B$2:$B$50),0)</f>
        <v>24807.30480188</v>
      </c>
      <c r="S19" s="73" ph="1">
        <f>S18*9.0746*LOOKUP(S20,密度!$A$2:$A$50,密度!$Q$2:$Q$50)</f>
        <v>0</v>
      </c>
      <c r="T19" s="73" ph="1">
        <f>T18*9.0746*LOOKUP(T20,密度!$A$2:$A$50,密度!$O$2:$O$50)</f>
        <v>20189.0430356</v>
      </c>
      <c r="U19" s="73" ph="1">
        <f>U18*9.0746*LOOKUP(U20,密度!$A$2:$A$50,密度!$H$2:$H$50)</f>
        <v>44195.1713676</v>
      </c>
      <c r="V19" s="73" ph="1">
        <f>MAX(5600*LOOKUP(V20,密度!$A$2:$A$50,密度!$Q$2:$Q$50)+V18*9.0476*LOOKUP(V20,密度!$A$2:$A$50,密度!$Q$2:$Q$50),0)</f>
        <v>25522.175222999998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6067.5647804800001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43441.943269200005</v>
      </c>
      <c r="AC19" s="73" ph="1">
        <f>AC18*9.0746*LOOKUP(AC20,密度!$A$2:$A$50,密度!$L$2:$L$50)</f>
        <v>35957.657844600006</v>
      </c>
      <c r="AD19" s="73" ph="1">
        <f>AD18*268.68*LOOKUP(AD20,密度!$A$2:$A$50,密度!B5:B53)+IF(AD18&lt;=0,0,1566*LOOKUP(AD20,密度!$A$2:$A$50,密度!B5:B53))</f>
        <v>7481.800443600001</v>
      </c>
      <c r="AE19" s="73" ph="1">
        <f>AE18*268.68*LOOKUP(AE20,密度!$A$2:$A$50,密度!B5:B53)+IF(AE18&lt;=0,0,1566*LOOKUP(AE20,密度!$A$2:$A$50,密度!B5:B53))</f>
        <v>18778.039963200001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30</v>
      </c>
      <c r="E20" s="81">
        <v>30</v>
      </c>
      <c r="F20" s="81">
        <v>32</v>
      </c>
      <c r="G20" s="81">
        <v>30</v>
      </c>
      <c r="H20" s="81">
        <v>30</v>
      </c>
      <c r="I20" s="81">
        <v>35</v>
      </c>
      <c r="J20" s="81">
        <v>32</v>
      </c>
      <c r="K20" s="81">
        <v>31</v>
      </c>
      <c r="L20" s="81">
        <v>31</v>
      </c>
      <c r="M20" s="81">
        <v>31</v>
      </c>
      <c r="N20" s="81">
        <v>30</v>
      </c>
      <c r="O20" s="81">
        <v>30</v>
      </c>
      <c r="P20" s="81">
        <v>30</v>
      </c>
      <c r="Q20" s="81">
        <v>30</v>
      </c>
      <c r="R20" s="81">
        <v>30</v>
      </c>
      <c r="S20" s="81">
        <v>31</v>
      </c>
      <c r="T20" s="81">
        <v>30</v>
      </c>
      <c r="U20" s="81">
        <v>29</v>
      </c>
      <c r="V20" s="81">
        <v>33</v>
      </c>
      <c r="W20" s="81">
        <v>32</v>
      </c>
      <c r="X20" s="81">
        <v>30</v>
      </c>
      <c r="Y20" s="110">
        <v>30</v>
      </c>
      <c r="Z20" s="81">
        <v>31</v>
      </c>
      <c r="AA20" s="81">
        <v>31</v>
      </c>
      <c r="AB20" s="81">
        <v>31</v>
      </c>
      <c r="AC20" s="81">
        <v>29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65" t="s" ph="1">
        <v>178</v>
      </c>
      <c r="D24" s="71">
        <v>91.21</v>
      </c>
      <c r="E24" s="71">
        <v>95.94</v>
      </c>
      <c r="F24" s="71">
        <v>4004</v>
      </c>
      <c r="G24" s="71">
        <v>2459</v>
      </c>
      <c r="H24" s="71">
        <v>1528</v>
      </c>
      <c r="I24" s="71">
        <v>4246</v>
      </c>
      <c r="J24" s="71">
        <v>3197</v>
      </c>
      <c r="K24" s="71">
        <v>0</v>
      </c>
      <c r="L24" s="71">
        <v>0</v>
      </c>
      <c r="M24" s="71">
        <v>5269</v>
      </c>
      <c r="N24" s="71">
        <v>5337</v>
      </c>
      <c r="O24" s="71">
        <v>2239</v>
      </c>
      <c r="P24" s="71">
        <v>397</v>
      </c>
      <c r="Q24" s="90">
        <v>3641</v>
      </c>
      <c r="R24" s="71">
        <v>2886</v>
      </c>
      <c r="S24" s="71">
        <v>1589</v>
      </c>
      <c r="T24" s="71">
        <v>1764</v>
      </c>
      <c r="U24" s="71">
        <v>5362</v>
      </c>
      <c r="V24" s="71">
        <v>9670</v>
      </c>
      <c r="W24" s="71">
        <v>10937</v>
      </c>
      <c r="X24" s="71">
        <v>3901</v>
      </c>
      <c r="Y24" s="71">
        <v>5635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24683.691952871999</v>
      </c>
      <c r="E25" s="91" ph="1">
        <f>E24*268.68*LOOKUP(E26,密度!$A$2:$A$50,密度!$C$2:$C$50)+IF(E24&lt;=0,0,1566*LOOKUP(E26,密度!$A$2:$A$50,密度!$C$2:$C$50))</f>
        <v>30320.829236879999</v>
      </c>
      <c r="F25" s="91" ph="1">
        <f>F24*11.702*LOOKUP(F26,密度!$A$2:$A$50,密度!$Q$2:$Q$50)</f>
        <v>44292.787098560002</v>
      </c>
      <c r="G25" s="91" ph="1">
        <f>G24*18.322*LOOKUP(G26,密度!$A$2:$A$50,密度!$B$2:$B$50)</f>
        <v>35047.349464200001</v>
      </c>
      <c r="H25" s="91" ph="1">
        <f>H24*18.322*LOOKUP(H26,密度!$A$2:$A$50,密度!$B$2:$B$50)</f>
        <v>21778.100846400001</v>
      </c>
      <c r="I25" s="91" ph="1">
        <f>I24*18.322*LOOKUP(I26,密度!$A$2:$A$50,密度!$Q$2:$Q$50)</f>
        <v>73386.557335959995</v>
      </c>
      <c r="J25" s="91" ph="1">
        <f>J24*18.322*LOOKUP(J26,密度!$A$2:$A$50,密度!$Q$2:$Q$50)</f>
        <v>55331.526465079995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91259.886367760002</v>
      </c>
      <c r="N25" s="91" ph="1">
        <f>N24*18.322*LOOKUP(N26,密度!$A$2:$A$50,密度!$Q$2:$Q$50)</f>
        <v>92437.656774479998</v>
      </c>
      <c r="O25" s="91" ph="1">
        <f>O24*18.322*LOOKUP(O26,密度!$A$2:$A$50,密度!$C$2:$C$50)</f>
        <v>45428.823689199999</v>
      </c>
      <c r="P25" s="91" ph="1">
        <f>P24*11.702*LOOKUP(P26,密度!$A$2:$A$50,密度!$B$2:$B$50)</f>
        <v>3609.7042380000003</v>
      </c>
      <c r="Q25" s="92" ph="1">
        <f>Q24*18.322*LOOKUP(Q26,密度!$A$2:$A$50,密度!$B$2:$B$50)</f>
        <v>51894.021715800001</v>
      </c>
      <c r="R25" s="91" ph="1">
        <f>R24*35.891*LOOKUP(R26,密度!$A$2:$A$50,密度!$C$2:$C$50)</f>
        <v>114706.07115239998</v>
      </c>
      <c r="S25" s="91" ph="1">
        <f>S24*35.891*LOOKUP(S26,密度!$A$2:$A$50,密度!$B$2:$B$50)</f>
        <v>44461.210900399994</v>
      </c>
      <c r="T25" s="91" ph="1">
        <f>T24*35.891*LOOKUP(T26,密度!$A$2:$A$50,密度!$Q$2:$Q$50)</f>
        <v>59849.838931679995</v>
      </c>
      <c r="U25" s="91" ph="1">
        <f>U24*35.891</f>
        <v>192447.54199999999</v>
      </c>
      <c r="V25" s="91" ph="1">
        <f>V24*47.051*LOOKUP(V26,密度!$A$2:$A$50,密度!$B$2:$B$50)</f>
        <v>353931.40794300003</v>
      </c>
      <c r="W25" s="91" ph="1">
        <f>W24*47.051*LOOKUP(W26,密度!$A$2:$A$50,密度!$B$2:$B$50)</f>
        <v>399841.703499</v>
      </c>
      <c r="X25" s="91" ph="1">
        <f>X24*47.051*LOOKUP(X26,密度!$A$2:$A$50,密度!$I$2:$I$50)</f>
        <v>190685.88849389998</v>
      </c>
      <c r="Y25" s="91" ph="1">
        <f>Y24*47.051*LOOKUP(Y26,密度!$A$2:$A$50,密度!$L$2:$L$50)</f>
        <v>247368.51520500003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27</v>
      </c>
      <c r="G26" s="74">
        <v>27</v>
      </c>
      <c r="H26" s="74">
        <v>27</v>
      </c>
      <c r="I26" s="74">
        <v>30</v>
      </c>
      <c r="J26" s="74">
        <v>28</v>
      </c>
      <c r="K26" s="74">
        <v>30</v>
      </c>
      <c r="L26" s="74">
        <v>29</v>
      </c>
      <c r="M26" s="74">
        <v>27</v>
      </c>
      <c r="N26" s="74">
        <v>27</v>
      </c>
      <c r="O26" s="74">
        <v>27</v>
      </c>
      <c r="P26" s="74">
        <v>28</v>
      </c>
      <c r="Q26" s="93">
        <v>27</v>
      </c>
      <c r="R26" s="74">
        <v>27</v>
      </c>
      <c r="S26" s="74">
        <v>25</v>
      </c>
      <c r="T26" s="74">
        <v>27</v>
      </c>
      <c r="U26" s="74">
        <v>27</v>
      </c>
      <c r="V26" s="74">
        <v>27</v>
      </c>
      <c r="W26" s="74">
        <v>28</v>
      </c>
      <c r="X26" s="74">
        <v>28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65" t="s" ph="1">
        <v>181</v>
      </c>
      <c r="D27" s="71">
        <v>91.32</v>
      </c>
      <c r="E27" s="71">
        <v>95.91</v>
      </c>
      <c r="F27" s="71">
        <v>4006</v>
      </c>
      <c r="G27" s="71">
        <v>1740</v>
      </c>
      <c r="H27" s="71">
        <v>1086</v>
      </c>
      <c r="I27" s="71">
        <v>4247</v>
      </c>
      <c r="J27" s="71">
        <v>3197</v>
      </c>
      <c r="K27" s="71">
        <v>0</v>
      </c>
      <c r="L27" s="71">
        <v>0</v>
      </c>
      <c r="M27" s="71">
        <v>5269</v>
      </c>
      <c r="N27" s="71">
        <v>5336</v>
      </c>
      <c r="O27" s="71">
        <v>2237</v>
      </c>
      <c r="P27" s="71">
        <v>396</v>
      </c>
      <c r="Q27" s="90">
        <v>4105</v>
      </c>
      <c r="R27" s="71">
        <v>2886</v>
      </c>
      <c r="S27" s="71">
        <v>1587</v>
      </c>
      <c r="T27" s="71">
        <v>1764</v>
      </c>
      <c r="U27" s="71">
        <v>5359</v>
      </c>
      <c r="V27" s="71">
        <v>9673</v>
      </c>
      <c r="W27" s="71">
        <v>10939</v>
      </c>
      <c r="X27" s="71">
        <v>3892</v>
      </c>
      <c r="Y27" s="71">
        <v>4577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65" t="s" ph="1">
        <v>179</v>
      </c>
      <c r="D28" s="91" ph="1">
        <f>D27*268.68*LOOKUP(D29,密度!$A$2:$A$50,密度!$Q$2:$Q$50)+IF(D27&lt;=0,0,1566*LOOKUP(D29,密度!$A$2:$A$50,密度!$Q$2:$Q$50))</f>
        <v>24711.672664224003</v>
      </c>
      <c r="E28" s="91" ph="1">
        <f>E27*268.68*LOOKUP(E29,密度!$A$2:$A$50,密度!$C$2:$C$50)+IF(E27&lt;=0,0,1566*LOOKUP(E29,密度!$A$2:$A$50,密度!$C$2:$C$50))</f>
        <v>30311.891059320002</v>
      </c>
      <c r="F28" s="91" ph="1">
        <f>F27*11.702*LOOKUP(F29,密度!$A$2:$A$50,密度!$Q$2:$Q$50)</f>
        <v>44282.096619440003</v>
      </c>
      <c r="G28" s="91" ph="1">
        <f>G27*18.322*LOOKUP(G29,密度!$A$2:$A$50,密度!$B$2:$B$50)</f>
        <v>24716.781083999998</v>
      </c>
      <c r="H28" s="91" ph="1">
        <f>H27*18.322*LOOKUP(H29,密度!$A$2:$A$50,密度!$B$2:$B$50)</f>
        <v>15426.680607599999</v>
      </c>
      <c r="I28" s="91" ph="1">
        <f>I27*18.322*LOOKUP(I29,密度!$A$2:$A$50,密度!$Q$2:$Q$50)</f>
        <v>73345.480877719994</v>
      </c>
      <c r="J28" s="91" ph="1">
        <f>J27*18.322*LOOKUP(J29,密度!$A$2:$A$50,密度!$Q$2:$Q$50)</f>
        <v>55255.964155219997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91125.697688740009</v>
      </c>
      <c r="N28" s="91" ph="1">
        <f>N27*18.322*LOOKUP(N29,密度!$A$2:$A$50,密度!$Q$2:$Q$50)</f>
        <v>92225.781899359994</v>
      </c>
      <c r="O28" s="91" ph="1">
        <f>O27*18.322*LOOKUP(O29,密度!$A$2:$A$50,密度!$C$2:$C$50)</f>
        <v>45252.9892874</v>
      </c>
      <c r="P28" s="91" ph="1">
        <f>P27*11.702*LOOKUP(P29,密度!$A$2:$A$50,密度!$B$2:$B$50)</f>
        <v>3584.392812</v>
      </c>
      <c r="Q28" s="92" ph="1">
        <f>Q27*18.322*LOOKUP(Q29,密度!$A$2:$A$50,密度!$B$2:$B$50)</f>
        <v>58311.716292999998</v>
      </c>
      <c r="R28" s="91" ph="1">
        <f>R27*35.891*LOOKUP(R29,密度!$A$2:$A$50,密度!$C$2:$C$50)</f>
        <v>114550.69901340001</v>
      </c>
      <c r="S28" s="91" ph="1">
        <f>S27*35.891*LOOKUP(S29,密度!$A$2:$A$50,密度!$B$2:$B$50)</f>
        <v>44211.588995400001</v>
      </c>
      <c r="T28" s="91" ph="1">
        <f>T27*35.891*LOOKUP(T29,密度!$A$2:$A$50,密度!$Q$2:$Q$50)</f>
        <v>59723.848600919999</v>
      </c>
      <c r="U28" s="91" ph="1">
        <f>U27*35.891</f>
        <v>192339.86899999998</v>
      </c>
      <c r="V28" s="91" ph="1">
        <f>V27*47.051*LOOKUP(V29,密度!$A$2:$A$50,密度!$B$2:$B$50)</f>
        <v>353631.59897100006</v>
      </c>
      <c r="W28" s="91" ph="1">
        <f>W27*47.051*LOOKUP(W29,密度!$A$2:$A$50,密度!$B$2:$B$50)</f>
        <v>399503.0680418</v>
      </c>
      <c r="X28" s="91" ph="1">
        <f>X27*47.051*LOOKUP(X29,密度!$A$2:$A$50,密度!$I$2:$I$50)</f>
        <v>190245.95693879999</v>
      </c>
      <c r="Y28" s="91" ph="1">
        <f>Y27*47.051*LOOKUP(Y29,密度!$A$2:$A$50,密度!$L$2:$L$50)</f>
        <v>200708.46196400002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65" t="s" ph="1">
        <v>180</v>
      </c>
      <c r="D29" s="74">
        <v>25</v>
      </c>
      <c r="E29" s="74">
        <v>25</v>
      </c>
      <c r="F29" s="74">
        <v>28</v>
      </c>
      <c r="G29" s="74">
        <v>30</v>
      </c>
      <c r="H29" s="74">
        <v>30</v>
      </c>
      <c r="I29" s="74">
        <v>31</v>
      </c>
      <c r="J29" s="74">
        <v>30</v>
      </c>
      <c r="K29" s="74">
        <v>30</v>
      </c>
      <c r="L29" s="74">
        <v>30</v>
      </c>
      <c r="M29" s="74">
        <v>29</v>
      </c>
      <c r="N29" s="74">
        <v>30</v>
      </c>
      <c r="O29" s="74">
        <v>31</v>
      </c>
      <c r="P29" s="74">
        <v>32</v>
      </c>
      <c r="Q29" s="93">
        <v>30</v>
      </c>
      <c r="R29" s="74">
        <v>29</v>
      </c>
      <c r="S29" s="74">
        <v>29</v>
      </c>
      <c r="T29" s="74">
        <v>30</v>
      </c>
      <c r="U29" s="74">
        <v>29</v>
      </c>
      <c r="V29" s="74">
        <v>28</v>
      </c>
      <c r="W29" s="74">
        <v>29</v>
      </c>
      <c r="X29" s="74">
        <v>28</v>
      </c>
      <c r="Y29" s="74">
        <v>30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65" t="s" ph="1">
        <v>5</v>
      </c>
      <c r="F32" s="166" t="s" ph="1">
        <v>43</v>
      </c>
      <c r="G32" s="97" t="s" ph="1">
        <v>4</v>
      </c>
      <c r="H32" s="165" t="s" ph="1">
        <v>5</v>
      </c>
      <c r="I32" s="166" t="s" ph="1">
        <v>43</v>
      </c>
      <c r="J32" s="97" t="s" ph="1">
        <v>4</v>
      </c>
      <c r="K32" s="165" t="s" ph="1">
        <v>5</v>
      </c>
      <c r="L32" s="166" t="s" ph="1">
        <v>43</v>
      </c>
      <c r="M32" s="97" t="s" ph="1">
        <v>4</v>
      </c>
      <c r="N32" s="165" t="s" ph="1">
        <v>5</v>
      </c>
      <c r="O32" s="16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6" t="s" ph="1">
        <v>43</v>
      </c>
      <c r="AB32" s="97" t="s" ph="1">
        <v>85</v>
      </c>
      <c r="AC32" s="165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183606.80276160003</v>
      </c>
      <c r="E33" s="218" ph="1">
        <f>M10+I10</f>
        <v>27475.913105600001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22" ph="1">
        <v>0</v>
      </c>
      <c r="H33" s="218" ph="1">
        <f>N19</f>
        <v>0</v>
      </c>
      <c r="I33" s="231" ph="1">
        <v>0</v>
      </c>
      <c r="J33" s="229" ph="1">
        <f>F10+O28</f>
        <v>197545.71408230002</v>
      </c>
      <c r="K33" s="218" ph="1">
        <f>O10+K10+E28+R28</f>
        <v>223458.28628552001</v>
      </c>
      <c r="L33" s="233" ph="1">
        <f>BE27</f>
        <v>7100</v>
      </c>
      <c r="M33" s="229" ph="1">
        <f>G10+H10+W28+S28+V28+E10</f>
        <v>1363055.3754482002</v>
      </c>
      <c r="N33" s="218" ph="1">
        <f>L10+P10++G28+H28</f>
        <v>137076.92027860001</v>
      </c>
      <c r="O33" s="231" ph="1">
        <f>BE17</f>
        <v>2270</v>
      </c>
      <c r="P33" s="229" ph="1">
        <f>L19</f>
        <v>5742.4681335499999</v>
      </c>
      <c r="Q33" s="218" ph="1">
        <f>J10+N10</f>
        <v>143141.77618399999</v>
      </c>
      <c r="R33" s="231" ph="1">
        <f>BE23</f>
        <v>890</v>
      </c>
      <c r="S33" s="229" ph="1">
        <f>E10+X28</f>
        <v>378536.00495580002</v>
      </c>
      <c r="T33" s="218" ph="1">
        <f>X19</f>
        <v>6067.5647804800001</v>
      </c>
      <c r="U33" s="239" ph="1">
        <f>BE21</f>
        <v>730</v>
      </c>
      <c r="V33" s="250" ph="1">
        <f ca="1">P19+Q19+S19+M28+N28+J28</f>
        <v>324604.64367454802</v>
      </c>
      <c r="W33" s="250" ph="1">
        <f>D28+F28+V19+T28</f>
        <v>154239.793107584</v>
      </c>
      <c r="X33" s="231" ph="1">
        <f>BE29+BE31</f>
        <v>10200</v>
      </c>
      <c r="Y33" s="252" ph="1">
        <f>+Q10+R10+S10+T10+U10+V10+W10+X10+Y10</f>
        <v>207525.51471960003</v>
      </c>
      <c r="Z33" s="237" ph="1">
        <f>D10+T19+U19+Y28+Z10</f>
        <v>432006.4017097</v>
      </c>
      <c r="AA33" s="239" ph="1">
        <f>BE19</f>
        <v>1440</v>
      </c>
      <c r="AB33" s="241" ph="1">
        <f>I19</f>
        <v>1086.8648419999997</v>
      </c>
      <c r="AC33" s="243" ph="1">
        <f>AD10</f>
        <v>106162.17514560001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7" t="s" ph="1">
        <v>186</v>
      </c>
      <c r="AA36" s="167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345</v>
      </c>
      <c r="AI37" s="167" t="s" ph="1">
        <v>212</v>
      </c>
      <c r="AJ37" s="167" t="s" ph="1">
        <v>213</v>
      </c>
      <c r="AK37" s="167" t="s" ph="1">
        <v>214</v>
      </c>
      <c r="AM37" s="167" t="s" ph="1">
        <v>213</v>
      </c>
      <c r="AN37" s="167" t="s" ph="1">
        <v>214</v>
      </c>
      <c r="AO37" s="167" t="s" ph="1">
        <v>215</v>
      </c>
      <c r="AP37" s="167" t="s" ph="1">
        <v>213</v>
      </c>
      <c r="AQ37" s="167" t="s" ph="1">
        <v>214</v>
      </c>
      <c r="AR37" s="167" t="s" ph="1">
        <v>215</v>
      </c>
      <c r="AS37" s="167" t="s" ph="1">
        <v>213</v>
      </c>
      <c r="AT37" s="167" t="s" ph="1">
        <v>214</v>
      </c>
      <c r="AU37" s="167" t="s" ph="1">
        <v>215</v>
      </c>
      <c r="AV37" s="167" t="s" ph="1">
        <v>213</v>
      </c>
      <c r="AW37" s="167" t="s" ph="1">
        <v>214</v>
      </c>
      <c r="AX37" s="167" t="s" ph="1">
        <v>215</v>
      </c>
      <c r="AY37" s="167" t="s" ph="1">
        <v>214</v>
      </c>
      <c r="AZ37" s="167" t="s" ph="1">
        <v>216</v>
      </c>
      <c r="BD37" s="167" t="s" ph="1">
        <v>308</v>
      </c>
      <c r="BE37" s="16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881" priority="96">
      <formula>ABS(D$7-D$10)&gt;=1000</formula>
    </cfRule>
  </conditionalFormatting>
  <conditionalFormatting sqref="E4 E6:E11">
    <cfRule type="expression" dxfId="880" priority="95">
      <formula>ABS(E$7-E$10)&gt;=1000</formula>
    </cfRule>
  </conditionalFormatting>
  <conditionalFormatting sqref="F4:F11">
    <cfRule type="expression" dxfId="879" priority="94">
      <formula>ABS(F$7-F$10)&gt;=1000</formula>
    </cfRule>
  </conditionalFormatting>
  <conditionalFormatting sqref="G4:G11">
    <cfRule type="expression" dxfId="878" priority="93">
      <formula>ABS(G$7-G$10)&gt;=1000</formula>
    </cfRule>
  </conditionalFormatting>
  <conditionalFormatting sqref="H4:H11">
    <cfRule type="expression" dxfId="877" priority="92">
      <formula>ABS(H$7-H$10)&gt;=1000</formula>
    </cfRule>
  </conditionalFormatting>
  <conditionalFormatting sqref="I4:I11">
    <cfRule type="expression" dxfId="876" priority="91">
      <formula>ABS(I$7-I$10)&gt;=1000</formula>
    </cfRule>
  </conditionalFormatting>
  <conditionalFormatting sqref="J4:J11">
    <cfRule type="expression" dxfId="875" priority="90">
      <formula>ABS(J$7-J$10)&gt;=1000</formula>
    </cfRule>
  </conditionalFormatting>
  <conditionalFormatting sqref="K4:K11">
    <cfRule type="expression" dxfId="874" priority="89">
      <formula>ABS(K$7-K$10)&gt;=1000</formula>
    </cfRule>
  </conditionalFormatting>
  <conditionalFormatting sqref="L4:L11">
    <cfRule type="expression" dxfId="873" priority="88">
      <formula>ABS(L$7-L$10)&gt;=1000</formula>
    </cfRule>
  </conditionalFormatting>
  <conditionalFormatting sqref="M4 M6:M11">
    <cfRule type="expression" dxfId="872" priority="87">
      <formula>ABS(M$7-M$10)&gt;=1000</formula>
    </cfRule>
  </conditionalFormatting>
  <conditionalFormatting sqref="N4 N6:N11">
    <cfRule type="expression" dxfId="871" priority="86">
      <formula>ABS(N$7-N$10)&gt;=1000</formula>
    </cfRule>
  </conditionalFormatting>
  <conditionalFormatting sqref="O4 O6:O11">
    <cfRule type="expression" dxfId="870" priority="85">
      <formula>ABS(O$7-O$10)&gt;=1000</formula>
    </cfRule>
  </conditionalFormatting>
  <conditionalFormatting sqref="P4 P6:P11">
    <cfRule type="expression" dxfId="869" priority="84">
      <formula>ABS(P$7-P$10)&gt;=1000</formula>
    </cfRule>
  </conditionalFormatting>
  <conditionalFormatting sqref="Q4:Q11">
    <cfRule type="expression" dxfId="868" priority="83">
      <formula>ABS(Q$7-Q$10)&gt;=1000</formula>
    </cfRule>
  </conditionalFormatting>
  <conditionalFormatting sqref="R4:R11">
    <cfRule type="expression" dxfId="867" priority="82">
      <formula>ABS(R$7-R$10)&gt;=1000</formula>
    </cfRule>
  </conditionalFormatting>
  <conditionalFormatting sqref="S4:S11">
    <cfRule type="expression" dxfId="866" priority="81">
      <formula>ABS(S$7-S$10)&gt;=1000</formula>
    </cfRule>
  </conditionalFormatting>
  <conditionalFormatting sqref="T4:T9 T11">
    <cfRule type="expression" dxfId="865" priority="80">
      <formula>ABS(T$7-T$10)&gt;=1000</formula>
    </cfRule>
  </conditionalFormatting>
  <conditionalFormatting sqref="U4:U9 U11">
    <cfRule type="expression" dxfId="864" priority="79">
      <formula>ABS(U$7-U$10)&gt;=1000</formula>
    </cfRule>
  </conditionalFormatting>
  <conditionalFormatting sqref="V4:V9 V11">
    <cfRule type="expression" dxfId="863" priority="78">
      <formula>ABS(V$7-V$10)&gt;=1000</formula>
    </cfRule>
  </conditionalFormatting>
  <conditionalFormatting sqref="W4:W9 W11">
    <cfRule type="expression" dxfId="862" priority="77">
      <formula>ABS(W$7-W$10)&gt;=1000</formula>
    </cfRule>
  </conditionalFormatting>
  <conditionalFormatting sqref="X4:X9 X11">
    <cfRule type="expression" dxfId="861" priority="76">
      <formula>ABS(X$7-X$10)&gt;=1000</formula>
    </cfRule>
  </conditionalFormatting>
  <conditionalFormatting sqref="Y4:Y9 Y11">
    <cfRule type="expression" dxfId="860" priority="75">
      <formula>ABS(Y$7-Y$10)&gt;=1000</formula>
    </cfRule>
  </conditionalFormatting>
  <conditionalFormatting sqref="Z4:Z11">
    <cfRule type="expression" dxfId="859" priority="74">
      <formula>ABS(Z$7-Z$10)&gt;=1000</formula>
    </cfRule>
  </conditionalFormatting>
  <conditionalFormatting sqref="AA4:AA11">
    <cfRule type="expression" dxfId="858" priority="73">
      <formula>ABS(AA$7-AA$10)&gt;=1000</formula>
    </cfRule>
  </conditionalFormatting>
  <conditionalFormatting sqref="AB4:AB11">
    <cfRule type="expression" dxfId="857" priority="72">
      <formula>ABS(AB$7-AB$10)&gt;=1000</formula>
    </cfRule>
  </conditionalFormatting>
  <conditionalFormatting sqref="AC4 AC6:AC11">
    <cfRule type="expression" dxfId="856" priority="71">
      <formula>ABS(AC$7-AC$10)&gt;=1000</formula>
    </cfRule>
  </conditionalFormatting>
  <conditionalFormatting sqref="AD4:AD11">
    <cfRule type="expression" dxfId="855" priority="70">
      <formula>ABS(AD$7-AD$10)&gt;=1000</formula>
    </cfRule>
  </conditionalFormatting>
  <conditionalFormatting sqref="AE4:AE11">
    <cfRule type="expression" dxfId="854" priority="69">
      <formula>ABS(AE$7-AE$10)&gt;=1000</formula>
    </cfRule>
  </conditionalFormatting>
  <conditionalFormatting sqref="D13:D20">
    <cfRule type="expression" dxfId="853" priority="68">
      <formula>ABS(D$16-D$19)&gt;=1000</formula>
    </cfRule>
  </conditionalFormatting>
  <conditionalFormatting sqref="E13:E20">
    <cfRule type="expression" dxfId="852" priority="67">
      <formula>ABS(E$16-E$19)&gt;=1000</formula>
    </cfRule>
  </conditionalFormatting>
  <conditionalFormatting sqref="F13 F15:F20">
    <cfRule type="expression" dxfId="851" priority="66">
      <formula>ABS(F$16-F$19)&gt;=1000</formula>
    </cfRule>
  </conditionalFormatting>
  <conditionalFormatting sqref="G13:G20">
    <cfRule type="expression" dxfId="850" priority="65">
      <formula>ABS(G$16-G$19)&gt;=1000</formula>
    </cfRule>
  </conditionalFormatting>
  <conditionalFormatting sqref="H13:H20">
    <cfRule type="expression" dxfId="849" priority="64">
      <formula>ABS(H$16-H$19)&gt;=1000</formula>
    </cfRule>
  </conditionalFormatting>
  <conditionalFormatting sqref="I13:I20">
    <cfRule type="expression" dxfId="848" priority="63">
      <formula>ABS(I$16-I$19)&gt;=1000</formula>
    </cfRule>
  </conditionalFormatting>
  <conditionalFormatting sqref="J13:J20">
    <cfRule type="expression" dxfId="847" priority="62">
      <formula>ABS(J$16-J$19)&gt;=1000</formula>
    </cfRule>
  </conditionalFormatting>
  <conditionalFormatting sqref="L13:L20">
    <cfRule type="expression" dxfId="846" priority="61">
      <formula>ABS(L$16-L$19)&gt;=1000</formula>
    </cfRule>
  </conditionalFormatting>
  <conditionalFormatting sqref="M13 M15 M17:M18 M20">
    <cfRule type="expression" dxfId="845" priority="60">
      <formula>ABS(M$16-M$19)&gt;=1000</formula>
    </cfRule>
  </conditionalFormatting>
  <conditionalFormatting sqref="N13:N20">
    <cfRule type="expression" dxfId="844" priority="59">
      <formula>ABS(N$16-N$19)&gt;=1000</formula>
    </cfRule>
  </conditionalFormatting>
  <conditionalFormatting sqref="O13:O20">
    <cfRule type="expression" dxfId="843" priority="58">
      <formula>ABS(O$16-O$19)&gt;=1000</formula>
    </cfRule>
  </conditionalFormatting>
  <conditionalFormatting sqref="P13:P20">
    <cfRule type="expression" dxfId="842" priority="57">
      <formula>ABS(P$16-P$19)&gt;=1000</formula>
    </cfRule>
  </conditionalFormatting>
  <conditionalFormatting sqref="Q13 Q15:Q20">
    <cfRule type="expression" dxfId="841" priority="56">
      <formula>ABS(Q$16-Q$19)&gt;=1000</formula>
    </cfRule>
  </conditionalFormatting>
  <conditionalFormatting sqref="R13:R20">
    <cfRule type="expression" dxfId="840" priority="55">
      <formula>ABS(R$16-R$19)&gt;=1000</formula>
    </cfRule>
  </conditionalFormatting>
  <conditionalFormatting sqref="S13:S20">
    <cfRule type="expression" dxfId="839" priority="54">
      <formula>ABS(S$16-S$19)&gt;=1000</formula>
    </cfRule>
  </conditionalFormatting>
  <conditionalFormatting sqref="T13:T20">
    <cfRule type="expression" dxfId="838" priority="53">
      <formula>ABS(T$16-T$19)&gt;=1000</formula>
    </cfRule>
  </conditionalFormatting>
  <conditionalFormatting sqref="U13:U20">
    <cfRule type="expression" dxfId="837" priority="52">
      <formula>ABS(U$16-U$19)&gt;=1000</formula>
    </cfRule>
  </conditionalFormatting>
  <conditionalFormatting sqref="V13:V20">
    <cfRule type="expression" dxfId="836" priority="51">
      <formula>ABS(V$16-V$19)&gt;=1000</formula>
    </cfRule>
  </conditionalFormatting>
  <conditionalFormatting sqref="W13 W20 W15:W18">
    <cfRule type="expression" dxfId="835" priority="50">
      <formula>ABS(W$16-W$19)&gt;=1000</formula>
    </cfRule>
  </conditionalFormatting>
  <conditionalFormatting sqref="X13 X15:X20 Y19">
    <cfRule type="expression" dxfId="834" priority="49">
      <formula>ABS(X$16-X$19)&gt;=1000</formula>
    </cfRule>
  </conditionalFormatting>
  <conditionalFormatting sqref="Y13 Y15:Y18 Y20">
    <cfRule type="expression" dxfId="833" priority="48">
      <formula>ABS(Y$16-Y$19)&gt;=1000</formula>
    </cfRule>
  </conditionalFormatting>
  <conditionalFormatting sqref="Z13:Z20">
    <cfRule type="expression" dxfId="832" priority="47">
      <formula>ABS(Z$16-Z$19)&gt;=1000</formula>
    </cfRule>
  </conditionalFormatting>
  <conditionalFormatting sqref="AA13:AA20">
    <cfRule type="expression" dxfId="831" priority="46">
      <formula>ABS(AA$16-AA$19)&gt;=1000</formula>
    </cfRule>
  </conditionalFormatting>
  <conditionalFormatting sqref="AB13 AB15:AB20">
    <cfRule type="expression" dxfId="830" priority="45">
      <formula>ABS(AB$16-AB$19)&gt;=1000</formula>
    </cfRule>
  </conditionalFormatting>
  <conditionalFormatting sqref="AC13 AC15:AC20">
    <cfRule type="expression" dxfId="829" priority="44">
      <formula>ABS(AC$16-AC$19)&gt;=1000</formula>
    </cfRule>
  </conditionalFormatting>
  <conditionalFormatting sqref="AD13:AD20">
    <cfRule type="expression" dxfId="828" priority="43">
      <formula>ABS(AD$16-AD$19)&gt;=1000</formula>
    </cfRule>
  </conditionalFormatting>
  <conditionalFormatting sqref="AE13:AE20">
    <cfRule type="expression" dxfId="827" priority="42">
      <formula>ABS(AE$16-AE$19)&gt;=1000</formula>
    </cfRule>
  </conditionalFormatting>
  <conditionalFormatting sqref="D22:D29">
    <cfRule type="expression" dxfId="826" priority="41">
      <formula>ABS(D$25-D$28)&gt;=1000</formula>
    </cfRule>
  </conditionalFormatting>
  <conditionalFormatting sqref="E22:E29">
    <cfRule type="expression" dxfId="825" priority="40">
      <formula>ABS(E$25-E$28)&gt;=1000</formula>
    </cfRule>
  </conditionalFormatting>
  <conditionalFormatting sqref="F22:F29">
    <cfRule type="expression" dxfId="824" priority="39">
      <formula>ABS(F$25-F$28)&gt;=1000</formula>
    </cfRule>
  </conditionalFormatting>
  <conditionalFormatting sqref="G22:G29">
    <cfRule type="expression" dxfId="823" priority="38">
      <formula>ABS(G$25-G$28)&gt;=1000</formula>
    </cfRule>
  </conditionalFormatting>
  <conditionalFormatting sqref="H22:H29">
    <cfRule type="expression" dxfId="822" priority="37">
      <formula>ABS(H$25-H$28)&gt;=1000</formula>
    </cfRule>
  </conditionalFormatting>
  <conditionalFormatting sqref="I22 I24:I29">
    <cfRule type="expression" dxfId="821" priority="36">
      <formula>ABS(I$25-I$28)&gt;=1000</formula>
    </cfRule>
  </conditionalFormatting>
  <conditionalFormatting sqref="J22:J29 K22">
    <cfRule type="expression" dxfId="820" priority="35">
      <formula>ABS(J$25-J$28)&gt;=1000</formula>
    </cfRule>
  </conditionalFormatting>
  <conditionalFormatting sqref="K23:K29 L25 L28">
    <cfRule type="expression" dxfId="819" priority="34">
      <formula>ABS(K$25-K$28)&gt;=1000</formula>
    </cfRule>
  </conditionalFormatting>
  <conditionalFormatting sqref="L22:L24 L26:L27 L29">
    <cfRule type="expression" dxfId="818" priority="33">
      <formula>ABS(L$25-L$28)&gt;=1000</formula>
    </cfRule>
  </conditionalFormatting>
  <conditionalFormatting sqref="M22:M29">
    <cfRule type="expression" dxfId="817" priority="32">
      <formula>ABS(M$25-M$28)&gt;=1000</formula>
    </cfRule>
  </conditionalFormatting>
  <conditionalFormatting sqref="N22:N29">
    <cfRule type="expression" dxfId="816" priority="31">
      <formula>ABS(N$25-N$28)&gt;=1000</formula>
    </cfRule>
  </conditionalFormatting>
  <conditionalFormatting sqref="O22:O29">
    <cfRule type="expression" dxfId="815" priority="30">
      <formula>ABS(O$25-O$28)&gt;=1000</formula>
    </cfRule>
  </conditionalFormatting>
  <conditionalFormatting sqref="P22:P29">
    <cfRule type="expression" dxfId="814" priority="29">
      <formula>ABS(P$25-P$28)&gt;=1000</formula>
    </cfRule>
  </conditionalFormatting>
  <conditionalFormatting sqref="Q22:Q29">
    <cfRule type="expression" dxfId="813" priority="28">
      <formula>ABS(Q$25-Q$28)&gt;=1000</formula>
    </cfRule>
  </conditionalFormatting>
  <conditionalFormatting sqref="R22:R29">
    <cfRule type="expression" dxfId="812" priority="27">
      <formula>ABS(R$25-R$28)&gt;=1000</formula>
    </cfRule>
  </conditionalFormatting>
  <conditionalFormatting sqref="S22:S29">
    <cfRule type="expression" dxfId="811" priority="26">
      <formula>ABS(S$25-S$28)&gt;=1000</formula>
    </cfRule>
  </conditionalFormatting>
  <conditionalFormatting sqref="T22:T29">
    <cfRule type="expression" dxfId="810" priority="25">
      <formula>ABS(T$25-T$28)&gt;=1000</formula>
    </cfRule>
  </conditionalFormatting>
  <conditionalFormatting sqref="U22:U29">
    <cfRule type="expression" dxfId="809" priority="24">
      <formula>ABS(U$25-U$28)&gt;=1000</formula>
    </cfRule>
  </conditionalFormatting>
  <conditionalFormatting sqref="V22:V29">
    <cfRule type="expression" dxfId="808" priority="23">
      <formula>ABS(V$25-V$28)&gt;=1000</formula>
    </cfRule>
  </conditionalFormatting>
  <conditionalFormatting sqref="W22:W29">
    <cfRule type="expression" dxfId="807" priority="22">
      <formula>ABS(W$25-W$28)&gt;=1000</formula>
    </cfRule>
  </conditionalFormatting>
  <conditionalFormatting sqref="X22:X29">
    <cfRule type="expression" dxfId="806" priority="21">
      <formula>ABS(X$25-X$28)&gt;=1000</formula>
    </cfRule>
  </conditionalFormatting>
  <conditionalFormatting sqref="Y22:Y29">
    <cfRule type="expression" dxfId="805" priority="20">
      <formula>ABS(Y$25-Y$28)&gt;=1000</formula>
    </cfRule>
  </conditionalFormatting>
  <conditionalFormatting sqref="I23">
    <cfRule type="expression" dxfId="804" priority="19">
      <formula>ABS(I$25-I$28)&gt;=1000</formula>
    </cfRule>
  </conditionalFormatting>
  <conditionalFormatting sqref="F14">
    <cfRule type="expression" dxfId="803" priority="18">
      <formula>ABS(F$16-F$19)&gt;=1000</formula>
    </cfRule>
  </conditionalFormatting>
  <conditionalFormatting sqref="Q14">
    <cfRule type="expression" dxfId="802" priority="17">
      <formula>ABS(Q$16-Q$19)&gt;=1000</formula>
    </cfRule>
  </conditionalFormatting>
  <conditionalFormatting sqref="W14">
    <cfRule type="expression" dxfId="801" priority="16">
      <formula>ABS(W$16-W$19)&gt;=1000</formula>
    </cfRule>
  </conditionalFormatting>
  <conditionalFormatting sqref="Y14">
    <cfRule type="expression" dxfId="800" priority="15">
      <formula>ABS(Y$16-Y$19)&gt;=1000</formula>
    </cfRule>
  </conditionalFormatting>
  <conditionalFormatting sqref="X14">
    <cfRule type="expression" dxfId="799" priority="14">
      <formula>ABS(X$16-X$19)&gt;=1000</formula>
    </cfRule>
  </conditionalFormatting>
  <conditionalFormatting sqref="T10:Y10">
    <cfRule type="expression" dxfId="798" priority="13">
      <formula>ABS(T$7-T$10)&gt;=1000</formula>
    </cfRule>
  </conditionalFormatting>
  <conditionalFormatting sqref="W19">
    <cfRule type="expression" dxfId="797" priority="12">
      <formula>ABS(W$16-W$19)&gt;=1000</formula>
    </cfRule>
  </conditionalFormatting>
  <conditionalFormatting sqref="AC5">
    <cfRule type="expression" dxfId="796" priority="11">
      <formula>ABS(AC$7-AC$10)&gt;=1000</formula>
    </cfRule>
  </conditionalFormatting>
  <conditionalFormatting sqref="M14">
    <cfRule type="expression" dxfId="795" priority="10">
      <formula>ABS(M$16-M$19)&gt;=1000</formula>
    </cfRule>
  </conditionalFormatting>
  <conditionalFormatting sqref="M16">
    <cfRule type="expression" dxfId="794" priority="9">
      <formula>ABS(M$16-M$19)&gt;=1000</formula>
    </cfRule>
  </conditionalFormatting>
  <conditionalFormatting sqref="M19">
    <cfRule type="expression" dxfId="793" priority="8">
      <formula>ABS(M$16-M$19)&gt;=1000</formula>
    </cfRule>
  </conditionalFormatting>
  <conditionalFormatting sqref="K13:K20">
    <cfRule type="expression" dxfId="792" priority="7">
      <formula>ABS(K$16-K$19)&gt;=1000</formula>
    </cfRule>
  </conditionalFormatting>
  <conditionalFormatting sqref="E5">
    <cfRule type="expression" dxfId="791" priority="6">
      <formula>ABS(E$7-E$10)&gt;=1000</formula>
    </cfRule>
  </conditionalFormatting>
  <conditionalFormatting sqref="AB14:AC14">
    <cfRule type="expression" dxfId="790" priority="5">
      <formula>ABS(AB$16-AB$19)&gt;=1000</formula>
    </cfRule>
  </conditionalFormatting>
  <conditionalFormatting sqref="M5">
    <cfRule type="expression" dxfId="789" priority="4">
      <formula>ABS(M$7-M$10)&gt;=1000</formula>
    </cfRule>
  </conditionalFormatting>
  <conditionalFormatting sqref="N5">
    <cfRule type="expression" dxfId="788" priority="3">
      <formula>ABS(N$7-N$10)&gt;=1000</formula>
    </cfRule>
  </conditionalFormatting>
  <conditionalFormatting sqref="O5">
    <cfRule type="expression" dxfId="787" priority="2">
      <formula>ABS(O$7-O$10)&gt;=1000</formula>
    </cfRule>
  </conditionalFormatting>
  <conditionalFormatting sqref="P5">
    <cfRule type="expression" dxfId="786" priority="1">
      <formula>ABS(P$7-P$10)&gt;=1000</formula>
    </cfRule>
  </conditionalFormatting>
  <dataValidations count="1">
    <dataValidation operator="greaterThanOrEqual" allowBlank="1" showErrorMessage="1" sqref="D6" xr:uid="{00000000-0002-0000-11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75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642">
    <pageSetUpPr fitToPage="1"/>
  </sheetPr>
  <dimension ref="A1:CU223"/>
  <sheetViews>
    <sheetView view="pageBreakPreview" topLeftCell="A10" zoomScale="80" zoomScaleNormal="100" zoomScaleSheetLayoutView="80" workbookViewId="0">
      <selection activeCell="R24" sqref="R24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45799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65" t="s" ph="1">
        <v>178</v>
      </c>
      <c r="D6" s="71">
        <v>2699</v>
      </c>
      <c r="E6" s="71">
        <v>4713</v>
      </c>
      <c r="F6" s="71">
        <v>3632</v>
      </c>
      <c r="G6" s="71">
        <v>8415</v>
      </c>
      <c r="H6" s="71">
        <v>1022</v>
      </c>
      <c r="I6" s="71">
        <v>0.11</v>
      </c>
      <c r="J6" s="71">
        <v>7.82</v>
      </c>
      <c r="K6" s="71">
        <v>45.91</v>
      </c>
      <c r="L6" s="71">
        <v>42.5</v>
      </c>
      <c r="M6" s="71">
        <v>603</v>
      </c>
      <c r="N6" s="71">
        <v>5249</v>
      </c>
      <c r="O6" s="71">
        <v>2667</v>
      </c>
      <c r="P6" s="71">
        <v>2388</v>
      </c>
      <c r="Q6" s="71">
        <v>0</v>
      </c>
      <c r="R6" s="71">
        <v>0</v>
      </c>
      <c r="S6" s="71">
        <v>0</v>
      </c>
      <c r="T6" s="71">
        <v>0</v>
      </c>
      <c r="U6" s="71">
        <v>6344</v>
      </c>
      <c r="V6" s="71">
        <v>4424</v>
      </c>
      <c r="W6" s="71">
        <v>7085</v>
      </c>
      <c r="X6" s="71">
        <v>7082</v>
      </c>
      <c r="Y6" s="71">
        <v>3961</v>
      </c>
      <c r="Z6" s="71">
        <v>4134</v>
      </c>
      <c r="AA6" s="71">
        <v>3921</v>
      </c>
      <c r="AB6" s="71">
        <v>2419</v>
      </c>
      <c r="AC6" s="71">
        <v>5939</v>
      </c>
      <c r="AD6" s="71">
        <v>5419</v>
      </c>
      <c r="AE6" s="71">
        <v>2800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84539.236383809999</v>
      </c>
      <c r="E7" s="73" ph="1">
        <f>E6*51.53*LOOKUP(E8,密度!$A$2:$A$50,密度!$B$2:$B$50)</f>
        <v>188508.622818</v>
      </c>
      <c r="F7" s="73" ph="1">
        <f>F6*33.183*LOOKUP(F8,密度!$A$2:$A$50,密度!$C$2:$C$50)</f>
        <v>133283.79347040001</v>
      </c>
      <c r="G7" s="73" ph="1">
        <f xml:space="preserve"> (G6+2)*51.53*LOOKUP(G8,密度!$A$2:$A$50,密度!$B$2:$B$50)</f>
        <v>337006.66377000004</v>
      </c>
      <c r="H7" s="73" ph="1">
        <f>(H6)*51.53*LOOKUP(H8,密度!$A$2:$A$50,密度!$B$2:$B$50)</f>
        <v>41103.986629999999</v>
      </c>
      <c r="I7" s="73" ph="1">
        <f>I6*290.8*1.0267</f>
        <v>32.842079599999998</v>
      </c>
      <c r="J7" s="73" ph="1">
        <f>J6*290.8*0.7892</f>
        <v>1794.6849952</v>
      </c>
      <c r="K7" s="73" ph="1">
        <f>K6*290.8*1.1126</f>
        <v>14853.908712799999</v>
      </c>
      <c r="L7" s="73" ph="1">
        <f>L6*290.8*0.777</f>
        <v>9602.9430000000011</v>
      </c>
      <c r="M7" s="73" ph="1">
        <f>M6*33.183*LOOKUP(M8,密度!$A$2:$A$50,密度!$D$2:$D$50)</f>
        <v>20449.554678</v>
      </c>
      <c r="N7" s="73" ph="1">
        <f>N6*33.183*LOOKUP(N8,密度!$A$2:$A$50,密度!$E$2:$E$50)</f>
        <v>135440.47609919999</v>
      </c>
      <c r="O7" s="73" ph="1">
        <f>O6*20.428*LOOKUP(O8,密度!$A$2:$A$50,密度!$C$2:$C$50)</f>
        <v>60038.586552000008</v>
      </c>
      <c r="P7" s="73" ph="1">
        <f>P6*51.53*LOOKUP(P8,密度!$A$2:$A$50,密度!$B$2:$B$50)</f>
        <v>95612.678280000007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41838.704107200007</v>
      </c>
      <c r="V7" s="73" ph="1">
        <f>V6*1.5*1.5*3.1416*LOOKUP(V8,密度!$A$2:$A$50,密度!$L$2:$L$50)</f>
        <v>29176.296811199998</v>
      </c>
      <c r="W7" s="73" ph="1">
        <f>W6*1.5*1.5*3.1416*LOOKUP(W8,密度!$A$2:$A$50,密度!$L$2:$L$50)</f>
        <v>46725.601923000002</v>
      </c>
      <c r="X7" s="73" ph="1">
        <f>X6*1.5*1.5*3.1416*LOOKUP(X8,密度!$A$2:$A$50,密度!$L$2:$L$50)</f>
        <v>47156.355338399997</v>
      </c>
      <c r="Y7" s="73" ph="1">
        <f>Y6*1.5*1.5*3.1416*LOOKUP(Y8,密度!$A$2:$A$50,密度!$L$2:$L$50)</f>
        <v>26206.806225600001</v>
      </c>
      <c r="Z7" s="73" ph="1">
        <f>Z6*33.183*LOOKUP(Z8,密度!$A$2:$A$50,密度!$L$2:$L$50)</f>
        <v>127850.38250400001</v>
      </c>
      <c r="AA7" s="73" ph="1">
        <f>AA6*33.183*LOOKUP(AA8,密度!$A$2:$A$50,密度!$D$2:$D$50)</f>
        <v>133090.07443469999</v>
      </c>
      <c r="AB7" s="73" ph="1">
        <f>AB6*20.428*LOOKUP(AB8,密度!$A$2:$A$50,密度!$D$2:$D$50)</f>
        <v>50966.97342480001</v>
      </c>
      <c r="AC7" s="73" ph="1">
        <f>AC6*51.53*LOOKUP(AC8,密度!$A$2:$A$50,密度!$Q$2:$Q$50)</f>
        <v>289737.15695580002</v>
      </c>
      <c r="AD7" s="73" ph="1">
        <f>AD6*20.428*LOOKUP(AD8,密度!$A$2:$A$50,密度!$V$2:$V$50)</f>
        <v>106005.68032320001</v>
      </c>
      <c r="AE7" s="73" ph="1">
        <f>AE6*20.428</f>
        <v>57198.400000000001</v>
      </c>
    </row>
    <row r="8" spans="1:99" ph="1">
      <c r="B8" s="196" ph="1"/>
      <c r="C8" s="68" t="s" ph="1">
        <v>180</v>
      </c>
      <c r="D8" s="74">
        <v>29</v>
      </c>
      <c r="E8" s="74">
        <v>29</v>
      </c>
      <c r="F8" s="74">
        <v>29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28</v>
      </c>
      <c r="Q8" s="74">
        <v>26</v>
      </c>
      <c r="R8" s="74">
        <v>33</v>
      </c>
      <c r="S8" s="74">
        <v>23</v>
      </c>
      <c r="T8" s="74">
        <v>24</v>
      </c>
      <c r="U8" s="74">
        <v>29</v>
      </c>
      <c r="V8" s="74">
        <v>29</v>
      </c>
      <c r="W8" s="74">
        <v>29</v>
      </c>
      <c r="X8" s="74">
        <v>20</v>
      </c>
      <c r="Y8" s="74">
        <v>26</v>
      </c>
      <c r="Z8" s="74">
        <v>30</v>
      </c>
      <c r="AA8" s="74">
        <v>29</v>
      </c>
      <c r="AB8" s="74">
        <v>20</v>
      </c>
      <c r="AC8" s="74">
        <v>25</v>
      </c>
      <c r="AD8" s="74">
        <v>26</v>
      </c>
      <c r="AE8" s="74">
        <v>28</v>
      </c>
    </row>
    <row r="9" spans="1:99" ph="1">
      <c r="B9" s="196" ph="1">
        <v>0.66666666666666663</v>
      </c>
      <c r="C9" s="165" t="s" ph="1">
        <v>181</v>
      </c>
      <c r="D9" s="71">
        <v>3043</v>
      </c>
      <c r="E9" s="71">
        <v>4704</v>
      </c>
      <c r="F9" s="71">
        <v>4156</v>
      </c>
      <c r="G9" s="71">
        <v>8424</v>
      </c>
      <c r="H9" s="71">
        <v>1024</v>
      </c>
      <c r="I9" s="71">
        <v>0</v>
      </c>
      <c r="J9" s="71">
        <v>7.79</v>
      </c>
      <c r="K9" s="71">
        <v>76.010000000000005</v>
      </c>
      <c r="L9" s="71">
        <v>13.36</v>
      </c>
      <c r="M9" s="71">
        <v>604</v>
      </c>
      <c r="N9" s="71">
        <v>5056</v>
      </c>
      <c r="O9" s="71">
        <v>2378</v>
      </c>
      <c r="P9" s="71">
        <v>2094</v>
      </c>
      <c r="Q9" s="71">
        <v>3113</v>
      </c>
      <c r="R9" s="71">
        <v>767</v>
      </c>
      <c r="S9" s="71">
        <v>0</v>
      </c>
      <c r="T9" s="71">
        <v>0</v>
      </c>
      <c r="U9" s="71">
        <v>2080</v>
      </c>
      <c r="V9" s="71">
        <v>4430</v>
      </c>
      <c r="W9" s="71">
        <v>7095</v>
      </c>
      <c r="X9" s="71">
        <v>7092</v>
      </c>
      <c r="Y9" s="71">
        <v>3967</v>
      </c>
      <c r="Z9" s="71">
        <v>5055</v>
      </c>
      <c r="AA9" s="71">
        <v>5104</v>
      </c>
      <c r="AB9" s="71">
        <v>2346</v>
      </c>
      <c r="AC9" s="71">
        <v>5638</v>
      </c>
      <c r="AD9" s="71">
        <v>5428</v>
      </c>
      <c r="AE9" s="71">
        <v>2650</v>
      </c>
    </row>
    <row r="10" spans="1:99" s="72" customFormat="1" ht="21.75" ph="1">
      <c r="B10" s="196" ph="1"/>
      <c r="C10" s="165" t="s" ph="1">
        <v>179</v>
      </c>
      <c r="D10" s="73" ph="1">
        <f>D9*33.183*LOOKUP(D11,密度!$A$2:$A$50,密度!$Q$2:$Q$50)</f>
        <v>95043.536696250012</v>
      </c>
      <c r="E10" s="73" ph="1">
        <f>E9*51.53*LOOKUP(E11,密度!$A$2:$A$50,密度!$B$2:$B$50)</f>
        <v>187930.48713599998</v>
      </c>
      <c r="F10" s="73" ph="1">
        <f>F9*33.183*LOOKUP(F11,密度!$A$2:$A$50,密度!$C$2:$C$50)</f>
        <v>152113.128444</v>
      </c>
      <c r="G10" s="73" ph="1">
        <f xml:space="preserve"> (G9+2)*51.53*LOOKUP(G11,密度!$A$2:$A$50,密度!$B$2:$B$50)</f>
        <v>336628.88703400001</v>
      </c>
      <c r="H10" s="73" ph="1">
        <f>(H9)*51.53*LOOKUP(H11,密度!$A$2:$A$50,密度!$B$2:$B$50)</f>
        <v>40910.038015999999</v>
      </c>
      <c r="I10" s="73" ph="1">
        <f>I9*290.8*1.0267</f>
        <v>0</v>
      </c>
      <c r="J10" s="73" ph="1">
        <f>J9*290.8*0.7892</f>
        <v>1787.8000144</v>
      </c>
      <c r="K10" s="73" ph="1">
        <f>K9*290.8*1.1126</f>
        <v>24592.585520800003</v>
      </c>
      <c r="L10" s="73" ph="1">
        <f>L9*290.8*0.777</f>
        <v>3018.7133760000002</v>
      </c>
      <c r="M10" s="73" ph="1">
        <f>M9*33.183*LOOKUP(M11,密度!$A$2:$A$50,密度!$D$2:$D$50)</f>
        <v>20325.1317012</v>
      </c>
      <c r="N10" s="73" ph="1">
        <f>N9*33.183*LOOKUP(N11,密度!$A$2:$A$50,密度!$E$2:$E$50)</f>
        <v>130077.95463935999</v>
      </c>
      <c r="O10" s="73" ph="1">
        <f>O9*20.428*LOOKUP(O11,密度!$A$2:$A$50,密度!$C$2:$C$50)</f>
        <v>53430.704621600002</v>
      </c>
      <c r="P10" s="73" ph="1">
        <f>P9*51.53*LOOKUP(P11,密度!$A$2:$A$50,密度!$B$2:$B$50)</f>
        <v>83463.604770000005</v>
      </c>
      <c r="Q10" s="73" ph="1">
        <f>Q9*1.5*1.5*3.1416*LOOKUP(W11,密度!$A$2:$A$50,密度!$L$2:$L$50)</f>
        <v>20508.242277600002</v>
      </c>
      <c r="R10" s="73" ph="1">
        <f>R9*1.5*1.5*3.1416*LOOKUP(R11,密度!$A$2:$A$50,密度!$L$2:$L$50)</f>
        <v>5014.9949849999994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13702.905216000001</v>
      </c>
      <c r="V10" s="73" ph="1">
        <f>V9*1.5*1.5*3.1416*LOOKUP(V11,密度!$A$2:$A$50,密度!$L$2:$L$50)</f>
        <v>29247.180732000004</v>
      </c>
      <c r="W10" s="73" ph="1">
        <f>W9*1.5*1.5*3.1416*LOOKUP(W11,密度!$A$2:$A$50,密度!$L$2:$L$50)</f>
        <v>46741.400243999997</v>
      </c>
      <c r="X10" s="73" ph="1">
        <f>X9*1.5*1.5*3.1416*LOOKUP(X11,密度!$A$2:$A$50,密度!$L$2:$L$50)</f>
        <v>47222.941550399999</v>
      </c>
      <c r="Y10" s="73" ph="1">
        <f>Y9*1.5*1.5*3.1416*LOOKUP(Y11,密度!$A$2:$A$50,密度!$L$2:$L$50)</f>
        <v>26246.503483200002</v>
      </c>
      <c r="Z10" s="73" ph="1">
        <f>Z9*33.183*LOOKUP(Z11,密度!$A$2:$A$50,密度!$L$2:$L$50)</f>
        <v>156333.74058000001</v>
      </c>
      <c r="AA10" s="73" ph="1">
        <f>AA9*33.183*LOOKUP(AA11,密度!$A$2:$A$50,密度!$D$2:$D$50)</f>
        <v>172651.73302080002</v>
      </c>
      <c r="AB10" s="73" ph="1">
        <f>AB9*20.428*LOOKUP(AB11,密度!$A$2:$A$50,密度!$D$2:$D$50)</f>
        <v>49294.716916800004</v>
      </c>
      <c r="AC10" s="73" ph="1">
        <f>AC9*51.53*LOOKUP(AC11,密度!$A$2:$A$50,密度!$Q$2:$Q$50)</f>
        <v>274062.02364620002</v>
      </c>
      <c r="AD10" s="73" ph="1">
        <f>AD9*20.428*LOOKUP(AD11,密度!$A$2:$A$50,密度!$V$2:$V$50)</f>
        <v>106181.73699840001</v>
      </c>
      <c r="AE10" s="73" ph="1">
        <f>AE9*20.428</f>
        <v>54134.200000000004</v>
      </c>
    </row>
    <row r="11" spans="1:99" ph="1">
      <c r="A11" s="64" t="s" ph="1">
        <v>163</v>
      </c>
      <c r="B11" s="196" ph="1"/>
      <c r="C11" s="165" t="s" ph="1">
        <v>180</v>
      </c>
      <c r="D11" s="74">
        <v>33</v>
      </c>
      <c r="E11" s="74">
        <v>30</v>
      </c>
      <c r="F11" s="74">
        <v>32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39</v>
      </c>
      <c r="N11" s="74">
        <v>32</v>
      </c>
      <c r="O11" s="74">
        <v>35</v>
      </c>
      <c r="P11" s="74">
        <v>32</v>
      </c>
      <c r="Q11" s="74">
        <v>30</v>
      </c>
      <c r="R11" s="74">
        <v>37</v>
      </c>
      <c r="S11" s="74">
        <v>27</v>
      </c>
      <c r="T11" s="74">
        <v>31</v>
      </c>
      <c r="U11" s="74">
        <v>30</v>
      </c>
      <c r="V11" s="74">
        <v>28</v>
      </c>
      <c r="W11" s="74">
        <v>30</v>
      </c>
      <c r="X11" s="74">
        <v>20</v>
      </c>
      <c r="Y11" s="74">
        <v>26</v>
      </c>
      <c r="Z11" s="74">
        <v>30</v>
      </c>
      <c r="AA11" s="74">
        <v>33</v>
      </c>
      <c r="AB11" s="74">
        <v>23</v>
      </c>
      <c r="AC11" s="74">
        <v>30</v>
      </c>
      <c r="AD11" s="74">
        <v>30</v>
      </c>
      <c r="AE11" s="74">
        <v>29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6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65" t="s" ph="1">
        <v>178</v>
      </c>
      <c r="D15" s="78">
        <v>4143</v>
      </c>
      <c r="E15" s="78">
        <v>1596</v>
      </c>
      <c r="F15" s="78">
        <v>2327</v>
      </c>
      <c r="G15" s="78">
        <v>1714</v>
      </c>
      <c r="H15" s="78">
        <v>0</v>
      </c>
      <c r="I15" s="78">
        <v>117</v>
      </c>
      <c r="J15" s="78">
        <v>178</v>
      </c>
      <c r="K15" s="78">
        <v>1270</v>
      </c>
      <c r="L15" s="78">
        <v>809</v>
      </c>
      <c r="M15" s="78">
        <v>6357</v>
      </c>
      <c r="N15" s="78">
        <v>7</v>
      </c>
      <c r="O15" s="78">
        <v>1845</v>
      </c>
      <c r="P15" s="78">
        <v>3039</v>
      </c>
      <c r="Q15" s="78">
        <v>6994</v>
      </c>
      <c r="R15" s="78">
        <v>3522</v>
      </c>
      <c r="S15" s="78">
        <v>0</v>
      </c>
      <c r="T15" s="78">
        <v>2410</v>
      </c>
      <c r="U15" s="78">
        <v>5339</v>
      </c>
      <c r="V15" s="78">
        <v>2376</v>
      </c>
      <c r="W15" s="71">
        <v>-792</v>
      </c>
      <c r="X15" s="78">
        <v>28</v>
      </c>
      <c r="Y15" s="106">
        <v>-2367</v>
      </c>
      <c r="Z15" s="78">
        <v>0</v>
      </c>
      <c r="AA15" s="78">
        <v>4243</v>
      </c>
      <c r="AB15" s="78" ph="1">
        <v>2373</v>
      </c>
      <c r="AC15" s="78" ph="1">
        <v>0</v>
      </c>
      <c r="AD15" s="78">
        <v>84.8</v>
      </c>
      <c r="AE15" s="78">
        <v>11.21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65" t="s" ph="1">
        <v>179</v>
      </c>
      <c r="D16" s="73" ph="1">
        <f>D15*7.0686*LOOKUP(D17,密度!$A$2:$A$50,密度!$L$2:$L$50)</f>
        <v>27323.100743400002</v>
      </c>
      <c r="E16" s="73" ph="1">
        <f>E15*7.0686*LOOKUP(E17,密度!$A$2:$A$50,密度!$L$2:$L$50)</f>
        <v>10525.626064800001</v>
      </c>
      <c r="F16" s="73" ph="1">
        <f>F15*9.0746*LOOKUP(F17,密度!$A$2:$A$50,密度!$L$2:$L$50)</f>
        <v>19680.6657944</v>
      </c>
      <c r="G16" s="73" ph="1">
        <f>G15*9.0746*LOOKUP(G17,密度!$A$2:$A$50,密度!$B$2:$B$50)</f>
        <v>12085.352638800001</v>
      </c>
      <c r="H16" s="73" ph="1">
        <f>H15*9.0746*LOOKUP(H17,密度!$A$2:$A$50,密度!$L$2:$L$50)</f>
        <v>0</v>
      </c>
      <c r="I16" s="73" ph="1">
        <f>I15*9.0746*LOOKUP(I17,密度!$A$2:$A$50,密度!$U$2:$U$50)</f>
        <v>1085.0862204</v>
      </c>
      <c r="J16" s="73" ph="1">
        <f>J15*9.0746*LOOKUP(J17,密度!$A$2:$A$50,密度!$L$2:$L$50)</f>
        <v>1507.0551204000001</v>
      </c>
      <c r="K16" s="73" ph="1">
        <f>K15*9.0746*LOOKUP(K17,密度!$A$2:$A$50,密度!$C$2:$C$50)</f>
        <v>12745.212177800002</v>
      </c>
      <c r="L16" s="73" ph="1">
        <f>L15*9.0746*LOOKUP(L17,密度!$A$2:$A$50,密度!$E$2:$E$50)</f>
        <v>5716.7103351799997</v>
      </c>
      <c r="M16" s="73" ph="1">
        <f>M15*9.0746*LOOKUP(M17,密度!$A$2:$A$50,密度!$M$2:$M$50)</f>
        <v>50182.12329078</v>
      </c>
      <c r="N16" s="73" ph="1">
        <f>N15*9.0746*LOOKUP(N17,密度!$A$2:$A$50,密度!$M$2:$M$50)</f>
        <v>55.391358400000001</v>
      </c>
      <c r="O16" s="73" ph="1">
        <f>O15*9.0746*LOOKUP(O17,密度!$A$2:$A$50,密度!$G$2:$G$50)</f>
        <v>16004.286708299998</v>
      </c>
      <c r="P16" s="73" ph="1">
        <f ca="1">P15*9.0746*LOOKUP(P17,密度!$A$2:$A$51,密度!$Q$2:$Q$50)</f>
        <v>26014.880608301999</v>
      </c>
      <c r="Q16" s="73" ph="1">
        <f>Q15*9.0746*LOOKUP(Q17,密度!$A$2:$A$50,密度!$Q$2:$Q$50)</f>
        <v>59909.115522932007</v>
      </c>
      <c r="R16" s="73" ph="1">
        <f>MAX(R15*9.0746*LOOKUP(R17,密度!$A$2:$A$50,密度!$B$2:$B$50),0)</f>
        <v>24807.927319440001</v>
      </c>
      <c r="S16" s="73" ph="1">
        <f>S15*9.0746*LOOKUP(S17,密度!$A$2:$A$50,密度!$Q$2:$Q$50)</f>
        <v>0</v>
      </c>
      <c r="T16" s="73" ph="1">
        <f>T15*9.0746*LOOKUP(T17,密度!$A$2:$A$50,密度!$O$2:$O$50)</f>
        <v>20251.421836000001</v>
      </c>
      <c r="U16" s="73" ph="1">
        <f>U15*9.0746*LOOKUP(U17,密度!$A$2:$A$50,密度!$H$2:$H$50)</f>
        <v>44088.853354000006</v>
      </c>
      <c r="V16" s="73" ph="1">
        <f>MAX(5600*LOOKUP(V17,密度!$A$2:$A$50,密度!$Q$2:$Q$50)+V15*9.0476*LOOKUP(V17,密度!$A$2:$A$50,密度!$Q$2:$Q$50),0)</f>
        <v>25522.756229439998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6087.4661120000001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29951.894275620005</v>
      </c>
      <c r="AB16" s="73" ph="1">
        <f>AB15*9.0746*LOOKUP(AB17,密度!$A$2:$A$50,密度!$L$2:$L$50)</f>
        <v>20048.178019800001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18983.309894399998</v>
      </c>
      <c r="AE16" s="73" ph="1">
        <f>AE15*268.68*LOOKUP(AE17,密度!$A$2:$A$50,密度!B2:B50)+IF(AE15&lt;=0,0,1566*LOOKUP(AE17,密度!$A$2:$A$50,密度!B2:B50))</f>
        <v>3568.93302288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29</v>
      </c>
      <c r="E17" s="74">
        <v>29</v>
      </c>
      <c r="F17" s="74">
        <v>30</v>
      </c>
      <c r="G17" s="74">
        <v>28</v>
      </c>
      <c r="H17" s="74">
        <v>25</v>
      </c>
      <c r="I17" s="74">
        <v>28</v>
      </c>
      <c r="J17" s="74">
        <v>29</v>
      </c>
      <c r="K17" s="74">
        <v>29</v>
      </c>
      <c r="L17" s="74">
        <v>29</v>
      </c>
      <c r="M17" s="74">
        <v>30</v>
      </c>
      <c r="N17" s="74">
        <v>28</v>
      </c>
      <c r="O17" s="74">
        <v>29</v>
      </c>
      <c r="P17" s="74">
        <v>30</v>
      </c>
      <c r="Q17" s="74">
        <v>29</v>
      </c>
      <c r="R17" s="74">
        <v>29</v>
      </c>
      <c r="S17" s="74">
        <v>29</v>
      </c>
      <c r="T17" s="74">
        <v>29</v>
      </c>
      <c r="U17" s="74">
        <v>30</v>
      </c>
      <c r="V17" s="74">
        <v>32</v>
      </c>
      <c r="W17" s="74">
        <v>27</v>
      </c>
      <c r="X17" s="74">
        <v>27</v>
      </c>
      <c r="Y17" s="108">
        <v>27</v>
      </c>
      <c r="Z17" s="74">
        <v>27</v>
      </c>
      <c r="AA17" s="74">
        <v>27</v>
      </c>
      <c r="AB17" s="74">
        <v>31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4150</v>
      </c>
      <c r="E18" s="71">
        <v>1599</v>
      </c>
      <c r="F18" s="71">
        <v>2406</v>
      </c>
      <c r="G18" s="71">
        <v>1747</v>
      </c>
      <c r="H18" s="71">
        <v>0</v>
      </c>
      <c r="I18" s="71">
        <v>117</v>
      </c>
      <c r="J18" s="71">
        <v>188</v>
      </c>
      <c r="K18" s="71">
        <v>1335</v>
      </c>
      <c r="L18" s="71">
        <v>812</v>
      </c>
      <c r="M18" s="71">
        <v>6371</v>
      </c>
      <c r="N18" s="71">
        <v>1516</v>
      </c>
      <c r="O18" s="71">
        <v>2306</v>
      </c>
      <c r="P18" s="71">
        <v>3042</v>
      </c>
      <c r="Q18" s="71">
        <v>5146</v>
      </c>
      <c r="R18" s="71">
        <v>3526</v>
      </c>
      <c r="S18" s="71">
        <v>0</v>
      </c>
      <c r="T18" s="71">
        <v>1539</v>
      </c>
      <c r="U18" s="71">
        <v>5343</v>
      </c>
      <c r="V18" s="71">
        <v>2376</v>
      </c>
      <c r="W18" s="71">
        <v>-792</v>
      </c>
      <c r="X18" s="71">
        <v>27</v>
      </c>
      <c r="Y18" s="109">
        <v>-9907</v>
      </c>
      <c r="Z18" s="71">
        <v>0</v>
      </c>
      <c r="AA18" s="71">
        <v>4247</v>
      </c>
      <c r="AB18" s="71">
        <v>2377</v>
      </c>
      <c r="AC18" s="71">
        <v>0</v>
      </c>
      <c r="AD18" s="71">
        <v>5.51</v>
      </c>
      <c r="AE18" s="71">
        <v>46.43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65" t="s" ph="1">
        <v>179</v>
      </c>
      <c r="D19" s="73" ph="1">
        <f>D18*7.0686*LOOKUP(D20,密度!$A$2:$A$50,密度!$L$2:$L$50)</f>
        <v>27310.596389999999</v>
      </c>
      <c r="E19" s="73" ph="1">
        <f>E18*7.0686*LOOKUP(E20,密度!$A$2:$A$50,密度!$L$2:$L$50)</f>
        <v>10522.8056934</v>
      </c>
      <c r="F19" s="73" ph="1">
        <f>F18*9.0746*LOOKUP(F20,密度!$A$2:$A$50,密度!$L$2:$L$50)</f>
        <v>20283.309980400001</v>
      </c>
      <c r="G19" s="73" ph="1">
        <f>G18*9.0746*LOOKUP(G20,密度!$A$2:$A$50,密度!$B$2:$B$50)</f>
        <v>12305.35179644</v>
      </c>
      <c r="H19" s="73" ph="1">
        <f>H18*9.0746*LOOKUP(H20,密度!$A$2:$A$50,密度!$L$2:$L$50)</f>
        <v>0</v>
      </c>
      <c r="I19" s="73" ph="1">
        <f>I18*9.0746*LOOKUP(I20,密度!$A$2:$A$50,密度!$U$2:$U$50)</f>
        <v>1077.6541229999998</v>
      </c>
      <c r="J19" s="73" ph="1">
        <f>J18*9.0746*LOOKUP(J20,密度!$A$2:$A$50,密度!$L$2:$L$50)</f>
        <v>1581.4849896000003</v>
      </c>
      <c r="K19" s="73" ph="1">
        <f>K18*9.0746*LOOKUP(K20,密度!$A$2:$A$50,密度!$C$2:$C$50)</f>
        <v>13350.279282000001</v>
      </c>
      <c r="L19" s="73" ph="1">
        <f>L18*9.0746*LOOKUP(L20,密度!$A$2:$A$50,密度!$E$2:$E$50)</f>
        <v>5679.6977641600006</v>
      </c>
      <c r="M19" s="73" ph="1">
        <f>M18*9.0746*LOOKUP(M20,密度!$A$2:$A$50,密度!$M$2:$M$50)</f>
        <v>50111.680528582008</v>
      </c>
      <c r="N19" s="73" ph="1">
        <f>N18*9.0746*LOOKUP(N20,密度!$A$2:$A$50,密度!$M$2:$M$50)</f>
        <v>11982.4285256</v>
      </c>
      <c r="O19" s="73" ph="1">
        <f>O18*9.0746*LOOKUP(O20,密度!$A$2:$A$50,密度!$G$2:$G$50)</f>
        <v>19957.361782396001</v>
      </c>
      <c r="P19" s="73" ph="1">
        <f ca="1">P18*9.0746*LOOKUP(P20,密度!$A$2:$A$51,密度!$Q$2:$Q$50)</f>
        <v>26040.561635555998</v>
      </c>
      <c r="Q19" s="73" ph="1">
        <f>Q18*9.0746*LOOKUP(Q20,密度!$A$2:$A$50,密度!$Q$2:$Q$50)</f>
        <v>44016.498664327999</v>
      </c>
      <c r="R19" s="73" ph="1">
        <f>MAX(R18*9.0746*LOOKUP(R20,密度!$A$2:$A$50,密度!$B$2:$B$50),0)</f>
        <v>24749.7101306</v>
      </c>
      <c r="S19" s="73" ph="1">
        <f>S18*9.0746*LOOKUP(S20,密度!$A$2:$A$50,密度!$Q$2:$Q$50)</f>
        <v>0</v>
      </c>
      <c r="T19" s="73" ph="1">
        <f>T18*9.0746*LOOKUP(T20,密度!$A$2:$A$50,密度!$O$2:$O$50)</f>
        <v>12887.64891432</v>
      </c>
      <c r="U19" s="73" ph="1">
        <f>U18*9.0746*LOOKUP(U20,密度!$A$2:$A$50,密度!$H$2:$H$50)</f>
        <v>44121.884898000004</v>
      </c>
      <c r="V19" s="73" ph="1">
        <f>MAX(5600*LOOKUP(V20,密度!$A$2:$A$50,密度!$Q$2:$Q$50)+V18*9.0476*LOOKUP(V20,密度!$A$2:$A$50,密度!$Q$2:$Q$50),0)</f>
        <v>25505.143115999999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6058.1860383200001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29914.613096440004</v>
      </c>
      <c r="AB19" s="73" ph="1">
        <f>AB18*9.0746*LOOKUP(AB20,密度!$A$2:$A$50,密度!$L$2:$L$50)</f>
        <v>20081.9718302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10909.711234800001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31</v>
      </c>
      <c r="E20" s="81">
        <v>31</v>
      </c>
      <c r="F20" s="81">
        <v>33</v>
      </c>
      <c r="G20" s="81">
        <v>29</v>
      </c>
      <c r="H20" s="81">
        <v>29</v>
      </c>
      <c r="I20" s="81">
        <v>35</v>
      </c>
      <c r="J20" s="81">
        <v>35</v>
      </c>
      <c r="K20" s="81">
        <v>33</v>
      </c>
      <c r="L20" s="81">
        <v>36</v>
      </c>
      <c r="M20" s="81">
        <v>33</v>
      </c>
      <c r="N20" s="81">
        <v>29</v>
      </c>
      <c r="O20" s="81">
        <v>31</v>
      </c>
      <c r="P20" s="81">
        <v>30</v>
      </c>
      <c r="Q20" s="81">
        <v>31</v>
      </c>
      <c r="R20" s="81">
        <v>32</v>
      </c>
      <c r="S20" s="81">
        <v>32</v>
      </c>
      <c r="T20" s="81">
        <v>31</v>
      </c>
      <c r="U20" s="81">
        <v>30</v>
      </c>
      <c r="V20" s="81">
        <v>33</v>
      </c>
      <c r="W20" s="81">
        <v>33</v>
      </c>
      <c r="X20" s="81">
        <v>30</v>
      </c>
      <c r="Y20" s="110">
        <v>30</v>
      </c>
      <c r="Z20" s="81">
        <v>34</v>
      </c>
      <c r="AA20" s="81">
        <v>29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646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65" t="s" ph="1">
        <v>178</v>
      </c>
      <c r="D24" s="71">
        <v>91.24</v>
      </c>
      <c r="E24" s="71">
        <v>95.98</v>
      </c>
      <c r="F24" s="71">
        <v>4004</v>
      </c>
      <c r="G24" s="71">
        <v>2370</v>
      </c>
      <c r="H24" s="71">
        <v>751</v>
      </c>
      <c r="I24" s="71">
        <v>4245</v>
      </c>
      <c r="J24" s="71">
        <v>3196</v>
      </c>
      <c r="K24" s="71">
        <v>0</v>
      </c>
      <c r="L24" s="71">
        <v>0</v>
      </c>
      <c r="M24" s="71">
        <v>5266</v>
      </c>
      <c r="N24" s="71">
        <v>5335</v>
      </c>
      <c r="O24" s="71">
        <v>2239</v>
      </c>
      <c r="P24" s="71">
        <v>399</v>
      </c>
      <c r="Q24" s="90">
        <v>2540</v>
      </c>
      <c r="R24" s="71">
        <v>2887</v>
      </c>
      <c r="S24" s="71">
        <v>1588</v>
      </c>
      <c r="T24" s="71">
        <v>1764</v>
      </c>
      <c r="U24" s="71">
        <v>5496</v>
      </c>
      <c r="V24" s="71">
        <v>9669</v>
      </c>
      <c r="W24" s="71">
        <v>10938</v>
      </c>
      <c r="X24" s="71">
        <v>3902</v>
      </c>
      <c r="Y24" s="71">
        <v>4564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24691.323055968001</v>
      </c>
      <c r="E25" s="91" ph="1">
        <f>E24*268.68*LOOKUP(E26,密度!$A$2:$A$50,密度!$C$2:$C$50)+IF(E24&lt;=0,0,1566*LOOKUP(E26,密度!$A$2:$A$50,密度!$C$2:$C$50))</f>
        <v>30332.746806960004</v>
      </c>
      <c r="F25" s="91" ph="1">
        <f>F24*11.702*LOOKUP(F26,密度!$A$2:$A$50,密度!$Q$2:$Q$50)</f>
        <v>44326.054012239998</v>
      </c>
      <c r="G25" s="91" ph="1">
        <f>G24*18.322*LOOKUP(G26,密度!$A$2:$A$50,密度!$B$2:$B$50)</f>
        <v>33778.860606000002</v>
      </c>
      <c r="H25" s="91" ph="1">
        <f>H24*18.322*LOOKUP(H26,密度!$A$2:$A$50,密度!$B$2:$B$50)</f>
        <v>10703.7655338</v>
      </c>
      <c r="I25" s="91" ph="1">
        <f>I24*18.322*LOOKUP(I26,密度!$A$2:$A$50,密度!$Q$2:$Q$50)</f>
        <v>73369.273643699999</v>
      </c>
      <c r="J25" s="91" ph="1">
        <f>J24*18.322*LOOKUP(J26,密度!$A$2:$A$50,密度!$Q$2:$Q$50)</f>
        <v>55314.219137439999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91140.38735224001</v>
      </c>
      <c r="N25" s="91" ph="1">
        <f>N24*18.322*LOOKUP(N26,密度!$A$2:$A$50,密度!$Q$2:$Q$50)</f>
        <v>92403.016468400005</v>
      </c>
      <c r="O25" s="91" ph="1">
        <f>O24*18.322*LOOKUP(O26,密度!$A$2:$A$50,密度!$C$2:$C$50)</f>
        <v>45396.005322800003</v>
      </c>
      <c r="P25" s="91" ph="1">
        <f>P24*11.702*LOOKUP(P26,密度!$A$2:$A$50,密度!$B$2:$B$50)</f>
        <v>3624.1538676</v>
      </c>
      <c r="Q25" s="92" ph="1">
        <f>Q24*18.322*LOOKUP(Q26,密度!$A$2:$A$50,密度!$B$2:$B$50)</f>
        <v>36201.816851999996</v>
      </c>
      <c r="R25" s="91" ph="1">
        <f>R24*35.891*LOOKUP(R26,密度!$A$2:$A$50,密度!$C$2:$C$50)</f>
        <v>114745.81684579999</v>
      </c>
      <c r="S25" s="91" ph="1">
        <f>S24*35.891*LOOKUP(S26,密度!$A$2:$A$50,密度!$B$2:$B$50)</f>
        <v>44239.4475896</v>
      </c>
      <c r="T25" s="91" ph="1">
        <f>T24*35.891*LOOKUP(T26,密度!$A$2:$A$50,密度!$Q$2:$Q$50)</f>
        <v>59761.83563532</v>
      </c>
      <c r="U25" s="91" ph="1">
        <f>U24*35.891</f>
        <v>197256.93599999999</v>
      </c>
      <c r="V25" s="91" ph="1">
        <f>V24*47.051*LOOKUP(V26,密度!$A$2:$A$50,密度!$B$2:$B$50)</f>
        <v>353121.4155678</v>
      </c>
      <c r="W25" s="91" ph="1">
        <f>W24*47.051*LOOKUP(W26,密度!$A$2:$A$50,密度!$B$2:$B$50)</f>
        <v>399878.26212600007</v>
      </c>
      <c r="X25" s="91" ph="1">
        <f>X24*47.051*LOOKUP(X26,密度!$A$2:$A$50,密度!$I$2:$I$50)</f>
        <v>190734.76977779999</v>
      </c>
      <c r="Y25" s="91" ph="1">
        <f>Y24*47.051*LOOKUP(Y26,密度!$A$2:$A$50,密度!$L$2:$L$50)</f>
        <v>200353.132812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26</v>
      </c>
      <c r="G26" s="74">
        <v>27</v>
      </c>
      <c r="H26" s="74">
        <v>27</v>
      </c>
      <c r="I26" s="74">
        <v>30</v>
      </c>
      <c r="J26" s="74">
        <v>28</v>
      </c>
      <c r="K26" s="74">
        <v>30</v>
      </c>
      <c r="L26" s="74">
        <v>29</v>
      </c>
      <c r="M26" s="74">
        <v>28</v>
      </c>
      <c r="N26" s="74">
        <v>27</v>
      </c>
      <c r="O26" s="74">
        <v>28</v>
      </c>
      <c r="P26" s="74">
        <v>29</v>
      </c>
      <c r="Q26" s="93">
        <v>27</v>
      </c>
      <c r="R26" s="74">
        <v>27</v>
      </c>
      <c r="S26" s="74">
        <v>29</v>
      </c>
      <c r="T26" s="74">
        <v>29</v>
      </c>
      <c r="U26" s="74">
        <v>28</v>
      </c>
      <c r="V26" s="74">
        <v>29</v>
      </c>
      <c r="W26" s="74">
        <v>28</v>
      </c>
      <c r="X26" s="74">
        <v>28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65" t="s" ph="1">
        <v>181</v>
      </c>
      <c r="D27" s="71">
        <v>91.3</v>
      </c>
      <c r="E27" s="71">
        <v>95.88</v>
      </c>
      <c r="F27" s="71">
        <v>4007</v>
      </c>
      <c r="G27" s="71">
        <v>1853</v>
      </c>
      <c r="H27" s="71">
        <v>1509</v>
      </c>
      <c r="I27" s="71">
        <v>4247</v>
      </c>
      <c r="J27" s="71">
        <v>3197</v>
      </c>
      <c r="K27" s="71">
        <v>21</v>
      </c>
      <c r="L27" s="71">
        <v>0</v>
      </c>
      <c r="M27" s="71">
        <v>5269</v>
      </c>
      <c r="N27" s="71">
        <v>5336</v>
      </c>
      <c r="O27" s="71">
        <v>2237</v>
      </c>
      <c r="P27" s="71">
        <v>399</v>
      </c>
      <c r="Q27" s="90">
        <v>1866</v>
      </c>
      <c r="R27" s="71">
        <v>2880</v>
      </c>
      <c r="S27" s="71">
        <v>1586</v>
      </c>
      <c r="T27" s="71">
        <v>1764</v>
      </c>
      <c r="U27" s="71">
        <v>5427</v>
      </c>
      <c r="V27" s="71">
        <v>9672</v>
      </c>
      <c r="W27" s="71">
        <v>10943</v>
      </c>
      <c r="X27" s="71">
        <v>3446</v>
      </c>
      <c r="Y27" s="71">
        <v>3507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65" t="s" ph="1">
        <v>179</v>
      </c>
      <c r="D28" s="91" ph="1">
        <f>D27*268.68*LOOKUP(D29,密度!$A$2:$A$50,密度!$Q$2:$Q$50)+IF(D27&lt;=0,0,1566*LOOKUP(D29,密度!$A$2:$A$50,密度!$Q$2:$Q$50))</f>
        <v>24706.585262160002</v>
      </c>
      <c r="E28" s="91" ph="1">
        <f>E27*268.68*LOOKUP(E29,密度!$A$2:$A$50,密度!$C$2:$C$50)+IF(E27&lt;=0,0,1566*LOOKUP(E29,密度!$A$2:$A$50,密度!$C$2:$C$50))</f>
        <v>30302.952881759997</v>
      </c>
      <c r="F28" s="91" ph="1">
        <f>F27*11.702*LOOKUP(F29,密度!$A$2:$A$50,密度!$Q$2:$Q$50)</f>
        <v>44293.150562679999</v>
      </c>
      <c r="G28" s="91" ph="1">
        <f>G27*18.322*LOOKUP(G29,密度!$A$2:$A$50,密度!$B$2:$B$50)</f>
        <v>26437.383614199996</v>
      </c>
      <c r="H28" s="91" ph="1">
        <f>H27*18.322*LOOKUP(H29,密度!$A$2:$A$50,密度!$B$2:$B$50)</f>
        <v>21554.301280799998</v>
      </c>
      <c r="I28" s="91" ph="1">
        <f>I27*18.322*LOOKUP(I29,密度!$A$2:$A$50,密度!$Q$2:$Q$50)</f>
        <v>73725.989058980005</v>
      </c>
      <c r="J28" s="91" ph="1">
        <f>J27*18.322*LOOKUP(J29,密度!$A$2:$A$50,密度!$Q$2:$Q$50)</f>
        <v>55455.706385159996</v>
      </c>
      <c r="K28" s="91" ph="1">
        <f>K27*18.322*LOOKUP(K29,密度!$A$2:$A$50,密度!$Q$2:$Q$50)</f>
        <v>363.99639486000001</v>
      </c>
      <c r="L28" s="91" ph="1">
        <f>L27*18.322*LOOKUP(L29,密度!$A$2:$A$50,密度!$Q$2:$Q$50)</f>
        <v>0</v>
      </c>
      <c r="M28" s="91" ph="1">
        <f>M27*18.322*LOOKUP(M29,密度!$A$2:$A$50,密度!$Q$2:$Q$50)</f>
        <v>91396.971205320006</v>
      </c>
      <c r="N28" s="91" ph="1">
        <f>N27*18.322*LOOKUP(N29,密度!$A$2:$A$50,密度!$Q$2:$Q$50)</f>
        <v>92559.16461408</v>
      </c>
      <c r="O28" s="91" ph="1">
        <f>O27*18.322*LOOKUP(O29,密度!$A$2:$A$50,密度!$C$2:$C$50)</f>
        <v>45416.934543399999</v>
      </c>
      <c r="P28" s="91" ph="1">
        <f>P27*11.702*LOOKUP(P29,密度!$A$2:$A$50,密度!$B$2:$B$50)</f>
        <v>3644.2309889999997</v>
      </c>
      <c r="Q28" s="92" ph="1">
        <f>Q27*18.322*LOOKUP(Q29,密度!$A$2:$A$50,密度!$B$2:$B$50)</f>
        <v>26684.398985999997</v>
      </c>
      <c r="R28" s="91" ph="1">
        <f>R27*35.891*LOOKUP(R29,密度!$A$2:$A$50,密度!$C$2:$C$50)</f>
        <v>114622.646112</v>
      </c>
      <c r="S28" s="91" ph="1">
        <f>S27*35.891*LOOKUP(S29,密度!$A$2:$A$50,密度!$B$2:$B$50)</f>
        <v>44428.499842999998</v>
      </c>
      <c r="T28" s="91" ph="1">
        <f>T27*35.891*LOOKUP(T29,密度!$A$2:$A$50,密度!$Q$2:$Q$50)</f>
        <v>59894.79025572</v>
      </c>
      <c r="U28" s="91" ph="1">
        <f>U27*35.891</f>
        <v>194780.45699999999</v>
      </c>
      <c r="V28" s="91" ph="1">
        <f>V27*47.051*LOOKUP(V29,密度!$A$2:$A$50,密度!$B$2:$B$50)</f>
        <v>354778.24125119997</v>
      </c>
      <c r="W28" s="91" ph="1">
        <f>W27*47.051*LOOKUP(W29,密度!$A$2:$A$50,密度!$B$2:$B$50)</f>
        <v>401399.7409028</v>
      </c>
      <c r="X28" s="91" ph="1">
        <f>X27*47.051*LOOKUP(X29,密度!$A$2:$A$50,密度!$I$2:$I$50)</f>
        <v>168444.9043194</v>
      </c>
      <c r="Y28" s="91" ph="1">
        <f>Y27*47.051*LOOKUP(Y29,密度!$A$2:$A$50,密度!$L$2:$L$50)</f>
        <v>154282.34629500002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65" t="s" ph="1">
        <v>180</v>
      </c>
      <c r="D29" s="74">
        <v>25</v>
      </c>
      <c r="E29" s="74">
        <v>25</v>
      </c>
      <c r="F29" s="74">
        <v>28</v>
      </c>
      <c r="G29" s="74">
        <v>26</v>
      </c>
      <c r="H29" s="74">
        <v>25</v>
      </c>
      <c r="I29" s="74">
        <v>24</v>
      </c>
      <c r="J29" s="74">
        <v>25</v>
      </c>
      <c r="K29" s="74">
        <v>26</v>
      </c>
      <c r="L29" s="74">
        <v>26</v>
      </c>
      <c r="M29" s="74">
        <v>25</v>
      </c>
      <c r="N29" s="74">
        <v>25</v>
      </c>
      <c r="O29" s="74">
        <v>26</v>
      </c>
      <c r="P29" s="74">
        <v>24</v>
      </c>
      <c r="Q29" s="93">
        <v>24</v>
      </c>
      <c r="R29" s="74">
        <v>25</v>
      </c>
      <c r="S29" s="74">
        <v>24</v>
      </c>
      <c r="T29" s="74">
        <v>26</v>
      </c>
      <c r="U29" s="74">
        <v>26</v>
      </c>
      <c r="V29" s="74">
        <v>25</v>
      </c>
      <c r="W29" s="74">
        <v>25</v>
      </c>
      <c r="X29" s="74">
        <v>28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65" t="s" ph="1">
        <v>5</v>
      </c>
      <c r="F32" s="166" t="s" ph="1">
        <v>43</v>
      </c>
      <c r="G32" s="97" t="s" ph="1">
        <v>4</v>
      </c>
      <c r="H32" s="165" t="s" ph="1">
        <v>5</v>
      </c>
      <c r="I32" s="166" t="s" ph="1">
        <v>43</v>
      </c>
      <c r="J32" s="97" t="s" ph="1">
        <v>4</v>
      </c>
      <c r="K32" s="165" t="s" ph="1">
        <v>5</v>
      </c>
      <c r="L32" s="166" t="s" ph="1">
        <v>43</v>
      </c>
      <c r="M32" s="97" t="s" ph="1">
        <v>4</v>
      </c>
      <c r="N32" s="165" t="s" ph="1">
        <v>5</v>
      </c>
      <c r="O32" s="16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5" t="s" ph="1">
        <v>5</v>
      </c>
      <c r="U32" s="99" t="s" ph="1">
        <v>43</v>
      </c>
      <c r="V32" s="97" t="s" ph="1">
        <v>4</v>
      </c>
      <c r="W32" s="165" t="s" ph="1">
        <v>5</v>
      </c>
      <c r="X32" s="99" t="s" ph="1">
        <v>43</v>
      </c>
      <c r="Y32" s="100" t="s" ph="1">
        <v>4</v>
      </c>
      <c r="Z32" s="165" t="s" ph="1">
        <v>5</v>
      </c>
      <c r="AA32" s="166" t="s" ph="1">
        <v>43</v>
      </c>
      <c r="AB32" s="97" t="s" ph="1">
        <v>85</v>
      </c>
      <c r="AC32" s="165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221946.44993760003</v>
      </c>
      <c r="E33" s="218" ph="1">
        <f>M10+I10</f>
        <v>20325.1317012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22" ph="1">
        <v>0</v>
      </c>
      <c r="H33" s="218" ph="1">
        <f>N19</f>
        <v>11982.4285256</v>
      </c>
      <c r="I33" s="231" ph="1">
        <v>0</v>
      </c>
      <c r="J33" s="229" ph="1">
        <f>F10+O28</f>
        <v>197530.06298739999</v>
      </c>
      <c r="K33" s="218" ph="1">
        <f>O10+K10+E28+R28</f>
        <v>222948.88913616</v>
      </c>
      <c r="L33" s="233" ph="1">
        <f>BE27</f>
        <v>7100</v>
      </c>
      <c r="M33" s="229" ph="1">
        <f>G10+H10+W28+S28+V28+E10</f>
        <v>1366075.8941830001</v>
      </c>
      <c r="N33" s="218" ph="1">
        <f>L10+P10++G28+H28</f>
        <v>134474.00304099999</v>
      </c>
      <c r="O33" s="231" ph="1">
        <f>BE17</f>
        <v>2270</v>
      </c>
      <c r="P33" s="229" ph="1">
        <f>L19</f>
        <v>5679.6977641600006</v>
      </c>
      <c r="Q33" s="218" ph="1">
        <f>J10+N10</f>
        <v>131865.75465376</v>
      </c>
      <c r="R33" s="231" ph="1">
        <f>BE23</f>
        <v>890</v>
      </c>
      <c r="S33" s="229" ph="1">
        <f>E10+X28</f>
        <v>356375.39145539998</v>
      </c>
      <c r="T33" s="218" ph="1">
        <f>X19</f>
        <v>6058.1860383200001</v>
      </c>
      <c r="U33" s="239" ph="1">
        <f>BE21</f>
        <v>730</v>
      </c>
      <c r="V33" s="250" ph="1">
        <f ca="1">P19+Q19+S19+M28+N28+J28</f>
        <v>309468.90250444401</v>
      </c>
      <c r="W33" s="250" ph="1">
        <f>D28+F28+V19+T28</f>
        <v>154399.66919655999</v>
      </c>
      <c r="X33" s="231" ph="1">
        <f>BE29+BE31</f>
        <v>10200</v>
      </c>
      <c r="Y33" s="252" ph="1">
        <f>+Q10+R10+S10+T10+U10+V10+W10+X10+Y10</f>
        <v>188684.1684882</v>
      </c>
      <c r="Z33" s="237" ph="1">
        <f>D10+T19+U19+Y28+Z10</f>
        <v>462669.15738356998</v>
      </c>
      <c r="AA33" s="239" ph="1">
        <f>BE19</f>
        <v>1440</v>
      </c>
      <c r="AB33" s="241" ph="1">
        <f>I19</f>
        <v>1077.6541229999998</v>
      </c>
      <c r="AC33" s="243" ph="1">
        <f>AD10</f>
        <v>106181.73699840001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7" t="s" ph="1">
        <v>186</v>
      </c>
      <c r="AA36" s="167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345</v>
      </c>
      <c r="AI37" s="167" t="s" ph="1">
        <v>212</v>
      </c>
      <c r="AJ37" s="167" t="s" ph="1">
        <v>213</v>
      </c>
      <c r="AK37" s="167" t="s" ph="1">
        <v>214</v>
      </c>
      <c r="AM37" s="167" t="s" ph="1">
        <v>213</v>
      </c>
      <c r="AN37" s="167" t="s" ph="1">
        <v>214</v>
      </c>
      <c r="AO37" s="167" t="s" ph="1">
        <v>215</v>
      </c>
      <c r="AP37" s="167" t="s" ph="1">
        <v>213</v>
      </c>
      <c r="AQ37" s="167" t="s" ph="1">
        <v>214</v>
      </c>
      <c r="AR37" s="167" t="s" ph="1">
        <v>215</v>
      </c>
      <c r="AS37" s="167" t="s" ph="1">
        <v>213</v>
      </c>
      <c r="AT37" s="167" t="s" ph="1">
        <v>214</v>
      </c>
      <c r="AU37" s="167" t="s" ph="1">
        <v>215</v>
      </c>
      <c r="AV37" s="167" t="s" ph="1">
        <v>213</v>
      </c>
      <c r="AW37" s="167" t="s" ph="1">
        <v>214</v>
      </c>
      <c r="AX37" s="167" t="s" ph="1">
        <v>215</v>
      </c>
      <c r="AY37" s="167" t="s" ph="1">
        <v>214</v>
      </c>
      <c r="AZ37" s="167" t="s" ph="1">
        <v>216</v>
      </c>
      <c r="BD37" s="167" t="s" ph="1">
        <v>308</v>
      </c>
      <c r="BE37" s="167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55" priority="96">
      <formula>ABS(D$7-D$10)&gt;=1000</formula>
    </cfRule>
  </conditionalFormatting>
  <conditionalFormatting sqref="E4 E6:E11">
    <cfRule type="expression" dxfId="754" priority="95">
      <formula>ABS(E$7-E$10)&gt;=1000</formula>
    </cfRule>
  </conditionalFormatting>
  <conditionalFormatting sqref="F4:F11">
    <cfRule type="expression" dxfId="753" priority="94">
      <formula>ABS(F$7-F$10)&gt;=1000</formula>
    </cfRule>
  </conditionalFormatting>
  <conditionalFormatting sqref="G4:G11">
    <cfRule type="expression" dxfId="752" priority="93">
      <formula>ABS(G$7-G$10)&gt;=1000</formula>
    </cfRule>
  </conditionalFormatting>
  <conditionalFormatting sqref="H4:H11">
    <cfRule type="expression" dxfId="751" priority="92">
      <formula>ABS(H$7-H$10)&gt;=1000</formula>
    </cfRule>
  </conditionalFormatting>
  <conditionalFormatting sqref="I4:I11">
    <cfRule type="expression" dxfId="750" priority="91">
      <formula>ABS(I$7-I$10)&gt;=1000</formula>
    </cfRule>
  </conditionalFormatting>
  <conditionalFormatting sqref="J4:J11">
    <cfRule type="expression" dxfId="749" priority="90">
      <formula>ABS(J$7-J$10)&gt;=1000</formula>
    </cfRule>
  </conditionalFormatting>
  <conditionalFormatting sqref="K4:K11">
    <cfRule type="expression" dxfId="748" priority="89">
      <formula>ABS(K$7-K$10)&gt;=1000</formula>
    </cfRule>
  </conditionalFormatting>
  <conditionalFormatting sqref="L4:L11">
    <cfRule type="expression" dxfId="747" priority="88">
      <formula>ABS(L$7-L$10)&gt;=1000</formula>
    </cfRule>
  </conditionalFormatting>
  <conditionalFormatting sqref="M4 M6:M11">
    <cfRule type="expression" dxfId="746" priority="87">
      <formula>ABS(M$7-M$10)&gt;=1000</formula>
    </cfRule>
  </conditionalFormatting>
  <conditionalFormatting sqref="N4 N6:N11">
    <cfRule type="expression" dxfId="745" priority="86">
      <formula>ABS(N$7-N$10)&gt;=1000</formula>
    </cfRule>
  </conditionalFormatting>
  <conditionalFormatting sqref="O4 O6:O11">
    <cfRule type="expression" dxfId="744" priority="85">
      <formula>ABS(O$7-O$10)&gt;=1000</formula>
    </cfRule>
  </conditionalFormatting>
  <conditionalFormatting sqref="P4 P6:P11">
    <cfRule type="expression" dxfId="743" priority="84">
      <formula>ABS(P$7-P$10)&gt;=1000</formula>
    </cfRule>
  </conditionalFormatting>
  <conditionalFormatting sqref="Q4:Q11">
    <cfRule type="expression" dxfId="742" priority="83">
      <formula>ABS(Q$7-Q$10)&gt;=1000</formula>
    </cfRule>
  </conditionalFormatting>
  <conditionalFormatting sqref="R4:R11">
    <cfRule type="expression" dxfId="741" priority="82">
      <formula>ABS(R$7-R$10)&gt;=1000</formula>
    </cfRule>
  </conditionalFormatting>
  <conditionalFormatting sqref="S4:S11">
    <cfRule type="expression" dxfId="740" priority="81">
      <formula>ABS(S$7-S$10)&gt;=1000</formula>
    </cfRule>
  </conditionalFormatting>
  <conditionalFormatting sqref="T4:T9 T11">
    <cfRule type="expression" dxfId="739" priority="80">
      <formula>ABS(T$7-T$10)&gt;=1000</formula>
    </cfRule>
  </conditionalFormatting>
  <conditionalFormatting sqref="U4:U9 U11">
    <cfRule type="expression" dxfId="738" priority="79">
      <formula>ABS(U$7-U$10)&gt;=1000</formula>
    </cfRule>
  </conditionalFormatting>
  <conditionalFormatting sqref="V4:V9 V11">
    <cfRule type="expression" dxfId="737" priority="78">
      <formula>ABS(V$7-V$10)&gt;=1000</formula>
    </cfRule>
  </conditionalFormatting>
  <conditionalFormatting sqref="W4:W9 W11">
    <cfRule type="expression" dxfId="736" priority="77">
      <formula>ABS(W$7-W$10)&gt;=1000</formula>
    </cfRule>
  </conditionalFormatting>
  <conditionalFormatting sqref="X4:X9 X11">
    <cfRule type="expression" dxfId="735" priority="76">
      <formula>ABS(X$7-X$10)&gt;=1000</formula>
    </cfRule>
  </conditionalFormatting>
  <conditionalFormatting sqref="Y4:Y9 Y11">
    <cfRule type="expression" dxfId="734" priority="75">
      <formula>ABS(Y$7-Y$10)&gt;=1000</formula>
    </cfRule>
  </conditionalFormatting>
  <conditionalFormatting sqref="Z4:Z11">
    <cfRule type="expression" dxfId="733" priority="74">
      <formula>ABS(Z$7-Z$10)&gt;=1000</formula>
    </cfRule>
  </conditionalFormatting>
  <conditionalFormatting sqref="AA4:AA11">
    <cfRule type="expression" dxfId="732" priority="73">
      <formula>ABS(AA$7-AA$10)&gt;=1000</formula>
    </cfRule>
  </conditionalFormatting>
  <conditionalFormatting sqref="AB4:AB11">
    <cfRule type="expression" dxfId="731" priority="72">
      <formula>ABS(AB$7-AB$10)&gt;=1000</formula>
    </cfRule>
  </conditionalFormatting>
  <conditionalFormatting sqref="AC4 AC6:AC11">
    <cfRule type="expression" dxfId="730" priority="71">
      <formula>ABS(AC$7-AC$10)&gt;=1000</formula>
    </cfRule>
  </conditionalFormatting>
  <conditionalFormatting sqref="AD4:AD11">
    <cfRule type="expression" dxfId="729" priority="70">
      <formula>ABS(AD$7-AD$10)&gt;=1000</formula>
    </cfRule>
  </conditionalFormatting>
  <conditionalFormatting sqref="AE4:AE11">
    <cfRule type="expression" dxfId="728" priority="69">
      <formula>ABS(AE$7-AE$10)&gt;=1000</formula>
    </cfRule>
  </conditionalFormatting>
  <conditionalFormatting sqref="D13:D20">
    <cfRule type="expression" dxfId="727" priority="68">
      <formula>ABS(D$16-D$19)&gt;=1000</formula>
    </cfRule>
  </conditionalFormatting>
  <conditionalFormatting sqref="E13:E20">
    <cfRule type="expression" dxfId="726" priority="67">
      <formula>ABS(E$16-E$19)&gt;=1000</formula>
    </cfRule>
  </conditionalFormatting>
  <conditionalFormatting sqref="F13 F15:F20">
    <cfRule type="expression" dxfId="725" priority="66">
      <formula>ABS(F$16-F$19)&gt;=1000</formula>
    </cfRule>
  </conditionalFormatting>
  <conditionalFormatting sqref="G13:G20">
    <cfRule type="expression" dxfId="724" priority="65">
      <formula>ABS(G$16-G$19)&gt;=1000</formula>
    </cfRule>
  </conditionalFormatting>
  <conditionalFormatting sqref="H13:H20">
    <cfRule type="expression" dxfId="723" priority="64">
      <formula>ABS(H$16-H$19)&gt;=1000</formula>
    </cfRule>
  </conditionalFormatting>
  <conditionalFormatting sqref="I13:I20">
    <cfRule type="expression" dxfId="722" priority="63">
      <formula>ABS(I$16-I$19)&gt;=1000</formula>
    </cfRule>
  </conditionalFormatting>
  <conditionalFormatting sqref="J13:J20">
    <cfRule type="expression" dxfId="721" priority="62">
      <formula>ABS(J$16-J$19)&gt;=1000</formula>
    </cfRule>
  </conditionalFormatting>
  <conditionalFormatting sqref="L13:L20">
    <cfRule type="expression" dxfId="720" priority="61">
      <formula>ABS(L$16-L$19)&gt;=1000</formula>
    </cfRule>
  </conditionalFormatting>
  <conditionalFormatting sqref="M13 M15 M17:M18 M20">
    <cfRule type="expression" dxfId="719" priority="60">
      <formula>ABS(M$16-M$19)&gt;=1000</formula>
    </cfRule>
  </conditionalFormatting>
  <conditionalFormatting sqref="N13:N20">
    <cfRule type="expression" dxfId="718" priority="59">
      <formula>ABS(N$16-N$19)&gt;=1000</formula>
    </cfRule>
  </conditionalFormatting>
  <conditionalFormatting sqref="O13:O20">
    <cfRule type="expression" dxfId="717" priority="58">
      <formula>ABS(O$16-O$19)&gt;=1000</formula>
    </cfRule>
  </conditionalFormatting>
  <conditionalFormatting sqref="P13:P20">
    <cfRule type="expression" dxfId="716" priority="57">
      <formula>ABS(P$16-P$19)&gt;=1000</formula>
    </cfRule>
  </conditionalFormatting>
  <conditionalFormatting sqref="Q13 Q15:Q20">
    <cfRule type="expression" dxfId="715" priority="56">
      <formula>ABS(Q$16-Q$19)&gt;=1000</formula>
    </cfRule>
  </conditionalFormatting>
  <conditionalFormatting sqref="R13:R20">
    <cfRule type="expression" dxfId="714" priority="55">
      <formula>ABS(R$16-R$19)&gt;=1000</formula>
    </cfRule>
  </conditionalFormatting>
  <conditionalFormatting sqref="S13:S20">
    <cfRule type="expression" dxfId="713" priority="54">
      <formula>ABS(S$16-S$19)&gt;=1000</formula>
    </cfRule>
  </conditionalFormatting>
  <conditionalFormatting sqref="T13:T20">
    <cfRule type="expression" dxfId="712" priority="53">
      <formula>ABS(T$16-T$19)&gt;=1000</formula>
    </cfRule>
  </conditionalFormatting>
  <conditionalFormatting sqref="U13:U20">
    <cfRule type="expression" dxfId="711" priority="52">
      <formula>ABS(U$16-U$19)&gt;=1000</formula>
    </cfRule>
  </conditionalFormatting>
  <conditionalFormatting sqref="V13:V20">
    <cfRule type="expression" dxfId="710" priority="51">
      <formula>ABS(V$16-V$19)&gt;=1000</formula>
    </cfRule>
  </conditionalFormatting>
  <conditionalFormatting sqref="W13 W20 W15:W18">
    <cfRule type="expression" dxfId="709" priority="50">
      <formula>ABS(W$16-W$19)&gt;=1000</formula>
    </cfRule>
  </conditionalFormatting>
  <conditionalFormatting sqref="X13 X15:X20 Y19">
    <cfRule type="expression" dxfId="708" priority="49">
      <formula>ABS(X$16-X$19)&gt;=1000</formula>
    </cfRule>
  </conditionalFormatting>
  <conditionalFormatting sqref="Y13 Y15:Y18 Y20">
    <cfRule type="expression" dxfId="707" priority="48">
      <formula>ABS(Y$16-Y$19)&gt;=1000</formula>
    </cfRule>
  </conditionalFormatting>
  <conditionalFormatting sqref="Z13:Z20">
    <cfRule type="expression" dxfId="706" priority="47">
      <formula>ABS(Z$16-Z$19)&gt;=1000</formula>
    </cfRule>
  </conditionalFormatting>
  <conditionalFormatting sqref="AA13:AA20">
    <cfRule type="expression" dxfId="705" priority="46">
      <formula>ABS(AA$16-AA$19)&gt;=1000</formula>
    </cfRule>
  </conditionalFormatting>
  <conditionalFormatting sqref="AB13 AB15:AB20">
    <cfRule type="expression" dxfId="704" priority="45">
      <formula>ABS(AB$16-AB$19)&gt;=1000</formula>
    </cfRule>
  </conditionalFormatting>
  <conditionalFormatting sqref="AC13 AC15:AC20">
    <cfRule type="expression" dxfId="703" priority="44">
      <formula>ABS(AC$16-AC$19)&gt;=1000</formula>
    </cfRule>
  </conditionalFormatting>
  <conditionalFormatting sqref="AD13:AD20">
    <cfRule type="expression" dxfId="702" priority="43">
      <formula>ABS(AD$16-AD$19)&gt;=1000</formula>
    </cfRule>
  </conditionalFormatting>
  <conditionalFormatting sqref="AE13:AE20">
    <cfRule type="expression" dxfId="701" priority="42">
      <formula>ABS(AE$16-AE$19)&gt;=1000</formula>
    </cfRule>
  </conditionalFormatting>
  <conditionalFormatting sqref="D22:D29">
    <cfRule type="expression" dxfId="700" priority="41">
      <formula>ABS(D$25-D$28)&gt;=1000</formula>
    </cfRule>
  </conditionalFormatting>
  <conditionalFormatting sqref="E22:E29">
    <cfRule type="expression" dxfId="699" priority="40">
      <formula>ABS(E$25-E$28)&gt;=1000</formula>
    </cfRule>
  </conditionalFormatting>
  <conditionalFormatting sqref="F22:F29">
    <cfRule type="expression" dxfId="698" priority="39">
      <formula>ABS(F$25-F$28)&gt;=1000</formula>
    </cfRule>
  </conditionalFormatting>
  <conditionalFormatting sqref="G22:G29">
    <cfRule type="expression" dxfId="697" priority="38">
      <formula>ABS(G$25-G$28)&gt;=1000</formula>
    </cfRule>
  </conditionalFormatting>
  <conditionalFormatting sqref="H22:H29">
    <cfRule type="expression" dxfId="696" priority="37">
      <formula>ABS(H$25-H$28)&gt;=1000</formula>
    </cfRule>
  </conditionalFormatting>
  <conditionalFormatting sqref="I22 I24:I29">
    <cfRule type="expression" dxfId="695" priority="36">
      <formula>ABS(I$25-I$28)&gt;=1000</formula>
    </cfRule>
  </conditionalFormatting>
  <conditionalFormatting sqref="J22:J29 K22">
    <cfRule type="expression" dxfId="694" priority="35">
      <formula>ABS(J$25-J$28)&gt;=1000</formula>
    </cfRule>
  </conditionalFormatting>
  <conditionalFormatting sqref="K23:K29 L25 L28">
    <cfRule type="expression" dxfId="693" priority="34">
      <formula>ABS(K$25-K$28)&gt;=1000</formula>
    </cfRule>
  </conditionalFormatting>
  <conditionalFormatting sqref="L22:L24 L26:L27 L29">
    <cfRule type="expression" dxfId="692" priority="33">
      <formula>ABS(L$25-L$28)&gt;=1000</formula>
    </cfRule>
  </conditionalFormatting>
  <conditionalFormatting sqref="M22:M29">
    <cfRule type="expression" dxfId="691" priority="32">
      <formula>ABS(M$25-M$28)&gt;=1000</formula>
    </cfRule>
  </conditionalFormatting>
  <conditionalFormatting sqref="N22:N29">
    <cfRule type="expression" dxfId="690" priority="31">
      <formula>ABS(N$25-N$28)&gt;=1000</formula>
    </cfRule>
  </conditionalFormatting>
  <conditionalFormatting sqref="O22:O29">
    <cfRule type="expression" dxfId="689" priority="30">
      <formula>ABS(O$25-O$28)&gt;=1000</formula>
    </cfRule>
  </conditionalFormatting>
  <conditionalFormatting sqref="P22:P29">
    <cfRule type="expression" dxfId="688" priority="29">
      <formula>ABS(P$25-P$28)&gt;=1000</formula>
    </cfRule>
  </conditionalFormatting>
  <conditionalFormatting sqref="Q22:Q29">
    <cfRule type="expression" dxfId="687" priority="28">
      <formula>ABS(Q$25-Q$28)&gt;=1000</formula>
    </cfRule>
  </conditionalFormatting>
  <conditionalFormatting sqref="R22:R29">
    <cfRule type="expression" dxfId="686" priority="27">
      <formula>ABS(R$25-R$28)&gt;=1000</formula>
    </cfRule>
  </conditionalFormatting>
  <conditionalFormatting sqref="S22:S29">
    <cfRule type="expression" dxfId="685" priority="26">
      <formula>ABS(S$25-S$28)&gt;=1000</formula>
    </cfRule>
  </conditionalFormatting>
  <conditionalFormatting sqref="T22:T29">
    <cfRule type="expression" dxfId="684" priority="25">
      <formula>ABS(T$25-T$28)&gt;=1000</formula>
    </cfRule>
  </conditionalFormatting>
  <conditionalFormatting sqref="U22:U29">
    <cfRule type="expression" dxfId="683" priority="24">
      <formula>ABS(U$25-U$28)&gt;=1000</formula>
    </cfRule>
  </conditionalFormatting>
  <conditionalFormatting sqref="V22:V29">
    <cfRule type="expression" dxfId="682" priority="23">
      <formula>ABS(V$25-V$28)&gt;=1000</formula>
    </cfRule>
  </conditionalFormatting>
  <conditionalFormatting sqref="W22:W29">
    <cfRule type="expression" dxfId="681" priority="22">
      <formula>ABS(W$25-W$28)&gt;=1000</formula>
    </cfRule>
  </conditionalFormatting>
  <conditionalFormatting sqref="X22:X29">
    <cfRule type="expression" dxfId="680" priority="21">
      <formula>ABS(X$25-X$28)&gt;=1000</formula>
    </cfRule>
  </conditionalFormatting>
  <conditionalFormatting sqref="Y22:Y29">
    <cfRule type="expression" dxfId="679" priority="20">
      <formula>ABS(Y$25-Y$28)&gt;=1000</formula>
    </cfRule>
  </conditionalFormatting>
  <conditionalFormatting sqref="I23">
    <cfRule type="expression" dxfId="678" priority="19">
      <formula>ABS(I$25-I$28)&gt;=1000</formula>
    </cfRule>
  </conditionalFormatting>
  <conditionalFormatting sqref="F14">
    <cfRule type="expression" dxfId="677" priority="18">
      <formula>ABS(F$16-F$19)&gt;=1000</formula>
    </cfRule>
  </conditionalFormatting>
  <conditionalFormatting sqref="Q14">
    <cfRule type="expression" dxfId="676" priority="17">
      <formula>ABS(Q$16-Q$19)&gt;=1000</formula>
    </cfRule>
  </conditionalFormatting>
  <conditionalFormatting sqref="W14">
    <cfRule type="expression" dxfId="675" priority="16">
      <formula>ABS(W$16-W$19)&gt;=1000</formula>
    </cfRule>
  </conditionalFormatting>
  <conditionalFormatting sqref="Y14">
    <cfRule type="expression" dxfId="674" priority="15">
      <formula>ABS(Y$16-Y$19)&gt;=1000</formula>
    </cfRule>
  </conditionalFormatting>
  <conditionalFormatting sqref="X14">
    <cfRule type="expression" dxfId="673" priority="14">
      <formula>ABS(X$16-X$19)&gt;=1000</formula>
    </cfRule>
  </conditionalFormatting>
  <conditionalFormatting sqref="T10:Y10">
    <cfRule type="expression" dxfId="672" priority="13">
      <formula>ABS(T$7-T$10)&gt;=1000</formula>
    </cfRule>
  </conditionalFormatting>
  <conditionalFormatting sqref="W19">
    <cfRule type="expression" dxfId="671" priority="12">
      <formula>ABS(W$16-W$19)&gt;=1000</formula>
    </cfRule>
  </conditionalFormatting>
  <conditionalFormatting sqref="AC5">
    <cfRule type="expression" dxfId="670" priority="11">
      <formula>ABS(AC$7-AC$10)&gt;=1000</formula>
    </cfRule>
  </conditionalFormatting>
  <conditionalFormatting sqref="M14">
    <cfRule type="expression" dxfId="669" priority="10">
      <formula>ABS(M$16-M$19)&gt;=1000</formula>
    </cfRule>
  </conditionalFormatting>
  <conditionalFormatting sqref="M16">
    <cfRule type="expression" dxfId="668" priority="9">
      <formula>ABS(M$16-M$19)&gt;=1000</formula>
    </cfRule>
  </conditionalFormatting>
  <conditionalFormatting sqref="M19">
    <cfRule type="expression" dxfId="667" priority="8">
      <formula>ABS(M$16-M$19)&gt;=1000</formula>
    </cfRule>
  </conditionalFormatting>
  <conditionalFormatting sqref="K13:K20">
    <cfRule type="expression" dxfId="666" priority="7">
      <formula>ABS(K$16-K$19)&gt;=1000</formula>
    </cfRule>
  </conditionalFormatting>
  <conditionalFormatting sqref="E5">
    <cfRule type="expression" dxfId="665" priority="6">
      <formula>ABS(E$7-E$10)&gt;=1000</formula>
    </cfRule>
  </conditionalFormatting>
  <conditionalFormatting sqref="AB14:AC14">
    <cfRule type="expression" dxfId="664" priority="5">
      <formula>ABS(AB$16-AB$19)&gt;=1000</formula>
    </cfRule>
  </conditionalFormatting>
  <conditionalFormatting sqref="M5">
    <cfRule type="expression" dxfId="663" priority="4">
      <formula>ABS(M$7-M$10)&gt;=1000</formula>
    </cfRule>
  </conditionalFormatting>
  <conditionalFormatting sqref="N5">
    <cfRule type="expression" dxfId="662" priority="3">
      <formula>ABS(N$7-N$10)&gt;=1000</formula>
    </cfRule>
  </conditionalFormatting>
  <conditionalFormatting sqref="O5">
    <cfRule type="expression" dxfId="661" priority="2">
      <formula>ABS(O$7-O$10)&gt;=1000</formula>
    </cfRule>
  </conditionalFormatting>
  <conditionalFormatting sqref="P5">
    <cfRule type="expression" dxfId="660" priority="1">
      <formula>ABS(P$7-P$10)&gt;=1000</formula>
    </cfRule>
  </conditionalFormatting>
  <dataValidations count="1">
    <dataValidation operator="greaterThanOrEqual" allowBlank="1" showErrorMessage="1" sqref="D6" xr:uid="{00000000-0002-0000-12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06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643">
    <pageSetUpPr fitToPage="1"/>
  </sheetPr>
  <dimension ref="A1:CU223"/>
  <sheetViews>
    <sheetView view="pageBreakPreview" topLeftCell="A19" zoomScale="80" zoomScaleNormal="100" zoomScaleSheetLayoutView="80" workbookViewId="0">
      <selection activeCell="O22" sqref="O22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45800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70" t="s" ph="1">
        <v>178</v>
      </c>
      <c r="D6" s="71">
        <v>3664</v>
      </c>
      <c r="E6" s="71">
        <v>4713</v>
      </c>
      <c r="F6" s="71">
        <v>3619</v>
      </c>
      <c r="G6" s="71">
        <v>8271</v>
      </c>
      <c r="H6" s="71">
        <v>1026</v>
      </c>
      <c r="I6" s="71">
        <v>0.06</v>
      </c>
      <c r="J6" s="71">
        <v>7.76</v>
      </c>
      <c r="K6" s="71">
        <v>55.01</v>
      </c>
      <c r="L6" s="71">
        <v>50.53</v>
      </c>
      <c r="M6" s="71">
        <v>604</v>
      </c>
      <c r="N6" s="71">
        <v>5049</v>
      </c>
      <c r="O6" s="71">
        <v>2667</v>
      </c>
      <c r="P6" s="71">
        <v>1982</v>
      </c>
      <c r="Q6" s="71">
        <v>3114</v>
      </c>
      <c r="R6" s="71">
        <v>766</v>
      </c>
      <c r="S6" s="71">
        <v>0</v>
      </c>
      <c r="T6" s="71">
        <v>0</v>
      </c>
      <c r="U6" s="71">
        <v>0</v>
      </c>
      <c r="V6" s="71">
        <v>3120</v>
      </c>
      <c r="W6" s="71">
        <v>7089</v>
      </c>
      <c r="X6" s="71">
        <v>7090</v>
      </c>
      <c r="Y6" s="71">
        <v>6033</v>
      </c>
      <c r="Z6" s="71">
        <v>5786</v>
      </c>
      <c r="AA6" s="71">
        <v>5100</v>
      </c>
      <c r="AB6" s="71">
        <v>2344</v>
      </c>
      <c r="AC6" s="71">
        <v>5062</v>
      </c>
      <c r="AD6" s="71">
        <v>5429</v>
      </c>
      <c r="AE6" s="71">
        <v>2650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114601.24416095999</v>
      </c>
      <c r="E7" s="73" ph="1">
        <f>E6*51.53*LOOKUP(E8,密度!$A$2:$A$50,密度!$B$2:$B$50)</f>
        <v>188702.91153000001</v>
      </c>
      <c r="F7" s="73" ph="1">
        <f>F6*33.183*LOOKUP(F8,密度!$A$2:$A$50,密度!$C$2:$C$50)</f>
        <v>132806.73143430002</v>
      </c>
      <c r="G7" s="73" ph="1">
        <f xml:space="preserve"> (G6+2)*51.53*LOOKUP(G8,密度!$A$2:$A$50,密度!$B$2:$B$50)</f>
        <v>331624.75205100002</v>
      </c>
      <c r="H7" s="73" ph="1">
        <f>(H6)*51.53*LOOKUP(H8,密度!$A$2:$A$50,密度!$B$2:$B$50)</f>
        <v>41127.401861999999</v>
      </c>
      <c r="I7" s="73" ph="1">
        <f>I6*290.8*1.0267</f>
        <v>17.913861600000001</v>
      </c>
      <c r="J7" s="73" ph="1">
        <f>J6*290.8*0.7892</f>
        <v>1780.9150336000002</v>
      </c>
      <c r="K7" s="73" ph="1">
        <f>K6*290.8*1.1126</f>
        <v>17798.159840799999</v>
      </c>
      <c r="L7" s="73" ph="1">
        <f>L6*290.8*0.777</f>
        <v>11417.334348000002</v>
      </c>
      <c r="M7" s="73" ph="1">
        <f>M6*33.183*LOOKUP(M8,密度!$A$2:$A$50,密度!$D$2:$D$50)</f>
        <v>20501.505982799998</v>
      </c>
      <c r="N7" s="73" ph="1">
        <f>N6*33.183*LOOKUP(N8,密度!$A$2:$A$50,密度!$E$2:$E$50)</f>
        <v>130464.15100289999</v>
      </c>
      <c r="O7" s="73" ph="1">
        <f>O6*20.428*LOOKUP(O8,密度!$A$2:$A$50,密度!$C$2:$C$50)</f>
        <v>60093.068028000002</v>
      </c>
      <c r="P7" s="73" ph="1">
        <f>P6*51.53*LOOKUP(P8,密度!$A$2:$A$50,密度!$B$2:$B$50)</f>
        <v>79448.840634000007</v>
      </c>
      <c r="Q7" s="73" ph="1">
        <f>Q6*1.5*1.5*3.1416*LOOKUP(W8,密度!$A$2:$A$50,密度!$L$2:$L$50)</f>
        <v>20558.853453600001</v>
      </c>
      <c r="R7" s="73" ph="1">
        <f>R6*1.5*1.5*3.1416*LOOKUP(R8,密度!$A$2:$A$50,密度!$L$2:$L$50)</f>
        <v>5035.5292680000002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20620.519919999999</v>
      </c>
      <c r="W7" s="73" ph="1">
        <f>W6*1.5*1.5*3.1416*LOOKUP(W8,密度!$A$2:$A$50,密度!$L$2:$L$50)</f>
        <v>46802.0912436</v>
      </c>
      <c r="X7" s="73" ph="1">
        <f>X6*1.5*1.5*3.1416*LOOKUP(X8,密度!$A$2:$A$50,密度!$L$2:$L$50)</f>
        <v>47259.740681999996</v>
      </c>
      <c r="Y7" s="73" ph="1">
        <f>Y6*1.5*1.5*3.1416*LOOKUP(Y8,密度!$A$2:$A$50,密度!$L$2:$L$50)</f>
        <v>39872.947653000003</v>
      </c>
      <c r="Z7" s="73" ph="1">
        <f>Z6*33.183*LOOKUP(Z8,密度!$A$2:$A$50,密度!$L$2:$L$50)</f>
        <v>179133.04985400001</v>
      </c>
      <c r="AA7" s="73" ph="1">
        <f>AA6*33.183*LOOKUP(AA8,密度!$A$2:$A$50,密度!$D$2:$D$50)</f>
        <v>173277.97586999999</v>
      </c>
      <c r="AB7" s="73" ph="1">
        <f>AB6*20.428*LOOKUP(AB8,密度!$A$2:$A$50,密度!$D$2:$D$50)</f>
        <v>49386.765484800009</v>
      </c>
      <c r="AC7" s="73" ph="1">
        <f>AC6*51.53*LOOKUP(AC8,密度!$A$2:$A$50,密度!$Q$2:$Q$50)</f>
        <v>246767.06290580003</v>
      </c>
      <c r="AD7" s="73" ph="1">
        <f>AD6*20.428*LOOKUP(AD8,密度!$A$2:$A$50,密度!$V$2:$V$50)</f>
        <v>106201.29885120002</v>
      </c>
      <c r="AE7" s="73" ph="1">
        <f>AE6*20.428</f>
        <v>54134.200000000004</v>
      </c>
    </row>
    <row r="8" spans="1:99" ph="1">
      <c r="B8" s="196" ph="1"/>
      <c r="C8" s="68" t="s" ph="1">
        <v>180</v>
      </c>
      <c r="D8" s="74">
        <v>31</v>
      </c>
      <c r="E8" s="74">
        <v>28</v>
      </c>
      <c r="F8" s="74">
        <v>29</v>
      </c>
      <c r="G8" s="74">
        <v>27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32</v>
      </c>
      <c r="P8" s="74">
        <v>27</v>
      </c>
      <c r="Q8" s="74">
        <v>26</v>
      </c>
      <c r="R8" s="74">
        <v>32</v>
      </c>
      <c r="S8" s="74">
        <v>22</v>
      </c>
      <c r="T8" s="74">
        <v>23</v>
      </c>
      <c r="U8" s="74">
        <v>27</v>
      </c>
      <c r="V8" s="74">
        <v>27</v>
      </c>
      <c r="W8" s="74">
        <v>28</v>
      </c>
      <c r="X8" s="74">
        <v>19</v>
      </c>
      <c r="Y8" s="74">
        <v>27</v>
      </c>
      <c r="Z8" s="74">
        <v>29</v>
      </c>
      <c r="AA8" s="74">
        <v>28</v>
      </c>
      <c r="AB8" s="74">
        <v>20</v>
      </c>
      <c r="AC8" s="74">
        <v>26</v>
      </c>
      <c r="AD8" s="74">
        <v>26</v>
      </c>
      <c r="AE8" s="74">
        <v>28</v>
      </c>
    </row>
    <row r="9" spans="1:99" ph="1">
      <c r="B9" s="196" ph="1">
        <v>0.66666666666666663</v>
      </c>
      <c r="C9" s="170" t="s" ph="1">
        <v>181</v>
      </c>
      <c r="D9" s="71">
        <v>4003</v>
      </c>
      <c r="E9" s="71">
        <v>4713</v>
      </c>
      <c r="F9" s="71">
        <v>4163</v>
      </c>
      <c r="G9" s="71">
        <v>7960</v>
      </c>
      <c r="H9" s="71">
        <v>1026</v>
      </c>
      <c r="I9" s="71">
        <v>0.04</v>
      </c>
      <c r="J9" s="71">
        <v>7.8</v>
      </c>
      <c r="K9" s="71">
        <v>12.24</v>
      </c>
      <c r="L9" s="71">
        <v>12.01</v>
      </c>
      <c r="M9" s="71">
        <v>603</v>
      </c>
      <c r="N9" s="71">
        <v>5054</v>
      </c>
      <c r="O9" s="71">
        <v>2600</v>
      </c>
      <c r="P9" s="71">
        <v>2223</v>
      </c>
      <c r="Q9" s="71">
        <v>5713</v>
      </c>
      <c r="R9" s="71">
        <v>2640</v>
      </c>
      <c r="S9" s="71">
        <v>0</v>
      </c>
      <c r="T9" s="71">
        <v>0</v>
      </c>
      <c r="U9" s="71">
        <v>0</v>
      </c>
      <c r="V9" s="71">
        <v>0</v>
      </c>
      <c r="W9" s="71">
        <v>7090</v>
      </c>
      <c r="X9" s="71">
        <v>7099</v>
      </c>
      <c r="Y9" s="71">
        <v>6043</v>
      </c>
      <c r="Z9" s="71">
        <v>6525</v>
      </c>
      <c r="AA9" s="71">
        <v>5108</v>
      </c>
      <c r="AB9" s="71">
        <v>2178</v>
      </c>
      <c r="AC9" s="71">
        <v>4767</v>
      </c>
      <c r="AD9" s="71">
        <v>5429</v>
      </c>
      <c r="AE9" s="71">
        <v>2455</v>
      </c>
    </row>
    <row r="10" spans="1:99" s="72" customFormat="1" ht="21.75" ph="1">
      <c r="B10" s="196" ph="1"/>
      <c r="C10" s="170" t="s" ph="1">
        <v>179</v>
      </c>
      <c r="D10" s="73" ph="1">
        <f>D9*33.183*LOOKUP(D11,密度!$A$2:$A$50,密度!$Q$2:$Q$50)</f>
        <v>124940.02667391</v>
      </c>
      <c r="E10" s="73" ph="1">
        <f>E9*51.53*LOOKUP(E11,密度!$A$2:$A$50,密度!$B$2:$B$50)</f>
        <v>187658.60970300002</v>
      </c>
      <c r="F10" s="73" ph="1">
        <f>F9*33.183*LOOKUP(F11,密度!$A$2:$A$50,密度!$C$2:$C$50)</f>
        <v>152231.193558</v>
      </c>
      <c r="G10" s="73" ph="1">
        <f xml:space="preserve"> (G9+2)*51.53*LOOKUP(G11,密度!$A$2:$A$50,密度!$B$2:$B$50)</f>
        <v>317722.27238399995</v>
      </c>
      <c r="H10" s="73" ph="1">
        <f>(H9)*51.53*LOOKUP(H11,密度!$A$2:$A$50,密度!$B$2:$B$50)</f>
        <v>40942.357631999999</v>
      </c>
      <c r="I10" s="73" ph="1">
        <f>I9*290.8*1.0267</f>
        <v>11.942574400000002</v>
      </c>
      <c r="J10" s="73" ph="1">
        <f>J9*290.8*0.7892</f>
        <v>1790.0950080000002</v>
      </c>
      <c r="K10" s="73" ph="1">
        <f>K9*290.8*1.1126</f>
        <v>3960.1795392000004</v>
      </c>
      <c r="L10" s="73" ph="1">
        <f>L9*290.8*0.777</f>
        <v>2713.6787160000003</v>
      </c>
      <c r="M10" s="73" ph="1">
        <f>M9*33.183*LOOKUP(M11,密度!$A$2:$A$50,密度!$D$2:$D$50)</f>
        <v>20325.496714199999</v>
      </c>
      <c r="N10" s="73" ph="1">
        <f>N9*33.183*LOOKUP(N11,密度!$A$2:$A$50,密度!$E$2:$E$50)</f>
        <v>130026.49975224001</v>
      </c>
      <c r="O10" s="73" ph="1">
        <f>O9*20.428*LOOKUP(O11,密度!$A$2:$A$50,密度!$C$2:$C$50)</f>
        <v>58307.231840000008</v>
      </c>
      <c r="P10" s="73" ph="1">
        <f>P9*51.53*LOOKUP(P11,密度!$A$2:$A$50,密度!$B$2:$B$50)</f>
        <v>88513.704513000004</v>
      </c>
      <c r="Q10" s="73" ph="1">
        <f>Q9*1.5*1.5*3.1416*LOOKUP(W11,密度!$A$2:$A$50,密度!$L$2:$L$50)</f>
        <v>37636.873797600005</v>
      </c>
      <c r="R10" s="73" ph="1">
        <f>R9*1.5*1.5*3.1416*LOOKUP(R11,密度!$A$2:$A$50,密度!$L$2:$L$50)</f>
        <v>17336.165616000002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46708.460568000002</v>
      </c>
      <c r="X10" s="73" ph="1">
        <f>X9*1.5*1.5*3.1416*LOOKUP(X11,密度!$A$2:$A$50,密度!$L$2:$L$50)</f>
        <v>47169.191915999996</v>
      </c>
      <c r="Y10" s="73" ph="1">
        <f>Y9*1.5*1.5*3.1416*LOOKUP(Y11,密度!$A$2:$A$50,密度!$L$2:$L$50)</f>
        <v>39896.323513200005</v>
      </c>
      <c r="Z10" s="73" ph="1">
        <f>Z9*33.183*LOOKUP(Z11,密度!$A$2:$A$50,密度!$L$2:$L$50)</f>
        <v>200713.18252500001</v>
      </c>
      <c r="AA10" s="73" ph="1">
        <f>AA9*33.183*LOOKUP(AA11,密度!$A$2:$A$50,密度!$D$2:$D$50)</f>
        <v>171888.69657239999</v>
      </c>
      <c r="AB10" s="73" ph="1">
        <f>AB9*20.428*LOOKUP(AB11,密度!$A$2:$A$50,密度!$D$2:$D$50)</f>
        <v>45720.168278400008</v>
      </c>
      <c r="AC10" s="73" ph="1">
        <f>AC9*51.53*LOOKUP(AC11,密度!$A$2:$A$50,密度!$Q$2:$Q$50)</f>
        <v>230573.2806615</v>
      </c>
      <c r="AD10" s="73" ph="1">
        <f>AD9*20.428*LOOKUP(AD11,密度!$A$2:$A$50,密度!$V$2:$V$50)</f>
        <v>106201.29885120002</v>
      </c>
      <c r="AE10" s="73" ph="1">
        <f>AE9*20.428</f>
        <v>50150.740000000005</v>
      </c>
    </row>
    <row r="11" spans="1:99" ph="1">
      <c r="A11" s="64" t="s" ph="1">
        <v>163</v>
      </c>
      <c r="B11" s="196" ph="1"/>
      <c r="C11" s="170" t="s" ph="1">
        <v>180</v>
      </c>
      <c r="D11" s="74">
        <v>34</v>
      </c>
      <c r="E11" s="74">
        <v>33</v>
      </c>
      <c r="F11" s="74">
        <v>33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32</v>
      </c>
      <c r="O11" s="74">
        <v>37</v>
      </c>
      <c r="P11" s="74">
        <v>33</v>
      </c>
      <c r="Q11" s="74">
        <v>28</v>
      </c>
      <c r="R11" s="74">
        <v>33</v>
      </c>
      <c r="S11" s="74">
        <v>27</v>
      </c>
      <c r="T11" s="74">
        <v>36</v>
      </c>
      <c r="U11" s="74">
        <v>33</v>
      </c>
      <c r="V11" s="74">
        <v>28</v>
      </c>
      <c r="W11" s="74">
        <v>30</v>
      </c>
      <c r="X11" s="74">
        <v>22</v>
      </c>
      <c r="Y11" s="74">
        <v>28</v>
      </c>
      <c r="Z11" s="74">
        <v>35</v>
      </c>
      <c r="AA11" s="74">
        <v>39</v>
      </c>
      <c r="AB11" s="74">
        <v>24</v>
      </c>
      <c r="AC11" s="74">
        <v>37</v>
      </c>
      <c r="AD11" s="74">
        <v>32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7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70" t="s" ph="1">
        <v>178</v>
      </c>
      <c r="D15" s="78">
        <v>4143</v>
      </c>
      <c r="E15" s="78">
        <v>1598</v>
      </c>
      <c r="F15" s="78">
        <v>2557</v>
      </c>
      <c r="G15" s="78">
        <v>1867</v>
      </c>
      <c r="H15" s="78">
        <v>0</v>
      </c>
      <c r="I15" s="78">
        <v>118</v>
      </c>
      <c r="J15" s="78">
        <v>188</v>
      </c>
      <c r="K15" s="78">
        <v>1415</v>
      </c>
      <c r="L15" s="78">
        <v>807</v>
      </c>
      <c r="M15" s="78">
        <v>6359</v>
      </c>
      <c r="N15" s="78">
        <v>1513</v>
      </c>
      <c r="O15" s="78">
        <v>3068</v>
      </c>
      <c r="P15" s="78">
        <v>3039</v>
      </c>
      <c r="Q15" s="78">
        <v>5138</v>
      </c>
      <c r="R15" s="78">
        <v>3522</v>
      </c>
      <c r="S15" s="78">
        <v>0</v>
      </c>
      <c r="T15" s="78">
        <v>680</v>
      </c>
      <c r="U15" s="78">
        <v>5338</v>
      </c>
      <c r="V15" s="78">
        <v>2376</v>
      </c>
      <c r="W15" s="71">
        <v>-792</v>
      </c>
      <c r="X15" s="78">
        <v>28</v>
      </c>
      <c r="Y15" s="106">
        <v>-2369</v>
      </c>
      <c r="Z15" s="78">
        <v>0</v>
      </c>
      <c r="AA15" s="78">
        <v>4243</v>
      </c>
      <c r="AB15" s="78" ph="1">
        <v>2372</v>
      </c>
      <c r="AC15" s="78" ph="1">
        <v>0</v>
      </c>
      <c r="AD15" s="78">
        <v>23.53</v>
      </c>
      <c r="AE15" s="78">
        <v>84.46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70" t="s" ph="1">
        <v>179</v>
      </c>
      <c r="D16" s="73" ph="1">
        <f>D15*7.0686*LOOKUP(D17,密度!$A$2:$A$50,密度!$L$2:$L$50)</f>
        <v>27293.815533600002</v>
      </c>
      <c r="E16" s="73" ph="1">
        <f>E15*7.0686*LOOKUP(E17,密度!$A$2:$A$50,密度!$L$2:$L$50)</f>
        <v>10527.520449600001</v>
      </c>
      <c r="F16" s="73" ph="1">
        <f>F15*9.0746*LOOKUP(F17,密度!$A$2:$A$50,密度!$L$2:$L$50)</f>
        <v>21649.100802600002</v>
      </c>
      <c r="G16" s="73" ph="1">
        <f>G15*9.0746*LOOKUP(G17,密度!$A$2:$A$50,密度!$B$2:$B$50)</f>
        <v>13179.398211780001</v>
      </c>
      <c r="H16" s="73" ph="1">
        <f>H15*9.0746*LOOKUP(H17,密度!$A$2:$A$50,密度!$L$2:$L$50)</f>
        <v>0</v>
      </c>
      <c r="I16" s="73" ph="1">
        <f>I15*9.0746*LOOKUP(I17,密度!$A$2:$A$50,密度!$U$2:$U$50)</f>
        <v>1096.5020672000001</v>
      </c>
      <c r="J16" s="73" ph="1">
        <f>J15*9.0746*LOOKUP(J17,密度!$A$2:$A$50,密度!$L$2:$L$50)</f>
        <v>1596.8392128000003</v>
      </c>
      <c r="K16" s="73" ph="1">
        <f>K15*9.0746*LOOKUP(K17,密度!$A$2:$A$50,密度!$C$2:$C$50)</f>
        <v>14209.362589400002</v>
      </c>
      <c r="L16" s="73" ph="1">
        <f>L15*9.0746*LOOKUP(L17,密度!$A$2:$A$50,密度!$E$2:$E$50)</f>
        <v>5710.6330755600011</v>
      </c>
      <c r="M16" s="73" ph="1">
        <f>M15*9.0746*LOOKUP(M17,密度!$A$2:$A$50,密度!$M$2:$M$50)</f>
        <v>50319.092580799996</v>
      </c>
      <c r="N16" s="73" ph="1">
        <f>N15*9.0746*LOOKUP(N17,密度!$A$2:$A$50,密度!$M$2:$M$50)</f>
        <v>11987.54932238</v>
      </c>
      <c r="O16" s="73" ph="1">
        <f>O15*9.0746*LOOKUP(O17,密度!$A$2:$A$50,密度!$G$2:$G$50)</f>
        <v>26613.090309520001</v>
      </c>
      <c r="P16" s="73" ph="1">
        <f ca="1">P15*9.0746*LOOKUP(P17,密度!$A$2:$A$51,密度!$Q$2:$Q$50)</f>
        <v>26031.427233942002</v>
      </c>
      <c r="Q16" s="73" ph="1">
        <f>Q15*9.0746*LOOKUP(Q17,密度!$A$2:$A$50,密度!$Q$2:$Q$50)</f>
        <v>43983.039343684002</v>
      </c>
      <c r="R16" s="73" ph="1">
        <f>MAX(R15*9.0746*LOOKUP(R17,密度!$A$2:$A$50,密度!$B$2:$B$50),0)</f>
        <v>24807.927319440001</v>
      </c>
      <c r="S16" s="73" ph="1">
        <f>S15*9.0746*LOOKUP(S17,密度!$A$2:$A$50,密度!$Q$2:$Q$50)</f>
        <v>0</v>
      </c>
      <c r="T16" s="73" ph="1">
        <f>T15*9.0746*LOOKUP(T17,密度!$A$2:$A$50,密度!$O$2:$O$50)</f>
        <v>5714.0941280000006</v>
      </c>
      <c r="U16" s="73" ph="1">
        <f>U15*9.0746*LOOKUP(U17,密度!$A$2:$A$50,密度!$H$2:$H$50)</f>
        <v>44080.595468</v>
      </c>
      <c r="V16" s="73" ph="1">
        <f>MAX(5600*LOOKUP(V17,密度!$A$2:$A$50,密度!$Q$2:$Q$50)+V15*9.0476*LOOKUP(V17,密度!$A$2:$A$50,密度!$Q$2:$Q$50),0)</f>
        <v>25577.763337568002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6074.0034465600011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29917.241100600004</v>
      </c>
      <c r="AB16" s="73" ph="1">
        <f>AB15*9.0746*LOOKUP(AB17,密度!$A$2:$A$50,密度!$L$2:$L$50)</f>
        <v>20061.254518400001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6149.5162958399997</v>
      </c>
      <c r="AE16" s="73" ph="1">
        <f>AE15*268.68*LOOKUP(AE17,密度!$A$2:$A$50,密度!B2:B50)+IF(AE15&lt;=0,0,1566*LOOKUP(AE17,密度!$A$2:$A$50,密度!B2:B50))</f>
        <v>18912.092498879996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30</v>
      </c>
      <c r="E17" s="74">
        <v>30</v>
      </c>
      <c r="F17" s="74">
        <v>29</v>
      </c>
      <c r="G17" s="74">
        <v>27</v>
      </c>
      <c r="H17" s="74">
        <v>25</v>
      </c>
      <c r="I17" s="74">
        <v>26</v>
      </c>
      <c r="J17" s="74">
        <v>26</v>
      </c>
      <c r="K17" s="74">
        <v>28</v>
      </c>
      <c r="L17" s="74">
        <v>28</v>
      </c>
      <c r="M17" s="74">
        <v>28</v>
      </c>
      <c r="N17" s="74">
        <v>27</v>
      </c>
      <c r="O17" s="74">
        <v>29</v>
      </c>
      <c r="P17" s="74">
        <v>29</v>
      </c>
      <c r="Q17" s="74">
        <v>30</v>
      </c>
      <c r="R17" s="74">
        <v>29</v>
      </c>
      <c r="S17" s="74">
        <v>30</v>
      </c>
      <c r="T17" s="74">
        <v>29</v>
      </c>
      <c r="U17" s="74">
        <v>30</v>
      </c>
      <c r="V17" s="74">
        <v>29</v>
      </c>
      <c r="W17" s="74">
        <v>29</v>
      </c>
      <c r="X17" s="74">
        <v>29</v>
      </c>
      <c r="Y17" s="108">
        <v>29</v>
      </c>
      <c r="Z17" s="74">
        <v>27</v>
      </c>
      <c r="AA17" s="74">
        <v>28</v>
      </c>
      <c r="AB17" s="74">
        <v>30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4147</v>
      </c>
      <c r="E18" s="71">
        <v>1598</v>
      </c>
      <c r="F18" s="71">
        <v>2624</v>
      </c>
      <c r="G18" s="71">
        <v>1897</v>
      </c>
      <c r="H18" s="71">
        <v>0</v>
      </c>
      <c r="I18" s="71">
        <v>117</v>
      </c>
      <c r="J18" s="71">
        <v>193</v>
      </c>
      <c r="K18" s="71">
        <v>1434</v>
      </c>
      <c r="L18" s="71">
        <v>3248</v>
      </c>
      <c r="M18" s="71">
        <v>3437</v>
      </c>
      <c r="N18" s="71">
        <v>2491</v>
      </c>
      <c r="O18" s="71">
        <v>3492</v>
      </c>
      <c r="P18" s="71">
        <v>3041</v>
      </c>
      <c r="Q18" s="71">
        <v>4986</v>
      </c>
      <c r="R18" s="71">
        <v>3526</v>
      </c>
      <c r="S18" s="71">
        <v>0</v>
      </c>
      <c r="T18" s="71">
        <v>679</v>
      </c>
      <c r="U18" s="71">
        <v>5342</v>
      </c>
      <c r="V18" s="71">
        <v>2376</v>
      </c>
      <c r="W18" s="71">
        <v>-792</v>
      </c>
      <c r="X18" s="71">
        <v>26</v>
      </c>
      <c r="Y18" s="109">
        <v>-9907</v>
      </c>
      <c r="Z18" s="71">
        <v>0</v>
      </c>
      <c r="AA18" s="71">
        <v>4247</v>
      </c>
      <c r="AB18" s="71">
        <v>2377</v>
      </c>
      <c r="AC18" s="71">
        <v>0</v>
      </c>
      <c r="AD18" s="71">
        <v>54.03</v>
      </c>
      <c r="AE18" s="71">
        <v>83.77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70" t="s" ph="1">
        <v>179</v>
      </c>
      <c r="D19" s="73" ph="1">
        <f>D18*7.0686*LOOKUP(D20,密度!$A$2:$A$50,密度!$L$2:$L$50)</f>
        <v>27232.226821799999</v>
      </c>
      <c r="E19" s="73" ph="1">
        <f>E18*7.0686*LOOKUP(E20,密度!$A$2:$A$50,密度!$L$2:$L$50)</f>
        <v>10493.6335812</v>
      </c>
      <c r="F19" s="73" ph="1">
        <f>F18*9.0746*LOOKUP(F20,密度!$A$2:$A$50,密度!$L$2:$L$50)</f>
        <v>22097.304371200004</v>
      </c>
      <c r="G19" s="73" ph="1">
        <f>G18*9.0746*LOOKUP(G20,密度!$A$2:$A$50,密度!$B$2:$B$50)</f>
        <v>13346.414409860001</v>
      </c>
      <c r="H19" s="73" ph="1">
        <f>H18*9.0746*LOOKUP(H20,密度!$A$2:$A$50,密度!$L$2:$L$50)</f>
        <v>0</v>
      </c>
      <c r="I19" s="73" ph="1">
        <f>I18*9.0746*LOOKUP(I20,密度!$A$2:$A$50,密度!$U$2:$U$50)</f>
        <v>1075.10597532</v>
      </c>
      <c r="J19" s="73" ph="1">
        <f>J18*9.0746*LOOKUP(J20,密度!$A$2:$A$50,密度!$L$2:$L$50)</f>
        <v>1618.2915672000001</v>
      </c>
      <c r="K19" s="73" ph="1">
        <f>K18*9.0746*LOOKUP(K20,密度!$A$2:$A$50,密度!$C$2:$C$50)</f>
        <v>14312.972742360002</v>
      </c>
      <c r="L19" s="73" ph="1">
        <f>L18*9.0746*LOOKUP(L20,密度!$A$2:$A$50,密度!$E$2:$E$50)</f>
        <v>22752.097016544001</v>
      </c>
      <c r="M19" s="73" ph="1">
        <f>M18*9.0746*LOOKUP(M20,密度!$A$2:$A$50,密度!$M$2:$M$50)</f>
        <v>26968.538670934002</v>
      </c>
      <c r="N19" s="73" ph="1">
        <f>N18*9.0746*LOOKUP(N20,密度!$A$2:$A$50,密度!$M$2:$M$50)</f>
        <v>19711.410539200002</v>
      </c>
      <c r="O19" s="73" ph="1">
        <f>O18*9.0746*LOOKUP(O20,密度!$A$2:$A$50,密度!$G$2:$G$50)</f>
        <v>30221.642386871998</v>
      </c>
      <c r="P19" s="73" ph="1">
        <f ca="1">P18*9.0746*LOOKUP(P20,密度!$A$2:$A$51,密度!$Q$2:$Q$50)</f>
        <v>25992.539215339999</v>
      </c>
      <c r="Q19" s="73" ph="1">
        <f>Q18*9.0746*LOOKUP(Q20,密度!$A$2:$A$50,密度!$Q$2:$Q$50)</f>
        <v>42587.755708500001</v>
      </c>
      <c r="R19" s="73" ph="1">
        <f>MAX(R18*9.0746*LOOKUP(R20,密度!$A$2:$A$50,密度!$B$2:$B$50),0)</f>
        <v>24749.7101306</v>
      </c>
      <c r="S19" s="73" ph="1">
        <f>S18*9.0746*LOOKUP(S20,密度!$A$2:$A$50,密度!$Q$2:$Q$50)</f>
        <v>0</v>
      </c>
      <c r="T19" s="73" ph="1">
        <f>T18*9.0746*LOOKUP(T20,密度!$A$2:$A$50,密度!$O$2:$O$50)</f>
        <v>5681.0444348000001</v>
      </c>
      <c r="U19" s="73" ph="1">
        <f>U18*9.0746*LOOKUP(U20,密度!$A$2:$A$50,密度!$H$2:$H$50)</f>
        <v>43973.529888851997</v>
      </c>
      <c r="V19" s="73" ph="1">
        <f>MAX(5600*LOOKUP(V20,密度!$A$2:$A$50,密度!$Q$2:$Q$50)+V18*9.0476*LOOKUP(V20,密度!$A$2:$A$50,密度!$Q$2:$Q$50),0)</f>
        <v>25541.182255807998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6029.4926597040003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29879.927252860001</v>
      </c>
      <c r="AB19" s="73" ph="1">
        <f>AB18*9.0746*LOOKUP(AB20,密度!$A$2:$A$50,密度!$L$2:$L$50)</f>
        <v>20060.401506000002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12496.3203708</v>
      </c>
      <c r="AE19" s="73" ph="1">
        <f>AE18*268.68*LOOKUP(AE20,密度!$A$2:$A$50,密度!B5:B53)+IF(AE18&lt;=0,0,1566*LOOKUP(AE20,密度!$A$2:$A$50,密度!B5:B53))</f>
        <v>18704.972437199998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33</v>
      </c>
      <c r="E20" s="81">
        <v>33</v>
      </c>
      <c r="F20" s="81">
        <v>34</v>
      </c>
      <c r="G20" s="81">
        <v>30</v>
      </c>
      <c r="H20" s="81">
        <v>34</v>
      </c>
      <c r="I20" s="81">
        <v>38</v>
      </c>
      <c r="J20" s="81">
        <v>38</v>
      </c>
      <c r="K20" s="81">
        <v>35</v>
      </c>
      <c r="L20" s="81">
        <v>35</v>
      </c>
      <c r="M20" s="81">
        <v>35</v>
      </c>
      <c r="N20" s="81">
        <v>28</v>
      </c>
      <c r="O20" s="81">
        <v>31</v>
      </c>
      <c r="P20" s="81">
        <v>32</v>
      </c>
      <c r="Q20" s="81">
        <v>33</v>
      </c>
      <c r="R20" s="81">
        <v>32</v>
      </c>
      <c r="S20" s="81">
        <v>33</v>
      </c>
      <c r="T20" s="81">
        <v>32</v>
      </c>
      <c r="U20" s="81">
        <v>33</v>
      </c>
      <c r="V20" s="81">
        <v>31</v>
      </c>
      <c r="W20" s="81">
        <v>31</v>
      </c>
      <c r="X20" s="81">
        <v>33</v>
      </c>
      <c r="Y20" s="110">
        <v>33</v>
      </c>
      <c r="Z20" s="81">
        <v>35</v>
      </c>
      <c r="AA20" s="81">
        <v>30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651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70" t="s" ph="1">
        <v>178</v>
      </c>
      <c r="D24" s="71">
        <v>91.18</v>
      </c>
      <c r="E24" s="71">
        <v>95.86</v>
      </c>
      <c r="F24" s="71">
        <v>4005</v>
      </c>
      <c r="G24" s="71">
        <v>1851</v>
      </c>
      <c r="H24" s="71">
        <v>1510</v>
      </c>
      <c r="I24" s="71">
        <v>4246</v>
      </c>
      <c r="J24" s="71">
        <v>3196</v>
      </c>
      <c r="K24" s="71">
        <v>0</v>
      </c>
      <c r="L24" s="71">
        <v>0</v>
      </c>
      <c r="M24" s="71">
        <v>5267</v>
      </c>
      <c r="N24" s="71">
        <v>5337</v>
      </c>
      <c r="O24" s="71">
        <v>2239</v>
      </c>
      <c r="P24" s="71">
        <v>402</v>
      </c>
      <c r="Q24" s="90">
        <v>603</v>
      </c>
      <c r="R24" s="71">
        <v>2887</v>
      </c>
      <c r="S24" s="71">
        <v>1589</v>
      </c>
      <c r="T24" s="71">
        <v>1765</v>
      </c>
      <c r="U24" s="71">
        <v>5494</v>
      </c>
      <c r="V24" s="71">
        <v>9669</v>
      </c>
      <c r="W24" s="71">
        <v>10940</v>
      </c>
      <c r="X24" s="71">
        <v>3447</v>
      </c>
      <c r="Y24" s="71">
        <v>3499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24676.060849776004</v>
      </c>
      <c r="E25" s="91" ph="1">
        <f>E24*268.68*LOOKUP(E26,密度!$A$2:$A$50,密度!$C$2:$C$50)+IF(E24&lt;=0,0,1566*LOOKUP(E26,密度!$A$2:$A$50,密度!$C$2:$C$50))</f>
        <v>30296.994096720002</v>
      </c>
      <c r="F25" s="91" ph="1">
        <f>F24*11.702*LOOKUP(F26,密度!$A$2:$A$50,密度!$Q$2:$Q$50)</f>
        <v>44238.704784300004</v>
      </c>
      <c r="G25" s="91" ph="1">
        <f>G24*18.322*LOOKUP(G26,密度!$A$2:$A$50,密度!$B$2:$B$50)</f>
        <v>26293.541256599998</v>
      </c>
      <c r="H25" s="91" ph="1">
        <f>H24*18.322*LOOKUP(H26,密度!$A$2:$A$50,密度!$B$2:$B$50)</f>
        <v>21474.519963999999</v>
      </c>
      <c r="I25" s="91" ph="1">
        <f>I24*18.322*LOOKUP(I26,密度!$A$2:$A$50,密度!$Q$2:$Q$50)</f>
        <v>73433.234463159999</v>
      </c>
      <c r="J25" s="91" ph="1">
        <f>J24*18.322*LOOKUP(J26,密度!$A$2:$A$50,密度!$Q$2:$Q$50)</f>
        <v>55238.680462960001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91091.108317820006</v>
      </c>
      <c r="N25" s="91" ph="1">
        <f>N24*18.322*LOOKUP(N26,密度!$A$2:$A$50,密度!$Q$2:$Q$50)</f>
        <v>92243.06559161999</v>
      </c>
      <c r="O25" s="91" ph="1">
        <f>O24*18.322*LOOKUP(O26,密度!$A$2:$A$50,密度!$C$2:$C$50)</f>
        <v>45367.289252200004</v>
      </c>
      <c r="P25" s="91" ph="1">
        <f>P24*11.702*LOOKUP(P26,密度!$A$2:$A$50,密度!$B$2:$B$50)</f>
        <v>3655.1665079999998</v>
      </c>
      <c r="Q25" s="92" ph="1">
        <f>Q24*18.322*LOOKUP(Q26,密度!$A$2:$A$50,密度!$B$2:$B$50)</f>
        <v>8584.4249820000005</v>
      </c>
      <c r="R25" s="91" ph="1">
        <f>R24*35.891*LOOKUP(R26,密度!$A$2:$A$50,密度!$C$2:$C$50)</f>
        <v>114590.39087030001</v>
      </c>
      <c r="S25" s="91" ph="1">
        <f>S24*35.891*LOOKUP(S26,密度!$A$2:$A$50,密度!$B$2:$B$50)</f>
        <v>44312.930823000002</v>
      </c>
      <c r="T25" s="91" ph="1">
        <f>T24*35.891*LOOKUP(T26,密度!$A$2:$A$50,密度!$Q$2:$Q$50)</f>
        <v>59795.714226950004</v>
      </c>
      <c r="U25" s="91" ph="1">
        <f>U24*35.891</f>
        <v>197185.15399999998</v>
      </c>
      <c r="V25" s="91" ph="1">
        <f>V24*47.051*LOOKUP(V26,密度!$A$2:$A$50,密度!$B$2:$B$50)</f>
        <v>353485.36446300003</v>
      </c>
      <c r="W25" s="91" ph="1">
        <f>W24*47.051*LOOKUP(W26,密度!$A$2:$A$50,密度!$B$2:$B$50)</f>
        <v>399951.37938</v>
      </c>
      <c r="X25" s="91" ph="1">
        <f>X24*47.051*LOOKUP(X26,密度!$A$2:$A$50,密度!$I$2:$I$50)</f>
        <v>168493.7856033</v>
      </c>
      <c r="Y25" s="91" ph="1">
        <f>Y24*47.051*LOOKUP(Y26,密度!$A$2:$A$50,密度!$L$2:$L$50)</f>
        <v>153601.141917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29</v>
      </c>
      <c r="G26" s="74">
        <v>30</v>
      </c>
      <c r="H26" s="74">
        <v>29</v>
      </c>
      <c r="I26" s="74">
        <v>29</v>
      </c>
      <c r="J26" s="74">
        <v>30</v>
      </c>
      <c r="K26" s="74">
        <v>30</v>
      </c>
      <c r="L26" s="74">
        <v>29</v>
      </c>
      <c r="M26" s="74">
        <v>29</v>
      </c>
      <c r="N26" s="74">
        <v>30</v>
      </c>
      <c r="O26" s="74">
        <v>29</v>
      </c>
      <c r="P26" s="74">
        <v>28</v>
      </c>
      <c r="Q26" s="93">
        <v>28</v>
      </c>
      <c r="R26" s="74">
        <v>29</v>
      </c>
      <c r="S26" s="74">
        <v>28</v>
      </c>
      <c r="T26" s="74">
        <v>29</v>
      </c>
      <c r="U26" s="74">
        <v>29</v>
      </c>
      <c r="V26" s="74">
        <v>28</v>
      </c>
      <c r="W26" s="74">
        <v>28</v>
      </c>
      <c r="X26" s="74">
        <v>28</v>
      </c>
      <c r="Y26" s="74">
        <v>29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70" t="s" ph="1">
        <v>181</v>
      </c>
      <c r="D27" s="71">
        <v>91.29</v>
      </c>
      <c r="E27" s="71">
        <v>95.87</v>
      </c>
      <c r="F27" s="71">
        <v>4006</v>
      </c>
      <c r="G27" s="71">
        <v>858</v>
      </c>
      <c r="H27" s="71">
        <v>1055</v>
      </c>
      <c r="I27" s="71">
        <v>4247</v>
      </c>
      <c r="J27" s="71">
        <v>3196</v>
      </c>
      <c r="K27" s="71">
        <v>18</v>
      </c>
      <c r="L27" s="71">
        <v>0</v>
      </c>
      <c r="M27" s="71">
        <v>5268</v>
      </c>
      <c r="N27" s="71">
        <v>5335</v>
      </c>
      <c r="O27" s="71">
        <v>2236</v>
      </c>
      <c r="P27" s="71">
        <v>401</v>
      </c>
      <c r="Q27" s="90">
        <v>975</v>
      </c>
      <c r="R27" s="71">
        <v>2884</v>
      </c>
      <c r="S27" s="71">
        <v>1586</v>
      </c>
      <c r="T27" s="71">
        <v>1763</v>
      </c>
      <c r="U27" s="71">
        <v>5492</v>
      </c>
      <c r="V27" s="71">
        <v>9670</v>
      </c>
      <c r="W27" s="71">
        <v>10762</v>
      </c>
      <c r="X27" s="71">
        <v>3448</v>
      </c>
      <c r="Y27" s="71">
        <v>2439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70" t="s" ph="1">
        <v>179</v>
      </c>
      <c r="D28" s="91" ph="1">
        <f>D27*268.68*LOOKUP(D29,密度!$A$2:$A$50,密度!$Q$2:$Q$50)+IF(D27&lt;=0,0,1566*LOOKUP(D29,密度!$A$2:$A$50,密度!$Q$2:$Q$50))</f>
        <v>24704.041561128004</v>
      </c>
      <c r="E28" s="91" ph="1">
        <f>E27*268.68*LOOKUP(E29,密度!$A$2:$A$50,密度!$C$2:$C$50)+IF(E27&lt;=0,0,1566*LOOKUP(E29,密度!$A$2:$A$50,密度!$C$2:$C$50))</f>
        <v>30299.973489240005</v>
      </c>
      <c r="F28" s="91" ph="1">
        <f>F27*11.702*LOOKUP(F29,密度!$A$2:$A$50,密度!$Q$2:$Q$50)</f>
        <v>44221.623725960002</v>
      </c>
      <c r="G28" s="91" ph="1">
        <f>G27*18.322*LOOKUP(G29,密度!$A$2:$A$50,密度!$B$2:$B$50)</f>
        <v>12173.7817344</v>
      </c>
      <c r="H28" s="91" ph="1">
        <f>H27*18.322*LOOKUP(H29,密度!$A$2:$A$50,密度!$B$2:$B$50)</f>
        <v>14968.927424</v>
      </c>
      <c r="I28" s="91" ph="1">
        <f>I27*18.322*LOOKUP(I29,密度!$A$2:$A$50,密度!$Q$2:$Q$50)</f>
        <v>73403.841028220006</v>
      </c>
      <c r="J28" s="91" ph="1">
        <f>J27*18.322*LOOKUP(J29,密度!$A$2:$A$50,密度!$Q$2:$Q$50)</f>
        <v>55238.680462960001</v>
      </c>
      <c r="K28" s="91" ph="1">
        <f>K27*18.322*LOOKUP(K29,密度!$A$2:$A$50,密度!$Q$2:$Q$50)</f>
        <v>311.10646068</v>
      </c>
      <c r="L28" s="91" ph="1">
        <f>L27*18.322*LOOKUP(L29,密度!$A$2:$A$50,密度!$Q$2:$Q$50)</f>
        <v>0</v>
      </c>
      <c r="M28" s="91" ph="1">
        <f>M27*18.322*LOOKUP(M29,密度!$A$2:$A$50,密度!$Q$2:$Q$50)</f>
        <v>90978.100603679995</v>
      </c>
      <c r="N28" s="91" ph="1">
        <f>N27*18.322*LOOKUP(N29,密度!$A$2:$A$50,密度!$Q$2:$Q$50)</f>
        <v>92135.187304599996</v>
      </c>
      <c r="O28" s="91" ph="1">
        <f>O27*18.322*LOOKUP(O29,密度!$A$2:$A$50,密度!$C$2:$C$50)</f>
        <v>45232.7599672</v>
      </c>
      <c r="P28" s="91" ph="1">
        <f>P27*11.702*LOOKUP(P29,密度!$A$2:$A$50,密度!$B$2:$B$50)</f>
        <v>3638.0968006000003</v>
      </c>
      <c r="Q28" s="92" ph="1">
        <f>Q27*18.322*LOOKUP(Q29,密度!$A$2:$A$50,密度!$B$2:$B$50)</f>
        <v>13849.920435</v>
      </c>
      <c r="R28" s="91" ph="1">
        <f>R27*35.891*LOOKUP(R29,密度!$A$2:$A$50,密度!$C$2:$C$50)</f>
        <v>114284.9979404</v>
      </c>
      <c r="S28" s="91" ph="1">
        <f>S27*35.891*LOOKUP(S29,密度!$A$2:$A$50,密度!$B$2:$B$50)</f>
        <v>44132.499587799997</v>
      </c>
      <c r="T28" s="91" ph="1">
        <f>T27*35.891*LOOKUP(T29,密度!$A$2:$A$50,密度!$Q$2:$Q$50)</f>
        <v>59642.534669139997</v>
      </c>
      <c r="U28" s="91" ph="1">
        <f>U27*35.891</f>
        <v>197113.372</v>
      </c>
      <c r="V28" s="91" ph="1">
        <f>V27*47.051*LOOKUP(V29,密度!$A$2:$A$50,密度!$B$2:$B$50)</f>
        <v>352748.45170100004</v>
      </c>
      <c r="W28" s="91" ph="1">
        <f>W27*47.051*LOOKUP(W29,密度!$A$2:$A$50,密度!$B$2:$B$50)</f>
        <v>392583.12690860004</v>
      </c>
      <c r="X28" s="91" ph="1">
        <f>X27*47.051*LOOKUP(X29,密度!$A$2:$A$50,密度!$I$2:$I$50)</f>
        <v>167992.70092248</v>
      </c>
      <c r="Y28" s="91" ph="1">
        <f>Y27*47.051*LOOKUP(Y29,密度!$A$2:$A$50,密度!$L$2:$L$50)</f>
        <v>106953.88654800001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70" t="s" ph="1">
        <v>180</v>
      </c>
      <c r="D29" s="74">
        <v>25</v>
      </c>
      <c r="E29" s="74">
        <v>25</v>
      </c>
      <c r="F29" s="74">
        <v>30</v>
      </c>
      <c r="G29" s="74">
        <v>31</v>
      </c>
      <c r="H29" s="74">
        <v>31</v>
      </c>
      <c r="I29" s="74">
        <v>30</v>
      </c>
      <c r="J29" s="74">
        <v>30</v>
      </c>
      <c r="K29" s="74">
        <v>30</v>
      </c>
      <c r="L29" s="74">
        <v>31</v>
      </c>
      <c r="M29" s="74">
        <v>31</v>
      </c>
      <c r="N29" s="74">
        <v>31</v>
      </c>
      <c r="O29" s="74">
        <v>31</v>
      </c>
      <c r="P29" s="74">
        <v>30</v>
      </c>
      <c r="Q29" s="93">
        <v>30</v>
      </c>
      <c r="R29" s="74">
        <v>31</v>
      </c>
      <c r="S29" s="74">
        <v>30</v>
      </c>
      <c r="T29" s="74">
        <v>31</v>
      </c>
      <c r="U29" s="74">
        <v>31</v>
      </c>
      <c r="V29" s="74">
        <v>30</v>
      </c>
      <c r="W29" s="74">
        <v>30</v>
      </c>
      <c r="X29" s="74">
        <v>31</v>
      </c>
      <c r="Y29" s="74">
        <v>30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70" t="s" ph="1">
        <v>5</v>
      </c>
      <c r="F32" s="169" t="s" ph="1">
        <v>43</v>
      </c>
      <c r="G32" s="97" t="s" ph="1">
        <v>4</v>
      </c>
      <c r="H32" s="170" t="s" ph="1">
        <v>5</v>
      </c>
      <c r="I32" s="169" t="s" ph="1">
        <v>43</v>
      </c>
      <c r="J32" s="97" t="s" ph="1">
        <v>4</v>
      </c>
      <c r="K32" s="170" t="s" ph="1">
        <v>5</v>
      </c>
      <c r="L32" s="169" t="s" ph="1">
        <v>43</v>
      </c>
      <c r="M32" s="97" t="s" ph="1">
        <v>4</v>
      </c>
      <c r="N32" s="170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0" t="s" ph="1">
        <v>5</v>
      </c>
      <c r="U32" s="99" t="s" ph="1">
        <v>43</v>
      </c>
      <c r="V32" s="97" t="s" ph="1">
        <v>4</v>
      </c>
      <c r="W32" s="170" t="s" ph="1">
        <v>5</v>
      </c>
      <c r="X32" s="99" t="s" ph="1">
        <v>43</v>
      </c>
      <c r="Y32" s="100" t="s" ph="1">
        <v>4</v>
      </c>
      <c r="Z32" s="170" t="s" ph="1">
        <v>5</v>
      </c>
      <c r="AA32" s="169" t="s" ph="1">
        <v>43</v>
      </c>
      <c r="AB32" s="97" t="s" ph="1">
        <v>85</v>
      </c>
      <c r="AC32" s="170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217608.86485079999</v>
      </c>
      <c r="E33" s="218" ph="1">
        <f>M10+I10</f>
        <v>20337.439288599999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22" ph="1">
        <v>0</v>
      </c>
      <c r="H33" s="218" ph="1">
        <f>N19</f>
        <v>19711.410539200002</v>
      </c>
      <c r="I33" s="231" ph="1">
        <v>0</v>
      </c>
      <c r="J33" s="229" ph="1">
        <f>F10+O28</f>
        <v>197463.95352519999</v>
      </c>
      <c r="K33" s="218" ph="1">
        <f>O10+K10+E28+R28</f>
        <v>206852.38280884002</v>
      </c>
      <c r="L33" s="233" ph="1">
        <f>BE27</f>
        <v>7100</v>
      </c>
      <c r="M33" s="229" ph="1">
        <f>G10+H10+W28+S28+V28+E10</f>
        <v>1335787.3179164</v>
      </c>
      <c r="N33" s="218" ph="1">
        <f>L10+P10++G28+H28</f>
        <v>118370.09238739999</v>
      </c>
      <c r="O33" s="231" ph="1">
        <f>BE17</f>
        <v>2270</v>
      </c>
      <c r="P33" s="229" ph="1">
        <f>L19</f>
        <v>22752.097016544001</v>
      </c>
      <c r="Q33" s="218" ph="1">
        <f>J10+N10</f>
        <v>131816.59476024</v>
      </c>
      <c r="R33" s="231" ph="1">
        <f>BE23</f>
        <v>890</v>
      </c>
      <c r="S33" s="229" ph="1">
        <f>E10+X28</f>
        <v>355651.31062548002</v>
      </c>
      <c r="T33" s="218" ph="1">
        <f>X19</f>
        <v>6029.4926597040003</v>
      </c>
      <c r="U33" s="239" ph="1">
        <f>BE21</f>
        <v>730</v>
      </c>
      <c r="V33" s="250" ph="1">
        <f ca="1">P19+Q19+S19+M28+N28+J28</f>
        <v>306932.26329507999</v>
      </c>
      <c r="W33" s="250" ph="1">
        <f>D28+F28+V19+T28</f>
        <v>154109.382212036</v>
      </c>
      <c r="X33" s="231" ph="1">
        <f>BE29+BE31</f>
        <v>10200</v>
      </c>
      <c r="Y33" s="252" ph="1">
        <f>+Q10+R10+S10+T10+U10+V10+W10+X10+Y10</f>
        <v>188747.01541080003</v>
      </c>
      <c r="Z33" s="237" ph="1">
        <f>D10+T19+U19+Y28+Z10</f>
        <v>482261.67007056199</v>
      </c>
      <c r="AA33" s="239" ph="1">
        <f>BE19</f>
        <v>1440</v>
      </c>
      <c r="AB33" s="241" ph="1">
        <f>I19</f>
        <v>1075.10597532</v>
      </c>
      <c r="AC33" s="243" ph="1">
        <f>AD10</f>
        <v>106201.29885120002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8" t="s" ph="1">
        <v>186</v>
      </c>
      <c r="AA36" s="168" ph="1"/>
      <c r="AB36" s="236" t="s" ph="1">
        <v>650</v>
      </c>
      <c r="AC36" s="236" ph="1"/>
      <c r="AD36" s="236" ph="1"/>
      <c r="AE36" s="236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29" priority="96">
      <formula>ABS(D$7-D$10)&gt;=1000</formula>
    </cfRule>
  </conditionalFormatting>
  <conditionalFormatting sqref="E4 E6:E11">
    <cfRule type="expression" dxfId="628" priority="95">
      <formula>ABS(E$7-E$10)&gt;=1000</formula>
    </cfRule>
  </conditionalFormatting>
  <conditionalFormatting sqref="F4:F11">
    <cfRule type="expression" dxfId="627" priority="94">
      <formula>ABS(F$7-F$10)&gt;=1000</formula>
    </cfRule>
  </conditionalFormatting>
  <conditionalFormatting sqref="G4:G11">
    <cfRule type="expression" dxfId="626" priority="93">
      <formula>ABS(G$7-G$10)&gt;=1000</formula>
    </cfRule>
  </conditionalFormatting>
  <conditionalFormatting sqref="H4:H11">
    <cfRule type="expression" dxfId="625" priority="92">
      <formula>ABS(H$7-H$10)&gt;=1000</formula>
    </cfRule>
  </conditionalFormatting>
  <conditionalFormatting sqref="I4:I11">
    <cfRule type="expression" dxfId="624" priority="91">
      <formula>ABS(I$7-I$10)&gt;=1000</formula>
    </cfRule>
  </conditionalFormatting>
  <conditionalFormatting sqref="J4:J11">
    <cfRule type="expression" dxfId="623" priority="90">
      <formula>ABS(J$7-J$10)&gt;=1000</formula>
    </cfRule>
  </conditionalFormatting>
  <conditionalFormatting sqref="K4:K11">
    <cfRule type="expression" dxfId="622" priority="89">
      <formula>ABS(K$7-K$10)&gt;=1000</formula>
    </cfRule>
  </conditionalFormatting>
  <conditionalFormatting sqref="L4:L11">
    <cfRule type="expression" dxfId="621" priority="88">
      <formula>ABS(L$7-L$10)&gt;=1000</formula>
    </cfRule>
  </conditionalFormatting>
  <conditionalFormatting sqref="M4 M6:M11">
    <cfRule type="expression" dxfId="620" priority="87">
      <formula>ABS(M$7-M$10)&gt;=1000</formula>
    </cfRule>
  </conditionalFormatting>
  <conditionalFormatting sqref="N4 N6:N11">
    <cfRule type="expression" dxfId="619" priority="86">
      <formula>ABS(N$7-N$10)&gt;=1000</formula>
    </cfRule>
  </conditionalFormatting>
  <conditionalFormatting sqref="O4 O6:O11">
    <cfRule type="expression" dxfId="618" priority="85">
      <formula>ABS(O$7-O$10)&gt;=1000</formula>
    </cfRule>
  </conditionalFormatting>
  <conditionalFormatting sqref="P4 P6:P11">
    <cfRule type="expression" dxfId="617" priority="84">
      <formula>ABS(P$7-P$10)&gt;=1000</formula>
    </cfRule>
  </conditionalFormatting>
  <conditionalFormatting sqref="Q4:Q11">
    <cfRule type="expression" dxfId="616" priority="83">
      <formula>ABS(Q$7-Q$10)&gt;=1000</formula>
    </cfRule>
  </conditionalFormatting>
  <conditionalFormatting sqref="R4:R11">
    <cfRule type="expression" dxfId="615" priority="82">
      <formula>ABS(R$7-R$10)&gt;=1000</formula>
    </cfRule>
  </conditionalFormatting>
  <conditionalFormatting sqref="S4:S11">
    <cfRule type="expression" dxfId="614" priority="81">
      <formula>ABS(S$7-S$10)&gt;=1000</formula>
    </cfRule>
  </conditionalFormatting>
  <conditionalFormatting sqref="T4:T9 T11">
    <cfRule type="expression" dxfId="613" priority="80">
      <formula>ABS(T$7-T$10)&gt;=1000</formula>
    </cfRule>
  </conditionalFormatting>
  <conditionalFormatting sqref="U4:U9 U11">
    <cfRule type="expression" dxfId="612" priority="79">
      <formula>ABS(U$7-U$10)&gt;=1000</formula>
    </cfRule>
  </conditionalFormatting>
  <conditionalFormatting sqref="V4:V9 V11">
    <cfRule type="expression" dxfId="611" priority="78">
      <formula>ABS(V$7-V$10)&gt;=1000</formula>
    </cfRule>
  </conditionalFormatting>
  <conditionalFormatting sqref="W4:W9 W11">
    <cfRule type="expression" dxfId="610" priority="77">
      <formula>ABS(W$7-W$10)&gt;=1000</formula>
    </cfRule>
  </conditionalFormatting>
  <conditionalFormatting sqref="X4:X9 X11">
    <cfRule type="expression" dxfId="609" priority="76">
      <formula>ABS(X$7-X$10)&gt;=1000</formula>
    </cfRule>
  </conditionalFormatting>
  <conditionalFormatting sqref="Y4:Y9 Y11">
    <cfRule type="expression" dxfId="608" priority="75">
      <formula>ABS(Y$7-Y$10)&gt;=1000</formula>
    </cfRule>
  </conditionalFormatting>
  <conditionalFormatting sqref="Z4:Z11">
    <cfRule type="expression" dxfId="607" priority="74">
      <formula>ABS(Z$7-Z$10)&gt;=1000</formula>
    </cfRule>
  </conditionalFormatting>
  <conditionalFormatting sqref="AA4:AA11">
    <cfRule type="expression" dxfId="606" priority="73">
      <formula>ABS(AA$7-AA$10)&gt;=1000</formula>
    </cfRule>
  </conditionalFormatting>
  <conditionalFormatting sqref="AB4:AB11">
    <cfRule type="expression" dxfId="605" priority="72">
      <formula>ABS(AB$7-AB$10)&gt;=1000</formula>
    </cfRule>
  </conditionalFormatting>
  <conditionalFormatting sqref="AC4 AC6:AC11">
    <cfRule type="expression" dxfId="604" priority="71">
      <formula>ABS(AC$7-AC$10)&gt;=1000</formula>
    </cfRule>
  </conditionalFormatting>
  <conditionalFormatting sqref="AD4:AD11">
    <cfRule type="expression" dxfId="603" priority="70">
      <formula>ABS(AD$7-AD$10)&gt;=1000</formula>
    </cfRule>
  </conditionalFormatting>
  <conditionalFormatting sqref="AE4:AE11">
    <cfRule type="expression" dxfId="602" priority="69">
      <formula>ABS(AE$7-AE$10)&gt;=1000</formula>
    </cfRule>
  </conditionalFormatting>
  <conditionalFormatting sqref="D13:D20">
    <cfRule type="expression" dxfId="601" priority="68">
      <formula>ABS(D$16-D$19)&gt;=1000</formula>
    </cfRule>
  </conditionalFormatting>
  <conditionalFormatting sqref="E13:E20">
    <cfRule type="expression" dxfId="600" priority="67">
      <formula>ABS(E$16-E$19)&gt;=1000</formula>
    </cfRule>
  </conditionalFormatting>
  <conditionalFormatting sqref="F13 F15:F20">
    <cfRule type="expression" dxfId="599" priority="66">
      <formula>ABS(F$16-F$19)&gt;=1000</formula>
    </cfRule>
  </conditionalFormatting>
  <conditionalFormatting sqref="G13:G20">
    <cfRule type="expression" dxfId="598" priority="65">
      <formula>ABS(G$16-G$19)&gt;=1000</formula>
    </cfRule>
  </conditionalFormatting>
  <conditionalFormatting sqref="H13:H20">
    <cfRule type="expression" dxfId="597" priority="64">
      <formula>ABS(H$16-H$19)&gt;=1000</formula>
    </cfRule>
  </conditionalFormatting>
  <conditionalFormatting sqref="I13:I20">
    <cfRule type="expression" dxfId="596" priority="63">
      <formula>ABS(I$16-I$19)&gt;=1000</formula>
    </cfRule>
  </conditionalFormatting>
  <conditionalFormatting sqref="J13:J20">
    <cfRule type="expression" dxfId="595" priority="62">
      <formula>ABS(J$16-J$19)&gt;=1000</formula>
    </cfRule>
  </conditionalFormatting>
  <conditionalFormatting sqref="L13:L20">
    <cfRule type="expression" dxfId="594" priority="61">
      <formula>ABS(L$16-L$19)&gt;=1000</formula>
    </cfRule>
  </conditionalFormatting>
  <conditionalFormatting sqref="M13 M15 M17:M18 M20">
    <cfRule type="expression" dxfId="593" priority="60">
      <formula>ABS(M$16-M$19)&gt;=1000</formula>
    </cfRule>
  </conditionalFormatting>
  <conditionalFormatting sqref="N13:N20">
    <cfRule type="expression" dxfId="592" priority="59">
      <formula>ABS(N$16-N$19)&gt;=1000</formula>
    </cfRule>
  </conditionalFormatting>
  <conditionalFormatting sqref="O13:O20">
    <cfRule type="expression" dxfId="591" priority="58">
      <formula>ABS(O$16-O$19)&gt;=1000</formula>
    </cfRule>
  </conditionalFormatting>
  <conditionalFormatting sqref="P13:P20">
    <cfRule type="expression" dxfId="590" priority="57">
      <formula>ABS(P$16-P$19)&gt;=1000</formula>
    </cfRule>
  </conditionalFormatting>
  <conditionalFormatting sqref="Q13 Q15:Q20">
    <cfRule type="expression" dxfId="589" priority="56">
      <formula>ABS(Q$16-Q$19)&gt;=1000</formula>
    </cfRule>
  </conditionalFormatting>
  <conditionalFormatting sqref="R13:R20">
    <cfRule type="expression" dxfId="588" priority="55">
      <formula>ABS(R$16-R$19)&gt;=1000</formula>
    </cfRule>
  </conditionalFormatting>
  <conditionalFormatting sqref="S13:S20">
    <cfRule type="expression" dxfId="587" priority="54">
      <formula>ABS(S$16-S$19)&gt;=1000</formula>
    </cfRule>
  </conditionalFormatting>
  <conditionalFormatting sqref="T13:T20">
    <cfRule type="expression" dxfId="586" priority="53">
      <formula>ABS(T$16-T$19)&gt;=1000</formula>
    </cfRule>
  </conditionalFormatting>
  <conditionalFormatting sqref="U13:U20">
    <cfRule type="expression" dxfId="585" priority="52">
      <formula>ABS(U$16-U$19)&gt;=1000</formula>
    </cfRule>
  </conditionalFormatting>
  <conditionalFormatting sqref="V13:V20">
    <cfRule type="expression" dxfId="584" priority="51">
      <formula>ABS(V$16-V$19)&gt;=1000</formula>
    </cfRule>
  </conditionalFormatting>
  <conditionalFormatting sqref="W13 W20 W15:W18">
    <cfRule type="expression" dxfId="583" priority="50">
      <formula>ABS(W$16-W$19)&gt;=1000</formula>
    </cfRule>
  </conditionalFormatting>
  <conditionalFormatting sqref="X13 X15:X20 Y19">
    <cfRule type="expression" dxfId="582" priority="49">
      <formula>ABS(X$16-X$19)&gt;=1000</formula>
    </cfRule>
  </conditionalFormatting>
  <conditionalFormatting sqref="Y13 Y15:Y18 Y20">
    <cfRule type="expression" dxfId="581" priority="48">
      <formula>ABS(Y$16-Y$19)&gt;=1000</formula>
    </cfRule>
  </conditionalFormatting>
  <conditionalFormatting sqref="Z13:Z20">
    <cfRule type="expression" dxfId="580" priority="47">
      <formula>ABS(Z$16-Z$19)&gt;=1000</formula>
    </cfRule>
  </conditionalFormatting>
  <conditionalFormatting sqref="AA13:AA20">
    <cfRule type="expression" dxfId="579" priority="46">
      <formula>ABS(AA$16-AA$19)&gt;=1000</formula>
    </cfRule>
  </conditionalFormatting>
  <conditionalFormatting sqref="AB13 AB15:AB20">
    <cfRule type="expression" dxfId="578" priority="45">
      <formula>ABS(AB$16-AB$19)&gt;=1000</formula>
    </cfRule>
  </conditionalFormatting>
  <conditionalFormatting sqref="AC13 AC15:AC20">
    <cfRule type="expression" dxfId="577" priority="44">
      <formula>ABS(AC$16-AC$19)&gt;=1000</formula>
    </cfRule>
  </conditionalFormatting>
  <conditionalFormatting sqref="AD13:AD20">
    <cfRule type="expression" dxfId="576" priority="43">
      <formula>ABS(AD$16-AD$19)&gt;=1000</formula>
    </cfRule>
  </conditionalFormatting>
  <conditionalFormatting sqref="AE13:AE20">
    <cfRule type="expression" dxfId="575" priority="42">
      <formula>ABS(AE$16-AE$19)&gt;=1000</formula>
    </cfRule>
  </conditionalFormatting>
  <conditionalFormatting sqref="D22:D29">
    <cfRule type="expression" dxfId="574" priority="41">
      <formula>ABS(D$25-D$28)&gt;=1000</formula>
    </cfRule>
  </conditionalFormatting>
  <conditionalFormatting sqref="E22:E29">
    <cfRule type="expression" dxfId="573" priority="40">
      <formula>ABS(E$25-E$28)&gt;=1000</formula>
    </cfRule>
  </conditionalFormatting>
  <conditionalFormatting sqref="F22:F29">
    <cfRule type="expression" dxfId="572" priority="39">
      <formula>ABS(F$25-F$28)&gt;=1000</formula>
    </cfRule>
  </conditionalFormatting>
  <conditionalFormatting sqref="G22:G29">
    <cfRule type="expression" dxfId="571" priority="38">
      <formula>ABS(G$25-G$28)&gt;=1000</formula>
    </cfRule>
  </conditionalFormatting>
  <conditionalFormatting sqref="H22:H29">
    <cfRule type="expression" dxfId="570" priority="37">
      <formula>ABS(H$25-H$28)&gt;=1000</formula>
    </cfRule>
  </conditionalFormatting>
  <conditionalFormatting sqref="I22 I24:I29">
    <cfRule type="expression" dxfId="569" priority="36">
      <formula>ABS(I$25-I$28)&gt;=1000</formula>
    </cfRule>
  </conditionalFormatting>
  <conditionalFormatting sqref="J22:J29 K22">
    <cfRule type="expression" dxfId="568" priority="35">
      <formula>ABS(J$25-J$28)&gt;=1000</formula>
    </cfRule>
  </conditionalFormatting>
  <conditionalFormatting sqref="K23:K29 L25 L28">
    <cfRule type="expression" dxfId="567" priority="34">
      <formula>ABS(K$25-K$28)&gt;=1000</formula>
    </cfRule>
  </conditionalFormatting>
  <conditionalFormatting sqref="L22:L24 L26:L27 L29">
    <cfRule type="expression" dxfId="566" priority="33">
      <formula>ABS(L$25-L$28)&gt;=1000</formula>
    </cfRule>
  </conditionalFormatting>
  <conditionalFormatting sqref="M22:M29">
    <cfRule type="expression" dxfId="565" priority="32">
      <formula>ABS(M$25-M$28)&gt;=1000</formula>
    </cfRule>
  </conditionalFormatting>
  <conditionalFormatting sqref="N22:N29">
    <cfRule type="expression" dxfId="564" priority="31">
      <formula>ABS(N$25-N$28)&gt;=1000</formula>
    </cfRule>
  </conditionalFormatting>
  <conditionalFormatting sqref="O22:O29">
    <cfRule type="expression" dxfId="563" priority="30">
      <formula>ABS(O$25-O$28)&gt;=1000</formula>
    </cfRule>
  </conditionalFormatting>
  <conditionalFormatting sqref="P22:P29">
    <cfRule type="expression" dxfId="562" priority="29">
      <formula>ABS(P$25-P$28)&gt;=1000</formula>
    </cfRule>
  </conditionalFormatting>
  <conditionalFormatting sqref="Q22:Q29">
    <cfRule type="expression" dxfId="561" priority="28">
      <formula>ABS(Q$25-Q$28)&gt;=1000</formula>
    </cfRule>
  </conditionalFormatting>
  <conditionalFormatting sqref="R22:R29">
    <cfRule type="expression" dxfId="560" priority="27">
      <formula>ABS(R$25-R$28)&gt;=1000</formula>
    </cfRule>
  </conditionalFormatting>
  <conditionalFormatting sqref="S22:S29">
    <cfRule type="expression" dxfId="559" priority="26">
      <formula>ABS(S$25-S$28)&gt;=1000</formula>
    </cfRule>
  </conditionalFormatting>
  <conditionalFormatting sqref="T22:T29">
    <cfRule type="expression" dxfId="558" priority="25">
      <formula>ABS(T$25-T$28)&gt;=1000</formula>
    </cfRule>
  </conditionalFormatting>
  <conditionalFormatting sqref="U22:U29">
    <cfRule type="expression" dxfId="557" priority="24">
      <formula>ABS(U$25-U$28)&gt;=1000</formula>
    </cfRule>
  </conditionalFormatting>
  <conditionalFormatting sqref="V22:V29">
    <cfRule type="expression" dxfId="556" priority="23">
      <formula>ABS(V$25-V$28)&gt;=1000</formula>
    </cfRule>
  </conditionalFormatting>
  <conditionalFormatting sqref="W22:W29">
    <cfRule type="expression" dxfId="555" priority="22">
      <formula>ABS(W$25-W$28)&gt;=1000</formula>
    </cfRule>
  </conditionalFormatting>
  <conditionalFormatting sqref="X22:X29">
    <cfRule type="expression" dxfId="554" priority="21">
      <formula>ABS(X$25-X$28)&gt;=1000</formula>
    </cfRule>
  </conditionalFormatting>
  <conditionalFormatting sqref="Y22:Y29">
    <cfRule type="expression" dxfId="553" priority="20">
      <formula>ABS(Y$25-Y$28)&gt;=1000</formula>
    </cfRule>
  </conditionalFormatting>
  <conditionalFormatting sqref="I23">
    <cfRule type="expression" dxfId="552" priority="19">
      <formula>ABS(I$25-I$28)&gt;=1000</formula>
    </cfRule>
  </conditionalFormatting>
  <conditionalFormatting sqref="F14">
    <cfRule type="expression" dxfId="551" priority="18">
      <formula>ABS(F$16-F$19)&gt;=1000</formula>
    </cfRule>
  </conditionalFormatting>
  <conditionalFormatting sqref="Q14">
    <cfRule type="expression" dxfId="550" priority="17">
      <formula>ABS(Q$16-Q$19)&gt;=1000</formula>
    </cfRule>
  </conditionalFormatting>
  <conditionalFormatting sqref="W14">
    <cfRule type="expression" dxfId="549" priority="16">
      <formula>ABS(W$16-W$19)&gt;=1000</formula>
    </cfRule>
  </conditionalFormatting>
  <conditionalFormatting sqref="Y14">
    <cfRule type="expression" dxfId="548" priority="15">
      <formula>ABS(Y$16-Y$19)&gt;=1000</formula>
    </cfRule>
  </conditionalFormatting>
  <conditionalFormatting sqref="X14">
    <cfRule type="expression" dxfId="547" priority="14">
      <formula>ABS(X$16-X$19)&gt;=1000</formula>
    </cfRule>
  </conditionalFormatting>
  <conditionalFormatting sqref="T10:Y10">
    <cfRule type="expression" dxfId="546" priority="13">
      <formula>ABS(T$7-T$10)&gt;=1000</formula>
    </cfRule>
  </conditionalFormatting>
  <conditionalFormatting sqref="W19">
    <cfRule type="expression" dxfId="545" priority="12">
      <formula>ABS(W$16-W$19)&gt;=1000</formula>
    </cfRule>
  </conditionalFormatting>
  <conditionalFormatting sqref="AC5">
    <cfRule type="expression" dxfId="544" priority="11">
      <formula>ABS(AC$7-AC$10)&gt;=1000</formula>
    </cfRule>
  </conditionalFormatting>
  <conditionalFormatting sqref="M14">
    <cfRule type="expression" dxfId="543" priority="10">
      <formula>ABS(M$16-M$19)&gt;=1000</formula>
    </cfRule>
  </conditionalFormatting>
  <conditionalFormatting sqref="M16">
    <cfRule type="expression" dxfId="542" priority="9">
      <formula>ABS(M$16-M$19)&gt;=1000</formula>
    </cfRule>
  </conditionalFormatting>
  <conditionalFormatting sqref="M19">
    <cfRule type="expression" dxfId="541" priority="8">
      <formula>ABS(M$16-M$19)&gt;=1000</formula>
    </cfRule>
  </conditionalFormatting>
  <conditionalFormatting sqref="K13:K20">
    <cfRule type="expression" dxfId="540" priority="7">
      <formula>ABS(K$16-K$19)&gt;=1000</formula>
    </cfRule>
  </conditionalFormatting>
  <conditionalFormatting sqref="E5">
    <cfRule type="expression" dxfId="539" priority="6">
      <formula>ABS(E$7-E$10)&gt;=1000</formula>
    </cfRule>
  </conditionalFormatting>
  <conditionalFormatting sqref="AB14:AC14">
    <cfRule type="expression" dxfId="538" priority="5">
      <formula>ABS(AB$16-AB$19)&gt;=1000</formula>
    </cfRule>
  </conditionalFormatting>
  <conditionalFormatting sqref="M5">
    <cfRule type="expression" dxfId="537" priority="4">
      <formula>ABS(M$7-M$10)&gt;=1000</formula>
    </cfRule>
  </conditionalFormatting>
  <conditionalFormatting sqref="N5">
    <cfRule type="expression" dxfId="536" priority="3">
      <formula>ABS(N$7-N$10)&gt;=1000</formula>
    </cfRule>
  </conditionalFormatting>
  <conditionalFormatting sqref="O5">
    <cfRule type="expression" dxfId="535" priority="2">
      <formula>ABS(O$7-O$10)&gt;=1000</formula>
    </cfRule>
  </conditionalFormatting>
  <conditionalFormatting sqref="P5">
    <cfRule type="expression" dxfId="534" priority="1">
      <formula>ABS(P$7-P$10)&gt;=1000</formula>
    </cfRule>
  </conditionalFormatting>
  <dataValidations count="1">
    <dataValidation operator="greaterThanOrEqual" allowBlank="1" showErrorMessage="1" sqref="D6" xr:uid="{00000000-0002-0000-13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2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644">
    <pageSetUpPr fitToPage="1"/>
  </sheetPr>
  <dimension ref="A1:CU223"/>
  <sheetViews>
    <sheetView tabSelected="1" view="pageBreakPreview" topLeftCell="A7" zoomScale="80" zoomScaleNormal="100" zoomScaleSheetLayoutView="80" workbookViewId="0">
      <selection activeCell="R24" sqref="R24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45803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70" t="s" ph="1">
        <v>178</v>
      </c>
      <c r="D6" s="71">
        <v>5705</v>
      </c>
      <c r="E6" s="71">
        <v>4707</v>
      </c>
      <c r="F6" s="71">
        <v>4076</v>
      </c>
      <c r="G6" s="71">
        <v>5466</v>
      </c>
      <c r="H6" s="71">
        <v>1026</v>
      </c>
      <c r="I6" s="71">
        <v>0.11</v>
      </c>
      <c r="J6" s="71">
        <v>7.8</v>
      </c>
      <c r="K6" s="71">
        <v>49.11</v>
      </c>
      <c r="L6" s="71">
        <v>46.52</v>
      </c>
      <c r="M6" s="71">
        <v>604</v>
      </c>
      <c r="N6" s="71">
        <v>5026</v>
      </c>
      <c r="O6" s="71">
        <v>2831</v>
      </c>
      <c r="P6" s="71">
        <v>2177</v>
      </c>
      <c r="Q6" s="71">
        <v>7149</v>
      </c>
      <c r="R6" s="71">
        <v>7102</v>
      </c>
      <c r="S6" s="71">
        <v>4490</v>
      </c>
      <c r="T6" s="71">
        <v>2128</v>
      </c>
      <c r="U6" s="71">
        <v>0</v>
      </c>
      <c r="V6" s="71">
        <v>0</v>
      </c>
      <c r="W6" s="71">
        <v>3610</v>
      </c>
      <c r="X6" s="71">
        <v>7066</v>
      </c>
      <c r="Y6" s="71">
        <v>6013</v>
      </c>
      <c r="Z6" s="71">
        <v>6485</v>
      </c>
      <c r="AA6" s="71">
        <v>5091</v>
      </c>
      <c r="AB6" s="71">
        <v>2171</v>
      </c>
      <c r="AC6" s="71">
        <v>3016</v>
      </c>
      <c r="AD6" s="71">
        <v>5411</v>
      </c>
      <c r="AE6" s="71">
        <v>3123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179092.00746045</v>
      </c>
      <c r="E7" s="73" ph="1">
        <f>E6*51.53*LOOKUP(E8,密度!$A$2:$A$50,密度!$B$2:$B$50)</f>
        <v>189748.20273299998</v>
      </c>
      <c r="F7" s="73" ph="1">
        <f>F6*33.183*LOOKUP(F8,密度!$A$2:$A$50,密度!$C$2:$C$50)</f>
        <v>150077.73631679997</v>
      </c>
      <c r="G7" s="73" ph="1">
        <f xml:space="preserve"> (G6+2)*51.53*LOOKUP(G8,密度!$A$2:$A$50,密度!$B$2:$B$50)</f>
        <v>219918.39421999999</v>
      </c>
      <c r="H7" s="73" ph="1">
        <f>(H6)*51.53*LOOKUP(H8,密度!$A$2:$A$50,密度!$B$2:$B$50)</f>
        <v>41539.786145999999</v>
      </c>
      <c r="I7" s="73" ph="1">
        <f>I6*290.8*1.0267</f>
        <v>32.842079599999998</v>
      </c>
      <c r="J7" s="73" ph="1">
        <f>J6*290.8*0.7892</f>
        <v>1790.0950080000002</v>
      </c>
      <c r="K7" s="73" ph="1">
        <f>K6*290.8*1.1126</f>
        <v>15889.2497688</v>
      </c>
      <c r="L7" s="73" ph="1">
        <f>L6*290.8*0.777</f>
        <v>10511.268432000001</v>
      </c>
      <c r="M7" s="73" ph="1">
        <f>M6*33.183*LOOKUP(M8,密度!$A$2:$A$50,密度!$D$2:$D$50)</f>
        <v>20633.786694000002</v>
      </c>
      <c r="N7" s="73" ph="1">
        <f>N6*33.183*LOOKUP(N8,密度!$A$2:$A$50,密度!$E$2:$E$50)</f>
        <v>130620.3400656</v>
      </c>
      <c r="O7" s="73" ph="1">
        <f>O6*20.428*LOOKUP(O8,密度!$A$2:$A$50,密度!$C$2:$C$50)</f>
        <v>63956.041641200012</v>
      </c>
      <c r="P7" s="73" ph="1">
        <f>P6*51.53*LOOKUP(P8,密度!$A$2:$A$50,密度!$B$2:$B$50)</f>
        <v>87759.047663000005</v>
      </c>
      <c r="Q7" s="73" ph="1">
        <f>Q6*1.5*1.5*3.1416*LOOKUP(W8,密度!$A$2:$A$50,密度!$L$2:$L$50)</f>
        <v>47299.282430400002</v>
      </c>
      <c r="R7" s="73" ph="1">
        <f>R6*1.5*1.5*3.1416*LOOKUP(R8,密度!$A$2:$A$50,密度!$L$2:$L$50)</f>
        <v>46837.716987600004</v>
      </c>
      <c r="S7" s="73" ph="1">
        <f>S6*1.5*1.5*3.1416*LOOKUP(S8,密度!$A$2:$A$50,密度!$L$2:$L$50)</f>
        <v>29992.423229999997</v>
      </c>
      <c r="T7" s="73" ph="1">
        <f>T6*1.5*1.5*3.1416*LOOKUP(T8,密度!$A$2:$A$50,密度!$L$2:$L$50)</f>
        <v>14199.629875199998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23884.516656000003</v>
      </c>
      <c r="X7" s="73" ph="1">
        <f>X6*1.5*1.5*3.1416*LOOKUP(X8,密度!$A$2:$A$50,密度!$L$2:$L$50)</f>
        <v>47299.551037199999</v>
      </c>
      <c r="Y7" s="73" ph="1">
        <f>Y6*1.5*1.5*3.1416*LOOKUP(Y8,密度!$A$2:$A$50,密度!$L$2:$L$50)</f>
        <v>39910.778800199994</v>
      </c>
      <c r="Z7" s="73" ph="1">
        <f>Z6*33.183*LOOKUP(Z8,密度!$A$2:$A$50,密度!$L$2:$L$50)</f>
        <v>202495.44145499999</v>
      </c>
      <c r="AA7" s="73" ph="1">
        <f>AA6*33.183*LOOKUP(AA8,密度!$A$2:$A$50,密度!$D$2:$D$50)</f>
        <v>173766.18407579997</v>
      </c>
      <c r="AB7" s="73" ph="1">
        <f>AB6*20.428*LOOKUP(AB8,密度!$A$2:$A$50,密度!$D$2:$D$50)</f>
        <v>45928.019092800008</v>
      </c>
      <c r="AC7" s="73" ph="1">
        <f>AC6*51.53*LOOKUP(AC8,密度!$A$2:$A$50,密度!$Q$2:$Q$50)</f>
        <v>147702.81350240001</v>
      </c>
      <c r="AD7" s="73" ph="1">
        <f>AD6*20.428*LOOKUP(AD8,密度!$A$2:$A$50,密度!$V$2:$V$50)</f>
        <v>106202.9004064</v>
      </c>
      <c r="AE7" s="73" ph="1">
        <f>AE6*20.428</f>
        <v>63796.644</v>
      </c>
    </row>
    <row r="8" spans="1:99" ph="1">
      <c r="B8" s="196" ph="1"/>
      <c r="C8" s="68" t="s" ph="1">
        <v>180</v>
      </c>
      <c r="D8" s="74">
        <v>26</v>
      </c>
      <c r="E8" s="74">
        <v>22</v>
      </c>
      <c r="F8" s="74">
        <v>24</v>
      </c>
      <c r="G8" s="74">
        <v>24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29</v>
      </c>
      <c r="P8" s="74">
        <v>22</v>
      </c>
      <c r="Q8" s="74">
        <v>23</v>
      </c>
      <c r="R8" s="74">
        <v>29</v>
      </c>
      <c r="S8" s="74">
        <v>17</v>
      </c>
      <c r="T8" s="74">
        <v>18</v>
      </c>
      <c r="U8" s="74">
        <v>22</v>
      </c>
      <c r="V8" s="74">
        <v>28</v>
      </c>
      <c r="W8" s="74">
        <v>26</v>
      </c>
      <c r="X8" s="74">
        <v>15</v>
      </c>
      <c r="Y8" s="74">
        <v>23</v>
      </c>
      <c r="Z8" s="74">
        <v>21</v>
      </c>
      <c r="AA8" s="74">
        <v>23</v>
      </c>
      <c r="AB8" s="74">
        <v>15</v>
      </c>
      <c r="AC8" s="74">
        <v>20</v>
      </c>
      <c r="AD8" s="74">
        <v>22</v>
      </c>
      <c r="AE8" s="74">
        <v>29</v>
      </c>
    </row>
    <row r="9" spans="1:99" ph="1">
      <c r="B9" s="196" ph="1">
        <v>0.66666666666666663</v>
      </c>
      <c r="C9" s="170" t="s" ph="1">
        <v>181</v>
      </c>
      <c r="D9" s="71">
        <v>5386</v>
      </c>
      <c r="E9" s="71">
        <v>4705</v>
      </c>
      <c r="F9" s="71">
        <v>5697</v>
      </c>
      <c r="G9" s="71">
        <v>5172</v>
      </c>
      <c r="H9" s="71">
        <v>1026</v>
      </c>
      <c r="I9" s="71">
        <v>0.11</v>
      </c>
      <c r="J9" s="71">
        <v>7.81</v>
      </c>
      <c r="K9" s="71">
        <v>7.81</v>
      </c>
      <c r="L9" s="71">
        <v>11.02</v>
      </c>
      <c r="M9" s="71">
        <v>603</v>
      </c>
      <c r="N9" s="71">
        <v>4799</v>
      </c>
      <c r="O9" s="71">
        <v>3489</v>
      </c>
      <c r="P9" s="71">
        <v>1998</v>
      </c>
      <c r="Q9" s="71">
        <v>7148</v>
      </c>
      <c r="R9" s="71">
        <v>7106</v>
      </c>
      <c r="S9" s="71">
        <v>6747</v>
      </c>
      <c r="T9" s="71">
        <v>4361</v>
      </c>
      <c r="U9" s="71">
        <v>0</v>
      </c>
      <c r="V9" s="71">
        <v>0</v>
      </c>
      <c r="W9" s="71">
        <v>0</v>
      </c>
      <c r="X9" s="71">
        <v>6656</v>
      </c>
      <c r="Y9" s="71">
        <v>6010</v>
      </c>
      <c r="Z9" s="71">
        <v>4180</v>
      </c>
      <c r="AA9" s="71">
        <v>5090</v>
      </c>
      <c r="AB9" s="71">
        <v>2171</v>
      </c>
      <c r="AC9" s="71">
        <v>3402</v>
      </c>
      <c r="AD9" s="71">
        <v>4399</v>
      </c>
      <c r="AE9" s="71">
        <v>3162</v>
      </c>
    </row>
    <row r="10" spans="1:99" s="72" customFormat="1" ht="21.75" ph="1">
      <c r="B10" s="196" ph="1"/>
      <c r="C10" s="170" t="s" ph="1">
        <v>179</v>
      </c>
      <c r="D10" s="73" ph="1">
        <f>D9*33.183*LOOKUP(D11,密度!$A$2:$A$50,密度!$Q$2:$Q$50)</f>
        <v>169077.92325714001</v>
      </c>
      <c r="E10" s="73" ph="1">
        <f>E9*51.53*LOOKUP(E11,密度!$A$2:$A$50,密度!$B$2:$B$50)</f>
        <v>189231.171325</v>
      </c>
      <c r="F10" s="73" ph="1">
        <f>F9*33.183*LOOKUP(F11,密度!$A$2:$A$50,密度!$C$2:$C$50)</f>
        <v>209630.39370390002</v>
      </c>
      <c r="G10" s="73" ph="1">
        <f xml:space="preserve"> (G9+2)*51.53*LOOKUP(G11,密度!$A$2:$A$50,密度!$B$2:$B$50)</f>
        <v>206467.600768</v>
      </c>
      <c r="H10" s="73" ph="1">
        <f>(H9)*51.53*LOOKUP(H11,密度!$A$2:$A$50,密度!$B$2:$B$50)</f>
        <v>41497.490321999998</v>
      </c>
      <c r="I10" s="73" ph="1">
        <f>I9*290.8*1.0267</f>
        <v>32.842079599999998</v>
      </c>
      <c r="J10" s="73" ph="1">
        <f>J9*290.8*0.7892</f>
        <v>1792.3900016000002</v>
      </c>
      <c r="K10" s="73" ph="1">
        <f>K9*290.8*1.1126</f>
        <v>2526.8792648000003</v>
      </c>
      <c r="L10" s="73" ph="1">
        <f>L9*290.8*0.777</f>
        <v>2489.9866320000001</v>
      </c>
      <c r="M10" s="73" ph="1">
        <f>M9*33.183*LOOKUP(M11,密度!$A$2:$A$50,密度!$D$2:$D$50)</f>
        <v>20561.607032399999</v>
      </c>
      <c r="N10" s="73" ph="1">
        <f>N9*33.183*LOOKUP(N11,密度!$A$2:$A$50,密度!$E$2:$E$50)</f>
        <v>124720.85395440001</v>
      </c>
      <c r="O10" s="73" ph="1">
        <f>O9*20.428*LOOKUP(O11,密度!$A$2:$A$50,密度!$C$2:$C$50)</f>
        <v>78821.133622800015</v>
      </c>
      <c r="P10" s="73" ph="1">
        <f>P9*51.53*LOOKUP(P11,密度!$A$2:$A$50,密度!$B$2:$B$50)</f>
        <v>80450.552916000001</v>
      </c>
      <c r="Q10" s="73" ph="1">
        <f>Q9*1.5*1.5*3.1416*LOOKUP(W11,密度!$A$2:$A$50,密度!$L$2:$L$50)</f>
        <v>47343.192573600005</v>
      </c>
      <c r="R10" s="73" ph="1">
        <f>R9*1.5*1.5*3.1416*LOOKUP(R11,密度!$A$2:$A$50,密度!$L$2:$L$50)</f>
        <v>46864.097002800001</v>
      </c>
      <c r="S10" s="73" ph="1">
        <f>S9*1.5*1.5*3.1416*LOOKUP(S11,密度!$A$2:$A$50,密度!$L$2:$L$50)</f>
        <v>45021.100924799997</v>
      </c>
      <c r="T10" s="73" ph="1">
        <f>T9*1.5*1.5*3.1416*LOOKUP(T11,密度!$A$2:$A$50,密度!$L$2:$L$50)</f>
        <v>29038.247053199997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44507.977113599998</v>
      </c>
      <c r="Y10" s="73" ph="1">
        <f>Y9*1.5*1.5*3.1416*LOOKUP(Y11,密度!$A$2:$A$50,密度!$L$2:$L$50)</f>
        <v>39890.866554</v>
      </c>
      <c r="Z10" s="73" ph="1">
        <f>Z9*33.183*LOOKUP(Z11,密度!$A$2:$A$50,密度!$L$2:$L$50)</f>
        <v>130521.34853999999</v>
      </c>
      <c r="AA10" s="73" ph="1">
        <f>AA9*33.183*LOOKUP(AA11,密度!$A$2:$A$50,密度!$D$2:$D$50)</f>
        <v>173411.139249</v>
      </c>
      <c r="AB10" s="73" ph="1">
        <f>AB9*20.428*LOOKUP(AB11,密度!$A$2:$A$50,密度!$D$2:$D$50)</f>
        <v>45928.019092800008</v>
      </c>
      <c r="AC10" s="73" ph="1">
        <f>AC9*51.53*LOOKUP(AC11,密度!$A$2:$A$50,密度!$Q$2:$Q$50)</f>
        <v>166380.27939539999</v>
      </c>
      <c r="AD10" s="73" ph="1">
        <f>AD9*20.428*LOOKUP(AD11,密度!$A$2:$A$50,密度!$V$2:$V$50)</f>
        <v>86340.151337599993</v>
      </c>
      <c r="AE10" s="73" ph="1">
        <f>AE9*20.428</f>
        <v>64593.336000000003</v>
      </c>
    </row>
    <row r="11" spans="1:99" ph="1">
      <c r="A11" s="64" t="s" ph="1">
        <v>163</v>
      </c>
      <c r="B11" s="196" ph="1"/>
      <c r="C11" s="170" t="s" ph="1">
        <v>180</v>
      </c>
      <c r="D11" s="74">
        <v>26</v>
      </c>
      <c r="E11" s="74">
        <v>24</v>
      </c>
      <c r="F11" s="74">
        <v>25</v>
      </c>
      <c r="G11" s="74">
        <v>31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29</v>
      </c>
      <c r="P11" s="74">
        <v>23</v>
      </c>
      <c r="Q11" s="74">
        <v>24</v>
      </c>
      <c r="R11" s="74">
        <v>29</v>
      </c>
      <c r="S11" s="74">
        <v>18</v>
      </c>
      <c r="T11" s="74">
        <v>20</v>
      </c>
      <c r="U11" s="74">
        <v>22</v>
      </c>
      <c r="V11" s="74">
        <v>28</v>
      </c>
      <c r="W11" s="74">
        <v>25</v>
      </c>
      <c r="X11" s="74">
        <v>16</v>
      </c>
      <c r="Y11" s="74">
        <v>23</v>
      </c>
      <c r="Z11" s="74">
        <v>21</v>
      </c>
      <c r="AA11" s="74">
        <v>25</v>
      </c>
      <c r="AB11" s="74">
        <v>15</v>
      </c>
      <c r="AC11" s="74">
        <v>22</v>
      </c>
      <c r="AD11" s="74">
        <v>23</v>
      </c>
      <c r="AE11" s="74">
        <v>30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7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70" t="s" ph="1">
        <v>178</v>
      </c>
      <c r="D15" s="78">
        <v>4119</v>
      </c>
      <c r="E15" s="78">
        <v>3073</v>
      </c>
      <c r="F15" s="78">
        <v>3361</v>
      </c>
      <c r="G15" s="78">
        <v>2076</v>
      </c>
      <c r="H15" s="78">
        <v>0</v>
      </c>
      <c r="I15" s="78">
        <v>118</v>
      </c>
      <c r="J15" s="78">
        <v>356</v>
      </c>
      <c r="K15" s="78">
        <v>323</v>
      </c>
      <c r="L15" s="78">
        <v>3224</v>
      </c>
      <c r="M15" s="78">
        <v>5880</v>
      </c>
      <c r="N15" s="78">
        <v>917</v>
      </c>
      <c r="O15" s="78">
        <v>6057</v>
      </c>
      <c r="P15" s="78">
        <v>3169</v>
      </c>
      <c r="Q15" s="78">
        <v>3536</v>
      </c>
      <c r="R15" s="78">
        <v>3506</v>
      </c>
      <c r="S15" s="78">
        <v>0</v>
      </c>
      <c r="T15" s="78">
        <v>679</v>
      </c>
      <c r="U15" s="78">
        <v>5312</v>
      </c>
      <c r="V15" s="78">
        <v>2370</v>
      </c>
      <c r="W15" s="71">
        <v>-792</v>
      </c>
      <c r="X15" s="78">
        <v>28</v>
      </c>
      <c r="Y15" s="106">
        <v>-9904</v>
      </c>
      <c r="Z15" s="78">
        <v>0</v>
      </c>
      <c r="AA15" s="78">
        <v>4220</v>
      </c>
      <c r="AB15" s="78" ph="1">
        <v>2358</v>
      </c>
      <c r="AC15" s="78" ph="1">
        <v>30</v>
      </c>
      <c r="AD15" s="78">
        <v>72.900000000000006</v>
      </c>
      <c r="AE15" s="78">
        <v>5.41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70" t="s" ph="1">
        <v>179</v>
      </c>
      <c r="D16" s="73" ph="1">
        <f>D15*7.0686*LOOKUP(D17,密度!$A$2:$A$50,密度!$L$2:$L$50)</f>
        <v>27339.514032599996</v>
      </c>
      <c r="E16" s="73" ph="1">
        <f>E15*7.0686*LOOKUP(E17,密度!$A$2:$A$50,密度!$L$2:$L$50)</f>
        <v>20396.777524199999</v>
      </c>
      <c r="F16" s="73" ph="1">
        <f>F15*9.0746*LOOKUP(F17,密度!$A$2:$A$50,密度!$L$2:$L$50)</f>
        <v>28578.247572200002</v>
      </c>
      <c r="G16" s="73" ph="1">
        <f>G15*9.0746*LOOKUP(G17,密度!$A$2:$A$50,密度!$B$2:$B$50)</f>
        <v>14720.69270544</v>
      </c>
      <c r="H16" s="73" ph="1">
        <f>H15*9.0746*LOOKUP(H17,密度!$A$2:$A$50,密度!$L$2:$L$50)</f>
        <v>0</v>
      </c>
      <c r="I16" s="73" ph="1">
        <f>I15*9.0746*LOOKUP(I17,密度!$A$2:$A$50,密度!$U$2:$U$50)</f>
        <v>1100.7852783999999</v>
      </c>
      <c r="J16" s="73" ph="1">
        <f>J15*9.0746*LOOKUP(J17,密度!$A$2:$A$50,密度!$L$2:$L$50)</f>
        <v>3036.7241439999998</v>
      </c>
      <c r="K16" s="73" ph="1">
        <f>K15*9.0746*LOOKUP(K17,密度!$A$2:$A$50,密度!$C$2:$C$50)</f>
        <v>3261.1371870800003</v>
      </c>
      <c r="L16" s="73" ph="1">
        <f>L15*9.0746*LOOKUP(L17,密度!$A$2:$A$50,密度!$E$2:$E$50)</f>
        <v>22948.806757759998</v>
      </c>
      <c r="M16" s="73" ph="1">
        <f>M15*9.0746*LOOKUP(M17,密度!$A$2:$A$50,密度!$M$2:$M$50)</f>
        <v>46694.152864800002</v>
      </c>
      <c r="N16" s="73" ph="1">
        <f>N15*9.0746*LOOKUP(N17,密度!$A$2:$A$50,密度!$M$2:$M$50)</f>
        <v>7325.3356384599992</v>
      </c>
      <c r="O16" s="73" ph="1">
        <f>O15*9.0746*LOOKUP(O17,密度!$A$2:$A$50,密度!$G$2:$G$50)</f>
        <v>52777.251082440001</v>
      </c>
      <c r="P16" s="73" ph="1">
        <f ca="1">P15*9.0746*LOOKUP(P17,密度!$A$2:$A$51,密度!$Q$2:$Q$50)</f>
        <v>27225.787881876</v>
      </c>
      <c r="Q16" s="73" ph="1">
        <f>Q15*9.0746*LOOKUP(Q17,密度!$A$2:$A$50,密度!$Q$2:$Q$50)</f>
        <v>30356.007811168001</v>
      </c>
      <c r="R16" s="73" ph="1">
        <f>MAX(R15*9.0746*LOOKUP(R17,密度!$A$2:$A$50,密度!$B$2:$B$50),0)</f>
        <v>24803.40090896</v>
      </c>
      <c r="S16" s="73" ph="1">
        <f>S15*9.0746*LOOKUP(S17,密度!$A$2:$A$50,密度!$Q$2:$Q$50)</f>
        <v>0</v>
      </c>
      <c r="T16" s="73" ph="1">
        <f>T15*9.0746*LOOKUP(T17,密度!$A$2:$A$50,密度!$O$2:$O$50)</f>
        <v>5730.3376620000008</v>
      </c>
      <c r="U16" s="73" ph="1">
        <f>U15*9.0746*LOOKUP(U17,密度!$A$2:$A$50,密度!$H$2:$H$50)</f>
        <v>44241.883778560004</v>
      </c>
      <c r="V16" s="73" ph="1">
        <f>MAX(5600*LOOKUP(V17,密度!$A$2:$A$50,密度!$Q$2:$Q$50)+V15*9.0476*LOOKUP(V17,密度!$A$2:$A$50,密度!$Q$2:$Q$50),0)</f>
        <v>25510.295843960001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6119.0741091200007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29958.031427599999</v>
      </c>
      <c r="AB16" s="73" ph="1">
        <f>AB15*9.0746*LOOKUP(AB17,密度!$A$2:$A$50,密度!$L$2:$L$50)</f>
        <v>20071.236578399999</v>
      </c>
      <c r="AC16" s="73" ph="1">
        <f>AC15*9.0746*LOOKUP(AC17,密度!$A$2:$A$50,密度!$L$2:$L$50)</f>
        <v>256.72043400000001</v>
      </c>
      <c r="AD16" s="73" ph="1">
        <f>AD15*268.68*LOOKUP(AD17,密度!$A$2:$A$50,密度!B2:B50)+IF(AD15&lt;=0,0,1566*LOOKUP(AD17,密度!$A$2:$A$50,密度!B2:B50))</f>
        <v>16490.701051199998</v>
      </c>
      <c r="AE16" s="73" ph="1">
        <f>AE15*268.68*LOOKUP(AE17,密度!$A$2:$A$50,密度!B2:B50)+IF(AE15&lt;=0,0,1566*LOOKUP(AE17,密度!$A$2:$A$50,密度!B2:B50))</f>
        <v>2354.0480404800001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23</v>
      </c>
      <c r="E17" s="74">
        <v>23</v>
      </c>
      <c r="F17" s="74">
        <v>25</v>
      </c>
      <c r="G17" s="74">
        <v>23</v>
      </c>
      <c r="H17" s="74">
        <v>18</v>
      </c>
      <c r="I17" s="74">
        <v>21</v>
      </c>
      <c r="J17" s="74">
        <v>22</v>
      </c>
      <c r="K17" s="74">
        <v>20</v>
      </c>
      <c r="L17" s="74">
        <v>24</v>
      </c>
      <c r="M17" s="74">
        <v>25</v>
      </c>
      <c r="N17" s="74">
        <v>20</v>
      </c>
      <c r="O17" s="74">
        <v>25</v>
      </c>
      <c r="P17" s="74">
        <v>25</v>
      </c>
      <c r="Q17" s="74">
        <v>26</v>
      </c>
      <c r="R17" s="74">
        <v>25</v>
      </c>
      <c r="S17" s="74">
        <v>21</v>
      </c>
      <c r="T17" s="74">
        <v>20</v>
      </c>
      <c r="U17" s="74">
        <v>22</v>
      </c>
      <c r="V17" s="74">
        <v>30</v>
      </c>
      <c r="W17" s="74">
        <v>21</v>
      </c>
      <c r="X17" s="74">
        <v>22</v>
      </c>
      <c r="Y17" s="108">
        <v>22</v>
      </c>
      <c r="Z17" s="74">
        <v>22</v>
      </c>
      <c r="AA17" s="74">
        <v>22</v>
      </c>
      <c r="AB17" s="74">
        <v>24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4118</v>
      </c>
      <c r="E18" s="71">
        <v>48</v>
      </c>
      <c r="F18" s="71">
        <v>3412</v>
      </c>
      <c r="G18" s="71">
        <v>2108</v>
      </c>
      <c r="H18" s="71">
        <v>0</v>
      </c>
      <c r="I18" s="71">
        <v>118</v>
      </c>
      <c r="J18" s="71">
        <v>633</v>
      </c>
      <c r="K18" s="71">
        <v>323</v>
      </c>
      <c r="L18" s="71">
        <v>3220</v>
      </c>
      <c r="M18" s="71">
        <v>2911</v>
      </c>
      <c r="N18" s="71">
        <v>3246</v>
      </c>
      <c r="O18" s="71">
        <v>6055</v>
      </c>
      <c r="P18" s="71">
        <v>4059</v>
      </c>
      <c r="Q18" s="71">
        <v>3534</v>
      </c>
      <c r="R18" s="71">
        <v>3506</v>
      </c>
      <c r="S18" s="71">
        <v>0</v>
      </c>
      <c r="T18" s="71">
        <v>67</v>
      </c>
      <c r="U18" s="71">
        <v>5309</v>
      </c>
      <c r="V18" s="71">
        <v>2367</v>
      </c>
      <c r="W18" s="71">
        <v>-792</v>
      </c>
      <c r="X18" s="71">
        <v>26</v>
      </c>
      <c r="Y18" s="109">
        <v>-9905</v>
      </c>
      <c r="Z18" s="71">
        <v>0</v>
      </c>
      <c r="AA18" s="71">
        <v>4217</v>
      </c>
      <c r="AB18" s="71">
        <v>2358</v>
      </c>
      <c r="AC18" s="71">
        <v>21</v>
      </c>
      <c r="AD18" s="71">
        <v>84.61</v>
      </c>
      <c r="AE18" s="71">
        <v>25.5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70" t="s" ph="1">
        <v>179</v>
      </c>
      <c r="D19" s="73" ph="1">
        <f>D18*7.0686*LOOKUP(D20,密度!$A$2:$A$50,密度!$L$2:$L$50)</f>
        <v>27303.768122399997</v>
      </c>
      <c r="E19" s="73" ph="1">
        <f>E18*7.0686*LOOKUP(E20,密度!$A$2:$A$50,密度!$L$2:$L$50)</f>
        <v>317.91735360000001</v>
      </c>
      <c r="F19" s="73" ph="1">
        <f>F18*9.0746*LOOKUP(F20,密度!$A$2:$A$50,密度!$L$2:$L$50)</f>
        <v>28949.970412000002</v>
      </c>
      <c r="G19" s="73" ph="1">
        <f>G18*9.0746*LOOKUP(G20,密度!$A$2:$A$50,密度!$B$2:$B$50)</f>
        <v>14930.384932399998</v>
      </c>
      <c r="H19" s="73" ph="1">
        <f>H18*9.0746*LOOKUP(H20,密度!$A$2:$A$50,密度!$L$2:$L$50)</f>
        <v>0</v>
      </c>
      <c r="I19" s="73" ph="1">
        <f>I18*9.0746*LOOKUP(I20,密度!$A$2:$A$50,密度!$U$2:$U$50)</f>
        <v>1099.7144755999998</v>
      </c>
      <c r="J19" s="73" ph="1">
        <f>J18*9.0746*LOOKUP(J20,密度!$A$2:$A$50,密度!$L$2:$L$50)</f>
        <v>5382.3358266000005</v>
      </c>
      <c r="K19" s="73" ph="1">
        <f>K18*9.0746*LOOKUP(K20,密度!$A$2:$A$50,密度!$C$2:$C$50)</f>
        <v>3254.6887763200002</v>
      </c>
      <c r="L19" s="73" ph="1">
        <f>L18*9.0746*LOOKUP(L20,密度!$A$2:$A$50,密度!$E$2:$E$50)</f>
        <v>22885.270038399998</v>
      </c>
      <c r="M19" s="73" ph="1">
        <f>M18*9.0746*LOOKUP(M20,密度!$A$2:$A$50,密度!$M$2:$M$50)</f>
        <v>23090.365980459999</v>
      </c>
      <c r="N19" s="73" ph="1">
        <f>N18*9.0746*LOOKUP(N20,密度!$A$2:$A$50,密度!$M$2:$M$50)</f>
        <v>25862.501104800001</v>
      </c>
      <c r="O19" s="73" ph="1">
        <f>O18*9.0746*LOOKUP(O20,密度!$A$2:$A$50,密度!$G$2:$G$50)</f>
        <v>52759.824220600007</v>
      </c>
      <c r="P19" s="73" ph="1">
        <f ca="1">P18*9.0746*LOOKUP(P20,密度!$A$2:$A$51,密度!$Q$2:$Q$50)</f>
        <v>34872.033137436003</v>
      </c>
      <c r="Q19" s="73" ph="1">
        <f>Q18*9.0746*LOOKUP(Q20,密度!$A$2:$A$50,密度!$Q$2:$Q$50)</f>
        <v>30361.607565335999</v>
      </c>
      <c r="R19" s="73" ph="1">
        <f>MAX(R18*9.0746*LOOKUP(R20,密度!$A$2:$A$50,密度!$B$2:$B$50),0)</f>
        <v>24774.766916119999</v>
      </c>
      <c r="S19" s="73" ph="1">
        <f>S18*9.0746*LOOKUP(S20,密度!$A$2:$A$50,密度!$Q$2:$Q$50)</f>
        <v>0</v>
      </c>
      <c r="T19" s="73" ph="1">
        <f>T18*9.0746*LOOKUP(T20,密度!$A$2:$A$50,密度!$O$2:$O$50)</f>
        <v>565.43832600000007</v>
      </c>
      <c r="U19" s="73" ph="1">
        <f>U18*9.0746*LOOKUP(U20,密度!$A$2:$A$50,密度!$H$2:$H$50)</f>
        <v>44216.897774919998</v>
      </c>
      <c r="V19" s="73" ph="1">
        <f>MAX(5600*LOOKUP(V20,密度!$A$2:$A$50,密度!$Q$2:$Q$50)+V18*9.0476*LOOKUP(V20,密度!$A$2:$A$50,密度!$Q$2:$Q$50),0)</f>
        <v>25484.691226435996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6097.2397682399996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29936.734248859997</v>
      </c>
      <c r="AB19" s="73" ph="1">
        <f>AB18*9.0746*LOOKUP(AB20,密度!$A$2:$A$50,密度!$L$2:$L$50)</f>
        <v>20049.838671600002</v>
      </c>
      <c r="AC19" s="73" ph="1">
        <f>AC18*9.0746*LOOKUP(AC20,密度!$A$2:$A$50,密度!$L$2:$L$50)</f>
        <v>179.51373719999998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6540.2731800000001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24</v>
      </c>
      <c r="E20" s="81">
        <v>25</v>
      </c>
      <c r="F20" s="81">
        <v>27</v>
      </c>
      <c r="G20" s="81">
        <v>24</v>
      </c>
      <c r="H20" s="81">
        <v>20</v>
      </c>
      <c r="I20" s="81">
        <v>23</v>
      </c>
      <c r="J20" s="81">
        <v>25</v>
      </c>
      <c r="K20" s="81">
        <v>23</v>
      </c>
      <c r="L20" s="81">
        <v>25</v>
      </c>
      <c r="M20" s="81">
        <v>26</v>
      </c>
      <c r="N20" s="81">
        <v>22</v>
      </c>
      <c r="O20" s="81">
        <v>25</v>
      </c>
      <c r="P20" s="81">
        <v>25</v>
      </c>
      <c r="Q20" s="81">
        <v>25</v>
      </c>
      <c r="R20" s="81">
        <v>26</v>
      </c>
      <c r="S20" s="81">
        <v>22</v>
      </c>
      <c r="T20" s="81">
        <v>23</v>
      </c>
      <c r="U20" s="81">
        <v>22</v>
      </c>
      <c r="V20" s="81">
        <v>30</v>
      </c>
      <c r="W20" s="81">
        <v>22</v>
      </c>
      <c r="X20" s="81">
        <v>23</v>
      </c>
      <c r="Y20" s="110">
        <v>24</v>
      </c>
      <c r="Z20" s="81">
        <v>24</v>
      </c>
      <c r="AA20" s="81">
        <v>22</v>
      </c>
      <c r="AB20" s="81">
        <v>25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651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70" t="s" ph="1">
        <v>178</v>
      </c>
      <c r="D24" s="71">
        <v>90.62</v>
      </c>
      <c r="E24" s="71">
        <v>95.52</v>
      </c>
      <c r="F24" s="71">
        <v>3991</v>
      </c>
      <c r="G24" s="71">
        <v>1919</v>
      </c>
      <c r="H24" s="71">
        <v>2063</v>
      </c>
      <c r="I24" s="71">
        <v>4227</v>
      </c>
      <c r="J24" s="71">
        <v>3183</v>
      </c>
      <c r="K24" s="71">
        <v>0</v>
      </c>
      <c r="L24" s="71">
        <v>0</v>
      </c>
      <c r="M24" s="71">
        <v>5244</v>
      </c>
      <c r="N24" s="71">
        <v>5319</v>
      </c>
      <c r="O24" s="71">
        <v>2236</v>
      </c>
      <c r="P24" s="71">
        <v>885</v>
      </c>
      <c r="Q24" s="90">
        <v>2006</v>
      </c>
      <c r="R24" s="71">
        <v>2315</v>
      </c>
      <c r="S24" s="71">
        <v>1586</v>
      </c>
      <c r="T24" s="71">
        <v>1762</v>
      </c>
      <c r="U24" s="71">
        <v>5440</v>
      </c>
      <c r="V24" s="71">
        <v>9645</v>
      </c>
      <c r="W24" s="71">
        <v>10735</v>
      </c>
      <c r="X24" s="71">
        <v>3447</v>
      </c>
      <c r="Y24" s="71">
        <v>2742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24533.613591984005</v>
      </c>
      <c r="E25" s="91" ph="1">
        <f>E24*268.68*LOOKUP(E26,密度!$A$2:$A$50,密度!$C$2:$C$50)+IF(E24&lt;=0,0,1566*LOOKUP(E26,密度!$A$2:$A$50,密度!$C$2:$C$50))</f>
        <v>30195.694751040002</v>
      </c>
      <c r="F25" s="91" ph="1">
        <f>F24*11.702*LOOKUP(F26,密度!$A$2:$A$50,密度!$Q$2:$Q$50)</f>
        <v>44283.483072400006</v>
      </c>
      <c r="G25" s="91" ph="1">
        <f>G24*18.322*LOOKUP(G26,密度!$A$2:$A$50,密度!$B$2:$B$50)</f>
        <v>27505.603851399999</v>
      </c>
      <c r="H25" s="91" ph="1">
        <f>H24*18.322*LOOKUP(H26,密度!$A$2:$A$50,密度!$B$2:$B$50)</f>
        <v>29569.5991378</v>
      </c>
      <c r="I25" s="91" ph="1">
        <f>I24*18.322*LOOKUP(I26,密度!$A$2:$A$50,密度!$Q$2:$Q$50)</f>
        <v>73504.262444459993</v>
      </c>
      <c r="J25" s="91" ph="1">
        <f>J24*18.322*LOOKUP(J26,密度!$A$2:$A$50,密度!$Q$2:$Q$50)</f>
        <v>55298.005633200002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91246.754623920002</v>
      </c>
      <c r="N25" s="91" ph="1">
        <f>N24*18.322*LOOKUP(N26,密度!$A$2:$A$50,密度!$Q$2:$Q$50)</f>
        <v>92493.298306619996</v>
      </c>
      <c r="O25" s="91" ph="1">
        <f>O24*18.322*LOOKUP(O26,密度!$A$2:$A$50,密度!$C$2:$C$50)</f>
        <v>45396.631935199999</v>
      </c>
      <c r="P25" s="91" ph="1">
        <f>P24*11.702*LOOKUP(P26,密度!$A$2:$A$50,密度!$B$2:$B$50)</f>
        <v>8073.7480919999998</v>
      </c>
      <c r="Q25" s="92" ph="1">
        <f>Q24*18.322*LOOKUP(Q26,密度!$A$2:$A$50,密度!$B$2:$B$50)</f>
        <v>28653.3653872</v>
      </c>
      <c r="R25" s="91" ph="1">
        <f>R24*35.891*LOOKUP(R26,密度!$A$2:$A$50,密度!$C$2:$C$50)</f>
        <v>92069.441586500005</v>
      </c>
      <c r="S25" s="91" ph="1">
        <f>S24*35.891*LOOKUP(S26,密度!$A$2:$A$50,密度!$B$2:$B$50)</f>
        <v>44377.269029599993</v>
      </c>
      <c r="T25" s="91" ph="1">
        <f>T24*35.891*LOOKUP(T26,密度!$A$2:$A$50,密度!$Q$2:$Q$50)</f>
        <v>59964.113004400002</v>
      </c>
      <c r="U25" s="91" ph="1">
        <f>U24*35.891</f>
        <v>195247.03999999998</v>
      </c>
      <c r="V25" s="91" ph="1">
        <f>V24*47.051*LOOKUP(V26,密度!$A$2:$A$50,密度!$B$2:$B$50)</f>
        <v>353016.38362050004</v>
      </c>
      <c r="W25" s="91" ph="1">
        <f>W24*47.051*LOOKUP(W26,密度!$A$2:$A$50,密度!$B$2:$B$50)</f>
        <v>393315.51806949999</v>
      </c>
      <c r="X25" s="91" ph="1">
        <f>X24*47.051*LOOKUP(X26,密度!$A$2:$A$50,密度!$I$2:$I$50)</f>
        <v>168493.7856033</v>
      </c>
      <c r="Y25" s="91" ph="1">
        <f>Y24*47.051*LOOKUP(Y26,密度!$A$2:$A$50,密度!$L$2:$L$50)</f>
        <v>120498.92842800001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23</v>
      </c>
      <c r="G26" s="74">
        <v>22</v>
      </c>
      <c r="H26" s="74">
        <v>22</v>
      </c>
      <c r="I26" s="74">
        <v>22</v>
      </c>
      <c r="J26" s="74">
        <v>23</v>
      </c>
      <c r="K26" s="74">
        <v>22</v>
      </c>
      <c r="L26" s="74">
        <v>25</v>
      </c>
      <c r="M26" s="74">
        <v>21</v>
      </c>
      <c r="N26" s="74">
        <v>22</v>
      </c>
      <c r="O26" s="74">
        <v>26</v>
      </c>
      <c r="P26" s="74">
        <v>25</v>
      </c>
      <c r="Q26" s="93">
        <v>25</v>
      </c>
      <c r="R26" s="74">
        <v>26</v>
      </c>
      <c r="S26" s="74">
        <v>25</v>
      </c>
      <c r="T26" s="74">
        <v>23</v>
      </c>
      <c r="U26" s="74">
        <v>22</v>
      </c>
      <c r="V26" s="74">
        <v>27</v>
      </c>
      <c r="W26" s="74">
        <v>26</v>
      </c>
      <c r="X26" s="74">
        <v>28</v>
      </c>
      <c r="Y26" s="74">
        <v>28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70" t="s" ph="1">
        <v>181</v>
      </c>
      <c r="D27" s="71">
        <v>90.62</v>
      </c>
      <c r="E27" s="71">
        <v>95.51</v>
      </c>
      <c r="F27" s="71">
        <v>3990</v>
      </c>
      <c r="G27" s="71">
        <v>1552</v>
      </c>
      <c r="H27" s="71">
        <v>1497</v>
      </c>
      <c r="I27" s="71">
        <v>4225</v>
      </c>
      <c r="J27" s="71">
        <v>3182</v>
      </c>
      <c r="K27" s="71">
        <v>0</v>
      </c>
      <c r="L27" s="71">
        <v>0</v>
      </c>
      <c r="M27" s="71">
        <v>5242</v>
      </c>
      <c r="N27" s="71">
        <v>5316</v>
      </c>
      <c r="O27" s="71">
        <v>2234</v>
      </c>
      <c r="P27" s="71">
        <v>885</v>
      </c>
      <c r="Q27" s="90">
        <v>2226</v>
      </c>
      <c r="R27" s="71">
        <v>2314</v>
      </c>
      <c r="S27" s="71">
        <v>1583</v>
      </c>
      <c r="T27" s="71">
        <v>1769</v>
      </c>
      <c r="U27" s="71">
        <v>4903</v>
      </c>
      <c r="V27" s="71">
        <v>9642</v>
      </c>
      <c r="W27" s="71">
        <v>10729</v>
      </c>
      <c r="X27" s="71">
        <v>3424</v>
      </c>
      <c r="Y27" s="71">
        <v>3364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70" t="s" ph="1">
        <v>179</v>
      </c>
      <c r="D28" s="91" ph="1">
        <f>D27*268.68*LOOKUP(D29,密度!$A$2:$A$50,密度!$Q$2:$Q$50)+IF(D27&lt;=0,0,1566*LOOKUP(D29,密度!$A$2:$A$50,密度!$Q$2:$Q$50))</f>
        <v>24533.613591984005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22194.098191999998</v>
      </c>
      <c r="H28" s="91" ph="1">
        <f>H27*18.322*LOOKUP(H29,密度!$A$2:$A$50,密度!$B$2:$B$50)</f>
        <v>21407.580536999998</v>
      </c>
      <c r="I28" s="91" ph="1">
        <f>I27*18.322*LOOKUP(I29,密度!$A$2:$A$50,密度!$Q$2:$Q$50)</f>
        <v>73287.569432999997</v>
      </c>
      <c r="J28" s="91" ph="1">
        <f>J27*18.322*LOOKUP(J29,密度!$A$2:$A$50,密度!$Q$2:$Q$50)</f>
        <v>55195.513830960001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92212.241208480002</v>
      </c>
      <c r="O28" s="91" ph="1">
        <f>O27*18.322*LOOKUP(O29,密度!$A$2:$A$50,密度!$C$2:$C$50)</f>
        <v>45388.771797199995</v>
      </c>
      <c r="P28" s="91" ph="1">
        <f>P27*11.702*LOOKUP(P29,密度!$A$2:$A$50,密度!$B$2:$B$50)</f>
        <v>8083.0687349999998</v>
      </c>
      <c r="Q28" s="92" ph="1">
        <f>Q27*18.322*LOOKUP(Q29,密度!$A$2:$A$50,密度!$B$2:$B$50)</f>
        <v>31795.808251199996</v>
      </c>
      <c r="R28" s="91" ph="1">
        <f>R27*35.891*LOOKUP(R29,密度!$A$2:$A$50,密度!$C$2:$C$50)</f>
        <v>92029.670769399992</v>
      </c>
      <c r="S28" s="91" ph="1">
        <f>S27*35.891*LOOKUP(S29,密度!$A$2:$A$50,密度!$B$2:$B$50)</f>
        <v>44293.327158799992</v>
      </c>
      <c r="T28" s="91" ph="1">
        <f>T27*35.891*LOOKUP(T29,密度!$A$2:$A$50,密度!$Q$2:$Q$50)</f>
        <v>60109.638806459996</v>
      </c>
      <c r="U28" s="91" ph="1">
        <f>U27*35.891</f>
        <v>175973.573</v>
      </c>
      <c r="V28" s="91" ph="1">
        <f>V27*47.051*LOOKUP(V29,密度!$A$2:$A$50,密度!$B$2:$B$50)</f>
        <v>353677.81246320001</v>
      </c>
      <c r="W28" s="91" ph="1">
        <f>W27*47.051*LOOKUP(W29,密度!$A$2:$A$50,密度!$B$2:$B$50)</f>
        <v>393095.68638729997</v>
      </c>
      <c r="X28" s="91" ph="1">
        <f>X27*47.051*LOOKUP(X29,密度!$A$2:$A$50,密度!$I$2:$I$50)</f>
        <v>167546.72896000001</v>
      </c>
      <c r="Y28" s="91" ph="1">
        <f>Y27*47.051*LOOKUP(Y29,密度!$A$2:$A$50,密度!$L$2:$L$50)</f>
        <v>147991.39234000002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70" t="s" ph="1">
        <v>180</v>
      </c>
      <c r="D29" s="74">
        <v>25</v>
      </c>
      <c r="E29" s="74">
        <v>25</v>
      </c>
      <c r="F29" s="74">
        <v>25</v>
      </c>
      <c r="G29" s="74">
        <v>24</v>
      </c>
      <c r="H29" s="74">
        <v>24</v>
      </c>
      <c r="I29" s="74">
        <v>25</v>
      </c>
      <c r="J29" s="74">
        <v>25</v>
      </c>
      <c r="K29" s="74">
        <v>26</v>
      </c>
      <c r="L29" s="74">
        <v>26</v>
      </c>
      <c r="M29" s="74">
        <v>26</v>
      </c>
      <c r="N29" s="74">
        <v>25</v>
      </c>
      <c r="O29" s="74">
        <v>25</v>
      </c>
      <c r="P29" s="74">
        <v>24</v>
      </c>
      <c r="Q29" s="93">
        <v>25</v>
      </c>
      <c r="R29" s="74">
        <v>26</v>
      </c>
      <c r="S29" s="74">
        <v>25</v>
      </c>
      <c r="T29" s="74">
        <v>25</v>
      </c>
      <c r="U29" s="74">
        <v>26</v>
      </c>
      <c r="V29" s="74">
        <v>25</v>
      </c>
      <c r="W29" s="74">
        <v>26</v>
      </c>
      <c r="X29" s="74">
        <v>27</v>
      </c>
      <c r="Y29" s="74">
        <v>27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70" t="s" ph="1">
        <v>5</v>
      </c>
      <c r="F32" s="169" t="s" ph="1">
        <v>43</v>
      </c>
      <c r="G32" s="97" t="s" ph="1">
        <v>4</v>
      </c>
      <c r="H32" s="170" t="s" ph="1">
        <v>5</v>
      </c>
      <c r="I32" s="169" t="s" ph="1">
        <v>43</v>
      </c>
      <c r="J32" s="97" t="s" ph="1">
        <v>4</v>
      </c>
      <c r="K32" s="170" t="s" ph="1">
        <v>5</v>
      </c>
      <c r="L32" s="169" t="s" ph="1">
        <v>43</v>
      </c>
      <c r="M32" s="97" t="s" ph="1">
        <v>4</v>
      </c>
      <c r="N32" s="170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0" t="s" ph="1">
        <v>5</v>
      </c>
      <c r="U32" s="99" t="s" ph="1">
        <v>43</v>
      </c>
      <c r="V32" s="97" t="s" ph="1">
        <v>4</v>
      </c>
      <c r="W32" s="170" t="s" ph="1">
        <v>5</v>
      </c>
      <c r="X32" s="99" t="s" ph="1">
        <v>43</v>
      </c>
      <c r="Y32" s="100" t="s" ph="1">
        <v>4</v>
      </c>
      <c r="Z32" s="170" t="s" ph="1">
        <v>5</v>
      </c>
      <c r="AA32" s="169" t="s" ph="1">
        <v>43</v>
      </c>
      <c r="AB32" s="97" t="s" ph="1">
        <v>85</v>
      </c>
      <c r="AC32" s="170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219339.15834180001</v>
      </c>
      <c r="E33" s="218" ph="1">
        <f>M10+I10</f>
        <v>20594.449111999998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22" ph="1">
        <v>0</v>
      </c>
      <c r="H33" s="218" ph="1">
        <f>N19</f>
        <v>25862.501104800001</v>
      </c>
      <c r="I33" s="231" ph="1">
        <v>0</v>
      </c>
      <c r="J33" s="229" ph="1">
        <f>F10+O28</f>
        <v>255019.16550110001</v>
      </c>
      <c r="K33" s="218" ph="1">
        <f>O10+K10+E28+R28</f>
        <v>203570.39901552</v>
      </c>
      <c r="L33" s="233" ph="1">
        <f>BE27</f>
        <v>7100</v>
      </c>
      <c r="M33" s="229" ph="1">
        <f>G10+H10+W28+S28+V28+E10</f>
        <v>1228263.0884243001</v>
      </c>
      <c r="N33" s="218" ph="1">
        <f>L10+P10++G28+H28</f>
        <v>126542.21827700001</v>
      </c>
      <c r="O33" s="231" ph="1">
        <f>BE17</f>
        <v>2270</v>
      </c>
      <c r="P33" s="229" ph="1">
        <f>L19</f>
        <v>22885.270038399998</v>
      </c>
      <c r="Q33" s="218" ph="1">
        <f>J10+N10</f>
        <v>126513.24395600001</v>
      </c>
      <c r="R33" s="231" ph="1">
        <f>BE23</f>
        <v>890</v>
      </c>
      <c r="S33" s="229" ph="1">
        <f>E10+X28</f>
        <v>356777.90028499998</v>
      </c>
      <c r="T33" s="218" ph="1">
        <f>X19</f>
        <v>6097.2397682399996</v>
      </c>
      <c r="U33" s="239" ph="1">
        <f>BE21</f>
        <v>730</v>
      </c>
      <c r="V33" s="250" ph="1">
        <f ca="1">P19+Q19+S19+M28+N28+J28</f>
        <v>303501.82916393201</v>
      </c>
      <c r="W33" s="250" ph="1">
        <f>D28+F28+V19+T28</f>
        <v>154332.16203008001</v>
      </c>
      <c r="X33" s="231" ph="1">
        <f>BE29+BE31</f>
        <v>10200</v>
      </c>
      <c r="Y33" s="252" ph="1">
        <f>+Q10+R10+S10+T10+U10+V10+W10+X10+Y10</f>
        <v>252665.48122200003</v>
      </c>
      <c r="Z33" s="237" ph="1">
        <f>D10+T19+U19+Y28+Z10</f>
        <v>492373.00023806002</v>
      </c>
      <c r="AA33" s="239" ph="1">
        <f>BE19</f>
        <v>1440</v>
      </c>
      <c r="AB33" s="241" ph="1">
        <f>I19</f>
        <v>1099.7144755999998</v>
      </c>
      <c r="AC33" s="243" ph="1">
        <f>AD10</f>
        <v>86340.151337599993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8" t="s" ph="1">
        <v>186</v>
      </c>
      <c r="AA36" s="168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03" priority="96">
      <formula>ABS(D$7-D$10)&gt;=1000</formula>
    </cfRule>
  </conditionalFormatting>
  <conditionalFormatting sqref="E4 E6:E11">
    <cfRule type="expression" dxfId="502" priority="95">
      <formula>ABS(E$7-E$10)&gt;=1000</formula>
    </cfRule>
  </conditionalFormatting>
  <conditionalFormatting sqref="F4:F11">
    <cfRule type="expression" dxfId="501" priority="94">
      <formula>ABS(F$7-F$10)&gt;=1000</formula>
    </cfRule>
  </conditionalFormatting>
  <conditionalFormatting sqref="G4:G11">
    <cfRule type="expression" dxfId="500" priority="93">
      <formula>ABS(G$7-G$10)&gt;=1000</formula>
    </cfRule>
  </conditionalFormatting>
  <conditionalFormatting sqref="H4:H11">
    <cfRule type="expression" dxfId="499" priority="92">
      <formula>ABS(H$7-H$10)&gt;=1000</formula>
    </cfRule>
  </conditionalFormatting>
  <conditionalFormatting sqref="I4:I11">
    <cfRule type="expression" dxfId="498" priority="91">
      <formula>ABS(I$7-I$10)&gt;=1000</formula>
    </cfRule>
  </conditionalFormatting>
  <conditionalFormatting sqref="J4:J11">
    <cfRule type="expression" dxfId="497" priority="90">
      <formula>ABS(J$7-J$10)&gt;=1000</formula>
    </cfRule>
  </conditionalFormatting>
  <conditionalFormatting sqref="K4:K11">
    <cfRule type="expression" dxfId="496" priority="89">
      <formula>ABS(K$7-K$10)&gt;=1000</formula>
    </cfRule>
  </conditionalFormatting>
  <conditionalFormatting sqref="L4:L11">
    <cfRule type="expression" dxfId="495" priority="88">
      <formula>ABS(L$7-L$10)&gt;=1000</formula>
    </cfRule>
  </conditionalFormatting>
  <conditionalFormatting sqref="M4 M6:M11">
    <cfRule type="expression" dxfId="494" priority="87">
      <formula>ABS(M$7-M$10)&gt;=1000</formula>
    </cfRule>
  </conditionalFormatting>
  <conditionalFormatting sqref="N4 N6:N11">
    <cfRule type="expression" dxfId="493" priority="86">
      <formula>ABS(N$7-N$10)&gt;=1000</formula>
    </cfRule>
  </conditionalFormatting>
  <conditionalFormatting sqref="O4 O6:O11">
    <cfRule type="expression" dxfId="492" priority="85">
      <formula>ABS(O$7-O$10)&gt;=1000</formula>
    </cfRule>
  </conditionalFormatting>
  <conditionalFormatting sqref="P4 P6:P11">
    <cfRule type="expression" dxfId="491" priority="84">
      <formula>ABS(P$7-P$10)&gt;=1000</formula>
    </cfRule>
  </conditionalFormatting>
  <conditionalFormatting sqref="Q4:Q11">
    <cfRule type="expression" dxfId="490" priority="83">
      <formula>ABS(Q$7-Q$10)&gt;=1000</formula>
    </cfRule>
  </conditionalFormatting>
  <conditionalFormatting sqref="R4:R11">
    <cfRule type="expression" dxfId="489" priority="82">
      <formula>ABS(R$7-R$10)&gt;=1000</formula>
    </cfRule>
  </conditionalFormatting>
  <conditionalFormatting sqref="S4:S11">
    <cfRule type="expression" dxfId="488" priority="81">
      <formula>ABS(S$7-S$10)&gt;=1000</formula>
    </cfRule>
  </conditionalFormatting>
  <conditionalFormatting sqref="T4:T9 T11">
    <cfRule type="expression" dxfId="487" priority="80">
      <formula>ABS(T$7-T$10)&gt;=1000</formula>
    </cfRule>
  </conditionalFormatting>
  <conditionalFormatting sqref="U4:U9 U11">
    <cfRule type="expression" dxfId="486" priority="79">
      <formula>ABS(U$7-U$10)&gt;=1000</formula>
    </cfRule>
  </conditionalFormatting>
  <conditionalFormatting sqref="V4:V9 V11">
    <cfRule type="expression" dxfId="485" priority="78">
      <formula>ABS(V$7-V$10)&gt;=1000</formula>
    </cfRule>
  </conditionalFormatting>
  <conditionalFormatting sqref="W4:W9 W11">
    <cfRule type="expression" dxfId="484" priority="77">
      <formula>ABS(W$7-W$10)&gt;=1000</formula>
    </cfRule>
  </conditionalFormatting>
  <conditionalFormatting sqref="X4:X9 X11">
    <cfRule type="expression" dxfId="483" priority="76">
      <formula>ABS(X$7-X$10)&gt;=1000</formula>
    </cfRule>
  </conditionalFormatting>
  <conditionalFormatting sqref="Y4:Y9 Y11">
    <cfRule type="expression" dxfId="482" priority="75">
      <formula>ABS(Y$7-Y$10)&gt;=1000</formula>
    </cfRule>
  </conditionalFormatting>
  <conditionalFormatting sqref="Z4:Z11">
    <cfRule type="expression" dxfId="481" priority="74">
      <formula>ABS(Z$7-Z$10)&gt;=1000</formula>
    </cfRule>
  </conditionalFormatting>
  <conditionalFormatting sqref="AA4:AA11">
    <cfRule type="expression" dxfId="480" priority="73">
      <formula>ABS(AA$7-AA$10)&gt;=1000</formula>
    </cfRule>
  </conditionalFormatting>
  <conditionalFormatting sqref="AB4:AB11">
    <cfRule type="expression" dxfId="479" priority="72">
      <formula>ABS(AB$7-AB$10)&gt;=1000</formula>
    </cfRule>
  </conditionalFormatting>
  <conditionalFormatting sqref="AC4 AC6:AC11">
    <cfRule type="expression" dxfId="478" priority="71">
      <formula>ABS(AC$7-AC$10)&gt;=1000</formula>
    </cfRule>
  </conditionalFormatting>
  <conditionalFormatting sqref="AD4:AD11">
    <cfRule type="expression" dxfId="477" priority="70">
      <formula>ABS(AD$7-AD$10)&gt;=1000</formula>
    </cfRule>
  </conditionalFormatting>
  <conditionalFormatting sqref="AE4:AE11">
    <cfRule type="expression" dxfId="476" priority="69">
      <formula>ABS(AE$7-AE$10)&gt;=1000</formula>
    </cfRule>
  </conditionalFormatting>
  <conditionalFormatting sqref="D13:D20">
    <cfRule type="expression" dxfId="475" priority="68">
      <formula>ABS(D$16-D$19)&gt;=1000</formula>
    </cfRule>
  </conditionalFormatting>
  <conditionalFormatting sqref="E13:E20">
    <cfRule type="expression" dxfId="474" priority="67">
      <formula>ABS(E$16-E$19)&gt;=1000</formula>
    </cfRule>
  </conditionalFormatting>
  <conditionalFormatting sqref="F13 F15:F20">
    <cfRule type="expression" dxfId="473" priority="66">
      <formula>ABS(F$16-F$19)&gt;=1000</formula>
    </cfRule>
  </conditionalFormatting>
  <conditionalFormatting sqref="G13:G20">
    <cfRule type="expression" dxfId="472" priority="65">
      <formula>ABS(G$16-G$19)&gt;=1000</formula>
    </cfRule>
  </conditionalFormatting>
  <conditionalFormatting sqref="H13:H20">
    <cfRule type="expression" dxfId="471" priority="64">
      <formula>ABS(H$16-H$19)&gt;=1000</formula>
    </cfRule>
  </conditionalFormatting>
  <conditionalFormatting sqref="I13:I20">
    <cfRule type="expression" dxfId="470" priority="63">
      <formula>ABS(I$16-I$19)&gt;=1000</formula>
    </cfRule>
  </conditionalFormatting>
  <conditionalFormatting sqref="J13:J20">
    <cfRule type="expression" dxfId="469" priority="62">
      <formula>ABS(J$16-J$19)&gt;=1000</formula>
    </cfRule>
  </conditionalFormatting>
  <conditionalFormatting sqref="L13:L20">
    <cfRule type="expression" dxfId="468" priority="61">
      <formula>ABS(L$16-L$19)&gt;=1000</formula>
    </cfRule>
  </conditionalFormatting>
  <conditionalFormatting sqref="M13 M15 M17:M18 M20">
    <cfRule type="expression" dxfId="467" priority="60">
      <formula>ABS(M$16-M$19)&gt;=1000</formula>
    </cfRule>
  </conditionalFormatting>
  <conditionalFormatting sqref="N13:N20">
    <cfRule type="expression" dxfId="466" priority="59">
      <formula>ABS(N$16-N$19)&gt;=1000</formula>
    </cfRule>
  </conditionalFormatting>
  <conditionalFormatting sqref="O13:O20">
    <cfRule type="expression" dxfId="465" priority="58">
      <formula>ABS(O$16-O$19)&gt;=1000</formula>
    </cfRule>
  </conditionalFormatting>
  <conditionalFormatting sqref="P13:P20">
    <cfRule type="expression" dxfId="464" priority="57">
      <formula>ABS(P$16-P$19)&gt;=1000</formula>
    </cfRule>
  </conditionalFormatting>
  <conditionalFormatting sqref="Q13 Q15:Q20">
    <cfRule type="expression" dxfId="463" priority="56">
      <formula>ABS(Q$16-Q$19)&gt;=1000</formula>
    </cfRule>
  </conditionalFormatting>
  <conditionalFormatting sqref="R13:R20">
    <cfRule type="expression" dxfId="462" priority="55">
      <formula>ABS(R$16-R$19)&gt;=1000</formula>
    </cfRule>
  </conditionalFormatting>
  <conditionalFormatting sqref="S13:S20">
    <cfRule type="expression" dxfId="461" priority="54">
      <formula>ABS(S$16-S$19)&gt;=1000</formula>
    </cfRule>
  </conditionalFormatting>
  <conditionalFormatting sqref="T13:T20">
    <cfRule type="expression" dxfId="460" priority="53">
      <formula>ABS(T$16-T$19)&gt;=1000</formula>
    </cfRule>
  </conditionalFormatting>
  <conditionalFormatting sqref="U13:U20">
    <cfRule type="expression" dxfId="459" priority="52">
      <formula>ABS(U$16-U$19)&gt;=1000</formula>
    </cfRule>
  </conditionalFormatting>
  <conditionalFormatting sqref="V13:V20">
    <cfRule type="expression" dxfId="458" priority="51">
      <formula>ABS(V$16-V$19)&gt;=1000</formula>
    </cfRule>
  </conditionalFormatting>
  <conditionalFormatting sqref="W13 W20 W15:W18">
    <cfRule type="expression" dxfId="457" priority="50">
      <formula>ABS(W$16-W$19)&gt;=1000</formula>
    </cfRule>
  </conditionalFormatting>
  <conditionalFormatting sqref="X13 X15:X20 Y19">
    <cfRule type="expression" dxfId="456" priority="49">
      <formula>ABS(X$16-X$19)&gt;=1000</formula>
    </cfRule>
  </conditionalFormatting>
  <conditionalFormatting sqref="Y13 Y15:Y18 Y20">
    <cfRule type="expression" dxfId="455" priority="48">
      <formula>ABS(Y$16-Y$19)&gt;=1000</formula>
    </cfRule>
  </conditionalFormatting>
  <conditionalFormatting sqref="Z13:Z20">
    <cfRule type="expression" dxfId="454" priority="47">
      <formula>ABS(Z$16-Z$19)&gt;=1000</formula>
    </cfRule>
  </conditionalFormatting>
  <conditionalFormatting sqref="AA13:AA20">
    <cfRule type="expression" dxfId="453" priority="46">
      <formula>ABS(AA$16-AA$19)&gt;=1000</formula>
    </cfRule>
  </conditionalFormatting>
  <conditionalFormatting sqref="AB13 AB15:AB20">
    <cfRule type="expression" dxfId="452" priority="45">
      <formula>ABS(AB$16-AB$19)&gt;=1000</formula>
    </cfRule>
  </conditionalFormatting>
  <conditionalFormatting sqref="AC13 AC15:AC20">
    <cfRule type="expression" dxfId="451" priority="44">
      <formula>ABS(AC$16-AC$19)&gt;=1000</formula>
    </cfRule>
  </conditionalFormatting>
  <conditionalFormatting sqref="AD13:AD20">
    <cfRule type="expression" dxfId="450" priority="43">
      <formula>ABS(AD$16-AD$19)&gt;=1000</formula>
    </cfRule>
  </conditionalFormatting>
  <conditionalFormatting sqref="AE13:AE20">
    <cfRule type="expression" dxfId="449" priority="42">
      <formula>ABS(AE$16-AE$19)&gt;=1000</formula>
    </cfRule>
  </conditionalFormatting>
  <conditionalFormatting sqref="D22:D29">
    <cfRule type="expression" dxfId="448" priority="41">
      <formula>ABS(D$25-D$28)&gt;=1000</formula>
    </cfRule>
  </conditionalFormatting>
  <conditionalFormatting sqref="E22:E29">
    <cfRule type="expression" dxfId="447" priority="40">
      <formula>ABS(E$25-E$28)&gt;=1000</formula>
    </cfRule>
  </conditionalFormatting>
  <conditionalFormatting sqref="F22:F29">
    <cfRule type="expression" dxfId="446" priority="39">
      <formula>ABS(F$25-F$28)&gt;=1000</formula>
    </cfRule>
  </conditionalFormatting>
  <conditionalFormatting sqref="G22:G29">
    <cfRule type="expression" dxfId="445" priority="38">
      <formula>ABS(G$25-G$28)&gt;=1000</formula>
    </cfRule>
  </conditionalFormatting>
  <conditionalFormatting sqref="H22:H29">
    <cfRule type="expression" dxfId="444" priority="37">
      <formula>ABS(H$25-H$28)&gt;=1000</formula>
    </cfRule>
  </conditionalFormatting>
  <conditionalFormatting sqref="I22 I24:I29">
    <cfRule type="expression" dxfId="443" priority="36">
      <formula>ABS(I$25-I$28)&gt;=1000</formula>
    </cfRule>
  </conditionalFormatting>
  <conditionalFormatting sqref="J22:J29 K22">
    <cfRule type="expression" dxfId="442" priority="35">
      <formula>ABS(J$25-J$28)&gt;=1000</formula>
    </cfRule>
  </conditionalFormatting>
  <conditionalFormatting sqref="K23:K29 L25 L28">
    <cfRule type="expression" dxfId="441" priority="34">
      <formula>ABS(K$25-K$28)&gt;=1000</formula>
    </cfRule>
  </conditionalFormatting>
  <conditionalFormatting sqref="L22:L24 L26:L27 L29">
    <cfRule type="expression" dxfId="440" priority="33">
      <formula>ABS(L$25-L$28)&gt;=1000</formula>
    </cfRule>
  </conditionalFormatting>
  <conditionalFormatting sqref="M22:M29">
    <cfRule type="expression" dxfId="439" priority="32">
      <formula>ABS(M$25-M$28)&gt;=1000</formula>
    </cfRule>
  </conditionalFormatting>
  <conditionalFormatting sqref="N22:N29">
    <cfRule type="expression" dxfId="438" priority="31">
      <formula>ABS(N$25-N$28)&gt;=1000</formula>
    </cfRule>
  </conditionalFormatting>
  <conditionalFormatting sqref="O22:O29">
    <cfRule type="expression" dxfId="437" priority="30">
      <formula>ABS(O$25-O$28)&gt;=1000</formula>
    </cfRule>
  </conditionalFormatting>
  <conditionalFormatting sqref="P22:P29">
    <cfRule type="expression" dxfId="436" priority="29">
      <formula>ABS(P$25-P$28)&gt;=1000</formula>
    </cfRule>
  </conditionalFormatting>
  <conditionalFormatting sqref="Q22:Q29">
    <cfRule type="expression" dxfId="435" priority="28">
      <formula>ABS(Q$25-Q$28)&gt;=1000</formula>
    </cfRule>
  </conditionalFormatting>
  <conditionalFormatting sqref="R22:R29">
    <cfRule type="expression" dxfId="434" priority="27">
      <formula>ABS(R$25-R$28)&gt;=1000</formula>
    </cfRule>
  </conditionalFormatting>
  <conditionalFormatting sqref="S22:S29">
    <cfRule type="expression" dxfId="433" priority="26">
      <formula>ABS(S$25-S$28)&gt;=1000</formula>
    </cfRule>
  </conditionalFormatting>
  <conditionalFormatting sqref="T22:T29">
    <cfRule type="expression" dxfId="432" priority="25">
      <formula>ABS(T$25-T$28)&gt;=1000</formula>
    </cfRule>
  </conditionalFormatting>
  <conditionalFormatting sqref="U22:U29">
    <cfRule type="expression" dxfId="431" priority="24">
      <formula>ABS(U$25-U$28)&gt;=1000</formula>
    </cfRule>
  </conditionalFormatting>
  <conditionalFormatting sqref="V22:V29">
    <cfRule type="expression" dxfId="430" priority="23">
      <formula>ABS(V$25-V$28)&gt;=1000</formula>
    </cfRule>
  </conditionalFormatting>
  <conditionalFormatting sqref="W22:W29">
    <cfRule type="expression" dxfId="429" priority="22">
      <formula>ABS(W$25-W$28)&gt;=1000</formula>
    </cfRule>
  </conditionalFormatting>
  <conditionalFormatting sqref="X22:X29">
    <cfRule type="expression" dxfId="428" priority="21">
      <formula>ABS(X$25-X$28)&gt;=1000</formula>
    </cfRule>
  </conditionalFormatting>
  <conditionalFormatting sqref="Y22:Y29">
    <cfRule type="expression" dxfId="427" priority="20">
      <formula>ABS(Y$25-Y$28)&gt;=1000</formula>
    </cfRule>
  </conditionalFormatting>
  <conditionalFormatting sqref="I23">
    <cfRule type="expression" dxfId="426" priority="19">
      <formula>ABS(I$25-I$28)&gt;=1000</formula>
    </cfRule>
  </conditionalFormatting>
  <conditionalFormatting sqref="F14">
    <cfRule type="expression" dxfId="425" priority="18">
      <formula>ABS(F$16-F$19)&gt;=1000</formula>
    </cfRule>
  </conditionalFormatting>
  <conditionalFormatting sqref="Q14">
    <cfRule type="expression" dxfId="424" priority="17">
      <formula>ABS(Q$16-Q$19)&gt;=1000</formula>
    </cfRule>
  </conditionalFormatting>
  <conditionalFormatting sqref="W14">
    <cfRule type="expression" dxfId="423" priority="16">
      <formula>ABS(W$16-W$19)&gt;=1000</formula>
    </cfRule>
  </conditionalFormatting>
  <conditionalFormatting sqref="Y14">
    <cfRule type="expression" dxfId="422" priority="15">
      <formula>ABS(Y$16-Y$19)&gt;=1000</formula>
    </cfRule>
  </conditionalFormatting>
  <conditionalFormatting sqref="X14">
    <cfRule type="expression" dxfId="421" priority="14">
      <formula>ABS(X$16-X$19)&gt;=1000</formula>
    </cfRule>
  </conditionalFormatting>
  <conditionalFormatting sqref="T10:Y10">
    <cfRule type="expression" dxfId="420" priority="13">
      <formula>ABS(T$7-T$10)&gt;=1000</formula>
    </cfRule>
  </conditionalFormatting>
  <conditionalFormatting sqref="W19">
    <cfRule type="expression" dxfId="419" priority="12">
      <formula>ABS(W$16-W$19)&gt;=1000</formula>
    </cfRule>
  </conditionalFormatting>
  <conditionalFormatting sqref="AC5">
    <cfRule type="expression" dxfId="418" priority="11">
      <formula>ABS(AC$7-AC$10)&gt;=1000</formula>
    </cfRule>
  </conditionalFormatting>
  <conditionalFormatting sqref="M14">
    <cfRule type="expression" dxfId="417" priority="10">
      <formula>ABS(M$16-M$19)&gt;=1000</formula>
    </cfRule>
  </conditionalFormatting>
  <conditionalFormatting sqref="M16">
    <cfRule type="expression" dxfId="416" priority="9">
      <formula>ABS(M$16-M$19)&gt;=1000</formula>
    </cfRule>
  </conditionalFormatting>
  <conditionalFormatting sqref="M19">
    <cfRule type="expression" dxfId="415" priority="8">
      <formula>ABS(M$16-M$19)&gt;=1000</formula>
    </cfRule>
  </conditionalFormatting>
  <conditionalFormatting sqref="K13:K20">
    <cfRule type="expression" dxfId="414" priority="7">
      <formula>ABS(K$16-K$19)&gt;=1000</formula>
    </cfRule>
  </conditionalFormatting>
  <conditionalFormatting sqref="E5">
    <cfRule type="expression" dxfId="413" priority="6">
      <formula>ABS(E$7-E$10)&gt;=1000</formula>
    </cfRule>
  </conditionalFormatting>
  <conditionalFormatting sqref="AB14:AC14">
    <cfRule type="expression" dxfId="412" priority="5">
      <formula>ABS(AB$16-AB$19)&gt;=1000</formula>
    </cfRule>
  </conditionalFormatting>
  <conditionalFormatting sqref="M5">
    <cfRule type="expression" dxfId="411" priority="4">
      <formula>ABS(M$7-M$10)&gt;=1000</formula>
    </cfRule>
  </conditionalFormatting>
  <conditionalFormatting sqref="N5">
    <cfRule type="expression" dxfId="410" priority="3">
      <formula>ABS(N$7-N$10)&gt;=1000</formula>
    </cfRule>
  </conditionalFormatting>
  <conditionalFormatting sqref="O5">
    <cfRule type="expression" dxfId="409" priority="2">
      <formula>ABS(O$7-O$10)&gt;=1000</formula>
    </cfRule>
  </conditionalFormatting>
  <conditionalFormatting sqref="P5">
    <cfRule type="expression" dxfId="408" priority="1">
      <formula>ABS(P$7-P$10)&gt;=1000</formula>
    </cfRule>
  </conditionalFormatting>
  <dataValidations count="1">
    <dataValidation operator="greaterThanOrEqual" allowBlank="1" showErrorMessage="1" sqref="D6" xr:uid="{00000000-0002-0000-14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36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1645">
    <pageSetUpPr fitToPage="1"/>
  </sheetPr>
  <dimension ref="A1:CU223"/>
  <sheetViews>
    <sheetView view="pageBreakPreview" topLeftCell="A10" zoomScale="80" zoomScaleNormal="100" zoomScaleSheetLayoutView="80" workbookViewId="0">
      <selection activeCell="AB36" sqref="AB36:AC36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45804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70" t="s" ph="1">
        <v>178</v>
      </c>
      <c r="D6" s="71">
        <v>4937</v>
      </c>
      <c r="E6" s="71">
        <v>4699</v>
      </c>
      <c r="F6" s="71">
        <v>5693</v>
      </c>
      <c r="G6" s="71">
        <v>4550</v>
      </c>
      <c r="H6" s="71">
        <v>1026</v>
      </c>
      <c r="I6" s="71">
        <v>0.11</v>
      </c>
      <c r="J6" s="71">
        <v>7.82</v>
      </c>
      <c r="K6" s="71">
        <v>60.52</v>
      </c>
      <c r="L6" s="71">
        <v>41.42</v>
      </c>
      <c r="M6" s="71">
        <v>602</v>
      </c>
      <c r="N6" s="71">
        <v>4792</v>
      </c>
      <c r="O6" s="71">
        <v>4386</v>
      </c>
      <c r="P6" s="71">
        <v>2067</v>
      </c>
      <c r="Q6" s="71">
        <v>7141</v>
      </c>
      <c r="R6" s="71">
        <v>7100</v>
      </c>
      <c r="S6" s="71">
        <v>6744</v>
      </c>
      <c r="T6" s="71">
        <v>4358</v>
      </c>
      <c r="U6" s="71">
        <v>0</v>
      </c>
      <c r="V6" s="71">
        <v>0</v>
      </c>
      <c r="W6" s="71">
        <v>0</v>
      </c>
      <c r="X6" s="71">
        <v>1908</v>
      </c>
      <c r="Y6" s="71">
        <v>6003</v>
      </c>
      <c r="Z6" s="71">
        <v>4172</v>
      </c>
      <c r="AA6" s="71">
        <v>5084</v>
      </c>
      <c r="AB6" s="71">
        <v>2166</v>
      </c>
      <c r="AC6" s="71">
        <v>3398</v>
      </c>
      <c r="AD6" s="71">
        <v>4395</v>
      </c>
      <c r="AE6" s="71">
        <v>4949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155099.17967454001</v>
      </c>
      <c r="E7" s="73" ph="1">
        <f>E6*51.53*LOOKUP(E8,密度!$A$2:$A$50,密度!$B$2:$B$50)</f>
        <v>189207.781858</v>
      </c>
      <c r="F7" s="73" ph="1">
        <f>F6*33.183*LOOKUP(F8,密度!$A$2:$A$50,密度!$C$2:$C$50)</f>
        <v>209483.20718909998</v>
      </c>
      <c r="G7" s="73" ph="1">
        <f xml:space="preserve"> (G6+2)*51.53*LOOKUP(G8,密度!$A$2:$A$50,密度!$B$2:$B$50)</f>
        <v>183288.74718400001</v>
      </c>
      <c r="H7" s="73" ph="1">
        <f>(H6)*51.53*LOOKUP(H8,密度!$A$2:$A$50,密度!$B$2:$B$50)</f>
        <v>41455.194497999997</v>
      </c>
      <c r="I7" s="73" ph="1">
        <f>I6*290.8*1.0267</f>
        <v>32.842079599999998</v>
      </c>
      <c r="J7" s="73" ph="1">
        <f>J6*290.8*0.7892</f>
        <v>1794.6849952</v>
      </c>
      <c r="K7" s="73" ph="1">
        <f>K6*290.8*1.1126</f>
        <v>19580.8877216</v>
      </c>
      <c r="L7" s="73" ph="1">
        <f>L6*290.8*0.777</f>
        <v>9358.915272000002</v>
      </c>
      <c r="M7" s="73" ph="1">
        <f>M6*33.183*LOOKUP(M8,密度!$A$2:$A$50,密度!$D$2:$D$50)</f>
        <v>20547.484347599999</v>
      </c>
      <c r="N7" s="73" ph="1">
        <f>N6*33.183*LOOKUP(N8,密度!$A$2:$A$50,密度!$E$2:$E$50)</f>
        <v>124538.93147519999</v>
      </c>
      <c r="O7" s="73" ph="1">
        <f>O6*20.428*LOOKUP(O8,密度!$A$2:$A$50,密度!$C$2:$C$50)</f>
        <v>99219.948139199987</v>
      </c>
      <c r="P7" s="73" ph="1">
        <f>P6*51.53*LOOKUP(P8,密度!$A$2:$A$50,密度!$B$2:$B$50)</f>
        <v>83420.597832000014</v>
      </c>
      <c r="Q7" s="73" ph="1">
        <f>Q6*1.5*1.5*3.1416*LOOKUP(W8,密度!$A$2:$A$50,密度!$L$2:$L$50)</f>
        <v>47397.783371400001</v>
      </c>
      <c r="R7" s="73" ph="1">
        <f>R6*1.5*1.5*3.1416*LOOKUP(R8,密度!$A$2:$A$50,密度!$L$2:$L$50)</f>
        <v>46824.526980000002</v>
      </c>
      <c r="S7" s="73" ph="1">
        <f>S6*1.5*1.5*3.1416*LOOKUP(S8,密度!$A$2:$A$50,密度!$L$2:$L$50)</f>
        <v>45096.423926399992</v>
      </c>
      <c r="T7" s="73" ph="1">
        <f>T6*1.5*1.5*3.1416*LOOKUP(T8,密度!$A$2:$A$50,密度!$L$2:$L$50)</f>
        <v>29079.881107199999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12772.0836936</v>
      </c>
      <c r="Y7" s="73" ph="1">
        <f>Y6*1.5*1.5*3.1416*LOOKUP(Y8,密度!$A$2:$A$50,密度!$L$2:$L$50)</f>
        <v>39886.837452</v>
      </c>
      <c r="Z7" s="73" ph="1">
        <f>Z6*33.183*LOOKUP(Z8,密度!$A$2:$A$50,密度!$L$2:$L$50)</f>
        <v>129994.66796399999</v>
      </c>
      <c r="AA7" s="73" ph="1">
        <f>AA6*33.183*LOOKUP(AA8,密度!$A$2:$A$50,密度!$D$2:$D$50)</f>
        <v>173358.55746720001</v>
      </c>
      <c r="AB7" s="73" ph="1">
        <f>AB6*20.428*LOOKUP(AB8,密度!$A$2:$A$50,密度!$D$2:$D$50)</f>
        <v>45862.065252</v>
      </c>
      <c r="AC7" s="73" ph="1">
        <f>AC6*51.53*LOOKUP(AC8,密度!$A$2:$A$50,密度!$Q$2:$Q$50)</f>
        <v>166028.814908</v>
      </c>
      <c r="AD7" s="73" ph="1">
        <f>AD6*20.428*LOOKUP(AD8,密度!$A$2:$A$50,密度!$V$2:$V$50)</f>
        <v>86261.642447999999</v>
      </c>
      <c r="AE7" s="73" ph="1">
        <f>AE6*20.428</f>
        <v>101098.17200000001</v>
      </c>
    </row>
    <row r="8" spans="1:99" ph="1">
      <c r="B8" s="196" ph="1"/>
      <c r="C8" s="68" t="s" ph="1">
        <v>180</v>
      </c>
      <c r="D8" s="74">
        <v>25</v>
      </c>
      <c r="E8" s="74">
        <v>23</v>
      </c>
      <c r="F8" s="74">
        <v>25</v>
      </c>
      <c r="G8" s="74">
        <v>23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27</v>
      </c>
      <c r="P8" s="74">
        <v>21</v>
      </c>
      <c r="Q8" s="74">
        <v>22</v>
      </c>
      <c r="R8" s="74">
        <v>29</v>
      </c>
      <c r="S8" s="74">
        <v>16</v>
      </c>
      <c r="T8" s="74">
        <v>18</v>
      </c>
      <c r="U8" s="74">
        <v>22</v>
      </c>
      <c r="V8" s="74">
        <v>28</v>
      </c>
      <c r="W8" s="74">
        <v>23</v>
      </c>
      <c r="X8" s="74">
        <v>15</v>
      </c>
      <c r="Y8" s="74">
        <v>22</v>
      </c>
      <c r="Z8" s="74">
        <v>23</v>
      </c>
      <c r="AA8" s="74">
        <v>24</v>
      </c>
      <c r="AB8" s="74">
        <v>14</v>
      </c>
      <c r="AC8" s="74">
        <v>23</v>
      </c>
      <c r="AD8" s="74">
        <v>22</v>
      </c>
      <c r="AE8" s="74">
        <v>29</v>
      </c>
    </row>
    <row r="9" spans="1:99" ph="1">
      <c r="B9" s="196" ph="1">
        <v>0.66666666666666663</v>
      </c>
      <c r="C9" s="170" t="s" ph="1">
        <v>181</v>
      </c>
      <c r="D9" s="71">
        <v>4940</v>
      </c>
      <c r="E9" s="71">
        <v>4695</v>
      </c>
      <c r="F9" s="71">
        <v>7140</v>
      </c>
      <c r="G9" s="71">
        <v>4256</v>
      </c>
      <c r="H9" s="71">
        <v>1028</v>
      </c>
      <c r="I9" s="71">
        <v>0.11</v>
      </c>
      <c r="J9" s="71">
        <v>7.83</v>
      </c>
      <c r="K9" s="71">
        <v>7.7</v>
      </c>
      <c r="L9" s="71">
        <v>11.81</v>
      </c>
      <c r="M9" s="71">
        <v>602</v>
      </c>
      <c r="N9" s="71">
        <v>4742</v>
      </c>
      <c r="O9" s="71">
        <v>3487</v>
      </c>
      <c r="P9" s="71">
        <v>1990</v>
      </c>
      <c r="Q9" s="71">
        <v>7150</v>
      </c>
      <c r="R9" s="71">
        <v>7109</v>
      </c>
      <c r="S9" s="71">
        <v>6757</v>
      </c>
      <c r="T9" s="71">
        <v>7081</v>
      </c>
      <c r="U9" s="71">
        <v>4650</v>
      </c>
      <c r="V9" s="71">
        <v>1827</v>
      </c>
      <c r="W9" s="71">
        <v>0</v>
      </c>
      <c r="X9" s="71">
        <v>0</v>
      </c>
      <c r="Y9" s="71">
        <v>3163</v>
      </c>
      <c r="Z9" s="71">
        <v>1898</v>
      </c>
      <c r="AA9" s="71">
        <v>5090</v>
      </c>
      <c r="AB9" s="71">
        <v>2043</v>
      </c>
      <c r="AC9" s="71">
        <v>3797</v>
      </c>
      <c r="AD9" s="71">
        <v>4400</v>
      </c>
      <c r="AE9" s="71">
        <v>3385</v>
      </c>
    </row>
    <row r="10" spans="1:99" s="72" customFormat="1" ht="21.75" ph="1">
      <c r="B10" s="196" ph="1"/>
      <c r="C10" s="170" t="s" ph="1">
        <v>179</v>
      </c>
      <c r="D10" s="73" ph="1">
        <f>D9*33.183*LOOKUP(D11,密度!$A$2:$A$50,密度!$Q$2:$Q$50)</f>
        <v>154960.65458639999</v>
      </c>
      <c r="E10" s="73" ph="1">
        <f>E9*51.53*LOOKUP(E11,密度!$A$2:$A$50,密度!$B$2:$B$50)</f>
        <v>187982.21295000002</v>
      </c>
      <c r="F10" s="73" ph="1">
        <f>F9*33.183*LOOKUP(F11,密度!$A$2:$A$50,密度!$C$2:$C$50)</f>
        <v>262372.53898799996</v>
      </c>
      <c r="G10" s="73" ph="1">
        <f xml:space="preserve"> (G9+2)*51.53*LOOKUP(G11,密度!$A$2:$A$50,密度!$B$2:$B$50)</f>
        <v>170485.25297999999</v>
      </c>
      <c r="H10" s="73" ph="1">
        <f>(H9)*51.53*LOOKUP(H11,密度!$A$2:$A$50,密度!$B$2:$B$50)</f>
        <v>41297.626064000004</v>
      </c>
      <c r="I10" s="73" ph="1">
        <f>I9*290.8*1.0267</f>
        <v>32.842079599999998</v>
      </c>
      <c r="J10" s="73" ph="1">
        <f>J9*290.8*0.7892</f>
        <v>1796.9799888</v>
      </c>
      <c r="K10" s="73" ph="1">
        <f>K9*290.8*1.1126</f>
        <v>2491.2894160000005</v>
      </c>
      <c r="L10" s="73" ph="1">
        <f>L9*290.8*0.777</f>
        <v>2668.4883960000002</v>
      </c>
      <c r="M10" s="73" ph="1">
        <f>M9*33.183*LOOKUP(M11,密度!$A$2:$A$50,密度!$D$2:$D$50)</f>
        <v>20415.641652000002</v>
      </c>
      <c r="N10" s="73" ph="1">
        <f>N9*33.183*LOOKUP(N11,密度!$A$2:$A$50,密度!$E$2:$E$50)</f>
        <v>122893.306866</v>
      </c>
      <c r="O10" s="73" ph="1">
        <f>O9*20.428*LOOKUP(O11,密度!$A$2:$A$50,密度!$C$2:$C$50)</f>
        <v>78569.376908000006</v>
      </c>
      <c r="P10" s="73" ph="1">
        <f>P9*51.53*LOOKUP(P11,密度!$A$2:$A$50,密度!$B$2:$B$50)</f>
        <v>79769.522129999998</v>
      </c>
      <c r="Q10" s="73" ph="1">
        <f>Q9*1.5*1.5*3.1416*LOOKUP(W11,密度!$A$2:$A$50,密度!$L$2:$L$50)</f>
        <v>46851.034229999997</v>
      </c>
      <c r="R10" s="73" ph="1">
        <f>R9*1.5*1.5*3.1416*LOOKUP(R11,密度!$A$2:$A$50,密度!$L$2:$L$50)</f>
        <v>46783.380659400005</v>
      </c>
      <c r="S10" s="73" ph="1">
        <f>S9*1.5*1.5*3.1416*LOOKUP(S11,密度!$A$2:$A$50,密度!$L$2:$L$50)</f>
        <v>44992.303448400002</v>
      </c>
      <c r="T10" s="73" ph="1">
        <f>T9*1.5*1.5*3.1416*LOOKUP(T11,密度!$A$2:$A$50,密度!$L$2:$L$50)</f>
        <v>47099.643960599999</v>
      </c>
      <c r="U10" s="73" ph="1">
        <f>U9*1.5*1.5*3.1416*LOOKUP(U11,密度!$A$2:$A$50,密度!$L$2:$L$50)</f>
        <v>30798.243630000001</v>
      </c>
      <c r="V10" s="73" ph="1">
        <f>V9*1.5*1.5*3.1416*LOOKUP(V11,密度!$A$2:$A$50,密度!$L$2:$L$50)</f>
        <v>12074.900607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20949.428946600001</v>
      </c>
      <c r="Z10" s="73" ph="1">
        <f>Z9*33.183*LOOKUP(Z11,密度!$A$2:$A$50,密度!$L$2:$L$50)</f>
        <v>59013.509958000002</v>
      </c>
      <c r="AA10" s="73" ph="1">
        <f>AA9*33.183*LOOKUP(AA11,密度!$A$2:$A$50,密度!$D$2:$D$50)</f>
        <v>172465.29101699998</v>
      </c>
      <c r="AB10" s="73" ph="1">
        <f>AB9*20.428*LOOKUP(AB11,密度!$A$2:$A$50,密度!$D$2:$D$50)</f>
        <v>43115.812772400001</v>
      </c>
      <c r="AC10" s="73" ph="1">
        <f>AC9*51.53*LOOKUP(AC11,密度!$A$2:$A$50,密度!$Q$2:$Q$50)</f>
        <v>185099.6716423</v>
      </c>
      <c r="AD10" s="73" ph="1">
        <f>AD9*20.428*LOOKUP(AD11,密度!$A$2:$A$50,密度!$V$2:$V$50)</f>
        <v>86072.152319999994</v>
      </c>
      <c r="AE10" s="73" ph="1">
        <f>AE9*20.428</f>
        <v>69148.78</v>
      </c>
    </row>
    <row r="11" spans="1:99" ph="1">
      <c r="A11" s="64" t="s" ph="1">
        <v>163</v>
      </c>
      <c r="B11" s="196" ph="1"/>
      <c r="C11" s="170" t="s" ph="1">
        <v>180</v>
      </c>
      <c r="D11" s="74">
        <v>27</v>
      </c>
      <c r="E11" s="74">
        <v>28</v>
      </c>
      <c r="F11" s="74">
        <v>27</v>
      </c>
      <c r="G11" s="74">
        <v>28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27</v>
      </c>
      <c r="O11" s="74">
        <v>32</v>
      </c>
      <c r="P11" s="74">
        <v>27</v>
      </c>
      <c r="Q11" s="74">
        <v>25</v>
      </c>
      <c r="R11" s="74">
        <v>31</v>
      </c>
      <c r="S11" s="74">
        <v>20</v>
      </c>
      <c r="T11" s="74">
        <v>21</v>
      </c>
      <c r="U11" s="74">
        <v>25</v>
      </c>
      <c r="V11" s="74">
        <v>27</v>
      </c>
      <c r="W11" s="74">
        <v>35</v>
      </c>
      <c r="X11" s="74">
        <v>24</v>
      </c>
      <c r="Y11" s="74">
        <v>25</v>
      </c>
      <c r="Z11" s="74">
        <v>25</v>
      </c>
      <c r="AA11" s="74">
        <v>31</v>
      </c>
      <c r="AB11" s="74">
        <v>18</v>
      </c>
      <c r="AC11" s="74">
        <v>26</v>
      </c>
      <c r="AD11" s="74">
        <v>27</v>
      </c>
      <c r="AE11" s="74">
        <v>31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7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70" t="s" ph="1">
        <v>178</v>
      </c>
      <c r="D15" s="78">
        <v>4112</v>
      </c>
      <c r="E15" s="78">
        <v>53</v>
      </c>
      <c r="F15" s="78">
        <v>3478</v>
      </c>
      <c r="G15" s="78">
        <v>2149</v>
      </c>
      <c r="H15" s="78">
        <v>0</v>
      </c>
      <c r="I15" s="78">
        <v>117</v>
      </c>
      <c r="J15" s="78">
        <v>1577</v>
      </c>
      <c r="K15" s="78">
        <v>323</v>
      </c>
      <c r="L15" s="78">
        <v>3215</v>
      </c>
      <c r="M15" s="78">
        <v>2904</v>
      </c>
      <c r="N15" s="78">
        <v>3294</v>
      </c>
      <c r="O15" s="78">
        <v>6047</v>
      </c>
      <c r="P15" s="78">
        <v>5465</v>
      </c>
      <c r="Q15" s="78">
        <v>3528</v>
      </c>
      <c r="R15" s="78">
        <v>3501</v>
      </c>
      <c r="S15" s="78">
        <v>0</v>
      </c>
      <c r="T15" s="78">
        <v>677</v>
      </c>
      <c r="U15" s="78">
        <v>5303</v>
      </c>
      <c r="V15" s="78">
        <v>2365</v>
      </c>
      <c r="W15" s="71">
        <v>-792</v>
      </c>
      <c r="X15" s="78">
        <v>26</v>
      </c>
      <c r="Y15" s="106">
        <v>-9904</v>
      </c>
      <c r="Z15" s="78">
        <v>0</v>
      </c>
      <c r="AA15" s="78">
        <v>4211</v>
      </c>
      <c r="AB15" s="78" ph="1">
        <v>2354</v>
      </c>
      <c r="AC15" s="78" ph="1">
        <v>0</v>
      </c>
      <c r="AD15" s="78">
        <v>15.9</v>
      </c>
      <c r="AE15" s="78">
        <v>84.5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70" t="s" ph="1">
        <v>179</v>
      </c>
      <c r="D16" s="73" ph="1">
        <f>D15*7.0686*LOOKUP(D17,密度!$A$2:$A$50,密度!$L$2:$L$50)</f>
        <v>27293.0521248</v>
      </c>
      <c r="E16" s="73" ph="1">
        <f>E15*7.0686*LOOKUP(E17,密度!$A$2:$A$50,密度!$L$2:$L$50)</f>
        <v>351.78301620000002</v>
      </c>
      <c r="F16" s="73" ph="1">
        <f>F15*9.0746*LOOKUP(F17,密度!$A$2:$A$50,密度!$L$2:$L$50)</f>
        <v>29446.841060400002</v>
      </c>
      <c r="G16" s="73" ph="1">
        <f>G15*9.0746*LOOKUP(G17,密度!$A$2:$A$50,密度!$B$2:$B$50)</f>
        <v>15220.776669699999</v>
      </c>
      <c r="H16" s="73" ph="1">
        <f>H15*9.0746*LOOKUP(H17,密度!$A$2:$A$50,密度!$L$2:$L$50)</f>
        <v>0</v>
      </c>
      <c r="I16" s="73" ph="1">
        <f>I15*9.0746*LOOKUP(I17,密度!$A$2:$A$50,密度!$U$2:$U$50)</f>
        <v>1091.4565896000001</v>
      </c>
      <c r="J16" s="73" ph="1">
        <f>J15*9.0746*LOOKUP(J17,密度!$A$2:$A$50,密度!$L$2:$L$50)</f>
        <v>13409.073615400001</v>
      </c>
      <c r="K16" s="73" ph="1">
        <f>K15*9.0746*LOOKUP(K17,密度!$A$2:$A$50,密度!$C$2:$C$50)</f>
        <v>3259.0854200200006</v>
      </c>
      <c r="L16" s="73" ph="1">
        <f>L15*9.0746*LOOKUP(L17,密度!$A$2:$A$50,密度!$E$2:$E$50)</f>
        <v>22884.7437116</v>
      </c>
      <c r="M16" s="73" ph="1">
        <f>M15*9.0746*LOOKUP(M17,密度!$A$2:$A$50,密度!$M$2:$M$50)</f>
        <v>23061.193863839999</v>
      </c>
      <c r="N16" s="73" ph="1">
        <f>N15*9.0746*LOOKUP(N17,密度!$A$2:$A$50,密度!$M$2:$M$50)</f>
        <v>26244.941047200002</v>
      </c>
      <c r="O16" s="73" ph="1">
        <f>O15*9.0746*LOOKUP(O17,密度!$A$2:$A$50,密度!$G$2:$G$50)</f>
        <v>52690.116773240006</v>
      </c>
      <c r="P16" s="73" ph="1">
        <f ca="1">P15*9.0746*LOOKUP(P17,密度!$A$2:$A$51,密度!$Q$2:$Q$50)</f>
        <v>46987.585046829998</v>
      </c>
      <c r="Q16" s="73" ph="1">
        <f>Q15*9.0746*LOOKUP(Q17,密度!$A$2:$A$50,密度!$Q$2:$Q$50)</f>
        <v>30385.295538192</v>
      </c>
      <c r="R16" s="73" ph="1">
        <f>MAX(R15*9.0746*LOOKUP(R17,密度!$A$2:$A$50,密度!$B$2:$B$50),0)</f>
        <v>24768.02811816</v>
      </c>
      <c r="S16" s="73" ph="1">
        <f>S15*9.0746*LOOKUP(S17,密度!$A$2:$A$50,密度!$Q$2:$Q$50)</f>
        <v>0</v>
      </c>
      <c r="T16" s="73" ph="1">
        <f>T15*9.0746*LOOKUP(T17,密度!$A$2:$A$50,密度!$O$2:$O$50)</f>
        <v>5713.4589060000008</v>
      </c>
      <c r="U16" s="73" ph="1">
        <f>U15*9.0746*LOOKUP(U17,密度!$A$2:$A$50,密度!$H$2:$H$50)</f>
        <v>44258.358714860005</v>
      </c>
      <c r="V16" s="73" ph="1">
        <f>MAX(5600*LOOKUP(V17,密度!$A$2:$A$50,密度!$Q$2:$Q$50)+V15*9.0476*LOOKUP(V17,密度!$A$2:$A$50,密度!$Q$2:$Q$50),0)</f>
        <v>25483.820025820001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6100.1573870400007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29962.923544459998</v>
      </c>
      <c r="AB16" s="73" ph="1">
        <f>AB15*9.0746*LOOKUP(AB17,密度!$A$2:$A$50,密度!$L$2:$L$50)</f>
        <v>20079.911896000001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4551.3141551999997</v>
      </c>
      <c r="AE16" s="73" ph="1">
        <f>AE15*268.68*LOOKUP(AE17,密度!$A$2:$A$50,密度!B2:B50)+IF(AE15&lt;=0,0,1566*LOOKUP(AE17,密度!$A$2:$A$50,密度!B2:B50))</f>
        <v>18920.471015999996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23</v>
      </c>
      <c r="E17" s="74">
        <v>23</v>
      </c>
      <c r="F17" s="74">
        <v>29</v>
      </c>
      <c r="G17" s="74">
        <v>24</v>
      </c>
      <c r="H17" s="74">
        <v>22</v>
      </c>
      <c r="I17" s="74">
        <v>21</v>
      </c>
      <c r="J17" s="74">
        <v>25</v>
      </c>
      <c r="K17" s="74">
        <v>21</v>
      </c>
      <c r="L17" s="74">
        <v>24</v>
      </c>
      <c r="M17" s="74">
        <v>25</v>
      </c>
      <c r="N17" s="74">
        <v>22</v>
      </c>
      <c r="O17" s="74">
        <v>25</v>
      </c>
      <c r="P17" s="74">
        <v>24</v>
      </c>
      <c r="Q17" s="74">
        <v>22</v>
      </c>
      <c r="R17" s="74">
        <v>25</v>
      </c>
      <c r="S17" s="74">
        <v>21</v>
      </c>
      <c r="T17" s="74">
        <v>22</v>
      </c>
      <c r="U17" s="74">
        <v>20</v>
      </c>
      <c r="V17" s="74">
        <v>29</v>
      </c>
      <c r="W17" s="74">
        <v>21</v>
      </c>
      <c r="X17" s="74">
        <v>22</v>
      </c>
      <c r="Y17" s="108">
        <v>22</v>
      </c>
      <c r="Z17" s="74">
        <v>22</v>
      </c>
      <c r="AA17" s="74">
        <v>20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1148</v>
      </c>
      <c r="E18" s="71">
        <v>1517</v>
      </c>
      <c r="F18" s="71">
        <v>3480</v>
      </c>
      <c r="G18" s="71">
        <v>2171</v>
      </c>
      <c r="H18" s="71">
        <v>0</v>
      </c>
      <c r="I18" s="71">
        <v>117</v>
      </c>
      <c r="J18" s="71">
        <v>1655</v>
      </c>
      <c r="K18" s="71">
        <v>322</v>
      </c>
      <c r="L18" s="71">
        <v>3223</v>
      </c>
      <c r="M18" s="71">
        <v>2912</v>
      </c>
      <c r="N18" s="71">
        <v>4306</v>
      </c>
      <c r="O18" s="71">
        <v>6055</v>
      </c>
      <c r="P18" s="71">
        <v>5470</v>
      </c>
      <c r="Q18" s="71">
        <v>3531</v>
      </c>
      <c r="R18" s="71">
        <v>3506</v>
      </c>
      <c r="S18" s="71">
        <v>2271</v>
      </c>
      <c r="T18" s="71">
        <v>2399</v>
      </c>
      <c r="U18" s="71">
        <v>3529</v>
      </c>
      <c r="V18" s="71">
        <v>2375</v>
      </c>
      <c r="W18" s="71">
        <v>-792</v>
      </c>
      <c r="X18" s="71">
        <v>25</v>
      </c>
      <c r="Y18" s="109">
        <v>-9905</v>
      </c>
      <c r="Z18" s="71">
        <v>0</v>
      </c>
      <c r="AA18" s="71">
        <v>4216</v>
      </c>
      <c r="AB18" s="71">
        <v>2358</v>
      </c>
      <c r="AC18" s="71">
        <v>0</v>
      </c>
      <c r="AD18" s="71">
        <v>46.72</v>
      </c>
      <c r="AE18" s="71">
        <v>84.01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70" t="s" ph="1">
        <v>179</v>
      </c>
      <c r="D19" s="73" ph="1">
        <f>D18*7.0686*LOOKUP(D20,密度!$A$2:$A$50,密度!$L$2:$L$50)</f>
        <v>7595.4086208000008</v>
      </c>
      <c r="E19" s="73" ph="1">
        <f>E18*7.0686*LOOKUP(E20,密度!$A$2:$A$50,密度!$L$2:$L$50)</f>
        <v>10036.789963200001</v>
      </c>
      <c r="F19" s="73" ph="1">
        <f>F18*9.0746*LOOKUP(F20,密度!$A$2:$A$50,密度!$L$2:$L$50)</f>
        <v>29400.615048000003</v>
      </c>
      <c r="G19" s="73" ph="1">
        <f>G18*9.0746*LOOKUP(G20,密度!$A$2:$A$50,密度!$B$2:$B$50)</f>
        <v>15358.86576536</v>
      </c>
      <c r="H19" s="73" ph="1">
        <f>H18*9.0746*LOOKUP(H20,密度!$A$2:$A$50,密度!$L$2:$L$50)</f>
        <v>0</v>
      </c>
      <c r="I19" s="73" ph="1">
        <f>I18*9.0746*LOOKUP(I20,密度!$A$2:$A$50,密度!$U$2:$U$50)</f>
        <v>1080.8393076</v>
      </c>
      <c r="J19" s="73" ph="1">
        <f>J18*9.0746*LOOKUP(J20,密度!$A$2:$A$50,密度!$L$2:$L$50)</f>
        <v>13997.207516</v>
      </c>
      <c r="K19" s="73" ph="1">
        <f>K18*9.0746*LOOKUP(K20,密度!$A$2:$A$50,密度!$C$2:$C$50)</f>
        <v>3229.1256281199999</v>
      </c>
      <c r="L19" s="73" ph="1">
        <f>L18*9.0746*LOOKUP(L20,密度!$A$2:$A$50,密度!$E$2:$E$50)</f>
        <v>22842.2473598</v>
      </c>
      <c r="M19" s="73" ph="1">
        <f>M18*9.0746*LOOKUP(M20,密度!$A$2:$A$50,密度!$M$2:$M$50)</f>
        <v>23016.379859199998</v>
      </c>
      <c r="N19" s="73" ph="1">
        <f>N18*9.0746*LOOKUP(N20,密度!$A$2:$A$50,密度!$M$2:$M$50)</f>
        <v>34116.58121756</v>
      </c>
      <c r="O19" s="73" ph="1">
        <f>O18*9.0746*LOOKUP(O20,密度!$A$2:$A$50,密度!$G$2:$G$50)</f>
        <v>52638.941473999999</v>
      </c>
      <c r="P19" s="73" ph="1">
        <f ca="1">P18*9.0746*LOOKUP(P20,密度!$A$2:$A$51,密度!$Q$2:$Q$50)</f>
        <v>46959.095793859997</v>
      </c>
      <c r="Q19" s="73" ph="1">
        <f>Q18*9.0746*LOOKUP(Q20,密度!$A$2:$A$50,密度!$Q$2:$Q$50)</f>
        <v>30313.083591978</v>
      </c>
      <c r="R19" s="73" ph="1">
        <f>MAX(R18*9.0746*LOOKUP(R20,密度!$A$2:$A$50,密度!$B$2:$B$50),0)</f>
        <v>24720.680485200002</v>
      </c>
      <c r="S19" s="73" ph="1">
        <f>S18*9.0746*LOOKUP(S20,密度!$A$2:$A$50,密度!$Q$2:$Q$50)</f>
        <v>19467.122488691999</v>
      </c>
      <c r="T19" s="73" ph="1">
        <f>T18*9.0746*LOOKUP(T20,密度!$A$2:$A$50,密度!$O$2:$O$50)</f>
        <v>20158.987960400002</v>
      </c>
      <c r="U19" s="73" ph="1">
        <f>U18*9.0746*LOOKUP(U20,密度!$A$2:$A$50,密度!$H$2:$H$50)</f>
        <v>29324.617995379998</v>
      </c>
      <c r="V19" s="73" ph="1">
        <f>MAX(5600*LOOKUP(V20,密度!$A$2:$A$50,密度!$Q$2:$Q$50)+V18*9.0476*LOOKUP(V20,密度!$A$2:$A$50,密度!$Q$2:$Q$50),0)</f>
        <v>25552.970206500002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6065.0637899999992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29860.769864799997</v>
      </c>
      <c r="AB19" s="73" ph="1">
        <f>AB18*9.0746*LOOKUP(AB20,密度!$A$2:$A$50,密度!$L$2:$L$50)</f>
        <v>20028.440764800001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10970.252899200001</v>
      </c>
      <c r="AE19" s="73" ph="1">
        <f>AE18*268.68*LOOKUP(AE20,密度!$A$2:$A$50,密度!B5:B53)+IF(AE18&lt;=0,0,1566*LOOKUP(AE20,密度!$A$2:$A$50,密度!B5:B53))</f>
        <v>18755.075883600002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26</v>
      </c>
      <c r="E20" s="81">
        <v>26</v>
      </c>
      <c r="F20" s="81">
        <v>31</v>
      </c>
      <c r="G20" s="81">
        <v>25</v>
      </c>
      <c r="H20" s="81">
        <v>29</v>
      </c>
      <c r="I20" s="81">
        <v>32</v>
      </c>
      <c r="J20" s="81">
        <v>30</v>
      </c>
      <c r="K20" s="81">
        <v>30</v>
      </c>
      <c r="L20" s="81">
        <v>27</v>
      </c>
      <c r="M20" s="81">
        <v>29</v>
      </c>
      <c r="N20" s="81">
        <v>27</v>
      </c>
      <c r="O20" s="81">
        <v>27</v>
      </c>
      <c r="P20" s="81">
        <v>26</v>
      </c>
      <c r="Q20" s="81">
        <v>26</v>
      </c>
      <c r="R20" s="81">
        <v>28</v>
      </c>
      <c r="S20" s="81">
        <v>28</v>
      </c>
      <c r="T20" s="81">
        <v>26</v>
      </c>
      <c r="U20" s="81">
        <v>24</v>
      </c>
      <c r="V20" s="81">
        <v>30</v>
      </c>
      <c r="W20" s="81">
        <v>28</v>
      </c>
      <c r="X20" s="81">
        <v>26</v>
      </c>
      <c r="Y20" s="110">
        <v>27</v>
      </c>
      <c r="Z20" s="81">
        <v>30</v>
      </c>
      <c r="AA20" s="81">
        <v>24</v>
      </c>
      <c r="AB20" s="81">
        <v>26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651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70" t="s" ph="1">
        <v>178</v>
      </c>
      <c r="D24" s="71">
        <v>90.52</v>
      </c>
      <c r="E24" s="71">
        <v>95.41</v>
      </c>
      <c r="F24" s="71">
        <v>3985</v>
      </c>
      <c r="G24" s="71">
        <v>1550</v>
      </c>
      <c r="H24" s="71">
        <v>2641</v>
      </c>
      <c r="I24" s="71">
        <v>4220</v>
      </c>
      <c r="J24" s="71">
        <v>3178</v>
      </c>
      <c r="K24" s="71">
        <v>0</v>
      </c>
      <c r="L24" s="71">
        <v>0</v>
      </c>
      <c r="M24" s="71">
        <v>5236</v>
      </c>
      <c r="N24" s="71">
        <v>5312</v>
      </c>
      <c r="O24" s="71">
        <v>2233</v>
      </c>
      <c r="P24" s="71">
        <v>885</v>
      </c>
      <c r="Q24" s="90">
        <v>2227</v>
      </c>
      <c r="R24" s="71">
        <v>2311</v>
      </c>
      <c r="S24" s="71">
        <v>1582</v>
      </c>
      <c r="T24" s="71">
        <v>1757</v>
      </c>
      <c r="U24" s="71">
        <v>5108</v>
      </c>
      <c r="V24" s="71">
        <v>9633</v>
      </c>
      <c r="W24" s="71">
        <v>10720</v>
      </c>
      <c r="X24" s="71">
        <v>3442</v>
      </c>
      <c r="Y24" s="71">
        <v>4079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24508.176581664004</v>
      </c>
      <c r="E25" s="91" ph="1">
        <f>E24*268.68*LOOKUP(E26,密度!$A$2:$A$50,密度!$C$2:$C$50)+IF(E24&lt;=0,0,1566*LOOKUP(E26,密度!$A$2:$A$50,密度!$C$2:$C$50))</f>
        <v>30162.92143332</v>
      </c>
      <c r="F25" s="91" ph="1">
        <f>F24*11.702*LOOKUP(F26,密度!$A$2:$A$50,密度!$Q$2:$Q$50)</f>
        <v>44115.715594100002</v>
      </c>
      <c r="G25" s="91" ph="1">
        <f>G24*18.322*LOOKUP(G26,密度!$A$2:$A$50,密度!$B$2:$B$50)</f>
        <v>22191.05674</v>
      </c>
      <c r="H25" s="91" ph="1">
        <f>H24*18.322*LOOKUP(H26,密度!$A$2:$A$50,密度!$B$2:$B$50)</f>
        <v>37810.697322799992</v>
      </c>
      <c r="I25" s="91" ph="1">
        <f>I24*18.322*LOOKUP(I26,密度!$A$2:$A$50,密度!$Q$2:$Q$50)</f>
        <v>73313.724088000003</v>
      </c>
      <c r="J25" s="91" ph="1">
        <f>J24*18.322*LOOKUP(J26,密度!$A$2:$A$50,密度!$Q$2:$Q$50)</f>
        <v>55168.635090520002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90824.547586080007</v>
      </c>
      <c r="N25" s="91" ph="1">
        <f>N24*18.322*LOOKUP(N26,密度!$A$2:$A$50,密度!$Q$2:$Q$50)</f>
        <v>92142.856527359996</v>
      </c>
      <c r="O25" s="91" ph="1">
        <f>O24*18.322*LOOKUP(O26,密度!$A$2:$A$50,密度!$C$2:$C$50)</f>
        <v>45397.093649599992</v>
      </c>
      <c r="P25" s="91" ph="1">
        <f>P24*11.702*LOOKUP(P26,密度!$A$2:$A$50,密度!$B$2:$B$50)</f>
        <v>8073.7480919999998</v>
      </c>
      <c r="Q25" s="92" ph="1">
        <f>Q24*18.322*LOOKUP(Q26,密度!$A$2:$A$50,密度!$B$2:$B$50)</f>
        <v>31883.537651599996</v>
      </c>
      <c r="R25" s="91" ph="1">
        <f>R24*35.891*LOOKUP(R26,密度!$A$2:$A$50,密度!$C$2:$C$50)</f>
        <v>92101.129750399996</v>
      </c>
      <c r="S25" s="91" ph="1">
        <f>S24*35.891*LOOKUP(S26,密度!$A$2:$A$50,密度!$B$2:$B$50)</f>
        <v>44316.448140999993</v>
      </c>
      <c r="T25" s="91" ph="1">
        <f>T24*35.891*LOOKUP(T26,密度!$A$2:$A$50,密度!$Q$2:$Q$50)</f>
        <v>59793.953773399997</v>
      </c>
      <c r="U25" s="91" ph="1">
        <f>U24*35.891</f>
        <v>183331.228</v>
      </c>
      <c r="V25" s="91" ph="1">
        <f>V24*47.051*LOOKUP(V26,密度!$A$2:$A$50,密度!$B$2:$B$50)</f>
        <v>353755.60188149998</v>
      </c>
      <c r="W25" s="91" ph="1">
        <f>W24*47.051*LOOKUP(W26,密度!$A$2:$A$50,密度!$B$2:$B$50)</f>
        <v>393219.88691200002</v>
      </c>
      <c r="X25" s="91" ph="1">
        <f>X24*47.051*LOOKUP(X26,密度!$A$2:$A$50,密度!$I$2:$I$50)</f>
        <v>168427.52368000001</v>
      </c>
      <c r="Y25" s="91" ph="1">
        <f>Y24*47.051*LOOKUP(Y26,密度!$A$2:$A$50,密度!$L$2:$L$50)</f>
        <v>179446.16211500001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26</v>
      </c>
      <c r="G26" s="74">
        <v>23</v>
      </c>
      <c r="H26" s="74">
        <v>23</v>
      </c>
      <c r="I26" s="74">
        <v>23</v>
      </c>
      <c r="J26" s="74">
        <v>24</v>
      </c>
      <c r="K26" s="74">
        <v>24</v>
      </c>
      <c r="L26" s="74">
        <v>23</v>
      </c>
      <c r="M26" s="74">
        <v>25</v>
      </c>
      <c r="N26" s="74">
        <v>25</v>
      </c>
      <c r="O26" s="74">
        <v>24</v>
      </c>
      <c r="P26" s="74">
        <v>25</v>
      </c>
      <c r="Q26" s="93">
        <v>23</v>
      </c>
      <c r="R26" s="74">
        <v>23</v>
      </c>
      <c r="S26" s="74">
        <v>24</v>
      </c>
      <c r="T26" s="74">
        <v>23</v>
      </c>
      <c r="U26" s="74">
        <v>25</v>
      </c>
      <c r="V26" s="74">
        <v>24</v>
      </c>
      <c r="W26" s="74">
        <v>25</v>
      </c>
      <c r="X26" s="74">
        <v>27</v>
      </c>
      <c r="Y26" s="74">
        <v>27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70" t="s" ph="1">
        <v>181</v>
      </c>
      <c r="D27" s="71">
        <v>90.62</v>
      </c>
      <c r="E27" s="71">
        <v>95.51</v>
      </c>
      <c r="F27" s="71">
        <v>3989</v>
      </c>
      <c r="G27" s="71">
        <v>1174</v>
      </c>
      <c r="H27" s="71">
        <v>2118</v>
      </c>
      <c r="I27" s="71">
        <v>4222</v>
      </c>
      <c r="J27" s="71">
        <v>5460</v>
      </c>
      <c r="K27" s="71">
        <v>0</v>
      </c>
      <c r="L27" s="71">
        <v>0</v>
      </c>
      <c r="M27" s="71">
        <v>5242</v>
      </c>
      <c r="N27" s="71">
        <v>5311</v>
      </c>
      <c r="O27" s="71">
        <v>2231</v>
      </c>
      <c r="P27" s="71">
        <v>883</v>
      </c>
      <c r="Q27" s="90">
        <v>2421</v>
      </c>
      <c r="R27" s="71">
        <v>2309</v>
      </c>
      <c r="S27" s="71">
        <v>1580</v>
      </c>
      <c r="T27" s="71">
        <v>1756</v>
      </c>
      <c r="U27" s="71">
        <v>5208</v>
      </c>
      <c r="V27" s="71">
        <v>9632</v>
      </c>
      <c r="W27" s="71">
        <v>10720</v>
      </c>
      <c r="X27" s="71">
        <v>3069</v>
      </c>
      <c r="Y27" s="71">
        <v>4780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70" t="s" ph="1">
        <v>179</v>
      </c>
      <c r="D28" s="91" ph="1">
        <f>D27*268.68*LOOKUP(D29,密度!$A$2:$A$50,密度!$Q$2:$Q$50)+IF(D27&lt;=0,0,1566*LOOKUP(D29,密度!$A$2:$A$50,密度!$Q$2:$Q$50))</f>
        <v>24533.613591984005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44159.997366340001</v>
      </c>
      <c r="G28" s="91" ph="1">
        <f>G27*18.322*LOOKUP(G29,密度!$A$2:$A$50,密度!$B$2:$B$50)</f>
        <v>16769.2178288</v>
      </c>
      <c r="H28" s="91" ph="1">
        <f>H27*18.322*LOOKUP(H29,密度!$A$2:$A$50,密度!$B$2:$B$50)</f>
        <v>30253.154481599999</v>
      </c>
      <c r="I28" s="91" ph="1">
        <f>I27*18.322*LOOKUP(I29,密度!$A$2:$A$50,密度!$Q$2:$Q$50)</f>
        <v>73235.530922160004</v>
      </c>
      <c r="J28" s="91" ph="1">
        <f>J27*18.322*LOOKUP(J29,密度!$A$2:$A$50,密度!$Q$2:$Q$50)</f>
        <v>94639.062663599994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90928.624607760008</v>
      </c>
      <c r="N28" s="91" ph="1">
        <f>N27*18.322*LOOKUP(N29,密度!$A$2:$A$50,密度!$Q$2:$Q$50)</f>
        <v>92125.510357079998</v>
      </c>
      <c r="O28" s="91" ph="1">
        <f>O27*18.322*LOOKUP(O29,密度!$A$2:$A$50,密度!$C$2:$C$50)</f>
        <v>45356.433467199997</v>
      </c>
      <c r="P28" s="91" ph="1">
        <f>P27*11.702*LOOKUP(P29,密度!$A$2:$A$50,密度!$B$2:$B$50)</f>
        <v>8055.5023335999995</v>
      </c>
      <c r="Q28" s="92" ph="1">
        <f>Q27*18.322*LOOKUP(Q29,密度!$A$2:$A$50,密度!$B$2:$B$50)</f>
        <v>34581.155335199997</v>
      </c>
      <c r="R28" s="91" ph="1">
        <f>R27*35.891*LOOKUP(R29,密度!$A$2:$A$50,密度!$C$2:$C$50)</f>
        <v>91830.816683900004</v>
      </c>
      <c r="S28" s="91" ph="1">
        <f>S27*35.891*LOOKUP(S29,密度!$A$2:$A$50,密度!$B$2:$B$50)</f>
        <v>44158.348285999993</v>
      </c>
      <c r="T28" s="91" ph="1">
        <f>T27*35.891*LOOKUP(T29,密度!$A$2:$A$50,密度!$Q$2:$Q$50)</f>
        <v>59667.906017039997</v>
      </c>
      <c r="U28" s="91" ph="1">
        <f>U27*35.891</f>
        <v>186920.32799999998</v>
      </c>
      <c r="V28" s="91" ph="1">
        <f>V27*47.051*LOOKUP(V29,密度!$A$2:$A$50,密度!$B$2:$B$50)</f>
        <v>353311.0028672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150016.66028909999</v>
      </c>
      <c r="Y28" s="91" ph="1">
        <f>Y27*47.051*LOOKUP(Y29,密度!$A$2:$A$50,密度!$L$2:$L$50)</f>
        <v>209835.22674000001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70" t="s" ph="1">
        <v>180</v>
      </c>
      <c r="D29" s="74">
        <v>25</v>
      </c>
      <c r="E29" s="74">
        <v>25</v>
      </c>
      <c r="F29" s="74">
        <v>26</v>
      </c>
      <c r="G29" s="74">
        <v>25</v>
      </c>
      <c r="H29" s="74">
        <v>25</v>
      </c>
      <c r="I29" s="74">
        <v>25</v>
      </c>
      <c r="J29" s="74">
        <v>26</v>
      </c>
      <c r="K29" s="74">
        <v>29</v>
      </c>
      <c r="L29" s="74">
        <v>29</v>
      </c>
      <c r="M29" s="74">
        <v>25</v>
      </c>
      <c r="N29" s="74">
        <v>25</v>
      </c>
      <c r="O29" s="74">
        <v>24</v>
      </c>
      <c r="P29" s="74">
        <v>25</v>
      </c>
      <c r="Q29" s="93">
        <v>25</v>
      </c>
      <c r="R29" s="74">
        <v>26</v>
      </c>
      <c r="S29" s="74">
        <v>26</v>
      </c>
      <c r="T29" s="74">
        <v>25</v>
      </c>
      <c r="U29" s="74">
        <v>25</v>
      </c>
      <c r="V29" s="74">
        <v>25</v>
      </c>
      <c r="W29" s="74">
        <v>26</v>
      </c>
      <c r="X29" s="74">
        <v>28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70" t="s" ph="1">
        <v>5</v>
      </c>
      <c r="F32" s="169" t="s" ph="1">
        <v>43</v>
      </c>
      <c r="G32" s="97" t="s" ph="1">
        <v>4</v>
      </c>
      <c r="H32" s="170" t="s" ph="1">
        <v>5</v>
      </c>
      <c r="I32" s="169" t="s" ph="1">
        <v>43</v>
      </c>
      <c r="J32" s="97" t="s" ph="1">
        <v>4</v>
      </c>
      <c r="K32" s="170" t="s" ph="1">
        <v>5</v>
      </c>
      <c r="L32" s="169" t="s" ph="1">
        <v>43</v>
      </c>
      <c r="M32" s="97" t="s" ph="1">
        <v>4</v>
      </c>
      <c r="N32" s="170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0" t="s" ph="1">
        <v>5</v>
      </c>
      <c r="U32" s="99" t="s" ph="1">
        <v>43</v>
      </c>
      <c r="V32" s="97" t="s" ph="1">
        <v>4</v>
      </c>
      <c r="W32" s="170" t="s" ph="1">
        <v>5</v>
      </c>
      <c r="X32" s="99" t="s" ph="1">
        <v>43</v>
      </c>
      <c r="Y32" s="100" t="s" ph="1">
        <v>4</v>
      </c>
      <c r="Z32" s="170" t="s" ph="1">
        <v>5</v>
      </c>
      <c r="AA32" s="169" t="s" ph="1">
        <v>43</v>
      </c>
      <c r="AB32" s="97" t="s" ph="1">
        <v>85</v>
      </c>
      <c r="AC32" s="170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215581.10378939999</v>
      </c>
      <c r="E33" s="218" ph="1">
        <f>M10+I10</f>
        <v>20448.483731600001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22" ph="1">
        <v>0</v>
      </c>
      <c r="H33" s="218" ph="1">
        <f>N19</f>
        <v>34116.58121756</v>
      </c>
      <c r="I33" s="231" ph="1">
        <v>0</v>
      </c>
      <c r="J33" s="229" ph="1">
        <f>F10+O28</f>
        <v>307728.97245519992</v>
      </c>
      <c r="K33" s="218" ph="1">
        <f>O10+K10+E28+R28</f>
        <v>203084.19836641999</v>
      </c>
      <c r="L33" s="233" ph="1">
        <f>BE27</f>
        <v>7100</v>
      </c>
      <c r="M33" s="229" ph="1">
        <f>G10+H10+W28+S28+V28+E10</f>
        <v>1190000.3820112001</v>
      </c>
      <c r="N33" s="218" ph="1">
        <f>L10+P10++G28+H28</f>
        <v>129460.38283639999</v>
      </c>
      <c r="O33" s="231" ph="1">
        <f>BE17</f>
        <v>2270</v>
      </c>
      <c r="P33" s="229" ph="1">
        <f>L19</f>
        <v>22842.2473598</v>
      </c>
      <c r="Q33" s="218" ph="1">
        <f>J10+N10</f>
        <v>124690.2868548</v>
      </c>
      <c r="R33" s="231" ph="1">
        <f>BE23</f>
        <v>890</v>
      </c>
      <c r="S33" s="229" ph="1">
        <f>E10+X28</f>
        <v>337998.87323909998</v>
      </c>
      <c r="T33" s="218" ph="1">
        <f>X19</f>
        <v>6065.0637899999992</v>
      </c>
      <c r="U33" s="239" ph="1">
        <f>BE21</f>
        <v>730</v>
      </c>
      <c r="V33" s="250" ph="1">
        <f ca="1">P19+Q19+S19+M28+N28+J28</f>
        <v>374432.49950297002</v>
      </c>
      <c r="W33" s="250" ph="1">
        <f>D28+F28+V19+T28</f>
        <v>153914.48718186401</v>
      </c>
      <c r="X33" s="231" ph="1">
        <f>BE29+BE31</f>
        <v>10200</v>
      </c>
      <c r="Y33" s="252" ph="1">
        <f>+Q10+R10+S10+T10+U10+V10+W10+X10+Y10</f>
        <v>249548.935482</v>
      </c>
      <c r="Z33" s="237" ph="1">
        <f>D10+T19+U19+Y28+Z10</f>
        <v>473292.99724017998</v>
      </c>
      <c r="AA33" s="239" ph="1">
        <f>BE19</f>
        <v>1440</v>
      </c>
      <c r="AB33" s="241" ph="1">
        <f>I19</f>
        <v>1080.8393076</v>
      </c>
      <c r="AC33" s="243" ph="1">
        <f>AD10</f>
        <v>86072.152319999994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8" t="s" ph="1">
        <v>186</v>
      </c>
      <c r="AA36" s="168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77" priority="96">
      <formula>ABS(D$7-D$10)&gt;=1000</formula>
    </cfRule>
  </conditionalFormatting>
  <conditionalFormatting sqref="E4 E6:E11">
    <cfRule type="expression" dxfId="376" priority="95">
      <formula>ABS(E$7-E$10)&gt;=1000</formula>
    </cfRule>
  </conditionalFormatting>
  <conditionalFormatting sqref="F4:F11">
    <cfRule type="expression" dxfId="375" priority="94">
      <formula>ABS(F$7-F$10)&gt;=1000</formula>
    </cfRule>
  </conditionalFormatting>
  <conditionalFormatting sqref="G4:G11">
    <cfRule type="expression" dxfId="374" priority="93">
      <formula>ABS(G$7-G$10)&gt;=1000</formula>
    </cfRule>
  </conditionalFormatting>
  <conditionalFormatting sqref="H4:H11">
    <cfRule type="expression" dxfId="373" priority="92">
      <formula>ABS(H$7-H$10)&gt;=1000</formula>
    </cfRule>
  </conditionalFormatting>
  <conditionalFormatting sqref="I4:I11">
    <cfRule type="expression" dxfId="372" priority="91">
      <formula>ABS(I$7-I$10)&gt;=1000</formula>
    </cfRule>
  </conditionalFormatting>
  <conditionalFormatting sqref="J4:J11">
    <cfRule type="expression" dxfId="371" priority="90">
      <formula>ABS(J$7-J$10)&gt;=1000</formula>
    </cfRule>
  </conditionalFormatting>
  <conditionalFormatting sqref="K4:K11">
    <cfRule type="expression" dxfId="370" priority="89">
      <formula>ABS(K$7-K$10)&gt;=1000</formula>
    </cfRule>
  </conditionalFormatting>
  <conditionalFormatting sqref="L4:L11">
    <cfRule type="expression" dxfId="369" priority="88">
      <formula>ABS(L$7-L$10)&gt;=1000</formula>
    </cfRule>
  </conditionalFormatting>
  <conditionalFormatting sqref="M4 M6:M11">
    <cfRule type="expression" dxfId="368" priority="87">
      <formula>ABS(M$7-M$10)&gt;=1000</formula>
    </cfRule>
  </conditionalFormatting>
  <conditionalFormatting sqref="N4 N6:N11">
    <cfRule type="expression" dxfId="367" priority="86">
      <formula>ABS(N$7-N$10)&gt;=1000</formula>
    </cfRule>
  </conditionalFormatting>
  <conditionalFormatting sqref="O4 O6:O11">
    <cfRule type="expression" dxfId="366" priority="85">
      <formula>ABS(O$7-O$10)&gt;=1000</formula>
    </cfRule>
  </conditionalFormatting>
  <conditionalFormatting sqref="P4 P6:P11">
    <cfRule type="expression" dxfId="365" priority="84">
      <formula>ABS(P$7-P$10)&gt;=1000</formula>
    </cfRule>
  </conditionalFormatting>
  <conditionalFormatting sqref="Q4:Q11">
    <cfRule type="expression" dxfId="364" priority="83">
      <formula>ABS(Q$7-Q$10)&gt;=1000</formula>
    </cfRule>
  </conditionalFormatting>
  <conditionalFormatting sqref="R4:R11">
    <cfRule type="expression" dxfId="363" priority="82">
      <formula>ABS(R$7-R$10)&gt;=1000</formula>
    </cfRule>
  </conditionalFormatting>
  <conditionalFormatting sqref="S4:S11">
    <cfRule type="expression" dxfId="362" priority="81">
      <formula>ABS(S$7-S$10)&gt;=1000</formula>
    </cfRule>
  </conditionalFormatting>
  <conditionalFormatting sqref="T4:T9 T11">
    <cfRule type="expression" dxfId="361" priority="80">
      <formula>ABS(T$7-T$10)&gt;=1000</formula>
    </cfRule>
  </conditionalFormatting>
  <conditionalFormatting sqref="U4:U9 U11">
    <cfRule type="expression" dxfId="360" priority="79">
      <formula>ABS(U$7-U$10)&gt;=1000</formula>
    </cfRule>
  </conditionalFormatting>
  <conditionalFormatting sqref="V4:V9 V11">
    <cfRule type="expression" dxfId="359" priority="78">
      <formula>ABS(V$7-V$10)&gt;=1000</formula>
    </cfRule>
  </conditionalFormatting>
  <conditionalFormatting sqref="W4:W9 W11">
    <cfRule type="expression" dxfId="358" priority="77">
      <formula>ABS(W$7-W$10)&gt;=1000</formula>
    </cfRule>
  </conditionalFormatting>
  <conditionalFormatting sqref="X4:X9 X11">
    <cfRule type="expression" dxfId="357" priority="76">
      <formula>ABS(X$7-X$10)&gt;=1000</formula>
    </cfRule>
  </conditionalFormatting>
  <conditionalFormatting sqref="Y4:Y9 Y11">
    <cfRule type="expression" dxfId="356" priority="75">
      <formula>ABS(Y$7-Y$10)&gt;=1000</formula>
    </cfRule>
  </conditionalFormatting>
  <conditionalFormatting sqref="Z4:Z11">
    <cfRule type="expression" dxfId="355" priority="74">
      <formula>ABS(Z$7-Z$10)&gt;=1000</formula>
    </cfRule>
  </conditionalFormatting>
  <conditionalFormatting sqref="AA4:AA11">
    <cfRule type="expression" dxfId="354" priority="73">
      <formula>ABS(AA$7-AA$10)&gt;=1000</formula>
    </cfRule>
  </conditionalFormatting>
  <conditionalFormatting sqref="AB4:AB11">
    <cfRule type="expression" dxfId="353" priority="72">
      <formula>ABS(AB$7-AB$10)&gt;=1000</formula>
    </cfRule>
  </conditionalFormatting>
  <conditionalFormatting sqref="AC4 AC6:AC11">
    <cfRule type="expression" dxfId="352" priority="71">
      <formula>ABS(AC$7-AC$10)&gt;=1000</formula>
    </cfRule>
  </conditionalFormatting>
  <conditionalFormatting sqref="AD4:AD11">
    <cfRule type="expression" dxfId="351" priority="70">
      <formula>ABS(AD$7-AD$10)&gt;=1000</formula>
    </cfRule>
  </conditionalFormatting>
  <conditionalFormatting sqref="AE4:AE11">
    <cfRule type="expression" dxfId="350" priority="69">
      <formula>ABS(AE$7-AE$10)&gt;=1000</formula>
    </cfRule>
  </conditionalFormatting>
  <conditionalFormatting sqref="D13:D20">
    <cfRule type="expression" dxfId="349" priority="68">
      <formula>ABS(D$16-D$19)&gt;=1000</formula>
    </cfRule>
  </conditionalFormatting>
  <conditionalFormatting sqref="E13:E20">
    <cfRule type="expression" dxfId="348" priority="67">
      <formula>ABS(E$16-E$19)&gt;=1000</formula>
    </cfRule>
  </conditionalFormatting>
  <conditionalFormatting sqref="F13 F15:F20">
    <cfRule type="expression" dxfId="347" priority="66">
      <formula>ABS(F$16-F$19)&gt;=1000</formula>
    </cfRule>
  </conditionalFormatting>
  <conditionalFormatting sqref="G13:G20">
    <cfRule type="expression" dxfId="346" priority="65">
      <formula>ABS(G$16-G$19)&gt;=1000</formula>
    </cfRule>
  </conditionalFormatting>
  <conditionalFormatting sqref="H13:H20">
    <cfRule type="expression" dxfId="345" priority="64">
      <formula>ABS(H$16-H$19)&gt;=1000</formula>
    </cfRule>
  </conditionalFormatting>
  <conditionalFormatting sqref="I13:I20">
    <cfRule type="expression" dxfId="344" priority="63">
      <formula>ABS(I$16-I$19)&gt;=1000</formula>
    </cfRule>
  </conditionalFormatting>
  <conditionalFormatting sqref="J13:J20">
    <cfRule type="expression" dxfId="343" priority="62">
      <formula>ABS(J$16-J$19)&gt;=1000</formula>
    </cfRule>
  </conditionalFormatting>
  <conditionalFormatting sqref="L13:L20">
    <cfRule type="expression" dxfId="342" priority="61">
      <formula>ABS(L$16-L$19)&gt;=1000</formula>
    </cfRule>
  </conditionalFormatting>
  <conditionalFormatting sqref="M13 M15 M17:M18 M20">
    <cfRule type="expression" dxfId="341" priority="60">
      <formula>ABS(M$16-M$19)&gt;=1000</formula>
    </cfRule>
  </conditionalFormatting>
  <conditionalFormatting sqref="N13:N20">
    <cfRule type="expression" dxfId="340" priority="59">
      <formula>ABS(N$16-N$19)&gt;=1000</formula>
    </cfRule>
  </conditionalFormatting>
  <conditionalFormatting sqref="O13:O20">
    <cfRule type="expression" dxfId="339" priority="58">
      <formula>ABS(O$16-O$19)&gt;=1000</formula>
    </cfRule>
  </conditionalFormatting>
  <conditionalFormatting sqref="P13:P20">
    <cfRule type="expression" dxfId="338" priority="57">
      <formula>ABS(P$16-P$19)&gt;=1000</formula>
    </cfRule>
  </conditionalFormatting>
  <conditionalFormatting sqref="Q13 Q15:Q20">
    <cfRule type="expression" dxfId="337" priority="56">
      <formula>ABS(Q$16-Q$19)&gt;=1000</formula>
    </cfRule>
  </conditionalFormatting>
  <conditionalFormatting sqref="R13:R20">
    <cfRule type="expression" dxfId="336" priority="55">
      <formula>ABS(R$16-R$19)&gt;=1000</formula>
    </cfRule>
  </conditionalFormatting>
  <conditionalFormatting sqref="S13:S20">
    <cfRule type="expression" dxfId="335" priority="54">
      <formula>ABS(S$16-S$19)&gt;=1000</formula>
    </cfRule>
  </conditionalFormatting>
  <conditionalFormatting sqref="T13:T20">
    <cfRule type="expression" dxfId="334" priority="53">
      <formula>ABS(T$16-T$19)&gt;=1000</formula>
    </cfRule>
  </conditionalFormatting>
  <conditionalFormatting sqref="U13:U20">
    <cfRule type="expression" dxfId="333" priority="52">
      <formula>ABS(U$16-U$19)&gt;=1000</formula>
    </cfRule>
  </conditionalFormatting>
  <conditionalFormatting sqref="V13:V20">
    <cfRule type="expression" dxfId="332" priority="51">
      <formula>ABS(V$16-V$19)&gt;=1000</formula>
    </cfRule>
  </conditionalFormatting>
  <conditionalFormatting sqref="W13 W20 W15:W18">
    <cfRule type="expression" dxfId="331" priority="50">
      <formula>ABS(W$16-W$19)&gt;=1000</formula>
    </cfRule>
  </conditionalFormatting>
  <conditionalFormatting sqref="X13 X15:X20 Y19">
    <cfRule type="expression" dxfId="330" priority="49">
      <formula>ABS(X$16-X$19)&gt;=1000</formula>
    </cfRule>
  </conditionalFormatting>
  <conditionalFormatting sqref="Y13 Y15:Y18 Y20">
    <cfRule type="expression" dxfId="329" priority="48">
      <formula>ABS(Y$16-Y$19)&gt;=1000</formula>
    </cfRule>
  </conditionalFormatting>
  <conditionalFormatting sqref="Z13:Z20">
    <cfRule type="expression" dxfId="328" priority="47">
      <formula>ABS(Z$16-Z$19)&gt;=1000</formula>
    </cfRule>
  </conditionalFormatting>
  <conditionalFormatting sqref="AA13:AA20">
    <cfRule type="expression" dxfId="327" priority="46">
      <formula>ABS(AA$16-AA$19)&gt;=1000</formula>
    </cfRule>
  </conditionalFormatting>
  <conditionalFormatting sqref="AB13 AB15:AB20">
    <cfRule type="expression" dxfId="326" priority="45">
      <formula>ABS(AB$16-AB$19)&gt;=1000</formula>
    </cfRule>
  </conditionalFormatting>
  <conditionalFormatting sqref="AC13 AC15:AC20">
    <cfRule type="expression" dxfId="325" priority="44">
      <formula>ABS(AC$16-AC$19)&gt;=1000</formula>
    </cfRule>
  </conditionalFormatting>
  <conditionalFormatting sqref="AD13:AD20">
    <cfRule type="expression" dxfId="324" priority="43">
      <formula>ABS(AD$16-AD$19)&gt;=1000</formula>
    </cfRule>
  </conditionalFormatting>
  <conditionalFormatting sqref="AE13:AE20">
    <cfRule type="expression" dxfId="323" priority="42">
      <formula>ABS(AE$16-AE$19)&gt;=1000</formula>
    </cfRule>
  </conditionalFormatting>
  <conditionalFormatting sqref="D22:D29">
    <cfRule type="expression" dxfId="322" priority="41">
      <formula>ABS(D$25-D$28)&gt;=1000</formula>
    </cfRule>
  </conditionalFormatting>
  <conditionalFormatting sqref="E22:E29">
    <cfRule type="expression" dxfId="321" priority="40">
      <formula>ABS(E$25-E$28)&gt;=1000</formula>
    </cfRule>
  </conditionalFormatting>
  <conditionalFormatting sqref="F22:F29">
    <cfRule type="expression" dxfId="320" priority="39">
      <formula>ABS(F$25-F$28)&gt;=1000</formula>
    </cfRule>
  </conditionalFormatting>
  <conditionalFormatting sqref="G22:G29">
    <cfRule type="expression" dxfId="319" priority="38">
      <formula>ABS(G$25-G$28)&gt;=1000</formula>
    </cfRule>
  </conditionalFormatting>
  <conditionalFormatting sqref="H22:H29">
    <cfRule type="expression" dxfId="318" priority="37">
      <formula>ABS(H$25-H$28)&gt;=1000</formula>
    </cfRule>
  </conditionalFormatting>
  <conditionalFormatting sqref="I22 I24:I29">
    <cfRule type="expression" dxfId="317" priority="36">
      <formula>ABS(I$25-I$28)&gt;=1000</formula>
    </cfRule>
  </conditionalFormatting>
  <conditionalFormatting sqref="J22:J29 K22">
    <cfRule type="expression" dxfId="316" priority="35">
      <formula>ABS(J$25-J$28)&gt;=1000</formula>
    </cfRule>
  </conditionalFormatting>
  <conditionalFormatting sqref="K23:K29 L25 L28">
    <cfRule type="expression" dxfId="315" priority="34">
      <formula>ABS(K$25-K$28)&gt;=1000</formula>
    </cfRule>
  </conditionalFormatting>
  <conditionalFormatting sqref="L22:L24 L26:L27 L29">
    <cfRule type="expression" dxfId="314" priority="33">
      <formula>ABS(L$25-L$28)&gt;=1000</formula>
    </cfRule>
  </conditionalFormatting>
  <conditionalFormatting sqref="M22:M29">
    <cfRule type="expression" dxfId="313" priority="32">
      <formula>ABS(M$25-M$28)&gt;=1000</formula>
    </cfRule>
  </conditionalFormatting>
  <conditionalFormatting sqref="N22:N29">
    <cfRule type="expression" dxfId="312" priority="31">
      <formula>ABS(N$25-N$28)&gt;=1000</formula>
    </cfRule>
  </conditionalFormatting>
  <conditionalFormatting sqref="O22:O29">
    <cfRule type="expression" dxfId="311" priority="30">
      <formula>ABS(O$25-O$28)&gt;=1000</formula>
    </cfRule>
  </conditionalFormatting>
  <conditionalFormatting sqref="P22:P29">
    <cfRule type="expression" dxfId="310" priority="29">
      <formula>ABS(P$25-P$28)&gt;=1000</formula>
    </cfRule>
  </conditionalFormatting>
  <conditionalFormatting sqref="Q22:Q29">
    <cfRule type="expression" dxfId="309" priority="28">
      <formula>ABS(Q$25-Q$28)&gt;=1000</formula>
    </cfRule>
  </conditionalFormatting>
  <conditionalFormatting sqref="R22:R29">
    <cfRule type="expression" dxfId="308" priority="27">
      <formula>ABS(R$25-R$28)&gt;=1000</formula>
    </cfRule>
  </conditionalFormatting>
  <conditionalFormatting sqref="S22:S29">
    <cfRule type="expression" dxfId="307" priority="26">
      <formula>ABS(S$25-S$28)&gt;=1000</formula>
    </cfRule>
  </conditionalFormatting>
  <conditionalFormatting sqref="T22:T29">
    <cfRule type="expression" dxfId="306" priority="25">
      <formula>ABS(T$25-T$28)&gt;=1000</formula>
    </cfRule>
  </conditionalFormatting>
  <conditionalFormatting sqref="U22:U29">
    <cfRule type="expression" dxfId="305" priority="24">
      <formula>ABS(U$25-U$28)&gt;=1000</formula>
    </cfRule>
  </conditionalFormatting>
  <conditionalFormatting sqref="V22:V29">
    <cfRule type="expression" dxfId="304" priority="23">
      <formula>ABS(V$25-V$28)&gt;=1000</formula>
    </cfRule>
  </conditionalFormatting>
  <conditionalFormatting sqref="W22:W29">
    <cfRule type="expression" dxfId="303" priority="22">
      <formula>ABS(W$25-W$28)&gt;=1000</formula>
    </cfRule>
  </conditionalFormatting>
  <conditionalFormatting sqref="X22:X29">
    <cfRule type="expression" dxfId="302" priority="21">
      <formula>ABS(X$25-X$28)&gt;=1000</formula>
    </cfRule>
  </conditionalFormatting>
  <conditionalFormatting sqref="Y22:Y29">
    <cfRule type="expression" dxfId="301" priority="20">
      <formula>ABS(Y$25-Y$28)&gt;=1000</formula>
    </cfRule>
  </conditionalFormatting>
  <conditionalFormatting sqref="I23">
    <cfRule type="expression" dxfId="300" priority="19">
      <formula>ABS(I$25-I$28)&gt;=1000</formula>
    </cfRule>
  </conditionalFormatting>
  <conditionalFormatting sqref="F14">
    <cfRule type="expression" dxfId="299" priority="18">
      <formula>ABS(F$16-F$19)&gt;=1000</formula>
    </cfRule>
  </conditionalFormatting>
  <conditionalFormatting sqref="Q14">
    <cfRule type="expression" dxfId="298" priority="17">
      <formula>ABS(Q$16-Q$19)&gt;=1000</formula>
    </cfRule>
  </conditionalFormatting>
  <conditionalFormatting sqref="W14">
    <cfRule type="expression" dxfId="297" priority="16">
      <formula>ABS(W$16-W$19)&gt;=1000</formula>
    </cfRule>
  </conditionalFormatting>
  <conditionalFormatting sqref="Y14">
    <cfRule type="expression" dxfId="296" priority="15">
      <formula>ABS(Y$16-Y$19)&gt;=1000</formula>
    </cfRule>
  </conditionalFormatting>
  <conditionalFormatting sqref="X14">
    <cfRule type="expression" dxfId="295" priority="14">
      <formula>ABS(X$16-X$19)&gt;=1000</formula>
    </cfRule>
  </conditionalFormatting>
  <conditionalFormatting sqref="T10:Y10">
    <cfRule type="expression" dxfId="294" priority="13">
      <formula>ABS(T$7-T$10)&gt;=1000</formula>
    </cfRule>
  </conditionalFormatting>
  <conditionalFormatting sqref="W19">
    <cfRule type="expression" dxfId="293" priority="12">
      <formula>ABS(W$16-W$19)&gt;=1000</formula>
    </cfRule>
  </conditionalFormatting>
  <conditionalFormatting sqref="AC5">
    <cfRule type="expression" dxfId="292" priority="11">
      <formula>ABS(AC$7-AC$10)&gt;=1000</formula>
    </cfRule>
  </conditionalFormatting>
  <conditionalFormatting sqref="M14">
    <cfRule type="expression" dxfId="291" priority="10">
      <formula>ABS(M$16-M$19)&gt;=1000</formula>
    </cfRule>
  </conditionalFormatting>
  <conditionalFormatting sqref="M16">
    <cfRule type="expression" dxfId="290" priority="9">
      <formula>ABS(M$16-M$19)&gt;=1000</formula>
    </cfRule>
  </conditionalFormatting>
  <conditionalFormatting sqref="M19">
    <cfRule type="expression" dxfId="289" priority="8">
      <formula>ABS(M$16-M$19)&gt;=1000</formula>
    </cfRule>
  </conditionalFormatting>
  <conditionalFormatting sqref="K13:K20">
    <cfRule type="expression" dxfId="288" priority="7">
      <formula>ABS(K$16-K$19)&gt;=1000</formula>
    </cfRule>
  </conditionalFormatting>
  <conditionalFormatting sqref="E5">
    <cfRule type="expression" dxfId="287" priority="6">
      <formula>ABS(E$7-E$10)&gt;=1000</formula>
    </cfRule>
  </conditionalFormatting>
  <conditionalFormatting sqref="AB14:AC14">
    <cfRule type="expression" dxfId="286" priority="5">
      <formula>ABS(AB$16-AB$19)&gt;=1000</formula>
    </cfRule>
  </conditionalFormatting>
  <conditionalFormatting sqref="M5">
    <cfRule type="expression" dxfId="285" priority="4">
      <formula>ABS(M$7-M$10)&gt;=1000</formula>
    </cfRule>
  </conditionalFormatting>
  <conditionalFormatting sqref="N5">
    <cfRule type="expression" dxfId="284" priority="3">
      <formula>ABS(N$7-N$10)&gt;=1000</formula>
    </cfRule>
  </conditionalFormatting>
  <conditionalFormatting sqref="O5">
    <cfRule type="expression" dxfId="283" priority="2">
      <formula>ABS(O$7-O$10)&gt;=1000</formula>
    </cfRule>
  </conditionalFormatting>
  <conditionalFormatting sqref="P5">
    <cfRule type="expression" dxfId="282" priority="1">
      <formula>ABS(P$7-P$10)&gt;=1000</formula>
    </cfRule>
  </conditionalFormatting>
  <dataValidations count="1">
    <dataValidation operator="greaterThanOrEqual" allowBlank="1" showErrorMessage="1" sqref="D6" xr:uid="{00000000-0002-0000-15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4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1646">
    <pageSetUpPr fitToPage="1"/>
  </sheetPr>
  <dimension ref="A1:CU223"/>
  <sheetViews>
    <sheetView view="pageBreakPreview" topLeftCell="A19" zoomScale="80" zoomScaleNormal="100" zoomScaleSheetLayoutView="80" workbookViewId="0">
      <selection activeCell="U15" sqref="U15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45805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70" t="s" ph="1">
        <v>178</v>
      </c>
      <c r="D6" s="71">
        <v>4940</v>
      </c>
      <c r="E6" s="71">
        <v>4697</v>
      </c>
      <c r="F6" s="71">
        <v>7138</v>
      </c>
      <c r="G6" s="71">
        <v>3633</v>
      </c>
      <c r="H6" s="71">
        <v>1028</v>
      </c>
      <c r="I6" s="71">
        <v>0</v>
      </c>
      <c r="J6" s="71">
        <v>7.82</v>
      </c>
      <c r="K6" s="71">
        <v>7.72</v>
      </c>
      <c r="L6" s="71">
        <v>39.31</v>
      </c>
      <c r="M6" s="71">
        <v>603</v>
      </c>
      <c r="N6" s="71">
        <v>4740</v>
      </c>
      <c r="O6" s="71">
        <v>3487</v>
      </c>
      <c r="P6" s="71">
        <v>2084</v>
      </c>
      <c r="Q6" s="71">
        <v>5873</v>
      </c>
      <c r="R6" s="71">
        <v>7112</v>
      </c>
      <c r="S6" s="71">
        <v>6759</v>
      </c>
      <c r="T6" s="71">
        <v>7084</v>
      </c>
      <c r="U6" s="71">
        <v>4652</v>
      </c>
      <c r="V6" s="71">
        <v>1828</v>
      </c>
      <c r="W6" s="71">
        <v>0</v>
      </c>
      <c r="X6" s="71">
        <v>0</v>
      </c>
      <c r="Y6" s="71">
        <v>0</v>
      </c>
      <c r="Z6" s="71">
        <v>1894</v>
      </c>
      <c r="AA6" s="71">
        <v>5087</v>
      </c>
      <c r="AB6" s="71">
        <v>2044</v>
      </c>
      <c r="AC6" s="71">
        <v>3794</v>
      </c>
      <c r="AD6" s="71">
        <v>4396</v>
      </c>
      <c r="AE6" s="71">
        <v>3937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154960.65458639999</v>
      </c>
      <c r="E7" s="73" ph="1">
        <f>E6*51.53*LOOKUP(E8,密度!$A$2:$A$50,密度!$B$2:$B$50)</f>
        <v>188691.58523599998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145859.50398500002</v>
      </c>
      <c r="H7" s="73" ph="1">
        <f>(H6)*51.53*LOOKUP(H8,密度!$A$2:$A$50,密度!$B$2:$B$50)</f>
        <v>41488.328288000004</v>
      </c>
      <c r="I7" s="73" ph="1">
        <f>I6*290.8*1.0267</f>
        <v>0</v>
      </c>
      <c r="J7" s="73" ph="1">
        <f>J6*290.8*0.7892</f>
        <v>1794.6849952</v>
      </c>
      <c r="K7" s="73" ph="1">
        <f>K6*290.8*1.1126</f>
        <v>2497.7602976000003</v>
      </c>
      <c r="L7" s="73" ph="1">
        <f>L6*290.8*0.777</f>
        <v>8882.1573960000023</v>
      </c>
      <c r="M7" s="73" ph="1">
        <f>M6*33.183*LOOKUP(M8,密度!$A$2:$A$50,密度!$D$2:$D$50)</f>
        <v>20543.598618299999</v>
      </c>
      <c r="N7" s="73" ph="1">
        <f>N6*33.183*LOOKUP(N8,密度!$A$2:$A$50,密度!$E$2:$E$50)</f>
        <v>123014.49118200001</v>
      </c>
      <c r="O7" s="73" ph="1">
        <f>O6*20.428*LOOKUP(O8,密度!$A$2:$A$50,密度!$C$2:$C$50)</f>
        <v>78718.965023600002</v>
      </c>
      <c r="P7" s="73" ph="1">
        <f>P6*51.53*LOOKUP(P8,密度!$A$2:$A$50,密度!$B$2:$B$50)</f>
        <v>83913.389528</v>
      </c>
      <c r="Q7" s="73" ph="1">
        <f>Q6*1.5*1.5*3.1416*LOOKUP(W8,密度!$A$2:$A$50,密度!$L$2:$L$50)</f>
        <v>38856.998980800003</v>
      </c>
      <c r="R7" s="73" ph="1">
        <f>R6*1.5*1.5*3.1416*LOOKUP(R8,密度!$A$2:$A$50,密度!$L$2:$L$50)</f>
        <v>46853.395142399997</v>
      </c>
      <c r="S7" s="73" ph="1">
        <f>S6*1.5*1.5*3.1416*LOOKUP(S8,密度!$A$2:$A$50,密度!$L$2:$L$50)</f>
        <v>45101.174025599998</v>
      </c>
      <c r="T7" s="73" ph="1">
        <f>T6*1.5*1.5*3.1416*LOOKUP(T8,密度!$A$2:$A$50,密度!$L$2:$L$50)</f>
        <v>47169.672580799997</v>
      </c>
      <c r="U7" s="73" ph="1">
        <f>U6*1.5*1.5*3.1416*LOOKUP(U8,密度!$A$2:$A$50,密度!$L$2:$L$50)</f>
        <v>30811.490186400006</v>
      </c>
      <c r="V7" s="73" ph="1">
        <f>V6*1.5*1.5*3.1416*LOOKUP(V8,密度!$A$2:$A$50,密度!$L$2:$L$50)</f>
        <v>12042.745545600001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59077.685879999997</v>
      </c>
      <c r="AA7" s="73" ph="1">
        <f>AA6*33.183*LOOKUP(AA8,密度!$A$2:$A$50,密度!$D$2:$D$50)</f>
        <v>173460.85401960002</v>
      </c>
      <c r="AB7" s="73" ph="1">
        <f>AB6*20.428*LOOKUP(AB8,密度!$A$2:$A$50,密度!$D$2:$D$50)</f>
        <v>43207.9001536</v>
      </c>
      <c r="AC7" s="73" ph="1">
        <f>AC6*51.53*LOOKUP(AC8,密度!$A$2:$A$50,密度!$Q$2:$Q$50)</f>
        <v>185234.95180540002</v>
      </c>
      <c r="AD7" s="73" ph="1">
        <f>AD6*20.428*LOOKUP(AD8,密度!$A$2:$A$50,密度!$V$2:$V$50)</f>
        <v>86281.269670399997</v>
      </c>
      <c r="AE7" s="73" ph="1">
        <f>AE6*20.428</f>
        <v>80425.036000000007</v>
      </c>
    </row>
    <row r="8" spans="1:99" ph="1">
      <c r="B8" s="196" ph="1"/>
      <c r="C8" s="68" t="s" ph="1">
        <v>180</v>
      </c>
      <c r="D8" s="74">
        <v>27</v>
      </c>
      <c r="E8" s="74">
        <v>25</v>
      </c>
      <c r="F8" s="74">
        <v>27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30</v>
      </c>
      <c r="P8" s="74">
        <v>23</v>
      </c>
      <c r="Q8" s="74">
        <v>24</v>
      </c>
      <c r="R8" s="74">
        <v>30</v>
      </c>
      <c r="S8" s="74">
        <v>18</v>
      </c>
      <c r="T8" s="74">
        <v>20</v>
      </c>
      <c r="U8" s="74">
        <v>25</v>
      </c>
      <c r="V8" s="74">
        <v>30</v>
      </c>
      <c r="W8" s="74">
        <v>26</v>
      </c>
      <c r="X8" s="74">
        <v>17</v>
      </c>
      <c r="Y8" s="74">
        <v>25</v>
      </c>
      <c r="Z8" s="74">
        <v>22</v>
      </c>
      <c r="AA8" s="74">
        <v>24</v>
      </c>
      <c r="AB8" s="74">
        <v>16</v>
      </c>
      <c r="AC8" s="74">
        <v>24</v>
      </c>
      <c r="AD8" s="74">
        <v>24</v>
      </c>
      <c r="AE8" s="74">
        <v>30</v>
      </c>
    </row>
    <row r="9" spans="1:99" ph="1">
      <c r="B9" s="196" ph="1">
        <v>0.66666666666666663</v>
      </c>
      <c r="C9" s="170" t="s" ph="1">
        <v>181</v>
      </c>
      <c r="D9" s="71">
        <v>4940</v>
      </c>
      <c r="E9" s="71">
        <v>4695</v>
      </c>
      <c r="F9" s="71">
        <v>7140</v>
      </c>
      <c r="G9" s="71">
        <v>4256</v>
      </c>
      <c r="H9" s="71">
        <v>1028</v>
      </c>
      <c r="I9" s="71">
        <v>0.11</v>
      </c>
      <c r="J9" s="71">
        <v>7.83</v>
      </c>
      <c r="K9" s="71">
        <v>7.7</v>
      </c>
      <c r="L9" s="71">
        <v>11.81</v>
      </c>
      <c r="M9" s="71">
        <v>602</v>
      </c>
      <c r="N9" s="71">
        <v>4742</v>
      </c>
      <c r="O9" s="71">
        <v>3487</v>
      </c>
      <c r="P9" s="71">
        <v>1990</v>
      </c>
      <c r="Q9" s="71">
        <v>7150</v>
      </c>
      <c r="R9" s="71">
        <v>7109</v>
      </c>
      <c r="S9" s="71">
        <v>6757</v>
      </c>
      <c r="T9" s="71">
        <v>7081</v>
      </c>
      <c r="U9" s="71">
        <v>4650</v>
      </c>
      <c r="V9" s="71">
        <v>1827</v>
      </c>
      <c r="W9" s="71">
        <v>0</v>
      </c>
      <c r="X9" s="71">
        <v>0</v>
      </c>
      <c r="Y9" s="71">
        <v>3163</v>
      </c>
      <c r="Z9" s="71">
        <v>1898</v>
      </c>
      <c r="AA9" s="71">
        <v>5090</v>
      </c>
      <c r="AB9" s="71">
        <v>2043</v>
      </c>
      <c r="AC9" s="71">
        <v>3797</v>
      </c>
      <c r="AD9" s="71">
        <v>4400</v>
      </c>
      <c r="AE9" s="71">
        <v>3385</v>
      </c>
    </row>
    <row r="10" spans="1:99" s="72" customFormat="1" ht="21.75" ph="1">
      <c r="B10" s="196" ph="1"/>
      <c r="C10" s="170" t="s" ph="1">
        <v>179</v>
      </c>
      <c r="D10" s="73" ph="1">
        <f>D9*33.183*LOOKUP(D11,密度!$A$2:$A$50,密度!$Q$2:$Q$50)</f>
        <v>154960.65458639999</v>
      </c>
      <c r="E10" s="73" ph="1">
        <f>E9*51.53*LOOKUP(E11,密度!$A$2:$A$50,密度!$B$2:$B$50)</f>
        <v>187982.21295000002</v>
      </c>
      <c r="F10" s="73" ph="1">
        <f>F9*33.183*LOOKUP(F11,密度!$A$2:$A$50,密度!$C$2:$C$50)</f>
        <v>262372.53898799996</v>
      </c>
      <c r="G10" s="73" ph="1">
        <f xml:space="preserve"> (G9+2)*51.53*LOOKUP(G11,密度!$A$2:$A$50,密度!$B$2:$B$50)</f>
        <v>170485.25297999999</v>
      </c>
      <c r="H10" s="73" ph="1">
        <f>(H9)*51.53*LOOKUP(H11,密度!$A$2:$A$50,密度!$B$2:$B$50)</f>
        <v>41297.626064000004</v>
      </c>
      <c r="I10" s="73" ph="1">
        <f>I9*290.8*1.0267</f>
        <v>32.842079599999998</v>
      </c>
      <c r="J10" s="73" ph="1">
        <f>J9*290.8*0.7892</f>
        <v>1796.9799888</v>
      </c>
      <c r="K10" s="73" ph="1">
        <f>K9*290.8*1.1126</f>
        <v>2491.2894160000005</v>
      </c>
      <c r="L10" s="73" ph="1">
        <f>L9*290.8*0.777</f>
        <v>2668.4883960000002</v>
      </c>
      <c r="M10" s="73" ph="1">
        <f>M9*33.183*LOOKUP(M11,密度!$A$2:$A$50,密度!$D$2:$D$50)</f>
        <v>20415.641652000002</v>
      </c>
      <c r="N10" s="73" ph="1">
        <f>N9*33.183*LOOKUP(N11,密度!$A$2:$A$50,密度!$E$2:$E$50)</f>
        <v>122893.306866</v>
      </c>
      <c r="O10" s="73" ph="1">
        <f>O9*20.428*LOOKUP(O11,密度!$A$2:$A$50,密度!$C$2:$C$50)</f>
        <v>78569.376908000006</v>
      </c>
      <c r="P10" s="73" ph="1">
        <f>P9*51.53*LOOKUP(P11,密度!$A$2:$A$50,密度!$B$2:$B$50)</f>
        <v>79769.522129999998</v>
      </c>
      <c r="Q10" s="73" ph="1">
        <f>Q9*1.5*1.5*3.1416*LOOKUP(W11,密度!$A$2:$A$50,密度!$L$2:$L$50)</f>
        <v>46851.034229999997</v>
      </c>
      <c r="R10" s="73" ph="1">
        <f>R9*1.5*1.5*3.1416*LOOKUP(R11,密度!$A$2:$A$50,密度!$L$2:$L$50)</f>
        <v>46783.380659400005</v>
      </c>
      <c r="S10" s="73" ph="1">
        <f>S9*1.5*1.5*3.1416*LOOKUP(S11,密度!$A$2:$A$50,密度!$L$2:$L$50)</f>
        <v>44992.303448400002</v>
      </c>
      <c r="T10" s="73" ph="1">
        <f>T9*1.5*1.5*3.1416*LOOKUP(T11,密度!$A$2:$A$50,密度!$L$2:$L$50)</f>
        <v>47099.643960599999</v>
      </c>
      <c r="U10" s="73" ph="1">
        <f>U9*1.5*1.5*3.1416*LOOKUP(U11,密度!$A$2:$A$50,密度!$L$2:$L$50)</f>
        <v>30798.243630000001</v>
      </c>
      <c r="V10" s="73" ph="1">
        <f>V9*1.5*1.5*3.1416*LOOKUP(V11,密度!$A$2:$A$50,密度!$L$2:$L$50)</f>
        <v>12074.900607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20949.428946600001</v>
      </c>
      <c r="Z10" s="73" ph="1">
        <f>Z9*33.183*LOOKUP(Z11,密度!$A$2:$A$50,密度!$L$2:$L$50)</f>
        <v>59013.509958000002</v>
      </c>
      <c r="AA10" s="73" ph="1">
        <f>AA9*33.183*LOOKUP(AA11,密度!$A$2:$A$50,密度!$D$2:$D$50)</f>
        <v>172465.29101699998</v>
      </c>
      <c r="AB10" s="73" ph="1">
        <f>AB9*20.428*LOOKUP(AB11,密度!$A$2:$A$50,密度!$D$2:$D$50)</f>
        <v>43115.812772400001</v>
      </c>
      <c r="AC10" s="73" ph="1">
        <f>AC9*51.53*LOOKUP(AC11,密度!$A$2:$A$50,密度!$Q$2:$Q$50)</f>
        <v>185099.6716423</v>
      </c>
      <c r="AD10" s="73" ph="1">
        <f>AD9*20.428*LOOKUP(AD11,密度!$A$2:$A$50,密度!$V$2:$V$50)</f>
        <v>86072.152319999994</v>
      </c>
      <c r="AE10" s="73" ph="1">
        <f>AE9*20.428</f>
        <v>69148.78</v>
      </c>
    </row>
    <row r="11" spans="1:99" ph="1">
      <c r="A11" s="64" t="s" ph="1">
        <v>163</v>
      </c>
      <c r="B11" s="196" ph="1"/>
      <c r="C11" s="170" t="s" ph="1">
        <v>180</v>
      </c>
      <c r="D11" s="74">
        <v>27</v>
      </c>
      <c r="E11" s="74">
        <v>28</v>
      </c>
      <c r="F11" s="74">
        <v>27</v>
      </c>
      <c r="G11" s="74">
        <v>28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27</v>
      </c>
      <c r="O11" s="74">
        <v>32</v>
      </c>
      <c r="P11" s="74">
        <v>27</v>
      </c>
      <c r="Q11" s="74">
        <v>25</v>
      </c>
      <c r="R11" s="74">
        <v>31</v>
      </c>
      <c r="S11" s="74">
        <v>20</v>
      </c>
      <c r="T11" s="74">
        <v>21</v>
      </c>
      <c r="U11" s="74">
        <v>25</v>
      </c>
      <c r="V11" s="74">
        <v>27</v>
      </c>
      <c r="W11" s="74">
        <v>35</v>
      </c>
      <c r="X11" s="74">
        <v>24</v>
      </c>
      <c r="Y11" s="74">
        <v>25</v>
      </c>
      <c r="Z11" s="74">
        <v>25</v>
      </c>
      <c r="AA11" s="74">
        <v>31</v>
      </c>
      <c r="AB11" s="74">
        <v>18</v>
      </c>
      <c r="AC11" s="74">
        <v>26</v>
      </c>
      <c r="AD11" s="74">
        <v>27</v>
      </c>
      <c r="AE11" s="74">
        <v>31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7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70" t="s" ph="1">
        <v>178</v>
      </c>
      <c r="D15" s="78">
        <v>1046</v>
      </c>
      <c r="E15" s="78">
        <v>1519</v>
      </c>
      <c r="F15" s="78">
        <v>3480</v>
      </c>
      <c r="G15" s="78">
        <v>2229</v>
      </c>
      <c r="H15" s="78">
        <v>0</v>
      </c>
      <c r="I15" s="78">
        <v>117</v>
      </c>
      <c r="J15" s="78">
        <v>1654</v>
      </c>
      <c r="K15" s="78">
        <v>324</v>
      </c>
      <c r="L15" s="78">
        <v>3221</v>
      </c>
      <c r="M15" s="78">
        <v>3024</v>
      </c>
      <c r="N15" s="78">
        <v>4222</v>
      </c>
      <c r="O15" s="78">
        <v>6057</v>
      </c>
      <c r="P15" s="78">
        <v>5472</v>
      </c>
      <c r="Q15" s="78">
        <v>3535</v>
      </c>
      <c r="R15" s="78">
        <v>3506</v>
      </c>
      <c r="S15" s="78">
        <v>4588</v>
      </c>
      <c r="T15" s="78">
        <v>4877</v>
      </c>
      <c r="U15" s="78">
        <v>1101</v>
      </c>
      <c r="V15" s="78">
        <v>2375</v>
      </c>
      <c r="W15" s="71">
        <v>-792</v>
      </c>
      <c r="X15" s="78">
        <v>25</v>
      </c>
      <c r="Y15" s="106">
        <v>-9906</v>
      </c>
      <c r="Z15" s="78">
        <v>0</v>
      </c>
      <c r="AA15" s="78">
        <v>4218</v>
      </c>
      <c r="AB15" s="78" ph="1">
        <v>2358</v>
      </c>
      <c r="AC15" s="78" ph="1">
        <v>0</v>
      </c>
      <c r="AD15" s="78">
        <v>84.52</v>
      </c>
      <c r="AE15" s="78">
        <v>35.01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70" t="s" ph="1">
        <v>179</v>
      </c>
      <c r="D16" s="73" ph="1">
        <f>D15*7.0686*LOOKUP(D17,密度!$A$2:$A$50,密度!$L$2:$L$50)</f>
        <v>6927.948997200001</v>
      </c>
      <c r="E16" s="73" ph="1">
        <f>E15*7.0686*LOOKUP(E17,密度!$A$2:$A$50,密度!$L$2:$L$50)</f>
        <v>10060.7595858</v>
      </c>
      <c r="F16" s="73" ph="1">
        <f>F15*9.0746*LOOKUP(F17,密度!$A$2:$A$50,密度!$L$2:$L$50)</f>
        <v>29526.933480000003</v>
      </c>
      <c r="G16" s="73" ph="1">
        <f>G15*9.0746*LOOKUP(G17,密度!$A$2:$A$50,密度!$B$2:$B$50)</f>
        <v>15769.190138639999</v>
      </c>
      <c r="H16" s="73" ph="1">
        <f>H15*9.0746*LOOKUP(H17,密度!$A$2:$A$50,密度!$L$2:$L$50)</f>
        <v>0</v>
      </c>
      <c r="I16" s="73" ph="1">
        <f>I15*9.0746*LOOKUP(I17,密度!$A$2:$A$50,密度!$U$2:$U$50)</f>
        <v>1089.3331332</v>
      </c>
      <c r="J16" s="73" ph="1">
        <f>J15*9.0746*LOOKUP(J17,密度!$A$2:$A$50,密度!$L$2:$L$50)</f>
        <v>14033.778154000001</v>
      </c>
      <c r="K16" s="73" ph="1">
        <f>K15*9.0746*LOOKUP(K17,密度!$A$2:$A$50,密度!$C$2:$C$50)</f>
        <v>3258.0028202400003</v>
      </c>
      <c r="L16" s="73" ph="1">
        <f>L15*9.0746*LOOKUP(L17,密度!$A$2:$A$50,密度!$E$2:$E$50)</f>
        <v>22828.0728346</v>
      </c>
      <c r="M16" s="73" ph="1">
        <f>M15*9.0746*LOOKUP(M17,密度!$A$2:$A$50,密度!$M$2:$M$50)</f>
        <v>23929.066828800002</v>
      </c>
      <c r="N16" s="73" ph="1">
        <f>N15*9.0746*LOOKUP(N17,密度!$A$2:$A$50,密度!$M$2:$M$50)</f>
        <v>33638.779933599995</v>
      </c>
      <c r="O16" s="73" ph="1">
        <f>O15*9.0746*LOOKUP(O17,密度!$A$2:$A$50,密度!$G$2:$G$50)</f>
        <v>52777.251082440001</v>
      </c>
      <c r="P16" s="73" ph="1">
        <f ca="1">P15*9.0746*LOOKUP(P17,密度!$A$2:$A$51,密度!$Q$2:$Q$50)</f>
        <v>47011.521391488001</v>
      </c>
      <c r="Q16" s="73" ph="1">
        <f>Q15*9.0746*LOOKUP(Q17,密度!$A$2:$A$50,密度!$Q$2:$Q$50)</f>
        <v>30370.198852140002</v>
      </c>
      <c r="R16" s="73" ph="1">
        <f>MAX(R15*9.0746*LOOKUP(R17,密度!$A$2:$A$50,密度!$B$2:$B$50),0)</f>
        <v>24774.766916119999</v>
      </c>
      <c r="S16" s="73" ph="1">
        <f>S15*9.0746*LOOKUP(S17,密度!$A$2:$A$50,密度!$Q$2:$Q$50)</f>
        <v>39416.823856752002</v>
      </c>
      <c r="T16" s="73" ph="1">
        <f>T15*9.0746*LOOKUP(T17,密度!$A$2:$A$50,密度!$O$2:$O$50)</f>
        <v>40981.819209200003</v>
      </c>
      <c r="U16" s="73" ph="1">
        <f>U15*9.0746*LOOKUP(U17,密度!$A$2:$A$50,密度!$H$2:$H$50)</f>
        <v>9138.8908186199988</v>
      </c>
      <c r="V16" s="73" ph="1">
        <f>MAX(5600*LOOKUP(V17,密度!$A$2:$A$50,密度!$Q$2:$Q$50)+V15*9.0476*LOOKUP(V17,密度!$A$2:$A$50,密度!$Q$2:$Q$50),0)</f>
        <v>25552.970206500002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6072.6378370000002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29874.935315399998</v>
      </c>
      <c r="AB16" s="73" ph="1">
        <f>AB15*9.0746*LOOKUP(AB17,密度!$A$2:$A$50,密度!$L$2:$L$50)</f>
        <v>20049.838671600002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18924.660274559996</v>
      </c>
      <c r="AE16" s="73" ph="1">
        <f>AE15*268.68*LOOKUP(AE17,密度!$A$2:$A$50,密度!B2:B50)+IF(AE15&lt;=0,0,1566*LOOKUP(AE17,密度!$A$2:$A$50,密度!B2:B50))</f>
        <v>8554.1507092800002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25</v>
      </c>
      <c r="E17" s="74">
        <v>25</v>
      </c>
      <c r="F17" s="74">
        <v>27</v>
      </c>
      <c r="G17" s="74">
        <v>25</v>
      </c>
      <c r="H17" s="74">
        <v>21</v>
      </c>
      <c r="I17" s="74">
        <v>24</v>
      </c>
      <c r="J17" s="74">
        <v>27</v>
      </c>
      <c r="K17" s="74">
        <v>26</v>
      </c>
      <c r="L17" s="74">
        <v>27</v>
      </c>
      <c r="M17" s="74">
        <v>28</v>
      </c>
      <c r="N17" s="74">
        <v>22</v>
      </c>
      <c r="O17" s="74">
        <v>25</v>
      </c>
      <c r="P17" s="74">
        <v>25</v>
      </c>
      <c r="Q17" s="74">
        <v>25</v>
      </c>
      <c r="R17" s="74">
        <v>26</v>
      </c>
      <c r="S17" s="74">
        <v>25</v>
      </c>
      <c r="T17" s="74">
        <v>25</v>
      </c>
      <c r="U17" s="74">
        <v>25</v>
      </c>
      <c r="V17" s="74">
        <v>30</v>
      </c>
      <c r="W17" s="74">
        <v>25</v>
      </c>
      <c r="X17" s="74">
        <v>25</v>
      </c>
      <c r="Y17" s="108">
        <v>25</v>
      </c>
      <c r="Z17" s="74">
        <v>25</v>
      </c>
      <c r="AA17" s="74">
        <v>24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1148</v>
      </c>
      <c r="E18" s="71">
        <v>1517</v>
      </c>
      <c r="F18" s="71">
        <v>3480</v>
      </c>
      <c r="G18" s="71">
        <v>2171</v>
      </c>
      <c r="H18" s="71">
        <v>0</v>
      </c>
      <c r="I18" s="71">
        <v>117</v>
      </c>
      <c r="J18" s="71">
        <v>1655</v>
      </c>
      <c r="K18" s="71">
        <v>322</v>
      </c>
      <c r="L18" s="71">
        <v>3223</v>
      </c>
      <c r="M18" s="71">
        <v>2912</v>
      </c>
      <c r="N18" s="71">
        <v>4306</v>
      </c>
      <c r="O18" s="71">
        <v>6055</v>
      </c>
      <c r="P18" s="71">
        <v>5470</v>
      </c>
      <c r="Q18" s="71">
        <v>3531</v>
      </c>
      <c r="R18" s="71">
        <v>3506</v>
      </c>
      <c r="S18" s="71">
        <v>2271</v>
      </c>
      <c r="T18" s="71">
        <v>2399</v>
      </c>
      <c r="U18" s="71">
        <v>3529</v>
      </c>
      <c r="V18" s="71">
        <v>2375</v>
      </c>
      <c r="W18" s="71">
        <v>-792</v>
      </c>
      <c r="X18" s="71">
        <v>25</v>
      </c>
      <c r="Y18" s="109">
        <v>-9905</v>
      </c>
      <c r="Z18" s="71">
        <v>0</v>
      </c>
      <c r="AA18" s="71">
        <v>4216</v>
      </c>
      <c r="AB18" s="71">
        <v>2358</v>
      </c>
      <c r="AC18" s="71">
        <v>0</v>
      </c>
      <c r="AD18" s="71">
        <v>46.72</v>
      </c>
      <c r="AE18" s="71">
        <v>84.01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70" t="s" ph="1">
        <v>179</v>
      </c>
      <c r="D19" s="73" ph="1">
        <f>D18*7.0686*LOOKUP(D20,密度!$A$2:$A$50,密度!$L$2:$L$50)</f>
        <v>7595.4086208000008</v>
      </c>
      <c r="E19" s="73" ph="1">
        <f>E18*7.0686*LOOKUP(E20,密度!$A$2:$A$50,密度!$L$2:$L$50)</f>
        <v>10036.789963200001</v>
      </c>
      <c r="F19" s="73" ph="1">
        <f>F18*9.0746*LOOKUP(F20,密度!$A$2:$A$50,密度!$L$2:$L$50)</f>
        <v>29400.615048000003</v>
      </c>
      <c r="G19" s="73" ph="1">
        <f>G18*9.0746*LOOKUP(G20,密度!$A$2:$A$50,密度!$B$2:$B$50)</f>
        <v>15358.86576536</v>
      </c>
      <c r="H19" s="73" ph="1">
        <f>H18*9.0746*LOOKUP(H20,密度!$A$2:$A$50,密度!$L$2:$L$50)</f>
        <v>0</v>
      </c>
      <c r="I19" s="73" ph="1">
        <f>I18*9.0746*LOOKUP(I20,密度!$A$2:$A$50,密度!$U$2:$U$50)</f>
        <v>1080.8393076</v>
      </c>
      <c r="J19" s="73" ph="1">
        <f>J18*9.0746*LOOKUP(J20,密度!$A$2:$A$50,密度!$L$2:$L$50)</f>
        <v>13997.207516</v>
      </c>
      <c r="K19" s="73" ph="1">
        <f>K18*9.0746*LOOKUP(K20,密度!$A$2:$A$50,密度!$C$2:$C$50)</f>
        <v>3229.1256281199999</v>
      </c>
      <c r="L19" s="73" ph="1">
        <f>L18*9.0746*LOOKUP(L20,密度!$A$2:$A$50,密度!$E$2:$E$50)</f>
        <v>22842.2473598</v>
      </c>
      <c r="M19" s="73" ph="1">
        <f>M18*9.0746*LOOKUP(M20,密度!$A$2:$A$50,密度!$M$2:$M$50)</f>
        <v>23016.379859199998</v>
      </c>
      <c r="N19" s="73" ph="1">
        <f>N18*9.0746*LOOKUP(N20,密度!$A$2:$A$50,密度!$M$2:$M$50)</f>
        <v>34116.58121756</v>
      </c>
      <c r="O19" s="73" ph="1">
        <f>O18*9.0746*LOOKUP(O20,密度!$A$2:$A$50,密度!$G$2:$G$50)</f>
        <v>52638.941473999999</v>
      </c>
      <c r="P19" s="73" ph="1">
        <f ca="1">P18*9.0746*LOOKUP(P20,密度!$A$2:$A$51,密度!$Q$2:$Q$50)</f>
        <v>46959.095793859997</v>
      </c>
      <c r="Q19" s="73" ph="1">
        <f>Q18*9.0746*LOOKUP(Q20,密度!$A$2:$A$50,密度!$Q$2:$Q$50)</f>
        <v>30313.083591978</v>
      </c>
      <c r="R19" s="73" ph="1">
        <f>MAX(R18*9.0746*LOOKUP(R20,密度!$A$2:$A$50,密度!$B$2:$B$50),0)</f>
        <v>24720.680485200002</v>
      </c>
      <c r="S19" s="73" ph="1">
        <f>S18*9.0746*LOOKUP(S20,密度!$A$2:$A$50,密度!$Q$2:$Q$50)</f>
        <v>19467.122488691999</v>
      </c>
      <c r="T19" s="73" ph="1">
        <f>T18*9.0746*LOOKUP(T20,密度!$A$2:$A$50,密度!$O$2:$O$50)</f>
        <v>20158.987960400002</v>
      </c>
      <c r="U19" s="73" ph="1">
        <f>U18*9.0746*LOOKUP(U20,密度!$A$2:$A$50,密度!$H$2:$H$50)</f>
        <v>29324.617995379998</v>
      </c>
      <c r="V19" s="73" ph="1">
        <f>MAX(5600*LOOKUP(V20,密度!$A$2:$A$50,密度!$Q$2:$Q$50)+V18*9.0476*LOOKUP(V20,密度!$A$2:$A$50,密度!$Q$2:$Q$50),0)</f>
        <v>25552.970206500002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6065.0637899999992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29860.769864799997</v>
      </c>
      <c r="AB19" s="73" ph="1">
        <f>AB18*9.0746*LOOKUP(AB20,密度!$A$2:$A$50,密度!$L$2:$L$50)</f>
        <v>20028.440764800001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10970.252899200001</v>
      </c>
      <c r="AE19" s="73" ph="1">
        <f>AE18*268.68*LOOKUP(AE20,密度!$A$2:$A$50,密度!B5:B53)+IF(AE18&lt;=0,0,1566*LOOKUP(AE20,密度!$A$2:$A$50,密度!B5:B53))</f>
        <v>18755.075883600002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26</v>
      </c>
      <c r="E20" s="81">
        <v>26</v>
      </c>
      <c r="F20" s="81">
        <v>31</v>
      </c>
      <c r="G20" s="81">
        <v>25</v>
      </c>
      <c r="H20" s="81">
        <v>29</v>
      </c>
      <c r="I20" s="81">
        <v>32</v>
      </c>
      <c r="J20" s="81">
        <v>30</v>
      </c>
      <c r="K20" s="81">
        <v>30</v>
      </c>
      <c r="L20" s="81">
        <v>27</v>
      </c>
      <c r="M20" s="81">
        <v>29</v>
      </c>
      <c r="N20" s="81">
        <v>27</v>
      </c>
      <c r="O20" s="81">
        <v>27</v>
      </c>
      <c r="P20" s="81">
        <v>26</v>
      </c>
      <c r="Q20" s="81">
        <v>26</v>
      </c>
      <c r="R20" s="81">
        <v>28</v>
      </c>
      <c r="S20" s="81">
        <v>28</v>
      </c>
      <c r="T20" s="81">
        <v>26</v>
      </c>
      <c r="U20" s="81">
        <v>24</v>
      </c>
      <c r="V20" s="81">
        <v>30</v>
      </c>
      <c r="W20" s="81">
        <v>28</v>
      </c>
      <c r="X20" s="81">
        <v>26</v>
      </c>
      <c r="Y20" s="110">
        <v>27</v>
      </c>
      <c r="Z20" s="81">
        <v>30</v>
      </c>
      <c r="AA20" s="81">
        <v>24</v>
      </c>
      <c r="AB20" s="81">
        <v>26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651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70" t="s" ph="1">
        <v>178</v>
      </c>
      <c r="D24" s="71">
        <v>90.7</v>
      </c>
      <c r="E24" s="71">
        <v>95.52</v>
      </c>
      <c r="F24" s="71">
        <v>3991</v>
      </c>
      <c r="G24" s="71">
        <v>1168</v>
      </c>
      <c r="H24" s="71">
        <v>2838</v>
      </c>
      <c r="I24" s="71">
        <v>4226</v>
      </c>
      <c r="J24" s="71">
        <v>5461</v>
      </c>
      <c r="K24" s="71">
        <v>0</v>
      </c>
      <c r="L24" s="71">
        <v>0</v>
      </c>
      <c r="M24" s="71">
        <v>5244</v>
      </c>
      <c r="N24" s="71">
        <v>5315</v>
      </c>
      <c r="O24" s="71">
        <v>2234</v>
      </c>
      <c r="P24" s="71">
        <v>886</v>
      </c>
      <c r="Q24" s="90">
        <v>2556</v>
      </c>
      <c r="R24" s="71">
        <v>2311</v>
      </c>
      <c r="S24" s="71">
        <v>1583</v>
      </c>
      <c r="T24" s="71">
        <v>1759</v>
      </c>
      <c r="U24" s="71">
        <v>5370</v>
      </c>
      <c r="V24" s="71">
        <v>9633</v>
      </c>
      <c r="W24" s="71">
        <v>10720</v>
      </c>
      <c r="X24" s="71">
        <v>3069</v>
      </c>
      <c r="Y24" s="71">
        <v>5356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24553.963200240003</v>
      </c>
      <c r="E25" s="91" ph="1">
        <f>E24*268.68*LOOKUP(E26,密度!$A$2:$A$50,密度!$C$2:$C$50)+IF(E24&lt;=0,0,1566*LOOKUP(E26,密度!$A$2:$A$50,密度!$C$2:$C$50))</f>
        <v>30195.694751040002</v>
      </c>
      <c r="F25" s="91" ph="1">
        <f>F24*11.702*LOOKUP(F26,密度!$A$2:$A$50,密度!$Q$2:$Q$50)</f>
        <v>44215.297156680004</v>
      </c>
      <c r="G25" s="91" ph="1">
        <f>G24*18.322*LOOKUP(G26,密度!$A$2:$A$50,密度!$B$2:$B$50)</f>
        <v>16702.774927999999</v>
      </c>
      <c r="H25" s="91" ph="1">
        <f>H24*18.322*LOOKUP(H26,密度!$A$2:$A$50,密度!$B$2:$B$50)</f>
        <v>40631.109050399995</v>
      </c>
      <c r="I25" s="91" ph="1">
        <f>I24*18.322*LOOKUP(I26,密度!$A$2:$A$50,密度!$Q$2:$Q$50)</f>
        <v>73486.873217479995</v>
      </c>
      <c r="J25" s="91" ph="1">
        <f>J24*18.322*LOOKUP(J26,密度!$A$2:$A$50,密度!$Q$2:$Q$50)</f>
        <v>94873.5183044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91103.594577600001</v>
      </c>
      <c r="N25" s="91" ph="1">
        <f>N24*18.322*LOOKUP(N26,密度!$A$2:$A$50,密度!$Q$2:$Q$50)</f>
        <v>92337.071926000004</v>
      </c>
      <c r="O25" s="91" ph="1">
        <f>O24*18.322*LOOKUP(O26,密度!$A$2:$A$50,密度!$C$2:$C$50)</f>
        <v>45450.1688192</v>
      </c>
      <c r="P25" s="91" ph="1">
        <f>P24*11.702*LOOKUP(P26,密度!$A$2:$A$50,密度!$B$2:$B$50)</f>
        <v>8110.8644955999998</v>
      </c>
      <c r="Q25" s="92" ph="1">
        <f>Q24*18.322*LOOKUP(Q26,密度!$A$2:$A$50,密度!$B$2:$B$50)</f>
        <v>36635.916333599998</v>
      </c>
      <c r="R25" s="91" ph="1">
        <f>R24*35.891*LOOKUP(R26,密度!$A$2:$A$50,密度!$C$2:$C$50)</f>
        <v>92034.774469599986</v>
      </c>
      <c r="S25" s="91" ph="1">
        <f>S24*35.891*LOOKUP(S26,密度!$A$2:$A$50,密度!$B$2:$B$50)</f>
        <v>44446.728881899995</v>
      </c>
      <c r="T25" s="91" ph="1">
        <f>T24*35.891*LOOKUP(T26,密度!$A$2:$A$50,密度!$Q$2:$Q$50)</f>
        <v>59862.017465800003</v>
      </c>
      <c r="U25" s="91" ph="1">
        <f>U24*35.891</f>
        <v>192734.66999999998</v>
      </c>
      <c r="V25" s="91" ph="1">
        <f>V24*47.051*LOOKUP(V26,密度!$A$2:$A$50,密度!$B$2:$B$50)</f>
        <v>354163.5199362</v>
      </c>
      <c r="W25" s="91" ph="1">
        <f>W24*47.051*LOOKUP(W26,密度!$A$2:$A$50,密度!$B$2:$B$50)</f>
        <v>393219.88691200002</v>
      </c>
      <c r="X25" s="91" ph="1">
        <f>X24*47.051*LOOKUP(X26,密度!$A$2:$A$50,密度!$I$2:$I$50)</f>
        <v>150175.49976000001</v>
      </c>
      <c r="Y25" s="91" ph="1">
        <f>Y24*47.051*LOOKUP(Y26,密度!$A$2:$A$50,密度!$L$2:$L$50)</f>
        <v>235624.82086000004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25</v>
      </c>
      <c r="G26" s="74">
        <v>24</v>
      </c>
      <c r="H26" s="74">
        <v>23</v>
      </c>
      <c r="I26" s="74">
        <v>22</v>
      </c>
      <c r="J26" s="74">
        <v>23</v>
      </c>
      <c r="K26" s="74">
        <v>22</v>
      </c>
      <c r="L26" s="74">
        <v>23</v>
      </c>
      <c r="M26" s="74">
        <v>23</v>
      </c>
      <c r="N26" s="74">
        <v>23</v>
      </c>
      <c r="O26" s="74">
        <v>23</v>
      </c>
      <c r="P26" s="74">
        <v>22</v>
      </c>
      <c r="Q26" s="93">
        <v>22</v>
      </c>
      <c r="R26" s="74">
        <v>24</v>
      </c>
      <c r="S26" s="74">
        <v>22</v>
      </c>
      <c r="T26" s="74">
        <v>23</v>
      </c>
      <c r="U26" s="74">
        <v>22</v>
      </c>
      <c r="V26" s="74">
        <v>23</v>
      </c>
      <c r="W26" s="74">
        <v>25</v>
      </c>
      <c r="X26" s="74">
        <v>27</v>
      </c>
      <c r="Y26" s="74">
        <v>27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70" t="s" ph="1">
        <v>181</v>
      </c>
      <c r="D27" s="71">
        <v>90.62</v>
      </c>
      <c r="E27" s="71">
        <v>95.51</v>
      </c>
      <c r="F27" s="71">
        <v>3989</v>
      </c>
      <c r="G27" s="71">
        <v>1174</v>
      </c>
      <c r="H27" s="71">
        <v>2118</v>
      </c>
      <c r="I27" s="71">
        <v>4222</v>
      </c>
      <c r="J27" s="71">
        <v>5460</v>
      </c>
      <c r="K27" s="71">
        <v>0</v>
      </c>
      <c r="L27" s="71">
        <v>0</v>
      </c>
      <c r="M27" s="71">
        <v>5242</v>
      </c>
      <c r="N27" s="71">
        <v>5311</v>
      </c>
      <c r="O27" s="71">
        <v>2231</v>
      </c>
      <c r="P27" s="71">
        <v>883</v>
      </c>
      <c r="Q27" s="90">
        <v>2421</v>
      </c>
      <c r="R27" s="71">
        <v>2309</v>
      </c>
      <c r="S27" s="71">
        <v>1580</v>
      </c>
      <c r="T27" s="71">
        <v>1756</v>
      </c>
      <c r="U27" s="71">
        <v>5208</v>
      </c>
      <c r="V27" s="71">
        <v>9632</v>
      </c>
      <c r="W27" s="71">
        <v>10720</v>
      </c>
      <c r="X27" s="71">
        <v>3069</v>
      </c>
      <c r="Y27" s="71">
        <v>4780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70" t="s" ph="1">
        <v>179</v>
      </c>
      <c r="D28" s="91" ph="1">
        <f>D27*268.68*LOOKUP(D29,密度!$A$2:$A$50,密度!$Q$2:$Q$50)+IF(D27&lt;=0,0,1566*LOOKUP(D29,密度!$A$2:$A$50,密度!$Q$2:$Q$50))</f>
        <v>24533.613591984005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44159.997366340001</v>
      </c>
      <c r="G28" s="91" ph="1">
        <f>G27*18.322*LOOKUP(G29,密度!$A$2:$A$50,密度!$B$2:$B$50)</f>
        <v>16769.2178288</v>
      </c>
      <c r="H28" s="91" ph="1">
        <f>H27*18.322*LOOKUP(H29,密度!$A$2:$A$50,密度!$B$2:$B$50)</f>
        <v>30253.154481599999</v>
      </c>
      <c r="I28" s="91" ph="1">
        <f>I27*18.322*LOOKUP(I29,密度!$A$2:$A$50,密度!$Q$2:$Q$50)</f>
        <v>73235.530922160004</v>
      </c>
      <c r="J28" s="91" ph="1">
        <f>J27*18.322*LOOKUP(J29,密度!$A$2:$A$50,密度!$Q$2:$Q$50)</f>
        <v>94639.062663599994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90928.624607760008</v>
      </c>
      <c r="N28" s="91" ph="1">
        <f>N27*18.322*LOOKUP(N29,密度!$A$2:$A$50,密度!$Q$2:$Q$50)</f>
        <v>92125.510357079998</v>
      </c>
      <c r="O28" s="91" ph="1">
        <f>O27*18.322*LOOKUP(O29,密度!$A$2:$A$50,密度!$C$2:$C$50)</f>
        <v>45356.433467199997</v>
      </c>
      <c r="P28" s="91" ph="1">
        <f>P27*11.702*LOOKUP(P29,密度!$A$2:$A$50,密度!$B$2:$B$50)</f>
        <v>8055.5023335999995</v>
      </c>
      <c r="Q28" s="92" ph="1">
        <f>Q27*18.322*LOOKUP(Q29,密度!$A$2:$A$50,密度!$B$2:$B$50)</f>
        <v>34581.155335199997</v>
      </c>
      <c r="R28" s="91" ph="1">
        <f>R27*35.891*LOOKUP(R29,密度!$A$2:$A$50,密度!$C$2:$C$50)</f>
        <v>91830.816683900004</v>
      </c>
      <c r="S28" s="91" ph="1">
        <f>S27*35.891*LOOKUP(S29,密度!$A$2:$A$50,密度!$B$2:$B$50)</f>
        <v>44158.348285999993</v>
      </c>
      <c r="T28" s="91" ph="1">
        <f>T27*35.891*LOOKUP(T29,密度!$A$2:$A$50,密度!$Q$2:$Q$50)</f>
        <v>59667.906017039997</v>
      </c>
      <c r="U28" s="91" ph="1">
        <f>U27*35.891</f>
        <v>186920.32799999998</v>
      </c>
      <c r="V28" s="91" ph="1">
        <f>V27*47.051*LOOKUP(V29,密度!$A$2:$A$50,密度!$B$2:$B$50)</f>
        <v>353311.0028672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150016.66028909999</v>
      </c>
      <c r="Y28" s="91" ph="1">
        <f>Y27*47.051*LOOKUP(Y29,密度!$A$2:$A$50,密度!$L$2:$L$50)</f>
        <v>209835.22674000001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70" t="s" ph="1">
        <v>180</v>
      </c>
      <c r="D29" s="74">
        <v>25</v>
      </c>
      <c r="E29" s="74">
        <v>25</v>
      </c>
      <c r="F29" s="74">
        <v>26</v>
      </c>
      <c r="G29" s="74">
        <v>25</v>
      </c>
      <c r="H29" s="74">
        <v>25</v>
      </c>
      <c r="I29" s="74">
        <v>25</v>
      </c>
      <c r="J29" s="74">
        <v>26</v>
      </c>
      <c r="K29" s="74">
        <v>29</v>
      </c>
      <c r="L29" s="74">
        <v>29</v>
      </c>
      <c r="M29" s="74">
        <v>25</v>
      </c>
      <c r="N29" s="74">
        <v>25</v>
      </c>
      <c r="O29" s="74">
        <v>24</v>
      </c>
      <c r="P29" s="74">
        <v>25</v>
      </c>
      <c r="Q29" s="93">
        <v>25</v>
      </c>
      <c r="R29" s="74">
        <v>26</v>
      </c>
      <c r="S29" s="74">
        <v>26</v>
      </c>
      <c r="T29" s="74">
        <v>25</v>
      </c>
      <c r="U29" s="74">
        <v>25</v>
      </c>
      <c r="V29" s="74">
        <v>25</v>
      </c>
      <c r="W29" s="74">
        <v>26</v>
      </c>
      <c r="X29" s="74">
        <v>28</v>
      </c>
      <c r="Y29" s="74">
        <v>29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70" t="s" ph="1">
        <v>5</v>
      </c>
      <c r="F32" s="169" t="s" ph="1">
        <v>43</v>
      </c>
      <c r="G32" s="97" t="s" ph="1">
        <v>4</v>
      </c>
      <c r="H32" s="170" t="s" ph="1">
        <v>5</v>
      </c>
      <c r="I32" s="169" t="s" ph="1">
        <v>43</v>
      </c>
      <c r="J32" s="97" t="s" ph="1">
        <v>4</v>
      </c>
      <c r="K32" s="170" t="s" ph="1">
        <v>5</v>
      </c>
      <c r="L32" s="169" t="s" ph="1">
        <v>43</v>
      </c>
      <c r="M32" s="97" t="s" ph="1">
        <v>4</v>
      </c>
      <c r="N32" s="170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0" t="s" ph="1">
        <v>5</v>
      </c>
      <c r="U32" s="99" t="s" ph="1">
        <v>43</v>
      </c>
      <c r="V32" s="97" t="s" ph="1">
        <v>4</v>
      </c>
      <c r="W32" s="170" t="s" ph="1">
        <v>5</v>
      </c>
      <c r="X32" s="99" t="s" ph="1">
        <v>43</v>
      </c>
      <c r="Y32" s="100" t="s" ph="1">
        <v>4</v>
      </c>
      <c r="Z32" s="170" t="s" ph="1">
        <v>5</v>
      </c>
      <c r="AA32" s="169" t="s" ph="1">
        <v>43</v>
      </c>
      <c r="AB32" s="97" t="s" ph="1">
        <v>85</v>
      </c>
      <c r="AC32" s="170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215581.10378939999</v>
      </c>
      <c r="E33" s="218" ph="1">
        <f>M10+I10</f>
        <v>20448.483731600001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22" ph="1">
        <v>0</v>
      </c>
      <c r="H33" s="218" ph="1">
        <f>N19</f>
        <v>34116.58121756</v>
      </c>
      <c r="I33" s="231" ph="1">
        <v>0</v>
      </c>
      <c r="J33" s="229" ph="1">
        <f>F10+O28</f>
        <v>307728.97245519992</v>
      </c>
      <c r="K33" s="218" ph="1">
        <f>O10+K10+E28+R28</f>
        <v>203084.19836641999</v>
      </c>
      <c r="L33" s="233" ph="1">
        <f>BE27</f>
        <v>7100</v>
      </c>
      <c r="M33" s="229" ph="1">
        <f>G10+H10+W28+S28+V28+E10</f>
        <v>1190000.3820112001</v>
      </c>
      <c r="N33" s="218" ph="1">
        <f>L10+P10++G28+H28</f>
        <v>129460.38283639999</v>
      </c>
      <c r="O33" s="231" ph="1">
        <f>BE17</f>
        <v>2270</v>
      </c>
      <c r="P33" s="229" ph="1">
        <f>L19</f>
        <v>22842.2473598</v>
      </c>
      <c r="Q33" s="218" ph="1">
        <f>J10+N10</f>
        <v>124690.2868548</v>
      </c>
      <c r="R33" s="231" ph="1">
        <f>BE23</f>
        <v>890</v>
      </c>
      <c r="S33" s="229" ph="1">
        <f>E10+X28</f>
        <v>337998.87323909998</v>
      </c>
      <c r="T33" s="218" ph="1">
        <f>X19</f>
        <v>6065.0637899999992</v>
      </c>
      <c r="U33" s="239" ph="1">
        <f>BE21</f>
        <v>730</v>
      </c>
      <c r="V33" s="250" ph="1">
        <f ca="1">P19+Q19+S19+M28+N28+J28</f>
        <v>374432.49950297002</v>
      </c>
      <c r="W33" s="250" ph="1">
        <f>D28+F28+V19+T28</f>
        <v>153914.48718186401</v>
      </c>
      <c r="X33" s="231" ph="1">
        <f>BE29+BE31</f>
        <v>10200</v>
      </c>
      <c r="Y33" s="252" ph="1">
        <f>+Q10+R10+S10+T10+U10+V10+W10+X10+Y10</f>
        <v>249548.935482</v>
      </c>
      <c r="Z33" s="237" ph="1">
        <f>D10+T19+U19+Y28+Z10</f>
        <v>473292.99724017998</v>
      </c>
      <c r="AA33" s="239" ph="1">
        <f>BE19</f>
        <v>1440</v>
      </c>
      <c r="AB33" s="241" ph="1">
        <f>I19</f>
        <v>1080.8393076</v>
      </c>
      <c r="AC33" s="243" ph="1">
        <f>AD10</f>
        <v>86072.152319999994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68" t="s" ph="1">
        <v>186</v>
      </c>
      <c r="AA36" s="168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345</v>
      </c>
      <c r="AI37" s="168" t="s" ph="1">
        <v>212</v>
      </c>
      <c r="AJ37" s="168" t="s" ph="1">
        <v>213</v>
      </c>
      <c r="AK37" s="168" t="s" ph="1">
        <v>214</v>
      </c>
      <c r="AM37" s="168" t="s" ph="1">
        <v>213</v>
      </c>
      <c r="AN37" s="168" t="s" ph="1">
        <v>214</v>
      </c>
      <c r="AO37" s="168" t="s" ph="1">
        <v>215</v>
      </c>
      <c r="AP37" s="168" t="s" ph="1">
        <v>213</v>
      </c>
      <c r="AQ37" s="168" t="s" ph="1">
        <v>214</v>
      </c>
      <c r="AR37" s="168" t="s" ph="1">
        <v>215</v>
      </c>
      <c r="AS37" s="168" t="s" ph="1">
        <v>213</v>
      </c>
      <c r="AT37" s="168" t="s" ph="1">
        <v>214</v>
      </c>
      <c r="AU37" s="168" t="s" ph="1">
        <v>215</v>
      </c>
      <c r="AV37" s="168" t="s" ph="1">
        <v>213</v>
      </c>
      <c r="AW37" s="168" t="s" ph="1">
        <v>214</v>
      </c>
      <c r="AX37" s="168" t="s" ph="1">
        <v>215</v>
      </c>
      <c r="AY37" s="168" t="s" ph="1">
        <v>214</v>
      </c>
      <c r="AZ37" s="168" t="s" ph="1">
        <v>216</v>
      </c>
      <c r="BD37" s="168" t="s" ph="1">
        <v>308</v>
      </c>
      <c r="BE37" s="168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1" priority="96">
      <formula>ABS(D$7-D$10)&gt;=1000</formula>
    </cfRule>
  </conditionalFormatting>
  <conditionalFormatting sqref="E4 E6:E11">
    <cfRule type="expression" dxfId="250" priority="95">
      <formula>ABS(E$7-E$10)&gt;=1000</formula>
    </cfRule>
  </conditionalFormatting>
  <conditionalFormatting sqref="F4:F11">
    <cfRule type="expression" dxfId="249" priority="94">
      <formula>ABS(F$7-F$10)&gt;=1000</formula>
    </cfRule>
  </conditionalFormatting>
  <conditionalFormatting sqref="G4:G11">
    <cfRule type="expression" dxfId="248" priority="93">
      <formula>ABS(G$7-G$10)&gt;=1000</formula>
    </cfRule>
  </conditionalFormatting>
  <conditionalFormatting sqref="H4:H11">
    <cfRule type="expression" dxfId="247" priority="92">
      <formula>ABS(H$7-H$10)&gt;=1000</formula>
    </cfRule>
  </conditionalFormatting>
  <conditionalFormatting sqref="I4:I11">
    <cfRule type="expression" dxfId="246" priority="91">
      <formula>ABS(I$7-I$10)&gt;=1000</formula>
    </cfRule>
  </conditionalFormatting>
  <conditionalFormatting sqref="J4:J11">
    <cfRule type="expression" dxfId="245" priority="90">
      <formula>ABS(J$7-J$10)&gt;=1000</formula>
    </cfRule>
  </conditionalFormatting>
  <conditionalFormatting sqref="K4:K11">
    <cfRule type="expression" dxfId="244" priority="89">
      <formula>ABS(K$7-K$10)&gt;=1000</formula>
    </cfRule>
  </conditionalFormatting>
  <conditionalFormatting sqref="L4:L11">
    <cfRule type="expression" dxfId="243" priority="88">
      <formula>ABS(L$7-L$10)&gt;=1000</formula>
    </cfRule>
  </conditionalFormatting>
  <conditionalFormatting sqref="M4 M6:M11">
    <cfRule type="expression" dxfId="242" priority="87">
      <formula>ABS(M$7-M$10)&gt;=1000</formula>
    </cfRule>
  </conditionalFormatting>
  <conditionalFormatting sqref="N4 N6:N11">
    <cfRule type="expression" dxfId="241" priority="86">
      <formula>ABS(N$7-N$10)&gt;=1000</formula>
    </cfRule>
  </conditionalFormatting>
  <conditionalFormatting sqref="O4 O6:O11">
    <cfRule type="expression" dxfId="240" priority="85">
      <formula>ABS(O$7-O$10)&gt;=1000</formula>
    </cfRule>
  </conditionalFormatting>
  <conditionalFormatting sqref="P4 P6:P11">
    <cfRule type="expression" dxfId="239" priority="84">
      <formula>ABS(P$7-P$10)&gt;=1000</formula>
    </cfRule>
  </conditionalFormatting>
  <conditionalFormatting sqref="Q4:Q11">
    <cfRule type="expression" dxfId="238" priority="83">
      <formula>ABS(Q$7-Q$10)&gt;=1000</formula>
    </cfRule>
  </conditionalFormatting>
  <conditionalFormatting sqref="R4:R11">
    <cfRule type="expression" dxfId="237" priority="82">
      <formula>ABS(R$7-R$10)&gt;=1000</formula>
    </cfRule>
  </conditionalFormatting>
  <conditionalFormatting sqref="S4:S11">
    <cfRule type="expression" dxfId="236" priority="81">
      <formula>ABS(S$7-S$10)&gt;=1000</formula>
    </cfRule>
  </conditionalFormatting>
  <conditionalFormatting sqref="T4:T9 T11">
    <cfRule type="expression" dxfId="235" priority="80">
      <formula>ABS(T$7-T$10)&gt;=1000</formula>
    </cfRule>
  </conditionalFormatting>
  <conditionalFormatting sqref="U4:U9 U11">
    <cfRule type="expression" dxfId="234" priority="79">
      <formula>ABS(U$7-U$10)&gt;=1000</formula>
    </cfRule>
  </conditionalFormatting>
  <conditionalFormatting sqref="V4:V9 V11">
    <cfRule type="expression" dxfId="233" priority="78">
      <formula>ABS(V$7-V$10)&gt;=1000</formula>
    </cfRule>
  </conditionalFormatting>
  <conditionalFormatting sqref="W4:W9 W11">
    <cfRule type="expression" dxfId="232" priority="77">
      <formula>ABS(W$7-W$10)&gt;=1000</formula>
    </cfRule>
  </conditionalFormatting>
  <conditionalFormatting sqref="X4:X9 X11">
    <cfRule type="expression" dxfId="231" priority="76">
      <formula>ABS(X$7-X$10)&gt;=1000</formula>
    </cfRule>
  </conditionalFormatting>
  <conditionalFormatting sqref="Y4:Y9 Y11">
    <cfRule type="expression" dxfId="230" priority="75">
      <formula>ABS(Y$7-Y$10)&gt;=1000</formula>
    </cfRule>
  </conditionalFormatting>
  <conditionalFormatting sqref="Z4:Z11">
    <cfRule type="expression" dxfId="229" priority="74">
      <formula>ABS(Z$7-Z$10)&gt;=1000</formula>
    </cfRule>
  </conditionalFormatting>
  <conditionalFormatting sqref="AA4:AA11">
    <cfRule type="expression" dxfId="228" priority="73">
      <formula>ABS(AA$7-AA$10)&gt;=1000</formula>
    </cfRule>
  </conditionalFormatting>
  <conditionalFormatting sqref="AB4:AB11">
    <cfRule type="expression" dxfId="227" priority="72">
      <formula>ABS(AB$7-AB$10)&gt;=1000</formula>
    </cfRule>
  </conditionalFormatting>
  <conditionalFormatting sqref="AC4 AC6:AC11">
    <cfRule type="expression" dxfId="226" priority="71">
      <formula>ABS(AC$7-AC$10)&gt;=1000</formula>
    </cfRule>
  </conditionalFormatting>
  <conditionalFormatting sqref="AD4:AD11">
    <cfRule type="expression" dxfId="225" priority="70">
      <formula>ABS(AD$7-AD$10)&gt;=1000</formula>
    </cfRule>
  </conditionalFormatting>
  <conditionalFormatting sqref="AE4:AE11">
    <cfRule type="expression" dxfId="224" priority="69">
      <formula>ABS(AE$7-AE$10)&gt;=1000</formula>
    </cfRule>
  </conditionalFormatting>
  <conditionalFormatting sqref="D13:D20">
    <cfRule type="expression" dxfId="223" priority="68">
      <formula>ABS(D$16-D$19)&gt;=1000</formula>
    </cfRule>
  </conditionalFormatting>
  <conditionalFormatting sqref="E13:E20">
    <cfRule type="expression" dxfId="222" priority="67">
      <formula>ABS(E$16-E$19)&gt;=1000</formula>
    </cfRule>
  </conditionalFormatting>
  <conditionalFormatting sqref="F13 F15:F20">
    <cfRule type="expression" dxfId="221" priority="66">
      <formula>ABS(F$16-F$19)&gt;=1000</formula>
    </cfRule>
  </conditionalFormatting>
  <conditionalFormatting sqref="G13:G20">
    <cfRule type="expression" dxfId="220" priority="65">
      <formula>ABS(G$16-G$19)&gt;=1000</formula>
    </cfRule>
  </conditionalFormatting>
  <conditionalFormatting sqref="H13:H20">
    <cfRule type="expression" dxfId="219" priority="64">
      <formula>ABS(H$16-H$19)&gt;=1000</formula>
    </cfRule>
  </conditionalFormatting>
  <conditionalFormatting sqref="I13:I20">
    <cfRule type="expression" dxfId="218" priority="63">
      <formula>ABS(I$16-I$19)&gt;=1000</formula>
    </cfRule>
  </conditionalFormatting>
  <conditionalFormatting sqref="J13:J20">
    <cfRule type="expression" dxfId="217" priority="62">
      <formula>ABS(J$16-J$19)&gt;=1000</formula>
    </cfRule>
  </conditionalFormatting>
  <conditionalFormatting sqref="L13:L20">
    <cfRule type="expression" dxfId="216" priority="61">
      <formula>ABS(L$16-L$19)&gt;=1000</formula>
    </cfRule>
  </conditionalFormatting>
  <conditionalFormatting sqref="M13 M15 M17:M18 M20">
    <cfRule type="expression" dxfId="215" priority="60">
      <formula>ABS(M$16-M$19)&gt;=1000</formula>
    </cfRule>
  </conditionalFormatting>
  <conditionalFormatting sqref="N13:N20">
    <cfRule type="expression" dxfId="214" priority="59">
      <formula>ABS(N$16-N$19)&gt;=1000</formula>
    </cfRule>
  </conditionalFormatting>
  <conditionalFormatting sqref="O13:O20">
    <cfRule type="expression" dxfId="213" priority="58">
      <formula>ABS(O$16-O$19)&gt;=1000</formula>
    </cfRule>
  </conditionalFormatting>
  <conditionalFormatting sqref="P13:P20">
    <cfRule type="expression" dxfId="212" priority="57">
      <formula>ABS(P$16-P$19)&gt;=1000</formula>
    </cfRule>
  </conditionalFormatting>
  <conditionalFormatting sqref="Q13 Q15:Q20">
    <cfRule type="expression" dxfId="211" priority="56">
      <formula>ABS(Q$16-Q$19)&gt;=1000</formula>
    </cfRule>
  </conditionalFormatting>
  <conditionalFormatting sqref="R13:R20">
    <cfRule type="expression" dxfId="210" priority="55">
      <formula>ABS(R$16-R$19)&gt;=1000</formula>
    </cfRule>
  </conditionalFormatting>
  <conditionalFormatting sqref="S13:S20">
    <cfRule type="expression" dxfId="209" priority="54">
      <formula>ABS(S$16-S$19)&gt;=1000</formula>
    </cfRule>
  </conditionalFormatting>
  <conditionalFormatting sqref="T13:T20">
    <cfRule type="expression" dxfId="208" priority="53">
      <formula>ABS(T$16-T$19)&gt;=1000</formula>
    </cfRule>
  </conditionalFormatting>
  <conditionalFormatting sqref="U13:U20">
    <cfRule type="expression" dxfId="207" priority="52">
      <formula>ABS(U$16-U$19)&gt;=1000</formula>
    </cfRule>
  </conditionalFormatting>
  <conditionalFormatting sqref="V13:V20">
    <cfRule type="expression" dxfId="206" priority="51">
      <formula>ABS(V$16-V$19)&gt;=1000</formula>
    </cfRule>
  </conditionalFormatting>
  <conditionalFormatting sqref="W13 W20 W15:W18">
    <cfRule type="expression" dxfId="205" priority="50">
      <formula>ABS(W$16-W$19)&gt;=1000</formula>
    </cfRule>
  </conditionalFormatting>
  <conditionalFormatting sqref="X13 X15:X20 Y19">
    <cfRule type="expression" dxfId="204" priority="49">
      <formula>ABS(X$16-X$19)&gt;=1000</formula>
    </cfRule>
  </conditionalFormatting>
  <conditionalFormatting sqref="Y13 Y15:Y18 Y20">
    <cfRule type="expression" dxfId="203" priority="48">
      <formula>ABS(Y$16-Y$19)&gt;=1000</formula>
    </cfRule>
  </conditionalFormatting>
  <conditionalFormatting sqref="Z13:Z20">
    <cfRule type="expression" dxfId="202" priority="47">
      <formula>ABS(Z$16-Z$19)&gt;=1000</formula>
    </cfRule>
  </conditionalFormatting>
  <conditionalFormatting sqref="AA13:AA20">
    <cfRule type="expression" dxfId="201" priority="46">
      <formula>ABS(AA$16-AA$19)&gt;=1000</formula>
    </cfRule>
  </conditionalFormatting>
  <conditionalFormatting sqref="AB13 AB15:AB20">
    <cfRule type="expression" dxfId="200" priority="45">
      <formula>ABS(AB$16-AB$19)&gt;=1000</formula>
    </cfRule>
  </conditionalFormatting>
  <conditionalFormatting sqref="AC13 AC15:AC20">
    <cfRule type="expression" dxfId="199" priority="44">
      <formula>ABS(AC$16-AC$19)&gt;=1000</formula>
    </cfRule>
  </conditionalFormatting>
  <conditionalFormatting sqref="AD13:AD20">
    <cfRule type="expression" dxfId="198" priority="43">
      <formula>ABS(AD$16-AD$19)&gt;=1000</formula>
    </cfRule>
  </conditionalFormatting>
  <conditionalFormatting sqref="AE13:AE20">
    <cfRule type="expression" dxfId="197" priority="42">
      <formula>ABS(AE$16-AE$19)&gt;=1000</formula>
    </cfRule>
  </conditionalFormatting>
  <conditionalFormatting sqref="D22:D29">
    <cfRule type="expression" dxfId="196" priority="41">
      <formula>ABS(D$25-D$28)&gt;=1000</formula>
    </cfRule>
  </conditionalFormatting>
  <conditionalFormatting sqref="E22:E29">
    <cfRule type="expression" dxfId="195" priority="40">
      <formula>ABS(E$25-E$28)&gt;=1000</formula>
    </cfRule>
  </conditionalFormatting>
  <conditionalFormatting sqref="F22:F29">
    <cfRule type="expression" dxfId="194" priority="39">
      <formula>ABS(F$25-F$28)&gt;=1000</formula>
    </cfRule>
  </conditionalFormatting>
  <conditionalFormatting sqref="G22:G29">
    <cfRule type="expression" dxfId="193" priority="38">
      <formula>ABS(G$25-G$28)&gt;=1000</formula>
    </cfRule>
  </conditionalFormatting>
  <conditionalFormatting sqref="H22:H29">
    <cfRule type="expression" dxfId="192" priority="37">
      <formula>ABS(H$25-H$28)&gt;=1000</formula>
    </cfRule>
  </conditionalFormatting>
  <conditionalFormatting sqref="I22 I24:I29">
    <cfRule type="expression" dxfId="191" priority="36">
      <formula>ABS(I$25-I$28)&gt;=1000</formula>
    </cfRule>
  </conditionalFormatting>
  <conditionalFormatting sqref="J22:J29 K22">
    <cfRule type="expression" dxfId="190" priority="35">
      <formula>ABS(J$25-J$28)&gt;=1000</formula>
    </cfRule>
  </conditionalFormatting>
  <conditionalFormatting sqref="K23:K29 L25 L28">
    <cfRule type="expression" dxfId="189" priority="34">
      <formula>ABS(K$25-K$28)&gt;=1000</formula>
    </cfRule>
  </conditionalFormatting>
  <conditionalFormatting sqref="L22:L24 L26:L27 L29">
    <cfRule type="expression" dxfId="188" priority="33">
      <formula>ABS(L$25-L$28)&gt;=1000</formula>
    </cfRule>
  </conditionalFormatting>
  <conditionalFormatting sqref="M22:M29">
    <cfRule type="expression" dxfId="187" priority="32">
      <formula>ABS(M$25-M$28)&gt;=1000</formula>
    </cfRule>
  </conditionalFormatting>
  <conditionalFormatting sqref="N22:N29">
    <cfRule type="expression" dxfId="186" priority="31">
      <formula>ABS(N$25-N$28)&gt;=1000</formula>
    </cfRule>
  </conditionalFormatting>
  <conditionalFormatting sqref="O22:O29">
    <cfRule type="expression" dxfId="185" priority="30">
      <formula>ABS(O$25-O$28)&gt;=1000</formula>
    </cfRule>
  </conditionalFormatting>
  <conditionalFormatting sqref="P22:P29">
    <cfRule type="expression" dxfId="184" priority="29">
      <formula>ABS(P$25-P$28)&gt;=1000</formula>
    </cfRule>
  </conditionalFormatting>
  <conditionalFormatting sqref="Q22:Q29">
    <cfRule type="expression" dxfId="183" priority="28">
      <formula>ABS(Q$25-Q$28)&gt;=1000</formula>
    </cfRule>
  </conditionalFormatting>
  <conditionalFormatting sqref="R22:R29">
    <cfRule type="expression" dxfId="182" priority="27">
      <formula>ABS(R$25-R$28)&gt;=1000</formula>
    </cfRule>
  </conditionalFormatting>
  <conditionalFormatting sqref="S22:S29">
    <cfRule type="expression" dxfId="181" priority="26">
      <formula>ABS(S$25-S$28)&gt;=1000</formula>
    </cfRule>
  </conditionalFormatting>
  <conditionalFormatting sqref="T22:T29">
    <cfRule type="expression" dxfId="180" priority="25">
      <formula>ABS(T$25-T$28)&gt;=1000</formula>
    </cfRule>
  </conditionalFormatting>
  <conditionalFormatting sqref="U22:U29">
    <cfRule type="expression" dxfId="179" priority="24">
      <formula>ABS(U$25-U$28)&gt;=1000</formula>
    </cfRule>
  </conditionalFormatting>
  <conditionalFormatting sqref="V22:V29">
    <cfRule type="expression" dxfId="178" priority="23">
      <formula>ABS(V$25-V$28)&gt;=1000</formula>
    </cfRule>
  </conditionalFormatting>
  <conditionalFormatting sqref="W22:W29">
    <cfRule type="expression" dxfId="177" priority="22">
      <formula>ABS(W$25-W$28)&gt;=1000</formula>
    </cfRule>
  </conditionalFormatting>
  <conditionalFormatting sqref="X22:X29">
    <cfRule type="expression" dxfId="176" priority="21">
      <formula>ABS(X$25-X$28)&gt;=1000</formula>
    </cfRule>
  </conditionalFormatting>
  <conditionalFormatting sqref="Y22:Y29">
    <cfRule type="expression" dxfId="175" priority="20">
      <formula>ABS(Y$25-Y$28)&gt;=1000</formula>
    </cfRule>
  </conditionalFormatting>
  <conditionalFormatting sqref="I23">
    <cfRule type="expression" dxfId="174" priority="19">
      <formula>ABS(I$25-I$28)&gt;=1000</formula>
    </cfRule>
  </conditionalFormatting>
  <conditionalFormatting sqref="F14">
    <cfRule type="expression" dxfId="173" priority="18">
      <formula>ABS(F$16-F$19)&gt;=1000</formula>
    </cfRule>
  </conditionalFormatting>
  <conditionalFormatting sqref="Q14">
    <cfRule type="expression" dxfId="172" priority="17">
      <formula>ABS(Q$16-Q$19)&gt;=1000</formula>
    </cfRule>
  </conditionalFormatting>
  <conditionalFormatting sqref="W14">
    <cfRule type="expression" dxfId="171" priority="16">
      <formula>ABS(W$16-W$19)&gt;=1000</formula>
    </cfRule>
  </conditionalFormatting>
  <conditionalFormatting sqref="Y14">
    <cfRule type="expression" dxfId="170" priority="15">
      <formula>ABS(Y$16-Y$19)&gt;=1000</formula>
    </cfRule>
  </conditionalFormatting>
  <conditionalFormatting sqref="X14">
    <cfRule type="expression" dxfId="169" priority="14">
      <formula>ABS(X$16-X$19)&gt;=1000</formula>
    </cfRule>
  </conditionalFormatting>
  <conditionalFormatting sqref="T10:Y10">
    <cfRule type="expression" dxfId="168" priority="13">
      <formula>ABS(T$7-T$10)&gt;=1000</formula>
    </cfRule>
  </conditionalFormatting>
  <conditionalFormatting sqref="W19">
    <cfRule type="expression" dxfId="167" priority="12">
      <formula>ABS(W$16-W$19)&gt;=1000</formula>
    </cfRule>
  </conditionalFormatting>
  <conditionalFormatting sqref="AC5">
    <cfRule type="expression" dxfId="166" priority="11">
      <formula>ABS(AC$7-AC$10)&gt;=1000</formula>
    </cfRule>
  </conditionalFormatting>
  <conditionalFormatting sqref="M14">
    <cfRule type="expression" dxfId="165" priority="10">
      <formula>ABS(M$16-M$19)&gt;=1000</formula>
    </cfRule>
  </conditionalFormatting>
  <conditionalFormatting sqref="M16">
    <cfRule type="expression" dxfId="164" priority="9">
      <formula>ABS(M$16-M$19)&gt;=1000</formula>
    </cfRule>
  </conditionalFormatting>
  <conditionalFormatting sqref="M19">
    <cfRule type="expression" dxfId="163" priority="8">
      <formula>ABS(M$16-M$19)&gt;=1000</formula>
    </cfRule>
  </conditionalFormatting>
  <conditionalFormatting sqref="K13:K20">
    <cfRule type="expression" dxfId="162" priority="7">
      <formula>ABS(K$16-K$19)&gt;=1000</formula>
    </cfRule>
  </conditionalFormatting>
  <conditionalFormatting sqref="E5">
    <cfRule type="expression" dxfId="161" priority="6">
      <formula>ABS(E$7-E$10)&gt;=1000</formula>
    </cfRule>
  </conditionalFormatting>
  <conditionalFormatting sqref="AB14:AC14">
    <cfRule type="expression" dxfId="160" priority="5">
      <formula>ABS(AB$16-AB$19)&gt;=1000</formula>
    </cfRule>
  </conditionalFormatting>
  <conditionalFormatting sqref="M5">
    <cfRule type="expression" dxfId="159" priority="4">
      <formula>ABS(M$7-M$10)&gt;=1000</formula>
    </cfRule>
  </conditionalFormatting>
  <conditionalFormatting sqref="N5">
    <cfRule type="expression" dxfId="158" priority="3">
      <formula>ABS(N$7-N$10)&gt;=1000</formula>
    </cfRule>
  </conditionalFormatting>
  <conditionalFormatting sqref="O5">
    <cfRule type="expression" dxfId="157" priority="2">
      <formula>ABS(O$7-O$10)&gt;=1000</formula>
    </cfRule>
  </conditionalFormatting>
  <conditionalFormatting sqref="P5">
    <cfRule type="expression" dxfId="156" priority="1">
      <formula>ABS(P$7-P$10)&gt;=1000</formula>
    </cfRule>
  </conditionalFormatting>
  <dataValidations count="1">
    <dataValidation operator="greaterThanOrEqual" allowBlank="1" showErrorMessage="1" sqref="D6" xr:uid="{00000000-0002-0000-16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57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1647">
    <pageSetUpPr fitToPage="1"/>
  </sheetPr>
  <dimension ref="A1:CU223"/>
  <sheetViews>
    <sheetView view="pageBreakPreview" zoomScale="80" zoomScaleNormal="100" zoomScaleSheetLayoutView="80" workbookViewId="0">
      <selection activeCell="M8" sqref="M8"/>
    </sheetView>
  </sheetViews>
  <sheetFormatPr defaultColWidth="8.1328125" defaultRowHeight="25.5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968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328125" style="64" customWidth="1" phonetic="1"/>
    <col min="34" max="34" width="5.6640625" style="64" customWidth="1" phonetic="1"/>
    <col min="35" max="35" width="18.199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6484375" style="64" bestFit="1" customWidth="1" phonetic="1"/>
    <col min="40" max="40" width="6.19921875" style="64" customWidth="1" phonetic="1"/>
    <col min="41" max="41" width="8.6640625" style="64" customWidth="1" phonetic="1"/>
    <col min="42" max="42" width="11.19921875" style="64" customWidth="1" phonetic="1"/>
    <col min="43" max="43" width="11.796875" style="64" customWidth="1" phonetic="1"/>
    <col min="44" max="44" width="11.19921875" style="64" customWidth="1" phonetic="1"/>
    <col min="45" max="45" width="11.19921875" style="64" bestFit="1" customWidth="1" phonetic="1"/>
    <col min="46" max="46" width="41.796875" style="64" customWidth="1" phonetic="1"/>
    <col min="47" max="47" width="7.796875" style="64" customWidth="1" phonetic="1"/>
    <col min="48" max="48" width="17.1328125" style="64" customWidth="1" phonetic="1"/>
    <col min="49" max="49" width="6.19921875" style="64" customWidth="1" phonetic="1"/>
    <col min="50" max="50" width="10" style="64" customWidth="1" phonetic="1"/>
    <col min="51" max="51" width="6.19921875" style="64" customWidth="1" phonetic="1"/>
    <col min="52" max="52" width="6.86328125" style="64" customWidth="1" phonetic="1"/>
    <col min="53" max="53" width="6.46484375" style="64" customWidth="1" phonetic="1"/>
    <col min="54" max="54" width="15.46484375" style="64" customWidth="1" phonetic="1"/>
    <col min="55" max="55" width="6.19921875" style="64" customWidth="1" phonetic="1"/>
    <col min="56" max="56" width="22.1328125" style="64" bestFit="1" customWidth="1" phonetic="1"/>
    <col min="57" max="57" width="6.46484375" style="64" customWidth="1" phonetic="1"/>
    <col min="58" max="60" width="6.19921875" style="64" customWidth="1" phonetic="1"/>
    <col min="61" max="16384" width="8.1328125" style="64" phonetic="1"/>
  </cols>
  <sheetData>
    <row r="1" spans="1:99" ht="30.75" ph="1">
      <c r="A1" s="64"/>
      <c r="B1" s="197" t="s" ph="1">
        <v>162</v>
      </c>
      <c r="C1" s="197" ph="1"/>
      <c r="D1" s="197" ph="1"/>
      <c r="E1" s="197" ph="1"/>
      <c r="F1" s="197" ph="1"/>
      <c r="G1" s="197" ph="1"/>
      <c r="H1" s="197" ph="1"/>
      <c r="I1" s="197" ph="1"/>
      <c r="J1" s="197" ph="1"/>
      <c r="K1" s="197" ph="1"/>
      <c r="L1" s="197" ph="1"/>
      <c r="M1" s="197" ph="1"/>
      <c r="N1" s="197" ph="1"/>
      <c r="O1" s="197" ph="1"/>
      <c r="P1" s="197" ph="1"/>
      <c r="Q1" s="197" ph="1"/>
      <c r="R1" s="197" ph="1"/>
      <c r="S1" s="197" ph="1"/>
      <c r="T1" s="197" ph="1"/>
      <c r="U1" s="197" ph="1"/>
      <c r="V1" s="197" ph="1"/>
      <c r="W1" s="197" ph="1"/>
      <c r="X1" s="197" ph="1"/>
      <c r="Y1" s="197" ph="1"/>
      <c r="Z1" s="197" ph="1"/>
      <c r="AA1" s="197" ph="1"/>
      <c r="AB1" s="197" ph="1"/>
      <c r="AC1" s="197" ph="1"/>
      <c r="AD1" s="197" ph="1"/>
      <c r="AE1" s="197" ph="1"/>
    </row>
    <row r="2" spans="1:99" s="66" customFormat="1" ht="24" customHeight="1" ph="1">
      <c r="B2" s="198" t="s" ph="1">
        <v>82</v>
      </c>
      <c r="C2" s="198" ph="1"/>
      <c r="D2" s="198" ph="1"/>
      <c r="E2" s="198" ph="1"/>
      <c r="F2" s="198" ph="1"/>
      <c r="G2" s="198" ph="1"/>
      <c r="H2" s="198" ph="1"/>
      <c r="I2" s="198" ph="1"/>
      <c r="J2" s="198" ph="1"/>
      <c r="K2" s="198" ph="1"/>
      <c r="L2" s="198" ph="1"/>
      <c r="M2" s="198" ph="1"/>
      <c r="N2" s="198" ph="1"/>
      <c r="O2" s="198" ph="1"/>
      <c r="P2" s="198" ph="1"/>
      <c r="Q2" s="198" ph="1"/>
      <c r="R2" s="198" ph="1"/>
      <c r="S2" s="198" ph="1"/>
      <c r="T2" s="198" ph="1"/>
      <c r="U2" s="198" ph="1"/>
      <c r="V2" s="198" ph="1"/>
      <c r="W2" s="198" ph="1"/>
      <c r="X2" s="198" ph="1"/>
      <c r="Y2" s="198" ph="1"/>
      <c r="Z2" s="198" ph="1"/>
      <c r="AA2" s="198" ph="1"/>
      <c r="AB2" s="198" ph="1"/>
      <c r="AC2" s="198" ph="1"/>
      <c r="AD2" s="198" ph="1"/>
      <c r="AE2" s="198" ph="1"/>
    </row>
    <row r="3" spans="1:99" ht="21" customHeight="1" ph="1">
      <c r="B3" s="199" ph="1">
        <v>45806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</row>
    <row r="4" spans="1:99" s="69" customFormat="1" ph="1">
      <c r="A4" s="65" ph="1"/>
      <c r="B4" s="200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00" ph="1"/>
      <c r="C5" s="67" t="s" ph="1">
        <v>36</v>
      </c>
      <c r="D5" s="70" t="s" ph="1">
        <v>161</v>
      </c>
      <c r="E5" s="70" t="s" ph="1">
        <v>643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6" ph="1">
        <v>0.33333333333333331</v>
      </c>
      <c r="C6" s="171" t="s" ph="1">
        <v>178</v>
      </c>
      <c r="D6" s="71">
        <v>4938</v>
      </c>
      <c r="E6" s="71">
        <v>4687</v>
      </c>
      <c r="F6" s="71">
        <v>7138</v>
      </c>
      <c r="G6" s="71">
        <v>4147</v>
      </c>
      <c r="H6" s="71">
        <v>1030</v>
      </c>
      <c r="I6" s="71">
        <v>0</v>
      </c>
      <c r="J6" s="71">
        <v>7.8</v>
      </c>
      <c r="K6" s="71">
        <v>7.78</v>
      </c>
      <c r="L6" s="71">
        <v>59.25</v>
      </c>
      <c r="M6" s="71">
        <v>603</v>
      </c>
      <c r="N6" s="71">
        <v>4738</v>
      </c>
      <c r="O6" s="71">
        <v>2427</v>
      </c>
      <c r="P6" s="71">
        <v>1861</v>
      </c>
      <c r="Q6" s="71">
        <v>0</v>
      </c>
      <c r="R6" s="71">
        <v>3074</v>
      </c>
      <c r="S6" s="71">
        <v>6759</v>
      </c>
      <c r="T6" s="71">
        <v>7084</v>
      </c>
      <c r="U6" s="71">
        <v>4652</v>
      </c>
      <c r="V6" s="71">
        <v>4516</v>
      </c>
      <c r="W6" s="71">
        <v>0</v>
      </c>
      <c r="X6" s="71">
        <v>0</v>
      </c>
      <c r="Y6" s="71">
        <v>0</v>
      </c>
      <c r="Z6" s="71">
        <v>2003</v>
      </c>
      <c r="AA6" s="71">
        <v>5086</v>
      </c>
      <c r="AB6" s="71">
        <v>2043</v>
      </c>
      <c r="AC6" s="71">
        <v>4138</v>
      </c>
      <c r="AD6" s="71">
        <v>4390</v>
      </c>
      <c r="AE6" s="71">
        <v>4110</v>
      </c>
    </row>
    <row r="7" spans="1:99" s="72" customFormat="1" ht="21.75" ph="1">
      <c r="B7" s="196" ph="1"/>
      <c r="C7" s="68" t="s" ph="1">
        <v>179</v>
      </c>
      <c r="D7" s="73" ph="1">
        <f>D6*33.183*LOOKUP(D8,密度!$A$2:$A$50,密度!$Q$2:$Q$50)</f>
        <v>155250.21143538001</v>
      </c>
      <c r="E7" s="73" ph="1">
        <f>E6*51.53*LOOKUP(E8,密度!$A$2:$A$50,密度!$B$2:$B$50)</f>
        <v>188724.59535400002</v>
      </c>
      <c r="F7" s="73" ph="1">
        <f>F6*33.183*LOOKUP(F8,密度!$A$2:$A$50,密度!$C$2:$C$50)</f>
        <v>262299.04527959996</v>
      </c>
      <c r="G7" s="73" ph="1">
        <f xml:space="preserve"> (G6+2)*51.53*LOOKUP(G8,密度!$A$2:$A$50,密度!$B$2:$B$50)</f>
        <v>167981.06502899999</v>
      </c>
      <c r="H7" s="73" ph="1">
        <f>(H6)*51.53*LOOKUP(H8,密度!$A$2:$A$50,密度!$B$2:$B$50)</f>
        <v>41701.734629999999</v>
      </c>
      <c r="I7" s="73" ph="1">
        <f>I6*290.8*1.0267</f>
        <v>0</v>
      </c>
      <c r="J7" s="73" ph="1">
        <f>J6*290.8*0.7892</f>
        <v>1790.0950080000002</v>
      </c>
      <c r="K7" s="73" ph="1">
        <f>K6*290.8*1.1126</f>
        <v>2517.1729424</v>
      </c>
      <c r="L7" s="73" ph="1">
        <f>L6*290.8*0.777</f>
        <v>13387.632300000001</v>
      </c>
      <c r="M7" s="73" ph="1">
        <f>M6*33.183*LOOKUP(M8,密度!$A$2:$A$50,密度!$D$2:$D$50)</f>
        <v>20599.6247955</v>
      </c>
      <c r="N7" s="73" ph="1">
        <f>N6*33.183*LOOKUP(N8,密度!$A$2:$A$50,密度!$E$2:$E$50)</f>
        <v>123135.52949280001</v>
      </c>
      <c r="O7" s="73" ph="1">
        <f>O6*20.428*LOOKUP(O8,密度!$A$2:$A$50,密度!$C$2:$C$50)</f>
        <v>54903.514394400001</v>
      </c>
      <c r="P7" s="73" ph="1">
        <f>P6*51.53*LOOKUP(P8,密度!$A$2:$A$50,密度!$B$2:$B$50)</f>
        <v>75020.481259000007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20251.312804800004</v>
      </c>
      <c r="S7" s="73" ph="1">
        <f>S6*1.5*1.5*3.1416*LOOKUP(S8,密度!$A$2:$A$50,密度!$L$2:$L$50)</f>
        <v>45101.174025599998</v>
      </c>
      <c r="T7" s="73" ph="1">
        <f>T6*1.5*1.5*3.1416*LOOKUP(T8,密度!$A$2:$A$50,密度!$L$2:$L$50)</f>
        <v>47169.672580799997</v>
      </c>
      <c r="U7" s="73" ph="1">
        <f>U6*1.5*1.5*3.1416*LOOKUP(U8,密度!$A$2:$A$50,密度!$L$2:$L$50)</f>
        <v>30811.490186400006</v>
      </c>
      <c r="V7" s="73" ph="1">
        <f>V6*1.5*1.5*3.1416*LOOKUP(V8,密度!$A$2:$A$50,密度!$L$2:$L$50)</f>
        <v>29751.115363199999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62477.616059999993</v>
      </c>
      <c r="AA7" s="73" ph="1">
        <f>AA6*33.183*LOOKUP(AA8,密度!$A$2:$A$50,密度!$D$2:$D$50)</f>
        <v>173426.75516880004</v>
      </c>
      <c r="AB7" s="73" ph="1">
        <f>AB6*20.428*LOOKUP(AB8,密度!$A$2:$A$50,密度!$D$2:$D$50)</f>
        <v>43220.148782400007</v>
      </c>
      <c r="AC7" s="73" ph="1">
        <f>AC6*51.53*LOOKUP(AC8,密度!$A$2:$A$50,密度!$Q$2:$Q$50)</f>
        <v>202030.10821580002</v>
      </c>
      <c r="AD7" s="73" ph="1">
        <f>AD6*20.428*LOOKUP(AD8,密度!$A$2:$A$50,密度!$V$2:$V$50)</f>
        <v>86163.506335999991</v>
      </c>
      <c r="AE7" s="73" ph="1">
        <f>AE6*20.428</f>
        <v>83959.08</v>
      </c>
    </row>
    <row r="8" spans="1:99" ph="1">
      <c r="B8" s="196" ph="1"/>
      <c r="C8" s="68" t="s" ph="1">
        <v>180</v>
      </c>
      <c r="D8" s="74">
        <v>24</v>
      </c>
      <c r="E8" s="74">
        <v>23</v>
      </c>
      <c r="F8" s="74">
        <v>27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27</v>
      </c>
      <c r="P8" s="74">
        <v>22</v>
      </c>
      <c r="Q8" s="74">
        <v>24</v>
      </c>
      <c r="R8" s="74">
        <v>30</v>
      </c>
      <c r="S8" s="74">
        <v>18</v>
      </c>
      <c r="T8" s="74">
        <v>20</v>
      </c>
      <c r="U8" s="74">
        <v>25</v>
      </c>
      <c r="V8" s="74">
        <v>30</v>
      </c>
      <c r="W8" s="74">
        <v>23</v>
      </c>
      <c r="X8" s="74">
        <v>17</v>
      </c>
      <c r="Y8" s="74">
        <v>21</v>
      </c>
      <c r="Z8" s="74">
        <v>22</v>
      </c>
      <c r="AA8" s="74">
        <v>24</v>
      </c>
      <c r="AB8" s="74">
        <v>15</v>
      </c>
      <c r="AC8" s="74">
        <v>24</v>
      </c>
      <c r="AD8" s="74">
        <v>22</v>
      </c>
      <c r="AE8" s="74">
        <v>30</v>
      </c>
    </row>
    <row r="9" spans="1:99" ph="1">
      <c r="B9" s="196" ph="1">
        <v>0.66666666666666663</v>
      </c>
      <c r="C9" s="171" t="s" ph="1">
        <v>181</v>
      </c>
      <c r="D9" s="71">
        <v>4937</v>
      </c>
      <c r="E9" s="71">
        <v>4687</v>
      </c>
      <c r="F9" s="71">
        <v>7138</v>
      </c>
      <c r="G9" s="71">
        <v>4716</v>
      </c>
      <c r="H9" s="71">
        <v>1028</v>
      </c>
      <c r="I9" s="71">
        <v>0</v>
      </c>
      <c r="J9" s="71">
        <v>7.8</v>
      </c>
      <c r="K9" s="71">
        <v>7.74</v>
      </c>
      <c r="L9" s="71">
        <v>13.86</v>
      </c>
      <c r="M9" s="71">
        <v>604</v>
      </c>
      <c r="N9" s="71">
        <v>4735</v>
      </c>
      <c r="O9" s="71">
        <v>1487</v>
      </c>
      <c r="P9" s="71">
        <v>1879</v>
      </c>
      <c r="Q9" s="71">
        <v>0</v>
      </c>
      <c r="R9" s="71">
        <v>0</v>
      </c>
      <c r="S9" s="71">
        <v>5502</v>
      </c>
      <c r="T9" s="71">
        <v>7082</v>
      </c>
      <c r="U9" s="71">
        <v>7043</v>
      </c>
      <c r="V9" s="71">
        <v>7068</v>
      </c>
      <c r="W9" s="71">
        <v>3980</v>
      </c>
      <c r="X9" s="71">
        <v>0</v>
      </c>
      <c r="Y9" s="71">
        <v>0</v>
      </c>
      <c r="Z9" s="71">
        <v>2940</v>
      </c>
      <c r="AA9" s="71">
        <v>5084</v>
      </c>
      <c r="AB9" s="71">
        <v>2043</v>
      </c>
      <c r="AC9" s="71">
        <v>4136</v>
      </c>
      <c r="AD9" s="71">
        <v>4395</v>
      </c>
      <c r="AE9" s="71">
        <v>4066</v>
      </c>
    </row>
    <row r="10" spans="1:99" s="72" customFormat="1" ht="21.75" ph="1">
      <c r="B10" s="196" ph="1"/>
      <c r="C10" s="171" t="s" ph="1">
        <v>179</v>
      </c>
      <c r="D10" s="73" ph="1">
        <f>D9*33.183*LOOKUP(D11,密度!$A$2:$A$50,密度!$Q$2:$Q$50)</f>
        <v>155484.16718138999</v>
      </c>
      <c r="E10" s="73" ph="1">
        <f>E9*51.53*LOOKUP(E11,密度!$A$2:$A$50,密度!$B$2:$B$50)</f>
        <v>188724.59535400002</v>
      </c>
      <c r="F10" s="73" ph="1">
        <f>F9*33.183*LOOKUP(F11,密度!$A$2:$A$50,密度!$C$2:$C$50)</f>
        <v>262820.13783839997</v>
      </c>
      <c r="G10" s="73" ph="1">
        <f xml:space="preserve"> (G9+2)*51.53*LOOKUP(G11,密度!$A$2:$A$50,密度!$B$2:$B$50)</f>
        <v>190823.74204600003</v>
      </c>
      <c r="H10" s="73" ph="1">
        <f>(H9)*51.53*LOOKUP(H11,密度!$A$2:$A$50,密度!$B$2:$B$50)</f>
        <v>41578.382116000008</v>
      </c>
      <c r="I10" s="73" ph="1">
        <f>I9*290.8*1.0267</f>
        <v>0</v>
      </c>
      <c r="J10" s="73" ph="1">
        <f>J9*290.8*0.7892</f>
        <v>1790.0950080000002</v>
      </c>
      <c r="K10" s="73" ph="1">
        <f>K9*290.8*1.1126</f>
        <v>2504.2311792000005</v>
      </c>
      <c r="L10" s="73" ph="1">
        <f>L9*290.8*0.777</f>
        <v>3131.6891759999999</v>
      </c>
      <c r="M10" s="73" ph="1">
        <f>M9*33.183*LOOKUP(M11,密度!$A$2:$A$50,密度!$D$2:$D$50)</f>
        <v>20615.7484152</v>
      </c>
      <c r="N10" s="73" ph="1">
        <f>N9*33.183*LOOKUP(N11,密度!$A$2:$A$50,密度!$E$2:$E$50)</f>
        <v>123057.562716</v>
      </c>
      <c r="O10" s="73" ph="1">
        <f>O9*20.428*LOOKUP(O11,密度!$A$2:$A$50,密度!$C$2:$C$50)</f>
        <v>33638.865226399997</v>
      </c>
      <c r="P10" s="73" ph="1">
        <f>P9*51.53*LOOKUP(P11,密度!$A$2:$A$50,密度!$B$2:$B$50)</f>
        <v>75746.095801000003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36635.733842399997</v>
      </c>
      <c r="T10" s="73" ph="1">
        <f>T9*1.5*1.5*3.1416*LOOKUP(T11,密度!$A$2:$A$50,密度!$L$2:$L$50)</f>
        <v>48057.432192</v>
      </c>
      <c r="U10" s="73" ph="1">
        <f>U9*1.5*1.5*3.1416*LOOKUP(U11,密度!$A$2:$A$50,密度!$L$2:$L$50)</f>
        <v>46647.748362600003</v>
      </c>
      <c r="V10" s="73" ph="1">
        <f>V9*1.5*1.5*3.1416*LOOKUP(V11,密度!$A$2:$A$50,密度!$L$2:$L$50)</f>
        <v>46713.408587999998</v>
      </c>
      <c r="W10" s="73" ph="1">
        <f>W9*1.5*1.5*3.1416*LOOKUP(W11,密度!$A$2:$A$50,密度!$L$2:$L$50)</f>
        <v>26416.913291999997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91802.096819999992</v>
      </c>
      <c r="AA10" s="73" ph="1">
        <f>AA9*33.183*LOOKUP(AA11,密度!$A$2:$A$50,密度!$D$2:$D$50)</f>
        <v>172734.3586908</v>
      </c>
      <c r="AB10" s="73" ph="1">
        <f>AB9*20.428*LOOKUP(AB11,密度!$A$2:$A$50,密度!$D$2:$D$50)</f>
        <v>43220.148782400007</v>
      </c>
      <c r="AC10" s="73" ph="1">
        <f>AC9*51.53*LOOKUP(AC11,密度!$A$2:$A$50,密度!$Q$2:$Q$50)</f>
        <v>201776.87845920003</v>
      </c>
      <c r="AD10" s="73" ph="1">
        <f>AD9*20.428*LOOKUP(AD11,密度!$A$2:$A$50,密度!$V$2:$V$50)</f>
        <v>86261.642447999999</v>
      </c>
      <c r="AE10" s="73" ph="1">
        <f>AE9*20.428</f>
        <v>83060.248000000007</v>
      </c>
    </row>
    <row r="11" spans="1:99" ph="1">
      <c r="A11" s="64" t="s" ph="1">
        <v>163</v>
      </c>
      <c r="B11" s="196" ph="1"/>
      <c r="C11" s="171" t="s" ph="1">
        <v>180</v>
      </c>
      <c r="D11" s="74">
        <v>22</v>
      </c>
      <c r="E11" s="74">
        <v>23</v>
      </c>
      <c r="F11" s="74">
        <v>24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27</v>
      </c>
      <c r="P11" s="74">
        <v>22</v>
      </c>
      <c r="Q11" s="74">
        <v>25</v>
      </c>
      <c r="R11" s="74">
        <v>31</v>
      </c>
      <c r="S11" s="74">
        <v>20</v>
      </c>
      <c r="T11" s="74">
        <v>2</v>
      </c>
      <c r="U11" s="74">
        <v>25</v>
      </c>
      <c r="V11" s="74">
        <v>27</v>
      </c>
      <c r="W11" s="74">
        <v>23</v>
      </c>
      <c r="X11" s="74">
        <v>20</v>
      </c>
      <c r="Y11" s="74">
        <v>27</v>
      </c>
      <c r="Z11" s="74">
        <v>21</v>
      </c>
      <c r="AA11" s="74">
        <v>28</v>
      </c>
      <c r="AB11" s="74">
        <v>15</v>
      </c>
      <c r="AC11" s="74">
        <v>25</v>
      </c>
      <c r="AD11" s="74">
        <v>22</v>
      </c>
      <c r="AE11" s="74">
        <v>28</v>
      </c>
    </row>
    <row r="12" spans="1:99" ht="9.9499999999999993" customHeight="1" ph="1"/>
    <row r="13" spans="1:99" s="72" customFormat="1" ht="29.25" customHeight="1" ph="1">
      <c r="B13" s="204" t="s" ph="1">
        <v>37</v>
      </c>
      <c r="C13" s="171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3.25" ph="1">
      <c r="B14" s="205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643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6" ph="1">
        <v>0.33333333333333331</v>
      </c>
      <c r="C15" s="171" t="s" ph="1">
        <v>178</v>
      </c>
      <c r="D15" s="78">
        <v>0</v>
      </c>
      <c r="E15" s="78">
        <v>72</v>
      </c>
      <c r="F15" s="78">
        <v>3479</v>
      </c>
      <c r="G15" s="78">
        <v>2295</v>
      </c>
      <c r="H15" s="78">
        <v>0</v>
      </c>
      <c r="I15" s="78">
        <v>118</v>
      </c>
      <c r="J15" s="78">
        <v>1652</v>
      </c>
      <c r="K15" s="78">
        <v>324</v>
      </c>
      <c r="L15" s="78">
        <v>3220</v>
      </c>
      <c r="M15" s="78">
        <v>5582</v>
      </c>
      <c r="N15" s="78">
        <v>1159</v>
      </c>
      <c r="O15" s="78">
        <v>6054</v>
      </c>
      <c r="P15" s="78">
        <v>5467</v>
      </c>
      <c r="Q15" s="78">
        <v>3536</v>
      </c>
      <c r="R15" s="78">
        <v>3505</v>
      </c>
      <c r="S15" s="78">
        <v>6905</v>
      </c>
      <c r="T15" s="78">
        <v>6597</v>
      </c>
      <c r="U15" s="78">
        <v>1100</v>
      </c>
      <c r="V15" s="78">
        <v>2373</v>
      </c>
      <c r="W15" s="71">
        <v>-792</v>
      </c>
      <c r="X15" s="78">
        <v>27</v>
      </c>
      <c r="Y15" s="106">
        <v>-9906</v>
      </c>
      <c r="Z15" s="78">
        <v>0</v>
      </c>
      <c r="AA15" s="78">
        <v>4216</v>
      </c>
      <c r="AB15" s="78" ph="1">
        <v>2359</v>
      </c>
      <c r="AC15" s="78" ph="1">
        <v>18</v>
      </c>
      <c r="AD15" s="78">
        <v>51.53</v>
      </c>
      <c r="AE15" s="78">
        <v>5.18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1.75" ph="1">
      <c r="B16" s="207" ph="1"/>
      <c r="C16" s="171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477.89390880000002</v>
      </c>
      <c r="F16" s="73" ph="1">
        <f>F15*9.0746*LOOKUP(F17,密度!$A$2:$A$50,密度!$L$2:$L$50)</f>
        <v>29613.1603292</v>
      </c>
      <c r="G16" s="73" ph="1">
        <f>G15*9.0746*LOOKUP(G17,密度!$A$2:$A$50,密度!$B$2:$B$50)</f>
        <v>16273.598149800002</v>
      </c>
      <c r="H16" s="73" ph="1">
        <f>H15*9.0746*LOOKUP(H17,密度!$A$2:$A$50,密度!$L$2:$L$50)</f>
        <v>0</v>
      </c>
      <c r="I16" s="73" ph="1">
        <f>I15*9.0746*LOOKUP(I17,密度!$A$2:$A$50,密度!$U$2:$U$50)</f>
        <v>1100.7852783999999</v>
      </c>
      <c r="J16" s="73" ph="1">
        <f>J15*9.0746*LOOKUP(J17,密度!$A$2:$A$50,密度!$L$2:$L$50)</f>
        <v>14076.773608799998</v>
      </c>
      <c r="K16" s="73" ph="1">
        <f>K15*9.0746*LOOKUP(K17,密度!$A$2:$A$50,密度!$C$2:$C$50)</f>
        <v>3266.8233314399999</v>
      </c>
      <c r="L16" s="73" ph="1">
        <f>L15*9.0746*LOOKUP(L17,密度!$A$2:$A$50,密度!$E$2:$E$50)</f>
        <v>22920.334292799998</v>
      </c>
      <c r="M16" s="73" ph="1">
        <f>M15*9.0746*LOOKUP(M17,密度!$A$2:$A$50,密度!$M$2:$M$50)</f>
        <v>44368.204025480001</v>
      </c>
      <c r="N16" s="73" ph="1">
        <f>N15*9.0746*LOOKUP(N17,密度!$A$2:$A$50,密度!$M$2:$M$50)</f>
        <v>9245.9003167400006</v>
      </c>
      <c r="O16" s="73" ph="1">
        <f>O15*9.0746*LOOKUP(O17,密度!$A$2:$A$50,密度!$G$2:$G$50)</f>
        <v>52751.110789680002</v>
      </c>
      <c r="P16" s="73" ph="1">
        <f ca="1">P15*9.0746*LOOKUP(P17,密度!$A$2:$A$51,密度!$Q$2:$Q$50)</f>
        <v>46968.564957467999</v>
      </c>
      <c r="Q16" s="73" ph="1">
        <f>Q15*9.0746*LOOKUP(Q17,密度!$A$2:$A$50,密度!$Q$2:$Q$50)</f>
        <v>30425.638305920002</v>
      </c>
      <c r="R16" s="73" ph="1">
        <f>MAX(R15*9.0746*LOOKUP(R17,密度!$A$2:$A$50,密度!$B$2:$B$50),0)</f>
        <v>24824.952176499999</v>
      </c>
      <c r="S16" s="73" ph="1">
        <f>S15*9.0746*LOOKUP(S17,密度!$A$2:$A$50,密度!$Q$2:$Q$50)</f>
        <v>59322.835381620003</v>
      </c>
      <c r="T16" s="73" ph="1">
        <f>T15*9.0746*LOOKUP(T17,密度!$A$2:$A$50,密度!$O$2:$O$50)</f>
        <v>55674.576666000001</v>
      </c>
      <c r="U16" s="73" ph="1">
        <f>U15*9.0746*LOOKUP(U17,密度!$A$2:$A$50,密度!$H$2:$H$50)</f>
        <v>9180.5005819999988</v>
      </c>
      <c r="V16" s="73" ph="1">
        <f>MAX(5600*LOOKUP(V17,密度!$A$2:$A$50,密度!$Q$2:$Q$50)+V15*9.0476*LOOKUP(V17,密度!$A$2:$A$50,密度!$Q$2:$Q$50),0)</f>
        <v>25589.769671536003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6091.4984639599998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29895.202527039997</v>
      </c>
      <c r="AB16" s="73" ph="1">
        <f>AB15*9.0746*LOOKUP(AB17,密度!$A$2:$A$50,密度!$L$2:$L$50)</f>
        <v>20079.748553199999</v>
      </c>
      <c r="AC16" s="73" ph="1">
        <f>AC15*9.0746*LOOKUP(AC17,密度!$A$2:$A$50,密度!$L$2:$L$50)</f>
        <v>153.8689176</v>
      </c>
      <c r="AD16" s="73" ph="1">
        <f>AD15*268.68*LOOKUP(AD17,密度!$A$2:$A$50,密度!B2:B50)+IF(AD15&lt;=0,0,1566*LOOKUP(AD17,密度!$A$2:$A$50,密度!B2:B50))</f>
        <v>12014.478279840001</v>
      </c>
      <c r="AE16" s="73" ph="1">
        <f>AE15*268.68*LOOKUP(AE17,密度!$A$2:$A$50,密度!B2:B50)+IF(AE15&lt;=0,0,1566*LOOKUP(AE17,密度!$A$2:$A$50,密度!B2:B50))</f>
        <v>2305.8715670399997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8" ph="1"/>
      <c r="C17" s="79" t="s" ph="1">
        <v>180</v>
      </c>
      <c r="D17" s="74">
        <v>23</v>
      </c>
      <c r="E17" s="74">
        <v>23</v>
      </c>
      <c r="F17" s="74">
        <v>24</v>
      </c>
      <c r="G17" s="74">
        <v>23</v>
      </c>
      <c r="H17" s="74">
        <v>19</v>
      </c>
      <c r="I17" s="74">
        <v>20</v>
      </c>
      <c r="J17" s="74">
        <v>23</v>
      </c>
      <c r="K17" s="74">
        <v>22</v>
      </c>
      <c r="L17" s="74">
        <v>24</v>
      </c>
      <c r="M17" s="74">
        <v>24</v>
      </c>
      <c r="N17" s="74">
        <v>21</v>
      </c>
      <c r="O17" s="74">
        <v>25</v>
      </c>
      <c r="P17" s="74">
        <v>25</v>
      </c>
      <c r="Q17" s="74">
        <v>23</v>
      </c>
      <c r="R17" s="74">
        <v>24</v>
      </c>
      <c r="S17" s="74">
        <v>25</v>
      </c>
      <c r="T17" s="74">
        <v>23</v>
      </c>
      <c r="U17" s="74">
        <v>20</v>
      </c>
      <c r="V17" s="74">
        <v>27</v>
      </c>
      <c r="W17" s="74">
        <v>23</v>
      </c>
      <c r="X17" s="74">
        <v>25</v>
      </c>
      <c r="Y17" s="108">
        <v>25</v>
      </c>
      <c r="Z17" s="74">
        <v>22</v>
      </c>
      <c r="AA17" s="74">
        <v>23</v>
      </c>
      <c r="AB17" s="74">
        <v>24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ph="1">
      <c r="B18" s="206" ph="1">
        <v>0.66666666666666663</v>
      </c>
      <c r="C18" s="79" t="s" ph="1">
        <v>181</v>
      </c>
      <c r="D18" s="71">
        <v>0</v>
      </c>
      <c r="E18" s="71">
        <v>72</v>
      </c>
      <c r="F18" s="71">
        <v>3476</v>
      </c>
      <c r="G18" s="71">
        <v>2322</v>
      </c>
      <c r="H18" s="71">
        <v>0</v>
      </c>
      <c r="I18" s="71">
        <v>118</v>
      </c>
      <c r="J18" s="71">
        <v>1651</v>
      </c>
      <c r="K18" s="71">
        <v>324</v>
      </c>
      <c r="L18" s="71">
        <v>3218</v>
      </c>
      <c r="M18" s="71">
        <v>6828</v>
      </c>
      <c r="N18" s="71">
        <v>1349</v>
      </c>
      <c r="O18" s="71">
        <v>6052</v>
      </c>
      <c r="P18" s="71">
        <v>5465</v>
      </c>
      <c r="Q18" s="71">
        <v>3535</v>
      </c>
      <c r="R18" s="71">
        <v>3502</v>
      </c>
      <c r="S18" s="71">
        <v>6901</v>
      </c>
      <c r="T18" s="71">
        <v>5156</v>
      </c>
      <c r="U18" s="71">
        <v>1101</v>
      </c>
      <c r="V18" s="71">
        <v>2373</v>
      </c>
      <c r="W18" s="71">
        <v>-792</v>
      </c>
      <c r="X18" s="71">
        <v>27</v>
      </c>
      <c r="Y18" s="109">
        <v>-9906</v>
      </c>
      <c r="Z18" s="71">
        <v>0</v>
      </c>
      <c r="AA18" s="71">
        <v>4216</v>
      </c>
      <c r="AB18" s="71">
        <v>2358</v>
      </c>
      <c r="AC18" s="71">
        <v>28</v>
      </c>
      <c r="AD18" s="71">
        <v>81.36</v>
      </c>
      <c r="AE18" s="71">
        <v>5.15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1.75" ph="1">
      <c r="B19" s="207" ph="1"/>
      <c r="C19" s="171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477.38496959999998</v>
      </c>
      <c r="F19" s="73" ph="1">
        <f>F18*9.0746*LOOKUP(F20,密度!$A$2:$A$50,密度!$L$2:$L$50)</f>
        <v>29556.081095200003</v>
      </c>
      <c r="G19" s="73" ph="1">
        <f>G18*9.0746*LOOKUP(G20,密度!$A$2:$A$50,密度!$B$2:$B$50)</f>
        <v>16465.052245679999</v>
      </c>
      <c r="H19" s="73" ph="1">
        <f>H18*9.0746*LOOKUP(H20,密度!$A$2:$A$50,密度!$L$2:$L$50)</f>
        <v>0</v>
      </c>
      <c r="I19" s="73" ph="1">
        <f>I18*9.0746*LOOKUP(I20,密度!$A$2:$A$50,密度!$U$2:$U$50)</f>
        <v>1100.7852783999999</v>
      </c>
      <c r="J19" s="73" ph="1">
        <f>J18*9.0746*LOOKUP(J20,密度!$A$2:$A$50,密度!$L$2:$L$50)</f>
        <v>14068.2525594</v>
      </c>
      <c r="K19" s="73" ph="1">
        <f>K18*9.0746*LOOKUP(K20,密度!$A$2:$A$50,密度!$C$2:$C$50)</f>
        <v>3271.2335870400002</v>
      </c>
      <c r="L19" s="73" ph="1">
        <f>L18*9.0746*LOOKUP(L20,密度!$A$2:$A$50,密度!$E$2:$E$50)</f>
        <v>22906.098060320001</v>
      </c>
      <c r="M19" s="73" ph="1">
        <f>M18*9.0746*LOOKUP(M20,密度!$A$2:$A$50,密度!$M$2:$M$50)</f>
        <v>54340.120437600002</v>
      </c>
      <c r="N19" s="73" ph="1">
        <f>N18*9.0746*LOOKUP(N20,密度!$A$2:$A$50,密度!$M$2:$M$50)</f>
        <v>10761.621680140001</v>
      </c>
      <c r="O19" s="73" ph="1">
        <f>O18*9.0746*LOOKUP(O20,密度!$A$2:$A$50,密度!$G$2:$G$50)</f>
        <v>52733.683927840008</v>
      </c>
      <c r="P19" s="73" ph="1">
        <f ca="1">P18*9.0746*LOOKUP(P20,密度!$A$2:$A$51,密度!$Q$2:$Q$50)</f>
        <v>46987.585046829998</v>
      </c>
      <c r="Q19" s="73" ph="1">
        <f>Q18*9.0746*LOOKUP(Q20,密度!$A$2:$A$50,密度!$Q$2:$Q$50)</f>
        <v>30393.616311170001</v>
      </c>
      <c r="R19" s="73" ph="1">
        <f>MAX(R18*9.0746*LOOKUP(R20,密度!$A$2:$A$50,密度!$B$2:$B$50),0)</f>
        <v>24832.305324880002</v>
      </c>
      <c r="S19" s="73" ph="1">
        <f>S18*9.0746*LOOKUP(S20,密度!$A$2:$A$50,密度!$Q$2:$Q$50)</f>
        <v>59288.470234404005</v>
      </c>
      <c r="T19" s="73" ph="1">
        <f>T18*9.0746*LOOKUP(T20,密度!$A$2:$A$50,密度!$O$2:$O$50)</f>
        <v>43513.432968000001</v>
      </c>
      <c r="U19" s="73" ph="1">
        <f>U18*9.0746*LOOKUP(U20,密度!$A$2:$A$50,密度!$H$2:$H$50)</f>
        <v>9179.8544704799988</v>
      </c>
      <c r="V19" s="73" ph="1">
        <f>MAX(5600*LOOKUP(V20,密度!$A$2:$A$50,密度!$Q$2:$Q$50)+V18*9.0476*LOOKUP(V20,密度!$A$2:$A$50,密度!$Q$2:$Q$50),0)</f>
        <v>25570.820703175999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6078.0566079999999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29929.635189279998</v>
      </c>
      <c r="AB19" s="73" ph="1">
        <f>AB18*9.0746*LOOKUP(AB20,密度!$A$2:$A$50,密度!$L$2:$L$50)</f>
        <v>20071.236578399999</v>
      </c>
      <c r="AC19" s="73" ph="1">
        <f>AC18*9.0746*LOOKUP(AC20,密度!$A$2:$A$50,密度!$L$2:$L$50)</f>
        <v>239.09756079999997</v>
      </c>
      <c r="AD19" s="73" ph="1">
        <f>AD18*268.68*LOOKUP(AD20,密度!$A$2:$A$50,密度!B5:B53)+IF(AD18&lt;=0,0,1566*LOOKUP(AD20,密度!$A$2:$A$50,密度!B5:B53))</f>
        <v>18201.850329600002</v>
      </c>
      <c r="AE19" s="73" ph="1">
        <f>AE18*268.68*LOOKUP(AE20,密度!$A$2:$A$50,密度!B5:B53)+IF(AE18&lt;=0,0,1566*LOOKUP(AE20,密度!$A$2:$A$50,密度!B5:B53))</f>
        <v>2291.9184540000001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7" ph="1"/>
      <c r="C20" s="80" t="s" ph="1">
        <v>180</v>
      </c>
      <c r="D20" s="81">
        <v>24</v>
      </c>
      <c r="E20" s="81">
        <v>24</v>
      </c>
      <c r="F20" s="81">
        <v>25</v>
      </c>
      <c r="G20" s="81">
        <v>23</v>
      </c>
      <c r="H20" s="81">
        <v>19</v>
      </c>
      <c r="I20" s="81">
        <v>20</v>
      </c>
      <c r="J20" s="81">
        <v>23</v>
      </c>
      <c r="K20" s="81">
        <v>20</v>
      </c>
      <c r="L20" s="81">
        <v>24</v>
      </c>
      <c r="M20" s="81">
        <v>23</v>
      </c>
      <c r="N20" s="81">
        <v>21</v>
      </c>
      <c r="O20" s="81">
        <v>25</v>
      </c>
      <c r="P20" s="81">
        <v>24</v>
      </c>
      <c r="Q20" s="81">
        <v>24</v>
      </c>
      <c r="R20" s="81">
        <v>23</v>
      </c>
      <c r="S20" s="81">
        <v>25</v>
      </c>
      <c r="T20" s="81">
        <v>23</v>
      </c>
      <c r="U20" s="81">
        <v>21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5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4" t="s" ph="1">
        <v>69</v>
      </c>
      <c r="AA22" s="185"/>
      <c r="AB22" s="185"/>
      <c r="AC22" s="185"/>
      <c r="AD22" s="185"/>
      <c r="AE22" s="186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200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636</v>
      </c>
      <c r="L23" s="88" t="s" ph="1">
        <v>649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7" t="s" ph="1">
        <v>651</v>
      </c>
      <c r="AA23" s="188"/>
      <c r="AB23" s="188"/>
      <c r="AC23" s="188"/>
      <c r="AD23" s="188"/>
      <c r="AE23" s="189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6" ph="1">
        <v>0.33333333333333331</v>
      </c>
      <c r="C24" s="171" t="s" ph="1">
        <v>178</v>
      </c>
      <c r="D24" s="71">
        <v>90.63</v>
      </c>
      <c r="E24" s="71">
        <v>95.53</v>
      </c>
      <c r="F24" s="71">
        <v>3991</v>
      </c>
      <c r="G24" s="71">
        <v>1137</v>
      </c>
      <c r="H24" s="71">
        <v>3514</v>
      </c>
      <c r="I24" s="71">
        <v>3288</v>
      </c>
      <c r="J24" s="71">
        <v>5459</v>
      </c>
      <c r="K24" s="71">
        <v>0</v>
      </c>
      <c r="L24" s="71">
        <v>0</v>
      </c>
      <c r="M24" s="71">
        <v>5243</v>
      </c>
      <c r="N24" s="71">
        <v>5314</v>
      </c>
      <c r="O24" s="71">
        <v>3697</v>
      </c>
      <c r="P24" s="71">
        <v>886</v>
      </c>
      <c r="Q24" s="90">
        <v>3290</v>
      </c>
      <c r="R24" s="71">
        <v>2312</v>
      </c>
      <c r="S24" s="71">
        <v>1585</v>
      </c>
      <c r="T24" s="71">
        <v>1759</v>
      </c>
      <c r="U24" s="71">
        <v>5536</v>
      </c>
      <c r="V24" s="71">
        <v>9630</v>
      </c>
      <c r="W24" s="71">
        <v>10722</v>
      </c>
      <c r="X24" s="71">
        <v>2692</v>
      </c>
      <c r="Y24" s="71">
        <v>5145</v>
      </c>
      <c r="Z24" s="190"/>
      <c r="AA24" s="191"/>
      <c r="AB24" s="191"/>
      <c r="AC24" s="191"/>
      <c r="AD24" s="191"/>
      <c r="AE24" s="192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6" ph="1"/>
      <c r="C25" s="68" t="s" ph="1">
        <v>179</v>
      </c>
      <c r="D25" s="91" ph="1">
        <f>D24*268.68*LOOKUP(D26,密度!$A$2:$A$50,密度!$Q$2:$Q$50)+IF(D24&lt;=0,0,1566*LOOKUP(D26,密度!$A$2:$A$50,密度!$Q$2:$Q$50))</f>
        <v>24536.157293016</v>
      </c>
      <c r="E25" s="91" ph="1">
        <f>E24*268.68*LOOKUP(E26,密度!$A$2:$A$50,密度!$C$2:$C$50)+IF(E24&lt;=0,0,1566*LOOKUP(E26,密度!$A$2:$A$50,密度!$C$2:$C$50))</f>
        <v>30198.674143560002</v>
      </c>
      <c r="F25" s="91" ph="1">
        <f>F24*11.702*LOOKUP(F26,密度!$A$2:$A$50,密度!$Q$2:$Q$50)</f>
        <v>44249.390114540001</v>
      </c>
      <c r="G25" s="91" ph="1">
        <f>G24*18.322*LOOKUP(G26,密度!$A$2:$A$50,密度!$B$2:$B$50)</f>
        <v>16259.464976999998</v>
      </c>
      <c r="H25" s="91" ph="1">
        <f>H24*18.322*LOOKUP(H26,密度!$A$2:$A$50,密度!$B$2:$B$50)</f>
        <v>50309.273151199995</v>
      </c>
      <c r="I25" s="91" ph="1">
        <f>I24*18.322*LOOKUP(I26,密度!$A$2:$A$50,密度!$Q$2:$Q$50)</f>
        <v>57175.778310239999</v>
      </c>
      <c r="J25" s="91" ph="1">
        <f>J24*18.322*LOOKUP(J26,密度!$A$2:$A$50,密度!$Q$2:$Q$50)</f>
        <v>94838.772463600006</v>
      </c>
      <c r="K25" s="91" ph="1">
        <f>K24*18.322*LOOKUP(K26,密度!$A$2:$A$50,密度!$Q$2:$Q$50)</f>
        <v>0</v>
      </c>
      <c r="L25" s="91" ph="1">
        <f>L24*18.322*LOOKUP(L26,密度!$A$2:$A$50,密度!$Q$2:$Q$50)</f>
        <v>0</v>
      </c>
      <c r="M25" s="91" ph="1">
        <f>M24*18.322*LOOKUP(M26,密度!$A$2:$A$50,密度!$Q$2:$Q$50)</f>
        <v>91086.221657200003</v>
      </c>
      <c r="N25" s="91" ph="1">
        <f>N24*18.322*LOOKUP(N26,密度!$A$2:$A$50,密度!$Q$2:$Q$50)</f>
        <v>92319.699005599992</v>
      </c>
      <c r="O25" s="91" ph="1">
        <f>O24*18.322*LOOKUP(O26,密度!$A$2:$A$50,密度!$C$2:$C$50)</f>
        <v>75261.951817399997</v>
      </c>
      <c r="P25" s="91" ph="1">
        <f>P24*11.702*LOOKUP(P26,密度!$A$2:$A$50,密度!$B$2:$B$50)</f>
        <v>8110.8644955999998</v>
      </c>
      <c r="Q25" s="92" ph="1">
        <f>Q24*18.322*LOOKUP(Q26,密度!$A$2:$A$50,密度!$B$2:$B$50)</f>
        <v>47156.558974</v>
      </c>
      <c r="R25" s="91" ph="1">
        <f>R24*35.891*LOOKUP(R26,密度!$A$2:$A$50,密度!$C$2:$C$50)</f>
        <v>92074.599123199994</v>
      </c>
      <c r="S25" s="91" ph="1">
        <f>S24*35.891*LOOKUP(S26,密度!$A$2:$A$50,密度!$B$2:$B$50)</f>
        <v>44502.883940500004</v>
      </c>
      <c r="T25" s="91" ph="1">
        <f>T24*35.891*LOOKUP(T26,密度!$A$2:$A$50,密度!$Q$2:$Q$50)</f>
        <v>59862.017465800003</v>
      </c>
      <c r="U25" s="91" ph="1">
        <f>U24*35.891</f>
        <v>198692.576</v>
      </c>
      <c r="V25" s="91" ph="1">
        <f>V24*47.051*LOOKUP(V26,密度!$A$2:$A$50,密度!$B$2:$B$50)</f>
        <v>354053.22298199998</v>
      </c>
      <c r="W25" s="91" ph="1">
        <f>W24*47.051*LOOKUP(W26,密度!$A$2:$A$50,密度!$B$2:$B$50)</f>
        <v>393293.24883120001</v>
      </c>
      <c r="X25" s="91" ph="1">
        <f>X24*47.051*LOOKUP(X26,密度!$A$2:$A$50,密度!$I$2:$I$50)</f>
        <v>131727.74368000001</v>
      </c>
      <c r="Y25" s="91" ph="1">
        <f>Y24*47.051*LOOKUP(Y26,密度!$A$2:$A$50,密度!$L$2:$L$50)</f>
        <v>226342.36432500003</v>
      </c>
      <c r="Z25" s="190"/>
      <c r="AA25" s="191"/>
      <c r="AB25" s="191"/>
      <c r="AC25" s="191"/>
      <c r="AD25" s="191"/>
      <c r="AE25" s="192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6" ph="1"/>
      <c r="C26" s="68" t="s" ph="1">
        <v>180</v>
      </c>
      <c r="D26" s="74">
        <v>25</v>
      </c>
      <c r="E26" s="74">
        <v>25</v>
      </c>
      <c r="F26" s="74">
        <v>24</v>
      </c>
      <c r="G26" s="74">
        <v>24</v>
      </c>
      <c r="H26" s="74">
        <v>23</v>
      </c>
      <c r="I26" s="74">
        <v>22</v>
      </c>
      <c r="J26" s="74">
        <v>23</v>
      </c>
      <c r="K26" s="74">
        <v>22</v>
      </c>
      <c r="L26" s="74">
        <v>23</v>
      </c>
      <c r="M26" s="74">
        <v>23</v>
      </c>
      <c r="N26" s="74">
        <v>23</v>
      </c>
      <c r="O26" s="74">
        <v>22</v>
      </c>
      <c r="P26" s="74">
        <v>22</v>
      </c>
      <c r="Q26" s="93">
        <v>22</v>
      </c>
      <c r="R26" s="74">
        <v>24</v>
      </c>
      <c r="S26" s="74">
        <v>22</v>
      </c>
      <c r="T26" s="74">
        <v>23</v>
      </c>
      <c r="U26" s="74">
        <v>22</v>
      </c>
      <c r="V26" s="74">
        <v>23</v>
      </c>
      <c r="W26" s="74">
        <v>25</v>
      </c>
      <c r="X26" s="74">
        <v>27</v>
      </c>
      <c r="Y26" s="74">
        <v>27</v>
      </c>
      <c r="Z26" s="190"/>
      <c r="AA26" s="191"/>
      <c r="AB26" s="191"/>
      <c r="AC26" s="191"/>
      <c r="AD26" s="191"/>
      <c r="AE26" s="192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ph="1">
      <c r="A27" s="72" ph="1"/>
      <c r="B27" s="196" ph="1">
        <v>0.66666666666666663</v>
      </c>
      <c r="C27" s="171" t="s" ph="1">
        <v>181</v>
      </c>
      <c r="D27" s="71">
        <v>90.58</v>
      </c>
      <c r="E27" s="71">
        <v>95.51</v>
      </c>
      <c r="F27" s="71">
        <v>3990</v>
      </c>
      <c r="G27" s="71">
        <v>1129</v>
      </c>
      <c r="H27" s="71">
        <v>2834</v>
      </c>
      <c r="I27" s="71">
        <v>3288</v>
      </c>
      <c r="J27" s="71">
        <v>5393</v>
      </c>
      <c r="K27" s="71">
        <v>55</v>
      </c>
      <c r="L27" s="71">
        <v>1128</v>
      </c>
      <c r="M27" s="71">
        <v>5242</v>
      </c>
      <c r="N27" s="71">
        <v>5313</v>
      </c>
      <c r="O27" s="71">
        <v>3694</v>
      </c>
      <c r="P27" s="71">
        <v>886</v>
      </c>
      <c r="Q27" s="90">
        <v>3674</v>
      </c>
      <c r="R27" s="71">
        <v>2312</v>
      </c>
      <c r="S27" s="71">
        <v>1584</v>
      </c>
      <c r="T27" s="71">
        <v>1759</v>
      </c>
      <c r="U27" s="71">
        <v>5455</v>
      </c>
      <c r="V27" s="71">
        <v>9630</v>
      </c>
      <c r="W27" s="71">
        <v>10720</v>
      </c>
      <c r="X27" s="71">
        <v>2672</v>
      </c>
      <c r="Y27" s="71">
        <v>4088</v>
      </c>
      <c r="Z27" s="190"/>
      <c r="AA27" s="191"/>
      <c r="AB27" s="191"/>
      <c r="AC27" s="191"/>
      <c r="AD27" s="191"/>
      <c r="AE27" s="192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6" ph="1"/>
      <c r="C28" s="171" t="s" ph="1">
        <v>179</v>
      </c>
      <c r="D28" s="91" ph="1">
        <f>D27*268.68*LOOKUP(D29,密度!$A$2:$A$50,密度!$Q$2:$Q$50)+IF(D27&lt;=0,0,1566*LOOKUP(D29,密度!$A$2:$A$50,密度!$Q$2:$Q$50))</f>
        <v>24523.438787856001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44204.218405200001</v>
      </c>
      <c r="G28" s="91" ph="1">
        <f>G27*18.322*LOOKUP(G29,密度!$A$2:$A$50,密度!$B$2:$B$50)</f>
        <v>16091.280010200002</v>
      </c>
      <c r="H28" s="91" ph="1">
        <f>H27*18.322*LOOKUP(H29,密度!$A$2:$A$50,密度!$B$2:$B$50)</f>
        <v>40392.1058892</v>
      </c>
      <c r="I28" s="91" ph="1">
        <f>I27*18.322*LOOKUP(I29,密度!$A$2:$A$50,密度!$Q$2:$Q$50)</f>
        <v>57034.207880640002</v>
      </c>
      <c r="J28" s="91" ph="1">
        <f>J27*18.322*LOOKUP(J29,密度!$A$2:$A$50,密度!$Q$2:$Q$50)</f>
        <v>93477.740832380005</v>
      </c>
      <c r="K28" s="91" ph="1">
        <f>K27*18.322*LOOKUP(K29,密度!$A$2:$A$50,密度!$Q$2:$Q$50)</f>
        <v>952.60841719999996</v>
      </c>
      <c r="L28" s="91" ph="1">
        <f>L27*18.322*LOOKUP(L29,密度!$A$2:$A$50,密度!$Q$2:$Q$50)</f>
        <v>19537.132629120002</v>
      </c>
      <c r="M28" s="91" ph="1">
        <f>M27*18.322*LOOKUP(M29,密度!$A$2:$A$50,密度!$Q$2:$Q$50)</f>
        <v>90860.433421720008</v>
      </c>
      <c r="N28" s="91" ph="1">
        <f>N27*18.322*LOOKUP(N29,密度!$A$2:$A$50,密度!$Q$2:$Q$50)</f>
        <v>92160.202697639994</v>
      </c>
      <c r="O28" s="91" ph="1">
        <f>O27*18.322*LOOKUP(O29,密度!$A$2:$A$50,密度!$C$2:$C$50)</f>
        <v>74794.790286799995</v>
      </c>
      <c r="P28" s="91" ph="1">
        <f>P27*11.702*LOOKUP(P29,密度!$A$2:$A$50,密度!$B$2:$B$50)</f>
        <v>8055.9142440000005</v>
      </c>
      <c r="Q28" s="92" ph="1">
        <f>Q27*18.322*LOOKUP(Q29,密度!$A$2:$A$50,密度!$B$2:$B$50)</f>
        <v>52418.21230359999</v>
      </c>
      <c r="R28" s="91" ph="1">
        <f>R27*35.891*LOOKUP(R29,密度!$A$2:$A$50,密度!$C$2:$C$50)</f>
        <v>91892.0431408</v>
      </c>
      <c r="S28" s="91" ph="1">
        <f>S27*35.891*LOOKUP(S29,密度!$A$2:$A$50,密度!$B$2:$B$50)</f>
        <v>44224.660497600002</v>
      </c>
      <c r="T28" s="91" ph="1">
        <f>T27*35.891*LOOKUP(T29,密度!$A$2:$A$50,密度!$Q$2:$Q$50)</f>
        <v>59636.00394278</v>
      </c>
      <c r="U28" s="91" ph="1">
        <f>U27*35.891</f>
        <v>195785.405</v>
      </c>
      <c r="V28" s="91" ph="1">
        <f>V27*47.051*LOOKUP(V29,密度!$A$2:$A$50,密度!$B$2:$B$50)</f>
        <v>353645.431965</v>
      </c>
      <c r="W28" s="91" ph="1">
        <f>W27*47.051*LOOKUP(W29,密度!$A$2:$A$50,密度!$B$2:$B$50)</f>
        <v>392765.93886400003</v>
      </c>
      <c r="X28" s="91" ph="1">
        <f>X27*47.051*LOOKUP(X29,密度!$A$2:$A$50,密度!$I$2:$I$50)</f>
        <v>131038.23950560001</v>
      </c>
      <c r="Y28" s="91" ph="1">
        <f>Y27*47.051*LOOKUP(Y29,密度!$A$2:$A$50,密度!$L$2:$L$50)</f>
        <v>180034.44076800003</v>
      </c>
      <c r="Z28" s="190"/>
      <c r="AA28" s="191"/>
      <c r="AB28" s="191"/>
      <c r="AC28" s="191"/>
      <c r="AD28" s="191"/>
      <c r="AE28" s="192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6" ph="1"/>
      <c r="C29" s="171" t="s" ph="1">
        <v>180</v>
      </c>
      <c r="D29" s="74">
        <v>25</v>
      </c>
      <c r="E29" s="74">
        <v>25</v>
      </c>
      <c r="F29" s="74">
        <v>25</v>
      </c>
      <c r="G29" s="74">
        <v>27</v>
      </c>
      <c r="H29" s="74">
        <v>27</v>
      </c>
      <c r="I29" s="74">
        <v>25</v>
      </c>
      <c r="J29" s="74">
        <v>26</v>
      </c>
      <c r="K29" s="74">
        <v>27</v>
      </c>
      <c r="L29" s="74">
        <v>27</v>
      </c>
      <c r="M29" s="74">
        <v>26</v>
      </c>
      <c r="N29" s="74">
        <v>25</v>
      </c>
      <c r="O29" s="74">
        <v>30</v>
      </c>
      <c r="P29" s="74">
        <v>28</v>
      </c>
      <c r="Q29" s="93">
        <v>26</v>
      </c>
      <c r="R29" s="74">
        <v>27</v>
      </c>
      <c r="S29" s="74">
        <v>27</v>
      </c>
      <c r="T29" s="74">
        <v>28</v>
      </c>
      <c r="U29" s="74">
        <v>25</v>
      </c>
      <c r="V29" s="74">
        <v>24</v>
      </c>
      <c r="W29" s="74">
        <v>26</v>
      </c>
      <c r="X29" s="74">
        <v>25</v>
      </c>
      <c r="Y29" s="74">
        <v>26</v>
      </c>
      <c r="Z29" s="193"/>
      <c r="AA29" s="194"/>
      <c r="AB29" s="194"/>
      <c r="AC29" s="194"/>
      <c r="AD29" s="194"/>
      <c r="AE29" s="195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15" ph="1">
      <c r="A31" s="64"/>
      <c r="B31" s="209" t="s" ph="1">
        <v>35</v>
      </c>
      <c r="C31" s="210" ph="1"/>
      <c r="D31" s="213" t="s" ph="1">
        <v>9</v>
      </c>
      <c r="E31" s="202" ph="1"/>
      <c r="F31" s="203" ph="1"/>
      <c r="G31" s="213" t="s" ph="1">
        <v>18</v>
      </c>
      <c r="H31" s="202" ph="1"/>
      <c r="I31" s="203" ph="1"/>
      <c r="J31" s="201" t="s" ph="1">
        <v>1</v>
      </c>
      <c r="K31" s="202" ph="1"/>
      <c r="L31" s="203" ph="1"/>
      <c r="M31" s="201" t="s" ph="1">
        <v>7</v>
      </c>
      <c r="N31" s="202" ph="1"/>
      <c r="O31" s="203" ph="1"/>
      <c r="P31" s="201" t="s" ph="1">
        <v>41</v>
      </c>
      <c r="Q31" s="202"/>
      <c r="R31" s="203"/>
      <c r="S31" s="201" t="s" ph="1">
        <v>2</v>
      </c>
      <c r="T31" s="202"/>
      <c r="U31" s="203"/>
      <c r="V31" s="201" t="s" ph="1">
        <v>71</v>
      </c>
      <c r="W31" s="202" ph="1"/>
      <c r="X31" s="203" ph="1"/>
      <c r="Y31" s="201" t="s" ph="1">
        <v>3</v>
      </c>
      <c r="Z31" s="202" ph="1"/>
      <c r="AA31" s="203" ph="1"/>
      <c r="AB31" s="224" t="s">
        <v>42</v>
      </c>
      <c r="AC31" s="225"/>
      <c r="AD31" s="225"/>
      <c r="AE31" s="226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1" ph="1"/>
      <c r="C32" s="212" ph="1"/>
      <c r="D32" s="96" t="s" ph="1">
        <v>4</v>
      </c>
      <c r="E32" s="171" t="s" ph="1">
        <v>5</v>
      </c>
      <c r="F32" s="172" t="s" ph="1">
        <v>43</v>
      </c>
      <c r="G32" s="97" t="s" ph="1">
        <v>4</v>
      </c>
      <c r="H32" s="171" t="s" ph="1">
        <v>5</v>
      </c>
      <c r="I32" s="172" t="s" ph="1">
        <v>43</v>
      </c>
      <c r="J32" s="97" t="s" ph="1">
        <v>4</v>
      </c>
      <c r="K32" s="171" t="s" ph="1">
        <v>5</v>
      </c>
      <c r="L32" s="172" t="s" ph="1">
        <v>43</v>
      </c>
      <c r="M32" s="97" t="s" ph="1">
        <v>4</v>
      </c>
      <c r="N32" s="171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1" t="s" ph="1">
        <v>5</v>
      </c>
      <c r="U32" s="99" t="s" ph="1">
        <v>43</v>
      </c>
      <c r="V32" s="97" t="s" ph="1">
        <v>4</v>
      </c>
      <c r="W32" s="171" t="s" ph="1">
        <v>5</v>
      </c>
      <c r="X32" s="99" t="s" ph="1">
        <v>43</v>
      </c>
      <c r="Y32" s="100" t="s" ph="1">
        <v>4</v>
      </c>
      <c r="Z32" s="171" t="s" ph="1">
        <v>5</v>
      </c>
      <c r="AA32" s="172" t="s" ph="1">
        <v>43</v>
      </c>
      <c r="AB32" s="97" t="s" ph="1">
        <v>85</v>
      </c>
      <c r="AC32" s="171" t="s" ph="1">
        <v>84</v>
      </c>
      <c r="AD32" s="227" t="s" ph="1">
        <v>83</v>
      </c>
      <c r="AE32" s="228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4" t="s" ph="1">
        <v>182</v>
      </c>
      <c r="C33" s="215" ph="1"/>
      <c r="D33" s="218" ph="1">
        <f>AA10+AB10+Z19</f>
        <v>215954.50747320001</v>
      </c>
      <c r="E33" s="218" ph="1">
        <f>M10+I10</f>
        <v>20615.7484152</v>
      </c>
      <c r="F33" s="22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22" ph="1">
        <v>0</v>
      </c>
      <c r="H33" s="218" ph="1">
        <f>N19</f>
        <v>10761.621680140001</v>
      </c>
      <c r="I33" s="231" ph="1">
        <v>0</v>
      </c>
      <c r="J33" s="229" ph="1">
        <f>F10+O28</f>
        <v>337614.92812519998</v>
      </c>
      <c r="K33" s="218" ph="1">
        <f>O10+K10+E28+R28</f>
        <v>158227.85490492001</v>
      </c>
      <c r="L33" s="233" ph="1">
        <f>BE27</f>
        <v>7100</v>
      </c>
      <c r="M33" s="229" ph="1">
        <f>G10+H10+W28+S28+V28+E10</f>
        <v>1211762.7508426001</v>
      </c>
      <c r="N33" s="218" ph="1">
        <f>L10+P10++G28+H28</f>
        <v>135361.17087640002</v>
      </c>
      <c r="O33" s="231" ph="1">
        <f>BE17</f>
        <v>2270</v>
      </c>
      <c r="P33" s="229" ph="1">
        <f>L19</f>
        <v>22906.098060320001</v>
      </c>
      <c r="Q33" s="218" ph="1">
        <f>J10+N10</f>
        <v>124847.657724</v>
      </c>
      <c r="R33" s="231" ph="1">
        <f>BE23</f>
        <v>890</v>
      </c>
      <c r="S33" s="229" ph="1">
        <f>E10+X28</f>
        <v>319762.83485960006</v>
      </c>
      <c r="T33" s="218" ph="1">
        <f>X19</f>
        <v>6078.0566079999999</v>
      </c>
      <c r="U33" s="239" ph="1">
        <f>BE21</f>
        <v>730</v>
      </c>
      <c r="V33" s="250" ph="1">
        <f ca="1">P19+Q19+S19+M28+N28+J28</f>
        <v>413168.04854414403</v>
      </c>
      <c r="W33" s="250" ph="1">
        <f>D28+F28+V19+T28</f>
        <v>153934.48183901201</v>
      </c>
      <c r="X33" s="231" ph="1">
        <f>BE29+BE31</f>
        <v>10200</v>
      </c>
      <c r="Y33" s="252" ph="1">
        <f>+Q10+R10+S10+T10+U10+V10+W10+X10+Y10</f>
        <v>204471.23627699999</v>
      </c>
      <c r="Z33" s="237" ph="1">
        <f>D10+T19+U19+Y28+Z10</f>
        <v>480013.99220787</v>
      </c>
      <c r="AA33" s="239" ph="1">
        <f>BE19</f>
        <v>1440</v>
      </c>
      <c r="AB33" s="241" ph="1">
        <f>I19</f>
        <v>1100.7852783999999</v>
      </c>
      <c r="AC33" s="243" ph="1">
        <f>AD10</f>
        <v>86261.642447999999</v>
      </c>
      <c r="AD33" s="245" ph="1">
        <v>0</v>
      </c>
      <c r="AE33" s="246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6" ph="1"/>
      <c r="C34" s="217" ph="1"/>
      <c r="D34" s="219" ph="1"/>
      <c r="E34" s="219" ph="1"/>
      <c r="F34" s="221" ph="1"/>
      <c r="G34" s="223" ph="1"/>
      <c r="H34" s="219" ph="1"/>
      <c r="I34" s="232" ph="1"/>
      <c r="J34" s="230" ph="1"/>
      <c r="K34" s="219" ph="1"/>
      <c r="L34" s="234" ph="1"/>
      <c r="M34" s="230" ph="1"/>
      <c r="N34" s="219" ph="1"/>
      <c r="O34" s="232" ph="1"/>
      <c r="P34" s="230" ph="1"/>
      <c r="Q34" s="219" ph="1"/>
      <c r="R34" s="232" ph="1"/>
      <c r="S34" s="230" ph="1"/>
      <c r="T34" s="219"/>
      <c r="U34" s="240"/>
      <c r="V34" s="251" ph="1"/>
      <c r="W34" s="251" ph="1"/>
      <c r="X34" s="232" ph="1"/>
      <c r="Y34" s="253" ph="1"/>
      <c r="Z34" s="238" ph="1"/>
      <c r="AA34" s="240" ph="1"/>
      <c r="AB34" s="242"/>
      <c r="AC34" s="244"/>
      <c r="AD34" s="247"/>
      <c r="AE34" s="248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9" t="s" ph="1">
        <v>642</v>
      </c>
      <c r="AD35" s="249"/>
      <c r="AE35" s="249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15" ph="1">
      <c r="A36" s="64"/>
      <c r="B36" s="103" t="s" ph="1">
        <v>183</v>
      </c>
      <c r="I36" s="235" t="s" ph="1">
        <v>184</v>
      </c>
      <c r="J36" s="235" ph="1"/>
      <c r="K36" s="101" ph="1"/>
      <c r="P36" s="101" ph="1"/>
      <c r="R36" s="235" t="s" ph="1">
        <v>185</v>
      </c>
      <c r="S36" s="235" ph="1"/>
      <c r="Y36" s="102" ph="1"/>
      <c r="Z36" s="173" t="s" ph="1">
        <v>186</v>
      </c>
      <c r="AA36" s="173" ph="1"/>
      <c r="AB36" s="236" t="s" ph="1">
        <v>647</v>
      </c>
      <c r="AC36" s="236" ph="1"/>
      <c r="AD36" s="236" ph="1"/>
      <c r="AE36" s="236" ph="1"/>
      <c r="BA36" s="64" ph="1">
        <v>2270</v>
      </c>
    </row>
    <row r="37" spans="1:57" s="17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3" t="s" ph="1">
        <v>345</v>
      </c>
      <c r="AI37" s="173" t="s" ph="1">
        <v>212</v>
      </c>
      <c r="AJ37" s="173" t="s" ph="1">
        <v>213</v>
      </c>
      <c r="AK37" s="173" t="s" ph="1">
        <v>214</v>
      </c>
      <c r="AM37" s="173" t="s" ph="1">
        <v>213</v>
      </c>
      <c r="AN37" s="173" t="s" ph="1">
        <v>214</v>
      </c>
      <c r="AO37" s="173" t="s" ph="1">
        <v>215</v>
      </c>
      <c r="AP37" s="173" t="s" ph="1">
        <v>213</v>
      </c>
      <c r="AQ37" s="173" t="s" ph="1">
        <v>214</v>
      </c>
      <c r="AR37" s="173" t="s" ph="1">
        <v>215</v>
      </c>
      <c r="AS37" s="173" t="s" ph="1">
        <v>213</v>
      </c>
      <c r="AT37" s="173" t="s" ph="1">
        <v>214</v>
      </c>
      <c r="AU37" s="173" t="s" ph="1">
        <v>215</v>
      </c>
      <c r="AV37" s="173" t="s" ph="1">
        <v>213</v>
      </c>
      <c r="AW37" s="173" t="s" ph="1">
        <v>214</v>
      </c>
      <c r="AX37" s="173" t="s" ph="1">
        <v>215</v>
      </c>
      <c r="AY37" s="173" t="s" ph="1">
        <v>214</v>
      </c>
      <c r="AZ37" s="173" t="s" ph="1">
        <v>216</v>
      </c>
      <c r="BD37" s="173" t="s" ph="1">
        <v>308</v>
      </c>
      <c r="BE37" s="17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" priority="96">
      <formula>ABS(D$7-D$10)&gt;=1000</formula>
    </cfRule>
  </conditionalFormatting>
  <conditionalFormatting sqref="E4 E6:E11">
    <cfRule type="expression" dxfId="124" priority="95">
      <formula>ABS(E$7-E$10)&gt;=1000</formula>
    </cfRule>
  </conditionalFormatting>
  <conditionalFormatting sqref="F4:F11">
    <cfRule type="expression" dxfId="123" priority="94">
      <formula>ABS(F$7-F$10)&gt;=1000</formula>
    </cfRule>
  </conditionalFormatting>
  <conditionalFormatting sqref="G4:G11">
    <cfRule type="expression" dxfId="122" priority="93">
      <formula>ABS(G$7-G$10)&gt;=1000</formula>
    </cfRule>
  </conditionalFormatting>
  <conditionalFormatting sqref="H4:H11">
    <cfRule type="expression" dxfId="121" priority="92">
      <formula>ABS(H$7-H$10)&gt;=1000</formula>
    </cfRule>
  </conditionalFormatting>
  <conditionalFormatting sqref="I4:I11">
    <cfRule type="expression" dxfId="120" priority="91">
      <formula>ABS(I$7-I$10)&gt;=1000</formula>
    </cfRule>
  </conditionalFormatting>
  <conditionalFormatting sqref="J4:J11">
    <cfRule type="expression" dxfId="119" priority="90">
      <formula>ABS(J$7-J$10)&gt;=1000</formula>
    </cfRule>
  </conditionalFormatting>
  <conditionalFormatting sqref="K4:K11">
    <cfRule type="expression" dxfId="118" priority="89">
      <formula>ABS(K$7-K$10)&gt;=1000</formula>
    </cfRule>
  </conditionalFormatting>
  <conditionalFormatting sqref="L4:L11">
    <cfRule type="expression" dxfId="117" priority="88">
      <formula>ABS(L$7-L$10)&gt;=1000</formula>
    </cfRule>
  </conditionalFormatting>
  <conditionalFormatting sqref="M4 M6:M11">
    <cfRule type="expression" dxfId="116" priority="87">
      <formula>ABS(M$7-M$10)&gt;=1000</formula>
    </cfRule>
  </conditionalFormatting>
  <conditionalFormatting sqref="N4 N6:N11">
    <cfRule type="expression" dxfId="115" priority="86">
      <formula>ABS(N$7-N$10)&gt;=1000</formula>
    </cfRule>
  </conditionalFormatting>
  <conditionalFormatting sqref="O4 O6:O11">
    <cfRule type="expression" dxfId="114" priority="85">
      <formula>ABS(O$7-O$10)&gt;=1000</formula>
    </cfRule>
  </conditionalFormatting>
  <conditionalFormatting sqref="P4 P6:P11">
    <cfRule type="expression" dxfId="113" priority="84">
      <formula>ABS(P$7-P$10)&gt;=1000</formula>
    </cfRule>
  </conditionalFormatting>
  <conditionalFormatting sqref="Q4:Q11">
    <cfRule type="expression" dxfId="112" priority="83">
      <formula>ABS(Q$7-Q$10)&gt;=1000</formula>
    </cfRule>
  </conditionalFormatting>
  <conditionalFormatting sqref="R4:R11">
    <cfRule type="expression" dxfId="111" priority="82">
      <formula>ABS(R$7-R$10)&gt;=1000</formula>
    </cfRule>
  </conditionalFormatting>
  <conditionalFormatting sqref="S4:S11">
    <cfRule type="expression" dxfId="110" priority="81">
      <formula>ABS(S$7-S$10)&gt;=1000</formula>
    </cfRule>
  </conditionalFormatting>
  <conditionalFormatting sqref="T4:T9 T11">
    <cfRule type="expression" dxfId="109" priority="80">
      <formula>ABS(T$7-T$10)&gt;=1000</formula>
    </cfRule>
  </conditionalFormatting>
  <conditionalFormatting sqref="U4:U9 U11">
    <cfRule type="expression" dxfId="108" priority="79">
      <formula>ABS(U$7-U$10)&gt;=1000</formula>
    </cfRule>
  </conditionalFormatting>
  <conditionalFormatting sqref="V4:V9 V11">
    <cfRule type="expression" dxfId="107" priority="78">
      <formula>ABS(V$7-V$10)&gt;=1000</formula>
    </cfRule>
  </conditionalFormatting>
  <conditionalFormatting sqref="W4:W9 W11">
    <cfRule type="expression" dxfId="106" priority="77">
      <formula>ABS(W$7-W$10)&gt;=1000</formula>
    </cfRule>
  </conditionalFormatting>
  <conditionalFormatting sqref="X4:X9 X11">
    <cfRule type="expression" dxfId="105" priority="76">
      <formula>ABS(X$7-X$10)&gt;=1000</formula>
    </cfRule>
  </conditionalFormatting>
  <conditionalFormatting sqref="Y4:Y9 Y11">
    <cfRule type="expression" dxfId="104" priority="75">
      <formula>ABS(Y$7-Y$10)&gt;=1000</formula>
    </cfRule>
  </conditionalFormatting>
  <conditionalFormatting sqref="Z4:Z11">
    <cfRule type="expression" dxfId="103" priority="74">
      <formula>ABS(Z$7-Z$10)&gt;=1000</formula>
    </cfRule>
  </conditionalFormatting>
  <conditionalFormatting sqref="AA4:AA11">
    <cfRule type="expression" dxfId="102" priority="73">
      <formula>ABS(AA$7-AA$10)&gt;=1000</formula>
    </cfRule>
  </conditionalFormatting>
  <conditionalFormatting sqref="AB4:AB11">
    <cfRule type="expression" dxfId="101" priority="72">
      <formula>ABS(AB$7-AB$10)&gt;=1000</formula>
    </cfRule>
  </conditionalFormatting>
  <conditionalFormatting sqref="AC4 AC6:AC11">
    <cfRule type="expression" dxfId="100" priority="71">
      <formula>ABS(AC$7-AC$10)&gt;=1000</formula>
    </cfRule>
  </conditionalFormatting>
  <conditionalFormatting sqref="AD4:AD11">
    <cfRule type="expression" dxfId="99" priority="70">
      <formula>ABS(AD$7-AD$10)&gt;=1000</formula>
    </cfRule>
  </conditionalFormatting>
  <conditionalFormatting sqref="AE4:AE11">
    <cfRule type="expression" dxfId="98" priority="69">
      <formula>ABS(AE$7-AE$10)&gt;=1000</formula>
    </cfRule>
  </conditionalFormatting>
  <conditionalFormatting sqref="D13:D20">
    <cfRule type="expression" dxfId="97" priority="68">
      <formula>ABS(D$16-D$19)&gt;=1000</formula>
    </cfRule>
  </conditionalFormatting>
  <conditionalFormatting sqref="E13:E20">
    <cfRule type="expression" dxfId="96" priority="67">
      <formula>ABS(E$16-E$19)&gt;=1000</formula>
    </cfRule>
  </conditionalFormatting>
  <conditionalFormatting sqref="F13 F15:F20">
    <cfRule type="expression" dxfId="95" priority="66">
      <formula>ABS(F$16-F$19)&gt;=1000</formula>
    </cfRule>
  </conditionalFormatting>
  <conditionalFormatting sqref="G13:G20">
    <cfRule type="expression" dxfId="94" priority="65">
      <formula>ABS(G$16-G$19)&gt;=1000</formula>
    </cfRule>
  </conditionalFormatting>
  <conditionalFormatting sqref="H13:H20">
    <cfRule type="expression" dxfId="93" priority="64">
      <formula>ABS(H$16-H$19)&gt;=1000</formula>
    </cfRule>
  </conditionalFormatting>
  <conditionalFormatting sqref="I13:I20">
    <cfRule type="expression" dxfId="92" priority="63">
      <formula>ABS(I$16-I$19)&gt;=1000</formula>
    </cfRule>
  </conditionalFormatting>
  <conditionalFormatting sqref="J13:J20">
    <cfRule type="expression" dxfId="91" priority="62">
      <formula>ABS(J$16-J$19)&gt;=1000</formula>
    </cfRule>
  </conditionalFormatting>
  <conditionalFormatting sqref="L13:L20">
    <cfRule type="expression" dxfId="90" priority="61">
      <formula>ABS(L$16-L$19)&gt;=1000</formula>
    </cfRule>
  </conditionalFormatting>
  <conditionalFormatting sqref="M13 M15 M17:M18 M20">
    <cfRule type="expression" dxfId="89" priority="60">
      <formula>ABS(M$16-M$19)&gt;=1000</formula>
    </cfRule>
  </conditionalFormatting>
  <conditionalFormatting sqref="N13:N20">
    <cfRule type="expression" dxfId="88" priority="59">
      <formula>ABS(N$16-N$19)&gt;=1000</formula>
    </cfRule>
  </conditionalFormatting>
  <conditionalFormatting sqref="O13:O20">
    <cfRule type="expression" dxfId="87" priority="58">
      <formula>ABS(O$16-O$19)&gt;=1000</formula>
    </cfRule>
  </conditionalFormatting>
  <conditionalFormatting sqref="P13:P20">
    <cfRule type="expression" dxfId="86" priority="57">
      <formula>ABS(P$16-P$19)&gt;=1000</formula>
    </cfRule>
  </conditionalFormatting>
  <conditionalFormatting sqref="Q13 Q15:Q20">
    <cfRule type="expression" dxfId="85" priority="56">
      <formula>ABS(Q$16-Q$19)&gt;=1000</formula>
    </cfRule>
  </conditionalFormatting>
  <conditionalFormatting sqref="R13:R20">
    <cfRule type="expression" dxfId="84" priority="55">
      <formula>ABS(R$16-R$19)&gt;=1000</formula>
    </cfRule>
  </conditionalFormatting>
  <conditionalFormatting sqref="S13:S20">
    <cfRule type="expression" dxfId="83" priority="54">
      <formula>ABS(S$16-S$19)&gt;=1000</formula>
    </cfRule>
  </conditionalFormatting>
  <conditionalFormatting sqref="T13:T20">
    <cfRule type="expression" dxfId="82" priority="53">
      <formula>ABS(T$16-T$19)&gt;=1000</formula>
    </cfRule>
  </conditionalFormatting>
  <conditionalFormatting sqref="U13:U20">
    <cfRule type="expression" dxfId="81" priority="52">
      <formula>ABS(U$16-U$19)&gt;=1000</formula>
    </cfRule>
  </conditionalFormatting>
  <conditionalFormatting sqref="V13:V20">
    <cfRule type="expression" dxfId="80" priority="51">
      <formula>ABS(V$16-V$19)&gt;=1000</formula>
    </cfRule>
  </conditionalFormatting>
  <conditionalFormatting sqref="W13 W20 W15:W18">
    <cfRule type="expression" dxfId="79" priority="50">
      <formula>ABS(W$16-W$19)&gt;=1000</formula>
    </cfRule>
  </conditionalFormatting>
  <conditionalFormatting sqref="X13 X15:X20 Y19">
    <cfRule type="expression" dxfId="78" priority="49">
      <formula>ABS(X$16-X$19)&gt;=1000</formula>
    </cfRule>
  </conditionalFormatting>
  <conditionalFormatting sqref="Y13 Y15:Y18 Y20">
    <cfRule type="expression" dxfId="77" priority="48">
      <formula>ABS(Y$16-Y$19)&gt;=1000</formula>
    </cfRule>
  </conditionalFormatting>
  <conditionalFormatting sqref="Z13:Z20">
    <cfRule type="expression" dxfId="76" priority="47">
      <formula>ABS(Z$16-Z$19)&gt;=1000</formula>
    </cfRule>
  </conditionalFormatting>
  <conditionalFormatting sqref="AA13:AA20">
    <cfRule type="expression" dxfId="75" priority="46">
      <formula>ABS(AA$16-AA$19)&gt;=1000</formula>
    </cfRule>
  </conditionalFormatting>
  <conditionalFormatting sqref="AB13 AB15:AB20">
    <cfRule type="expression" dxfId="74" priority="45">
      <formula>ABS(AB$16-AB$19)&gt;=1000</formula>
    </cfRule>
  </conditionalFormatting>
  <conditionalFormatting sqref="AC13 AC15:AC20">
    <cfRule type="expression" dxfId="73" priority="44">
      <formula>ABS(AC$16-AC$19)&gt;=1000</formula>
    </cfRule>
  </conditionalFormatting>
  <conditionalFormatting sqref="AD13:AD20">
    <cfRule type="expression" dxfId="72" priority="43">
      <formula>ABS(AD$16-AD$19)&gt;=1000</formula>
    </cfRule>
  </conditionalFormatting>
  <conditionalFormatting sqref="AE13:AE20">
    <cfRule type="expression" dxfId="71" priority="42">
      <formula>ABS(AE$16-AE$19)&gt;=1000</formula>
    </cfRule>
  </conditionalFormatting>
  <conditionalFormatting sqref="D22:D29">
    <cfRule type="expression" dxfId="70" priority="41">
      <formula>ABS(D$25-D$28)&gt;=1000</formula>
    </cfRule>
  </conditionalFormatting>
  <conditionalFormatting sqref="E22:E29">
    <cfRule type="expression" dxfId="69" priority="40">
      <formula>ABS(E$25-E$28)&gt;=1000</formula>
    </cfRule>
  </conditionalFormatting>
  <conditionalFormatting sqref="F22:F29">
    <cfRule type="expression" dxfId="68" priority="39">
      <formula>ABS(F$25-F$28)&gt;=1000</formula>
    </cfRule>
  </conditionalFormatting>
  <conditionalFormatting sqref="G22:G29">
    <cfRule type="expression" dxfId="67" priority="38">
      <formula>ABS(G$25-G$28)&gt;=1000</formula>
    </cfRule>
  </conditionalFormatting>
  <conditionalFormatting sqref="H22:H29">
    <cfRule type="expression" dxfId="66" priority="37">
      <formula>ABS(H$25-H$28)&gt;=1000</formula>
    </cfRule>
  </conditionalFormatting>
  <conditionalFormatting sqref="I22 I24:I29">
    <cfRule type="expression" dxfId="65" priority="36">
      <formula>ABS(I$25-I$28)&gt;=1000</formula>
    </cfRule>
  </conditionalFormatting>
  <conditionalFormatting sqref="J22:J29 K22">
    <cfRule type="expression" dxfId="64" priority="35">
      <formula>ABS(J$25-J$28)&gt;=1000</formula>
    </cfRule>
  </conditionalFormatting>
  <conditionalFormatting sqref="K23:K29 L25 L28">
    <cfRule type="expression" dxfId="63" priority="34">
      <formula>ABS(K$25-K$28)&gt;=1000</formula>
    </cfRule>
  </conditionalFormatting>
  <conditionalFormatting sqref="L22:L24 L26:L27 L29">
    <cfRule type="expression" dxfId="62" priority="33">
      <formula>ABS(L$25-L$28)&gt;=1000</formula>
    </cfRule>
  </conditionalFormatting>
  <conditionalFormatting sqref="M22:M29">
    <cfRule type="expression" dxfId="61" priority="32">
      <formula>ABS(M$25-M$28)&gt;=1000</formula>
    </cfRule>
  </conditionalFormatting>
  <conditionalFormatting sqref="N22:N29">
    <cfRule type="expression" dxfId="60" priority="31">
      <formula>ABS(N$25-N$28)&gt;=1000</formula>
    </cfRule>
  </conditionalFormatting>
  <conditionalFormatting sqref="O22:O29">
    <cfRule type="expression" dxfId="59" priority="30">
      <formula>ABS(O$25-O$28)&gt;=1000</formula>
    </cfRule>
  </conditionalFormatting>
  <conditionalFormatting sqref="P22:P29">
    <cfRule type="expression" dxfId="58" priority="29">
      <formula>ABS(P$25-P$28)&gt;=1000</formula>
    </cfRule>
  </conditionalFormatting>
  <conditionalFormatting sqref="Q22:Q29">
    <cfRule type="expression" dxfId="57" priority="28">
      <formula>ABS(Q$25-Q$28)&gt;=1000</formula>
    </cfRule>
  </conditionalFormatting>
  <conditionalFormatting sqref="R22:R29">
    <cfRule type="expression" dxfId="56" priority="27">
      <formula>ABS(R$25-R$28)&gt;=1000</formula>
    </cfRule>
  </conditionalFormatting>
  <conditionalFormatting sqref="S22:S29">
    <cfRule type="expression" dxfId="55" priority="26">
      <formula>ABS(S$25-S$28)&gt;=1000</formula>
    </cfRule>
  </conditionalFormatting>
  <conditionalFormatting sqref="T22:T29">
    <cfRule type="expression" dxfId="54" priority="25">
      <formula>ABS(T$25-T$28)&gt;=1000</formula>
    </cfRule>
  </conditionalFormatting>
  <conditionalFormatting sqref="U22:U29">
    <cfRule type="expression" dxfId="53" priority="24">
      <formula>ABS(U$25-U$28)&gt;=1000</formula>
    </cfRule>
  </conditionalFormatting>
  <conditionalFormatting sqref="V22:V29">
    <cfRule type="expression" dxfId="52" priority="23">
      <formula>ABS(V$25-V$28)&gt;=1000</formula>
    </cfRule>
  </conditionalFormatting>
  <conditionalFormatting sqref="W22:W29">
    <cfRule type="expression" dxfId="51" priority="22">
      <formula>ABS(W$25-W$28)&gt;=1000</formula>
    </cfRule>
  </conditionalFormatting>
  <conditionalFormatting sqref="X22:X29">
    <cfRule type="expression" dxfId="50" priority="21">
      <formula>ABS(X$25-X$28)&gt;=1000</formula>
    </cfRule>
  </conditionalFormatting>
  <conditionalFormatting sqref="Y22:Y29">
    <cfRule type="expression" dxfId="49" priority="20">
      <formula>ABS(Y$25-Y$28)&gt;=1000</formula>
    </cfRule>
  </conditionalFormatting>
  <conditionalFormatting sqref="I23">
    <cfRule type="expression" dxfId="48" priority="19">
      <formula>ABS(I$25-I$28)&gt;=1000</formula>
    </cfRule>
  </conditionalFormatting>
  <conditionalFormatting sqref="F14">
    <cfRule type="expression" dxfId="47" priority="18">
      <formula>ABS(F$16-F$19)&gt;=1000</formula>
    </cfRule>
  </conditionalFormatting>
  <conditionalFormatting sqref="Q14">
    <cfRule type="expression" dxfId="46" priority="17">
      <formula>ABS(Q$16-Q$19)&gt;=1000</formula>
    </cfRule>
  </conditionalFormatting>
  <conditionalFormatting sqref="W14">
    <cfRule type="expression" dxfId="45" priority="16">
      <formula>ABS(W$16-W$19)&gt;=1000</formula>
    </cfRule>
  </conditionalFormatting>
  <conditionalFormatting sqref="Y14">
    <cfRule type="expression" dxfId="44" priority="15">
      <formula>ABS(Y$16-Y$19)&gt;=1000</formula>
    </cfRule>
  </conditionalFormatting>
  <conditionalFormatting sqref="X14">
    <cfRule type="expression" dxfId="43" priority="14">
      <formula>ABS(X$16-X$19)&gt;=1000</formula>
    </cfRule>
  </conditionalFormatting>
  <conditionalFormatting sqref="T10:Y10">
    <cfRule type="expression" dxfId="42" priority="13">
      <formula>ABS(T$7-T$10)&gt;=1000</formula>
    </cfRule>
  </conditionalFormatting>
  <conditionalFormatting sqref="W19">
    <cfRule type="expression" dxfId="41" priority="12">
      <formula>ABS(W$16-W$19)&gt;=1000</formula>
    </cfRule>
  </conditionalFormatting>
  <conditionalFormatting sqref="AC5">
    <cfRule type="expression" dxfId="40" priority="11">
      <formula>ABS(AC$7-AC$10)&gt;=1000</formula>
    </cfRule>
  </conditionalFormatting>
  <conditionalFormatting sqref="M14">
    <cfRule type="expression" dxfId="39" priority="10">
      <formula>ABS(M$16-M$19)&gt;=1000</formula>
    </cfRule>
  </conditionalFormatting>
  <conditionalFormatting sqref="M16">
    <cfRule type="expression" dxfId="38" priority="9">
      <formula>ABS(M$16-M$19)&gt;=1000</formula>
    </cfRule>
  </conditionalFormatting>
  <conditionalFormatting sqref="M19">
    <cfRule type="expression" dxfId="37" priority="8">
      <formula>ABS(M$16-M$19)&gt;=1000</formula>
    </cfRule>
  </conditionalFormatting>
  <conditionalFormatting sqref="K13:K20">
    <cfRule type="expression" dxfId="36" priority="7">
      <formula>ABS(K$16-K$19)&gt;=1000</formula>
    </cfRule>
  </conditionalFormatting>
  <conditionalFormatting sqref="E5">
    <cfRule type="expression" dxfId="35" priority="6">
      <formula>ABS(E$7-E$10)&gt;=1000</formula>
    </cfRule>
  </conditionalFormatting>
  <conditionalFormatting sqref="AB14:AC14">
    <cfRule type="expression" dxfId="34" priority="5">
      <formula>ABS(AB$16-AB$19)&gt;=1000</formula>
    </cfRule>
  </conditionalFormatting>
  <conditionalFormatting sqref="M5">
    <cfRule type="expression" dxfId="33" priority="4">
      <formula>ABS(M$7-M$10)&gt;=1000</formula>
    </cfRule>
  </conditionalFormatting>
  <conditionalFormatting sqref="N5">
    <cfRule type="expression" dxfId="32" priority="3">
      <formula>ABS(N$7-N$10)&gt;=1000</formula>
    </cfRule>
  </conditionalFormatting>
  <conditionalFormatting sqref="O5">
    <cfRule type="expression" dxfId="31" priority="2">
      <formula>ABS(O$7-O$10)&gt;=1000</formula>
    </cfRule>
  </conditionalFormatting>
  <conditionalFormatting sqref="P5">
    <cfRule type="expression" dxfId="30" priority="1">
      <formula>ABS(P$7-P$10)&gt;=1000</formula>
    </cfRule>
  </conditionalFormatting>
  <dataValidations count="1">
    <dataValidation operator="greaterThanOrEqual" allowBlank="1" showErrorMessage="1" sqref="D6" xr:uid="{00000000-0002-0000-1700-000000000000}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7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具名範圍</vt:lpstr>
      </vt:variant>
      <vt:variant>
        <vt:i4>24</vt:i4>
      </vt:variant>
    </vt:vector>
  </HeadingPairs>
  <TitlesOfParts>
    <vt:vector size="48" baseType="lpstr">
      <vt:lpstr>新增</vt:lpstr>
      <vt:lpstr>密度</vt:lpstr>
      <vt:lpstr>4.30</vt:lpstr>
      <vt:lpstr>5.1</vt:lpstr>
      <vt:lpstr>5.2</vt:lpstr>
      <vt:lpstr>5.5</vt:lpstr>
      <vt:lpstr>5.6</vt:lpstr>
      <vt:lpstr>5.7</vt:lpstr>
      <vt:lpstr>5.8</vt:lpstr>
      <vt:lpstr>5.9</vt:lpstr>
      <vt:lpstr>5.12</vt:lpstr>
      <vt:lpstr>5.13</vt:lpstr>
      <vt:lpstr>5.14</vt:lpstr>
      <vt:lpstr>5.15</vt:lpstr>
      <vt:lpstr>5.16</vt:lpstr>
      <vt:lpstr>5.19</vt:lpstr>
      <vt:lpstr>5.20</vt:lpstr>
      <vt:lpstr>5.21</vt:lpstr>
      <vt:lpstr>5.22</vt:lpstr>
      <vt:lpstr>5.23</vt:lpstr>
      <vt:lpstr>5.26</vt:lpstr>
      <vt:lpstr>5.27</vt:lpstr>
      <vt:lpstr>5.28</vt:lpstr>
      <vt:lpstr>5.29</vt:lpstr>
      <vt:lpstr>'4.30'!Print_Area</vt:lpstr>
      <vt:lpstr>'5.1'!Print_Area</vt:lpstr>
      <vt:lpstr>'5.12'!Print_Area</vt:lpstr>
      <vt:lpstr>'5.13'!Print_Area</vt:lpstr>
      <vt:lpstr>'5.14'!Print_Area</vt:lpstr>
      <vt:lpstr>'5.15'!Print_Area</vt:lpstr>
      <vt:lpstr>'5.16'!Print_Area</vt:lpstr>
      <vt:lpstr>'5.19'!Print_Area</vt:lpstr>
      <vt:lpstr>'5.2'!Print_Area</vt:lpstr>
      <vt:lpstr>'5.20'!Print_Area</vt:lpstr>
      <vt:lpstr>'5.21'!Print_Area</vt:lpstr>
      <vt:lpstr>'5.22'!Print_Area</vt:lpstr>
      <vt:lpstr>'5.23'!Print_Area</vt:lpstr>
      <vt:lpstr>'5.26'!Print_Area</vt:lpstr>
      <vt:lpstr>'5.27'!Print_Area</vt:lpstr>
      <vt:lpstr>'5.28'!Print_Area</vt:lpstr>
      <vt:lpstr>'5.29'!Print_Area</vt:lpstr>
      <vt:lpstr>'5.5'!Print_Area</vt:lpstr>
      <vt:lpstr>'5.6'!Print_Area</vt:lpstr>
      <vt:lpstr>'5.7'!Print_Area</vt:lpstr>
      <vt:lpstr>'5.8'!Print_Area</vt:lpstr>
      <vt:lpstr>'5.9'!Print_Area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nat771113@hotmail.com</cp:lastModifiedBy>
  <cp:lastPrinted>2025-05-29T07:19:55Z</cp:lastPrinted>
  <dcterms:created xsi:type="dcterms:W3CDTF">2006-09-16T00:00:00Z</dcterms:created>
  <dcterms:modified xsi:type="dcterms:W3CDTF">2025-06-24T15:19:31Z</dcterms:modified>
</cp:coreProperties>
</file>