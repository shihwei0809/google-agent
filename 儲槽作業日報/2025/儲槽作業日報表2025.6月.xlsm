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bookViews>
    <workbookView xWindow="0" yWindow="0" windowWidth="2160" windowHeight="1212" firstSheet="8" activeTab="24"/>
  </bookViews>
  <sheets>
    <sheet name="新增" sheetId="1727" r:id="rId1"/>
    <sheet name="密度" sheetId="13" r:id="rId2"/>
    <sheet name="5.29" sheetId="1898" r:id="rId3"/>
    <sheet name="6.1" sheetId="1899" r:id="rId4"/>
    <sheet name="6.2" sheetId="1901" r:id="rId5"/>
    <sheet name="6.3" sheetId="1902" r:id="rId6"/>
    <sheet name="6.4" sheetId="1903" r:id="rId7"/>
    <sheet name="6.5" sheetId="1904" r:id="rId8"/>
    <sheet name="6.6" sheetId="1905" r:id="rId9"/>
    <sheet name="6.9" sheetId="1906" r:id="rId10"/>
    <sheet name="6.10" sheetId="1907" r:id="rId11"/>
    <sheet name="6.11" sheetId="1908" r:id="rId12"/>
    <sheet name="6.12" sheetId="1909" r:id="rId13"/>
    <sheet name="6.13" sheetId="1910" r:id="rId14"/>
    <sheet name="6.16" sheetId="1911" r:id="rId15"/>
    <sheet name="6.17" sheetId="1912" r:id="rId16"/>
    <sheet name="6.18" sheetId="1913" r:id="rId17"/>
    <sheet name="6.19" sheetId="1914" r:id="rId18"/>
    <sheet name="6.20" sheetId="1915" r:id="rId19"/>
    <sheet name="6.23" sheetId="1916" r:id="rId20"/>
    <sheet name="6.24" sheetId="1917" r:id="rId21"/>
    <sheet name="6.25" sheetId="1918" r:id="rId22"/>
    <sheet name="6.26" sheetId="1919" r:id="rId23"/>
    <sheet name="6.27" sheetId="1920" r:id="rId24"/>
    <sheet name="6.30" sheetId="1921" r:id="rId25"/>
  </sheets>
  <definedNames>
    <definedName name="_xlnm.Print_Area" localSheetId="2">'5.29'!$B$1:$AE$36</definedName>
    <definedName name="_xlnm.Print_Area" localSheetId="3">'6.1'!$B$1:$AE$36</definedName>
    <definedName name="_xlnm.Print_Area" localSheetId="10">'6.10'!$B$1:$AE$36</definedName>
    <definedName name="_xlnm.Print_Area" localSheetId="11">'6.11'!$B$1:$AE$36</definedName>
    <definedName name="_xlnm.Print_Area" localSheetId="12">'6.12'!$B$1:$AE$36</definedName>
    <definedName name="_xlnm.Print_Area" localSheetId="13">'6.13'!$B$1:$AE$36</definedName>
    <definedName name="_xlnm.Print_Area" localSheetId="14">'6.16'!$B$1:$AE$36</definedName>
    <definedName name="_xlnm.Print_Area" localSheetId="15">'6.17'!$B$1:$AE$36</definedName>
    <definedName name="_xlnm.Print_Area" localSheetId="16">'6.18'!$B$1:$AE$36</definedName>
    <definedName name="_xlnm.Print_Area" localSheetId="17">'6.19'!$B$1:$AE$36</definedName>
    <definedName name="_xlnm.Print_Area" localSheetId="4">'6.2'!$B$1:$AE$36</definedName>
    <definedName name="_xlnm.Print_Area" localSheetId="18">'6.20'!$B$1:$AE$36</definedName>
    <definedName name="_xlnm.Print_Area" localSheetId="19">'6.23'!$B$1:$AE$36</definedName>
    <definedName name="_xlnm.Print_Area" localSheetId="20">'6.24'!$B$1:$AE$36</definedName>
    <definedName name="_xlnm.Print_Area" localSheetId="21">'6.25'!$B$1:$AE$36</definedName>
    <definedName name="_xlnm.Print_Area" localSheetId="22">'6.26'!$B$1:$AE$36</definedName>
    <definedName name="_xlnm.Print_Area" localSheetId="23">'6.27'!$B$1:$AE$36</definedName>
    <definedName name="_xlnm.Print_Area" localSheetId="5">'6.3'!$B$1:$AE$36</definedName>
    <definedName name="_xlnm.Print_Area" localSheetId="24">'6.30'!$B$1:$AE$36</definedName>
    <definedName name="_xlnm.Print_Area" localSheetId="6">'6.4'!$B$1:$AE$36</definedName>
    <definedName name="_xlnm.Print_Area" localSheetId="7">'6.5'!$B$1:$AE$36</definedName>
    <definedName name="_xlnm.Print_Area" localSheetId="8">'6.6'!$B$1:$AE$36</definedName>
    <definedName name="_xlnm.Print_Area" localSheetId="9">'6.9'!$B$1:$AE$36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'5.29'!$B$3:$AE$36</definedName>
    <definedName name="Z_512059F6_F0DC_4056_8FD0_37088AB81F9E_.wvu.PrintArea" localSheetId="3" hidden="1">'6.1'!$B$3:$AE$36</definedName>
    <definedName name="Z_512059F6_F0DC_4056_8FD0_37088AB81F9E_.wvu.PrintArea" localSheetId="10" hidden="1">'6.10'!$B$3:$AE$36</definedName>
    <definedName name="Z_512059F6_F0DC_4056_8FD0_37088AB81F9E_.wvu.PrintArea" localSheetId="11" hidden="1">'6.11'!$B$3:$AE$36</definedName>
    <definedName name="Z_512059F6_F0DC_4056_8FD0_37088AB81F9E_.wvu.PrintArea" localSheetId="12" hidden="1">'6.12'!$B$3:$AE$36</definedName>
    <definedName name="Z_512059F6_F0DC_4056_8FD0_37088AB81F9E_.wvu.PrintArea" localSheetId="13" hidden="1">'6.13'!$B$3:$AE$36</definedName>
    <definedName name="Z_512059F6_F0DC_4056_8FD0_37088AB81F9E_.wvu.PrintArea" localSheetId="14" hidden="1">'6.16'!$B$3:$AE$36</definedName>
    <definedName name="Z_512059F6_F0DC_4056_8FD0_37088AB81F9E_.wvu.PrintArea" localSheetId="15" hidden="1">'6.17'!$B$3:$AE$36</definedName>
    <definedName name="Z_512059F6_F0DC_4056_8FD0_37088AB81F9E_.wvu.PrintArea" localSheetId="16" hidden="1">'6.18'!$B$3:$AE$36</definedName>
    <definedName name="Z_512059F6_F0DC_4056_8FD0_37088AB81F9E_.wvu.PrintArea" localSheetId="17" hidden="1">'6.19'!$B$3:$AE$36</definedName>
    <definedName name="Z_512059F6_F0DC_4056_8FD0_37088AB81F9E_.wvu.PrintArea" localSheetId="4" hidden="1">'6.2'!$B$3:$AE$36</definedName>
    <definedName name="Z_512059F6_F0DC_4056_8FD0_37088AB81F9E_.wvu.PrintArea" localSheetId="18" hidden="1">'6.20'!$B$3:$AE$36</definedName>
    <definedName name="Z_512059F6_F0DC_4056_8FD0_37088AB81F9E_.wvu.PrintArea" localSheetId="19" hidden="1">'6.23'!$B$3:$AE$36</definedName>
    <definedName name="Z_512059F6_F0DC_4056_8FD0_37088AB81F9E_.wvu.PrintArea" localSheetId="20" hidden="1">'6.24'!$B$3:$AE$36</definedName>
    <definedName name="Z_512059F6_F0DC_4056_8FD0_37088AB81F9E_.wvu.PrintArea" localSheetId="21" hidden="1">'6.25'!$B$3:$AE$36</definedName>
    <definedName name="Z_512059F6_F0DC_4056_8FD0_37088AB81F9E_.wvu.PrintArea" localSheetId="22" hidden="1">'6.26'!$B$3:$AE$36</definedName>
    <definedName name="Z_512059F6_F0DC_4056_8FD0_37088AB81F9E_.wvu.PrintArea" localSheetId="23" hidden="1">'6.27'!$B$3:$AE$36</definedName>
    <definedName name="Z_512059F6_F0DC_4056_8FD0_37088AB81F9E_.wvu.PrintArea" localSheetId="5" hidden="1">'6.3'!$B$3:$AE$36</definedName>
    <definedName name="Z_512059F6_F0DC_4056_8FD0_37088AB81F9E_.wvu.PrintArea" localSheetId="24" hidden="1">'6.30'!$B$3:$AE$36</definedName>
    <definedName name="Z_512059F6_F0DC_4056_8FD0_37088AB81F9E_.wvu.PrintArea" localSheetId="6" hidden="1">'6.4'!$B$3:$AE$36</definedName>
    <definedName name="Z_512059F6_F0DC_4056_8FD0_37088AB81F9E_.wvu.PrintArea" localSheetId="7" hidden="1">'6.5'!$B$3:$AE$36</definedName>
    <definedName name="Z_512059F6_F0DC_4056_8FD0_37088AB81F9E_.wvu.PrintArea" localSheetId="8" hidden="1">'6.6'!$B$3:$AE$36</definedName>
    <definedName name="Z_512059F6_F0DC_4056_8FD0_37088AB81F9E_.wvu.PrintArea" localSheetId="9" hidden="1">'6.9'!$B$3:$AE$36</definedName>
    <definedName name="Z_68643476_8805_447E_8170_A582EA1D0343_.wvu.PrintArea" localSheetId="2" hidden="1">'5.29'!$B$3:$AE$36</definedName>
    <definedName name="Z_68643476_8805_447E_8170_A582EA1D0343_.wvu.PrintArea" localSheetId="3" hidden="1">'6.1'!$B$3:$AE$36</definedName>
    <definedName name="Z_68643476_8805_447E_8170_A582EA1D0343_.wvu.PrintArea" localSheetId="10" hidden="1">'6.10'!$B$3:$AE$36</definedName>
    <definedName name="Z_68643476_8805_447E_8170_A582EA1D0343_.wvu.PrintArea" localSheetId="11" hidden="1">'6.11'!$B$3:$AE$36</definedName>
    <definedName name="Z_68643476_8805_447E_8170_A582EA1D0343_.wvu.PrintArea" localSheetId="12" hidden="1">'6.12'!$B$3:$AE$36</definedName>
    <definedName name="Z_68643476_8805_447E_8170_A582EA1D0343_.wvu.PrintArea" localSheetId="13" hidden="1">'6.13'!$B$3:$AE$36</definedName>
    <definedName name="Z_68643476_8805_447E_8170_A582EA1D0343_.wvu.PrintArea" localSheetId="14" hidden="1">'6.16'!$B$3:$AE$36</definedName>
    <definedName name="Z_68643476_8805_447E_8170_A582EA1D0343_.wvu.PrintArea" localSheetId="15" hidden="1">'6.17'!$B$3:$AE$36</definedName>
    <definedName name="Z_68643476_8805_447E_8170_A582EA1D0343_.wvu.PrintArea" localSheetId="16" hidden="1">'6.18'!$B$3:$AE$36</definedName>
    <definedName name="Z_68643476_8805_447E_8170_A582EA1D0343_.wvu.PrintArea" localSheetId="17" hidden="1">'6.19'!$B$3:$AE$36</definedName>
    <definedName name="Z_68643476_8805_447E_8170_A582EA1D0343_.wvu.PrintArea" localSheetId="4" hidden="1">'6.2'!$B$3:$AE$36</definedName>
    <definedName name="Z_68643476_8805_447E_8170_A582EA1D0343_.wvu.PrintArea" localSheetId="18" hidden="1">'6.20'!$B$3:$AE$36</definedName>
    <definedName name="Z_68643476_8805_447E_8170_A582EA1D0343_.wvu.PrintArea" localSheetId="19" hidden="1">'6.23'!$B$3:$AE$36</definedName>
    <definedName name="Z_68643476_8805_447E_8170_A582EA1D0343_.wvu.PrintArea" localSheetId="20" hidden="1">'6.24'!$B$3:$AE$36</definedName>
    <definedName name="Z_68643476_8805_447E_8170_A582EA1D0343_.wvu.PrintArea" localSheetId="21" hidden="1">'6.25'!$B$3:$AE$36</definedName>
    <definedName name="Z_68643476_8805_447E_8170_A582EA1D0343_.wvu.PrintArea" localSheetId="22" hidden="1">'6.26'!$B$3:$AE$36</definedName>
    <definedName name="Z_68643476_8805_447E_8170_A582EA1D0343_.wvu.PrintArea" localSheetId="23" hidden="1">'6.27'!$B$3:$AE$36</definedName>
    <definedName name="Z_68643476_8805_447E_8170_A582EA1D0343_.wvu.PrintArea" localSheetId="5" hidden="1">'6.3'!$B$3:$AE$36</definedName>
    <definedName name="Z_68643476_8805_447E_8170_A582EA1D0343_.wvu.PrintArea" localSheetId="24" hidden="1">'6.30'!$B$3:$AE$36</definedName>
    <definedName name="Z_68643476_8805_447E_8170_A582EA1D0343_.wvu.PrintArea" localSheetId="6" hidden="1">'6.4'!$B$3:$AE$36</definedName>
    <definedName name="Z_68643476_8805_447E_8170_A582EA1D0343_.wvu.PrintArea" localSheetId="7" hidden="1">'6.5'!$B$3:$AE$36</definedName>
    <definedName name="Z_68643476_8805_447E_8170_A582EA1D0343_.wvu.PrintArea" localSheetId="8" hidden="1">'6.6'!$B$3:$AE$36</definedName>
    <definedName name="Z_68643476_8805_447E_8170_A582EA1D0343_.wvu.PrintArea" localSheetId="9" hidden="1">'6.9'!$B$3:$AE$36</definedName>
    <definedName name="Z_8E5926ED_4EBD_4129_B8FF_799CC47580D7_.wvu.PrintArea" localSheetId="2" hidden="1">'5.29'!$B$3:$AE$36</definedName>
    <definedName name="Z_8E5926ED_4EBD_4129_B8FF_799CC47580D7_.wvu.PrintArea" localSheetId="3" hidden="1">'6.1'!$B$3:$AE$36</definedName>
    <definedName name="Z_8E5926ED_4EBD_4129_B8FF_799CC47580D7_.wvu.PrintArea" localSheetId="10" hidden="1">'6.10'!$B$3:$AE$36</definedName>
    <definedName name="Z_8E5926ED_4EBD_4129_B8FF_799CC47580D7_.wvu.PrintArea" localSheetId="11" hidden="1">'6.11'!$B$3:$AE$36</definedName>
    <definedName name="Z_8E5926ED_4EBD_4129_B8FF_799CC47580D7_.wvu.PrintArea" localSheetId="12" hidden="1">'6.12'!$B$3:$AE$36</definedName>
    <definedName name="Z_8E5926ED_4EBD_4129_B8FF_799CC47580D7_.wvu.PrintArea" localSheetId="13" hidden="1">'6.13'!$B$3:$AE$36</definedName>
    <definedName name="Z_8E5926ED_4EBD_4129_B8FF_799CC47580D7_.wvu.PrintArea" localSheetId="14" hidden="1">'6.16'!$B$3:$AE$36</definedName>
    <definedName name="Z_8E5926ED_4EBD_4129_B8FF_799CC47580D7_.wvu.PrintArea" localSheetId="15" hidden="1">'6.17'!$B$3:$AE$36</definedName>
    <definedName name="Z_8E5926ED_4EBD_4129_B8FF_799CC47580D7_.wvu.PrintArea" localSheetId="16" hidden="1">'6.18'!$B$3:$AE$36</definedName>
    <definedName name="Z_8E5926ED_4EBD_4129_B8FF_799CC47580D7_.wvu.PrintArea" localSheetId="17" hidden="1">'6.19'!$B$3:$AE$36</definedName>
    <definedName name="Z_8E5926ED_4EBD_4129_B8FF_799CC47580D7_.wvu.PrintArea" localSheetId="4" hidden="1">'6.2'!$B$3:$AE$36</definedName>
    <definedName name="Z_8E5926ED_4EBD_4129_B8FF_799CC47580D7_.wvu.PrintArea" localSheetId="18" hidden="1">'6.20'!$B$3:$AE$36</definedName>
    <definedName name="Z_8E5926ED_4EBD_4129_B8FF_799CC47580D7_.wvu.PrintArea" localSheetId="19" hidden="1">'6.23'!$B$3:$AE$36</definedName>
    <definedName name="Z_8E5926ED_4EBD_4129_B8FF_799CC47580D7_.wvu.PrintArea" localSheetId="20" hidden="1">'6.24'!$B$3:$AE$36</definedName>
    <definedName name="Z_8E5926ED_4EBD_4129_B8FF_799CC47580D7_.wvu.PrintArea" localSheetId="21" hidden="1">'6.25'!$B$3:$AE$36</definedName>
    <definedName name="Z_8E5926ED_4EBD_4129_B8FF_799CC47580D7_.wvu.PrintArea" localSheetId="22" hidden="1">'6.26'!$B$3:$AE$36</definedName>
    <definedName name="Z_8E5926ED_4EBD_4129_B8FF_799CC47580D7_.wvu.PrintArea" localSheetId="23" hidden="1">'6.27'!$B$3:$AE$36</definedName>
    <definedName name="Z_8E5926ED_4EBD_4129_B8FF_799CC47580D7_.wvu.PrintArea" localSheetId="5" hidden="1">'6.3'!$B$3:$AE$36</definedName>
    <definedName name="Z_8E5926ED_4EBD_4129_B8FF_799CC47580D7_.wvu.PrintArea" localSheetId="24" hidden="1">'6.30'!$B$3:$AE$36</definedName>
    <definedName name="Z_8E5926ED_4EBD_4129_B8FF_799CC47580D7_.wvu.PrintArea" localSheetId="6" hidden="1">'6.4'!$B$3:$AE$36</definedName>
    <definedName name="Z_8E5926ED_4EBD_4129_B8FF_799CC47580D7_.wvu.PrintArea" localSheetId="7" hidden="1">'6.5'!$B$3:$AE$36</definedName>
    <definedName name="Z_8E5926ED_4EBD_4129_B8FF_799CC47580D7_.wvu.PrintArea" localSheetId="8" hidden="1">'6.6'!$B$3:$AE$36</definedName>
    <definedName name="Z_8E5926ED_4EBD_4129_B8FF_799CC47580D7_.wvu.PrintArea" localSheetId="9" hidden="1">'6.9'!$B$3:$AE$36</definedName>
    <definedName name="Z_8FA8B620_C56C_11DB_A857_00055D5FD5FF_.wvu.PrintArea" localSheetId="2" hidden="1">'5.29'!$B$3:$AE$36</definedName>
    <definedName name="Z_8FA8B620_C56C_11DB_A857_00055D5FD5FF_.wvu.PrintArea" localSheetId="3" hidden="1">'6.1'!$B$3:$AE$36</definedName>
    <definedName name="Z_8FA8B620_C56C_11DB_A857_00055D5FD5FF_.wvu.PrintArea" localSheetId="10" hidden="1">'6.10'!$B$3:$AE$36</definedName>
    <definedName name="Z_8FA8B620_C56C_11DB_A857_00055D5FD5FF_.wvu.PrintArea" localSheetId="11" hidden="1">'6.11'!$B$3:$AE$36</definedName>
    <definedName name="Z_8FA8B620_C56C_11DB_A857_00055D5FD5FF_.wvu.PrintArea" localSheetId="12" hidden="1">'6.12'!$B$3:$AE$36</definedName>
    <definedName name="Z_8FA8B620_C56C_11DB_A857_00055D5FD5FF_.wvu.PrintArea" localSheetId="13" hidden="1">'6.13'!$B$3:$AE$36</definedName>
    <definedName name="Z_8FA8B620_C56C_11DB_A857_00055D5FD5FF_.wvu.PrintArea" localSheetId="14" hidden="1">'6.16'!$B$3:$AE$36</definedName>
    <definedName name="Z_8FA8B620_C56C_11DB_A857_00055D5FD5FF_.wvu.PrintArea" localSheetId="15" hidden="1">'6.17'!$B$3:$AE$36</definedName>
    <definedName name="Z_8FA8B620_C56C_11DB_A857_00055D5FD5FF_.wvu.PrintArea" localSheetId="16" hidden="1">'6.18'!$B$3:$AE$36</definedName>
    <definedName name="Z_8FA8B620_C56C_11DB_A857_00055D5FD5FF_.wvu.PrintArea" localSheetId="17" hidden="1">'6.19'!$B$3:$AE$36</definedName>
    <definedName name="Z_8FA8B620_C56C_11DB_A857_00055D5FD5FF_.wvu.PrintArea" localSheetId="4" hidden="1">'6.2'!$B$3:$AE$36</definedName>
    <definedName name="Z_8FA8B620_C56C_11DB_A857_00055D5FD5FF_.wvu.PrintArea" localSheetId="18" hidden="1">'6.20'!$B$3:$AE$36</definedName>
    <definedName name="Z_8FA8B620_C56C_11DB_A857_00055D5FD5FF_.wvu.PrintArea" localSheetId="19" hidden="1">'6.23'!$B$3:$AE$36</definedName>
    <definedName name="Z_8FA8B620_C56C_11DB_A857_00055D5FD5FF_.wvu.PrintArea" localSheetId="20" hidden="1">'6.24'!$B$3:$AE$36</definedName>
    <definedName name="Z_8FA8B620_C56C_11DB_A857_00055D5FD5FF_.wvu.PrintArea" localSheetId="21" hidden="1">'6.25'!$B$3:$AE$36</definedName>
    <definedName name="Z_8FA8B620_C56C_11DB_A857_00055D5FD5FF_.wvu.PrintArea" localSheetId="22" hidden="1">'6.26'!$B$3:$AE$36</definedName>
    <definedName name="Z_8FA8B620_C56C_11DB_A857_00055D5FD5FF_.wvu.PrintArea" localSheetId="23" hidden="1">'6.27'!$B$3:$AE$36</definedName>
    <definedName name="Z_8FA8B620_C56C_11DB_A857_00055D5FD5FF_.wvu.PrintArea" localSheetId="5" hidden="1">'6.3'!$B$3:$AE$36</definedName>
    <definedName name="Z_8FA8B620_C56C_11DB_A857_00055D5FD5FF_.wvu.PrintArea" localSheetId="24" hidden="1">'6.30'!$B$3:$AE$36</definedName>
    <definedName name="Z_8FA8B620_C56C_11DB_A857_00055D5FD5FF_.wvu.PrintArea" localSheetId="6" hidden="1">'6.4'!$B$3:$AE$36</definedName>
    <definedName name="Z_8FA8B620_C56C_11DB_A857_00055D5FD5FF_.wvu.PrintArea" localSheetId="7" hidden="1">'6.5'!$B$3:$AE$36</definedName>
    <definedName name="Z_8FA8B620_C56C_11DB_A857_00055D5FD5FF_.wvu.PrintArea" localSheetId="8" hidden="1">'6.6'!$B$3:$AE$36</definedName>
    <definedName name="Z_8FA8B620_C56C_11DB_A857_00055D5FD5FF_.wvu.PrintArea" localSheetId="9" hidden="1">'6.9'!$B$3:$AE$36</definedName>
    <definedName name="Z_A3DB5619_047E_4CE2_8C39_700CFD25F2CB_.wvu.PrintArea" localSheetId="2" hidden="1">'5.29'!$B$3:$AE$36</definedName>
    <definedName name="Z_A3DB5619_047E_4CE2_8C39_700CFD25F2CB_.wvu.PrintArea" localSheetId="3" hidden="1">'6.1'!$B$3:$AE$36</definedName>
    <definedName name="Z_A3DB5619_047E_4CE2_8C39_700CFD25F2CB_.wvu.PrintArea" localSheetId="10" hidden="1">'6.10'!$B$3:$AE$36</definedName>
    <definedName name="Z_A3DB5619_047E_4CE2_8C39_700CFD25F2CB_.wvu.PrintArea" localSheetId="11" hidden="1">'6.11'!$B$3:$AE$36</definedName>
    <definedName name="Z_A3DB5619_047E_4CE2_8C39_700CFD25F2CB_.wvu.PrintArea" localSheetId="12" hidden="1">'6.12'!$B$3:$AE$36</definedName>
    <definedName name="Z_A3DB5619_047E_4CE2_8C39_700CFD25F2CB_.wvu.PrintArea" localSheetId="13" hidden="1">'6.13'!$B$3:$AE$36</definedName>
    <definedName name="Z_A3DB5619_047E_4CE2_8C39_700CFD25F2CB_.wvu.PrintArea" localSheetId="14" hidden="1">'6.16'!$B$3:$AE$36</definedName>
    <definedName name="Z_A3DB5619_047E_4CE2_8C39_700CFD25F2CB_.wvu.PrintArea" localSheetId="15" hidden="1">'6.17'!$B$3:$AE$36</definedName>
    <definedName name="Z_A3DB5619_047E_4CE2_8C39_700CFD25F2CB_.wvu.PrintArea" localSheetId="16" hidden="1">'6.18'!$B$3:$AE$36</definedName>
    <definedName name="Z_A3DB5619_047E_4CE2_8C39_700CFD25F2CB_.wvu.PrintArea" localSheetId="17" hidden="1">'6.19'!$B$3:$AE$36</definedName>
    <definedName name="Z_A3DB5619_047E_4CE2_8C39_700CFD25F2CB_.wvu.PrintArea" localSheetId="4" hidden="1">'6.2'!$B$3:$AE$36</definedName>
    <definedName name="Z_A3DB5619_047E_4CE2_8C39_700CFD25F2CB_.wvu.PrintArea" localSheetId="18" hidden="1">'6.20'!$B$3:$AE$36</definedName>
    <definedName name="Z_A3DB5619_047E_4CE2_8C39_700CFD25F2CB_.wvu.PrintArea" localSheetId="19" hidden="1">'6.23'!$B$3:$AE$36</definedName>
    <definedName name="Z_A3DB5619_047E_4CE2_8C39_700CFD25F2CB_.wvu.PrintArea" localSheetId="20" hidden="1">'6.24'!$B$3:$AE$36</definedName>
    <definedName name="Z_A3DB5619_047E_4CE2_8C39_700CFD25F2CB_.wvu.PrintArea" localSheetId="21" hidden="1">'6.25'!$B$3:$AE$36</definedName>
    <definedName name="Z_A3DB5619_047E_4CE2_8C39_700CFD25F2CB_.wvu.PrintArea" localSheetId="22" hidden="1">'6.26'!$B$3:$AE$36</definedName>
    <definedName name="Z_A3DB5619_047E_4CE2_8C39_700CFD25F2CB_.wvu.PrintArea" localSheetId="23" hidden="1">'6.27'!$B$3:$AE$36</definedName>
    <definedName name="Z_A3DB5619_047E_4CE2_8C39_700CFD25F2CB_.wvu.PrintArea" localSheetId="5" hidden="1">'6.3'!$B$3:$AE$36</definedName>
    <definedName name="Z_A3DB5619_047E_4CE2_8C39_700CFD25F2CB_.wvu.PrintArea" localSheetId="24" hidden="1">'6.30'!$B$3:$AE$36</definedName>
    <definedName name="Z_A3DB5619_047E_4CE2_8C39_700CFD25F2CB_.wvu.PrintArea" localSheetId="6" hidden="1">'6.4'!$B$3:$AE$36</definedName>
    <definedName name="Z_A3DB5619_047E_4CE2_8C39_700CFD25F2CB_.wvu.PrintArea" localSheetId="7" hidden="1">'6.5'!$B$3:$AE$36</definedName>
    <definedName name="Z_A3DB5619_047E_4CE2_8C39_700CFD25F2CB_.wvu.PrintArea" localSheetId="8" hidden="1">'6.6'!$B$3:$AE$36</definedName>
    <definedName name="Z_A3DB5619_047E_4CE2_8C39_700CFD25F2CB_.wvu.PrintArea" localSheetId="9" hidden="1">'6.9'!$B$3:$AE$36</definedName>
    <definedName name="Z_D903F940_B812_11DB_B168_0010B575B8B2_.wvu.PrintArea" localSheetId="2" hidden="1">'5.29'!$B$3:$AE$36</definedName>
    <definedName name="Z_D903F940_B812_11DB_B168_0010B575B8B2_.wvu.PrintArea" localSheetId="3" hidden="1">'6.1'!$B$3:$AE$36</definedName>
    <definedName name="Z_D903F940_B812_11DB_B168_0010B575B8B2_.wvu.PrintArea" localSheetId="10" hidden="1">'6.10'!$B$3:$AE$36</definedName>
    <definedName name="Z_D903F940_B812_11DB_B168_0010B575B8B2_.wvu.PrintArea" localSheetId="11" hidden="1">'6.11'!$B$3:$AE$36</definedName>
    <definedName name="Z_D903F940_B812_11DB_B168_0010B575B8B2_.wvu.PrintArea" localSheetId="12" hidden="1">'6.12'!$B$3:$AE$36</definedName>
    <definedName name="Z_D903F940_B812_11DB_B168_0010B575B8B2_.wvu.PrintArea" localSheetId="13" hidden="1">'6.13'!$B$3:$AE$36</definedName>
    <definedName name="Z_D903F940_B812_11DB_B168_0010B575B8B2_.wvu.PrintArea" localSheetId="14" hidden="1">'6.16'!$B$3:$AE$36</definedName>
    <definedName name="Z_D903F940_B812_11DB_B168_0010B575B8B2_.wvu.PrintArea" localSheetId="15" hidden="1">'6.17'!$B$3:$AE$36</definedName>
    <definedName name="Z_D903F940_B812_11DB_B168_0010B575B8B2_.wvu.PrintArea" localSheetId="16" hidden="1">'6.18'!$B$3:$AE$36</definedName>
    <definedName name="Z_D903F940_B812_11DB_B168_0010B575B8B2_.wvu.PrintArea" localSheetId="17" hidden="1">'6.19'!$B$3:$AE$36</definedName>
    <definedName name="Z_D903F940_B812_11DB_B168_0010B575B8B2_.wvu.PrintArea" localSheetId="4" hidden="1">'6.2'!$B$3:$AE$36</definedName>
    <definedName name="Z_D903F940_B812_11DB_B168_0010B575B8B2_.wvu.PrintArea" localSheetId="18" hidden="1">'6.20'!$B$3:$AE$36</definedName>
    <definedName name="Z_D903F940_B812_11DB_B168_0010B575B8B2_.wvu.PrintArea" localSheetId="19" hidden="1">'6.23'!$B$3:$AE$36</definedName>
    <definedName name="Z_D903F940_B812_11DB_B168_0010B575B8B2_.wvu.PrintArea" localSheetId="20" hidden="1">'6.24'!$B$3:$AE$36</definedName>
    <definedName name="Z_D903F940_B812_11DB_B168_0010B575B8B2_.wvu.PrintArea" localSheetId="21" hidden="1">'6.25'!$B$3:$AE$36</definedName>
    <definedName name="Z_D903F940_B812_11DB_B168_0010B575B8B2_.wvu.PrintArea" localSheetId="22" hidden="1">'6.26'!$B$3:$AE$36</definedName>
    <definedName name="Z_D903F940_B812_11DB_B168_0010B575B8B2_.wvu.PrintArea" localSheetId="23" hidden="1">'6.27'!$B$3:$AE$36</definedName>
    <definedName name="Z_D903F940_B812_11DB_B168_0010B575B8B2_.wvu.PrintArea" localSheetId="5" hidden="1">'6.3'!$B$3:$AE$36</definedName>
    <definedName name="Z_D903F940_B812_11DB_B168_0010B575B8B2_.wvu.PrintArea" localSheetId="24" hidden="1">'6.30'!$B$3:$AE$36</definedName>
    <definedName name="Z_D903F940_B812_11DB_B168_0010B575B8B2_.wvu.PrintArea" localSheetId="6" hidden="1">'6.4'!$B$3:$AE$36</definedName>
    <definedName name="Z_D903F940_B812_11DB_B168_0010B575B8B2_.wvu.PrintArea" localSheetId="7" hidden="1">'6.5'!$B$3:$AE$36</definedName>
    <definedName name="Z_D903F940_B812_11DB_B168_0010B575B8B2_.wvu.PrintArea" localSheetId="8" hidden="1">'6.6'!$B$3:$AE$36</definedName>
    <definedName name="Z_D903F940_B812_11DB_B168_0010B575B8B2_.wvu.PrintArea" localSheetId="9" hidden="1">'6.9'!$B$3:$AE$36</definedName>
    <definedName name="取樣回收每月庫存表" localSheetId="2" hidden="1">'5.29'!#REF!</definedName>
    <definedName name="取樣回收每月庫存表" localSheetId="3" hidden="1">'6.1'!#REF!</definedName>
    <definedName name="取樣回收每月庫存表" localSheetId="10" hidden="1">'6.10'!#REF!</definedName>
    <definedName name="取樣回收每月庫存表" localSheetId="11" hidden="1">'6.11'!#REF!</definedName>
    <definedName name="取樣回收每月庫存表" localSheetId="12" hidden="1">'6.12'!#REF!</definedName>
    <definedName name="取樣回收每月庫存表" localSheetId="13" hidden="1">'6.13'!#REF!</definedName>
    <definedName name="取樣回收每月庫存表" localSheetId="14" hidden="1">'6.16'!#REF!</definedName>
    <definedName name="取樣回收每月庫存表" localSheetId="15" hidden="1">'6.17'!#REF!</definedName>
    <definedName name="取樣回收每月庫存表" localSheetId="16" hidden="1">'6.18'!#REF!</definedName>
    <definedName name="取樣回收每月庫存表" localSheetId="17" hidden="1">'6.19'!#REF!</definedName>
    <definedName name="取樣回收每月庫存表" localSheetId="4" hidden="1">'6.2'!#REF!</definedName>
    <definedName name="取樣回收每月庫存表" localSheetId="18" hidden="1">'6.20'!#REF!</definedName>
    <definedName name="取樣回收每月庫存表" localSheetId="19" hidden="1">'6.23'!#REF!</definedName>
    <definedName name="取樣回收每月庫存表" localSheetId="20" hidden="1">'6.24'!#REF!</definedName>
    <definedName name="取樣回收每月庫存表" localSheetId="21" hidden="1">'6.25'!#REF!</definedName>
    <definedName name="取樣回收每月庫存表" localSheetId="22" hidden="1">'6.26'!#REF!</definedName>
    <definedName name="取樣回收每月庫存表" localSheetId="23" hidden="1">'6.27'!#REF!</definedName>
    <definedName name="取樣回收每月庫存表" localSheetId="5" hidden="1">'6.3'!#REF!</definedName>
    <definedName name="取樣回收每月庫存表" localSheetId="24" hidden="1">'6.30'!#REF!</definedName>
    <definedName name="取樣回收每月庫存表" localSheetId="6" hidden="1">'6.4'!#REF!</definedName>
    <definedName name="取樣回收每月庫存表" localSheetId="7" hidden="1">'6.5'!#REF!</definedName>
    <definedName name="取樣回收每月庫存表" localSheetId="8" hidden="1">'6.6'!#REF!</definedName>
    <definedName name="取樣回收每月庫存表" localSheetId="9" hidden="1">'6.9'!#REF!</definedName>
    <definedName name="取樣回收每月庫存表_0620更新" localSheetId="2" hidden="1">'5.29'!$AG$13:$BH$189</definedName>
    <definedName name="取樣回收每月庫存表_0620更新" localSheetId="3" hidden="1">'6.1'!$AG$13:$BH$189</definedName>
    <definedName name="取樣回收每月庫存表_0620更新" localSheetId="10" hidden="1">'6.10'!$AG$13:$BH$189</definedName>
    <definedName name="取樣回收每月庫存表_0620更新" localSheetId="11" hidden="1">'6.11'!$AG$13:$BH$189</definedName>
    <definedName name="取樣回收每月庫存表_0620更新" localSheetId="12" hidden="1">'6.12'!$AG$13:$BH$189</definedName>
    <definedName name="取樣回收每月庫存表_0620更新" localSheetId="13" hidden="1">'6.13'!$AG$13:$BH$189</definedName>
    <definedName name="取樣回收每月庫存表_0620更新" localSheetId="14" hidden="1">'6.16'!$AG$13:$BH$189</definedName>
    <definedName name="取樣回收每月庫存表_0620更新" localSheetId="15" hidden="1">'6.17'!$AG$13:$BH$189</definedName>
    <definedName name="取樣回收每月庫存表_0620更新" localSheetId="16" hidden="1">'6.18'!$AG$13:$BH$189</definedName>
    <definedName name="取樣回收每月庫存表_0620更新" localSheetId="17" hidden="1">'6.19'!$AG$13:$BH$189</definedName>
    <definedName name="取樣回收每月庫存表_0620更新" localSheetId="4" hidden="1">'6.2'!$AG$13:$BH$189</definedName>
    <definedName name="取樣回收每月庫存表_0620更新" localSheetId="18" hidden="1">'6.20'!$AG$13:$BH$189</definedName>
    <definedName name="取樣回收每月庫存表_0620更新" localSheetId="19" hidden="1">'6.23'!$AG$13:$BH$189</definedName>
    <definedName name="取樣回收每月庫存表_0620更新" localSheetId="20" hidden="1">'6.24'!$AG$13:$BH$189</definedName>
    <definedName name="取樣回收每月庫存表_0620更新" localSheetId="21" hidden="1">'6.25'!$AG$13:$BH$189</definedName>
    <definedName name="取樣回收每月庫存表_0620更新" localSheetId="22" hidden="1">'6.26'!$AG$13:$BH$189</definedName>
    <definedName name="取樣回收每月庫存表_0620更新" localSheetId="23" hidden="1">'6.27'!$AG$13:$BH$189</definedName>
    <definedName name="取樣回收每月庫存表_0620更新" localSheetId="5" hidden="1">'6.3'!$AG$13:$BH$189</definedName>
    <definedName name="取樣回收每月庫存表_0620更新" localSheetId="24" hidden="1">'6.30'!$AG$13:$BH$189</definedName>
    <definedName name="取樣回收每月庫存表_0620更新" localSheetId="6" hidden="1">'6.4'!$AG$13:$BH$189</definedName>
    <definedName name="取樣回收每月庫存表_0620更新" localSheetId="7" hidden="1">'6.5'!$AG$13:$BH$189</definedName>
    <definedName name="取樣回收每月庫存表_0620更新" localSheetId="8" hidden="1">'6.6'!$AG$13:$BH$189</definedName>
    <definedName name="取樣回收每月庫存表_0620更新" localSheetId="9" hidden="1">'6.9'!$AG$13:$BH$189</definedName>
    <definedName name="複本_14_取樣回收每月庫存表" localSheetId="2" hidden="1">'5.29'!#REF!</definedName>
    <definedName name="複本_14_取樣回收每月庫存表" localSheetId="3" hidden="1">'6.1'!#REF!</definedName>
    <definedName name="複本_14_取樣回收每月庫存表" localSheetId="10" hidden="1">'6.10'!#REF!</definedName>
    <definedName name="複本_14_取樣回收每月庫存表" localSheetId="11" hidden="1">'6.11'!#REF!</definedName>
    <definedName name="複本_14_取樣回收每月庫存表" localSheetId="12" hidden="1">'6.12'!#REF!</definedName>
    <definedName name="複本_14_取樣回收每月庫存表" localSheetId="13" hidden="1">'6.13'!#REF!</definedName>
    <definedName name="複本_14_取樣回收每月庫存表" localSheetId="14" hidden="1">'6.16'!#REF!</definedName>
    <definedName name="複本_14_取樣回收每月庫存表" localSheetId="15" hidden="1">'6.17'!#REF!</definedName>
    <definedName name="複本_14_取樣回收每月庫存表" localSheetId="16" hidden="1">'6.18'!#REF!</definedName>
    <definedName name="複本_14_取樣回收每月庫存表" localSheetId="17" hidden="1">'6.19'!#REF!</definedName>
    <definedName name="複本_14_取樣回收每月庫存表" localSheetId="4" hidden="1">'6.2'!#REF!</definedName>
    <definedName name="複本_14_取樣回收每月庫存表" localSheetId="18" hidden="1">'6.20'!#REF!</definedName>
    <definedName name="複本_14_取樣回收每月庫存表" localSheetId="19" hidden="1">'6.23'!#REF!</definedName>
    <definedName name="複本_14_取樣回收每月庫存表" localSheetId="20" hidden="1">'6.24'!#REF!</definedName>
    <definedName name="複本_14_取樣回收每月庫存表" localSheetId="21" hidden="1">'6.25'!#REF!</definedName>
    <definedName name="複本_14_取樣回收每月庫存表" localSheetId="22" hidden="1">'6.26'!#REF!</definedName>
    <definedName name="複本_14_取樣回收每月庫存表" localSheetId="23" hidden="1">'6.27'!#REF!</definedName>
    <definedName name="複本_14_取樣回收每月庫存表" localSheetId="5" hidden="1">'6.3'!#REF!</definedName>
    <definedName name="複本_14_取樣回收每月庫存表" localSheetId="24" hidden="1">'6.30'!#REF!</definedName>
    <definedName name="複本_14_取樣回收每月庫存表" localSheetId="6" hidden="1">'6.4'!#REF!</definedName>
    <definedName name="複本_14_取樣回收每月庫存表" localSheetId="7" hidden="1">'6.5'!#REF!</definedName>
    <definedName name="複本_14_取樣回收每月庫存表" localSheetId="8" hidden="1">'6.6'!#REF!</definedName>
    <definedName name="複本_14_取樣回收每月庫存表" localSheetId="9" hidden="1">'6.9'!#REF!</definedName>
  </definedNames>
  <calcPr calcId="162913"/>
</workbook>
</file>

<file path=xl/calcChain.xml><?xml version="1.0" encoding="utf-8"?>
<calcChain xmlns="http://schemas.openxmlformats.org/spreadsheetml/2006/main">
  <c r="AA33" i="1921" l="1"/>
  <c r="X33" i="1921"/>
  <c r="U33" i="1921"/>
  <c r="R33" i="1921"/>
  <c r="O33" i="1921"/>
  <c r="L33" i="1921"/>
  <c r="F33" i="1921"/>
  <c r="Y28" i="1921"/>
  <c r="X28" i="1921"/>
  <c r="W28" i="1921"/>
  <c r="V28" i="1921"/>
  <c r="U28" i="1921"/>
  <c r="T28" i="1921"/>
  <c r="S28" i="1921"/>
  <c r="R28" i="1921"/>
  <c r="Q28" i="1921"/>
  <c r="P28" i="1921"/>
  <c r="O28" i="1921"/>
  <c r="N28" i="1921"/>
  <c r="M28" i="1921"/>
  <c r="L28" i="1921"/>
  <c r="K28" i="1921"/>
  <c r="J28" i="1921"/>
  <c r="I28" i="1921"/>
  <c r="H28" i="1921"/>
  <c r="G28" i="1921"/>
  <c r="F28" i="1921"/>
  <c r="E28" i="1921"/>
  <c r="D28" i="1921"/>
  <c r="Y25" i="1921"/>
  <c r="X25" i="1921"/>
  <c r="W25" i="1921"/>
  <c r="V25" i="1921"/>
  <c r="U25" i="1921"/>
  <c r="T25" i="1921"/>
  <c r="S25" i="1921"/>
  <c r="R25" i="1921"/>
  <c r="Q25" i="1921"/>
  <c r="P25" i="1921"/>
  <c r="O25" i="1921"/>
  <c r="N25" i="1921"/>
  <c r="M25" i="1921"/>
  <c r="L25" i="1921"/>
  <c r="K25" i="1921"/>
  <c r="J25" i="1921"/>
  <c r="I25" i="1921"/>
  <c r="H25" i="1921"/>
  <c r="G25" i="1921"/>
  <c r="F25" i="1921"/>
  <c r="E25" i="1921"/>
  <c r="D25" i="1921"/>
  <c r="AE19" i="1921"/>
  <c r="AD19" i="1921"/>
  <c r="AC19" i="1921"/>
  <c r="AB19" i="1921"/>
  <c r="AA19" i="1921"/>
  <c r="Z19" i="1921"/>
  <c r="Y19" i="1921"/>
  <c r="X19" i="1921"/>
  <c r="T33" i="1921" s="1"/>
  <c r="W19" i="1921"/>
  <c r="V19" i="1921"/>
  <c r="U19" i="1921"/>
  <c r="T19" i="1921"/>
  <c r="S19" i="1921"/>
  <c r="R19" i="1921"/>
  <c r="Q19" i="1921"/>
  <c r="P19" i="1921"/>
  <c r="O19" i="1921"/>
  <c r="N19" i="1921"/>
  <c r="H33" i="1921" s="1"/>
  <c r="M19" i="1921"/>
  <c r="L19" i="1921"/>
  <c r="P33" i="1921" s="1"/>
  <c r="K19" i="1921"/>
  <c r="J19" i="1921"/>
  <c r="I19" i="1921"/>
  <c r="AB33" i="1921" s="1"/>
  <c r="H19" i="1921"/>
  <c r="G19" i="1921"/>
  <c r="F19" i="1921"/>
  <c r="E19" i="1921"/>
  <c r="D19" i="1921"/>
  <c r="AE16" i="1921"/>
  <c r="AD16" i="1921"/>
  <c r="AC16" i="1921"/>
  <c r="AB16" i="1921"/>
  <c r="AA16" i="1921"/>
  <c r="Z16" i="1921"/>
  <c r="X16" i="1921"/>
  <c r="W16" i="1921"/>
  <c r="V16" i="1921"/>
  <c r="U16" i="1921"/>
  <c r="T16" i="1921"/>
  <c r="S16" i="1921"/>
  <c r="R16" i="1921"/>
  <c r="Q16" i="1921"/>
  <c r="P16" i="1921"/>
  <c r="O16" i="1921"/>
  <c r="N16" i="1921"/>
  <c r="M16" i="1921"/>
  <c r="L16" i="1921"/>
  <c r="K16" i="1921"/>
  <c r="J16" i="1921"/>
  <c r="I16" i="1921"/>
  <c r="H16" i="1921"/>
  <c r="G16" i="1921"/>
  <c r="F16" i="1921"/>
  <c r="E16" i="1921"/>
  <c r="D16" i="1921"/>
  <c r="AE10" i="1921"/>
  <c r="AD10" i="1921"/>
  <c r="AC33" i="1921" s="1"/>
  <c r="AC10" i="1921"/>
  <c r="AB10" i="1921"/>
  <c r="AA10" i="1921"/>
  <c r="Z10" i="1921"/>
  <c r="Y10" i="1921"/>
  <c r="X10" i="1921"/>
  <c r="W10" i="1921"/>
  <c r="V10" i="1921"/>
  <c r="U10" i="1921"/>
  <c r="T10" i="1921"/>
  <c r="S10" i="1921"/>
  <c r="R10" i="1921"/>
  <c r="Q10" i="1921"/>
  <c r="P10" i="1921"/>
  <c r="O10" i="1921"/>
  <c r="N10" i="1921"/>
  <c r="Q33" i="1921" s="1"/>
  <c r="M10" i="1921"/>
  <c r="E33" i="1921" s="1"/>
  <c r="L10" i="1921"/>
  <c r="K10" i="1921"/>
  <c r="J10" i="1921"/>
  <c r="I10" i="1921"/>
  <c r="H10" i="1921"/>
  <c r="G10" i="1921"/>
  <c r="F10" i="1921"/>
  <c r="J33" i="1921" s="1"/>
  <c r="E10" i="1921"/>
  <c r="S33" i="1921" s="1"/>
  <c r="D10" i="1921"/>
  <c r="AE7" i="1921"/>
  <c r="AD7" i="1921"/>
  <c r="AC7" i="1921"/>
  <c r="AB7" i="1921"/>
  <c r="AA7" i="1921"/>
  <c r="Z7" i="1921"/>
  <c r="Y7" i="1921"/>
  <c r="X7" i="1921"/>
  <c r="W7" i="1921"/>
  <c r="V7" i="1921"/>
  <c r="U7" i="1921"/>
  <c r="T7" i="1921"/>
  <c r="S7" i="1921"/>
  <c r="R7" i="1921"/>
  <c r="Q7" i="1921"/>
  <c r="P7" i="1921"/>
  <c r="O7" i="1921"/>
  <c r="N7" i="1921"/>
  <c r="M7" i="1921"/>
  <c r="L7" i="1921"/>
  <c r="K7" i="1921"/>
  <c r="J7" i="1921"/>
  <c r="I7" i="1921"/>
  <c r="H7" i="1921"/>
  <c r="G7" i="1921"/>
  <c r="F7" i="1921"/>
  <c r="E7" i="1921"/>
  <c r="D7" i="1921"/>
  <c r="W33" i="1921" l="1"/>
  <c r="Z33" i="1921"/>
  <c r="D33" i="1921"/>
  <c r="Y33" i="1921"/>
  <c r="N33" i="1921"/>
  <c r="K33" i="1921"/>
  <c r="M33" i="1921"/>
  <c r="V33" i="1921"/>
  <c r="AA33" i="1920"/>
  <c r="X33" i="1920"/>
  <c r="U33" i="1920"/>
  <c r="R33" i="1920"/>
  <c r="O33" i="1920"/>
  <c r="L33" i="1920"/>
  <c r="F33" i="1920"/>
  <c r="Y28" i="1920"/>
  <c r="X28" i="1920"/>
  <c r="W28" i="1920"/>
  <c r="V28" i="1920"/>
  <c r="U28" i="1920"/>
  <c r="T28" i="1920"/>
  <c r="S28" i="1920"/>
  <c r="R28" i="1920"/>
  <c r="Q28" i="1920"/>
  <c r="P28" i="1920"/>
  <c r="O28" i="1920"/>
  <c r="N28" i="1920"/>
  <c r="M28" i="1920"/>
  <c r="L28" i="1920"/>
  <c r="K28" i="1920"/>
  <c r="J28" i="1920"/>
  <c r="I28" i="1920"/>
  <c r="H28" i="1920"/>
  <c r="G28" i="1920"/>
  <c r="F28" i="1920"/>
  <c r="E28" i="1920"/>
  <c r="D28" i="1920"/>
  <c r="Y25" i="1920"/>
  <c r="X25" i="1920"/>
  <c r="W25" i="1920"/>
  <c r="V25" i="1920"/>
  <c r="U25" i="1920"/>
  <c r="T25" i="1920"/>
  <c r="S25" i="1920"/>
  <c r="R25" i="1920"/>
  <c r="Q25" i="1920"/>
  <c r="P25" i="1920"/>
  <c r="O25" i="1920"/>
  <c r="N25" i="1920"/>
  <c r="M25" i="1920"/>
  <c r="L25" i="1920"/>
  <c r="K25" i="1920"/>
  <c r="J25" i="1920"/>
  <c r="I25" i="1920"/>
  <c r="H25" i="1920"/>
  <c r="G25" i="1920"/>
  <c r="F25" i="1920"/>
  <c r="E25" i="1920"/>
  <c r="D25" i="1920"/>
  <c r="AE19" i="1920"/>
  <c r="AD19" i="1920"/>
  <c r="AC19" i="1920"/>
  <c r="AB19" i="1920"/>
  <c r="AA19" i="1920"/>
  <c r="Z19" i="1920"/>
  <c r="Y19" i="1920"/>
  <c r="X19" i="1920"/>
  <c r="T33" i="1920" s="1"/>
  <c r="W19" i="1920"/>
  <c r="V19" i="1920"/>
  <c r="U19" i="1920"/>
  <c r="T19" i="1920"/>
  <c r="S19" i="1920"/>
  <c r="R19" i="1920"/>
  <c r="Q19" i="1920"/>
  <c r="P19" i="1920"/>
  <c r="O19" i="1920"/>
  <c r="N19" i="1920"/>
  <c r="H33" i="1920" s="1"/>
  <c r="M19" i="1920"/>
  <c r="L19" i="1920"/>
  <c r="P33" i="1920" s="1"/>
  <c r="K19" i="1920"/>
  <c r="J19" i="1920"/>
  <c r="I19" i="1920"/>
  <c r="AB33" i="1920" s="1"/>
  <c r="H19" i="1920"/>
  <c r="G19" i="1920"/>
  <c r="F19" i="1920"/>
  <c r="E19" i="1920"/>
  <c r="D19" i="1920"/>
  <c r="AE16" i="1920"/>
  <c r="AD16" i="1920"/>
  <c r="AC16" i="1920"/>
  <c r="AB16" i="1920"/>
  <c r="AA16" i="1920"/>
  <c r="Z16" i="1920"/>
  <c r="X16" i="1920"/>
  <c r="W16" i="1920"/>
  <c r="V16" i="1920"/>
  <c r="U16" i="1920"/>
  <c r="T16" i="1920"/>
  <c r="S16" i="1920"/>
  <c r="R16" i="1920"/>
  <c r="Q16" i="1920"/>
  <c r="P16" i="1920"/>
  <c r="O16" i="1920"/>
  <c r="N16" i="1920"/>
  <c r="M16" i="1920"/>
  <c r="L16" i="1920"/>
  <c r="K16" i="1920"/>
  <c r="J16" i="1920"/>
  <c r="I16" i="1920"/>
  <c r="H16" i="1920"/>
  <c r="G16" i="1920"/>
  <c r="F16" i="1920"/>
  <c r="E16" i="1920"/>
  <c r="D16" i="1920"/>
  <c r="AE10" i="1920"/>
  <c r="AD10" i="1920"/>
  <c r="AC33" i="1920" s="1"/>
  <c r="AC10" i="1920"/>
  <c r="AB10" i="1920"/>
  <c r="AA10" i="1920"/>
  <c r="Z10" i="1920"/>
  <c r="Y10" i="1920"/>
  <c r="X10" i="1920"/>
  <c r="W10" i="1920"/>
  <c r="V10" i="1920"/>
  <c r="U10" i="1920"/>
  <c r="T10" i="1920"/>
  <c r="S10" i="1920"/>
  <c r="R10" i="1920"/>
  <c r="Q10" i="1920"/>
  <c r="P10" i="1920"/>
  <c r="O10" i="1920"/>
  <c r="N10" i="1920"/>
  <c r="Q33" i="1920" s="1"/>
  <c r="M10" i="1920"/>
  <c r="E33" i="1920" s="1"/>
  <c r="L10" i="1920"/>
  <c r="N33" i="1920" s="1"/>
  <c r="K10" i="1920"/>
  <c r="J10" i="1920"/>
  <c r="I10" i="1920"/>
  <c r="H10" i="1920"/>
  <c r="G10" i="1920"/>
  <c r="F10" i="1920"/>
  <c r="J33" i="1920" s="1"/>
  <c r="E10" i="1920"/>
  <c r="S33" i="1920" s="1"/>
  <c r="D10" i="1920"/>
  <c r="AE7" i="1920"/>
  <c r="AD7" i="1920"/>
  <c r="AC7" i="1920"/>
  <c r="AB7" i="1920"/>
  <c r="AA7" i="1920"/>
  <c r="Z7" i="1920"/>
  <c r="Y7" i="1920"/>
  <c r="X7" i="1920"/>
  <c r="W7" i="1920"/>
  <c r="V7" i="1920"/>
  <c r="U7" i="1920"/>
  <c r="T7" i="1920"/>
  <c r="S7" i="1920"/>
  <c r="R7" i="1920"/>
  <c r="Q7" i="1920"/>
  <c r="P7" i="1920"/>
  <c r="O7" i="1920"/>
  <c r="N7" i="1920"/>
  <c r="M7" i="1920"/>
  <c r="L7" i="1920"/>
  <c r="K7" i="1920"/>
  <c r="J7" i="1920"/>
  <c r="I7" i="1920"/>
  <c r="H7" i="1920"/>
  <c r="G7" i="1920"/>
  <c r="F7" i="1920"/>
  <c r="E7" i="1920"/>
  <c r="D7" i="1920"/>
  <c r="W33" i="1920" l="1"/>
  <c r="D33" i="1920"/>
  <c r="Z33" i="1920"/>
  <c r="Y33" i="1920"/>
  <c r="K33" i="1920"/>
  <c r="M33" i="1920"/>
  <c r="V33" i="1920"/>
  <c r="AA33" i="1919"/>
  <c r="X33" i="1919"/>
  <c r="U33" i="1919"/>
  <c r="R33" i="1919"/>
  <c r="O33" i="1919"/>
  <c r="L33" i="1919"/>
  <c r="F33" i="1919"/>
  <c r="Y28" i="1919"/>
  <c r="X28" i="1919"/>
  <c r="W28" i="1919"/>
  <c r="V28" i="1919"/>
  <c r="U28" i="1919"/>
  <c r="T28" i="1919"/>
  <c r="S28" i="1919"/>
  <c r="R28" i="1919"/>
  <c r="Q28" i="1919"/>
  <c r="P28" i="1919"/>
  <c r="O28" i="1919"/>
  <c r="N28" i="1919"/>
  <c r="M28" i="1919"/>
  <c r="L28" i="1919"/>
  <c r="K28" i="1919"/>
  <c r="J28" i="1919"/>
  <c r="I28" i="1919"/>
  <c r="H28" i="1919"/>
  <c r="G28" i="1919"/>
  <c r="F28" i="1919"/>
  <c r="E28" i="1919"/>
  <c r="D28" i="1919"/>
  <c r="Y25" i="1919"/>
  <c r="X25" i="1919"/>
  <c r="W25" i="1919"/>
  <c r="V25" i="1919"/>
  <c r="U25" i="1919"/>
  <c r="T25" i="1919"/>
  <c r="S25" i="1919"/>
  <c r="R25" i="1919"/>
  <c r="Q25" i="1919"/>
  <c r="P25" i="1919"/>
  <c r="O25" i="1919"/>
  <c r="N25" i="1919"/>
  <c r="M25" i="1919"/>
  <c r="L25" i="1919"/>
  <c r="K25" i="1919"/>
  <c r="J25" i="1919"/>
  <c r="I25" i="1919"/>
  <c r="H25" i="1919"/>
  <c r="G25" i="1919"/>
  <c r="F25" i="1919"/>
  <c r="E25" i="1919"/>
  <c r="D25" i="1919"/>
  <c r="AE19" i="1919"/>
  <c r="AD19" i="1919"/>
  <c r="AC19" i="1919"/>
  <c r="AB19" i="1919"/>
  <c r="AA19" i="1919"/>
  <c r="Z19" i="1919"/>
  <c r="Y19" i="1919"/>
  <c r="X19" i="1919"/>
  <c r="T33" i="1919" s="1"/>
  <c r="W19" i="1919"/>
  <c r="V19" i="1919"/>
  <c r="U19" i="1919"/>
  <c r="T19" i="1919"/>
  <c r="S19" i="1919"/>
  <c r="R19" i="1919"/>
  <c r="Q19" i="1919"/>
  <c r="P19" i="1919"/>
  <c r="O19" i="1919"/>
  <c r="N19" i="1919"/>
  <c r="H33" i="1919" s="1"/>
  <c r="M19" i="1919"/>
  <c r="L19" i="1919"/>
  <c r="P33" i="1919" s="1"/>
  <c r="K19" i="1919"/>
  <c r="J19" i="1919"/>
  <c r="I19" i="1919"/>
  <c r="AB33" i="1919" s="1"/>
  <c r="H19" i="1919"/>
  <c r="G19" i="1919"/>
  <c r="F19" i="1919"/>
  <c r="E19" i="1919"/>
  <c r="D19" i="1919"/>
  <c r="AE16" i="1919"/>
  <c r="AD16" i="1919"/>
  <c r="AC16" i="1919"/>
  <c r="AB16" i="1919"/>
  <c r="AA16" i="1919"/>
  <c r="Z16" i="1919"/>
  <c r="X16" i="1919"/>
  <c r="W16" i="1919"/>
  <c r="V16" i="1919"/>
  <c r="U16" i="1919"/>
  <c r="T16" i="1919"/>
  <c r="S16" i="1919"/>
  <c r="R16" i="1919"/>
  <c r="Q16" i="1919"/>
  <c r="P16" i="1919"/>
  <c r="O16" i="1919"/>
  <c r="N16" i="1919"/>
  <c r="M16" i="1919"/>
  <c r="L16" i="1919"/>
  <c r="K16" i="1919"/>
  <c r="J16" i="1919"/>
  <c r="I16" i="1919"/>
  <c r="H16" i="1919"/>
  <c r="G16" i="1919"/>
  <c r="F16" i="1919"/>
  <c r="E16" i="1919"/>
  <c r="D16" i="1919"/>
  <c r="AE10" i="1919"/>
  <c r="AD10" i="1919"/>
  <c r="AC33" i="1919" s="1"/>
  <c r="AC10" i="1919"/>
  <c r="AB10" i="1919"/>
  <c r="AA10" i="1919"/>
  <c r="Z10" i="1919"/>
  <c r="Y10" i="1919"/>
  <c r="X10" i="1919"/>
  <c r="W10" i="1919"/>
  <c r="V10" i="1919"/>
  <c r="U10" i="1919"/>
  <c r="T10" i="1919"/>
  <c r="S10" i="1919"/>
  <c r="R10" i="1919"/>
  <c r="Q10" i="1919"/>
  <c r="P10" i="1919"/>
  <c r="O10" i="1919"/>
  <c r="N10" i="1919"/>
  <c r="M10" i="1919"/>
  <c r="E33" i="1919" s="1"/>
  <c r="L10" i="1919"/>
  <c r="K10" i="1919"/>
  <c r="J10" i="1919"/>
  <c r="I10" i="1919"/>
  <c r="H10" i="1919"/>
  <c r="G10" i="1919"/>
  <c r="F10" i="1919"/>
  <c r="J33" i="1919" s="1"/>
  <c r="E10" i="1919"/>
  <c r="S33" i="1919" s="1"/>
  <c r="D10" i="1919"/>
  <c r="AE7" i="1919"/>
  <c r="AD7" i="1919"/>
  <c r="AC7" i="1919"/>
  <c r="AB7" i="1919"/>
  <c r="AA7" i="1919"/>
  <c r="Z7" i="1919"/>
  <c r="Y7" i="1919"/>
  <c r="X7" i="1919"/>
  <c r="W7" i="1919"/>
  <c r="V7" i="1919"/>
  <c r="U7" i="1919"/>
  <c r="T7" i="1919"/>
  <c r="S7" i="1919"/>
  <c r="R7" i="1919"/>
  <c r="Q7" i="1919"/>
  <c r="P7" i="1919"/>
  <c r="O7" i="1919"/>
  <c r="N7" i="1919"/>
  <c r="M7" i="1919"/>
  <c r="L7" i="1919"/>
  <c r="K7" i="1919"/>
  <c r="J7" i="1919"/>
  <c r="I7" i="1919"/>
  <c r="H7" i="1919"/>
  <c r="G7" i="1919"/>
  <c r="F7" i="1919"/>
  <c r="E7" i="1919"/>
  <c r="D7" i="1919"/>
  <c r="K33" i="1919" l="1"/>
  <c r="W33" i="1919"/>
  <c r="V33" i="1919"/>
  <c r="D33" i="1919"/>
  <c r="Y33" i="1919"/>
  <c r="Q33" i="1919"/>
  <c r="N33" i="1919"/>
  <c r="M33" i="1919"/>
  <c r="Z33" i="1919"/>
  <c r="AA33" i="1918"/>
  <c r="X33" i="1918"/>
  <c r="U33" i="1918"/>
  <c r="R33" i="1918"/>
  <c r="O33" i="1918"/>
  <c r="L33" i="1918"/>
  <c r="F33" i="1918"/>
  <c r="Y28" i="1918"/>
  <c r="X28" i="1918"/>
  <c r="W28" i="1918"/>
  <c r="V28" i="1918"/>
  <c r="U28" i="1918"/>
  <c r="T28" i="1918"/>
  <c r="S28" i="1918"/>
  <c r="R28" i="1918"/>
  <c r="Q28" i="1918"/>
  <c r="P28" i="1918"/>
  <c r="O28" i="1918"/>
  <c r="N28" i="1918"/>
  <c r="M28" i="1918"/>
  <c r="L28" i="1918"/>
  <c r="K28" i="1918"/>
  <c r="J28" i="1918"/>
  <c r="I28" i="1918"/>
  <c r="H28" i="1918"/>
  <c r="G28" i="1918"/>
  <c r="F28" i="1918"/>
  <c r="E28" i="1918"/>
  <c r="D28" i="1918"/>
  <c r="Y25" i="1918"/>
  <c r="X25" i="1918"/>
  <c r="W25" i="1918"/>
  <c r="V25" i="1918"/>
  <c r="U25" i="1918"/>
  <c r="T25" i="1918"/>
  <c r="S25" i="1918"/>
  <c r="R25" i="1918"/>
  <c r="Q25" i="1918"/>
  <c r="P25" i="1918"/>
  <c r="O25" i="1918"/>
  <c r="N25" i="1918"/>
  <c r="M25" i="1918"/>
  <c r="L25" i="1918"/>
  <c r="K25" i="1918"/>
  <c r="J25" i="1918"/>
  <c r="I25" i="1918"/>
  <c r="H25" i="1918"/>
  <c r="G25" i="1918"/>
  <c r="F25" i="1918"/>
  <c r="E25" i="1918"/>
  <c r="D25" i="1918"/>
  <c r="AE19" i="1918"/>
  <c r="AD19" i="1918"/>
  <c r="AC19" i="1918"/>
  <c r="AB19" i="1918"/>
  <c r="AA19" i="1918"/>
  <c r="Z19" i="1918"/>
  <c r="Y19" i="1918"/>
  <c r="X19" i="1918"/>
  <c r="T33" i="1918" s="1"/>
  <c r="W19" i="1918"/>
  <c r="V19" i="1918"/>
  <c r="U19" i="1918"/>
  <c r="T19" i="1918"/>
  <c r="S19" i="1918"/>
  <c r="R19" i="1918"/>
  <c r="Q19" i="1918"/>
  <c r="P19" i="1918"/>
  <c r="O19" i="1918"/>
  <c r="N19" i="1918"/>
  <c r="H33" i="1918" s="1"/>
  <c r="M19" i="1918"/>
  <c r="L19" i="1918"/>
  <c r="P33" i="1918" s="1"/>
  <c r="K19" i="1918"/>
  <c r="J19" i="1918"/>
  <c r="I19" i="1918"/>
  <c r="AB33" i="1918" s="1"/>
  <c r="H19" i="1918"/>
  <c r="G19" i="1918"/>
  <c r="F19" i="1918"/>
  <c r="E19" i="1918"/>
  <c r="D19" i="1918"/>
  <c r="AE16" i="1918"/>
  <c r="AD16" i="1918"/>
  <c r="AC16" i="1918"/>
  <c r="AB16" i="1918"/>
  <c r="AA16" i="1918"/>
  <c r="Z16" i="1918"/>
  <c r="X16" i="1918"/>
  <c r="W16" i="1918"/>
  <c r="V16" i="1918"/>
  <c r="U16" i="1918"/>
  <c r="T16" i="1918"/>
  <c r="S16" i="1918"/>
  <c r="R16" i="1918"/>
  <c r="Q16" i="1918"/>
  <c r="P16" i="1918"/>
  <c r="O16" i="1918"/>
  <c r="N16" i="1918"/>
  <c r="M16" i="1918"/>
  <c r="L16" i="1918"/>
  <c r="K16" i="1918"/>
  <c r="J16" i="1918"/>
  <c r="I16" i="1918"/>
  <c r="H16" i="1918"/>
  <c r="G16" i="1918"/>
  <c r="F16" i="1918"/>
  <c r="E16" i="1918"/>
  <c r="D16" i="1918"/>
  <c r="AE10" i="1918"/>
  <c r="AD10" i="1918"/>
  <c r="AC33" i="1918" s="1"/>
  <c r="AC10" i="1918"/>
  <c r="AB10" i="1918"/>
  <c r="AA10" i="1918"/>
  <c r="Z10" i="1918"/>
  <c r="Y10" i="1918"/>
  <c r="X10" i="1918"/>
  <c r="W10" i="1918"/>
  <c r="V10" i="1918"/>
  <c r="U10" i="1918"/>
  <c r="T10" i="1918"/>
  <c r="S10" i="1918"/>
  <c r="R10" i="1918"/>
  <c r="Q10" i="1918"/>
  <c r="P10" i="1918"/>
  <c r="O10" i="1918"/>
  <c r="N10" i="1918"/>
  <c r="Q33" i="1918" s="1"/>
  <c r="M10" i="1918"/>
  <c r="L10" i="1918"/>
  <c r="N33" i="1918" s="1"/>
  <c r="K10" i="1918"/>
  <c r="J10" i="1918"/>
  <c r="I10" i="1918"/>
  <c r="H10" i="1918"/>
  <c r="G10" i="1918"/>
  <c r="F10" i="1918"/>
  <c r="J33" i="1918" s="1"/>
  <c r="E10" i="1918"/>
  <c r="S33" i="1918" s="1"/>
  <c r="D10" i="1918"/>
  <c r="AE7" i="1918"/>
  <c r="AD7" i="1918"/>
  <c r="AC7" i="1918"/>
  <c r="AB7" i="1918"/>
  <c r="AA7" i="1918"/>
  <c r="Z7" i="1918"/>
  <c r="Y7" i="1918"/>
  <c r="X7" i="1918"/>
  <c r="W7" i="1918"/>
  <c r="V7" i="1918"/>
  <c r="U7" i="1918"/>
  <c r="T7" i="1918"/>
  <c r="S7" i="1918"/>
  <c r="R7" i="1918"/>
  <c r="Q7" i="1918"/>
  <c r="P7" i="1918"/>
  <c r="O7" i="1918"/>
  <c r="N7" i="1918"/>
  <c r="M7" i="1918"/>
  <c r="L7" i="1918"/>
  <c r="K7" i="1918"/>
  <c r="J7" i="1918"/>
  <c r="I7" i="1918"/>
  <c r="H7" i="1918"/>
  <c r="G7" i="1918"/>
  <c r="F7" i="1918"/>
  <c r="E7" i="1918"/>
  <c r="D7" i="1918"/>
  <c r="K33" i="1918" l="1"/>
  <c r="W33" i="1918"/>
  <c r="Z33" i="1918"/>
  <c r="V33" i="1918"/>
  <c r="D33" i="1918"/>
  <c r="Y33" i="1918"/>
  <c r="E33" i="1918"/>
  <c r="M33" i="1918"/>
  <c r="AA33" i="1917"/>
  <c r="X33" i="1917"/>
  <c r="U33" i="1917"/>
  <c r="R33" i="1917"/>
  <c r="O33" i="1917"/>
  <c r="L33" i="1917"/>
  <c r="F33" i="1917"/>
  <c r="Y28" i="1917"/>
  <c r="X28" i="1917"/>
  <c r="W28" i="1917"/>
  <c r="V28" i="1917"/>
  <c r="U28" i="1917"/>
  <c r="T28" i="1917"/>
  <c r="S28" i="1917"/>
  <c r="R28" i="1917"/>
  <c r="Q28" i="1917"/>
  <c r="P28" i="1917"/>
  <c r="O28" i="1917"/>
  <c r="N28" i="1917"/>
  <c r="M28" i="1917"/>
  <c r="L28" i="1917"/>
  <c r="K28" i="1917"/>
  <c r="J28" i="1917"/>
  <c r="I28" i="1917"/>
  <c r="H28" i="1917"/>
  <c r="G28" i="1917"/>
  <c r="F28" i="1917"/>
  <c r="E28" i="1917"/>
  <c r="D28" i="1917"/>
  <c r="Y25" i="1917"/>
  <c r="X25" i="1917"/>
  <c r="W25" i="1917"/>
  <c r="V25" i="1917"/>
  <c r="U25" i="1917"/>
  <c r="T25" i="1917"/>
  <c r="S25" i="1917"/>
  <c r="R25" i="1917"/>
  <c r="Q25" i="1917"/>
  <c r="P25" i="1917"/>
  <c r="O25" i="1917"/>
  <c r="N25" i="1917"/>
  <c r="M25" i="1917"/>
  <c r="L25" i="1917"/>
  <c r="K25" i="1917"/>
  <c r="J25" i="1917"/>
  <c r="I25" i="1917"/>
  <c r="H25" i="1917"/>
  <c r="G25" i="1917"/>
  <c r="F25" i="1917"/>
  <c r="E25" i="1917"/>
  <c r="D25" i="1917"/>
  <c r="AE19" i="1917"/>
  <c r="AD19" i="1917"/>
  <c r="AC19" i="1917"/>
  <c r="AB19" i="1917"/>
  <c r="AA19" i="1917"/>
  <c r="Z19" i="1917"/>
  <c r="Y19" i="1917"/>
  <c r="X19" i="1917"/>
  <c r="T33" i="1917" s="1"/>
  <c r="W19" i="1917"/>
  <c r="V19" i="1917"/>
  <c r="U19" i="1917"/>
  <c r="T19" i="1917"/>
  <c r="S19" i="1917"/>
  <c r="R19" i="1917"/>
  <c r="Q19" i="1917"/>
  <c r="P19" i="1917"/>
  <c r="O19" i="1917"/>
  <c r="N19" i="1917"/>
  <c r="H33" i="1917" s="1"/>
  <c r="M19" i="1917"/>
  <c r="L19" i="1917"/>
  <c r="P33" i="1917" s="1"/>
  <c r="K19" i="1917"/>
  <c r="J19" i="1917"/>
  <c r="I19" i="1917"/>
  <c r="AB33" i="1917" s="1"/>
  <c r="H19" i="1917"/>
  <c r="G19" i="1917"/>
  <c r="F19" i="1917"/>
  <c r="E19" i="1917"/>
  <c r="D19" i="1917"/>
  <c r="AE16" i="1917"/>
  <c r="AD16" i="1917"/>
  <c r="AC16" i="1917"/>
  <c r="AB16" i="1917"/>
  <c r="AA16" i="1917"/>
  <c r="Z16" i="1917"/>
  <c r="X16" i="1917"/>
  <c r="W16" i="1917"/>
  <c r="V16" i="1917"/>
  <c r="U16" i="1917"/>
  <c r="T16" i="1917"/>
  <c r="S16" i="1917"/>
  <c r="R16" i="1917"/>
  <c r="Q16" i="1917"/>
  <c r="P16" i="1917"/>
  <c r="O16" i="1917"/>
  <c r="N16" i="1917"/>
  <c r="M16" i="1917"/>
  <c r="L16" i="1917"/>
  <c r="K16" i="1917"/>
  <c r="J16" i="1917"/>
  <c r="I16" i="1917"/>
  <c r="H16" i="1917"/>
  <c r="G16" i="1917"/>
  <c r="F16" i="1917"/>
  <c r="E16" i="1917"/>
  <c r="D16" i="1917"/>
  <c r="AE10" i="1917"/>
  <c r="AD10" i="1917"/>
  <c r="AC33" i="1917" s="1"/>
  <c r="AC10" i="1917"/>
  <c r="AB10" i="1917"/>
  <c r="AA10" i="1917"/>
  <c r="Z10" i="1917"/>
  <c r="Y10" i="1917"/>
  <c r="X10" i="1917"/>
  <c r="W10" i="1917"/>
  <c r="V10" i="1917"/>
  <c r="U10" i="1917"/>
  <c r="T10" i="1917"/>
  <c r="S10" i="1917"/>
  <c r="R10" i="1917"/>
  <c r="Q10" i="1917"/>
  <c r="P10" i="1917"/>
  <c r="O10" i="1917"/>
  <c r="N10" i="1917"/>
  <c r="Q33" i="1917" s="1"/>
  <c r="M10" i="1917"/>
  <c r="L10" i="1917"/>
  <c r="N33" i="1917" s="1"/>
  <c r="K10" i="1917"/>
  <c r="J10" i="1917"/>
  <c r="I10" i="1917"/>
  <c r="H10" i="1917"/>
  <c r="G10" i="1917"/>
  <c r="F10" i="1917"/>
  <c r="J33" i="1917" s="1"/>
  <c r="E10" i="1917"/>
  <c r="S33" i="1917" s="1"/>
  <c r="D10" i="1917"/>
  <c r="AE7" i="1917"/>
  <c r="AD7" i="1917"/>
  <c r="AC7" i="1917"/>
  <c r="AB7" i="1917"/>
  <c r="AA7" i="1917"/>
  <c r="Z7" i="1917"/>
  <c r="Y7" i="1917"/>
  <c r="X7" i="1917"/>
  <c r="W7" i="1917"/>
  <c r="V7" i="1917"/>
  <c r="U7" i="1917"/>
  <c r="T7" i="1917"/>
  <c r="S7" i="1917"/>
  <c r="R7" i="1917"/>
  <c r="Q7" i="1917"/>
  <c r="P7" i="1917"/>
  <c r="O7" i="1917"/>
  <c r="N7" i="1917"/>
  <c r="M7" i="1917"/>
  <c r="L7" i="1917"/>
  <c r="K7" i="1917"/>
  <c r="J7" i="1917"/>
  <c r="I7" i="1917"/>
  <c r="H7" i="1917"/>
  <c r="G7" i="1917"/>
  <c r="F7" i="1917"/>
  <c r="E7" i="1917"/>
  <c r="D7" i="1917"/>
  <c r="M33" i="1917" l="1"/>
  <c r="K33" i="1917"/>
  <c r="W33" i="1917"/>
  <c r="Z33" i="1917"/>
  <c r="D33" i="1917"/>
  <c r="Y33" i="1917"/>
  <c r="E33" i="1917"/>
  <c r="V33" i="1917"/>
  <c r="AA33" i="1916"/>
  <c r="X33" i="1916"/>
  <c r="U33" i="1916"/>
  <c r="R33" i="1916"/>
  <c r="O33" i="1916"/>
  <c r="L33" i="1916"/>
  <c r="F33" i="1916"/>
  <c r="Y28" i="1916"/>
  <c r="X28" i="1916"/>
  <c r="W28" i="1916"/>
  <c r="V28" i="1916"/>
  <c r="U28" i="1916"/>
  <c r="T28" i="1916"/>
  <c r="S28" i="1916"/>
  <c r="R28" i="1916"/>
  <c r="Q28" i="1916"/>
  <c r="P28" i="1916"/>
  <c r="O28" i="1916"/>
  <c r="N28" i="1916"/>
  <c r="M28" i="1916"/>
  <c r="L28" i="1916"/>
  <c r="K28" i="1916"/>
  <c r="J28" i="1916"/>
  <c r="I28" i="1916"/>
  <c r="H28" i="1916"/>
  <c r="G28" i="1916"/>
  <c r="F28" i="1916"/>
  <c r="E28" i="1916"/>
  <c r="D28" i="1916"/>
  <c r="Y25" i="1916"/>
  <c r="X25" i="1916"/>
  <c r="W25" i="1916"/>
  <c r="V25" i="1916"/>
  <c r="U25" i="1916"/>
  <c r="T25" i="1916"/>
  <c r="S25" i="1916"/>
  <c r="R25" i="1916"/>
  <c r="Q25" i="1916"/>
  <c r="P25" i="1916"/>
  <c r="O25" i="1916"/>
  <c r="N25" i="1916"/>
  <c r="M25" i="1916"/>
  <c r="L25" i="1916"/>
  <c r="K25" i="1916"/>
  <c r="J25" i="1916"/>
  <c r="I25" i="1916"/>
  <c r="H25" i="1916"/>
  <c r="G25" i="1916"/>
  <c r="F25" i="1916"/>
  <c r="E25" i="1916"/>
  <c r="D25" i="1916"/>
  <c r="AE19" i="1916"/>
  <c r="AD19" i="1916"/>
  <c r="AC19" i="1916"/>
  <c r="AB19" i="1916"/>
  <c r="AA19" i="1916"/>
  <c r="Z19" i="1916"/>
  <c r="Y19" i="1916"/>
  <c r="X19" i="1916"/>
  <c r="T33" i="1916" s="1"/>
  <c r="W19" i="1916"/>
  <c r="V19" i="1916"/>
  <c r="U19" i="1916"/>
  <c r="T19" i="1916"/>
  <c r="S19" i="1916"/>
  <c r="R19" i="1916"/>
  <c r="Q19" i="1916"/>
  <c r="P19" i="1916"/>
  <c r="O19" i="1916"/>
  <c r="N19" i="1916"/>
  <c r="H33" i="1916" s="1"/>
  <c r="M19" i="1916"/>
  <c r="L19" i="1916"/>
  <c r="P33" i="1916" s="1"/>
  <c r="K19" i="1916"/>
  <c r="J19" i="1916"/>
  <c r="I19" i="1916"/>
  <c r="AB33" i="1916" s="1"/>
  <c r="H19" i="1916"/>
  <c r="G19" i="1916"/>
  <c r="F19" i="1916"/>
  <c r="E19" i="1916"/>
  <c r="D19" i="1916"/>
  <c r="AE16" i="1916"/>
  <c r="AD16" i="1916"/>
  <c r="AC16" i="1916"/>
  <c r="AB16" i="1916"/>
  <c r="AA16" i="1916"/>
  <c r="Z16" i="1916"/>
  <c r="X16" i="1916"/>
  <c r="W16" i="1916"/>
  <c r="V16" i="1916"/>
  <c r="U16" i="1916"/>
  <c r="T16" i="1916"/>
  <c r="S16" i="1916"/>
  <c r="R16" i="1916"/>
  <c r="Q16" i="1916"/>
  <c r="P16" i="1916"/>
  <c r="O16" i="1916"/>
  <c r="N16" i="1916"/>
  <c r="M16" i="1916"/>
  <c r="L16" i="1916"/>
  <c r="K16" i="1916"/>
  <c r="J16" i="1916"/>
  <c r="I16" i="1916"/>
  <c r="H16" i="1916"/>
  <c r="G16" i="1916"/>
  <c r="F16" i="1916"/>
  <c r="E16" i="1916"/>
  <c r="D16" i="1916"/>
  <c r="AE10" i="1916"/>
  <c r="AD10" i="1916"/>
  <c r="AC33" i="1916" s="1"/>
  <c r="AC10" i="1916"/>
  <c r="AB10" i="1916"/>
  <c r="AA10" i="1916"/>
  <c r="Z10" i="1916"/>
  <c r="Y10" i="1916"/>
  <c r="X10" i="1916"/>
  <c r="W10" i="1916"/>
  <c r="V10" i="1916"/>
  <c r="U10" i="1916"/>
  <c r="T10" i="1916"/>
  <c r="S10" i="1916"/>
  <c r="R10" i="1916"/>
  <c r="Q10" i="1916"/>
  <c r="P10" i="1916"/>
  <c r="O10" i="1916"/>
  <c r="N10" i="1916"/>
  <c r="Q33" i="1916" s="1"/>
  <c r="M10" i="1916"/>
  <c r="L10" i="1916"/>
  <c r="N33" i="1916" s="1"/>
  <c r="K10" i="1916"/>
  <c r="J10" i="1916"/>
  <c r="I10" i="1916"/>
  <c r="H10" i="1916"/>
  <c r="G10" i="1916"/>
  <c r="F10" i="1916"/>
  <c r="J33" i="1916" s="1"/>
  <c r="E10" i="1916"/>
  <c r="S33" i="1916" s="1"/>
  <c r="D10" i="1916"/>
  <c r="AE7" i="1916"/>
  <c r="AD7" i="1916"/>
  <c r="AC7" i="1916"/>
  <c r="AB7" i="1916"/>
  <c r="AA7" i="1916"/>
  <c r="Z7" i="1916"/>
  <c r="Y7" i="1916"/>
  <c r="X7" i="1916"/>
  <c r="W7" i="1916"/>
  <c r="V7" i="1916"/>
  <c r="U7" i="1916"/>
  <c r="T7" i="1916"/>
  <c r="S7" i="1916"/>
  <c r="R7" i="1916"/>
  <c r="Q7" i="1916"/>
  <c r="P7" i="1916"/>
  <c r="O7" i="1916"/>
  <c r="N7" i="1916"/>
  <c r="M7" i="1916"/>
  <c r="L7" i="1916"/>
  <c r="K7" i="1916"/>
  <c r="J7" i="1916"/>
  <c r="I7" i="1916"/>
  <c r="H7" i="1916"/>
  <c r="G7" i="1916"/>
  <c r="F7" i="1916"/>
  <c r="E7" i="1916"/>
  <c r="D7" i="1916"/>
  <c r="K33" i="1916" l="1"/>
  <c r="W33" i="1916"/>
  <c r="Z33" i="1916"/>
  <c r="D33" i="1916"/>
  <c r="Y33" i="1916"/>
  <c r="E33" i="1916"/>
  <c r="M33" i="1916"/>
  <c r="V33" i="1916"/>
  <c r="AA33" i="1915"/>
  <c r="X33" i="1915"/>
  <c r="U33" i="1915"/>
  <c r="R33" i="1915"/>
  <c r="O33" i="1915"/>
  <c r="L33" i="1915"/>
  <c r="F33" i="1915"/>
  <c r="Y28" i="1915"/>
  <c r="X28" i="1915"/>
  <c r="W28" i="1915"/>
  <c r="V28" i="1915"/>
  <c r="U28" i="1915"/>
  <c r="T28" i="1915"/>
  <c r="S28" i="1915"/>
  <c r="R28" i="1915"/>
  <c r="Q28" i="1915"/>
  <c r="P28" i="1915"/>
  <c r="O28" i="1915"/>
  <c r="N28" i="1915"/>
  <c r="M28" i="1915"/>
  <c r="L28" i="1915"/>
  <c r="K28" i="1915"/>
  <c r="J28" i="1915"/>
  <c r="I28" i="1915"/>
  <c r="H28" i="1915"/>
  <c r="G28" i="1915"/>
  <c r="F28" i="1915"/>
  <c r="E28" i="1915"/>
  <c r="D28" i="1915"/>
  <c r="Y25" i="1915"/>
  <c r="X25" i="1915"/>
  <c r="W25" i="1915"/>
  <c r="V25" i="1915"/>
  <c r="U25" i="1915"/>
  <c r="T25" i="1915"/>
  <c r="S25" i="1915"/>
  <c r="R25" i="1915"/>
  <c r="Q25" i="1915"/>
  <c r="P25" i="1915"/>
  <c r="O25" i="1915"/>
  <c r="N25" i="1915"/>
  <c r="M25" i="1915"/>
  <c r="L25" i="1915"/>
  <c r="K25" i="1915"/>
  <c r="J25" i="1915"/>
  <c r="I25" i="1915"/>
  <c r="H25" i="1915"/>
  <c r="G25" i="1915"/>
  <c r="F25" i="1915"/>
  <c r="E25" i="1915"/>
  <c r="D25" i="1915"/>
  <c r="AE19" i="1915"/>
  <c r="AD19" i="1915"/>
  <c r="AC19" i="1915"/>
  <c r="AB19" i="1915"/>
  <c r="AA19" i="1915"/>
  <c r="Z19" i="1915"/>
  <c r="Y19" i="1915"/>
  <c r="X19" i="1915"/>
  <c r="T33" i="1915" s="1"/>
  <c r="W19" i="1915"/>
  <c r="V19" i="1915"/>
  <c r="U19" i="1915"/>
  <c r="T19" i="1915"/>
  <c r="S19" i="1915"/>
  <c r="R19" i="1915"/>
  <c r="Q19" i="1915"/>
  <c r="P19" i="1915"/>
  <c r="O19" i="1915"/>
  <c r="N19" i="1915"/>
  <c r="H33" i="1915" s="1"/>
  <c r="M19" i="1915"/>
  <c r="L19" i="1915"/>
  <c r="P33" i="1915" s="1"/>
  <c r="K19" i="1915"/>
  <c r="J19" i="1915"/>
  <c r="I19" i="1915"/>
  <c r="AB33" i="1915" s="1"/>
  <c r="H19" i="1915"/>
  <c r="G19" i="1915"/>
  <c r="F19" i="1915"/>
  <c r="E19" i="1915"/>
  <c r="D19" i="1915"/>
  <c r="AE16" i="1915"/>
  <c r="AD16" i="1915"/>
  <c r="AC16" i="1915"/>
  <c r="AB16" i="1915"/>
  <c r="AA16" i="1915"/>
  <c r="Z16" i="1915"/>
  <c r="X16" i="1915"/>
  <c r="W16" i="1915"/>
  <c r="V16" i="1915"/>
  <c r="U16" i="1915"/>
  <c r="T16" i="1915"/>
  <c r="S16" i="1915"/>
  <c r="R16" i="1915"/>
  <c r="Q16" i="1915"/>
  <c r="P16" i="1915"/>
  <c r="O16" i="1915"/>
  <c r="N16" i="1915"/>
  <c r="M16" i="1915"/>
  <c r="L16" i="1915"/>
  <c r="K16" i="1915"/>
  <c r="J16" i="1915"/>
  <c r="I16" i="1915"/>
  <c r="H16" i="1915"/>
  <c r="G16" i="1915"/>
  <c r="F16" i="1915"/>
  <c r="E16" i="1915"/>
  <c r="D16" i="1915"/>
  <c r="AE10" i="1915"/>
  <c r="AD10" i="1915"/>
  <c r="AC33" i="1915" s="1"/>
  <c r="AC10" i="1915"/>
  <c r="AB10" i="1915"/>
  <c r="AA10" i="1915"/>
  <c r="Z10" i="1915"/>
  <c r="Y10" i="1915"/>
  <c r="X10" i="1915"/>
  <c r="W10" i="1915"/>
  <c r="V10" i="1915"/>
  <c r="U10" i="1915"/>
  <c r="T10" i="1915"/>
  <c r="S10" i="1915"/>
  <c r="R10" i="1915"/>
  <c r="Q10" i="1915"/>
  <c r="P10" i="1915"/>
  <c r="O10" i="1915"/>
  <c r="N10" i="1915"/>
  <c r="M10" i="1915"/>
  <c r="L10" i="1915"/>
  <c r="N33" i="1915" s="1"/>
  <c r="K10" i="1915"/>
  <c r="J10" i="1915"/>
  <c r="I10" i="1915"/>
  <c r="H10" i="1915"/>
  <c r="G10" i="1915"/>
  <c r="F10" i="1915"/>
  <c r="E10" i="1915"/>
  <c r="D10" i="1915"/>
  <c r="AE7" i="1915"/>
  <c r="AD7" i="1915"/>
  <c r="AC7" i="1915"/>
  <c r="AB7" i="1915"/>
  <c r="AA7" i="1915"/>
  <c r="Z7" i="1915"/>
  <c r="Y7" i="1915"/>
  <c r="X7" i="1915"/>
  <c r="W7" i="1915"/>
  <c r="V7" i="1915"/>
  <c r="U7" i="1915"/>
  <c r="T7" i="1915"/>
  <c r="S7" i="1915"/>
  <c r="R7" i="1915"/>
  <c r="Q7" i="1915"/>
  <c r="P7" i="1915"/>
  <c r="O7" i="1915"/>
  <c r="N7" i="1915"/>
  <c r="M7" i="1915"/>
  <c r="L7" i="1915"/>
  <c r="K7" i="1915"/>
  <c r="J7" i="1915"/>
  <c r="I7" i="1915"/>
  <c r="H7" i="1915"/>
  <c r="G7" i="1915"/>
  <c r="F7" i="1915"/>
  <c r="E7" i="1915"/>
  <c r="D7" i="1915"/>
  <c r="S33" i="1915" l="1"/>
  <c r="J33" i="1915"/>
  <c r="K33" i="1915"/>
  <c r="W33" i="1915"/>
  <c r="Z33" i="1915"/>
  <c r="D33" i="1915"/>
  <c r="Y33" i="1915"/>
  <c r="Q33" i="1915"/>
  <c r="E33" i="1915"/>
  <c r="M33" i="1915"/>
  <c r="V33" i="1915"/>
  <c r="AA33" i="1914"/>
  <c r="X33" i="1914"/>
  <c r="U33" i="1914"/>
  <c r="R33" i="1914"/>
  <c r="O33" i="1914"/>
  <c r="L33" i="1914"/>
  <c r="F33" i="1914"/>
  <c r="Y28" i="1914"/>
  <c r="X28" i="1914"/>
  <c r="W28" i="1914"/>
  <c r="V28" i="1914"/>
  <c r="U28" i="1914"/>
  <c r="T28" i="1914"/>
  <c r="S28" i="1914"/>
  <c r="R28" i="1914"/>
  <c r="Q28" i="1914"/>
  <c r="P28" i="1914"/>
  <c r="O28" i="1914"/>
  <c r="N28" i="1914"/>
  <c r="M28" i="1914"/>
  <c r="L28" i="1914"/>
  <c r="K28" i="1914"/>
  <c r="J28" i="1914"/>
  <c r="I28" i="1914"/>
  <c r="H28" i="1914"/>
  <c r="G28" i="1914"/>
  <c r="F28" i="1914"/>
  <c r="E28" i="1914"/>
  <c r="D28" i="1914"/>
  <c r="Y25" i="1914"/>
  <c r="X25" i="1914"/>
  <c r="W25" i="1914"/>
  <c r="V25" i="1914"/>
  <c r="U25" i="1914"/>
  <c r="T25" i="1914"/>
  <c r="S25" i="1914"/>
  <c r="R25" i="1914"/>
  <c r="Q25" i="1914"/>
  <c r="P25" i="1914"/>
  <c r="O25" i="1914"/>
  <c r="N25" i="1914"/>
  <c r="M25" i="1914"/>
  <c r="L25" i="1914"/>
  <c r="K25" i="1914"/>
  <c r="J25" i="1914"/>
  <c r="I25" i="1914"/>
  <c r="H25" i="1914"/>
  <c r="G25" i="1914"/>
  <c r="F25" i="1914"/>
  <c r="E25" i="1914"/>
  <c r="D25" i="1914"/>
  <c r="AE19" i="1914"/>
  <c r="AD19" i="1914"/>
  <c r="AC19" i="1914"/>
  <c r="AB19" i="1914"/>
  <c r="AA19" i="1914"/>
  <c r="Z19" i="1914"/>
  <c r="Y19" i="1914"/>
  <c r="X19" i="1914"/>
  <c r="T33" i="1914" s="1"/>
  <c r="W19" i="1914"/>
  <c r="V19" i="1914"/>
  <c r="U19" i="1914"/>
  <c r="T19" i="1914"/>
  <c r="S19" i="1914"/>
  <c r="R19" i="1914"/>
  <c r="Q19" i="1914"/>
  <c r="P19" i="1914"/>
  <c r="O19" i="1914"/>
  <c r="N19" i="1914"/>
  <c r="H33" i="1914" s="1"/>
  <c r="M19" i="1914"/>
  <c r="L19" i="1914"/>
  <c r="P33" i="1914" s="1"/>
  <c r="K19" i="1914"/>
  <c r="J19" i="1914"/>
  <c r="I19" i="1914"/>
  <c r="AB33" i="1914" s="1"/>
  <c r="H19" i="1914"/>
  <c r="G19" i="1914"/>
  <c r="F19" i="1914"/>
  <c r="E19" i="1914"/>
  <c r="D19" i="1914"/>
  <c r="AE16" i="1914"/>
  <c r="AD16" i="1914"/>
  <c r="AC16" i="1914"/>
  <c r="AB16" i="1914"/>
  <c r="AA16" i="1914"/>
  <c r="Z16" i="1914"/>
  <c r="X16" i="1914"/>
  <c r="W16" i="1914"/>
  <c r="V16" i="1914"/>
  <c r="U16" i="1914"/>
  <c r="T16" i="1914"/>
  <c r="S16" i="1914"/>
  <c r="R16" i="1914"/>
  <c r="Q16" i="1914"/>
  <c r="P16" i="1914"/>
  <c r="O16" i="1914"/>
  <c r="N16" i="1914"/>
  <c r="M16" i="1914"/>
  <c r="L16" i="1914"/>
  <c r="K16" i="1914"/>
  <c r="J16" i="1914"/>
  <c r="I16" i="1914"/>
  <c r="H16" i="1914"/>
  <c r="G16" i="1914"/>
  <c r="F16" i="1914"/>
  <c r="E16" i="1914"/>
  <c r="D16" i="1914"/>
  <c r="AE10" i="1914"/>
  <c r="AD10" i="1914"/>
  <c r="AC33" i="1914" s="1"/>
  <c r="AC10" i="1914"/>
  <c r="AB10" i="1914"/>
  <c r="AA10" i="1914"/>
  <c r="Z10" i="1914"/>
  <c r="Y10" i="1914"/>
  <c r="X10" i="1914"/>
  <c r="W10" i="1914"/>
  <c r="V10" i="1914"/>
  <c r="U10" i="1914"/>
  <c r="T10" i="1914"/>
  <c r="S10" i="1914"/>
  <c r="R10" i="1914"/>
  <c r="Q10" i="1914"/>
  <c r="P10" i="1914"/>
  <c r="O10" i="1914"/>
  <c r="N10" i="1914"/>
  <c r="Q33" i="1914" s="1"/>
  <c r="M10" i="1914"/>
  <c r="L10" i="1914"/>
  <c r="N33" i="1914" s="1"/>
  <c r="K10" i="1914"/>
  <c r="J10" i="1914"/>
  <c r="I10" i="1914"/>
  <c r="H10" i="1914"/>
  <c r="G10" i="1914"/>
  <c r="F10" i="1914"/>
  <c r="J33" i="1914" s="1"/>
  <c r="E10" i="1914"/>
  <c r="S33" i="1914" s="1"/>
  <c r="D10" i="1914"/>
  <c r="AE7" i="1914"/>
  <c r="AD7" i="1914"/>
  <c r="AC7" i="1914"/>
  <c r="AB7" i="1914"/>
  <c r="AA7" i="1914"/>
  <c r="Z7" i="1914"/>
  <c r="Y7" i="1914"/>
  <c r="X7" i="1914"/>
  <c r="W7" i="1914"/>
  <c r="V7" i="1914"/>
  <c r="U7" i="1914"/>
  <c r="T7" i="1914"/>
  <c r="S7" i="1914"/>
  <c r="R7" i="1914"/>
  <c r="Q7" i="1914"/>
  <c r="P7" i="1914"/>
  <c r="O7" i="1914"/>
  <c r="N7" i="1914"/>
  <c r="M7" i="1914"/>
  <c r="L7" i="1914"/>
  <c r="K7" i="1914"/>
  <c r="J7" i="1914"/>
  <c r="I7" i="1914"/>
  <c r="H7" i="1914"/>
  <c r="G7" i="1914"/>
  <c r="F7" i="1914"/>
  <c r="E7" i="1914"/>
  <c r="D7" i="1914"/>
  <c r="D33" i="1914" l="1"/>
  <c r="W33" i="1914"/>
  <c r="Z33" i="1914"/>
  <c r="Y33" i="1914"/>
  <c r="K33" i="1914"/>
  <c r="E33" i="1914"/>
  <c r="M33" i="1914"/>
  <c r="V33" i="1914"/>
  <c r="AA33" i="1913"/>
  <c r="X33" i="1913"/>
  <c r="U33" i="1913"/>
  <c r="R33" i="1913"/>
  <c r="O33" i="1913"/>
  <c r="L33" i="1913"/>
  <c r="F33" i="1913"/>
  <c r="Y28" i="1913"/>
  <c r="X28" i="1913"/>
  <c r="W28" i="1913"/>
  <c r="V28" i="1913"/>
  <c r="U28" i="1913"/>
  <c r="T28" i="1913"/>
  <c r="S28" i="1913"/>
  <c r="R28" i="1913"/>
  <c r="Q28" i="1913"/>
  <c r="P28" i="1913"/>
  <c r="O28" i="1913"/>
  <c r="N28" i="1913"/>
  <c r="M28" i="1913"/>
  <c r="L28" i="1913"/>
  <c r="K28" i="1913"/>
  <c r="J28" i="1913"/>
  <c r="I28" i="1913"/>
  <c r="H28" i="1913"/>
  <c r="G28" i="1913"/>
  <c r="F28" i="1913"/>
  <c r="E28" i="1913"/>
  <c r="D28" i="1913"/>
  <c r="Y25" i="1913"/>
  <c r="X25" i="1913"/>
  <c r="W25" i="1913"/>
  <c r="V25" i="1913"/>
  <c r="U25" i="1913"/>
  <c r="T25" i="1913"/>
  <c r="S25" i="1913"/>
  <c r="R25" i="1913"/>
  <c r="Q25" i="1913"/>
  <c r="P25" i="1913"/>
  <c r="O25" i="1913"/>
  <c r="N25" i="1913"/>
  <c r="M25" i="1913"/>
  <c r="L25" i="1913"/>
  <c r="K25" i="1913"/>
  <c r="J25" i="1913"/>
  <c r="I25" i="1913"/>
  <c r="H25" i="1913"/>
  <c r="G25" i="1913"/>
  <c r="F25" i="1913"/>
  <c r="E25" i="1913"/>
  <c r="D25" i="1913"/>
  <c r="AE19" i="1913"/>
  <c r="AD19" i="1913"/>
  <c r="AC19" i="1913"/>
  <c r="AB19" i="1913"/>
  <c r="AA19" i="1913"/>
  <c r="Z19" i="1913"/>
  <c r="Y19" i="1913"/>
  <c r="X19" i="1913"/>
  <c r="T33" i="1913" s="1"/>
  <c r="W19" i="1913"/>
  <c r="V19" i="1913"/>
  <c r="U19" i="1913"/>
  <c r="T19" i="1913"/>
  <c r="S19" i="1913"/>
  <c r="R19" i="1913"/>
  <c r="Q19" i="1913"/>
  <c r="P19" i="1913"/>
  <c r="O19" i="1913"/>
  <c r="N19" i="1913"/>
  <c r="H33" i="1913" s="1"/>
  <c r="M19" i="1913"/>
  <c r="L19" i="1913"/>
  <c r="P33" i="1913" s="1"/>
  <c r="K19" i="1913"/>
  <c r="J19" i="1913"/>
  <c r="I19" i="1913"/>
  <c r="AB33" i="1913" s="1"/>
  <c r="H19" i="1913"/>
  <c r="G19" i="1913"/>
  <c r="F19" i="1913"/>
  <c r="E19" i="1913"/>
  <c r="D19" i="1913"/>
  <c r="AE16" i="1913"/>
  <c r="AD16" i="1913"/>
  <c r="AC16" i="1913"/>
  <c r="AB16" i="1913"/>
  <c r="AA16" i="1913"/>
  <c r="Z16" i="1913"/>
  <c r="X16" i="1913"/>
  <c r="W16" i="1913"/>
  <c r="V16" i="1913"/>
  <c r="U16" i="1913"/>
  <c r="T16" i="1913"/>
  <c r="S16" i="1913"/>
  <c r="R16" i="1913"/>
  <c r="Q16" i="1913"/>
  <c r="P16" i="1913"/>
  <c r="O16" i="1913"/>
  <c r="N16" i="1913"/>
  <c r="M16" i="1913"/>
  <c r="L16" i="1913"/>
  <c r="K16" i="1913"/>
  <c r="J16" i="1913"/>
  <c r="I16" i="1913"/>
  <c r="H16" i="1913"/>
  <c r="G16" i="1913"/>
  <c r="F16" i="1913"/>
  <c r="E16" i="1913"/>
  <c r="D16" i="1913"/>
  <c r="AE10" i="1913"/>
  <c r="AD10" i="1913"/>
  <c r="AC33" i="1913" s="1"/>
  <c r="AC10" i="1913"/>
  <c r="AB10" i="1913"/>
  <c r="AA10" i="1913"/>
  <c r="Z10" i="1913"/>
  <c r="Y10" i="1913"/>
  <c r="X10" i="1913"/>
  <c r="W10" i="1913"/>
  <c r="V10" i="1913"/>
  <c r="U10" i="1913"/>
  <c r="T10" i="1913"/>
  <c r="S10" i="1913"/>
  <c r="R10" i="1913"/>
  <c r="Q10" i="1913"/>
  <c r="P10" i="1913"/>
  <c r="O10" i="1913"/>
  <c r="N10" i="1913"/>
  <c r="M10" i="1913"/>
  <c r="L10" i="1913"/>
  <c r="K10" i="1913"/>
  <c r="J10" i="1913"/>
  <c r="I10" i="1913"/>
  <c r="H10" i="1913"/>
  <c r="G10" i="1913"/>
  <c r="F10" i="1913"/>
  <c r="J33" i="1913" s="1"/>
  <c r="E10" i="1913"/>
  <c r="S33" i="1913" s="1"/>
  <c r="D10" i="1913"/>
  <c r="AE7" i="1913"/>
  <c r="AD7" i="1913"/>
  <c r="AC7" i="1913"/>
  <c r="AB7" i="1913"/>
  <c r="AA7" i="1913"/>
  <c r="Z7" i="1913"/>
  <c r="Y7" i="1913"/>
  <c r="X7" i="1913"/>
  <c r="W7" i="1913"/>
  <c r="V7" i="1913"/>
  <c r="U7" i="1913"/>
  <c r="T7" i="1913"/>
  <c r="S7" i="1913"/>
  <c r="R7" i="1913"/>
  <c r="Q7" i="1913"/>
  <c r="P7" i="1913"/>
  <c r="O7" i="1913"/>
  <c r="N7" i="1913"/>
  <c r="M7" i="1913"/>
  <c r="L7" i="1913"/>
  <c r="K7" i="1913"/>
  <c r="J7" i="1913"/>
  <c r="I7" i="1913"/>
  <c r="H7" i="1913"/>
  <c r="G7" i="1913"/>
  <c r="F7" i="1913"/>
  <c r="E7" i="1913"/>
  <c r="D7" i="1913"/>
  <c r="Q33" i="1913" l="1"/>
  <c r="M33" i="1913"/>
  <c r="N33" i="1913"/>
  <c r="W33" i="1913"/>
  <c r="D33" i="1913"/>
  <c r="Z33" i="1913"/>
  <c r="Y33" i="1913"/>
  <c r="K33" i="1913"/>
  <c r="E33" i="1913"/>
  <c r="V33" i="1913"/>
  <c r="AA33" i="1912"/>
  <c r="X33" i="1912"/>
  <c r="U33" i="1912"/>
  <c r="R33" i="1912"/>
  <c r="O33" i="1912"/>
  <c r="L33" i="1912"/>
  <c r="F33" i="1912"/>
  <c r="Y28" i="1912"/>
  <c r="X28" i="1912"/>
  <c r="W28" i="1912"/>
  <c r="V28" i="1912"/>
  <c r="U28" i="1912"/>
  <c r="T28" i="1912"/>
  <c r="S28" i="1912"/>
  <c r="R28" i="1912"/>
  <c r="Q28" i="1912"/>
  <c r="P28" i="1912"/>
  <c r="O28" i="1912"/>
  <c r="N28" i="1912"/>
  <c r="M28" i="1912"/>
  <c r="L28" i="1912"/>
  <c r="K28" i="1912"/>
  <c r="J28" i="1912"/>
  <c r="I28" i="1912"/>
  <c r="H28" i="1912"/>
  <c r="G28" i="1912"/>
  <c r="F28" i="1912"/>
  <c r="E28" i="1912"/>
  <c r="D28" i="1912"/>
  <c r="Y25" i="1912"/>
  <c r="X25" i="1912"/>
  <c r="W25" i="1912"/>
  <c r="V25" i="1912"/>
  <c r="U25" i="1912"/>
  <c r="T25" i="1912"/>
  <c r="S25" i="1912"/>
  <c r="R25" i="1912"/>
  <c r="Q25" i="1912"/>
  <c r="P25" i="1912"/>
  <c r="O25" i="1912"/>
  <c r="N25" i="1912"/>
  <c r="M25" i="1912"/>
  <c r="L25" i="1912"/>
  <c r="K25" i="1912"/>
  <c r="J25" i="1912"/>
  <c r="I25" i="1912"/>
  <c r="H25" i="1912"/>
  <c r="G25" i="1912"/>
  <c r="F25" i="1912"/>
  <c r="E25" i="1912"/>
  <c r="D25" i="1912"/>
  <c r="AE19" i="1912"/>
  <c r="AD19" i="1912"/>
  <c r="AC19" i="1912"/>
  <c r="AB19" i="1912"/>
  <c r="AA19" i="1912"/>
  <c r="Z19" i="1912"/>
  <c r="Y19" i="1912"/>
  <c r="X19" i="1912"/>
  <c r="T33" i="1912" s="1"/>
  <c r="W19" i="1912"/>
  <c r="V19" i="1912"/>
  <c r="U19" i="1912"/>
  <c r="T19" i="1912"/>
  <c r="S19" i="1912"/>
  <c r="R19" i="1912"/>
  <c r="Q19" i="1912"/>
  <c r="P19" i="1912"/>
  <c r="O19" i="1912"/>
  <c r="N19" i="1912"/>
  <c r="H33" i="1912" s="1"/>
  <c r="M19" i="1912"/>
  <c r="L19" i="1912"/>
  <c r="P33" i="1912" s="1"/>
  <c r="K19" i="1912"/>
  <c r="J19" i="1912"/>
  <c r="I19" i="1912"/>
  <c r="AB33" i="1912" s="1"/>
  <c r="H19" i="1912"/>
  <c r="G19" i="1912"/>
  <c r="F19" i="1912"/>
  <c r="E19" i="1912"/>
  <c r="D19" i="1912"/>
  <c r="AE16" i="1912"/>
  <c r="AD16" i="1912"/>
  <c r="AC16" i="1912"/>
  <c r="AB16" i="1912"/>
  <c r="AA16" i="1912"/>
  <c r="Z16" i="1912"/>
  <c r="X16" i="1912"/>
  <c r="W16" i="1912"/>
  <c r="V16" i="1912"/>
  <c r="U16" i="1912"/>
  <c r="T16" i="1912"/>
  <c r="S16" i="1912"/>
  <c r="R16" i="1912"/>
  <c r="Q16" i="1912"/>
  <c r="P16" i="1912"/>
  <c r="O16" i="1912"/>
  <c r="N16" i="1912"/>
  <c r="M16" i="1912"/>
  <c r="L16" i="1912"/>
  <c r="K16" i="1912"/>
  <c r="J16" i="1912"/>
  <c r="I16" i="1912"/>
  <c r="H16" i="1912"/>
  <c r="G16" i="1912"/>
  <c r="F16" i="1912"/>
  <c r="E16" i="1912"/>
  <c r="D16" i="1912"/>
  <c r="AE10" i="1912"/>
  <c r="AD10" i="1912"/>
  <c r="AC33" i="1912" s="1"/>
  <c r="AC10" i="1912"/>
  <c r="AB10" i="1912"/>
  <c r="AA10" i="1912"/>
  <c r="Z10" i="1912"/>
  <c r="Y10" i="1912"/>
  <c r="X10" i="1912"/>
  <c r="W10" i="1912"/>
  <c r="V10" i="1912"/>
  <c r="U10" i="1912"/>
  <c r="T10" i="1912"/>
  <c r="S10" i="1912"/>
  <c r="R10" i="1912"/>
  <c r="Q10" i="1912"/>
  <c r="P10" i="1912"/>
  <c r="O10" i="1912"/>
  <c r="N10" i="1912"/>
  <c r="M10" i="1912"/>
  <c r="L10" i="1912"/>
  <c r="N33" i="1912" s="1"/>
  <c r="K10" i="1912"/>
  <c r="J10" i="1912"/>
  <c r="I10" i="1912"/>
  <c r="H10" i="1912"/>
  <c r="G10" i="1912"/>
  <c r="F10" i="1912"/>
  <c r="J33" i="1912" s="1"/>
  <c r="E10" i="1912"/>
  <c r="S33" i="1912" s="1"/>
  <c r="D10" i="1912"/>
  <c r="AE7" i="1912"/>
  <c r="AD7" i="1912"/>
  <c r="AC7" i="1912"/>
  <c r="AB7" i="1912"/>
  <c r="AA7" i="1912"/>
  <c r="Z7" i="1912"/>
  <c r="Y7" i="1912"/>
  <c r="X7" i="1912"/>
  <c r="W7" i="1912"/>
  <c r="V7" i="1912"/>
  <c r="U7" i="1912"/>
  <c r="T7" i="1912"/>
  <c r="S7" i="1912"/>
  <c r="R7" i="1912"/>
  <c r="Q7" i="1912"/>
  <c r="P7" i="1912"/>
  <c r="O7" i="1912"/>
  <c r="N7" i="1912"/>
  <c r="M7" i="1912"/>
  <c r="L7" i="1912"/>
  <c r="K7" i="1912"/>
  <c r="J7" i="1912"/>
  <c r="I7" i="1912"/>
  <c r="H7" i="1912"/>
  <c r="G7" i="1912"/>
  <c r="F7" i="1912"/>
  <c r="E7" i="1912"/>
  <c r="D7" i="1912"/>
  <c r="Q33" i="1912" l="1"/>
  <c r="K33" i="1912"/>
  <c r="W33" i="1912"/>
  <c r="Z33" i="1912"/>
  <c r="D33" i="1912"/>
  <c r="Y33" i="1912"/>
  <c r="E33" i="1912"/>
  <c r="M33" i="1912"/>
  <c r="V33" i="1912"/>
  <c r="AA33" i="1911"/>
  <c r="X33" i="1911"/>
  <c r="U33" i="1911"/>
  <c r="R33" i="1911"/>
  <c r="O33" i="1911"/>
  <c r="L33" i="1911"/>
  <c r="F33" i="1911"/>
  <c r="Y28" i="1911"/>
  <c r="X28" i="1911"/>
  <c r="W28" i="1911"/>
  <c r="V28" i="1911"/>
  <c r="U28" i="1911"/>
  <c r="T28" i="1911"/>
  <c r="S28" i="1911"/>
  <c r="R28" i="1911"/>
  <c r="Q28" i="1911"/>
  <c r="P28" i="1911"/>
  <c r="O28" i="1911"/>
  <c r="N28" i="1911"/>
  <c r="M28" i="1911"/>
  <c r="L28" i="1911"/>
  <c r="K28" i="1911"/>
  <c r="J28" i="1911"/>
  <c r="I28" i="1911"/>
  <c r="H28" i="1911"/>
  <c r="G28" i="1911"/>
  <c r="F28" i="1911"/>
  <c r="E28" i="1911"/>
  <c r="D28" i="1911"/>
  <c r="Y25" i="1911"/>
  <c r="X25" i="1911"/>
  <c r="W25" i="1911"/>
  <c r="V25" i="1911"/>
  <c r="U25" i="1911"/>
  <c r="T25" i="1911"/>
  <c r="S25" i="1911"/>
  <c r="R25" i="1911"/>
  <c r="Q25" i="1911"/>
  <c r="P25" i="1911"/>
  <c r="O25" i="1911"/>
  <c r="N25" i="1911"/>
  <c r="M25" i="1911"/>
  <c r="L25" i="1911"/>
  <c r="K25" i="1911"/>
  <c r="J25" i="1911"/>
  <c r="I25" i="1911"/>
  <c r="H25" i="1911"/>
  <c r="G25" i="1911"/>
  <c r="F25" i="1911"/>
  <c r="E25" i="1911"/>
  <c r="D25" i="1911"/>
  <c r="AE19" i="1911"/>
  <c r="AD19" i="1911"/>
  <c r="AC19" i="1911"/>
  <c r="AB19" i="1911"/>
  <c r="AA19" i="1911"/>
  <c r="Z19" i="1911"/>
  <c r="Y19" i="1911"/>
  <c r="X19" i="1911"/>
  <c r="T33" i="1911" s="1"/>
  <c r="W19" i="1911"/>
  <c r="V19" i="1911"/>
  <c r="U19" i="1911"/>
  <c r="T19" i="1911"/>
  <c r="S19" i="1911"/>
  <c r="R19" i="1911"/>
  <c r="Q19" i="1911"/>
  <c r="P19" i="1911"/>
  <c r="O19" i="1911"/>
  <c r="N19" i="1911"/>
  <c r="H33" i="1911" s="1"/>
  <c r="M19" i="1911"/>
  <c r="L19" i="1911"/>
  <c r="P33" i="1911" s="1"/>
  <c r="K19" i="1911"/>
  <c r="J19" i="1911"/>
  <c r="I19" i="1911"/>
  <c r="AB33" i="1911" s="1"/>
  <c r="H19" i="1911"/>
  <c r="G19" i="1911"/>
  <c r="F19" i="1911"/>
  <c r="E19" i="1911"/>
  <c r="D19" i="1911"/>
  <c r="AE16" i="1911"/>
  <c r="AD16" i="1911"/>
  <c r="AC16" i="1911"/>
  <c r="AB16" i="1911"/>
  <c r="AA16" i="1911"/>
  <c r="Z16" i="1911"/>
  <c r="X16" i="1911"/>
  <c r="W16" i="1911"/>
  <c r="V16" i="1911"/>
  <c r="U16" i="1911"/>
  <c r="T16" i="1911"/>
  <c r="S16" i="1911"/>
  <c r="R16" i="1911"/>
  <c r="Q16" i="1911"/>
  <c r="P16" i="1911"/>
  <c r="O16" i="1911"/>
  <c r="N16" i="1911"/>
  <c r="M16" i="1911"/>
  <c r="L16" i="1911"/>
  <c r="K16" i="1911"/>
  <c r="J16" i="1911"/>
  <c r="I16" i="1911"/>
  <c r="H16" i="1911"/>
  <c r="G16" i="1911"/>
  <c r="F16" i="1911"/>
  <c r="E16" i="1911"/>
  <c r="D16" i="1911"/>
  <c r="AE10" i="1911"/>
  <c r="AD10" i="1911"/>
  <c r="AC33" i="1911" s="1"/>
  <c r="AC10" i="1911"/>
  <c r="AB10" i="1911"/>
  <c r="AA10" i="1911"/>
  <c r="Z10" i="1911"/>
  <c r="Y10" i="1911"/>
  <c r="X10" i="1911"/>
  <c r="W10" i="1911"/>
  <c r="V10" i="1911"/>
  <c r="U10" i="1911"/>
  <c r="T10" i="1911"/>
  <c r="S10" i="1911"/>
  <c r="Y33" i="1911" s="1"/>
  <c r="R10" i="1911"/>
  <c r="Q10" i="1911"/>
  <c r="P10" i="1911"/>
  <c r="O10" i="1911"/>
  <c r="N10" i="1911"/>
  <c r="M10" i="1911"/>
  <c r="L10" i="1911"/>
  <c r="N33" i="1911" s="1"/>
  <c r="K10" i="1911"/>
  <c r="J10" i="1911"/>
  <c r="I10" i="1911"/>
  <c r="H10" i="1911"/>
  <c r="G10" i="1911"/>
  <c r="F10" i="1911"/>
  <c r="J33" i="1911" s="1"/>
  <c r="E10" i="1911"/>
  <c r="S33" i="1911" s="1"/>
  <c r="D10" i="1911"/>
  <c r="AE7" i="1911"/>
  <c r="AD7" i="1911"/>
  <c r="AC7" i="1911"/>
  <c r="AB7" i="1911"/>
  <c r="AA7" i="1911"/>
  <c r="Z7" i="1911"/>
  <c r="Y7" i="1911"/>
  <c r="X7" i="1911"/>
  <c r="W7" i="1911"/>
  <c r="V7" i="1911"/>
  <c r="U7" i="1911"/>
  <c r="T7" i="1911"/>
  <c r="S7" i="1911"/>
  <c r="R7" i="1911"/>
  <c r="Q7" i="1911"/>
  <c r="P7" i="1911"/>
  <c r="O7" i="1911"/>
  <c r="N7" i="1911"/>
  <c r="M7" i="1911"/>
  <c r="L7" i="1911"/>
  <c r="K7" i="1911"/>
  <c r="J7" i="1911"/>
  <c r="I7" i="1911"/>
  <c r="H7" i="1911"/>
  <c r="G7" i="1911"/>
  <c r="F7" i="1911"/>
  <c r="E7" i="1911"/>
  <c r="D7" i="1911"/>
  <c r="Q33" i="1911" l="1"/>
  <c r="K33" i="1911"/>
  <c r="W33" i="1911"/>
  <c r="Z33" i="1911"/>
  <c r="D33" i="1911"/>
  <c r="E33" i="1911"/>
  <c r="M33" i="1911"/>
  <c r="V33" i="1911"/>
  <c r="AA33" i="1910"/>
  <c r="X33" i="1910"/>
  <c r="U33" i="1910"/>
  <c r="R33" i="1910"/>
  <c r="O33" i="1910"/>
  <c r="L33" i="1910"/>
  <c r="F33" i="1910"/>
  <c r="Y28" i="1910"/>
  <c r="X28" i="1910"/>
  <c r="W28" i="1910"/>
  <c r="V28" i="1910"/>
  <c r="U28" i="1910"/>
  <c r="T28" i="1910"/>
  <c r="S28" i="1910"/>
  <c r="R28" i="1910"/>
  <c r="Q28" i="1910"/>
  <c r="P28" i="1910"/>
  <c r="O28" i="1910"/>
  <c r="N28" i="1910"/>
  <c r="M28" i="1910"/>
  <c r="L28" i="1910"/>
  <c r="K28" i="1910"/>
  <c r="J28" i="1910"/>
  <c r="I28" i="1910"/>
  <c r="H28" i="1910"/>
  <c r="G28" i="1910"/>
  <c r="F28" i="1910"/>
  <c r="E28" i="1910"/>
  <c r="D28" i="1910"/>
  <c r="Y25" i="1910"/>
  <c r="X25" i="1910"/>
  <c r="W25" i="1910"/>
  <c r="V25" i="1910"/>
  <c r="U25" i="1910"/>
  <c r="T25" i="1910"/>
  <c r="S25" i="1910"/>
  <c r="R25" i="1910"/>
  <c r="Q25" i="1910"/>
  <c r="P25" i="1910"/>
  <c r="O25" i="1910"/>
  <c r="N25" i="1910"/>
  <c r="M25" i="1910"/>
  <c r="L25" i="1910"/>
  <c r="K25" i="1910"/>
  <c r="J25" i="1910"/>
  <c r="I25" i="1910"/>
  <c r="H25" i="1910"/>
  <c r="G25" i="1910"/>
  <c r="F25" i="1910"/>
  <c r="E25" i="1910"/>
  <c r="D25" i="1910"/>
  <c r="AE19" i="1910"/>
  <c r="AD19" i="1910"/>
  <c r="AC19" i="1910"/>
  <c r="AB19" i="1910"/>
  <c r="AA19" i="1910"/>
  <c r="Z19" i="1910"/>
  <c r="Y19" i="1910"/>
  <c r="X19" i="1910"/>
  <c r="T33" i="1910" s="1"/>
  <c r="W19" i="1910"/>
  <c r="V19" i="1910"/>
  <c r="U19" i="1910"/>
  <c r="T19" i="1910"/>
  <c r="S19" i="1910"/>
  <c r="R19" i="1910"/>
  <c r="Q19" i="1910"/>
  <c r="P19" i="1910"/>
  <c r="O19" i="1910"/>
  <c r="N19" i="1910"/>
  <c r="H33" i="1910" s="1"/>
  <c r="M19" i="1910"/>
  <c r="L19" i="1910"/>
  <c r="P33" i="1910" s="1"/>
  <c r="K19" i="1910"/>
  <c r="J19" i="1910"/>
  <c r="I19" i="1910"/>
  <c r="AB33" i="1910" s="1"/>
  <c r="H19" i="1910"/>
  <c r="G19" i="1910"/>
  <c r="F19" i="1910"/>
  <c r="E19" i="1910"/>
  <c r="D19" i="1910"/>
  <c r="AE16" i="1910"/>
  <c r="AD16" i="1910"/>
  <c r="AC16" i="1910"/>
  <c r="AB16" i="1910"/>
  <c r="AA16" i="1910"/>
  <c r="Z16" i="1910"/>
  <c r="X16" i="1910"/>
  <c r="W16" i="1910"/>
  <c r="V16" i="1910"/>
  <c r="U16" i="1910"/>
  <c r="T16" i="1910"/>
  <c r="S16" i="1910"/>
  <c r="R16" i="1910"/>
  <c r="Q16" i="1910"/>
  <c r="P16" i="1910"/>
  <c r="O16" i="1910"/>
  <c r="N16" i="1910"/>
  <c r="M16" i="1910"/>
  <c r="L16" i="1910"/>
  <c r="K16" i="1910"/>
  <c r="J16" i="1910"/>
  <c r="I16" i="1910"/>
  <c r="H16" i="1910"/>
  <c r="G16" i="1910"/>
  <c r="F16" i="1910"/>
  <c r="E16" i="1910"/>
  <c r="D16" i="1910"/>
  <c r="AE10" i="1910"/>
  <c r="AD10" i="1910"/>
  <c r="AC33" i="1910" s="1"/>
  <c r="AC10" i="1910"/>
  <c r="AB10" i="1910"/>
  <c r="AA10" i="1910"/>
  <c r="Z10" i="1910"/>
  <c r="Y10" i="1910"/>
  <c r="X10" i="1910"/>
  <c r="W10" i="1910"/>
  <c r="V10" i="1910"/>
  <c r="U10" i="1910"/>
  <c r="T10" i="1910"/>
  <c r="S10" i="1910"/>
  <c r="R10" i="1910"/>
  <c r="Q10" i="1910"/>
  <c r="P10" i="1910"/>
  <c r="O10" i="1910"/>
  <c r="N10" i="1910"/>
  <c r="M10" i="1910"/>
  <c r="L10" i="1910"/>
  <c r="N33" i="1910" s="1"/>
  <c r="K10" i="1910"/>
  <c r="J10" i="1910"/>
  <c r="I10" i="1910"/>
  <c r="H10" i="1910"/>
  <c r="G10" i="1910"/>
  <c r="F10" i="1910"/>
  <c r="J33" i="1910" s="1"/>
  <c r="E10" i="1910"/>
  <c r="S33" i="1910" s="1"/>
  <c r="D10" i="1910"/>
  <c r="AE7" i="1910"/>
  <c r="AD7" i="1910"/>
  <c r="AC7" i="1910"/>
  <c r="AB7" i="1910"/>
  <c r="AA7" i="1910"/>
  <c r="Z7" i="1910"/>
  <c r="Y7" i="1910"/>
  <c r="X7" i="1910"/>
  <c r="W7" i="1910"/>
  <c r="V7" i="1910"/>
  <c r="U7" i="1910"/>
  <c r="T7" i="1910"/>
  <c r="S7" i="1910"/>
  <c r="R7" i="1910"/>
  <c r="Q7" i="1910"/>
  <c r="P7" i="1910"/>
  <c r="O7" i="1910"/>
  <c r="N7" i="1910"/>
  <c r="M7" i="1910"/>
  <c r="L7" i="1910"/>
  <c r="K7" i="1910"/>
  <c r="J7" i="1910"/>
  <c r="I7" i="1910"/>
  <c r="H7" i="1910"/>
  <c r="G7" i="1910"/>
  <c r="F7" i="1910"/>
  <c r="E7" i="1910"/>
  <c r="D7" i="1910"/>
  <c r="Y33" i="1910" l="1"/>
  <c r="D33" i="1910"/>
  <c r="K33" i="1910"/>
  <c r="W33" i="1910"/>
  <c r="Z33" i="1910"/>
  <c r="Q33" i="1910"/>
  <c r="E33" i="1910"/>
  <c r="M33" i="1910"/>
  <c r="V33" i="1910"/>
  <c r="AA33" i="1909"/>
  <c r="X33" i="1909"/>
  <c r="U33" i="1909"/>
  <c r="R33" i="1909"/>
  <c r="O33" i="1909"/>
  <c r="L33" i="1909"/>
  <c r="F33" i="1909"/>
  <c r="Y28" i="1909"/>
  <c r="X28" i="1909"/>
  <c r="W28" i="1909"/>
  <c r="V28" i="1909"/>
  <c r="U28" i="1909"/>
  <c r="T28" i="1909"/>
  <c r="S28" i="1909"/>
  <c r="R28" i="1909"/>
  <c r="Q28" i="1909"/>
  <c r="P28" i="1909"/>
  <c r="O28" i="1909"/>
  <c r="N28" i="1909"/>
  <c r="M28" i="1909"/>
  <c r="L28" i="1909"/>
  <c r="K28" i="1909"/>
  <c r="J28" i="1909"/>
  <c r="I28" i="1909"/>
  <c r="H28" i="1909"/>
  <c r="G28" i="1909"/>
  <c r="F28" i="1909"/>
  <c r="E28" i="1909"/>
  <c r="D28" i="1909"/>
  <c r="Y25" i="1909"/>
  <c r="X25" i="1909"/>
  <c r="W25" i="1909"/>
  <c r="V25" i="1909"/>
  <c r="U25" i="1909"/>
  <c r="T25" i="1909"/>
  <c r="S25" i="1909"/>
  <c r="R25" i="1909"/>
  <c r="Q25" i="1909"/>
  <c r="P25" i="1909"/>
  <c r="O25" i="1909"/>
  <c r="N25" i="1909"/>
  <c r="M25" i="1909"/>
  <c r="L25" i="1909"/>
  <c r="K25" i="1909"/>
  <c r="J25" i="1909"/>
  <c r="I25" i="1909"/>
  <c r="H25" i="1909"/>
  <c r="G25" i="1909"/>
  <c r="F25" i="1909"/>
  <c r="E25" i="1909"/>
  <c r="D25" i="1909"/>
  <c r="AE19" i="1909"/>
  <c r="AD19" i="1909"/>
  <c r="AC19" i="1909"/>
  <c r="AB19" i="1909"/>
  <c r="AA19" i="1909"/>
  <c r="Z19" i="1909"/>
  <c r="Y19" i="1909"/>
  <c r="X19" i="1909"/>
  <c r="T33" i="1909" s="1"/>
  <c r="W19" i="1909"/>
  <c r="V19" i="1909"/>
  <c r="U19" i="1909"/>
  <c r="T19" i="1909"/>
  <c r="S19" i="1909"/>
  <c r="R19" i="1909"/>
  <c r="Q19" i="1909"/>
  <c r="P19" i="1909"/>
  <c r="O19" i="1909"/>
  <c r="N19" i="1909"/>
  <c r="H33" i="1909" s="1"/>
  <c r="M19" i="1909"/>
  <c r="L19" i="1909"/>
  <c r="P33" i="1909" s="1"/>
  <c r="K19" i="1909"/>
  <c r="J19" i="1909"/>
  <c r="I19" i="1909"/>
  <c r="AB33" i="1909" s="1"/>
  <c r="H19" i="1909"/>
  <c r="G19" i="1909"/>
  <c r="F19" i="1909"/>
  <c r="E19" i="1909"/>
  <c r="D19" i="1909"/>
  <c r="AE16" i="1909"/>
  <c r="AD16" i="1909"/>
  <c r="AC16" i="1909"/>
  <c r="AB16" i="1909"/>
  <c r="AA16" i="1909"/>
  <c r="Z16" i="1909"/>
  <c r="X16" i="1909"/>
  <c r="W16" i="1909"/>
  <c r="V16" i="1909"/>
  <c r="U16" i="1909"/>
  <c r="T16" i="1909"/>
  <c r="S16" i="1909"/>
  <c r="R16" i="1909"/>
  <c r="Q16" i="1909"/>
  <c r="P16" i="1909"/>
  <c r="O16" i="1909"/>
  <c r="N16" i="1909"/>
  <c r="M16" i="1909"/>
  <c r="L16" i="1909"/>
  <c r="K16" i="1909"/>
  <c r="J16" i="1909"/>
  <c r="I16" i="1909"/>
  <c r="H16" i="1909"/>
  <c r="G16" i="1909"/>
  <c r="F16" i="1909"/>
  <c r="E16" i="1909"/>
  <c r="D16" i="1909"/>
  <c r="AE10" i="1909"/>
  <c r="AD10" i="1909"/>
  <c r="AC33" i="1909" s="1"/>
  <c r="AC10" i="1909"/>
  <c r="AB10" i="1909"/>
  <c r="AA10" i="1909"/>
  <c r="D33" i="1909" s="1"/>
  <c r="Z10" i="1909"/>
  <c r="Y10" i="1909"/>
  <c r="X10" i="1909"/>
  <c r="W10" i="1909"/>
  <c r="V10" i="1909"/>
  <c r="U10" i="1909"/>
  <c r="T10" i="1909"/>
  <c r="S10" i="1909"/>
  <c r="R10" i="1909"/>
  <c r="Q10" i="1909"/>
  <c r="P10" i="1909"/>
  <c r="O10" i="1909"/>
  <c r="N10" i="1909"/>
  <c r="Q33" i="1909" s="1"/>
  <c r="M10" i="1909"/>
  <c r="L10" i="1909"/>
  <c r="N33" i="1909" s="1"/>
  <c r="K10" i="1909"/>
  <c r="J10" i="1909"/>
  <c r="I10" i="1909"/>
  <c r="H10" i="1909"/>
  <c r="G10" i="1909"/>
  <c r="F10" i="1909"/>
  <c r="J33" i="1909" s="1"/>
  <c r="E10" i="1909"/>
  <c r="S33" i="1909" s="1"/>
  <c r="D10" i="1909"/>
  <c r="AE7" i="1909"/>
  <c r="AD7" i="1909"/>
  <c r="AC7" i="1909"/>
  <c r="AB7" i="1909"/>
  <c r="AA7" i="1909"/>
  <c r="Z7" i="1909"/>
  <c r="Y7" i="1909"/>
  <c r="X7" i="1909"/>
  <c r="W7" i="1909"/>
  <c r="V7" i="1909"/>
  <c r="U7" i="1909"/>
  <c r="T7" i="1909"/>
  <c r="S7" i="1909"/>
  <c r="R7" i="1909"/>
  <c r="Q7" i="1909"/>
  <c r="P7" i="1909"/>
  <c r="O7" i="1909"/>
  <c r="N7" i="1909"/>
  <c r="M7" i="1909"/>
  <c r="L7" i="1909"/>
  <c r="K7" i="1909"/>
  <c r="J7" i="1909"/>
  <c r="I7" i="1909"/>
  <c r="H7" i="1909"/>
  <c r="G7" i="1909"/>
  <c r="F7" i="1909"/>
  <c r="E7" i="1909"/>
  <c r="D7" i="1909"/>
  <c r="K33" i="1909" l="1"/>
  <c r="W33" i="1909"/>
  <c r="Z33" i="1909"/>
  <c r="Y33" i="1909"/>
  <c r="E33" i="1909"/>
  <c r="M33" i="1909"/>
  <c r="V33" i="1909"/>
  <c r="AA33" i="1908"/>
  <c r="X33" i="1908"/>
  <c r="U33" i="1908"/>
  <c r="R33" i="1908"/>
  <c r="O33" i="1908"/>
  <c r="L33" i="1908"/>
  <c r="F33" i="1908"/>
  <c r="Y28" i="1908"/>
  <c r="X28" i="1908"/>
  <c r="W28" i="1908"/>
  <c r="V28" i="1908"/>
  <c r="U28" i="1908"/>
  <c r="T28" i="1908"/>
  <c r="S28" i="1908"/>
  <c r="R28" i="1908"/>
  <c r="Q28" i="1908"/>
  <c r="P28" i="1908"/>
  <c r="O28" i="1908"/>
  <c r="N28" i="1908"/>
  <c r="M28" i="1908"/>
  <c r="L28" i="1908"/>
  <c r="K28" i="1908"/>
  <c r="J28" i="1908"/>
  <c r="I28" i="1908"/>
  <c r="H28" i="1908"/>
  <c r="G28" i="1908"/>
  <c r="F28" i="1908"/>
  <c r="E28" i="1908"/>
  <c r="D28" i="1908"/>
  <c r="Y25" i="1908"/>
  <c r="X25" i="1908"/>
  <c r="W25" i="1908"/>
  <c r="V25" i="1908"/>
  <c r="U25" i="1908"/>
  <c r="T25" i="1908"/>
  <c r="S25" i="1908"/>
  <c r="R25" i="1908"/>
  <c r="Q25" i="1908"/>
  <c r="P25" i="1908"/>
  <c r="O25" i="1908"/>
  <c r="N25" i="1908"/>
  <c r="M25" i="1908"/>
  <c r="L25" i="1908"/>
  <c r="K25" i="1908"/>
  <c r="J25" i="1908"/>
  <c r="I25" i="1908"/>
  <c r="H25" i="1908"/>
  <c r="G25" i="1908"/>
  <c r="F25" i="1908"/>
  <c r="E25" i="1908"/>
  <c r="D25" i="1908"/>
  <c r="AE19" i="1908"/>
  <c r="AD19" i="1908"/>
  <c r="AC19" i="1908"/>
  <c r="AB19" i="1908"/>
  <c r="AA19" i="1908"/>
  <c r="Z19" i="1908"/>
  <c r="Y19" i="1908"/>
  <c r="X19" i="1908"/>
  <c r="T33" i="1908" s="1"/>
  <c r="W19" i="1908"/>
  <c r="V19" i="1908"/>
  <c r="U19" i="1908"/>
  <c r="T19" i="1908"/>
  <c r="S19" i="1908"/>
  <c r="R19" i="1908"/>
  <c r="Q19" i="1908"/>
  <c r="P19" i="1908"/>
  <c r="O19" i="1908"/>
  <c r="N19" i="1908"/>
  <c r="H33" i="1908" s="1"/>
  <c r="M19" i="1908"/>
  <c r="L19" i="1908"/>
  <c r="P33" i="1908" s="1"/>
  <c r="K19" i="1908"/>
  <c r="J19" i="1908"/>
  <c r="I19" i="1908"/>
  <c r="AB33" i="1908" s="1"/>
  <c r="H19" i="1908"/>
  <c r="G19" i="1908"/>
  <c r="F19" i="1908"/>
  <c r="E19" i="1908"/>
  <c r="D19" i="1908"/>
  <c r="AE16" i="1908"/>
  <c r="AD16" i="1908"/>
  <c r="AC16" i="1908"/>
  <c r="AB16" i="1908"/>
  <c r="AA16" i="1908"/>
  <c r="Z16" i="1908"/>
  <c r="X16" i="1908"/>
  <c r="W16" i="1908"/>
  <c r="V16" i="1908"/>
  <c r="U16" i="1908"/>
  <c r="T16" i="1908"/>
  <c r="S16" i="1908"/>
  <c r="R16" i="1908"/>
  <c r="Q16" i="1908"/>
  <c r="P16" i="1908"/>
  <c r="O16" i="1908"/>
  <c r="N16" i="1908"/>
  <c r="M16" i="1908"/>
  <c r="L16" i="1908"/>
  <c r="K16" i="1908"/>
  <c r="J16" i="1908"/>
  <c r="I16" i="1908"/>
  <c r="H16" i="1908"/>
  <c r="G16" i="1908"/>
  <c r="F16" i="1908"/>
  <c r="E16" i="1908"/>
  <c r="D16" i="1908"/>
  <c r="AE10" i="1908"/>
  <c r="AD10" i="1908"/>
  <c r="AC33" i="1908" s="1"/>
  <c r="AC10" i="1908"/>
  <c r="AB10" i="1908"/>
  <c r="AA10" i="1908"/>
  <c r="Z10" i="1908"/>
  <c r="Y10" i="1908"/>
  <c r="X10" i="1908"/>
  <c r="W10" i="1908"/>
  <c r="V10" i="1908"/>
  <c r="U10" i="1908"/>
  <c r="T10" i="1908"/>
  <c r="S10" i="1908"/>
  <c r="R10" i="1908"/>
  <c r="Q10" i="1908"/>
  <c r="P10" i="1908"/>
  <c r="O10" i="1908"/>
  <c r="N10" i="1908"/>
  <c r="M10" i="1908"/>
  <c r="L10" i="1908"/>
  <c r="K10" i="1908"/>
  <c r="J10" i="1908"/>
  <c r="I10" i="1908"/>
  <c r="H10" i="1908"/>
  <c r="G10" i="1908"/>
  <c r="F10" i="1908"/>
  <c r="J33" i="1908" s="1"/>
  <c r="E10" i="1908"/>
  <c r="D10" i="1908"/>
  <c r="AE7" i="1908"/>
  <c r="AD7" i="1908"/>
  <c r="AC7" i="1908"/>
  <c r="AB7" i="1908"/>
  <c r="AA7" i="1908"/>
  <c r="Z7" i="1908"/>
  <c r="Y7" i="1908"/>
  <c r="X7" i="1908"/>
  <c r="W7" i="1908"/>
  <c r="V7" i="1908"/>
  <c r="U7" i="1908"/>
  <c r="T7" i="1908"/>
  <c r="S7" i="1908"/>
  <c r="R7" i="1908"/>
  <c r="Q7" i="1908"/>
  <c r="P7" i="1908"/>
  <c r="O7" i="1908"/>
  <c r="N7" i="1908"/>
  <c r="M7" i="1908"/>
  <c r="L7" i="1908"/>
  <c r="K7" i="1908"/>
  <c r="J7" i="1908"/>
  <c r="I7" i="1908"/>
  <c r="H7" i="1908"/>
  <c r="G7" i="1908"/>
  <c r="F7" i="1908"/>
  <c r="E7" i="1908"/>
  <c r="D7" i="1908"/>
  <c r="N33" i="1908" l="1"/>
  <c r="S33" i="1908"/>
  <c r="D33" i="1908"/>
  <c r="Q33" i="1908"/>
  <c r="K33" i="1908"/>
  <c r="W33" i="1908"/>
  <c r="Z33" i="1908"/>
  <c r="Y33" i="1908"/>
  <c r="E33" i="1908"/>
  <c r="M33" i="1908"/>
  <c r="V33" i="1908"/>
  <c r="AA33" i="1907"/>
  <c r="X33" i="1907"/>
  <c r="U33" i="1907"/>
  <c r="R33" i="1907"/>
  <c r="O33" i="1907"/>
  <c r="L33" i="1907"/>
  <c r="F33" i="1907"/>
  <c r="Y28" i="1907"/>
  <c r="X28" i="1907"/>
  <c r="W28" i="1907"/>
  <c r="V28" i="1907"/>
  <c r="U28" i="1907"/>
  <c r="T28" i="1907"/>
  <c r="S28" i="1907"/>
  <c r="R28" i="1907"/>
  <c r="Q28" i="1907"/>
  <c r="P28" i="1907"/>
  <c r="O28" i="1907"/>
  <c r="N28" i="1907"/>
  <c r="M28" i="1907"/>
  <c r="L28" i="1907"/>
  <c r="K28" i="1907"/>
  <c r="J28" i="1907"/>
  <c r="I28" i="1907"/>
  <c r="H28" i="1907"/>
  <c r="G28" i="1907"/>
  <c r="F28" i="1907"/>
  <c r="E28" i="1907"/>
  <c r="D28" i="1907"/>
  <c r="Y25" i="1907"/>
  <c r="X25" i="1907"/>
  <c r="W25" i="1907"/>
  <c r="V25" i="1907"/>
  <c r="U25" i="1907"/>
  <c r="T25" i="1907"/>
  <c r="S25" i="1907"/>
  <c r="R25" i="1907"/>
  <c r="Q25" i="1907"/>
  <c r="P25" i="1907"/>
  <c r="O25" i="1907"/>
  <c r="N25" i="1907"/>
  <c r="M25" i="1907"/>
  <c r="L25" i="1907"/>
  <c r="K25" i="1907"/>
  <c r="J25" i="1907"/>
  <c r="I25" i="1907"/>
  <c r="H25" i="1907"/>
  <c r="G25" i="1907"/>
  <c r="F25" i="1907"/>
  <c r="E25" i="1907"/>
  <c r="D25" i="1907"/>
  <c r="AE19" i="1907"/>
  <c r="AD19" i="1907"/>
  <c r="AC19" i="1907"/>
  <c r="AB19" i="1907"/>
  <c r="AA19" i="1907"/>
  <c r="Z19" i="1907"/>
  <c r="Y19" i="1907"/>
  <c r="X19" i="1907"/>
  <c r="T33" i="1907" s="1"/>
  <c r="W19" i="1907"/>
  <c r="V19" i="1907"/>
  <c r="U19" i="1907"/>
  <c r="T19" i="1907"/>
  <c r="S19" i="1907"/>
  <c r="R19" i="1907"/>
  <c r="Q19" i="1907"/>
  <c r="P19" i="1907"/>
  <c r="O19" i="1907"/>
  <c r="N19" i="1907"/>
  <c r="H33" i="1907" s="1"/>
  <c r="M19" i="1907"/>
  <c r="L19" i="1907"/>
  <c r="P33" i="1907" s="1"/>
  <c r="K19" i="1907"/>
  <c r="J19" i="1907"/>
  <c r="I19" i="1907"/>
  <c r="AB33" i="1907" s="1"/>
  <c r="H19" i="1907"/>
  <c r="G19" i="1907"/>
  <c r="F19" i="1907"/>
  <c r="E19" i="1907"/>
  <c r="D19" i="1907"/>
  <c r="AE16" i="1907"/>
  <c r="AD16" i="1907"/>
  <c r="AC16" i="1907"/>
  <c r="AB16" i="1907"/>
  <c r="AA16" i="1907"/>
  <c r="Z16" i="1907"/>
  <c r="X16" i="1907"/>
  <c r="W16" i="1907"/>
  <c r="V16" i="1907"/>
  <c r="U16" i="1907"/>
  <c r="T16" i="1907"/>
  <c r="S16" i="1907"/>
  <c r="R16" i="1907"/>
  <c r="Q16" i="1907"/>
  <c r="P16" i="1907"/>
  <c r="O16" i="1907"/>
  <c r="N16" i="1907"/>
  <c r="M16" i="1907"/>
  <c r="L16" i="1907"/>
  <c r="K16" i="1907"/>
  <c r="J16" i="1907"/>
  <c r="I16" i="1907"/>
  <c r="H16" i="1907"/>
  <c r="G16" i="1907"/>
  <c r="F16" i="1907"/>
  <c r="E16" i="1907"/>
  <c r="D16" i="1907"/>
  <c r="AE10" i="1907"/>
  <c r="AD10" i="1907"/>
  <c r="AC33" i="1907" s="1"/>
  <c r="AC10" i="1907"/>
  <c r="AB10" i="1907"/>
  <c r="AA10" i="1907"/>
  <c r="Z10" i="1907"/>
  <c r="Y10" i="1907"/>
  <c r="X10" i="1907"/>
  <c r="W10" i="1907"/>
  <c r="V10" i="1907"/>
  <c r="U10" i="1907"/>
  <c r="T10" i="1907"/>
  <c r="S10" i="1907"/>
  <c r="R10" i="1907"/>
  <c r="Q10" i="1907"/>
  <c r="P10" i="1907"/>
  <c r="O10" i="1907"/>
  <c r="N10" i="1907"/>
  <c r="M10" i="1907"/>
  <c r="L10" i="1907"/>
  <c r="K10" i="1907"/>
  <c r="J10" i="1907"/>
  <c r="I10" i="1907"/>
  <c r="H10" i="1907"/>
  <c r="G10" i="1907"/>
  <c r="F10" i="1907"/>
  <c r="E10" i="1907"/>
  <c r="D10" i="1907"/>
  <c r="AE7" i="1907"/>
  <c r="AD7" i="1907"/>
  <c r="AC7" i="1907"/>
  <c r="AB7" i="1907"/>
  <c r="AA7" i="1907"/>
  <c r="Z7" i="1907"/>
  <c r="Y7" i="1907"/>
  <c r="X7" i="1907"/>
  <c r="W7" i="1907"/>
  <c r="V7" i="1907"/>
  <c r="U7" i="1907"/>
  <c r="T7" i="1907"/>
  <c r="S7" i="1907"/>
  <c r="R7" i="1907"/>
  <c r="Q7" i="1907"/>
  <c r="P7" i="1907"/>
  <c r="O7" i="1907"/>
  <c r="N7" i="1907"/>
  <c r="M7" i="1907"/>
  <c r="L7" i="1907"/>
  <c r="K7" i="1907"/>
  <c r="J7" i="1907"/>
  <c r="I7" i="1907"/>
  <c r="H7" i="1907"/>
  <c r="G7" i="1907"/>
  <c r="F7" i="1907"/>
  <c r="E7" i="1907"/>
  <c r="D7" i="1907"/>
  <c r="Q33" i="1907" l="1"/>
  <c r="S33" i="1907"/>
  <c r="J33" i="1907"/>
  <c r="K33" i="1907"/>
  <c r="W33" i="1907"/>
  <c r="D33" i="1907"/>
  <c r="Z33" i="1907"/>
  <c r="Y33" i="1907"/>
  <c r="N33" i="1907"/>
  <c r="E33" i="1907"/>
  <c r="M33" i="1907"/>
  <c r="V33" i="1907"/>
  <c r="AA33" i="1906" l="1"/>
  <c r="X33" i="1906"/>
  <c r="U33" i="1906"/>
  <c r="R33" i="1906"/>
  <c r="O33" i="1906"/>
  <c r="L33" i="1906"/>
  <c r="F33" i="1906"/>
  <c r="Y28" i="1906"/>
  <c r="X28" i="1906"/>
  <c r="W28" i="1906"/>
  <c r="V28" i="1906"/>
  <c r="U28" i="1906"/>
  <c r="T28" i="1906"/>
  <c r="S28" i="1906"/>
  <c r="R28" i="1906"/>
  <c r="Q28" i="1906"/>
  <c r="P28" i="1906"/>
  <c r="O28" i="1906"/>
  <c r="N28" i="1906"/>
  <c r="M28" i="1906"/>
  <c r="L28" i="1906"/>
  <c r="K28" i="1906"/>
  <c r="J28" i="1906"/>
  <c r="I28" i="1906"/>
  <c r="H28" i="1906"/>
  <c r="G28" i="1906"/>
  <c r="F28" i="1906"/>
  <c r="E28" i="1906"/>
  <c r="D28" i="1906"/>
  <c r="Y25" i="1906"/>
  <c r="X25" i="1906"/>
  <c r="W25" i="1906"/>
  <c r="V25" i="1906"/>
  <c r="U25" i="1906"/>
  <c r="T25" i="1906"/>
  <c r="S25" i="1906"/>
  <c r="R25" i="1906"/>
  <c r="Q25" i="1906"/>
  <c r="P25" i="1906"/>
  <c r="O25" i="1906"/>
  <c r="N25" i="1906"/>
  <c r="M25" i="1906"/>
  <c r="L25" i="1906"/>
  <c r="K25" i="1906"/>
  <c r="J25" i="1906"/>
  <c r="I25" i="1906"/>
  <c r="H25" i="1906"/>
  <c r="G25" i="1906"/>
  <c r="F25" i="1906"/>
  <c r="E25" i="1906"/>
  <c r="D25" i="1906"/>
  <c r="AE19" i="1906"/>
  <c r="AD19" i="1906"/>
  <c r="AC19" i="1906"/>
  <c r="AB19" i="1906"/>
  <c r="AA19" i="1906"/>
  <c r="Z19" i="1906"/>
  <c r="Y19" i="1906"/>
  <c r="X19" i="1906"/>
  <c r="T33" i="1906" s="1"/>
  <c r="W19" i="1906"/>
  <c r="V19" i="1906"/>
  <c r="U19" i="1906"/>
  <c r="T19" i="1906"/>
  <c r="S19" i="1906"/>
  <c r="R19" i="1906"/>
  <c r="Q19" i="1906"/>
  <c r="P19" i="1906"/>
  <c r="O19" i="1906"/>
  <c r="N19" i="1906"/>
  <c r="H33" i="1906" s="1"/>
  <c r="M19" i="1906"/>
  <c r="L19" i="1906"/>
  <c r="P33" i="1906" s="1"/>
  <c r="K19" i="1906"/>
  <c r="J19" i="1906"/>
  <c r="I19" i="1906"/>
  <c r="AB33" i="1906" s="1"/>
  <c r="H19" i="1906"/>
  <c r="G19" i="1906"/>
  <c r="F19" i="1906"/>
  <c r="E19" i="1906"/>
  <c r="D19" i="1906"/>
  <c r="AE16" i="1906"/>
  <c r="AD16" i="1906"/>
  <c r="AC16" i="1906"/>
  <c r="AB16" i="1906"/>
  <c r="AA16" i="1906"/>
  <c r="Z16" i="1906"/>
  <c r="X16" i="1906"/>
  <c r="W16" i="1906"/>
  <c r="V16" i="1906"/>
  <c r="U16" i="1906"/>
  <c r="T16" i="1906"/>
  <c r="S16" i="1906"/>
  <c r="R16" i="1906"/>
  <c r="Q16" i="1906"/>
  <c r="P16" i="1906"/>
  <c r="O16" i="1906"/>
  <c r="N16" i="1906"/>
  <c r="M16" i="1906"/>
  <c r="L16" i="1906"/>
  <c r="K16" i="1906"/>
  <c r="J16" i="1906"/>
  <c r="I16" i="1906"/>
  <c r="H16" i="1906"/>
  <c r="G16" i="1906"/>
  <c r="F16" i="1906"/>
  <c r="E16" i="1906"/>
  <c r="D16" i="1906"/>
  <c r="AE10" i="1906"/>
  <c r="AD10" i="1906"/>
  <c r="AC33" i="1906" s="1"/>
  <c r="AC10" i="1906"/>
  <c r="AB10" i="1906"/>
  <c r="AA10" i="1906"/>
  <c r="Z10" i="1906"/>
  <c r="Y10" i="1906"/>
  <c r="X10" i="1906"/>
  <c r="W10" i="1906"/>
  <c r="V10" i="1906"/>
  <c r="U10" i="1906"/>
  <c r="T10" i="1906"/>
  <c r="S10" i="1906"/>
  <c r="R10" i="1906"/>
  <c r="Q10" i="1906"/>
  <c r="P10" i="1906"/>
  <c r="O10" i="1906"/>
  <c r="N10" i="1906"/>
  <c r="M10" i="1906"/>
  <c r="L10" i="1906"/>
  <c r="K10" i="1906"/>
  <c r="J10" i="1906"/>
  <c r="I10" i="1906"/>
  <c r="H10" i="1906"/>
  <c r="G10" i="1906"/>
  <c r="F10" i="1906"/>
  <c r="E10" i="1906"/>
  <c r="D10" i="1906"/>
  <c r="AE7" i="1906"/>
  <c r="AD7" i="1906"/>
  <c r="AC7" i="1906"/>
  <c r="AB7" i="1906"/>
  <c r="AA7" i="1906"/>
  <c r="Z7" i="1906"/>
  <c r="Y7" i="1906"/>
  <c r="X7" i="1906"/>
  <c r="W7" i="1906"/>
  <c r="V7" i="1906"/>
  <c r="U7" i="1906"/>
  <c r="T7" i="1906"/>
  <c r="S7" i="1906"/>
  <c r="R7" i="1906"/>
  <c r="Q7" i="1906"/>
  <c r="P7" i="1906"/>
  <c r="O7" i="1906"/>
  <c r="N7" i="1906"/>
  <c r="M7" i="1906"/>
  <c r="L7" i="1906"/>
  <c r="K7" i="1906"/>
  <c r="J7" i="1906"/>
  <c r="I7" i="1906"/>
  <c r="H7" i="1906"/>
  <c r="G7" i="1906"/>
  <c r="F7" i="1906"/>
  <c r="E7" i="1906"/>
  <c r="D7" i="1906"/>
  <c r="S33" i="1906" l="1"/>
  <c r="J33" i="1906"/>
  <c r="K33" i="1906"/>
  <c r="W33" i="1906"/>
  <c r="D33" i="1906"/>
  <c r="Z33" i="1906"/>
  <c r="Y33" i="1906"/>
  <c r="N33" i="1906"/>
  <c r="Q33" i="1906"/>
  <c r="E33" i="1906"/>
  <c r="M33" i="1906"/>
  <c r="V33" i="1906"/>
  <c r="AA33" i="1905"/>
  <c r="X33" i="1905"/>
  <c r="U33" i="1905"/>
  <c r="R33" i="1905"/>
  <c r="O33" i="1905"/>
  <c r="L33" i="1905"/>
  <c r="F33" i="1905"/>
  <c r="Y28" i="1905"/>
  <c r="X28" i="1905"/>
  <c r="W28" i="1905"/>
  <c r="V28" i="1905"/>
  <c r="U28" i="1905"/>
  <c r="T28" i="1905"/>
  <c r="S28" i="1905"/>
  <c r="R28" i="1905"/>
  <c r="Q28" i="1905"/>
  <c r="P28" i="1905"/>
  <c r="O28" i="1905"/>
  <c r="N28" i="1905"/>
  <c r="M28" i="1905"/>
  <c r="L28" i="1905"/>
  <c r="K28" i="1905"/>
  <c r="J28" i="1905"/>
  <c r="I28" i="1905"/>
  <c r="H28" i="1905"/>
  <c r="G28" i="1905"/>
  <c r="F28" i="1905"/>
  <c r="E28" i="1905"/>
  <c r="D28" i="1905"/>
  <c r="Y25" i="1905"/>
  <c r="X25" i="1905"/>
  <c r="W25" i="1905"/>
  <c r="V25" i="1905"/>
  <c r="U25" i="1905"/>
  <c r="T25" i="1905"/>
  <c r="S25" i="1905"/>
  <c r="R25" i="1905"/>
  <c r="Q25" i="1905"/>
  <c r="P25" i="1905"/>
  <c r="O25" i="1905"/>
  <c r="N25" i="1905"/>
  <c r="M25" i="1905"/>
  <c r="L25" i="1905"/>
  <c r="K25" i="1905"/>
  <c r="J25" i="1905"/>
  <c r="I25" i="1905"/>
  <c r="H25" i="1905"/>
  <c r="G25" i="1905"/>
  <c r="F25" i="1905"/>
  <c r="E25" i="1905"/>
  <c r="D25" i="1905"/>
  <c r="AE19" i="1905"/>
  <c r="AD19" i="1905"/>
  <c r="AC19" i="1905"/>
  <c r="AB19" i="1905"/>
  <c r="AA19" i="1905"/>
  <c r="Z19" i="1905"/>
  <c r="Y19" i="1905"/>
  <c r="X19" i="1905"/>
  <c r="T33" i="1905" s="1"/>
  <c r="W19" i="1905"/>
  <c r="V19" i="1905"/>
  <c r="U19" i="1905"/>
  <c r="T19" i="1905"/>
  <c r="S19" i="1905"/>
  <c r="R19" i="1905"/>
  <c r="Q19" i="1905"/>
  <c r="P19" i="1905"/>
  <c r="O19" i="1905"/>
  <c r="N19" i="1905"/>
  <c r="H33" i="1905" s="1"/>
  <c r="M19" i="1905"/>
  <c r="L19" i="1905"/>
  <c r="P33" i="1905" s="1"/>
  <c r="K19" i="1905"/>
  <c r="J19" i="1905"/>
  <c r="I19" i="1905"/>
  <c r="AB33" i="1905" s="1"/>
  <c r="H19" i="1905"/>
  <c r="G19" i="1905"/>
  <c r="F19" i="1905"/>
  <c r="E19" i="1905"/>
  <c r="D19" i="1905"/>
  <c r="AE16" i="1905"/>
  <c r="AD16" i="1905"/>
  <c r="AC16" i="1905"/>
  <c r="AB16" i="1905"/>
  <c r="AA16" i="1905"/>
  <c r="Z16" i="1905"/>
  <c r="X16" i="1905"/>
  <c r="W16" i="1905"/>
  <c r="V16" i="1905"/>
  <c r="U16" i="1905"/>
  <c r="T16" i="1905"/>
  <c r="S16" i="1905"/>
  <c r="R16" i="1905"/>
  <c r="Q16" i="1905"/>
  <c r="P16" i="1905"/>
  <c r="O16" i="1905"/>
  <c r="N16" i="1905"/>
  <c r="M16" i="1905"/>
  <c r="L16" i="1905"/>
  <c r="K16" i="1905"/>
  <c r="J16" i="1905"/>
  <c r="I16" i="1905"/>
  <c r="H16" i="1905"/>
  <c r="G16" i="1905"/>
  <c r="F16" i="1905"/>
  <c r="E16" i="1905"/>
  <c r="D16" i="1905"/>
  <c r="AE10" i="1905"/>
  <c r="AD10" i="1905"/>
  <c r="AC33" i="1905" s="1"/>
  <c r="AC10" i="1905"/>
  <c r="AB10" i="1905"/>
  <c r="AA10" i="1905"/>
  <c r="Z10" i="1905"/>
  <c r="Y10" i="1905"/>
  <c r="X10" i="1905"/>
  <c r="W10" i="1905"/>
  <c r="V10" i="1905"/>
  <c r="U10" i="1905"/>
  <c r="T10" i="1905"/>
  <c r="S10" i="1905"/>
  <c r="R10" i="1905"/>
  <c r="Q10" i="1905"/>
  <c r="P10" i="1905"/>
  <c r="O10" i="1905"/>
  <c r="N10" i="1905"/>
  <c r="Q33" i="1905" s="1"/>
  <c r="M10" i="1905"/>
  <c r="L10" i="1905"/>
  <c r="K10" i="1905"/>
  <c r="J10" i="1905"/>
  <c r="I10" i="1905"/>
  <c r="H10" i="1905"/>
  <c r="G10" i="1905"/>
  <c r="F10" i="1905"/>
  <c r="J33" i="1905" s="1"/>
  <c r="E10" i="1905"/>
  <c r="S33" i="1905" s="1"/>
  <c r="D10" i="1905"/>
  <c r="AE7" i="1905"/>
  <c r="AD7" i="1905"/>
  <c r="AC7" i="1905"/>
  <c r="AB7" i="1905"/>
  <c r="AA7" i="1905"/>
  <c r="Z7" i="1905"/>
  <c r="Y7" i="1905"/>
  <c r="X7" i="1905"/>
  <c r="W7" i="1905"/>
  <c r="V7" i="1905"/>
  <c r="U7" i="1905"/>
  <c r="T7" i="1905"/>
  <c r="S7" i="1905"/>
  <c r="R7" i="1905"/>
  <c r="Q7" i="1905"/>
  <c r="P7" i="1905"/>
  <c r="O7" i="1905"/>
  <c r="N7" i="1905"/>
  <c r="M7" i="1905"/>
  <c r="L7" i="1905"/>
  <c r="K7" i="1905"/>
  <c r="J7" i="1905"/>
  <c r="I7" i="1905"/>
  <c r="H7" i="1905"/>
  <c r="G7" i="1905"/>
  <c r="F7" i="1905"/>
  <c r="E7" i="1905"/>
  <c r="D7" i="1905"/>
  <c r="N33" i="1905" l="1"/>
  <c r="W33" i="1905"/>
  <c r="D33" i="1905"/>
  <c r="Z33" i="1905"/>
  <c r="Y33" i="1905"/>
  <c r="E33" i="1905"/>
  <c r="K33" i="1905"/>
  <c r="M33" i="1905"/>
  <c r="V33" i="1905"/>
  <c r="AA33" i="1904"/>
  <c r="X33" i="1904"/>
  <c r="U33" i="1904"/>
  <c r="R33" i="1904"/>
  <c r="O33" i="1904"/>
  <c r="L33" i="1904"/>
  <c r="F33" i="1904"/>
  <c r="Y28" i="1904"/>
  <c r="X28" i="1904"/>
  <c r="W28" i="1904"/>
  <c r="V28" i="1904"/>
  <c r="U28" i="1904"/>
  <c r="T28" i="1904"/>
  <c r="S28" i="1904"/>
  <c r="R28" i="1904"/>
  <c r="Q28" i="1904"/>
  <c r="P28" i="1904"/>
  <c r="O28" i="1904"/>
  <c r="N28" i="1904"/>
  <c r="M28" i="1904"/>
  <c r="L28" i="1904"/>
  <c r="K28" i="1904"/>
  <c r="J28" i="1904"/>
  <c r="I28" i="1904"/>
  <c r="H28" i="1904"/>
  <c r="G28" i="1904"/>
  <c r="F28" i="1904"/>
  <c r="E28" i="1904"/>
  <c r="D28" i="1904"/>
  <c r="Y25" i="1904"/>
  <c r="X25" i="1904"/>
  <c r="W25" i="1904"/>
  <c r="V25" i="1904"/>
  <c r="U25" i="1904"/>
  <c r="T25" i="1904"/>
  <c r="S25" i="1904"/>
  <c r="R25" i="1904"/>
  <c r="Q25" i="1904"/>
  <c r="P25" i="1904"/>
  <c r="O25" i="1904"/>
  <c r="N25" i="1904"/>
  <c r="M25" i="1904"/>
  <c r="L25" i="1904"/>
  <c r="K25" i="1904"/>
  <c r="J25" i="1904"/>
  <c r="I25" i="1904"/>
  <c r="H25" i="1904"/>
  <c r="G25" i="1904"/>
  <c r="F25" i="1904"/>
  <c r="E25" i="1904"/>
  <c r="D25" i="1904"/>
  <c r="AE19" i="1904"/>
  <c r="AD19" i="1904"/>
  <c r="AC19" i="1904"/>
  <c r="AB19" i="1904"/>
  <c r="AA19" i="1904"/>
  <c r="Z19" i="1904"/>
  <c r="Y19" i="1904"/>
  <c r="X19" i="1904"/>
  <c r="T33" i="1904" s="1"/>
  <c r="W19" i="1904"/>
  <c r="V19" i="1904"/>
  <c r="U19" i="1904"/>
  <c r="T19" i="1904"/>
  <c r="S19" i="1904"/>
  <c r="R19" i="1904"/>
  <c r="Q19" i="1904"/>
  <c r="P19" i="1904"/>
  <c r="O19" i="1904"/>
  <c r="N19" i="1904"/>
  <c r="H33" i="1904" s="1"/>
  <c r="M19" i="1904"/>
  <c r="L19" i="1904"/>
  <c r="P33" i="1904" s="1"/>
  <c r="K19" i="1904"/>
  <c r="J19" i="1904"/>
  <c r="I19" i="1904"/>
  <c r="AB33" i="1904" s="1"/>
  <c r="H19" i="1904"/>
  <c r="G19" i="1904"/>
  <c r="F19" i="1904"/>
  <c r="E19" i="1904"/>
  <c r="D19" i="1904"/>
  <c r="AE16" i="1904"/>
  <c r="AD16" i="1904"/>
  <c r="AC16" i="1904"/>
  <c r="AB16" i="1904"/>
  <c r="AA16" i="1904"/>
  <c r="Z16" i="1904"/>
  <c r="X16" i="1904"/>
  <c r="W16" i="1904"/>
  <c r="V16" i="1904"/>
  <c r="U16" i="1904"/>
  <c r="T16" i="1904"/>
  <c r="S16" i="1904"/>
  <c r="R16" i="1904"/>
  <c r="Q16" i="1904"/>
  <c r="P16" i="1904"/>
  <c r="O16" i="1904"/>
  <c r="N16" i="1904"/>
  <c r="M16" i="1904"/>
  <c r="L16" i="1904"/>
  <c r="K16" i="1904"/>
  <c r="J16" i="1904"/>
  <c r="I16" i="1904"/>
  <c r="H16" i="1904"/>
  <c r="G16" i="1904"/>
  <c r="F16" i="1904"/>
  <c r="E16" i="1904"/>
  <c r="D16" i="1904"/>
  <c r="AE10" i="1904"/>
  <c r="AD10" i="1904"/>
  <c r="AC33" i="1904" s="1"/>
  <c r="AC10" i="1904"/>
  <c r="AB10" i="1904"/>
  <c r="AA10" i="1904"/>
  <c r="Z10" i="1904"/>
  <c r="Y10" i="1904"/>
  <c r="X10" i="1904"/>
  <c r="W10" i="1904"/>
  <c r="V10" i="1904"/>
  <c r="U10" i="1904"/>
  <c r="T10" i="1904"/>
  <c r="S10" i="1904"/>
  <c r="R10" i="1904"/>
  <c r="Q10" i="1904"/>
  <c r="P10" i="1904"/>
  <c r="O10" i="1904"/>
  <c r="N10" i="1904"/>
  <c r="M10" i="1904"/>
  <c r="L10" i="1904"/>
  <c r="N33" i="1904" s="1"/>
  <c r="K10" i="1904"/>
  <c r="J10" i="1904"/>
  <c r="I10" i="1904"/>
  <c r="H10" i="1904"/>
  <c r="G10" i="1904"/>
  <c r="F10" i="1904"/>
  <c r="J33" i="1904" s="1"/>
  <c r="E10" i="1904"/>
  <c r="S33" i="1904" s="1"/>
  <c r="D10" i="1904"/>
  <c r="AE7" i="1904"/>
  <c r="AD7" i="1904"/>
  <c r="AC7" i="1904"/>
  <c r="AB7" i="1904"/>
  <c r="AA7" i="1904"/>
  <c r="Z7" i="1904"/>
  <c r="Y7" i="1904"/>
  <c r="X7" i="1904"/>
  <c r="W7" i="1904"/>
  <c r="V7" i="1904"/>
  <c r="U7" i="1904"/>
  <c r="T7" i="1904"/>
  <c r="S7" i="1904"/>
  <c r="R7" i="1904"/>
  <c r="Q7" i="1904"/>
  <c r="P7" i="1904"/>
  <c r="O7" i="1904"/>
  <c r="N7" i="1904"/>
  <c r="M7" i="1904"/>
  <c r="L7" i="1904"/>
  <c r="K7" i="1904"/>
  <c r="J7" i="1904"/>
  <c r="I7" i="1904"/>
  <c r="H7" i="1904"/>
  <c r="G7" i="1904"/>
  <c r="F7" i="1904"/>
  <c r="E7" i="1904"/>
  <c r="D7" i="1904"/>
  <c r="K33" i="1904" l="1"/>
  <c r="W33" i="1904"/>
  <c r="D33" i="1904"/>
  <c r="Z33" i="1904"/>
  <c r="Y33" i="1904"/>
  <c r="Q33" i="1904"/>
  <c r="E33" i="1904"/>
  <c r="M33" i="1904"/>
  <c r="V33" i="1904"/>
  <c r="AA33" i="1903"/>
  <c r="X33" i="1903"/>
  <c r="U33" i="1903"/>
  <c r="R33" i="1903"/>
  <c r="O33" i="1903"/>
  <c r="L33" i="1903"/>
  <c r="F33" i="1903"/>
  <c r="Y28" i="1903"/>
  <c r="X28" i="1903"/>
  <c r="W28" i="1903"/>
  <c r="V28" i="1903"/>
  <c r="U28" i="1903"/>
  <c r="T28" i="1903"/>
  <c r="S28" i="1903"/>
  <c r="R28" i="1903"/>
  <c r="Q28" i="1903"/>
  <c r="P28" i="1903"/>
  <c r="O28" i="1903"/>
  <c r="N28" i="1903"/>
  <c r="M28" i="1903"/>
  <c r="L28" i="1903"/>
  <c r="K28" i="1903"/>
  <c r="J28" i="1903"/>
  <c r="I28" i="1903"/>
  <c r="H28" i="1903"/>
  <c r="G28" i="1903"/>
  <c r="F28" i="1903"/>
  <c r="E28" i="1903"/>
  <c r="D28" i="1903"/>
  <c r="Y25" i="1903"/>
  <c r="X25" i="1903"/>
  <c r="W25" i="1903"/>
  <c r="V25" i="1903"/>
  <c r="U25" i="1903"/>
  <c r="T25" i="1903"/>
  <c r="S25" i="1903"/>
  <c r="R25" i="1903"/>
  <c r="Q25" i="1903"/>
  <c r="P25" i="1903"/>
  <c r="O25" i="1903"/>
  <c r="N25" i="1903"/>
  <c r="M25" i="1903"/>
  <c r="L25" i="1903"/>
  <c r="K25" i="1903"/>
  <c r="J25" i="1903"/>
  <c r="I25" i="1903"/>
  <c r="H25" i="1903"/>
  <c r="G25" i="1903"/>
  <c r="F25" i="1903"/>
  <c r="E25" i="1903"/>
  <c r="D25" i="1903"/>
  <c r="AE19" i="1903"/>
  <c r="AD19" i="1903"/>
  <c r="AC19" i="1903"/>
  <c r="AB19" i="1903"/>
  <c r="AA19" i="1903"/>
  <c r="Z19" i="1903"/>
  <c r="Y19" i="1903"/>
  <c r="X19" i="1903"/>
  <c r="T33" i="1903" s="1"/>
  <c r="W19" i="1903"/>
  <c r="V19" i="1903"/>
  <c r="U19" i="1903"/>
  <c r="T19" i="1903"/>
  <c r="S19" i="1903"/>
  <c r="R19" i="1903"/>
  <c r="Q19" i="1903"/>
  <c r="P19" i="1903"/>
  <c r="O19" i="1903"/>
  <c r="N19" i="1903"/>
  <c r="H33" i="1903" s="1"/>
  <c r="M19" i="1903"/>
  <c r="L19" i="1903"/>
  <c r="P33" i="1903" s="1"/>
  <c r="K19" i="1903"/>
  <c r="J19" i="1903"/>
  <c r="I19" i="1903"/>
  <c r="AB33" i="1903" s="1"/>
  <c r="H19" i="1903"/>
  <c r="G19" i="1903"/>
  <c r="F19" i="1903"/>
  <c r="E19" i="1903"/>
  <c r="D19" i="1903"/>
  <c r="AE16" i="1903"/>
  <c r="AD16" i="1903"/>
  <c r="AC16" i="1903"/>
  <c r="AB16" i="1903"/>
  <c r="AA16" i="1903"/>
  <c r="Z16" i="1903"/>
  <c r="X16" i="1903"/>
  <c r="W16" i="1903"/>
  <c r="V16" i="1903"/>
  <c r="U16" i="1903"/>
  <c r="T16" i="1903"/>
  <c r="S16" i="1903"/>
  <c r="R16" i="1903"/>
  <c r="Q16" i="1903"/>
  <c r="P16" i="1903"/>
  <c r="O16" i="1903"/>
  <c r="N16" i="1903"/>
  <c r="M16" i="1903"/>
  <c r="L16" i="1903"/>
  <c r="K16" i="1903"/>
  <c r="J16" i="1903"/>
  <c r="I16" i="1903"/>
  <c r="H16" i="1903"/>
  <c r="G16" i="1903"/>
  <c r="F16" i="1903"/>
  <c r="E16" i="1903"/>
  <c r="D16" i="1903"/>
  <c r="AE10" i="1903"/>
  <c r="AD10" i="1903"/>
  <c r="AC33" i="1903" s="1"/>
  <c r="AC10" i="1903"/>
  <c r="AB10" i="1903"/>
  <c r="AA10" i="1903"/>
  <c r="Z10" i="1903"/>
  <c r="Y10" i="1903"/>
  <c r="X10" i="1903"/>
  <c r="W10" i="1903"/>
  <c r="V10" i="1903"/>
  <c r="U10" i="1903"/>
  <c r="T10" i="1903"/>
  <c r="S10" i="1903"/>
  <c r="R10" i="1903"/>
  <c r="Q10" i="1903"/>
  <c r="P10" i="1903"/>
  <c r="O10" i="1903"/>
  <c r="N10" i="1903"/>
  <c r="Q33" i="1903" s="1"/>
  <c r="M10" i="1903"/>
  <c r="L10" i="1903"/>
  <c r="N33" i="1903" s="1"/>
  <c r="K10" i="1903"/>
  <c r="J10" i="1903"/>
  <c r="I10" i="1903"/>
  <c r="H10" i="1903"/>
  <c r="G10" i="1903"/>
  <c r="F10" i="1903"/>
  <c r="J33" i="1903" s="1"/>
  <c r="E10" i="1903"/>
  <c r="S33" i="1903" s="1"/>
  <c r="D10" i="1903"/>
  <c r="AE7" i="1903"/>
  <c r="AD7" i="1903"/>
  <c r="AC7" i="1903"/>
  <c r="AB7" i="1903"/>
  <c r="AA7" i="1903"/>
  <c r="Z7" i="1903"/>
  <c r="Y7" i="1903"/>
  <c r="X7" i="1903"/>
  <c r="W7" i="1903"/>
  <c r="V7" i="1903"/>
  <c r="U7" i="1903"/>
  <c r="T7" i="1903"/>
  <c r="S7" i="1903"/>
  <c r="R7" i="1903"/>
  <c r="Q7" i="1903"/>
  <c r="P7" i="1903"/>
  <c r="O7" i="1903"/>
  <c r="N7" i="1903"/>
  <c r="M7" i="1903"/>
  <c r="L7" i="1903"/>
  <c r="K7" i="1903"/>
  <c r="J7" i="1903"/>
  <c r="I7" i="1903"/>
  <c r="H7" i="1903"/>
  <c r="G7" i="1903"/>
  <c r="F7" i="1903"/>
  <c r="E7" i="1903"/>
  <c r="D7" i="1903"/>
  <c r="K33" i="1903" l="1"/>
  <c r="W33" i="1903"/>
  <c r="Z33" i="1903"/>
  <c r="D33" i="1903"/>
  <c r="Y33" i="1903"/>
  <c r="E33" i="1903"/>
  <c r="M33" i="1903"/>
  <c r="V33" i="1903"/>
  <c r="AA33" i="1902"/>
  <c r="X33" i="1902"/>
  <c r="U33" i="1902"/>
  <c r="R33" i="1902"/>
  <c r="O33" i="1902"/>
  <c r="L33" i="1902"/>
  <c r="F33" i="1902"/>
  <c r="Y28" i="1902"/>
  <c r="X28" i="1902"/>
  <c r="W28" i="1902"/>
  <c r="V28" i="1902"/>
  <c r="U28" i="1902"/>
  <c r="T28" i="1902"/>
  <c r="S28" i="1902"/>
  <c r="R28" i="1902"/>
  <c r="Q28" i="1902"/>
  <c r="P28" i="1902"/>
  <c r="O28" i="1902"/>
  <c r="N28" i="1902"/>
  <c r="M28" i="1902"/>
  <c r="L28" i="1902"/>
  <c r="K28" i="1902"/>
  <c r="J28" i="1902"/>
  <c r="I28" i="1902"/>
  <c r="H28" i="1902"/>
  <c r="G28" i="1902"/>
  <c r="F28" i="1902"/>
  <c r="E28" i="1902"/>
  <c r="D28" i="1902"/>
  <c r="Y25" i="1902"/>
  <c r="X25" i="1902"/>
  <c r="W25" i="1902"/>
  <c r="V25" i="1902"/>
  <c r="U25" i="1902"/>
  <c r="T25" i="1902"/>
  <c r="S25" i="1902"/>
  <c r="R25" i="1902"/>
  <c r="Q25" i="1902"/>
  <c r="P25" i="1902"/>
  <c r="O25" i="1902"/>
  <c r="N25" i="1902"/>
  <c r="M25" i="1902"/>
  <c r="L25" i="1902"/>
  <c r="K25" i="1902"/>
  <c r="J25" i="1902"/>
  <c r="I25" i="1902"/>
  <c r="H25" i="1902"/>
  <c r="G25" i="1902"/>
  <c r="F25" i="1902"/>
  <c r="E25" i="1902"/>
  <c r="D25" i="1902"/>
  <c r="AE19" i="1902"/>
  <c r="AD19" i="1902"/>
  <c r="AC19" i="1902"/>
  <c r="AB19" i="1902"/>
  <c r="AA19" i="1902"/>
  <c r="Z19" i="1902"/>
  <c r="Y19" i="1902"/>
  <c r="X19" i="1902"/>
  <c r="T33" i="1902" s="1"/>
  <c r="W19" i="1902"/>
  <c r="V19" i="1902"/>
  <c r="U19" i="1902"/>
  <c r="T19" i="1902"/>
  <c r="S19" i="1902"/>
  <c r="R19" i="1902"/>
  <c r="Q19" i="1902"/>
  <c r="P19" i="1902"/>
  <c r="O19" i="1902"/>
  <c r="N19" i="1902"/>
  <c r="H33" i="1902" s="1"/>
  <c r="M19" i="1902"/>
  <c r="L19" i="1902"/>
  <c r="P33" i="1902" s="1"/>
  <c r="K19" i="1902"/>
  <c r="J19" i="1902"/>
  <c r="I19" i="1902"/>
  <c r="AB33" i="1902" s="1"/>
  <c r="H19" i="1902"/>
  <c r="G19" i="1902"/>
  <c r="F19" i="1902"/>
  <c r="E19" i="1902"/>
  <c r="D19" i="1902"/>
  <c r="AE16" i="1902"/>
  <c r="AD16" i="1902"/>
  <c r="AC16" i="1902"/>
  <c r="AB16" i="1902"/>
  <c r="AA16" i="1902"/>
  <c r="Z16" i="1902"/>
  <c r="X16" i="1902"/>
  <c r="W16" i="1902"/>
  <c r="V16" i="1902"/>
  <c r="U16" i="1902"/>
  <c r="T16" i="1902"/>
  <c r="S16" i="1902"/>
  <c r="R16" i="1902"/>
  <c r="Q16" i="1902"/>
  <c r="P16" i="1902"/>
  <c r="O16" i="1902"/>
  <c r="N16" i="1902"/>
  <c r="M16" i="1902"/>
  <c r="L16" i="1902"/>
  <c r="K16" i="1902"/>
  <c r="J16" i="1902"/>
  <c r="I16" i="1902"/>
  <c r="H16" i="1902"/>
  <c r="G16" i="1902"/>
  <c r="F16" i="1902"/>
  <c r="E16" i="1902"/>
  <c r="D16" i="1902"/>
  <c r="AE10" i="1902"/>
  <c r="AD10" i="1902"/>
  <c r="AC33" i="1902" s="1"/>
  <c r="AC10" i="1902"/>
  <c r="AB10" i="1902"/>
  <c r="AA10" i="1902"/>
  <c r="Z10" i="1902"/>
  <c r="Y10" i="1902"/>
  <c r="X10" i="1902"/>
  <c r="W10" i="1902"/>
  <c r="V10" i="1902"/>
  <c r="U10" i="1902"/>
  <c r="T10" i="1902"/>
  <c r="S10" i="1902"/>
  <c r="R10" i="1902"/>
  <c r="Q10" i="1902"/>
  <c r="P10" i="1902"/>
  <c r="O10" i="1902"/>
  <c r="N10" i="1902"/>
  <c r="M10" i="1902"/>
  <c r="L10" i="1902"/>
  <c r="N33" i="1902" s="1"/>
  <c r="K10" i="1902"/>
  <c r="J10" i="1902"/>
  <c r="I10" i="1902"/>
  <c r="H10" i="1902"/>
  <c r="G10" i="1902"/>
  <c r="F10" i="1902"/>
  <c r="J33" i="1902" s="1"/>
  <c r="E10" i="1902"/>
  <c r="S33" i="1902" s="1"/>
  <c r="D10" i="1902"/>
  <c r="AE7" i="1902"/>
  <c r="AD7" i="1902"/>
  <c r="AC7" i="1902"/>
  <c r="AB7" i="1902"/>
  <c r="AA7" i="1902"/>
  <c r="Z7" i="1902"/>
  <c r="Y7" i="1902"/>
  <c r="X7" i="1902"/>
  <c r="W7" i="1902"/>
  <c r="V7" i="1902"/>
  <c r="U7" i="1902"/>
  <c r="T7" i="1902"/>
  <c r="S7" i="1902"/>
  <c r="R7" i="1902"/>
  <c r="Q7" i="1902"/>
  <c r="P7" i="1902"/>
  <c r="O7" i="1902"/>
  <c r="N7" i="1902"/>
  <c r="M7" i="1902"/>
  <c r="L7" i="1902"/>
  <c r="K7" i="1902"/>
  <c r="J7" i="1902"/>
  <c r="I7" i="1902"/>
  <c r="H7" i="1902"/>
  <c r="G7" i="1902"/>
  <c r="F7" i="1902"/>
  <c r="E7" i="1902"/>
  <c r="D7" i="1902"/>
  <c r="Q33" i="1902" l="1"/>
  <c r="K33" i="1902"/>
  <c r="W33" i="1902"/>
  <c r="Z33" i="1902"/>
  <c r="D33" i="1902"/>
  <c r="Y33" i="1902"/>
  <c r="E33" i="1902"/>
  <c r="M33" i="1902"/>
  <c r="V33" i="1902"/>
  <c r="AA33" i="1901"/>
  <c r="X33" i="1901"/>
  <c r="U33" i="1901"/>
  <c r="R33" i="1901"/>
  <c r="O33" i="1901"/>
  <c r="L33" i="1901"/>
  <c r="F33" i="1901"/>
  <c r="Y28" i="1901"/>
  <c r="X28" i="1901"/>
  <c r="W28" i="1901"/>
  <c r="V28" i="1901"/>
  <c r="U28" i="1901"/>
  <c r="T28" i="1901"/>
  <c r="S28" i="1901"/>
  <c r="R28" i="1901"/>
  <c r="Q28" i="1901"/>
  <c r="P28" i="1901"/>
  <c r="O28" i="1901"/>
  <c r="N28" i="1901"/>
  <c r="M28" i="1901"/>
  <c r="L28" i="1901"/>
  <c r="K28" i="1901"/>
  <c r="J28" i="1901"/>
  <c r="I28" i="1901"/>
  <c r="H28" i="1901"/>
  <c r="G28" i="1901"/>
  <c r="F28" i="1901"/>
  <c r="E28" i="1901"/>
  <c r="D28" i="1901"/>
  <c r="Y25" i="1901"/>
  <c r="X25" i="1901"/>
  <c r="W25" i="1901"/>
  <c r="V25" i="1901"/>
  <c r="U25" i="1901"/>
  <c r="T25" i="1901"/>
  <c r="S25" i="1901"/>
  <c r="R25" i="1901"/>
  <c r="Q25" i="1901"/>
  <c r="P25" i="1901"/>
  <c r="O25" i="1901"/>
  <c r="N25" i="1901"/>
  <c r="M25" i="1901"/>
  <c r="L25" i="1901"/>
  <c r="K25" i="1901"/>
  <c r="J25" i="1901"/>
  <c r="I25" i="1901"/>
  <c r="H25" i="1901"/>
  <c r="G25" i="1901"/>
  <c r="F25" i="1901"/>
  <c r="E25" i="1901"/>
  <c r="D25" i="1901"/>
  <c r="AE19" i="1901"/>
  <c r="AD19" i="1901"/>
  <c r="AC19" i="1901"/>
  <c r="AB19" i="1901"/>
  <c r="AA19" i="1901"/>
  <c r="Z19" i="1901"/>
  <c r="Y19" i="1901"/>
  <c r="X19" i="1901"/>
  <c r="T33" i="1901" s="1"/>
  <c r="W19" i="1901"/>
  <c r="V19" i="1901"/>
  <c r="W33" i="1901" s="1"/>
  <c r="U19" i="1901"/>
  <c r="T19" i="1901"/>
  <c r="S19" i="1901"/>
  <c r="R19" i="1901"/>
  <c r="Q19" i="1901"/>
  <c r="P19" i="1901"/>
  <c r="O19" i="1901"/>
  <c r="N19" i="1901"/>
  <c r="H33" i="1901" s="1"/>
  <c r="M19" i="1901"/>
  <c r="L19" i="1901"/>
  <c r="P33" i="1901" s="1"/>
  <c r="K19" i="1901"/>
  <c r="J19" i="1901"/>
  <c r="I19" i="1901"/>
  <c r="AB33" i="1901" s="1"/>
  <c r="H19" i="1901"/>
  <c r="G19" i="1901"/>
  <c r="F19" i="1901"/>
  <c r="E19" i="1901"/>
  <c r="D19" i="1901"/>
  <c r="AE16" i="1901"/>
  <c r="AD16" i="1901"/>
  <c r="AC16" i="1901"/>
  <c r="AB16" i="1901"/>
  <c r="AA16" i="1901"/>
  <c r="Z16" i="1901"/>
  <c r="X16" i="1901"/>
  <c r="W16" i="1901"/>
  <c r="V16" i="1901"/>
  <c r="U16" i="1901"/>
  <c r="T16" i="1901"/>
  <c r="S16" i="1901"/>
  <c r="R16" i="1901"/>
  <c r="Q16" i="1901"/>
  <c r="P16" i="1901"/>
  <c r="O16" i="1901"/>
  <c r="N16" i="1901"/>
  <c r="M16" i="1901"/>
  <c r="L16" i="1901"/>
  <c r="K16" i="1901"/>
  <c r="J16" i="1901"/>
  <c r="I16" i="1901"/>
  <c r="H16" i="1901"/>
  <c r="G16" i="1901"/>
  <c r="F16" i="1901"/>
  <c r="E16" i="1901"/>
  <c r="D16" i="1901"/>
  <c r="AE10" i="1901"/>
  <c r="AD10" i="1901"/>
  <c r="AC33" i="1901" s="1"/>
  <c r="AC10" i="1901"/>
  <c r="AB10" i="1901"/>
  <c r="AA10" i="1901"/>
  <c r="D33" i="1901" s="1"/>
  <c r="Z10" i="1901"/>
  <c r="Y10" i="1901"/>
  <c r="X10" i="1901"/>
  <c r="W10" i="1901"/>
  <c r="V10" i="1901"/>
  <c r="U10" i="1901"/>
  <c r="T10" i="1901"/>
  <c r="S10" i="1901"/>
  <c r="R10" i="1901"/>
  <c r="Q10" i="1901"/>
  <c r="P10" i="1901"/>
  <c r="O10" i="1901"/>
  <c r="N10" i="1901"/>
  <c r="M10" i="1901"/>
  <c r="L10" i="1901"/>
  <c r="N33" i="1901" s="1"/>
  <c r="K10" i="1901"/>
  <c r="J10" i="1901"/>
  <c r="I10" i="1901"/>
  <c r="H10" i="1901"/>
  <c r="G10" i="1901"/>
  <c r="F10" i="1901"/>
  <c r="J33" i="1901" s="1"/>
  <c r="E10" i="1901"/>
  <c r="S33" i="1901" s="1"/>
  <c r="D10" i="1901"/>
  <c r="AE7" i="1901"/>
  <c r="AD7" i="1901"/>
  <c r="AC7" i="1901"/>
  <c r="AB7" i="1901"/>
  <c r="AA7" i="1901"/>
  <c r="Z7" i="1901"/>
  <c r="Y7" i="1901"/>
  <c r="X7" i="1901"/>
  <c r="W7" i="1901"/>
  <c r="V7" i="1901"/>
  <c r="U7" i="1901"/>
  <c r="T7" i="1901"/>
  <c r="S7" i="1901"/>
  <c r="R7" i="1901"/>
  <c r="Q7" i="1901"/>
  <c r="P7" i="1901"/>
  <c r="O7" i="1901"/>
  <c r="N7" i="1901"/>
  <c r="M7" i="1901"/>
  <c r="L7" i="1901"/>
  <c r="K7" i="1901"/>
  <c r="J7" i="1901"/>
  <c r="I7" i="1901"/>
  <c r="H7" i="1901"/>
  <c r="G7" i="1901"/>
  <c r="F7" i="1901"/>
  <c r="E7" i="1901"/>
  <c r="D7" i="1901"/>
  <c r="AA33" i="1899"/>
  <c r="X33" i="1899"/>
  <c r="W33" i="1899"/>
  <c r="U33" i="1899"/>
  <c r="R33" i="1899"/>
  <c r="O33" i="1899"/>
  <c r="L33" i="1899"/>
  <c r="F33" i="1899"/>
  <c r="Y28" i="1899"/>
  <c r="X28" i="1899"/>
  <c r="W28" i="1899"/>
  <c r="V28" i="1899"/>
  <c r="U28" i="1899"/>
  <c r="T28" i="1899"/>
  <c r="S28" i="1899"/>
  <c r="R28" i="1899"/>
  <c r="Q28" i="1899"/>
  <c r="P28" i="1899"/>
  <c r="O28" i="1899"/>
  <c r="N28" i="1899"/>
  <c r="M28" i="1899"/>
  <c r="L28" i="1899"/>
  <c r="K28" i="1899"/>
  <c r="J28" i="1899"/>
  <c r="I28" i="1899"/>
  <c r="H28" i="1899"/>
  <c r="G28" i="1899"/>
  <c r="F28" i="1899"/>
  <c r="E28" i="1899"/>
  <c r="D28" i="1899"/>
  <c r="Y25" i="1899"/>
  <c r="X25" i="1899"/>
  <c r="W25" i="1899"/>
  <c r="V25" i="1899"/>
  <c r="U25" i="1899"/>
  <c r="T25" i="1899"/>
  <c r="S25" i="1899"/>
  <c r="R25" i="1899"/>
  <c r="Q25" i="1899"/>
  <c r="P25" i="1899"/>
  <c r="O25" i="1899"/>
  <c r="N25" i="1899"/>
  <c r="M25" i="1899"/>
  <c r="L25" i="1899"/>
  <c r="K25" i="1899"/>
  <c r="J25" i="1899"/>
  <c r="I25" i="1899"/>
  <c r="H25" i="1899"/>
  <c r="G25" i="1899"/>
  <c r="F25" i="1899"/>
  <c r="E25" i="1899"/>
  <c r="D25" i="1899"/>
  <c r="AE19" i="1899"/>
  <c r="AD19" i="1899"/>
  <c r="AC19" i="1899"/>
  <c r="AB19" i="1899"/>
  <c r="AA19" i="1899"/>
  <c r="Z19" i="1899"/>
  <c r="Y19" i="1899"/>
  <c r="X19" i="1899"/>
  <c r="T33" i="1899" s="1"/>
  <c r="W19" i="1899"/>
  <c r="V19" i="1899"/>
  <c r="U19" i="1899"/>
  <c r="T19" i="1899"/>
  <c r="S19" i="1899"/>
  <c r="R19" i="1899"/>
  <c r="Q19" i="1899"/>
  <c r="P19" i="1899"/>
  <c r="O19" i="1899"/>
  <c r="N19" i="1899"/>
  <c r="H33" i="1899" s="1"/>
  <c r="M19" i="1899"/>
  <c r="L19" i="1899"/>
  <c r="P33" i="1899" s="1"/>
  <c r="K19" i="1899"/>
  <c r="J19" i="1899"/>
  <c r="I19" i="1899"/>
  <c r="AB33" i="1899" s="1"/>
  <c r="H19" i="1899"/>
  <c r="G19" i="1899"/>
  <c r="F19" i="1899"/>
  <c r="E19" i="1899"/>
  <c r="D19" i="1899"/>
  <c r="AE16" i="1899"/>
  <c r="AD16" i="1899"/>
  <c r="AC16" i="1899"/>
  <c r="AB16" i="1899"/>
  <c r="AA16" i="1899"/>
  <c r="Z16" i="1899"/>
  <c r="X16" i="1899"/>
  <c r="W16" i="1899"/>
  <c r="V16" i="1899"/>
  <c r="U16" i="1899"/>
  <c r="T16" i="1899"/>
  <c r="S16" i="1899"/>
  <c r="R16" i="1899"/>
  <c r="Q16" i="1899"/>
  <c r="P16" i="1899"/>
  <c r="O16" i="1899"/>
  <c r="N16" i="1899"/>
  <c r="M16" i="1899"/>
  <c r="L16" i="1899"/>
  <c r="K16" i="1899"/>
  <c r="J16" i="1899"/>
  <c r="I16" i="1899"/>
  <c r="H16" i="1899"/>
  <c r="G16" i="1899"/>
  <c r="F16" i="1899"/>
  <c r="E16" i="1899"/>
  <c r="D16" i="1899"/>
  <c r="AE10" i="1899"/>
  <c r="AD10" i="1899"/>
  <c r="AC33" i="1899" s="1"/>
  <c r="AC10" i="1899"/>
  <c r="AB10" i="1899"/>
  <c r="AA10" i="1899"/>
  <c r="Z10" i="1899"/>
  <c r="Y10" i="1899"/>
  <c r="X10" i="1899"/>
  <c r="W10" i="1899"/>
  <c r="V10" i="1899"/>
  <c r="U10" i="1899"/>
  <c r="T10" i="1899"/>
  <c r="S10" i="1899"/>
  <c r="R10" i="1899"/>
  <c r="Q10" i="1899"/>
  <c r="Y33" i="1899" s="1"/>
  <c r="P10" i="1899"/>
  <c r="O10" i="1899"/>
  <c r="N10" i="1899"/>
  <c r="Q33" i="1899" s="1"/>
  <c r="M10" i="1899"/>
  <c r="L10" i="1899"/>
  <c r="N33" i="1899" s="1"/>
  <c r="K10" i="1899"/>
  <c r="J10" i="1899"/>
  <c r="I10" i="1899"/>
  <c r="E33" i="1899" s="1"/>
  <c r="H10" i="1899"/>
  <c r="G10" i="1899"/>
  <c r="M33" i="1899" s="1"/>
  <c r="F10" i="1899"/>
  <c r="J33" i="1899" s="1"/>
  <c r="E10" i="1899"/>
  <c r="D10" i="1899"/>
  <c r="AE7" i="1899"/>
  <c r="AD7" i="1899"/>
  <c r="AC7" i="1899"/>
  <c r="AB7" i="1899"/>
  <c r="AA7" i="1899"/>
  <c r="Z7" i="1899"/>
  <c r="Y7" i="1899"/>
  <c r="X7" i="1899"/>
  <c r="W7" i="1899"/>
  <c r="V7" i="1899"/>
  <c r="U7" i="1899"/>
  <c r="T7" i="1899"/>
  <c r="S7" i="1899"/>
  <c r="R7" i="1899"/>
  <c r="Q7" i="1899"/>
  <c r="P7" i="1899"/>
  <c r="O7" i="1899"/>
  <c r="N7" i="1899"/>
  <c r="M7" i="1899"/>
  <c r="L7" i="1899"/>
  <c r="K7" i="1899"/>
  <c r="J7" i="1899"/>
  <c r="I7" i="1899"/>
  <c r="H7" i="1899"/>
  <c r="G7" i="1899"/>
  <c r="F7" i="1899"/>
  <c r="E7" i="1899"/>
  <c r="D7" i="1899"/>
  <c r="Z33" i="1899" l="1"/>
  <c r="D33" i="1899"/>
  <c r="S33" i="1899"/>
  <c r="K33" i="1899"/>
  <c r="Z33" i="1901"/>
  <c r="Y33" i="1901"/>
  <c r="Q33" i="1901"/>
  <c r="E33" i="1901"/>
  <c r="K33" i="1901"/>
  <c r="M33" i="1901"/>
  <c r="V33" i="1901"/>
  <c r="V33" i="1899"/>
  <c r="AA33" i="1898"/>
  <c r="X33" i="1898"/>
  <c r="U33" i="1898"/>
  <c r="R33" i="1898"/>
  <c r="O33" i="1898"/>
  <c r="L33" i="1898"/>
  <c r="F33" i="1898"/>
  <c r="Y28" i="1898"/>
  <c r="X28" i="1898"/>
  <c r="W28" i="1898"/>
  <c r="V28" i="1898"/>
  <c r="U28" i="1898"/>
  <c r="T28" i="1898"/>
  <c r="S28" i="1898"/>
  <c r="R28" i="1898"/>
  <c r="Q28" i="1898"/>
  <c r="P28" i="1898"/>
  <c r="O28" i="1898"/>
  <c r="N28" i="1898"/>
  <c r="M28" i="1898"/>
  <c r="L28" i="1898"/>
  <c r="K28" i="1898"/>
  <c r="J28" i="1898"/>
  <c r="I28" i="1898"/>
  <c r="H28" i="1898"/>
  <c r="G28" i="1898"/>
  <c r="F28" i="1898"/>
  <c r="E28" i="1898"/>
  <c r="D28" i="1898"/>
  <c r="Y25" i="1898"/>
  <c r="X25" i="1898"/>
  <c r="W25" i="1898"/>
  <c r="V25" i="1898"/>
  <c r="U25" i="1898"/>
  <c r="T25" i="1898"/>
  <c r="S25" i="1898"/>
  <c r="R25" i="1898"/>
  <c r="Q25" i="1898"/>
  <c r="P25" i="1898"/>
  <c r="O25" i="1898"/>
  <c r="N25" i="1898"/>
  <c r="M25" i="1898"/>
  <c r="L25" i="1898"/>
  <c r="K25" i="1898"/>
  <c r="J25" i="1898"/>
  <c r="I25" i="1898"/>
  <c r="H25" i="1898"/>
  <c r="G25" i="1898"/>
  <c r="F25" i="1898"/>
  <c r="E25" i="1898"/>
  <c r="D25" i="1898"/>
  <c r="AE19" i="1898"/>
  <c r="AD19" i="1898"/>
  <c r="AC19" i="1898"/>
  <c r="AB19" i="1898"/>
  <c r="AA19" i="1898"/>
  <c r="Z19" i="1898"/>
  <c r="Y19" i="1898"/>
  <c r="X19" i="1898"/>
  <c r="T33" i="1898" s="1"/>
  <c r="W19" i="1898"/>
  <c r="V19" i="1898"/>
  <c r="U19" i="1898"/>
  <c r="T19" i="1898"/>
  <c r="S19" i="1898"/>
  <c r="R19" i="1898"/>
  <c r="Q19" i="1898"/>
  <c r="P19" i="1898"/>
  <c r="O19" i="1898"/>
  <c r="N19" i="1898"/>
  <c r="H33" i="1898" s="1"/>
  <c r="M19" i="1898"/>
  <c r="L19" i="1898"/>
  <c r="P33" i="1898" s="1"/>
  <c r="K19" i="1898"/>
  <c r="J19" i="1898"/>
  <c r="I19" i="1898"/>
  <c r="AB33" i="1898" s="1"/>
  <c r="H19" i="1898"/>
  <c r="G19" i="1898"/>
  <c r="F19" i="1898"/>
  <c r="E19" i="1898"/>
  <c r="D19" i="1898"/>
  <c r="AE16" i="1898"/>
  <c r="AD16" i="1898"/>
  <c r="AC16" i="1898"/>
  <c r="AB16" i="1898"/>
  <c r="AA16" i="1898"/>
  <c r="Z16" i="1898"/>
  <c r="X16" i="1898"/>
  <c r="W16" i="1898"/>
  <c r="V16" i="1898"/>
  <c r="U16" i="1898"/>
  <c r="T16" i="1898"/>
  <c r="S16" i="1898"/>
  <c r="R16" i="1898"/>
  <c r="Q16" i="1898"/>
  <c r="P16" i="1898"/>
  <c r="O16" i="1898"/>
  <c r="N16" i="1898"/>
  <c r="M16" i="1898"/>
  <c r="L16" i="1898"/>
  <c r="K16" i="1898"/>
  <c r="J16" i="1898"/>
  <c r="I16" i="1898"/>
  <c r="H16" i="1898"/>
  <c r="G16" i="1898"/>
  <c r="F16" i="1898"/>
  <c r="E16" i="1898"/>
  <c r="D16" i="1898"/>
  <c r="AE10" i="1898"/>
  <c r="AD10" i="1898"/>
  <c r="AC33" i="1898" s="1"/>
  <c r="AC10" i="1898"/>
  <c r="AB10" i="1898"/>
  <c r="AA10" i="1898"/>
  <c r="Z10" i="1898"/>
  <c r="Y10" i="1898"/>
  <c r="X10" i="1898"/>
  <c r="W10" i="1898"/>
  <c r="V10" i="1898"/>
  <c r="U10" i="1898"/>
  <c r="T10" i="1898"/>
  <c r="S10" i="1898"/>
  <c r="R10" i="1898"/>
  <c r="Q10" i="1898"/>
  <c r="P10" i="1898"/>
  <c r="O10" i="1898"/>
  <c r="N10" i="1898"/>
  <c r="M10" i="1898"/>
  <c r="L10" i="1898"/>
  <c r="K10" i="1898"/>
  <c r="J10" i="1898"/>
  <c r="I10" i="1898"/>
  <c r="H10" i="1898"/>
  <c r="G10" i="1898"/>
  <c r="F10" i="1898"/>
  <c r="J33" i="1898" s="1"/>
  <c r="E10" i="1898"/>
  <c r="S33" i="1898" s="1"/>
  <c r="D10" i="1898"/>
  <c r="AE7" i="1898"/>
  <c r="AD7" i="1898"/>
  <c r="AC7" i="1898"/>
  <c r="AB7" i="1898"/>
  <c r="AA7" i="1898"/>
  <c r="Z7" i="1898"/>
  <c r="Y7" i="1898"/>
  <c r="X7" i="1898"/>
  <c r="W7" i="1898"/>
  <c r="V7" i="1898"/>
  <c r="U7" i="1898"/>
  <c r="T7" i="1898"/>
  <c r="S7" i="1898"/>
  <c r="R7" i="1898"/>
  <c r="Q7" i="1898"/>
  <c r="P7" i="1898"/>
  <c r="O7" i="1898"/>
  <c r="N7" i="1898"/>
  <c r="M7" i="1898"/>
  <c r="L7" i="1898"/>
  <c r="K7" i="1898"/>
  <c r="J7" i="1898"/>
  <c r="I7" i="1898"/>
  <c r="H7" i="1898"/>
  <c r="G7" i="1898"/>
  <c r="F7" i="1898"/>
  <c r="E7" i="1898"/>
  <c r="D7" i="1898"/>
  <c r="K33" i="1898" l="1"/>
  <c r="W33" i="1898"/>
  <c r="D33" i="1898"/>
  <c r="Z33" i="1898"/>
  <c r="Y33" i="1898"/>
  <c r="N33" i="1898"/>
  <c r="Q33" i="1898"/>
  <c r="E33" i="1898"/>
  <c r="M33" i="1898"/>
  <c r="V33" i="1898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<sst xmlns="http://schemas.openxmlformats.org/spreadsheetml/2006/main" count="32010" uniqueCount="650">
  <si>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</si>
  <si>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</si>
  <si>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</si>
  <si>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</si>
  <si>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</si>
  <si>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</si>
  <si>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</si>
  <si>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</si>
  <si>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</si>
  <si>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</si>
  <si>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</si>
  <si>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</si>
  <si>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</si>
  <si>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</si>
  <si>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</si>
  <si>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</si>
  <si>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</si>
  <si>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</si>
  <si>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</si>
  <si>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</si>
  <si>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</si>
  <si>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</si>
  <si>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</si>
  <si>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</si>
  <si>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</si>
  <si>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</si>
  <si>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</si>
  <si>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</si>
  <si>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</si>
  <si>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</si>
  <si>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</si>
  <si>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</si>
  <si>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</si>
  <si>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</si>
  <si>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</si>
  <si>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</si>
  <si>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</si>
  <si>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</si>
  <si>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</si>
  <si>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</si>
  <si>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</si>
  <si>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</si>
  <si>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</si>
  <si>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</si>
  <si>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</si>
  <si>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</si>
  <si>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</si>
  <si>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</si>
  <si>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</si>
  <si>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</si>
  <si>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</si>
  <si>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</si>
  <si>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</si>
  <si>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</si>
  <si>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</si>
  <si>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</si>
  <si>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</si>
  <si>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</si>
  <si>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</si>
  <si>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</si>
  <si>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</si>
  <si>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</si>
  <si>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</si>
  <si>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</si>
  <si>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</si>
  <si>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</si>
  <si>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</si>
  <si>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</si>
  <si>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</si>
  <si>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</si>
  <si>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</si>
  <si>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</si>
  <si>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</si>
  <si>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</si>
  <si>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</si>
  <si>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</si>
  <si>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</si>
  <si>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</si>
  <si>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</si>
  <si>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</si>
  <si>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</si>
  <si>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</si>
  <si>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</si>
  <si>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</si>
  <si>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</si>
  <si>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</si>
  <si>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</si>
  <si>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</si>
  <si>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</si>
  <si>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</si>
  <si>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</si>
  <si>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</si>
  <si>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</si>
  <si>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</si>
  <si>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</si>
  <si>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</si>
  <si>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</si>
  <si>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</si>
  <si>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</si>
  <si>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</si>
  <si>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</si>
  <si>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</si>
  <si>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</si>
  <si>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</si>
  <si>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</si>
  <si>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</si>
  <si>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</si>
  <si>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</si>
  <si>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</si>
  <si>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</si>
  <si>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</si>
  <si>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</si>
  <si>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</si>
  <si>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</si>
  <si>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</si>
  <si>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</si>
  <si>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</si>
  <si>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</si>
  <si>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</si>
  <si>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</si>
  <si>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</si>
  <si>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</si>
  <si>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</si>
  <si>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</si>
  <si>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</si>
  <si>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</si>
  <si>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</si>
  <si>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</si>
  <si>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</si>
  <si>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</si>
  <si>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</si>
  <si>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</si>
  <si>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</si>
  <si>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</si>
  <si>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</si>
  <si>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</si>
  <si>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</si>
  <si>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</si>
  <si>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</si>
  <si>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</si>
  <si>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</si>
  <si>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</si>
  <si>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</si>
  <si>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</si>
  <si>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</si>
  <si>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</si>
  <si>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</si>
  <si>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</si>
  <si>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</si>
  <si>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</si>
  <si>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</si>
  <si>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</si>
  <si>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</si>
  <si>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</si>
  <si>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</si>
  <si>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</si>
  <si>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</si>
  <si>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</si>
  <si>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</si>
  <si>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</si>
  <si>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</si>
  <si>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</si>
  <si>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</si>
  <si>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</si>
  <si>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</si>
  <si>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</si>
  <si>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</si>
  <si>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</si>
  <si>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</si>
  <si>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</si>
  <si>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</si>
  <si>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</si>
  <si>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</si>
  <si>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</si>
  <si>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</si>
  <si>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</si>
  <si>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</si>
  <si>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</si>
  <si>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</si>
  <si>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</si>
  <si>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</si>
  <si>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</si>
  <si>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</si>
  <si>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</si>
  <si>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</si>
  <si>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</si>
  <si>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</si>
  <si>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</si>
  <si>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</si>
  <si>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</si>
  <si>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</si>
  <si>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</si>
  <si>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</si>
  <si>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</si>
  <si>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</si>
  <si>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</si>
  <si>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</si>
  <si>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</si>
  <si>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</si>
  <si>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</si>
  <si>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</si>
  <si>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</si>
  <si>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</si>
  <si>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</si>
  <si>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</si>
  <si>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</si>
  <si>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</si>
  <si>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</si>
  <si>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</si>
  <si>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</si>
  <si>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</si>
  <si>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</si>
  <si>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</si>
  <si>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</si>
  <si>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</si>
  <si>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</si>
  <si>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</si>
  <si>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</si>
  <si>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</si>
  <si>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</si>
  <si>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</si>
  <si>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</si>
  <si>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</si>
  <si>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</si>
  <si>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</si>
  <si>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</si>
  <si>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</si>
  <si>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</si>
  <si>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</si>
  <si>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</si>
  <si>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</si>
  <si>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</si>
  <si>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</si>
  <si>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</si>
  <si>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</si>
  <si>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</si>
  <si>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</si>
  <si>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</si>
  <si>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</si>
  <si>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</si>
  <si>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</si>
  <si>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</si>
  <si>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</si>
  <si>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</si>
  <si>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</si>
  <si>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</si>
  <si>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</si>
  <si>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</si>
  <si>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</si>
  <si>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</si>
  <si>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</si>
  <si>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</si>
  <si>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</si>
  <si>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</si>
  <si>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</si>
  <si>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</si>
  <si>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</si>
  <si>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</si>
  <si>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</si>
  <si>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</si>
  <si>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</si>
  <si>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</si>
  <si>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</si>
  <si>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</si>
  <si>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</si>
  <si>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</si>
  <si>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</si>
  <si>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</si>
  <si>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</si>
  <si>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</si>
  <si>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</si>
  <si>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</si>
  <si>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</si>
  <si>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</si>
  <si>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</si>
  <si>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</si>
  <si>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</si>
  <si>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</si>
  <si>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</si>
  <si>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</si>
  <si>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</si>
  <si>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</si>
  <si>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</si>
  <si>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</si>
  <si>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</si>
  <si>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</si>
  <si>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</si>
  <si>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</si>
  <si>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</si>
  <si>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</si>
  <si>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</si>
  <si>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</si>
  <si>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</si>
  <si>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</si>
  <si>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</si>
  <si>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</si>
  <si>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</si>
  <si>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</si>
  <si>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</si>
  <si>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</si>
  <si>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</si>
  <si>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</si>
  <si>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</si>
  <si>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</si>
  <si>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</si>
  <si>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</si>
  <si>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</si>
  <si>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</si>
  <si>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</si>
  <si>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</si>
  <si>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</si>
  <si>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</si>
  <si>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</si>
  <si>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</si>
  <si>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</si>
  <si>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</si>
  <si>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</si>
  <si>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</si>
  <si>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</si>
  <si>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</si>
  <si>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</si>
  <si>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</si>
  <si>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</si>
  <si>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</si>
  <si>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</si>
  <si>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</si>
  <si>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</si>
  <si>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</si>
  <si>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</si>
  <si>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</si>
  <si>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</si>
  <si>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</si>
  <si>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</si>
  <si>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</si>
  <si>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</si>
  <si>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</si>
  <si>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</si>
  <si>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</si>
  <si>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</si>
  <si>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</si>
  <si>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</si>
  <si>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</si>
  <si>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</si>
  <si>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</si>
  <si>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</si>
  <si>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</si>
  <si>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</si>
  <si>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</si>
  <si>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</si>
  <si>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</si>
  <si>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</si>
  <si>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</si>
  <si>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</si>
  <si>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</si>
  <si>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</si>
  <si>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</si>
  <si>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</si>
  <si>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</si>
  <si>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</si>
  <si>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</si>
  <si>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</si>
  <si>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</si>
  <si>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</si>
  <si>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</si>
  <si>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</si>
  <si>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</si>
  <si>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</si>
  <si>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</si>
  <si>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</si>
  <si>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</si>
  <si>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</si>
  <si>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</si>
  <si>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</si>
  <si>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</si>
  <si>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</si>
  <si>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</si>
  <si>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</si>
  <si>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</si>
  <si>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</si>
  <si>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</si>
  <si>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</si>
  <si>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</si>
  <si>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</si>
  <si>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</si>
  <si>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</si>
  <si>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</si>
  <si>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</si>
  <si>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</si>
  <si>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</si>
  <si>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</si>
  <si>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</si>
  <si>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</si>
  <si>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</si>
  <si>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</si>
  <si>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</si>
  <si>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</si>
  <si>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</si>
  <si>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</si>
  <si>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</si>
  <si>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</si>
  <si>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</si>
  <si>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</si>
  <si>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</si>
  <si>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</si>
  <si>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</si>
  <si>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</si>
  <si>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</si>
  <si>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</si>
  <si>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</si>
  <si>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</si>
  <si>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</si>
  <si>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</si>
  <si>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</si>
  <si>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</si>
  <si>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</si>
  <si>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</si>
  <si>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</si>
  <si>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</si>
  <si>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</si>
  <si>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</si>
  <si>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</si>
  <si>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</si>
  <si>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</si>
  <si>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</si>
  <si>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</si>
  <si>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</si>
  <si>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</si>
  <si>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</si>
  <si>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</si>
  <si>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</si>
  <si>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</si>
  <si>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</si>
  <si>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</si>
  <si>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</si>
  <si>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</si>
  <si>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</si>
  <si>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</si>
  <si>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</si>
  <si>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</si>
  <si>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</si>
  <si>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</si>
  <si>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</si>
  <si>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</si>
  <si>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</si>
  <si>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</si>
  <si>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</si>
  <si>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</si>
  <si>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</si>
  <si>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</si>
  <si>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</si>
  <si>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</si>
  <si>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</si>
  <si>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</si>
  <si>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</si>
  <si>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</si>
  <si>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</si>
  <si>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</si>
  <si>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</si>
  <si>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</si>
  <si>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</si>
  <si>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</si>
  <si>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</si>
  <si>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</si>
  <si>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</si>
  <si>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</si>
  <si>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</si>
  <si>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</si>
  <si>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</si>
  <si>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</si>
  <si>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</si>
  <si>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</si>
  <si>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</si>
  <si>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</si>
  <si>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</si>
  <si>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</si>
  <si>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</si>
  <si>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</si>
  <si>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</si>
  <si>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</si>
  <si>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</si>
  <si>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</si>
  <si>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</si>
  <si>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</si>
  <si>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</si>
  <si>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</si>
  <si>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</si>
  <si>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</si>
  <si>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</si>
  <si>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</si>
  <si>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</si>
  <si>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</si>
  <si>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</si>
  <si>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</si>
  <si>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</si>
  <si>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</si>
  <si>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</si>
  <si>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</si>
  <si>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</si>
  <si>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</si>
  <si>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</si>
  <si>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</si>
  <si>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</si>
  <si>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</si>
  <si>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</si>
  <si>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</si>
  <si>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</si>
  <si>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</si>
  <si>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</si>
  <si>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</si>
  <si>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</si>
  <si>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</si>
  <si>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</si>
  <si>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</si>
  <si>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</si>
  <si>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</si>
  <si>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</si>
  <si>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</si>
  <si>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</si>
  <si>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</si>
  <si>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</si>
  <si>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</si>
  <si>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</si>
  <si>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</si>
  <si>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</si>
  <si>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</si>
  <si>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</si>
  <si>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</si>
  <si>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</si>
  <si>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</si>
  <si>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</si>
  <si>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</si>
  <si>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</si>
  <si>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</si>
  <si>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</si>
  <si>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</si>
  <si>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</si>
  <si>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</si>
  <si>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</si>
  <si>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</si>
  <si>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</si>
  <si>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</si>
  <si>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</si>
  <si>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</si>
  <si>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</si>
  <si>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</si>
  <si>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</si>
  <si>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</si>
  <si>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</si>
  <si>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</si>
  <si>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</si>
  <si>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</si>
  <si>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</si>
  <si>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</si>
  <si>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</si>
  <si>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</si>
  <si>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</si>
  <si>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</si>
  <si>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</si>
  <si>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</si>
  <si>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</si>
  <si>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</si>
  <si>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</si>
  <si>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</si>
  <si>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</si>
  <si>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</si>
  <si>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</si>
  <si>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</si>
  <si>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</si>
  <si>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</si>
  <si>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</si>
  <si>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</si>
  <si>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</si>
  <si>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</si>
  <si>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</si>
  <si>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</si>
  <si>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</si>
  <si>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</si>
  <si>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</si>
  <si>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</si>
  <si>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</si>
  <si>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</si>
  <si>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</si>
  <si>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</si>
  <si>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</si>
  <si>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</si>
  <si>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</si>
  <si>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</si>
  <si>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</si>
  <si>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</si>
  <si>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</si>
  <si>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</si>
  <si>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</si>
  <si>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</si>
  <si>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</si>
  <si>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</si>
  <si>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</si>
  <si>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</si>
  <si>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</si>
  <si>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</si>
  <si>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</si>
  <si>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</si>
  <si>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</si>
  <si>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</si>
  <si>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</si>
  <si>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</si>
  <si>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</si>
  <si>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</si>
  <si>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</si>
  <si>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</si>
  <si>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</si>
  <si>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</si>
  <si>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</si>
  <si>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</si>
  <si>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</si>
  <si>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</si>
  <si>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</si>
  <si>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</si>
  <si>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</si>
  <si>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</si>
  <si>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</si>
  <si>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</si>
  <si>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</si>
  <si>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</si>
  <si>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</si>
  <si>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</si>
  <si>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</si>
  <si>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</si>
  <si>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</si>
  <si>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</si>
  <si>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</si>
  <si>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</si>
  <si>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</si>
  <si>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</si>
  <si>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</si>
  <si>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</si>
  <si>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</si>
  <si>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</si>
  <si>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</si>
  <si>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</si>
  <si>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</si>
  <si>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</si>
  <si>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</si>
  <si>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蔡承易</t>
    <phoneticPr fontId="2" type="noConversion"/>
  </si>
  <si>
    <t>許原暢</t>
    <phoneticPr fontId="2" type="noConversion"/>
  </si>
  <si>
    <t>2CPN-P1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</si>
  <si>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</si>
  <si>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</si>
  <si>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</si>
  <si>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30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</si>
  <si>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31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</si>
</sst>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6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2" fontId="18" fillId="2" borderId="52" xfId="1" applyNumberFormat="1" applyFont="1" applyFill="1" applyBorder="1" applyAlignment="1" applyProtection="1">
      <alignment vertical="center"/>
      <protection locked="0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9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15</xdr:row>
          <xdr:rowOff>198120</xdr:rowOff>
        </xdr:from>
        <xdr:to>
          <xdr:col>15</xdr:col>
          <xdr:colOff>525780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07777" name="Button 1" hidden="1">
              <a:extLst>
                <a:ext uri="{63B3BB69-23CF-44E3-9099-C40C66FF867C}">
                  <a14:compatExt spid="_x0000_s2507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09825" name="Button 1" hidden="1">
              <a:extLst>
                <a:ext uri="{63B3BB69-23CF-44E3-9099-C40C66FF867C}">
                  <a14:compatExt spid="_x0000_s2509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1873" name="Button 1" hidden="1">
              <a:extLst>
                <a:ext uri="{63B3BB69-23CF-44E3-9099-C40C66FF867C}">
                  <a14:compatExt spid="_x0000_s251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3921" name="Button 1" hidden="1">
              <a:extLst>
                <a:ext uri="{63B3BB69-23CF-44E3-9099-C40C66FF867C}">
                  <a14:compatExt spid="_x0000_s2513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5969" name="Button 1" hidden="1">
              <a:extLst>
                <a:ext uri="{63B3BB69-23CF-44E3-9099-C40C66FF867C}">
                  <a14:compatExt spid="_x0000_s251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6993" name="Button 1" hidden="1">
              <a:extLst>
                <a:ext uri="{63B3BB69-23CF-44E3-9099-C40C66FF867C}">
                  <a14:compatExt spid="_x0000_s2516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19041" name="Button 1" hidden="1">
              <a:extLst>
                <a:ext uri="{63B3BB69-23CF-44E3-9099-C40C66FF867C}">
                  <a14:compatExt spid="_x0000_s25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1089" name="Button 1" hidden="1">
              <a:extLst>
                <a:ext uri="{63B3BB69-23CF-44E3-9099-C40C66FF867C}">
                  <a14:compatExt spid="_x0000_s252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3137" name="Button 1" hidden="1">
              <a:extLst>
                <a:ext uri="{63B3BB69-23CF-44E3-9099-C40C66FF867C}">
                  <a14:compatExt spid="_x0000_s25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5185" name="Button 1" hidden="1">
              <a:extLst>
                <a:ext uri="{63B3BB69-23CF-44E3-9099-C40C66FF867C}">
                  <a14:compatExt spid="_x0000_s252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6209" name="Button 1" hidden="1">
              <a:extLst>
                <a:ext uri="{63B3BB69-23CF-44E3-9099-C40C66FF867C}">
                  <a14:compatExt spid="_x0000_s252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7233" name="Button 1" hidden="1">
              <a:extLst>
                <a:ext uri="{63B3BB69-23CF-44E3-9099-C40C66FF867C}">
                  <a14:compatExt spid="_x0000_s252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29281" name="Button 1" hidden="1">
              <a:extLst>
                <a:ext uri="{63B3BB69-23CF-44E3-9099-C40C66FF867C}">
                  <a14:compatExt spid="_x0000_s252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0305" name="Button 1" hidden="1">
              <a:extLst>
                <a:ext uri="{63B3BB69-23CF-44E3-9099-C40C66FF867C}">
                  <a14:compatExt spid="_x0000_s2530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1329" name="Button 1" hidden="1">
              <a:extLst>
                <a:ext uri="{63B3BB69-23CF-44E3-9099-C40C66FF867C}">
                  <a14:compatExt spid="_x0000_s253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2353" name="Button 1" hidden="1">
              <a:extLst>
                <a:ext uri="{63B3BB69-23CF-44E3-9099-C40C66FF867C}">
                  <a14:compatExt spid="_x0000_s253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3377" name="Button 1" hidden="1">
              <a:extLst>
                <a:ext uri="{63B3BB69-23CF-44E3-9099-C40C66FF867C}">
                  <a14:compatExt spid="_x0000_s253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5425" name="Button 1" hidden="1">
              <a:extLst>
                <a:ext uri="{63B3BB69-23CF-44E3-9099-C40C66FF867C}">
                  <a14:compatExt spid="_x0000_s2535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7473" name="Button 1" hidden="1">
              <a:extLst>
                <a:ext uri="{63B3BB69-23CF-44E3-9099-C40C66FF867C}">
                  <a14:compatExt spid="_x0000_s253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39521" name="Button 1" hidden="1">
              <a:extLst>
                <a:ext uri="{63B3BB69-23CF-44E3-9099-C40C66FF867C}">
                  <a14:compatExt spid="_x0000_s253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41569" name="Button 1" hidden="1">
              <a:extLst>
                <a:ext uri="{63B3BB69-23CF-44E3-9099-C40C66FF867C}">
                  <a14:compatExt spid="_x0000_s254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42593" name="Button 1" hidden="1">
              <a:extLst>
                <a:ext uri="{63B3BB69-23CF-44E3-9099-C40C66FF867C}">
                  <a14:compatExt spid="_x0000_s254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543617" name="Button 1" hidden="1">
              <a:extLst>
                <a:ext uri="{63B3BB69-23CF-44E3-9099-C40C66FF867C}">
                  <a14:compatExt spid="_x0000_s2543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2822" dataDxfId="2821" headerRowCellStyle="一般 2" dataCellStyle="一般 2">
  <autoFilter ref="AG13:BH189"/>
  <tableColumns count="28">
    <tableColumn id="1" uniqueName="1" name="請直接以10進位，謝謝" queryTableFieldId="1" dataDxfId="2820" dataCellStyle="一般 2"/>
    <tableColumn id="2" uniqueName="2" name="F2" queryTableFieldId="2" dataDxfId="2819" dataCellStyle="一般 2"/>
    <tableColumn id="3" uniqueName="3" name="F3" queryTableFieldId="3" dataDxfId="2818" dataCellStyle="一般 2"/>
    <tableColumn id="4" uniqueName="4" name="F4" queryTableFieldId="4" dataDxfId="2817" dataCellStyle="一般 2"/>
    <tableColumn id="5" uniqueName="5" name="F5" queryTableFieldId="5" dataDxfId="2816" dataCellStyle="一般 2"/>
    <tableColumn id="6" uniqueName="6" name="F6" queryTableFieldId="6" dataDxfId="2815" dataCellStyle="一般 2"/>
    <tableColumn id="7" uniqueName="7" name="F7" queryTableFieldId="7" dataDxfId="2814" dataCellStyle="一般 2"/>
    <tableColumn id="8" uniqueName="8" name="F8" queryTableFieldId="8" dataDxfId="2813" dataCellStyle="一般 2"/>
    <tableColumn id="9" uniqueName="9" name="F9" queryTableFieldId="9" dataDxfId="2812" dataCellStyle="一般 2"/>
    <tableColumn id="10" uniqueName="10" name="F10" queryTableFieldId="10" dataDxfId="2811" dataCellStyle="一般 2"/>
    <tableColumn id="11" uniqueName="11" name="F11" queryTableFieldId="11" dataDxfId="2810" dataCellStyle="一般 2"/>
    <tableColumn id="12" uniqueName="12" name="F12" queryTableFieldId="12" dataDxfId="2809" dataCellStyle="一般 2"/>
    <tableColumn id="13" uniqueName="13" name="F13" queryTableFieldId="13" dataDxfId="2808" dataCellStyle="一般 2"/>
    <tableColumn id="14" uniqueName="14" name="F14" queryTableFieldId="14" dataDxfId="2807" dataCellStyle="一般 2"/>
    <tableColumn id="15" uniqueName="15" name="F15" queryTableFieldId="15" dataDxfId="2806" dataCellStyle="一般 2"/>
    <tableColumn id="16" uniqueName="16" name="F16" queryTableFieldId="16" dataDxfId="2805" dataCellStyle="一般 2"/>
    <tableColumn id="17" uniqueName="17" name="F17" queryTableFieldId="17" dataDxfId="2804" dataCellStyle="一般 2"/>
    <tableColumn id="18" uniqueName="18" name="F18" queryTableFieldId="18" dataDxfId="2803" dataCellStyle="一般 2"/>
    <tableColumn id="19" uniqueName="19" name="F19" queryTableFieldId="19" dataDxfId="2802" dataCellStyle="一般 2"/>
    <tableColumn id="20" uniqueName="20" name="F20" queryTableFieldId="20" dataDxfId="2801" dataCellStyle="一般 2"/>
    <tableColumn id="21" uniqueName="21" name="F21" queryTableFieldId="21" dataDxfId="2800" dataCellStyle="一般 2"/>
    <tableColumn id="22" uniqueName="22" name="2024/6/24 14:52" queryTableFieldId="22" dataDxfId="2799" dataCellStyle="一般 2"/>
    <tableColumn id="23" uniqueName="23" name="F23" queryTableFieldId="23" dataDxfId="2798" dataCellStyle="一般 2"/>
    <tableColumn id="24" uniqueName="24" name="F24" queryTableFieldId="24" dataDxfId="2797" dataCellStyle="一般 2"/>
    <tableColumn id="25" uniqueName="25" name="F25" queryTableFieldId="25" dataDxfId="2796" dataCellStyle="一般 2"/>
    <tableColumn id="26" uniqueName="26" name="F26" queryTableFieldId="26" dataDxfId="2795" dataCellStyle="一般 2"/>
    <tableColumn id="27" uniqueName="27" name="F27" queryTableFieldId="27" dataDxfId="2794" dataCellStyle="一般 2"/>
    <tableColumn id="28" uniqueName="28" name="F28" queryTableFieldId="28" dataDxfId="2793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2696" dataDxfId="2695" headerRowCellStyle="一般 2" dataCellStyle="一般 2">
  <autoFilter ref="AG13:BH189"/>
  <tableColumns count="28">
    <tableColumn id="1" uniqueName="1" name="請直接以10進位，謝謝" queryTableFieldId="1" dataDxfId="2694" dataCellStyle="一般 2"/>
    <tableColumn id="2" uniqueName="2" name="F2" queryTableFieldId="2" dataDxfId="2693" dataCellStyle="一般 2"/>
    <tableColumn id="3" uniqueName="3" name="F3" queryTableFieldId="3" dataDxfId="2692" dataCellStyle="一般 2"/>
    <tableColumn id="4" uniqueName="4" name="F4" queryTableFieldId="4" dataDxfId="2691" dataCellStyle="一般 2"/>
    <tableColumn id="5" uniqueName="5" name="F5" queryTableFieldId="5" dataDxfId="2690" dataCellStyle="一般 2"/>
    <tableColumn id="6" uniqueName="6" name="F6" queryTableFieldId="6" dataDxfId="2689" dataCellStyle="一般 2"/>
    <tableColumn id="7" uniqueName="7" name="F7" queryTableFieldId="7" dataDxfId="2688" dataCellStyle="一般 2"/>
    <tableColumn id="8" uniqueName="8" name="F8" queryTableFieldId="8" dataDxfId="2687" dataCellStyle="一般 2"/>
    <tableColumn id="9" uniqueName="9" name="F9" queryTableFieldId="9" dataDxfId="2686" dataCellStyle="一般 2"/>
    <tableColumn id="10" uniqueName="10" name="F10" queryTableFieldId="10" dataDxfId="2685" dataCellStyle="一般 2"/>
    <tableColumn id="11" uniqueName="11" name="F11" queryTableFieldId="11" dataDxfId="2684" dataCellStyle="一般 2"/>
    <tableColumn id="12" uniqueName="12" name="F12" queryTableFieldId="12" dataDxfId="2683" dataCellStyle="一般 2"/>
    <tableColumn id="13" uniqueName="13" name="F13" queryTableFieldId="13" dataDxfId="2682" dataCellStyle="一般 2"/>
    <tableColumn id="14" uniqueName="14" name="F14" queryTableFieldId="14" dataDxfId="2681" dataCellStyle="一般 2"/>
    <tableColumn id="15" uniqueName="15" name="F15" queryTableFieldId="15" dataDxfId="2680" dataCellStyle="一般 2"/>
    <tableColumn id="16" uniqueName="16" name="F16" queryTableFieldId="16" dataDxfId="2679" dataCellStyle="一般 2"/>
    <tableColumn id="17" uniqueName="17" name="F17" queryTableFieldId="17" dataDxfId="2678" dataCellStyle="一般 2"/>
    <tableColumn id="18" uniqueName="18" name="F18" queryTableFieldId="18" dataDxfId="2677" dataCellStyle="一般 2"/>
    <tableColumn id="19" uniqueName="19" name="F19" queryTableFieldId="19" dataDxfId="2676" dataCellStyle="一般 2"/>
    <tableColumn id="20" uniqueName="20" name="F20" queryTableFieldId="20" dataDxfId="2675" dataCellStyle="一般 2"/>
    <tableColumn id="21" uniqueName="21" name="F21" queryTableFieldId="21" dataDxfId="2674" dataCellStyle="一般 2"/>
    <tableColumn id="22" uniqueName="22" name="2024/6/24 14:52" queryTableFieldId="22" dataDxfId="2673" dataCellStyle="一般 2"/>
    <tableColumn id="23" uniqueName="23" name="F23" queryTableFieldId="23" dataDxfId="2672" dataCellStyle="一般 2"/>
    <tableColumn id="24" uniqueName="24" name="F24" queryTableFieldId="24" dataDxfId="2671" dataCellStyle="一般 2"/>
    <tableColumn id="25" uniqueName="25" name="F25" queryTableFieldId="25" dataDxfId="2670" dataCellStyle="一般 2"/>
    <tableColumn id="26" uniqueName="26" name="F26" queryTableFieldId="26" dataDxfId="2669" dataCellStyle="一般 2"/>
    <tableColumn id="27" uniqueName="27" name="F27" queryTableFieldId="27" dataDxfId="2668" dataCellStyle="一般 2"/>
    <tableColumn id="28" uniqueName="28" name="F28" queryTableFieldId="28" dataDxfId="266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2569" dataDxfId="2568" headerRowCellStyle="一般 2" dataCellStyle="一般 2">
  <autoFilter ref="AG13:BH189"/>
  <tableColumns count="28">
    <tableColumn id="1" uniqueName="1" name="請直接以10進位，謝謝" queryTableFieldId="1" dataDxfId="2567" dataCellStyle="一般 2"/>
    <tableColumn id="2" uniqueName="2" name="F2" queryTableFieldId="2" dataDxfId="2566" dataCellStyle="一般 2"/>
    <tableColumn id="3" uniqueName="3" name="F3" queryTableFieldId="3" dataDxfId="2565" dataCellStyle="一般 2"/>
    <tableColumn id="4" uniqueName="4" name="F4" queryTableFieldId="4" dataDxfId="2564" dataCellStyle="一般 2"/>
    <tableColumn id="5" uniqueName="5" name="F5" queryTableFieldId="5" dataDxfId="2563" dataCellStyle="一般 2"/>
    <tableColumn id="6" uniqueName="6" name="F6" queryTableFieldId="6" dataDxfId="2562" dataCellStyle="一般 2"/>
    <tableColumn id="7" uniqueName="7" name="F7" queryTableFieldId="7" dataDxfId="2561" dataCellStyle="一般 2"/>
    <tableColumn id="8" uniqueName="8" name="F8" queryTableFieldId="8" dataDxfId="2560" dataCellStyle="一般 2"/>
    <tableColumn id="9" uniqueName="9" name="F9" queryTableFieldId="9" dataDxfId="2559" dataCellStyle="一般 2"/>
    <tableColumn id="10" uniqueName="10" name="F10" queryTableFieldId="10" dataDxfId="2558" dataCellStyle="一般 2"/>
    <tableColumn id="11" uniqueName="11" name="F11" queryTableFieldId="11" dataDxfId="2557" dataCellStyle="一般 2"/>
    <tableColumn id="12" uniqueName="12" name="F12" queryTableFieldId="12" dataDxfId="2556" dataCellStyle="一般 2"/>
    <tableColumn id="13" uniqueName="13" name="F13" queryTableFieldId="13" dataDxfId="2555" dataCellStyle="一般 2"/>
    <tableColumn id="14" uniqueName="14" name="F14" queryTableFieldId="14" dataDxfId="2554" dataCellStyle="一般 2"/>
    <tableColumn id="15" uniqueName="15" name="F15" queryTableFieldId="15" dataDxfId="2553" dataCellStyle="一般 2"/>
    <tableColumn id="16" uniqueName="16" name="F16" queryTableFieldId="16" dataDxfId="2552" dataCellStyle="一般 2"/>
    <tableColumn id="17" uniqueName="17" name="F17" queryTableFieldId="17" dataDxfId="2551" dataCellStyle="一般 2"/>
    <tableColumn id="18" uniqueName="18" name="F18" queryTableFieldId="18" dataDxfId="2550" dataCellStyle="一般 2"/>
    <tableColumn id="19" uniqueName="19" name="F19" queryTableFieldId="19" dataDxfId="2549" dataCellStyle="一般 2"/>
    <tableColumn id="20" uniqueName="20" name="F20" queryTableFieldId="20" dataDxfId="2548" dataCellStyle="一般 2"/>
    <tableColumn id="21" uniqueName="21" name="F21" queryTableFieldId="21" dataDxfId="2547" dataCellStyle="一般 2"/>
    <tableColumn id="22" uniqueName="22" name="2024/6/24 14:52" queryTableFieldId="22" dataDxfId="2546" dataCellStyle="一般 2"/>
    <tableColumn id="23" uniqueName="23" name="F23" queryTableFieldId="23" dataDxfId="2545" dataCellStyle="一般 2"/>
    <tableColumn id="24" uniqueName="24" name="F24" queryTableFieldId="24" dataDxfId="2544" dataCellStyle="一般 2"/>
    <tableColumn id="25" uniqueName="25" name="F25" queryTableFieldId="25" dataDxfId="2543" dataCellStyle="一般 2"/>
    <tableColumn id="26" uniqueName="26" name="F26" queryTableFieldId="26" dataDxfId="2542" dataCellStyle="一般 2"/>
    <tableColumn id="27" uniqueName="27" name="F27" queryTableFieldId="27" dataDxfId="2541" dataCellStyle="一般 2"/>
    <tableColumn id="28" uniqueName="28" name="F28" queryTableFieldId="28" dataDxfId="254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2442" dataDxfId="2441" headerRowCellStyle="一般 2" dataCellStyle="一般 2">
  <autoFilter ref="AG13:BH189"/>
  <tableColumns count="28">
    <tableColumn id="1" uniqueName="1" name="請直接以10進位，謝謝" queryTableFieldId="1" dataDxfId="2440" dataCellStyle="一般 2"/>
    <tableColumn id="2" uniqueName="2" name="F2" queryTableFieldId="2" dataDxfId="2439" dataCellStyle="一般 2"/>
    <tableColumn id="3" uniqueName="3" name="F3" queryTableFieldId="3" dataDxfId="2438" dataCellStyle="一般 2"/>
    <tableColumn id="4" uniqueName="4" name="F4" queryTableFieldId="4" dataDxfId="2437" dataCellStyle="一般 2"/>
    <tableColumn id="5" uniqueName="5" name="F5" queryTableFieldId="5" dataDxfId="2436" dataCellStyle="一般 2"/>
    <tableColumn id="6" uniqueName="6" name="F6" queryTableFieldId="6" dataDxfId="2435" dataCellStyle="一般 2"/>
    <tableColumn id="7" uniqueName="7" name="F7" queryTableFieldId="7" dataDxfId="2434" dataCellStyle="一般 2"/>
    <tableColumn id="8" uniqueName="8" name="F8" queryTableFieldId="8" dataDxfId="2433" dataCellStyle="一般 2"/>
    <tableColumn id="9" uniqueName="9" name="F9" queryTableFieldId="9" dataDxfId="2432" dataCellStyle="一般 2"/>
    <tableColumn id="10" uniqueName="10" name="F10" queryTableFieldId="10" dataDxfId="2431" dataCellStyle="一般 2"/>
    <tableColumn id="11" uniqueName="11" name="F11" queryTableFieldId="11" dataDxfId="2430" dataCellStyle="一般 2"/>
    <tableColumn id="12" uniqueName="12" name="F12" queryTableFieldId="12" dataDxfId="2429" dataCellStyle="一般 2"/>
    <tableColumn id="13" uniqueName="13" name="F13" queryTableFieldId="13" dataDxfId="2428" dataCellStyle="一般 2"/>
    <tableColumn id="14" uniqueName="14" name="F14" queryTableFieldId="14" dataDxfId="2427" dataCellStyle="一般 2"/>
    <tableColumn id="15" uniqueName="15" name="F15" queryTableFieldId="15" dataDxfId="2426" dataCellStyle="一般 2"/>
    <tableColumn id="16" uniqueName="16" name="F16" queryTableFieldId="16" dataDxfId="2425" dataCellStyle="一般 2"/>
    <tableColumn id="17" uniqueName="17" name="F17" queryTableFieldId="17" dataDxfId="2424" dataCellStyle="一般 2"/>
    <tableColumn id="18" uniqueName="18" name="F18" queryTableFieldId="18" dataDxfId="2423" dataCellStyle="一般 2"/>
    <tableColumn id="19" uniqueName="19" name="F19" queryTableFieldId="19" dataDxfId="2422" dataCellStyle="一般 2"/>
    <tableColumn id="20" uniqueName="20" name="F20" queryTableFieldId="20" dataDxfId="2421" dataCellStyle="一般 2"/>
    <tableColumn id="21" uniqueName="21" name="F21" queryTableFieldId="21" dataDxfId="2420" dataCellStyle="一般 2"/>
    <tableColumn id="22" uniqueName="22" name="2024/6/24 14:52" queryTableFieldId="22" dataDxfId="2419" dataCellStyle="一般 2"/>
    <tableColumn id="23" uniqueName="23" name="F23" queryTableFieldId="23" dataDxfId="2418" dataCellStyle="一般 2"/>
    <tableColumn id="24" uniqueName="24" name="F24" queryTableFieldId="24" dataDxfId="2417" dataCellStyle="一般 2"/>
    <tableColumn id="25" uniqueName="25" name="F25" queryTableFieldId="25" dataDxfId="2416" dataCellStyle="一般 2"/>
    <tableColumn id="26" uniqueName="26" name="F26" queryTableFieldId="26" dataDxfId="2415" dataCellStyle="一般 2"/>
    <tableColumn id="27" uniqueName="27" name="F27" queryTableFieldId="27" dataDxfId="2414" dataCellStyle="一般 2"/>
    <tableColumn id="28" uniqueName="28" name="F28" queryTableFieldId="28" dataDxfId="2413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2315" dataDxfId="2314" headerRowCellStyle="一般 2" dataCellStyle="一般 2">
  <autoFilter ref="AG13:BH189"/>
  <tableColumns count="28">
    <tableColumn id="1" uniqueName="1" name="請直接以10進位，謝謝" queryTableFieldId="1" dataDxfId="2313" dataCellStyle="一般 2"/>
    <tableColumn id="2" uniqueName="2" name="F2" queryTableFieldId="2" dataDxfId="2312" dataCellStyle="一般 2"/>
    <tableColumn id="3" uniqueName="3" name="F3" queryTableFieldId="3" dataDxfId="2311" dataCellStyle="一般 2"/>
    <tableColumn id="4" uniqueName="4" name="F4" queryTableFieldId="4" dataDxfId="2310" dataCellStyle="一般 2"/>
    <tableColumn id="5" uniqueName="5" name="F5" queryTableFieldId="5" dataDxfId="2309" dataCellStyle="一般 2"/>
    <tableColumn id="6" uniqueName="6" name="F6" queryTableFieldId="6" dataDxfId="2308" dataCellStyle="一般 2"/>
    <tableColumn id="7" uniqueName="7" name="F7" queryTableFieldId="7" dataDxfId="2307" dataCellStyle="一般 2"/>
    <tableColumn id="8" uniqueName="8" name="F8" queryTableFieldId="8" dataDxfId="2306" dataCellStyle="一般 2"/>
    <tableColumn id="9" uniqueName="9" name="F9" queryTableFieldId="9" dataDxfId="2305" dataCellStyle="一般 2"/>
    <tableColumn id="10" uniqueName="10" name="F10" queryTableFieldId="10" dataDxfId="2304" dataCellStyle="一般 2"/>
    <tableColumn id="11" uniqueName="11" name="F11" queryTableFieldId="11" dataDxfId="2303" dataCellStyle="一般 2"/>
    <tableColumn id="12" uniqueName="12" name="F12" queryTableFieldId="12" dataDxfId="2302" dataCellStyle="一般 2"/>
    <tableColumn id="13" uniqueName="13" name="F13" queryTableFieldId="13" dataDxfId="2301" dataCellStyle="一般 2"/>
    <tableColumn id="14" uniqueName="14" name="F14" queryTableFieldId="14" dataDxfId="2300" dataCellStyle="一般 2"/>
    <tableColumn id="15" uniqueName="15" name="F15" queryTableFieldId="15" dataDxfId="2299" dataCellStyle="一般 2"/>
    <tableColumn id="16" uniqueName="16" name="F16" queryTableFieldId="16" dataDxfId="2298" dataCellStyle="一般 2"/>
    <tableColumn id="17" uniqueName="17" name="F17" queryTableFieldId="17" dataDxfId="2297" dataCellStyle="一般 2"/>
    <tableColumn id="18" uniqueName="18" name="F18" queryTableFieldId="18" dataDxfId="2296" dataCellStyle="一般 2"/>
    <tableColumn id="19" uniqueName="19" name="F19" queryTableFieldId="19" dataDxfId="2295" dataCellStyle="一般 2"/>
    <tableColumn id="20" uniqueName="20" name="F20" queryTableFieldId="20" dataDxfId="2294" dataCellStyle="一般 2"/>
    <tableColumn id="21" uniqueName="21" name="F21" queryTableFieldId="21" dataDxfId="2293" dataCellStyle="一般 2"/>
    <tableColumn id="22" uniqueName="22" name="2024/6/24 14:52" queryTableFieldId="22" dataDxfId="2292" dataCellStyle="一般 2"/>
    <tableColumn id="23" uniqueName="23" name="F23" queryTableFieldId="23" dataDxfId="2291" dataCellStyle="一般 2"/>
    <tableColumn id="24" uniqueName="24" name="F24" queryTableFieldId="24" dataDxfId="2290" dataCellStyle="一般 2"/>
    <tableColumn id="25" uniqueName="25" name="F25" queryTableFieldId="25" dataDxfId="2289" dataCellStyle="一般 2"/>
    <tableColumn id="26" uniqueName="26" name="F26" queryTableFieldId="26" dataDxfId="2288" dataCellStyle="一般 2"/>
    <tableColumn id="27" uniqueName="27" name="F27" queryTableFieldId="27" dataDxfId="2287" dataCellStyle="一般 2"/>
    <tableColumn id="28" uniqueName="28" name="F28" queryTableFieldId="28" dataDxfId="228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2188" dataDxfId="2187" headerRowCellStyle="一般 2" dataCellStyle="一般 2">
  <autoFilter ref="AG13:BH189"/>
  <tableColumns count="28">
    <tableColumn id="1" uniqueName="1" name="請直接以10進位，謝謝" queryTableFieldId="1" dataDxfId="2186" dataCellStyle="一般 2"/>
    <tableColumn id="2" uniqueName="2" name="F2" queryTableFieldId="2" dataDxfId="2185" dataCellStyle="一般 2"/>
    <tableColumn id="3" uniqueName="3" name="F3" queryTableFieldId="3" dataDxfId="2184" dataCellStyle="一般 2"/>
    <tableColumn id="4" uniqueName="4" name="F4" queryTableFieldId="4" dataDxfId="2183" dataCellStyle="一般 2"/>
    <tableColumn id="5" uniqueName="5" name="F5" queryTableFieldId="5" dataDxfId="2182" dataCellStyle="一般 2"/>
    <tableColumn id="6" uniqueName="6" name="F6" queryTableFieldId="6" dataDxfId="2181" dataCellStyle="一般 2"/>
    <tableColumn id="7" uniqueName="7" name="F7" queryTableFieldId="7" dataDxfId="2180" dataCellStyle="一般 2"/>
    <tableColumn id="8" uniqueName="8" name="F8" queryTableFieldId="8" dataDxfId="2179" dataCellStyle="一般 2"/>
    <tableColumn id="9" uniqueName="9" name="F9" queryTableFieldId="9" dataDxfId="2178" dataCellStyle="一般 2"/>
    <tableColumn id="10" uniqueName="10" name="F10" queryTableFieldId="10" dataDxfId="2177" dataCellStyle="一般 2"/>
    <tableColumn id="11" uniqueName="11" name="F11" queryTableFieldId="11" dataDxfId="2176" dataCellStyle="一般 2"/>
    <tableColumn id="12" uniqueName="12" name="F12" queryTableFieldId="12" dataDxfId="2175" dataCellStyle="一般 2"/>
    <tableColumn id="13" uniqueName="13" name="F13" queryTableFieldId="13" dataDxfId="2174" dataCellStyle="一般 2"/>
    <tableColumn id="14" uniqueName="14" name="F14" queryTableFieldId="14" dataDxfId="2173" dataCellStyle="一般 2"/>
    <tableColumn id="15" uniqueName="15" name="F15" queryTableFieldId="15" dataDxfId="2172" dataCellStyle="一般 2"/>
    <tableColumn id="16" uniqueName="16" name="F16" queryTableFieldId="16" dataDxfId="2171" dataCellStyle="一般 2"/>
    <tableColumn id="17" uniqueName="17" name="F17" queryTableFieldId="17" dataDxfId="2170" dataCellStyle="一般 2"/>
    <tableColumn id="18" uniqueName="18" name="F18" queryTableFieldId="18" dataDxfId="2169" dataCellStyle="一般 2"/>
    <tableColumn id="19" uniqueName="19" name="F19" queryTableFieldId="19" dataDxfId="2168" dataCellStyle="一般 2"/>
    <tableColumn id="20" uniqueName="20" name="F20" queryTableFieldId="20" dataDxfId="2167" dataCellStyle="一般 2"/>
    <tableColumn id="21" uniqueName="21" name="F21" queryTableFieldId="21" dataDxfId="2166" dataCellStyle="一般 2"/>
    <tableColumn id="22" uniqueName="22" name="2024/6/24 14:52" queryTableFieldId="22" dataDxfId="2165" dataCellStyle="一般 2"/>
    <tableColumn id="23" uniqueName="23" name="F23" queryTableFieldId="23" dataDxfId="2164" dataCellStyle="一般 2"/>
    <tableColumn id="24" uniqueName="24" name="F24" queryTableFieldId="24" dataDxfId="2163" dataCellStyle="一般 2"/>
    <tableColumn id="25" uniqueName="25" name="F25" queryTableFieldId="25" dataDxfId="2162" dataCellStyle="一般 2"/>
    <tableColumn id="26" uniqueName="26" name="F26" queryTableFieldId="26" dataDxfId="2161" dataCellStyle="一般 2"/>
    <tableColumn id="27" uniqueName="27" name="F27" queryTableFieldId="27" dataDxfId="2160" dataCellStyle="一般 2"/>
    <tableColumn id="28" uniqueName="28" name="F28" queryTableFieldId="28" dataDxfId="2159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2061" dataDxfId="2060" headerRowCellStyle="一般 2" dataCellStyle="一般 2">
  <autoFilter ref="AG13:BH189"/>
  <tableColumns count="28">
    <tableColumn id="1" uniqueName="1" name="請直接以10進位，謝謝" queryTableFieldId="1" dataDxfId="2059" dataCellStyle="一般 2"/>
    <tableColumn id="2" uniqueName="2" name="F2" queryTableFieldId="2" dataDxfId="2058" dataCellStyle="一般 2"/>
    <tableColumn id="3" uniqueName="3" name="F3" queryTableFieldId="3" dataDxfId="2057" dataCellStyle="一般 2"/>
    <tableColumn id="4" uniqueName="4" name="F4" queryTableFieldId="4" dataDxfId="2056" dataCellStyle="一般 2"/>
    <tableColumn id="5" uniqueName="5" name="F5" queryTableFieldId="5" dataDxfId="2055" dataCellStyle="一般 2"/>
    <tableColumn id="6" uniqueName="6" name="F6" queryTableFieldId="6" dataDxfId="2054" dataCellStyle="一般 2"/>
    <tableColumn id="7" uniqueName="7" name="F7" queryTableFieldId="7" dataDxfId="2053" dataCellStyle="一般 2"/>
    <tableColumn id="8" uniqueName="8" name="F8" queryTableFieldId="8" dataDxfId="2052" dataCellStyle="一般 2"/>
    <tableColumn id="9" uniqueName="9" name="F9" queryTableFieldId="9" dataDxfId="2051" dataCellStyle="一般 2"/>
    <tableColumn id="10" uniqueName="10" name="F10" queryTableFieldId="10" dataDxfId="2050" dataCellStyle="一般 2"/>
    <tableColumn id="11" uniqueName="11" name="F11" queryTableFieldId="11" dataDxfId="2049" dataCellStyle="一般 2"/>
    <tableColumn id="12" uniqueName="12" name="F12" queryTableFieldId="12" dataDxfId="2048" dataCellStyle="一般 2"/>
    <tableColumn id="13" uniqueName="13" name="F13" queryTableFieldId="13" dataDxfId="2047" dataCellStyle="一般 2"/>
    <tableColumn id="14" uniqueName="14" name="F14" queryTableFieldId="14" dataDxfId="2046" dataCellStyle="一般 2"/>
    <tableColumn id="15" uniqueName="15" name="F15" queryTableFieldId="15" dataDxfId="2045" dataCellStyle="一般 2"/>
    <tableColumn id="16" uniqueName="16" name="F16" queryTableFieldId="16" dataDxfId="2044" dataCellStyle="一般 2"/>
    <tableColumn id="17" uniqueName="17" name="F17" queryTableFieldId="17" dataDxfId="2043" dataCellStyle="一般 2"/>
    <tableColumn id="18" uniqueName="18" name="F18" queryTableFieldId="18" dataDxfId="2042" dataCellStyle="一般 2"/>
    <tableColumn id="19" uniqueName="19" name="F19" queryTableFieldId="19" dataDxfId="2041" dataCellStyle="一般 2"/>
    <tableColumn id="20" uniqueName="20" name="F20" queryTableFieldId="20" dataDxfId="2040" dataCellStyle="一般 2"/>
    <tableColumn id="21" uniqueName="21" name="F21" queryTableFieldId="21" dataDxfId="2039" dataCellStyle="一般 2"/>
    <tableColumn id="22" uniqueName="22" name="2024/6/24 14:52" queryTableFieldId="22" dataDxfId="2038" dataCellStyle="一般 2"/>
    <tableColumn id="23" uniqueName="23" name="F23" queryTableFieldId="23" dataDxfId="2037" dataCellStyle="一般 2"/>
    <tableColumn id="24" uniqueName="24" name="F24" queryTableFieldId="24" dataDxfId="2036" dataCellStyle="一般 2"/>
    <tableColumn id="25" uniqueName="25" name="F25" queryTableFieldId="25" dataDxfId="2035" dataCellStyle="一般 2"/>
    <tableColumn id="26" uniqueName="26" name="F26" queryTableFieldId="26" dataDxfId="2034" dataCellStyle="一般 2"/>
    <tableColumn id="27" uniqueName="27" name="F27" queryTableFieldId="27" dataDxfId="2033" dataCellStyle="一般 2"/>
    <tableColumn id="28" uniqueName="28" name="F28" queryTableFieldId="28" dataDxfId="203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1934" dataDxfId="1933" headerRowCellStyle="一般 2" dataCellStyle="一般 2">
  <autoFilter ref="AG13:BH189"/>
  <tableColumns count="28">
    <tableColumn id="1" uniqueName="1" name="請直接以10進位，謝謝" queryTableFieldId="1" dataDxfId="1932" dataCellStyle="一般 2"/>
    <tableColumn id="2" uniqueName="2" name="F2" queryTableFieldId="2" dataDxfId="1931" dataCellStyle="一般 2"/>
    <tableColumn id="3" uniqueName="3" name="F3" queryTableFieldId="3" dataDxfId="1930" dataCellStyle="一般 2"/>
    <tableColumn id="4" uniqueName="4" name="F4" queryTableFieldId="4" dataDxfId="1929" dataCellStyle="一般 2"/>
    <tableColumn id="5" uniqueName="5" name="F5" queryTableFieldId="5" dataDxfId="1928" dataCellStyle="一般 2"/>
    <tableColumn id="6" uniqueName="6" name="F6" queryTableFieldId="6" dataDxfId="1927" dataCellStyle="一般 2"/>
    <tableColumn id="7" uniqueName="7" name="F7" queryTableFieldId="7" dataDxfId="1926" dataCellStyle="一般 2"/>
    <tableColumn id="8" uniqueName="8" name="F8" queryTableFieldId="8" dataDxfId="1925" dataCellStyle="一般 2"/>
    <tableColumn id="9" uniqueName="9" name="F9" queryTableFieldId="9" dataDxfId="1924" dataCellStyle="一般 2"/>
    <tableColumn id="10" uniqueName="10" name="F10" queryTableFieldId="10" dataDxfId="1923" dataCellStyle="一般 2"/>
    <tableColumn id="11" uniqueName="11" name="F11" queryTableFieldId="11" dataDxfId="1922" dataCellStyle="一般 2"/>
    <tableColumn id="12" uniqueName="12" name="F12" queryTableFieldId="12" dataDxfId="1921" dataCellStyle="一般 2"/>
    <tableColumn id="13" uniqueName="13" name="F13" queryTableFieldId="13" dataDxfId="1920" dataCellStyle="一般 2"/>
    <tableColumn id="14" uniqueName="14" name="F14" queryTableFieldId="14" dataDxfId="1919" dataCellStyle="一般 2"/>
    <tableColumn id="15" uniqueName="15" name="F15" queryTableFieldId="15" dataDxfId="1918" dataCellStyle="一般 2"/>
    <tableColumn id="16" uniqueName="16" name="F16" queryTableFieldId="16" dataDxfId="1917" dataCellStyle="一般 2"/>
    <tableColumn id="17" uniqueName="17" name="F17" queryTableFieldId="17" dataDxfId="1916" dataCellStyle="一般 2"/>
    <tableColumn id="18" uniqueName="18" name="F18" queryTableFieldId="18" dataDxfId="1915" dataCellStyle="一般 2"/>
    <tableColumn id="19" uniqueName="19" name="F19" queryTableFieldId="19" dataDxfId="1914" dataCellStyle="一般 2"/>
    <tableColumn id="20" uniqueName="20" name="F20" queryTableFieldId="20" dataDxfId="1913" dataCellStyle="一般 2"/>
    <tableColumn id="21" uniqueName="21" name="F21" queryTableFieldId="21" dataDxfId="1912" dataCellStyle="一般 2"/>
    <tableColumn id="22" uniqueName="22" name="2024/6/24 14:52" queryTableFieldId="22" dataDxfId="1911" dataCellStyle="一般 2"/>
    <tableColumn id="23" uniqueName="23" name="F23" queryTableFieldId="23" dataDxfId="1910" dataCellStyle="一般 2"/>
    <tableColumn id="24" uniqueName="24" name="F24" queryTableFieldId="24" dataDxfId="1909" dataCellStyle="一般 2"/>
    <tableColumn id="25" uniqueName="25" name="F25" queryTableFieldId="25" dataDxfId="1908" dataCellStyle="一般 2"/>
    <tableColumn id="26" uniqueName="26" name="F26" queryTableFieldId="26" dataDxfId="1907" dataCellStyle="一般 2"/>
    <tableColumn id="27" uniqueName="27" name="F27" queryTableFieldId="27" dataDxfId="1906" dataCellStyle="一般 2"/>
    <tableColumn id="28" uniqueName="28" name="F28" queryTableFieldId="28" dataDxfId="1905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807" dataDxfId="1806" headerRowCellStyle="一般 2" dataCellStyle="一般 2">
  <autoFilter ref="AG13:BH189"/>
  <tableColumns count="28">
    <tableColumn id="1" uniqueName="1" name="請直接以10進位，謝謝" queryTableFieldId="1" dataDxfId="1805" dataCellStyle="一般 2"/>
    <tableColumn id="2" uniqueName="2" name="F2" queryTableFieldId="2" dataDxfId="1804" dataCellStyle="一般 2"/>
    <tableColumn id="3" uniqueName="3" name="F3" queryTableFieldId="3" dataDxfId="1803" dataCellStyle="一般 2"/>
    <tableColumn id="4" uniqueName="4" name="F4" queryTableFieldId="4" dataDxfId="1802" dataCellStyle="一般 2"/>
    <tableColumn id="5" uniqueName="5" name="F5" queryTableFieldId="5" dataDxfId="1801" dataCellStyle="一般 2"/>
    <tableColumn id="6" uniqueName="6" name="F6" queryTableFieldId="6" dataDxfId="1800" dataCellStyle="一般 2"/>
    <tableColumn id="7" uniqueName="7" name="F7" queryTableFieldId="7" dataDxfId="1799" dataCellStyle="一般 2"/>
    <tableColumn id="8" uniqueName="8" name="F8" queryTableFieldId="8" dataDxfId="1798" dataCellStyle="一般 2"/>
    <tableColumn id="9" uniqueName="9" name="F9" queryTableFieldId="9" dataDxfId="1797" dataCellStyle="一般 2"/>
    <tableColumn id="10" uniqueName="10" name="F10" queryTableFieldId="10" dataDxfId="1796" dataCellStyle="一般 2"/>
    <tableColumn id="11" uniqueName="11" name="F11" queryTableFieldId="11" dataDxfId="1795" dataCellStyle="一般 2"/>
    <tableColumn id="12" uniqueName="12" name="F12" queryTableFieldId="12" dataDxfId="1794" dataCellStyle="一般 2"/>
    <tableColumn id="13" uniqueName="13" name="F13" queryTableFieldId="13" dataDxfId="1793" dataCellStyle="一般 2"/>
    <tableColumn id="14" uniqueName="14" name="F14" queryTableFieldId="14" dataDxfId="1792" dataCellStyle="一般 2"/>
    <tableColumn id="15" uniqueName="15" name="F15" queryTableFieldId="15" dataDxfId="1791" dataCellStyle="一般 2"/>
    <tableColumn id="16" uniqueName="16" name="F16" queryTableFieldId="16" dataDxfId="1790" dataCellStyle="一般 2"/>
    <tableColumn id="17" uniqueName="17" name="F17" queryTableFieldId="17" dataDxfId="1789" dataCellStyle="一般 2"/>
    <tableColumn id="18" uniqueName="18" name="F18" queryTableFieldId="18" dataDxfId="1788" dataCellStyle="一般 2"/>
    <tableColumn id="19" uniqueName="19" name="F19" queryTableFieldId="19" dataDxfId="1787" dataCellStyle="一般 2"/>
    <tableColumn id="20" uniqueName="20" name="F20" queryTableFieldId="20" dataDxfId="1786" dataCellStyle="一般 2"/>
    <tableColumn id="21" uniqueName="21" name="F21" queryTableFieldId="21" dataDxfId="1785" dataCellStyle="一般 2"/>
    <tableColumn id="22" uniqueName="22" name="2024/6/24 14:52" queryTableFieldId="22" dataDxfId="1784" dataCellStyle="一般 2"/>
    <tableColumn id="23" uniqueName="23" name="F23" queryTableFieldId="23" dataDxfId="1783" dataCellStyle="一般 2"/>
    <tableColumn id="24" uniqueName="24" name="F24" queryTableFieldId="24" dataDxfId="1782" dataCellStyle="一般 2"/>
    <tableColumn id="25" uniqueName="25" name="F25" queryTableFieldId="25" dataDxfId="1781" dataCellStyle="一般 2"/>
    <tableColumn id="26" uniqueName="26" name="F26" queryTableFieldId="26" dataDxfId="1780" dataCellStyle="一般 2"/>
    <tableColumn id="27" uniqueName="27" name="F27" queryTableFieldId="27" dataDxfId="1779" dataCellStyle="一般 2"/>
    <tableColumn id="28" uniqueName="28" name="F28" queryTableFieldId="28" dataDxfId="1778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680" dataDxfId="1679" headerRowCellStyle="一般 2" dataCellStyle="一般 2">
  <autoFilter ref="AG13:BH189"/>
  <tableColumns count="28">
    <tableColumn id="1" uniqueName="1" name="請直接以10進位，謝謝" queryTableFieldId="1" dataDxfId="1678" dataCellStyle="一般 2"/>
    <tableColumn id="2" uniqueName="2" name="F2" queryTableFieldId="2" dataDxfId="1677" dataCellStyle="一般 2"/>
    <tableColumn id="3" uniqueName="3" name="F3" queryTableFieldId="3" dataDxfId="1676" dataCellStyle="一般 2"/>
    <tableColumn id="4" uniqueName="4" name="F4" queryTableFieldId="4" dataDxfId="1675" dataCellStyle="一般 2"/>
    <tableColumn id="5" uniqueName="5" name="F5" queryTableFieldId="5" dataDxfId="1674" dataCellStyle="一般 2"/>
    <tableColumn id="6" uniqueName="6" name="F6" queryTableFieldId="6" dataDxfId="1673" dataCellStyle="一般 2"/>
    <tableColumn id="7" uniqueName="7" name="F7" queryTableFieldId="7" dataDxfId="1672" dataCellStyle="一般 2"/>
    <tableColumn id="8" uniqueName="8" name="F8" queryTableFieldId="8" dataDxfId="1671" dataCellStyle="一般 2"/>
    <tableColumn id="9" uniqueName="9" name="F9" queryTableFieldId="9" dataDxfId="1670" dataCellStyle="一般 2"/>
    <tableColumn id="10" uniqueName="10" name="F10" queryTableFieldId="10" dataDxfId="1669" dataCellStyle="一般 2"/>
    <tableColumn id="11" uniqueName="11" name="F11" queryTableFieldId="11" dataDxfId="1668" dataCellStyle="一般 2"/>
    <tableColumn id="12" uniqueName="12" name="F12" queryTableFieldId="12" dataDxfId="1667" dataCellStyle="一般 2"/>
    <tableColumn id="13" uniqueName="13" name="F13" queryTableFieldId="13" dataDxfId="1666" dataCellStyle="一般 2"/>
    <tableColumn id="14" uniqueName="14" name="F14" queryTableFieldId="14" dataDxfId="1665" dataCellStyle="一般 2"/>
    <tableColumn id="15" uniqueName="15" name="F15" queryTableFieldId="15" dataDxfId="1664" dataCellStyle="一般 2"/>
    <tableColumn id="16" uniqueName="16" name="F16" queryTableFieldId="16" dataDxfId="1663" dataCellStyle="一般 2"/>
    <tableColumn id="17" uniqueName="17" name="F17" queryTableFieldId="17" dataDxfId="1662" dataCellStyle="一般 2"/>
    <tableColumn id="18" uniqueName="18" name="F18" queryTableFieldId="18" dataDxfId="1661" dataCellStyle="一般 2"/>
    <tableColumn id="19" uniqueName="19" name="F19" queryTableFieldId="19" dataDxfId="1660" dataCellStyle="一般 2"/>
    <tableColumn id="20" uniqueName="20" name="F20" queryTableFieldId="20" dataDxfId="1659" dataCellStyle="一般 2"/>
    <tableColumn id="21" uniqueName="21" name="F21" queryTableFieldId="21" dataDxfId="1658" dataCellStyle="一般 2"/>
    <tableColumn id="22" uniqueName="22" name="2024/6/24 14:52" queryTableFieldId="22" dataDxfId="1657" dataCellStyle="一般 2"/>
    <tableColumn id="23" uniqueName="23" name="F23" queryTableFieldId="23" dataDxfId="1656" dataCellStyle="一般 2"/>
    <tableColumn id="24" uniqueName="24" name="F24" queryTableFieldId="24" dataDxfId="1655" dataCellStyle="一般 2"/>
    <tableColumn id="25" uniqueName="25" name="F25" queryTableFieldId="25" dataDxfId="1654" dataCellStyle="一般 2"/>
    <tableColumn id="26" uniqueName="26" name="F26" queryTableFieldId="26" dataDxfId="1653" dataCellStyle="一般 2"/>
    <tableColumn id="27" uniqueName="27" name="F27" queryTableFieldId="27" dataDxfId="1652" dataCellStyle="一般 2"/>
    <tableColumn id="28" uniqueName="28" name="F28" queryTableFieldId="28" dataDxfId="1651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1553" dataDxfId="1552" headerRowCellStyle="一般 2" dataCellStyle="一般 2">
  <autoFilter ref="AG13:BH189"/>
  <tableColumns count="28">
    <tableColumn id="1" uniqueName="1" name="請直接以10進位，謝謝" queryTableFieldId="1" dataDxfId="1551" dataCellStyle="一般 2"/>
    <tableColumn id="2" uniqueName="2" name="F2" queryTableFieldId="2" dataDxfId="1550" dataCellStyle="一般 2"/>
    <tableColumn id="3" uniqueName="3" name="F3" queryTableFieldId="3" dataDxfId="1549" dataCellStyle="一般 2"/>
    <tableColumn id="4" uniqueName="4" name="F4" queryTableFieldId="4" dataDxfId="1548" dataCellStyle="一般 2"/>
    <tableColumn id="5" uniqueName="5" name="F5" queryTableFieldId="5" dataDxfId="1547" dataCellStyle="一般 2"/>
    <tableColumn id="6" uniqueName="6" name="F6" queryTableFieldId="6" dataDxfId="1546" dataCellStyle="一般 2"/>
    <tableColumn id="7" uniqueName="7" name="F7" queryTableFieldId="7" dataDxfId="1545" dataCellStyle="一般 2"/>
    <tableColumn id="8" uniqueName="8" name="F8" queryTableFieldId="8" dataDxfId="1544" dataCellStyle="一般 2"/>
    <tableColumn id="9" uniqueName="9" name="F9" queryTableFieldId="9" dataDxfId="1543" dataCellStyle="一般 2"/>
    <tableColumn id="10" uniqueName="10" name="F10" queryTableFieldId="10" dataDxfId="1542" dataCellStyle="一般 2"/>
    <tableColumn id="11" uniqueName="11" name="F11" queryTableFieldId="11" dataDxfId="1541" dataCellStyle="一般 2"/>
    <tableColumn id="12" uniqueName="12" name="F12" queryTableFieldId="12" dataDxfId="1540" dataCellStyle="一般 2"/>
    <tableColumn id="13" uniqueName="13" name="F13" queryTableFieldId="13" dataDxfId="1539" dataCellStyle="一般 2"/>
    <tableColumn id="14" uniqueName="14" name="F14" queryTableFieldId="14" dataDxfId="1538" dataCellStyle="一般 2"/>
    <tableColumn id="15" uniqueName="15" name="F15" queryTableFieldId="15" dataDxfId="1537" dataCellStyle="一般 2"/>
    <tableColumn id="16" uniqueName="16" name="F16" queryTableFieldId="16" dataDxfId="1536" dataCellStyle="一般 2"/>
    <tableColumn id="17" uniqueName="17" name="F17" queryTableFieldId="17" dataDxfId="1535" dataCellStyle="一般 2"/>
    <tableColumn id="18" uniqueName="18" name="F18" queryTableFieldId="18" dataDxfId="1534" dataCellStyle="一般 2"/>
    <tableColumn id="19" uniqueName="19" name="F19" queryTableFieldId="19" dataDxfId="1533" dataCellStyle="一般 2"/>
    <tableColumn id="20" uniqueName="20" name="F20" queryTableFieldId="20" dataDxfId="1532" dataCellStyle="一般 2"/>
    <tableColumn id="21" uniqueName="21" name="F21" queryTableFieldId="21" dataDxfId="1531" dataCellStyle="一般 2"/>
    <tableColumn id="22" uniqueName="22" name="2024/6/24 14:52" queryTableFieldId="22" dataDxfId="1530" dataCellStyle="一般 2"/>
    <tableColumn id="23" uniqueName="23" name="F23" queryTableFieldId="23" dataDxfId="1529" dataCellStyle="一般 2"/>
    <tableColumn id="24" uniqueName="24" name="F24" queryTableFieldId="24" dataDxfId="1528" dataCellStyle="一般 2"/>
    <tableColumn id="25" uniqueName="25" name="F25" queryTableFieldId="25" dataDxfId="1527" dataCellStyle="一般 2"/>
    <tableColumn id="26" uniqueName="26" name="F26" queryTableFieldId="26" dataDxfId="1526" dataCellStyle="一般 2"/>
    <tableColumn id="27" uniqueName="27" name="F27" queryTableFieldId="27" dataDxfId="1525" dataCellStyle="一般 2"/>
    <tableColumn id="28" uniqueName="28" name="F28" queryTableFieldId="28" dataDxfId="1524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426" dataDxfId="1425" headerRowCellStyle="一般 2" dataCellStyle="一般 2">
  <autoFilter ref="AG13:BH189"/>
  <tableColumns count="28">
    <tableColumn id="1" uniqueName="1" name="請直接以10進位，謝謝" queryTableFieldId="1" dataDxfId="1424" dataCellStyle="一般 2"/>
    <tableColumn id="2" uniqueName="2" name="F2" queryTableFieldId="2" dataDxfId="1423" dataCellStyle="一般 2"/>
    <tableColumn id="3" uniqueName="3" name="F3" queryTableFieldId="3" dataDxfId="1422" dataCellStyle="一般 2"/>
    <tableColumn id="4" uniqueName="4" name="F4" queryTableFieldId="4" dataDxfId="1421" dataCellStyle="一般 2"/>
    <tableColumn id="5" uniqueName="5" name="F5" queryTableFieldId="5" dataDxfId="1420" dataCellStyle="一般 2"/>
    <tableColumn id="6" uniqueName="6" name="F6" queryTableFieldId="6" dataDxfId="1419" dataCellStyle="一般 2"/>
    <tableColumn id="7" uniqueName="7" name="F7" queryTableFieldId="7" dataDxfId="1418" dataCellStyle="一般 2"/>
    <tableColumn id="8" uniqueName="8" name="F8" queryTableFieldId="8" dataDxfId="1417" dataCellStyle="一般 2"/>
    <tableColumn id="9" uniqueName="9" name="F9" queryTableFieldId="9" dataDxfId="1416" dataCellStyle="一般 2"/>
    <tableColumn id="10" uniqueName="10" name="F10" queryTableFieldId="10" dataDxfId="1415" dataCellStyle="一般 2"/>
    <tableColumn id="11" uniqueName="11" name="F11" queryTableFieldId="11" dataDxfId="1414" dataCellStyle="一般 2"/>
    <tableColumn id="12" uniqueName="12" name="F12" queryTableFieldId="12" dataDxfId="1413" dataCellStyle="一般 2"/>
    <tableColumn id="13" uniqueName="13" name="F13" queryTableFieldId="13" dataDxfId="1412" dataCellStyle="一般 2"/>
    <tableColumn id="14" uniqueName="14" name="F14" queryTableFieldId="14" dataDxfId="1411" dataCellStyle="一般 2"/>
    <tableColumn id="15" uniqueName="15" name="F15" queryTableFieldId="15" dataDxfId="1410" dataCellStyle="一般 2"/>
    <tableColumn id="16" uniqueName="16" name="F16" queryTableFieldId="16" dataDxfId="1409" dataCellStyle="一般 2"/>
    <tableColumn id="17" uniqueName="17" name="F17" queryTableFieldId="17" dataDxfId="1408" dataCellStyle="一般 2"/>
    <tableColumn id="18" uniqueName="18" name="F18" queryTableFieldId="18" dataDxfId="1407" dataCellStyle="一般 2"/>
    <tableColumn id="19" uniqueName="19" name="F19" queryTableFieldId="19" dataDxfId="1406" dataCellStyle="一般 2"/>
    <tableColumn id="20" uniqueName="20" name="F20" queryTableFieldId="20" dataDxfId="1405" dataCellStyle="一般 2"/>
    <tableColumn id="21" uniqueName="21" name="F21" queryTableFieldId="21" dataDxfId="1404" dataCellStyle="一般 2"/>
    <tableColumn id="22" uniqueName="22" name="2024/6/24 14:52" queryTableFieldId="22" dataDxfId="1403" dataCellStyle="一般 2"/>
    <tableColumn id="23" uniqueName="23" name="F23" queryTableFieldId="23" dataDxfId="1402" dataCellStyle="一般 2"/>
    <tableColumn id="24" uniqueName="24" name="F24" queryTableFieldId="24" dataDxfId="1401" dataCellStyle="一般 2"/>
    <tableColumn id="25" uniqueName="25" name="F25" queryTableFieldId="25" dataDxfId="1400" dataCellStyle="一般 2"/>
    <tableColumn id="26" uniqueName="26" name="F26" queryTableFieldId="26" dataDxfId="1399" dataCellStyle="一般 2"/>
    <tableColumn id="27" uniqueName="27" name="F27" queryTableFieldId="27" dataDxfId="1398" dataCellStyle="一般 2"/>
    <tableColumn id="28" uniqueName="28" name="F28" queryTableFieldId="28" dataDxfId="139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1299" dataDxfId="1298" headerRowCellStyle="一般 2" dataCellStyle="一般 2">
  <autoFilter ref="AG13:BH189"/>
  <tableColumns count="28">
    <tableColumn id="1" uniqueName="1" name="請直接以10進位，謝謝" queryTableFieldId="1" dataDxfId="1297" dataCellStyle="一般 2"/>
    <tableColumn id="2" uniqueName="2" name="F2" queryTableFieldId="2" dataDxfId="1296" dataCellStyle="一般 2"/>
    <tableColumn id="3" uniqueName="3" name="F3" queryTableFieldId="3" dataDxfId="1295" dataCellStyle="一般 2"/>
    <tableColumn id="4" uniqueName="4" name="F4" queryTableFieldId="4" dataDxfId="1294" dataCellStyle="一般 2"/>
    <tableColumn id="5" uniqueName="5" name="F5" queryTableFieldId="5" dataDxfId="1293" dataCellStyle="一般 2"/>
    <tableColumn id="6" uniqueName="6" name="F6" queryTableFieldId="6" dataDxfId="1292" dataCellStyle="一般 2"/>
    <tableColumn id="7" uniqueName="7" name="F7" queryTableFieldId="7" dataDxfId="1291" dataCellStyle="一般 2"/>
    <tableColumn id="8" uniqueName="8" name="F8" queryTableFieldId="8" dataDxfId="1290" dataCellStyle="一般 2"/>
    <tableColumn id="9" uniqueName="9" name="F9" queryTableFieldId="9" dataDxfId="1289" dataCellStyle="一般 2"/>
    <tableColumn id="10" uniqueName="10" name="F10" queryTableFieldId="10" dataDxfId="1288" dataCellStyle="一般 2"/>
    <tableColumn id="11" uniqueName="11" name="F11" queryTableFieldId="11" dataDxfId="1287" dataCellStyle="一般 2"/>
    <tableColumn id="12" uniqueName="12" name="F12" queryTableFieldId="12" dataDxfId="1286" dataCellStyle="一般 2"/>
    <tableColumn id="13" uniqueName="13" name="F13" queryTableFieldId="13" dataDxfId="1285" dataCellStyle="一般 2"/>
    <tableColumn id="14" uniqueName="14" name="F14" queryTableFieldId="14" dataDxfId="1284" dataCellStyle="一般 2"/>
    <tableColumn id="15" uniqueName="15" name="F15" queryTableFieldId="15" dataDxfId="1283" dataCellStyle="一般 2"/>
    <tableColumn id="16" uniqueName="16" name="F16" queryTableFieldId="16" dataDxfId="1282" dataCellStyle="一般 2"/>
    <tableColumn id="17" uniqueName="17" name="F17" queryTableFieldId="17" dataDxfId="1281" dataCellStyle="一般 2"/>
    <tableColumn id="18" uniqueName="18" name="F18" queryTableFieldId="18" dataDxfId="1280" dataCellStyle="一般 2"/>
    <tableColumn id="19" uniqueName="19" name="F19" queryTableFieldId="19" dataDxfId="1279" dataCellStyle="一般 2"/>
    <tableColumn id="20" uniqueName="20" name="F20" queryTableFieldId="20" dataDxfId="1278" dataCellStyle="一般 2"/>
    <tableColumn id="21" uniqueName="21" name="F21" queryTableFieldId="21" dataDxfId="1277" dataCellStyle="一般 2"/>
    <tableColumn id="22" uniqueName="22" name="2024/6/24 14:52" queryTableFieldId="22" dataDxfId="1276" dataCellStyle="一般 2"/>
    <tableColumn id="23" uniqueName="23" name="F23" queryTableFieldId="23" dataDxfId="1275" dataCellStyle="一般 2"/>
    <tableColumn id="24" uniqueName="24" name="F24" queryTableFieldId="24" dataDxfId="1274" dataCellStyle="一般 2"/>
    <tableColumn id="25" uniqueName="25" name="F25" queryTableFieldId="25" dataDxfId="1273" dataCellStyle="一般 2"/>
    <tableColumn id="26" uniqueName="26" name="F26" queryTableFieldId="26" dataDxfId="1272" dataCellStyle="一般 2"/>
    <tableColumn id="27" uniqueName="27" name="F27" queryTableFieldId="27" dataDxfId="1271" dataCellStyle="一般 2"/>
    <tableColumn id="28" uniqueName="28" name="F28" queryTableFieldId="28" dataDxfId="127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172" dataDxfId="1171" headerRowCellStyle="一般 2" dataCellStyle="一般 2">
  <autoFilter ref="AG13:BH189"/>
  <tableColumns count="28">
    <tableColumn id="1" uniqueName="1" name="請直接以10進位，謝謝" queryTableFieldId="1" dataDxfId="1170" dataCellStyle="一般 2"/>
    <tableColumn id="2" uniqueName="2" name="F2" queryTableFieldId="2" dataDxfId="1169" dataCellStyle="一般 2"/>
    <tableColumn id="3" uniqueName="3" name="F3" queryTableFieldId="3" dataDxfId="1168" dataCellStyle="一般 2"/>
    <tableColumn id="4" uniqueName="4" name="F4" queryTableFieldId="4" dataDxfId="1167" dataCellStyle="一般 2"/>
    <tableColumn id="5" uniqueName="5" name="F5" queryTableFieldId="5" dataDxfId="1166" dataCellStyle="一般 2"/>
    <tableColumn id="6" uniqueName="6" name="F6" queryTableFieldId="6" dataDxfId="1165" dataCellStyle="一般 2"/>
    <tableColumn id="7" uniqueName="7" name="F7" queryTableFieldId="7" dataDxfId="1164" dataCellStyle="一般 2"/>
    <tableColumn id="8" uniqueName="8" name="F8" queryTableFieldId="8" dataDxfId="1163" dataCellStyle="一般 2"/>
    <tableColumn id="9" uniqueName="9" name="F9" queryTableFieldId="9" dataDxfId="1162" dataCellStyle="一般 2"/>
    <tableColumn id="10" uniqueName="10" name="F10" queryTableFieldId="10" dataDxfId="1161" dataCellStyle="一般 2"/>
    <tableColumn id="11" uniqueName="11" name="F11" queryTableFieldId="11" dataDxfId="1160" dataCellStyle="一般 2"/>
    <tableColumn id="12" uniqueName="12" name="F12" queryTableFieldId="12" dataDxfId="1159" dataCellStyle="一般 2"/>
    <tableColumn id="13" uniqueName="13" name="F13" queryTableFieldId="13" dataDxfId="1158" dataCellStyle="一般 2"/>
    <tableColumn id="14" uniqueName="14" name="F14" queryTableFieldId="14" dataDxfId="1157" dataCellStyle="一般 2"/>
    <tableColumn id="15" uniqueName="15" name="F15" queryTableFieldId="15" dataDxfId="1156" dataCellStyle="一般 2"/>
    <tableColumn id="16" uniqueName="16" name="F16" queryTableFieldId="16" dataDxfId="1155" dataCellStyle="一般 2"/>
    <tableColumn id="17" uniqueName="17" name="F17" queryTableFieldId="17" dataDxfId="1154" dataCellStyle="一般 2"/>
    <tableColumn id="18" uniqueName="18" name="F18" queryTableFieldId="18" dataDxfId="1153" dataCellStyle="一般 2"/>
    <tableColumn id="19" uniqueName="19" name="F19" queryTableFieldId="19" dataDxfId="1152" dataCellStyle="一般 2"/>
    <tableColumn id="20" uniqueName="20" name="F20" queryTableFieldId="20" dataDxfId="1151" dataCellStyle="一般 2"/>
    <tableColumn id="21" uniqueName="21" name="F21" queryTableFieldId="21" dataDxfId="1150" dataCellStyle="一般 2"/>
    <tableColumn id="22" uniqueName="22" name="2024/6/24 14:52" queryTableFieldId="22" dataDxfId="1149" dataCellStyle="一般 2"/>
    <tableColumn id="23" uniqueName="23" name="F23" queryTableFieldId="23" dataDxfId="1148" dataCellStyle="一般 2"/>
    <tableColumn id="24" uniqueName="24" name="F24" queryTableFieldId="24" dataDxfId="1147" dataCellStyle="一般 2"/>
    <tableColumn id="25" uniqueName="25" name="F25" queryTableFieldId="25" dataDxfId="1146" dataCellStyle="一般 2"/>
    <tableColumn id="26" uniqueName="26" name="F26" queryTableFieldId="26" dataDxfId="1145" dataCellStyle="一般 2"/>
    <tableColumn id="27" uniqueName="27" name="F27" queryTableFieldId="27" dataDxfId="1144" dataCellStyle="一般 2"/>
    <tableColumn id="28" uniqueName="28" name="F28" queryTableFieldId="28" dataDxfId="1143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1045" dataDxfId="1044" headerRowCellStyle="一般 2" dataCellStyle="一般 2">
  <autoFilter ref="AG13:BH189"/>
  <tableColumns count="28">
    <tableColumn id="1" uniqueName="1" name="請直接以10進位，謝謝" queryTableFieldId="1" dataDxfId="1043" dataCellStyle="一般 2"/>
    <tableColumn id="2" uniqueName="2" name="F2" queryTableFieldId="2" dataDxfId="1042" dataCellStyle="一般 2"/>
    <tableColumn id="3" uniqueName="3" name="F3" queryTableFieldId="3" dataDxfId="1041" dataCellStyle="一般 2"/>
    <tableColumn id="4" uniqueName="4" name="F4" queryTableFieldId="4" dataDxfId="1040" dataCellStyle="一般 2"/>
    <tableColumn id="5" uniqueName="5" name="F5" queryTableFieldId="5" dataDxfId="1039" dataCellStyle="一般 2"/>
    <tableColumn id="6" uniqueName="6" name="F6" queryTableFieldId="6" dataDxfId="1038" dataCellStyle="一般 2"/>
    <tableColumn id="7" uniqueName="7" name="F7" queryTableFieldId="7" dataDxfId="1037" dataCellStyle="一般 2"/>
    <tableColumn id="8" uniqueName="8" name="F8" queryTableFieldId="8" dataDxfId="1036" dataCellStyle="一般 2"/>
    <tableColumn id="9" uniqueName="9" name="F9" queryTableFieldId="9" dataDxfId="1035" dataCellStyle="一般 2"/>
    <tableColumn id="10" uniqueName="10" name="F10" queryTableFieldId="10" dataDxfId="1034" dataCellStyle="一般 2"/>
    <tableColumn id="11" uniqueName="11" name="F11" queryTableFieldId="11" dataDxfId="1033" dataCellStyle="一般 2"/>
    <tableColumn id="12" uniqueName="12" name="F12" queryTableFieldId="12" dataDxfId="1032" dataCellStyle="一般 2"/>
    <tableColumn id="13" uniqueName="13" name="F13" queryTableFieldId="13" dataDxfId="1031" dataCellStyle="一般 2"/>
    <tableColumn id="14" uniqueName="14" name="F14" queryTableFieldId="14" dataDxfId="1030" dataCellStyle="一般 2"/>
    <tableColumn id="15" uniqueName="15" name="F15" queryTableFieldId="15" dataDxfId="1029" dataCellStyle="一般 2"/>
    <tableColumn id="16" uniqueName="16" name="F16" queryTableFieldId="16" dataDxfId="1028" dataCellStyle="一般 2"/>
    <tableColumn id="17" uniqueName="17" name="F17" queryTableFieldId="17" dataDxfId="1027" dataCellStyle="一般 2"/>
    <tableColumn id="18" uniqueName="18" name="F18" queryTableFieldId="18" dataDxfId="1026" dataCellStyle="一般 2"/>
    <tableColumn id="19" uniqueName="19" name="F19" queryTableFieldId="19" dataDxfId="1025" dataCellStyle="一般 2"/>
    <tableColumn id="20" uniqueName="20" name="F20" queryTableFieldId="20" dataDxfId="1024" dataCellStyle="一般 2"/>
    <tableColumn id="21" uniqueName="21" name="F21" queryTableFieldId="21" dataDxfId="1023" dataCellStyle="一般 2"/>
    <tableColumn id="22" uniqueName="22" name="2024/6/24 14:52" queryTableFieldId="22" dataDxfId="1022" dataCellStyle="一般 2"/>
    <tableColumn id="23" uniqueName="23" name="F23" queryTableFieldId="23" dataDxfId="1021" dataCellStyle="一般 2"/>
    <tableColumn id="24" uniqueName="24" name="F24" queryTableFieldId="24" dataDxfId="1020" dataCellStyle="一般 2"/>
    <tableColumn id="25" uniqueName="25" name="F25" queryTableFieldId="25" dataDxfId="1019" dataCellStyle="一般 2"/>
    <tableColumn id="26" uniqueName="26" name="F26" queryTableFieldId="26" dataDxfId="1018" dataCellStyle="一般 2"/>
    <tableColumn id="27" uniqueName="27" name="F27" queryTableFieldId="27" dataDxfId="1017" dataCellStyle="一般 2"/>
    <tableColumn id="28" uniqueName="28" name="F28" queryTableFieldId="28" dataDxfId="1016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918" dataDxfId="917" headerRowCellStyle="一般 2" dataCellStyle="一般 2">
  <autoFilter ref="AG13:BH189"/>
  <tableColumns count="28">
    <tableColumn id="1" uniqueName="1" name="請直接以10進位，謝謝" queryTableFieldId="1" dataDxfId="916" dataCellStyle="一般 2"/>
    <tableColumn id="2" uniqueName="2" name="F2" queryTableFieldId="2" dataDxfId="915" dataCellStyle="一般 2"/>
    <tableColumn id="3" uniqueName="3" name="F3" queryTableFieldId="3" dataDxfId="914" dataCellStyle="一般 2"/>
    <tableColumn id="4" uniqueName="4" name="F4" queryTableFieldId="4" dataDxfId="913" dataCellStyle="一般 2"/>
    <tableColumn id="5" uniqueName="5" name="F5" queryTableFieldId="5" dataDxfId="912" dataCellStyle="一般 2"/>
    <tableColumn id="6" uniqueName="6" name="F6" queryTableFieldId="6" dataDxfId="911" dataCellStyle="一般 2"/>
    <tableColumn id="7" uniqueName="7" name="F7" queryTableFieldId="7" dataDxfId="910" dataCellStyle="一般 2"/>
    <tableColumn id="8" uniqueName="8" name="F8" queryTableFieldId="8" dataDxfId="909" dataCellStyle="一般 2"/>
    <tableColumn id="9" uniqueName="9" name="F9" queryTableFieldId="9" dataDxfId="908" dataCellStyle="一般 2"/>
    <tableColumn id="10" uniqueName="10" name="F10" queryTableFieldId="10" dataDxfId="907" dataCellStyle="一般 2"/>
    <tableColumn id="11" uniqueName="11" name="F11" queryTableFieldId="11" dataDxfId="906" dataCellStyle="一般 2"/>
    <tableColumn id="12" uniqueName="12" name="F12" queryTableFieldId="12" dataDxfId="905" dataCellStyle="一般 2"/>
    <tableColumn id="13" uniqueName="13" name="F13" queryTableFieldId="13" dataDxfId="904" dataCellStyle="一般 2"/>
    <tableColumn id="14" uniqueName="14" name="F14" queryTableFieldId="14" dataDxfId="903" dataCellStyle="一般 2"/>
    <tableColumn id="15" uniqueName="15" name="F15" queryTableFieldId="15" dataDxfId="902" dataCellStyle="一般 2"/>
    <tableColumn id="16" uniqueName="16" name="F16" queryTableFieldId="16" dataDxfId="901" dataCellStyle="一般 2"/>
    <tableColumn id="17" uniqueName="17" name="F17" queryTableFieldId="17" dataDxfId="900" dataCellStyle="一般 2"/>
    <tableColumn id="18" uniqueName="18" name="F18" queryTableFieldId="18" dataDxfId="899" dataCellStyle="一般 2"/>
    <tableColumn id="19" uniqueName="19" name="F19" queryTableFieldId="19" dataDxfId="898" dataCellStyle="一般 2"/>
    <tableColumn id="20" uniqueName="20" name="F20" queryTableFieldId="20" dataDxfId="897" dataCellStyle="一般 2"/>
    <tableColumn id="21" uniqueName="21" name="F21" queryTableFieldId="21" dataDxfId="896" dataCellStyle="一般 2"/>
    <tableColumn id="22" uniqueName="22" name="2024/6/24 14:52" queryTableFieldId="22" dataDxfId="895" dataCellStyle="一般 2"/>
    <tableColumn id="23" uniqueName="23" name="F23" queryTableFieldId="23" dataDxfId="894" dataCellStyle="一般 2"/>
    <tableColumn id="24" uniqueName="24" name="F24" queryTableFieldId="24" dataDxfId="893" dataCellStyle="一般 2"/>
    <tableColumn id="25" uniqueName="25" name="F25" queryTableFieldId="25" dataDxfId="892" dataCellStyle="一般 2"/>
    <tableColumn id="26" uniqueName="26" name="F26" queryTableFieldId="26" dataDxfId="891" dataCellStyle="一般 2"/>
    <tableColumn id="27" uniqueName="27" name="F27" queryTableFieldId="27" dataDxfId="890" dataCellStyle="一般 2"/>
    <tableColumn id="28" uniqueName="28" name="F28" queryTableFieldId="28" dataDxfId="889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791" dataDxfId="790" headerRowCellStyle="一般 2" dataCellStyle="一般 2">
  <autoFilter ref="AG13:BH189"/>
  <tableColumns count="28">
    <tableColumn id="1" uniqueName="1" name="請直接以10進位，謝謝" queryTableFieldId="1" dataDxfId="789" dataCellStyle="一般 2"/>
    <tableColumn id="2" uniqueName="2" name="F2" queryTableFieldId="2" dataDxfId="788" dataCellStyle="一般 2"/>
    <tableColumn id="3" uniqueName="3" name="F3" queryTableFieldId="3" dataDxfId="787" dataCellStyle="一般 2"/>
    <tableColumn id="4" uniqueName="4" name="F4" queryTableFieldId="4" dataDxfId="786" dataCellStyle="一般 2"/>
    <tableColumn id="5" uniqueName="5" name="F5" queryTableFieldId="5" dataDxfId="785" dataCellStyle="一般 2"/>
    <tableColumn id="6" uniqueName="6" name="F6" queryTableFieldId="6" dataDxfId="784" dataCellStyle="一般 2"/>
    <tableColumn id="7" uniqueName="7" name="F7" queryTableFieldId="7" dataDxfId="783" dataCellStyle="一般 2"/>
    <tableColumn id="8" uniqueName="8" name="F8" queryTableFieldId="8" dataDxfId="782" dataCellStyle="一般 2"/>
    <tableColumn id="9" uniqueName="9" name="F9" queryTableFieldId="9" dataDxfId="781" dataCellStyle="一般 2"/>
    <tableColumn id="10" uniqueName="10" name="F10" queryTableFieldId="10" dataDxfId="780" dataCellStyle="一般 2"/>
    <tableColumn id="11" uniqueName="11" name="F11" queryTableFieldId="11" dataDxfId="779" dataCellStyle="一般 2"/>
    <tableColumn id="12" uniqueName="12" name="F12" queryTableFieldId="12" dataDxfId="778" dataCellStyle="一般 2"/>
    <tableColumn id="13" uniqueName="13" name="F13" queryTableFieldId="13" dataDxfId="777" dataCellStyle="一般 2"/>
    <tableColumn id="14" uniqueName="14" name="F14" queryTableFieldId="14" dataDxfId="776" dataCellStyle="一般 2"/>
    <tableColumn id="15" uniqueName="15" name="F15" queryTableFieldId="15" dataDxfId="775" dataCellStyle="一般 2"/>
    <tableColumn id="16" uniqueName="16" name="F16" queryTableFieldId="16" dataDxfId="774" dataCellStyle="一般 2"/>
    <tableColumn id="17" uniqueName="17" name="F17" queryTableFieldId="17" dataDxfId="773" dataCellStyle="一般 2"/>
    <tableColumn id="18" uniqueName="18" name="F18" queryTableFieldId="18" dataDxfId="772" dataCellStyle="一般 2"/>
    <tableColumn id="19" uniqueName="19" name="F19" queryTableFieldId="19" dataDxfId="771" dataCellStyle="一般 2"/>
    <tableColumn id="20" uniqueName="20" name="F20" queryTableFieldId="20" dataDxfId="770" dataCellStyle="一般 2"/>
    <tableColumn id="21" uniqueName="21" name="F21" queryTableFieldId="21" dataDxfId="769" dataCellStyle="一般 2"/>
    <tableColumn id="22" uniqueName="22" name="2024/6/24 14:52" queryTableFieldId="22" dataDxfId="768" dataCellStyle="一般 2"/>
    <tableColumn id="23" uniqueName="23" name="F23" queryTableFieldId="23" dataDxfId="767" dataCellStyle="一般 2"/>
    <tableColumn id="24" uniqueName="24" name="F24" queryTableFieldId="24" dataDxfId="766" dataCellStyle="一般 2"/>
    <tableColumn id="25" uniqueName="25" name="F25" queryTableFieldId="25" dataDxfId="765" dataCellStyle="一般 2"/>
    <tableColumn id="26" uniqueName="26" name="F26" queryTableFieldId="26" dataDxfId="764" dataCellStyle="一般 2"/>
    <tableColumn id="27" uniqueName="27" name="F27" queryTableFieldId="27" dataDxfId="763" dataCellStyle="一般 2"/>
    <tableColumn id="28" uniqueName="28" name="F28" queryTableFieldId="28" dataDxfId="76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664" dataDxfId="663" headerRowCellStyle="一般 2" dataCellStyle="一般 2">
  <autoFilter ref="AG13:BH189"/>
  <tableColumns count="28">
    <tableColumn id="1" uniqueName="1" name="請直接以10進位，謝謝" queryTableFieldId="1" dataDxfId="662" dataCellStyle="一般 2"/>
    <tableColumn id="2" uniqueName="2" name="F2" queryTableFieldId="2" dataDxfId="661" dataCellStyle="一般 2"/>
    <tableColumn id="3" uniqueName="3" name="F3" queryTableFieldId="3" dataDxfId="660" dataCellStyle="一般 2"/>
    <tableColumn id="4" uniqueName="4" name="F4" queryTableFieldId="4" dataDxfId="659" dataCellStyle="一般 2"/>
    <tableColumn id="5" uniqueName="5" name="F5" queryTableFieldId="5" dataDxfId="658" dataCellStyle="一般 2"/>
    <tableColumn id="6" uniqueName="6" name="F6" queryTableFieldId="6" dataDxfId="657" dataCellStyle="一般 2"/>
    <tableColumn id="7" uniqueName="7" name="F7" queryTableFieldId="7" dataDxfId="656" dataCellStyle="一般 2"/>
    <tableColumn id="8" uniqueName="8" name="F8" queryTableFieldId="8" dataDxfId="655" dataCellStyle="一般 2"/>
    <tableColumn id="9" uniqueName="9" name="F9" queryTableFieldId="9" dataDxfId="654" dataCellStyle="一般 2"/>
    <tableColumn id="10" uniqueName="10" name="F10" queryTableFieldId="10" dataDxfId="653" dataCellStyle="一般 2"/>
    <tableColumn id="11" uniqueName="11" name="F11" queryTableFieldId="11" dataDxfId="652" dataCellStyle="一般 2"/>
    <tableColumn id="12" uniqueName="12" name="F12" queryTableFieldId="12" dataDxfId="651" dataCellStyle="一般 2"/>
    <tableColumn id="13" uniqueName="13" name="F13" queryTableFieldId="13" dataDxfId="650" dataCellStyle="一般 2"/>
    <tableColumn id="14" uniqueName="14" name="F14" queryTableFieldId="14" dataDxfId="649" dataCellStyle="一般 2"/>
    <tableColumn id="15" uniqueName="15" name="F15" queryTableFieldId="15" dataDxfId="648" dataCellStyle="一般 2"/>
    <tableColumn id="16" uniqueName="16" name="F16" queryTableFieldId="16" dataDxfId="647" dataCellStyle="一般 2"/>
    <tableColumn id="17" uniqueName="17" name="F17" queryTableFieldId="17" dataDxfId="646" dataCellStyle="一般 2"/>
    <tableColumn id="18" uniqueName="18" name="F18" queryTableFieldId="18" dataDxfId="645" dataCellStyle="一般 2"/>
    <tableColumn id="19" uniqueName="19" name="F19" queryTableFieldId="19" dataDxfId="644" dataCellStyle="一般 2"/>
    <tableColumn id="20" uniqueName="20" name="F20" queryTableFieldId="20" dataDxfId="643" dataCellStyle="一般 2"/>
    <tableColumn id="21" uniqueName="21" name="F21" queryTableFieldId="21" dataDxfId="642" dataCellStyle="一般 2"/>
    <tableColumn id="22" uniqueName="22" name="2024/6/24 14:52" queryTableFieldId="22" dataDxfId="641" dataCellStyle="一般 2"/>
    <tableColumn id="23" uniqueName="23" name="F23" queryTableFieldId="23" dataDxfId="640" dataCellStyle="一般 2"/>
    <tableColumn id="24" uniqueName="24" name="F24" queryTableFieldId="24" dataDxfId="639" dataCellStyle="一般 2"/>
    <tableColumn id="25" uniqueName="25" name="F25" queryTableFieldId="25" dataDxfId="638" dataCellStyle="一般 2"/>
    <tableColumn id="26" uniqueName="26" name="F26" queryTableFieldId="26" dataDxfId="637" dataCellStyle="一般 2"/>
    <tableColumn id="27" uniqueName="27" name="F27" queryTableFieldId="27" dataDxfId="636" dataCellStyle="一般 2"/>
    <tableColumn id="28" uniqueName="28" name="F28" queryTableFieldId="28" dataDxfId="635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537" dataDxfId="536" headerRowCellStyle="一般 2" dataCellStyle="一般 2">
  <autoFilter ref="AG13:BH189"/>
  <tableColumns count="28">
    <tableColumn id="1" uniqueName="1" name="請直接以10進位，謝謝" queryTableFieldId="1" dataDxfId="535" dataCellStyle="一般 2"/>
    <tableColumn id="2" uniqueName="2" name="F2" queryTableFieldId="2" dataDxfId="534" dataCellStyle="一般 2"/>
    <tableColumn id="3" uniqueName="3" name="F3" queryTableFieldId="3" dataDxfId="533" dataCellStyle="一般 2"/>
    <tableColumn id="4" uniqueName="4" name="F4" queryTableFieldId="4" dataDxfId="532" dataCellStyle="一般 2"/>
    <tableColumn id="5" uniqueName="5" name="F5" queryTableFieldId="5" dataDxfId="531" dataCellStyle="一般 2"/>
    <tableColumn id="6" uniqueName="6" name="F6" queryTableFieldId="6" dataDxfId="530" dataCellStyle="一般 2"/>
    <tableColumn id="7" uniqueName="7" name="F7" queryTableFieldId="7" dataDxfId="529" dataCellStyle="一般 2"/>
    <tableColumn id="8" uniqueName="8" name="F8" queryTableFieldId="8" dataDxfId="528" dataCellStyle="一般 2"/>
    <tableColumn id="9" uniqueName="9" name="F9" queryTableFieldId="9" dataDxfId="527" dataCellStyle="一般 2"/>
    <tableColumn id="10" uniqueName="10" name="F10" queryTableFieldId="10" dataDxfId="526" dataCellStyle="一般 2"/>
    <tableColumn id="11" uniqueName="11" name="F11" queryTableFieldId="11" dataDxfId="525" dataCellStyle="一般 2"/>
    <tableColumn id="12" uniqueName="12" name="F12" queryTableFieldId="12" dataDxfId="524" dataCellStyle="一般 2"/>
    <tableColumn id="13" uniqueName="13" name="F13" queryTableFieldId="13" dataDxfId="523" dataCellStyle="一般 2"/>
    <tableColumn id="14" uniqueName="14" name="F14" queryTableFieldId="14" dataDxfId="522" dataCellStyle="一般 2"/>
    <tableColumn id="15" uniqueName="15" name="F15" queryTableFieldId="15" dataDxfId="521" dataCellStyle="一般 2"/>
    <tableColumn id="16" uniqueName="16" name="F16" queryTableFieldId="16" dataDxfId="520" dataCellStyle="一般 2"/>
    <tableColumn id="17" uniqueName="17" name="F17" queryTableFieldId="17" dataDxfId="519" dataCellStyle="一般 2"/>
    <tableColumn id="18" uniqueName="18" name="F18" queryTableFieldId="18" dataDxfId="518" dataCellStyle="一般 2"/>
    <tableColumn id="19" uniqueName="19" name="F19" queryTableFieldId="19" dataDxfId="517" dataCellStyle="一般 2"/>
    <tableColumn id="20" uniqueName="20" name="F20" queryTableFieldId="20" dataDxfId="516" dataCellStyle="一般 2"/>
    <tableColumn id="21" uniqueName="21" name="F21" queryTableFieldId="21" dataDxfId="515" dataCellStyle="一般 2"/>
    <tableColumn id="22" uniqueName="22" name="2024/6/24 14:52" queryTableFieldId="22" dataDxfId="514" dataCellStyle="一般 2"/>
    <tableColumn id="23" uniqueName="23" name="F23" queryTableFieldId="23" dataDxfId="513" dataCellStyle="一般 2"/>
    <tableColumn id="24" uniqueName="24" name="F24" queryTableFieldId="24" dataDxfId="512" dataCellStyle="一般 2"/>
    <tableColumn id="25" uniqueName="25" name="F25" queryTableFieldId="25" dataDxfId="511" dataCellStyle="一般 2"/>
    <tableColumn id="26" uniqueName="26" name="F26" queryTableFieldId="26" dataDxfId="510" dataCellStyle="一般 2"/>
    <tableColumn id="27" uniqueName="27" name="F27" queryTableFieldId="27" dataDxfId="509" dataCellStyle="一般 2"/>
    <tableColumn id="28" uniqueName="28" name="F28" queryTableFieldId="28" dataDxfId="508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410" dataDxfId="409" headerRowCellStyle="一般 2" dataCellStyle="一般 2">
  <autoFilter ref="AG13:BH189"/>
  <tableColumns count="28">
    <tableColumn id="1" uniqueName="1" name="請直接以10進位，謝謝" queryTableFieldId="1" dataDxfId="408" dataCellStyle="一般 2"/>
    <tableColumn id="2" uniqueName="2" name="F2" queryTableFieldId="2" dataDxfId="407" dataCellStyle="一般 2"/>
    <tableColumn id="3" uniqueName="3" name="F3" queryTableFieldId="3" dataDxfId="406" dataCellStyle="一般 2"/>
    <tableColumn id="4" uniqueName="4" name="F4" queryTableFieldId="4" dataDxfId="405" dataCellStyle="一般 2"/>
    <tableColumn id="5" uniqueName="5" name="F5" queryTableFieldId="5" dataDxfId="404" dataCellStyle="一般 2"/>
    <tableColumn id="6" uniqueName="6" name="F6" queryTableFieldId="6" dataDxfId="403" dataCellStyle="一般 2"/>
    <tableColumn id="7" uniqueName="7" name="F7" queryTableFieldId="7" dataDxfId="402" dataCellStyle="一般 2"/>
    <tableColumn id="8" uniqueName="8" name="F8" queryTableFieldId="8" dataDxfId="401" dataCellStyle="一般 2"/>
    <tableColumn id="9" uniqueName="9" name="F9" queryTableFieldId="9" dataDxfId="400" dataCellStyle="一般 2"/>
    <tableColumn id="10" uniqueName="10" name="F10" queryTableFieldId="10" dataDxfId="399" dataCellStyle="一般 2"/>
    <tableColumn id="11" uniqueName="11" name="F11" queryTableFieldId="11" dataDxfId="398" dataCellStyle="一般 2"/>
    <tableColumn id="12" uniqueName="12" name="F12" queryTableFieldId="12" dataDxfId="397" dataCellStyle="一般 2"/>
    <tableColumn id="13" uniqueName="13" name="F13" queryTableFieldId="13" dataDxfId="396" dataCellStyle="一般 2"/>
    <tableColumn id="14" uniqueName="14" name="F14" queryTableFieldId="14" dataDxfId="395" dataCellStyle="一般 2"/>
    <tableColumn id="15" uniqueName="15" name="F15" queryTableFieldId="15" dataDxfId="394" dataCellStyle="一般 2"/>
    <tableColumn id="16" uniqueName="16" name="F16" queryTableFieldId="16" dataDxfId="393" dataCellStyle="一般 2"/>
    <tableColumn id="17" uniqueName="17" name="F17" queryTableFieldId="17" dataDxfId="392" dataCellStyle="一般 2"/>
    <tableColumn id="18" uniqueName="18" name="F18" queryTableFieldId="18" dataDxfId="391" dataCellStyle="一般 2"/>
    <tableColumn id="19" uniqueName="19" name="F19" queryTableFieldId="19" dataDxfId="390" dataCellStyle="一般 2"/>
    <tableColumn id="20" uniqueName="20" name="F20" queryTableFieldId="20" dataDxfId="389" dataCellStyle="一般 2"/>
    <tableColumn id="21" uniqueName="21" name="F21" queryTableFieldId="21" dataDxfId="388" dataCellStyle="一般 2"/>
    <tableColumn id="22" uniqueName="22" name="2024/6/24 14:52" queryTableFieldId="22" dataDxfId="387" dataCellStyle="一般 2"/>
    <tableColumn id="23" uniqueName="23" name="F23" queryTableFieldId="23" dataDxfId="386" dataCellStyle="一般 2"/>
    <tableColumn id="24" uniqueName="24" name="F24" queryTableFieldId="24" dataDxfId="385" dataCellStyle="一般 2"/>
    <tableColumn id="25" uniqueName="25" name="F25" queryTableFieldId="25" dataDxfId="384" dataCellStyle="一般 2"/>
    <tableColumn id="26" uniqueName="26" name="F26" queryTableFieldId="26" dataDxfId="383" dataCellStyle="一般 2"/>
    <tableColumn id="27" uniqueName="27" name="F27" queryTableFieldId="27" dataDxfId="382" dataCellStyle="一般 2"/>
    <tableColumn id="28" uniqueName="28" name="F28" queryTableFieldId="28" dataDxfId="381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83" dataDxfId="282" headerRowCellStyle="一般 2" dataCellStyle="一般 2">
  <autoFilter ref="AG13:BH189"/>
  <tableColumns count="28">
    <tableColumn id="1" uniqueName="1" name="請直接以10進位，謝謝" queryTableFieldId="1" dataDxfId="281" dataCellStyle="一般 2"/>
    <tableColumn id="2" uniqueName="2" name="F2" queryTableFieldId="2" dataDxfId="280" dataCellStyle="一般 2"/>
    <tableColumn id="3" uniqueName="3" name="F3" queryTableFieldId="3" dataDxfId="279" dataCellStyle="一般 2"/>
    <tableColumn id="4" uniqueName="4" name="F4" queryTableFieldId="4" dataDxfId="278" dataCellStyle="一般 2"/>
    <tableColumn id="5" uniqueName="5" name="F5" queryTableFieldId="5" dataDxfId="277" dataCellStyle="一般 2"/>
    <tableColumn id="6" uniqueName="6" name="F6" queryTableFieldId="6" dataDxfId="276" dataCellStyle="一般 2"/>
    <tableColumn id="7" uniqueName="7" name="F7" queryTableFieldId="7" dataDxfId="275" dataCellStyle="一般 2"/>
    <tableColumn id="8" uniqueName="8" name="F8" queryTableFieldId="8" dataDxfId="274" dataCellStyle="一般 2"/>
    <tableColumn id="9" uniqueName="9" name="F9" queryTableFieldId="9" dataDxfId="273" dataCellStyle="一般 2"/>
    <tableColumn id="10" uniqueName="10" name="F10" queryTableFieldId="10" dataDxfId="272" dataCellStyle="一般 2"/>
    <tableColumn id="11" uniqueName="11" name="F11" queryTableFieldId="11" dataDxfId="271" dataCellStyle="一般 2"/>
    <tableColumn id="12" uniqueName="12" name="F12" queryTableFieldId="12" dataDxfId="270" dataCellStyle="一般 2"/>
    <tableColumn id="13" uniqueName="13" name="F13" queryTableFieldId="13" dataDxfId="269" dataCellStyle="一般 2"/>
    <tableColumn id="14" uniqueName="14" name="F14" queryTableFieldId="14" dataDxfId="268" dataCellStyle="一般 2"/>
    <tableColumn id="15" uniqueName="15" name="F15" queryTableFieldId="15" dataDxfId="267" dataCellStyle="一般 2"/>
    <tableColumn id="16" uniqueName="16" name="F16" queryTableFieldId="16" dataDxfId="266" dataCellStyle="一般 2"/>
    <tableColumn id="17" uniqueName="17" name="F17" queryTableFieldId="17" dataDxfId="265" dataCellStyle="一般 2"/>
    <tableColumn id="18" uniqueName="18" name="F18" queryTableFieldId="18" dataDxfId="264" dataCellStyle="一般 2"/>
    <tableColumn id="19" uniqueName="19" name="F19" queryTableFieldId="19" dataDxfId="263" dataCellStyle="一般 2"/>
    <tableColumn id="20" uniqueName="20" name="F20" queryTableFieldId="20" dataDxfId="262" dataCellStyle="一般 2"/>
    <tableColumn id="21" uniqueName="21" name="F21" queryTableFieldId="21" dataDxfId="261" dataCellStyle="一般 2"/>
    <tableColumn id="22" uniqueName="22" name="2024/6/24 14:52" queryTableFieldId="22" dataDxfId="260" dataCellStyle="一般 2"/>
    <tableColumn id="23" uniqueName="23" name="F23" queryTableFieldId="23" dataDxfId="259" dataCellStyle="一般 2"/>
    <tableColumn id="24" uniqueName="24" name="F24" queryTableFieldId="24" dataDxfId="258" dataCellStyle="一般 2"/>
    <tableColumn id="25" uniqueName="25" name="F25" queryTableFieldId="25" dataDxfId="257" dataCellStyle="一般 2"/>
    <tableColumn id="26" uniqueName="26" name="F26" queryTableFieldId="26" dataDxfId="256" dataCellStyle="一般 2"/>
    <tableColumn id="27" uniqueName="27" name="F27" queryTableFieldId="27" dataDxfId="255" dataCellStyle="一般 2"/>
    <tableColumn id="28" uniqueName="28" name="F28" queryTableFieldId="28" dataDxfId="254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156" dataDxfId="155" headerRowCellStyle="一般 2" dataCellStyle="一般 2">
  <autoFilter ref="AG13:BH189"/>
  <tableColumns count="28">
    <tableColumn id="1" uniqueName="1" name="請直接以10進位，謝謝" queryTableFieldId="1" dataDxfId="154" dataCellStyle="一般 2"/>
    <tableColumn id="2" uniqueName="2" name="F2" queryTableFieldId="2" dataDxfId="153" dataCellStyle="一般 2"/>
    <tableColumn id="3" uniqueName="3" name="F3" queryTableFieldId="3" dataDxfId="152" dataCellStyle="一般 2"/>
    <tableColumn id="4" uniqueName="4" name="F4" queryTableFieldId="4" dataDxfId="151" dataCellStyle="一般 2"/>
    <tableColumn id="5" uniqueName="5" name="F5" queryTableFieldId="5" dataDxfId="150" dataCellStyle="一般 2"/>
    <tableColumn id="6" uniqueName="6" name="F6" queryTableFieldId="6" dataDxfId="149" dataCellStyle="一般 2"/>
    <tableColumn id="7" uniqueName="7" name="F7" queryTableFieldId="7" dataDxfId="148" dataCellStyle="一般 2"/>
    <tableColumn id="8" uniqueName="8" name="F8" queryTableFieldId="8" dataDxfId="147" dataCellStyle="一般 2"/>
    <tableColumn id="9" uniqueName="9" name="F9" queryTableFieldId="9" dataDxfId="146" dataCellStyle="一般 2"/>
    <tableColumn id="10" uniqueName="10" name="F10" queryTableFieldId="10" dataDxfId="145" dataCellStyle="一般 2"/>
    <tableColumn id="11" uniqueName="11" name="F11" queryTableFieldId="11" dataDxfId="144" dataCellStyle="一般 2"/>
    <tableColumn id="12" uniqueName="12" name="F12" queryTableFieldId="12" dataDxfId="143" dataCellStyle="一般 2"/>
    <tableColumn id="13" uniqueName="13" name="F13" queryTableFieldId="13" dataDxfId="142" dataCellStyle="一般 2"/>
    <tableColumn id="14" uniqueName="14" name="F14" queryTableFieldId="14" dataDxfId="141" dataCellStyle="一般 2"/>
    <tableColumn id="15" uniqueName="15" name="F15" queryTableFieldId="15" dataDxfId="140" dataCellStyle="一般 2"/>
    <tableColumn id="16" uniqueName="16" name="F16" queryTableFieldId="16" dataDxfId="139" dataCellStyle="一般 2"/>
    <tableColumn id="17" uniqueName="17" name="F17" queryTableFieldId="17" dataDxfId="138" dataCellStyle="一般 2"/>
    <tableColumn id="18" uniqueName="18" name="F18" queryTableFieldId="18" dataDxfId="137" dataCellStyle="一般 2"/>
    <tableColumn id="19" uniqueName="19" name="F19" queryTableFieldId="19" dataDxfId="136" dataCellStyle="一般 2"/>
    <tableColumn id="20" uniqueName="20" name="F20" queryTableFieldId="20" dataDxfId="135" dataCellStyle="一般 2"/>
    <tableColumn id="21" uniqueName="21" name="F21" queryTableFieldId="21" dataDxfId="134" dataCellStyle="一般 2"/>
    <tableColumn id="22" uniqueName="22" name="2024/6/24 14:52" queryTableFieldId="22" dataDxfId="133" dataCellStyle="一般 2"/>
    <tableColumn id="23" uniqueName="23" name="F23" queryTableFieldId="23" dataDxfId="132" dataCellStyle="一般 2"/>
    <tableColumn id="24" uniqueName="24" name="F24" queryTableFieldId="24" dataDxfId="131" dataCellStyle="一般 2"/>
    <tableColumn id="25" uniqueName="25" name="F25" queryTableFieldId="25" dataDxfId="130" dataCellStyle="一般 2"/>
    <tableColumn id="26" uniqueName="26" name="F26" queryTableFieldId="26" dataDxfId="129" dataCellStyle="一般 2"/>
    <tableColumn id="27" uniqueName="27" name="F27" queryTableFieldId="27" dataDxfId="128" dataCellStyle="一般 2"/>
    <tableColumn id="28" uniqueName="28" name="F28" queryTableFieldId="28" dataDxfId="127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L44" sqref="L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82" t="s">
        <v>173</v>
      </c>
      <c r="B1" s="182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65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 t="s">
        <v>33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" customHeight="1" thickTop="1">
      <c r="A3" s="119">
        <v>601</v>
      </c>
      <c r="B3" s="120">
        <v>115</v>
      </c>
      <c r="C3" s="121">
        <v>28</v>
      </c>
      <c r="D3" s="122" t="s">
        <v>76</v>
      </c>
      <c r="E3" s="120">
        <v>7079</v>
      </c>
      <c r="F3" s="121">
        <v>25</v>
      </c>
      <c r="G3" s="119">
        <v>661</v>
      </c>
      <c r="H3" s="120">
        <v>7050</v>
      </c>
      <c r="I3" s="123">
        <v>34</v>
      </c>
      <c r="J3" s="119">
        <v>681</v>
      </c>
      <c r="K3" s="120">
        <v>2737</v>
      </c>
      <c r="L3" s="124">
        <v>31</v>
      </c>
      <c r="M3" s="183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" customHeight="1">
      <c r="A4" s="119">
        <v>602</v>
      </c>
      <c r="B4" s="120">
        <v>8138</v>
      </c>
      <c r="C4" s="121">
        <v>30</v>
      </c>
      <c r="D4" s="122" t="s">
        <v>77</v>
      </c>
      <c r="E4" s="120">
        <v>4722</v>
      </c>
      <c r="F4" s="121">
        <v>28</v>
      </c>
      <c r="G4" s="119">
        <v>662</v>
      </c>
      <c r="H4" s="120">
        <v>6959</v>
      </c>
      <c r="I4" s="123">
        <v>33</v>
      </c>
      <c r="J4" s="119">
        <v>682</v>
      </c>
      <c r="K4" s="120">
        <v>3162</v>
      </c>
      <c r="L4" s="133">
        <v>30</v>
      </c>
      <c r="M4" s="184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" customHeight="1">
      <c r="A5" s="119">
        <v>603</v>
      </c>
      <c r="B5" s="120">
        <v>6831</v>
      </c>
      <c r="C5" s="121">
        <v>28</v>
      </c>
      <c r="D5" s="122">
        <v>631</v>
      </c>
      <c r="E5" s="120">
        <v>5182</v>
      </c>
      <c r="F5" s="121">
        <v>28</v>
      </c>
      <c r="G5" s="119">
        <v>663</v>
      </c>
      <c r="H5" s="120">
        <v>3518</v>
      </c>
      <c r="I5" s="123">
        <v>32</v>
      </c>
      <c r="J5" s="119">
        <v>683</v>
      </c>
      <c r="K5" s="120">
        <v>2271</v>
      </c>
      <c r="L5" s="133">
        <v>31</v>
      </c>
      <c r="M5" s="184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" customHeight="1">
      <c r="A6" s="119" t="s">
        <v>78</v>
      </c>
      <c r="B6" s="125">
        <v>127</v>
      </c>
      <c r="C6" s="126">
        <v>27</v>
      </c>
      <c r="D6" s="127">
        <v>632</v>
      </c>
      <c r="E6" s="125">
        <v>558</v>
      </c>
      <c r="F6" s="126">
        <v>27</v>
      </c>
      <c r="G6" s="127">
        <v>664</v>
      </c>
      <c r="H6" s="125">
        <v>0</v>
      </c>
      <c r="I6" s="124">
        <v>28</v>
      </c>
      <c r="J6" s="127">
        <v>684</v>
      </c>
      <c r="K6" s="125">
        <v>4832</v>
      </c>
      <c r="L6" s="133">
        <v>31</v>
      </c>
      <c r="M6" s="184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" customHeight="1">
      <c r="A7" s="119" t="s">
        <v>79</v>
      </c>
      <c r="B7" s="125">
        <v>4596</v>
      </c>
      <c r="C7" s="126">
        <v>25</v>
      </c>
      <c r="D7" s="127">
        <v>633</v>
      </c>
      <c r="E7" s="125">
        <v>3105</v>
      </c>
      <c r="F7" s="126">
        <v>23</v>
      </c>
      <c r="G7" s="127">
        <v>665</v>
      </c>
      <c r="H7" s="125">
        <v>4971</v>
      </c>
      <c r="I7" s="124">
        <v>28</v>
      </c>
      <c r="J7" s="127">
        <v>685</v>
      </c>
      <c r="K7" s="125">
        <v>2697</v>
      </c>
      <c r="L7" s="133">
        <v>31</v>
      </c>
      <c r="M7" s="184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" customHeight="1">
      <c r="A8" s="119">
        <v>611</v>
      </c>
      <c r="B8" s="125">
        <v>51.72</v>
      </c>
      <c r="C8" s="134">
        <v>25</v>
      </c>
      <c r="D8" s="127">
        <v>634</v>
      </c>
      <c r="E8" s="125">
        <v>5503</v>
      </c>
      <c r="F8" s="126">
        <v>28</v>
      </c>
      <c r="G8" s="127">
        <v>666</v>
      </c>
      <c r="H8" s="125">
        <v>3716</v>
      </c>
      <c r="I8" s="124">
        <v>27</v>
      </c>
      <c r="J8" s="127">
        <v>686</v>
      </c>
      <c r="K8" s="125">
        <v>3577</v>
      </c>
      <c r="L8" s="133">
        <v>30</v>
      </c>
      <c r="M8" s="184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" customHeight="1">
      <c r="A9" s="119">
        <v>612</v>
      </c>
      <c r="B9" s="125">
        <v>7.73</v>
      </c>
      <c r="C9" s="134">
        <v>25</v>
      </c>
      <c r="D9" s="127">
        <v>641</v>
      </c>
      <c r="E9" s="125">
        <v>4414</v>
      </c>
      <c r="F9" s="126">
        <v>28</v>
      </c>
      <c r="G9" s="127">
        <v>667</v>
      </c>
      <c r="H9" s="125">
        <v>3199</v>
      </c>
      <c r="I9" s="124">
        <v>36</v>
      </c>
      <c r="J9" s="127">
        <v>687</v>
      </c>
      <c r="K9" s="125">
        <v>258</v>
      </c>
      <c r="L9" s="133">
        <v>28</v>
      </c>
      <c r="M9" s="184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" customHeight="1">
      <c r="A10" s="119">
        <v>613</v>
      </c>
      <c r="B10" s="125">
        <v>7.01</v>
      </c>
      <c r="C10" s="134">
        <v>25</v>
      </c>
      <c r="D10" s="127">
        <v>642</v>
      </c>
      <c r="E10" s="125">
        <v>2854</v>
      </c>
      <c r="F10" s="126">
        <v>35</v>
      </c>
      <c r="G10" s="127">
        <v>668</v>
      </c>
      <c r="H10" s="125">
        <v>3311</v>
      </c>
      <c r="I10" s="124">
        <v>33</v>
      </c>
      <c r="J10" s="127">
        <v>688</v>
      </c>
      <c r="K10" s="125">
        <v>230</v>
      </c>
      <c r="L10" s="133">
        <v>32</v>
      </c>
      <c r="M10" s="184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" customHeight="1">
      <c r="A11" s="119">
        <v>614</v>
      </c>
      <c r="B11" s="125">
        <v>30.02</v>
      </c>
      <c r="C11" s="134">
        <v>25</v>
      </c>
      <c r="D11" s="127">
        <v>643</v>
      </c>
      <c r="E11" s="125">
        <v>5614</v>
      </c>
      <c r="F11" s="126">
        <v>32</v>
      </c>
      <c r="G11" s="127">
        <v>669</v>
      </c>
      <c r="H11" s="125">
        <v>-89</v>
      </c>
      <c r="I11" s="124">
        <v>30</v>
      </c>
      <c r="J11" s="127">
        <v>689</v>
      </c>
      <c r="K11" s="125">
        <v>5167</v>
      </c>
      <c r="L11" s="133">
        <v>30</v>
      </c>
      <c r="M11" s="184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" customHeight="1">
      <c r="A12" s="119">
        <v>621</v>
      </c>
      <c r="B12" s="125">
        <v>4757</v>
      </c>
      <c r="C12" s="126">
        <v>30</v>
      </c>
      <c r="D12" s="127">
        <v>645</v>
      </c>
      <c r="E12" s="125">
        <v>75</v>
      </c>
      <c r="F12" s="126">
        <v>33</v>
      </c>
      <c r="G12" s="127">
        <v>670</v>
      </c>
      <c r="H12" s="125">
        <v>-9909</v>
      </c>
      <c r="I12" s="124">
        <v>30</v>
      </c>
      <c r="J12" s="127">
        <v>690</v>
      </c>
      <c r="K12" s="125">
        <v>1256</v>
      </c>
      <c r="L12" s="124">
        <v>30</v>
      </c>
      <c r="M12" s="184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" customHeight="1">
      <c r="A13" s="119">
        <v>622</v>
      </c>
      <c r="B13" s="125">
        <v>3022</v>
      </c>
      <c r="C13" s="126">
        <v>30</v>
      </c>
      <c r="D13" s="127">
        <v>651</v>
      </c>
      <c r="E13" s="125">
        <v>690</v>
      </c>
      <c r="F13" s="126">
        <v>33</v>
      </c>
      <c r="G13" s="127">
        <v>671</v>
      </c>
      <c r="H13" s="125">
        <v>0</v>
      </c>
      <c r="I13" s="124">
        <v>28</v>
      </c>
      <c r="J13" s="127">
        <v>691</v>
      </c>
      <c r="K13" s="125">
        <v>4084</v>
      </c>
      <c r="L13" s="133">
        <v>30</v>
      </c>
      <c r="M13" s="184"/>
      <c r="N13" s="186" t="s">
        <v>172</v>
      </c>
      <c r="O13" s="187" t="s">
        <v>144</v>
      </c>
      <c r="P13" s="188">
        <v>7.0686</v>
      </c>
      <c r="Q13" s="189" t="s">
        <v>149</v>
      </c>
      <c r="S13" s="181">
        <v>7000</v>
      </c>
    </row>
    <row r="14" spans="1:24" s="53" customFormat="1" ht="22.2" customHeight="1">
      <c r="A14" s="119">
        <v>623</v>
      </c>
      <c r="B14" s="125">
        <v>3714</v>
      </c>
      <c r="C14" s="126">
        <v>33</v>
      </c>
      <c r="D14" s="127">
        <v>652</v>
      </c>
      <c r="E14" s="125">
        <v>2510</v>
      </c>
      <c r="F14" s="126">
        <v>29</v>
      </c>
      <c r="G14" s="127">
        <v>672</v>
      </c>
      <c r="H14" s="125">
        <v>0</v>
      </c>
      <c r="I14" s="124">
        <v>27</v>
      </c>
      <c r="J14" s="127">
        <v>692</v>
      </c>
      <c r="K14" s="125">
        <v>1319</v>
      </c>
      <c r="L14" s="133">
        <v>31</v>
      </c>
      <c r="M14" s="184"/>
      <c r="N14" s="186"/>
      <c r="O14" s="187"/>
      <c r="P14" s="188"/>
      <c r="Q14" s="189"/>
      <c r="S14" s="181"/>
    </row>
    <row r="15" spans="1:24" s="53" customFormat="1" ht="22.2" customHeight="1">
      <c r="A15" s="122">
        <v>624</v>
      </c>
      <c r="B15" s="125">
        <v>498</v>
      </c>
      <c r="C15" s="126">
        <v>27</v>
      </c>
      <c r="D15" s="128">
        <v>653</v>
      </c>
      <c r="E15" s="125">
        <v>0</v>
      </c>
      <c r="F15" s="126">
        <v>25</v>
      </c>
      <c r="G15" s="127">
        <v>673</v>
      </c>
      <c r="H15" s="125">
        <v>14</v>
      </c>
      <c r="I15" s="124">
        <v>28</v>
      </c>
      <c r="J15" s="127">
        <v>693</v>
      </c>
      <c r="K15" s="125">
        <v>6330</v>
      </c>
      <c r="L15" s="133">
        <v>29</v>
      </c>
      <c r="M15" s="184"/>
      <c r="N15" s="186"/>
      <c r="O15" s="187"/>
      <c r="P15" s="188"/>
      <c r="Q15" s="189"/>
      <c r="R15" s="55"/>
      <c r="S15" s="181"/>
    </row>
    <row r="16" spans="1:24" s="53" customFormat="1" ht="22.2" customHeight="1">
      <c r="A16" s="122" t="s">
        <v>80</v>
      </c>
      <c r="B16" s="125">
        <v>5067</v>
      </c>
      <c r="C16" s="126">
        <v>27</v>
      </c>
      <c r="D16" s="127">
        <v>654</v>
      </c>
      <c r="E16" s="125">
        <v>5282</v>
      </c>
      <c r="F16" s="126">
        <v>28</v>
      </c>
      <c r="G16" s="127">
        <v>674</v>
      </c>
      <c r="H16" s="125">
        <v>0</v>
      </c>
      <c r="I16" s="124">
        <v>26</v>
      </c>
      <c r="J16" s="127">
        <v>694</v>
      </c>
      <c r="K16" s="125">
        <v>1766</v>
      </c>
      <c r="L16" s="133">
        <v>30</v>
      </c>
      <c r="M16" s="184"/>
      <c r="Q16" s="55"/>
      <c r="R16" s="55"/>
      <c r="S16" s="55"/>
    </row>
    <row r="17" spans="1:19" s="53" customFormat="1" ht="22.2" customHeight="1">
      <c r="A17" s="122" t="s">
        <v>26</v>
      </c>
      <c r="B17" s="125">
        <v>2050</v>
      </c>
      <c r="C17" s="126">
        <v>33</v>
      </c>
      <c r="D17" s="128">
        <v>655</v>
      </c>
      <c r="E17" s="125">
        <v>2333</v>
      </c>
      <c r="F17" s="126">
        <v>30</v>
      </c>
      <c r="G17" s="127">
        <v>675</v>
      </c>
      <c r="H17" s="125">
        <v>44.32</v>
      </c>
      <c r="I17" s="133">
        <v>25</v>
      </c>
      <c r="J17" s="127">
        <v>695</v>
      </c>
      <c r="K17" s="125">
        <v>5710</v>
      </c>
      <c r="L17" s="133">
        <v>29</v>
      </c>
      <c r="M17" s="184"/>
      <c r="Q17" s="55"/>
      <c r="R17" s="55"/>
      <c r="S17" s="55"/>
    </row>
    <row r="18" spans="1:19" s="53" customFormat="1" ht="22.2" customHeight="1">
      <c r="A18" s="122" t="s">
        <v>27</v>
      </c>
      <c r="B18" s="125">
        <v>0</v>
      </c>
      <c r="C18" s="126">
        <v>25</v>
      </c>
      <c r="D18" s="127">
        <v>656</v>
      </c>
      <c r="E18" s="125">
        <v>1877</v>
      </c>
      <c r="F18" s="126">
        <v>29</v>
      </c>
      <c r="G18" s="127">
        <v>676</v>
      </c>
      <c r="H18" s="125">
        <v>84.81</v>
      </c>
      <c r="I18" s="133">
        <v>25</v>
      </c>
      <c r="J18" s="127">
        <v>696</v>
      </c>
      <c r="K18" s="125">
        <v>9621</v>
      </c>
      <c r="L18" s="133">
        <v>29</v>
      </c>
      <c r="M18" s="184"/>
      <c r="Q18" s="55"/>
      <c r="R18" s="55"/>
      <c r="S18" s="55"/>
    </row>
    <row r="19" spans="1:19" s="53" customFormat="1" ht="22.2" customHeight="1">
      <c r="A19" s="122" t="s">
        <v>28</v>
      </c>
      <c r="B19" s="125">
        <v>0</v>
      </c>
      <c r="C19" s="126">
        <v>24</v>
      </c>
      <c r="D19" s="127">
        <v>657</v>
      </c>
      <c r="E19" s="125">
        <v>6909</v>
      </c>
      <c r="F19" s="126">
        <v>31</v>
      </c>
      <c r="G19" s="127">
        <v>677</v>
      </c>
      <c r="H19" s="125">
        <v>85.91</v>
      </c>
      <c r="I19" s="133">
        <v>25</v>
      </c>
      <c r="J19" s="127">
        <v>697</v>
      </c>
      <c r="K19" s="125">
        <v>10771</v>
      </c>
      <c r="L19" s="133">
        <v>30</v>
      </c>
      <c r="M19" s="184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28</v>
      </c>
      <c r="D20" s="128">
        <v>658</v>
      </c>
      <c r="E20" s="125">
        <v>4561</v>
      </c>
      <c r="F20" s="126">
        <v>32</v>
      </c>
      <c r="G20" s="127">
        <v>678</v>
      </c>
      <c r="H20" s="125">
        <v>95.51</v>
      </c>
      <c r="I20" s="133">
        <v>25</v>
      </c>
      <c r="J20" s="127">
        <v>698</v>
      </c>
      <c r="K20" s="125">
        <v>3037</v>
      </c>
      <c r="L20" s="133">
        <v>29</v>
      </c>
      <c r="M20" s="184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27</v>
      </c>
      <c r="D21" s="127">
        <v>659</v>
      </c>
      <c r="E21" s="125">
        <v>2513</v>
      </c>
      <c r="F21" s="126">
        <v>27</v>
      </c>
      <c r="G21" s="127">
        <v>680</v>
      </c>
      <c r="H21" s="125">
        <v>3854</v>
      </c>
      <c r="I21" s="133">
        <v>33</v>
      </c>
      <c r="J21" s="127">
        <v>699</v>
      </c>
      <c r="K21" s="125">
        <v>2770</v>
      </c>
      <c r="L21" s="133">
        <v>32</v>
      </c>
      <c r="M21" s="184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7001</v>
      </c>
      <c r="C22" s="130">
        <v>30</v>
      </c>
      <c r="D22" s="131">
        <v>660</v>
      </c>
      <c r="E22" s="130">
        <v>575</v>
      </c>
      <c r="F22" s="132">
        <v>28</v>
      </c>
      <c r="G22" s="131"/>
      <c r="H22" s="130"/>
      <c r="I22" s="132"/>
      <c r="J22" s="131"/>
      <c r="K22" s="130"/>
      <c r="L22" s="132"/>
      <c r="M22" s="185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82"/>
      <c r="B24" s="182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00000000000001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75" customHeight="1" thickTop="1">
      <c r="A26" s="119">
        <v>601</v>
      </c>
      <c r="B26" s="120">
        <v>155</v>
      </c>
      <c r="C26" s="121">
        <v>35</v>
      </c>
      <c r="D26" s="122" t="s">
        <v>76</v>
      </c>
      <c r="E26" s="120">
        <v>7087</v>
      </c>
      <c r="F26" s="121">
        <v>28</v>
      </c>
      <c r="G26" s="119">
        <v>661</v>
      </c>
      <c r="H26" s="120">
        <v>7050</v>
      </c>
      <c r="I26" s="123">
        <v>35</v>
      </c>
      <c r="J26" s="119">
        <v>681</v>
      </c>
      <c r="K26" s="120">
        <v>2333</v>
      </c>
      <c r="L26" s="124">
        <v>32</v>
      </c>
      <c r="M26" s="183"/>
    </row>
    <row r="27" spans="1:19" ht="21.75" customHeight="1">
      <c r="A27" s="119">
        <v>602</v>
      </c>
      <c r="B27" s="120">
        <v>8138</v>
      </c>
      <c r="C27" s="121">
        <v>35</v>
      </c>
      <c r="D27" s="122" t="s">
        <v>77</v>
      </c>
      <c r="E27" s="120">
        <v>967</v>
      </c>
      <c r="F27" s="121">
        <v>32</v>
      </c>
      <c r="G27" s="119">
        <v>662</v>
      </c>
      <c r="H27" s="120">
        <v>6965</v>
      </c>
      <c r="I27" s="123">
        <v>34</v>
      </c>
      <c r="J27" s="119">
        <v>682</v>
      </c>
      <c r="K27" s="120">
        <v>3007</v>
      </c>
      <c r="L27" s="133">
        <v>32</v>
      </c>
      <c r="M27" s="184"/>
    </row>
    <row r="28" spans="1:19" ht="21.75" customHeight="1">
      <c r="A28" s="119">
        <v>603</v>
      </c>
      <c r="B28" s="120">
        <v>6834</v>
      </c>
      <c r="C28" s="121">
        <v>33</v>
      </c>
      <c r="D28" s="122">
        <v>631</v>
      </c>
      <c r="E28" s="120">
        <v>3649</v>
      </c>
      <c r="F28" s="121">
        <v>34</v>
      </c>
      <c r="G28" s="119">
        <v>663</v>
      </c>
      <c r="H28" s="120">
        <v>3522</v>
      </c>
      <c r="I28" s="123">
        <v>34</v>
      </c>
      <c r="J28" s="119">
        <v>683</v>
      </c>
      <c r="K28" s="120">
        <v>2272</v>
      </c>
      <c r="L28" s="133">
        <v>34</v>
      </c>
      <c r="M28" s="184"/>
    </row>
    <row r="29" spans="1:19" ht="21.75" customHeight="1">
      <c r="A29" s="119" t="s">
        <v>78</v>
      </c>
      <c r="B29" s="125">
        <v>2750</v>
      </c>
      <c r="C29" s="126">
        <v>30</v>
      </c>
      <c r="D29" s="127">
        <v>632</v>
      </c>
      <c r="E29" s="125">
        <v>556</v>
      </c>
      <c r="F29" s="126">
        <v>46</v>
      </c>
      <c r="G29" s="127">
        <v>664</v>
      </c>
      <c r="H29" s="125">
        <v>0</v>
      </c>
      <c r="I29" s="124">
        <v>35</v>
      </c>
      <c r="J29" s="127">
        <v>684</v>
      </c>
      <c r="K29" s="125">
        <v>4832</v>
      </c>
      <c r="L29" s="133">
        <v>32</v>
      </c>
      <c r="M29" s="184"/>
    </row>
    <row r="30" spans="1:19" ht="21.75" customHeight="1">
      <c r="A30" s="119" t="s">
        <v>79</v>
      </c>
      <c r="B30" s="125">
        <v>4291</v>
      </c>
      <c r="C30" s="126">
        <v>30</v>
      </c>
      <c r="D30" s="127">
        <v>633</v>
      </c>
      <c r="E30" s="125">
        <v>3106</v>
      </c>
      <c r="F30" s="126">
        <v>26</v>
      </c>
      <c r="G30" s="127">
        <v>665</v>
      </c>
      <c r="H30" s="125">
        <v>4284</v>
      </c>
      <c r="I30" s="124">
        <v>32</v>
      </c>
      <c r="J30" s="127">
        <v>685</v>
      </c>
      <c r="K30" s="125">
        <v>2695</v>
      </c>
      <c r="L30" s="133">
        <v>33</v>
      </c>
      <c r="M30" s="184"/>
    </row>
    <row r="31" spans="1:19" ht="21.75" customHeight="1">
      <c r="A31" s="119">
        <v>611</v>
      </c>
      <c r="B31" s="125">
        <v>51.81</v>
      </c>
      <c r="C31" s="134">
        <v>25</v>
      </c>
      <c r="D31" s="127">
        <v>634</v>
      </c>
      <c r="E31" s="125">
        <v>5056</v>
      </c>
      <c r="F31" s="126">
        <v>31</v>
      </c>
      <c r="G31" s="127">
        <v>666</v>
      </c>
      <c r="H31" s="125">
        <v>3718</v>
      </c>
      <c r="I31" s="124">
        <v>30</v>
      </c>
      <c r="J31" s="127">
        <v>686</v>
      </c>
      <c r="K31" s="125">
        <v>4788</v>
      </c>
      <c r="L31" s="133">
        <v>35</v>
      </c>
      <c r="M31" s="184"/>
    </row>
    <row r="32" spans="1:19" ht="21.75" customHeight="1">
      <c r="A32" s="119">
        <v>612</v>
      </c>
      <c r="B32" s="125">
        <v>7.82</v>
      </c>
      <c r="C32" s="134">
        <v>25</v>
      </c>
      <c r="D32" s="127">
        <v>641</v>
      </c>
      <c r="E32" s="125">
        <v>4419</v>
      </c>
      <c r="F32" s="126">
        <v>34</v>
      </c>
      <c r="G32" s="127">
        <v>667</v>
      </c>
      <c r="H32" s="125">
        <v>3199</v>
      </c>
      <c r="I32" s="124">
        <v>39</v>
      </c>
      <c r="J32" s="127">
        <v>687</v>
      </c>
      <c r="K32" s="125">
        <v>254</v>
      </c>
      <c r="L32" s="133">
        <v>35</v>
      </c>
      <c r="M32" s="184"/>
    </row>
    <row r="33" spans="1:13" ht="21.75" customHeight="1">
      <c r="A33" s="119">
        <v>613</v>
      </c>
      <c r="B33" s="144">
        <v>7.01</v>
      </c>
      <c r="C33" s="134">
        <v>25</v>
      </c>
      <c r="D33" s="127">
        <v>642</v>
      </c>
      <c r="E33" s="125">
        <v>2767</v>
      </c>
      <c r="F33" s="126">
        <v>37</v>
      </c>
      <c r="G33" s="127">
        <v>668</v>
      </c>
      <c r="H33" s="125">
        <v>3868</v>
      </c>
      <c r="I33" s="124">
        <v>38</v>
      </c>
      <c r="J33" s="127">
        <v>688</v>
      </c>
      <c r="K33" s="125">
        <v>225</v>
      </c>
      <c r="L33" s="133">
        <v>35</v>
      </c>
      <c r="M33" s="184"/>
    </row>
    <row r="34" spans="1:13" ht="21.75" customHeight="1">
      <c r="A34" s="119">
        <v>614</v>
      </c>
      <c r="B34" s="125">
        <v>13.81</v>
      </c>
      <c r="C34" s="134">
        <v>25</v>
      </c>
      <c r="D34" s="127">
        <v>643</v>
      </c>
      <c r="E34" s="125">
        <v>5624</v>
      </c>
      <c r="F34" s="126">
        <v>35</v>
      </c>
      <c r="G34" s="127">
        <v>669</v>
      </c>
      <c r="H34" s="125">
        <v>-89</v>
      </c>
      <c r="I34" s="124">
        <v>35</v>
      </c>
      <c r="J34" s="127">
        <v>689</v>
      </c>
      <c r="K34" s="125">
        <v>5164</v>
      </c>
      <c r="L34" s="133">
        <v>34</v>
      </c>
      <c r="M34" s="184"/>
    </row>
    <row r="35" spans="1:13" ht="21.75" customHeight="1">
      <c r="A35" s="119">
        <v>621</v>
      </c>
      <c r="B35" s="125">
        <v>4757</v>
      </c>
      <c r="C35" s="126">
        <v>40</v>
      </c>
      <c r="D35" s="127">
        <v>645</v>
      </c>
      <c r="E35" s="125">
        <v>75</v>
      </c>
      <c r="F35" s="126">
        <v>35</v>
      </c>
      <c r="G35" s="127">
        <v>670</v>
      </c>
      <c r="H35" s="125">
        <v>-9907</v>
      </c>
      <c r="I35" s="124">
        <v>35</v>
      </c>
      <c r="J35" s="127">
        <v>690</v>
      </c>
      <c r="K35" s="125">
        <v>3219</v>
      </c>
      <c r="L35" s="124">
        <v>33</v>
      </c>
      <c r="M35" s="184"/>
    </row>
    <row r="36" spans="1:13" ht="21.75" customHeight="1">
      <c r="A36" s="119">
        <v>622</v>
      </c>
      <c r="B36" s="125">
        <v>3025</v>
      </c>
      <c r="C36" s="126">
        <v>33</v>
      </c>
      <c r="D36" s="127">
        <v>651</v>
      </c>
      <c r="E36" s="125">
        <v>690</v>
      </c>
      <c r="F36" s="126">
        <v>35</v>
      </c>
      <c r="G36" s="127">
        <v>671</v>
      </c>
      <c r="H36" s="125">
        <v>0</v>
      </c>
      <c r="I36" s="124">
        <v>35</v>
      </c>
      <c r="J36" s="127">
        <v>691</v>
      </c>
      <c r="K36" s="125">
        <v>4012</v>
      </c>
      <c r="L36" s="133">
        <v>32</v>
      </c>
      <c r="M36" s="184"/>
    </row>
    <row r="37" spans="1:13" ht="21.75" customHeight="1">
      <c r="A37" s="119">
        <v>623</v>
      </c>
      <c r="B37" s="125">
        <v>3714</v>
      </c>
      <c r="C37" s="126">
        <v>38</v>
      </c>
      <c r="D37" s="127">
        <v>652</v>
      </c>
      <c r="E37" s="125">
        <v>3911</v>
      </c>
      <c r="F37" s="126">
        <v>30</v>
      </c>
      <c r="G37" s="127">
        <v>672</v>
      </c>
      <c r="H37" s="125">
        <v>0</v>
      </c>
      <c r="I37" s="124">
        <v>32</v>
      </c>
      <c r="J37" s="127">
        <v>692</v>
      </c>
      <c r="K37" s="125">
        <v>1115</v>
      </c>
      <c r="L37" s="133">
        <v>34</v>
      </c>
      <c r="M37" s="184"/>
    </row>
    <row r="38" spans="1:13" ht="21.75" customHeight="1">
      <c r="A38" s="122">
        <v>624</v>
      </c>
      <c r="B38" s="125">
        <v>505</v>
      </c>
      <c r="C38" s="126">
        <v>35</v>
      </c>
      <c r="D38" s="128">
        <v>653</v>
      </c>
      <c r="E38" s="125">
        <v>0</v>
      </c>
      <c r="F38" s="126">
        <v>32</v>
      </c>
      <c r="G38" s="127">
        <v>673</v>
      </c>
      <c r="H38" s="125">
        <v>21</v>
      </c>
      <c r="I38" s="124">
        <v>35</v>
      </c>
      <c r="J38" s="127">
        <v>693</v>
      </c>
      <c r="K38" s="125">
        <v>6328</v>
      </c>
      <c r="L38" s="133">
        <v>33</v>
      </c>
      <c r="M38" s="184"/>
    </row>
    <row r="39" spans="1:13" ht="21.75" customHeight="1">
      <c r="A39" s="122" t="s">
        <v>80</v>
      </c>
      <c r="B39" s="125">
        <v>5073</v>
      </c>
      <c r="C39" s="126">
        <v>31</v>
      </c>
      <c r="D39" s="127">
        <v>654</v>
      </c>
      <c r="E39" s="125">
        <v>5286</v>
      </c>
      <c r="F39" s="126">
        <v>34</v>
      </c>
      <c r="G39" s="127">
        <v>674</v>
      </c>
      <c r="H39" s="125">
        <v>0</v>
      </c>
      <c r="I39" s="124">
        <v>32</v>
      </c>
      <c r="J39" s="127">
        <v>694</v>
      </c>
      <c r="K39" s="125">
        <v>1764</v>
      </c>
      <c r="L39" s="133">
        <v>33</v>
      </c>
      <c r="M39" s="184"/>
    </row>
    <row r="40" spans="1:13" ht="21.75" customHeight="1">
      <c r="A40" s="122" t="s">
        <v>26</v>
      </c>
      <c r="B40" s="125">
        <v>4443</v>
      </c>
      <c r="C40" s="126">
        <v>34</v>
      </c>
      <c r="D40" s="128">
        <v>655</v>
      </c>
      <c r="E40" s="125">
        <v>1622</v>
      </c>
      <c r="F40" s="126">
        <v>34</v>
      </c>
      <c r="G40" s="127">
        <v>675</v>
      </c>
      <c r="H40" s="125">
        <v>84.71</v>
      </c>
      <c r="I40" s="133">
        <v>25</v>
      </c>
      <c r="J40" s="127">
        <v>695</v>
      </c>
      <c r="K40" s="125">
        <v>5819</v>
      </c>
      <c r="L40" s="133">
        <v>35</v>
      </c>
      <c r="M40" s="184"/>
    </row>
    <row r="41" spans="1:13" ht="21.75" customHeight="1">
      <c r="A41" s="122" t="s">
        <v>27</v>
      </c>
      <c r="B41" s="125">
        <v>3747</v>
      </c>
      <c r="C41" s="126">
        <v>24</v>
      </c>
      <c r="D41" s="127">
        <v>656</v>
      </c>
      <c r="E41" s="125">
        <v>1877</v>
      </c>
      <c r="F41" s="126">
        <v>34</v>
      </c>
      <c r="G41" s="127">
        <v>676</v>
      </c>
      <c r="H41" s="125">
        <v>0</v>
      </c>
      <c r="I41" s="133">
        <v>25</v>
      </c>
      <c r="J41" s="127">
        <v>696</v>
      </c>
      <c r="K41" s="125">
        <v>9623</v>
      </c>
      <c r="L41" s="133">
        <v>33</v>
      </c>
      <c r="M41" s="184"/>
    </row>
    <row r="42" spans="1:13" ht="21.75" customHeight="1">
      <c r="A42" s="122" t="s">
        <v>28</v>
      </c>
      <c r="B42" s="125">
        <v>0</v>
      </c>
      <c r="C42" s="126">
        <v>37</v>
      </c>
      <c r="D42" s="127">
        <v>657</v>
      </c>
      <c r="E42" s="125">
        <v>4826</v>
      </c>
      <c r="F42" s="126">
        <v>34</v>
      </c>
      <c r="G42" s="127">
        <v>677</v>
      </c>
      <c r="H42" s="125">
        <v>86.01</v>
      </c>
      <c r="I42" s="133">
        <v>25</v>
      </c>
      <c r="J42" s="127">
        <v>697</v>
      </c>
      <c r="K42" s="125">
        <v>10772</v>
      </c>
      <c r="L42" s="133">
        <v>33</v>
      </c>
      <c r="M42" s="184"/>
    </row>
    <row r="43" spans="1:13" ht="21.75" customHeight="1">
      <c r="A43" s="122" t="s">
        <v>29</v>
      </c>
      <c r="B43" s="125">
        <v>0</v>
      </c>
      <c r="C43" s="126">
        <v>33</v>
      </c>
      <c r="D43" s="128">
        <v>658</v>
      </c>
      <c r="E43" s="125">
        <v>4571</v>
      </c>
      <c r="F43" s="126">
        <v>36</v>
      </c>
      <c r="G43" s="127">
        <v>678</v>
      </c>
      <c r="H43" s="125">
        <v>95.51</v>
      </c>
      <c r="I43" s="133">
        <v>25</v>
      </c>
      <c r="J43" s="127">
        <v>698</v>
      </c>
      <c r="K43" s="125">
        <v>3037</v>
      </c>
      <c r="L43" s="133">
        <v>32</v>
      </c>
      <c r="M43" s="184"/>
    </row>
    <row r="44" spans="1:13" ht="21.75" customHeight="1">
      <c r="A44" s="122" t="s">
        <v>30</v>
      </c>
      <c r="B44" s="125">
        <v>0</v>
      </c>
      <c r="C44" s="126">
        <v>28</v>
      </c>
      <c r="D44" s="127">
        <v>659</v>
      </c>
      <c r="E44" s="125">
        <v>2517</v>
      </c>
      <c r="F44" s="126">
        <v>30</v>
      </c>
      <c r="G44" s="127">
        <v>680</v>
      </c>
      <c r="H44" s="125">
        <v>3856</v>
      </c>
      <c r="I44" s="133">
        <v>34</v>
      </c>
      <c r="J44" s="127">
        <v>699</v>
      </c>
      <c r="K44" s="125">
        <v>3346</v>
      </c>
      <c r="L44" s="133">
        <v>34</v>
      </c>
      <c r="M44" s="184"/>
    </row>
    <row r="45" spans="1:13" ht="21.75" customHeight="1" thickBot="1">
      <c r="A45" s="129" t="s">
        <v>81</v>
      </c>
      <c r="B45" s="130">
        <v>7008</v>
      </c>
      <c r="C45" s="130">
        <v>31</v>
      </c>
      <c r="D45" s="131">
        <v>660</v>
      </c>
      <c r="E45" s="130">
        <v>576</v>
      </c>
      <c r="F45" s="132">
        <v>37</v>
      </c>
      <c r="G45" s="131"/>
      <c r="H45" s="130"/>
      <c r="I45" s="132"/>
      <c r="J45" s="131"/>
      <c r="K45" s="130"/>
      <c r="L45" s="132"/>
      <c r="M45" s="185"/>
    </row>
    <row r="46" spans="1:13" ht="16.2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E20:E22 E3:E4 B39:B45 H26:H39 E43:E45 E26:E27">
      <formula1>B3&lt;=7400</formula1>
    </dataValidation>
    <dataValidation type="custom" errorStyle="warning" allowBlank="1" showInputMessage="1" showErrorMessage="1" error="***你在睡喔,醒醒好嗎" sqref="E14:E19 E37:E42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26 B12:B13 B3 K14:K17 B5 B28 B35:B36 E28:E29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3:K11 E9:E13 K13 B37 E30 K26:K34 E32:E36 K36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60960</xdr:colOff>
                <xdr:row>15</xdr:row>
                <xdr:rowOff>198120</xdr:rowOff>
              </from>
              <to>
                <xdr:col>15</xdr:col>
                <xdr:colOff>525780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7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45806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41" t="s" ph="1">
        <v>178</v>
      </c>
      <c r="D6" s="71">
        <v>4938</v>
      </c>
      <c r="E6" s="71">
        <v>4687</v>
      </c>
      <c r="F6" s="71">
        <v>7138</v>
      </c>
      <c r="G6" s="71">
        <v>4147</v>
      </c>
      <c r="H6" s="71">
        <v>1030</v>
      </c>
      <c r="I6" s="71">
        <v>0</v>
      </c>
      <c r="J6" s="71">
        <v>7.8</v>
      </c>
      <c r="K6" s="71">
        <v>7.78</v>
      </c>
      <c r="L6" s="71">
        <v>59.25</v>
      </c>
      <c r="M6" s="71">
        <v>603</v>
      </c>
      <c r="N6" s="71">
        <v>4738</v>
      </c>
      <c r="O6" s="71">
        <v>2427</v>
      </c>
      <c r="P6" s="71">
        <v>1861</v>
      </c>
      <c r="Q6" s="71">
        <v>0</v>
      </c>
      <c r="R6" s="71">
        <v>3074</v>
      </c>
      <c r="S6" s="71">
        <v>6759</v>
      </c>
      <c r="T6" s="71">
        <v>7084</v>
      </c>
      <c r="U6" s="71">
        <v>4652</v>
      </c>
      <c r="V6" s="71">
        <v>4516</v>
      </c>
      <c r="W6" s="71">
        <v>0</v>
      </c>
      <c r="X6" s="71">
        <v>0</v>
      </c>
      <c r="Y6" s="71">
        <v>0</v>
      </c>
      <c r="Z6" s="71">
        <v>2003</v>
      </c>
      <c r="AA6" s="71">
        <v>5086</v>
      </c>
      <c r="AB6" s="71">
        <v>2043</v>
      </c>
      <c r="AC6" s="71">
        <v>4138</v>
      </c>
      <c r="AD6" s="71">
        <v>4390</v>
      </c>
      <c r="AE6" s="71">
        <v>4110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155250.21143538001</v>
      </c>
      <c r="E7" s="73" ph="1">
        <f>E6*51.53*LOOKUP(E8,密度!$A$2:$A$50,密度!$B$2:$B$50)</f>
        <v>188724.59535400002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167981.06502899999</v>
      </c>
      <c r="H7" s="73" ph="1">
        <f>(H6)*51.53*LOOKUP(H8,密度!$A$2:$A$50,密度!$B$2:$B$50)</f>
        <v>41701.734629999999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2517.1729424</v>
      </c>
      <c r="L7" s="73" ph="1">
        <f>L6*290.8*0.777</f>
        <v>13387.632300000001</v>
      </c>
      <c r="M7" s="73" ph="1">
        <f>M6*33.183*LOOKUP(M8,密度!$A$2:$A$50,密度!$D$2:$D$50)</f>
        <v>20599.6247955</v>
      </c>
      <c r="N7" s="73" ph="1">
        <f>N6*33.183*LOOKUP(N8,密度!$A$2:$A$50,密度!$E$2:$E$50)</f>
        <v>123135.52949280001</v>
      </c>
      <c r="O7" s="73" ph="1">
        <f>O6*20.428*LOOKUP(O8,密度!$A$2:$A$50,密度!$C$2:$C$50)</f>
        <v>54903.514394400001</v>
      </c>
      <c r="P7" s="73" ph="1">
        <f>P6*51.53*LOOKUP(P8,密度!$A$2:$A$50,密度!$B$2:$B$50)</f>
        <v>75020.481259000007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20251.312804800004</v>
      </c>
      <c r="S7" s="73" ph="1">
        <f>S6*1.5*1.5*3.1416*LOOKUP(S8,密度!$A$2:$A$50,密度!$L$2:$L$50)</f>
        <v>45101.174025599998</v>
      </c>
      <c r="T7" s="73" ph="1">
        <f>T6*1.5*1.5*3.1416*LOOKUP(T8,密度!$A$2:$A$50,密度!$L$2:$L$50)</f>
        <v>47169.672580799997</v>
      </c>
      <c r="U7" s="73" ph="1">
        <f>U6*1.5*1.5*3.1416*LOOKUP(U8,密度!$A$2:$A$50,密度!$L$2:$L$50)</f>
        <v>30811.490186400006</v>
      </c>
      <c r="V7" s="73" ph="1">
        <f>V6*1.5*1.5*3.1416*LOOKUP(V8,密度!$A$2:$A$50,密度!$L$2:$L$50)</f>
        <v>29751.115363199999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62477.616059999993</v>
      </c>
      <c r="AA7" s="73" ph="1">
        <f>AA6*33.183*LOOKUP(AA8,密度!$A$2:$A$50,密度!$D$2:$D$50)</f>
        <v>173426.75516880004</v>
      </c>
      <c r="AB7" s="73" ph="1">
        <f>AB6*20.428*LOOKUP(AB8,密度!$A$2:$A$50,密度!$D$2:$D$50)</f>
        <v>43220.148782400007</v>
      </c>
      <c r="AC7" s="73" ph="1">
        <f>AC6*51.53*LOOKUP(AC8,密度!$A$2:$A$50,密度!$Q$2:$Q$50)</f>
        <v>202030.10821580002</v>
      </c>
      <c r="AD7" s="73" ph="1">
        <f>AD6*20.428*LOOKUP(AD8,密度!$A$2:$A$50,密度!$V$2:$V$50)</f>
        <v>86163.506335999991</v>
      </c>
      <c r="AE7" s="73" ph="1">
        <f>AE6*20.428</f>
        <v>83959.08</v>
      </c>
    </row>
    <row r="8" spans="1:99" ph="1">
      <c r="B8" s="256" ph="1"/>
      <c r="C8" s="68" t="s" ph="1">
        <v>180</v>
      </c>
      <c r="D8" s="74">
        <v>24</v>
      </c>
      <c r="E8" s="74">
        <v>23</v>
      </c>
      <c r="F8" s="74">
        <v>27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27</v>
      </c>
      <c r="P8" s="74">
        <v>22</v>
      </c>
      <c r="Q8" s="74">
        <v>24</v>
      </c>
      <c r="R8" s="74">
        <v>30</v>
      </c>
      <c r="S8" s="74">
        <v>18</v>
      </c>
      <c r="T8" s="74">
        <v>20</v>
      </c>
      <c r="U8" s="74">
        <v>25</v>
      </c>
      <c r="V8" s="74">
        <v>30</v>
      </c>
      <c r="W8" s="74">
        <v>23</v>
      </c>
      <c r="X8" s="74">
        <v>17</v>
      </c>
      <c r="Y8" s="74">
        <v>21</v>
      </c>
      <c r="Z8" s="74">
        <v>22</v>
      </c>
      <c r="AA8" s="74">
        <v>24</v>
      </c>
      <c r="AB8" s="74">
        <v>15</v>
      </c>
      <c r="AC8" s="74">
        <v>24</v>
      </c>
      <c r="AD8" s="74">
        <v>22</v>
      </c>
      <c r="AE8" s="74">
        <v>30</v>
      </c>
    </row>
    <row r="9" spans="1:99" ht="26.4" ph="1">
      <c r="B9" s="256" ph="1">
        <v>0.66666666666666663</v>
      </c>
      <c r="C9" s="141" t="s" ph="1">
        <v>181</v>
      </c>
      <c r="D9" s="71">
        <v>4937</v>
      </c>
      <c r="E9" s="71">
        <v>4687</v>
      </c>
      <c r="F9" s="71">
        <v>7138</v>
      </c>
      <c r="G9" s="71">
        <v>4716</v>
      </c>
      <c r="H9" s="71">
        <v>1028</v>
      </c>
      <c r="I9" s="71">
        <v>0</v>
      </c>
      <c r="J9" s="71">
        <v>7.8</v>
      </c>
      <c r="K9" s="71">
        <v>7.74</v>
      </c>
      <c r="L9" s="71">
        <v>13.86</v>
      </c>
      <c r="M9" s="71">
        <v>604</v>
      </c>
      <c r="N9" s="71">
        <v>4735</v>
      </c>
      <c r="O9" s="71">
        <v>1487</v>
      </c>
      <c r="P9" s="71">
        <v>1879</v>
      </c>
      <c r="Q9" s="71">
        <v>0</v>
      </c>
      <c r="R9" s="71">
        <v>0</v>
      </c>
      <c r="S9" s="71">
        <v>5502</v>
      </c>
      <c r="T9" s="71">
        <v>7082</v>
      </c>
      <c r="U9" s="71">
        <v>7043</v>
      </c>
      <c r="V9" s="71">
        <v>7068</v>
      </c>
      <c r="W9" s="71">
        <v>3980</v>
      </c>
      <c r="X9" s="71">
        <v>0</v>
      </c>
      <c r="Y9" s="71">
        <v>0</v>
      </c>
      <c r="Z9" s="71">
        <v>2940</v>
      </c>
      <c r="AA9" s="71">
        <v>5084</v>
      </c>
      <c r="AB9" s="71">
        <v>2043</v>
      </c>
      <c r="AC9" s="71">
        <v>4136</v>
      </c>
      <c r="AD9" s="71">
        <v>4395</v>
      </c>
      <c r="AE9" s="71">
        <v>4066</v>
      </c>
    </row>
    <row r="10" spans="1:99" s="72" customFormat="1" ht="22.2" ph="1">
      <c r="B10" s="256" ph="1"/>
      <c r="C10" s="141" t="s" ph="1">
        <v>179</v>
      </c>
      <c r="D10" s="73" ph="1">
        <f>D9*33.183*LOOKUP(D11,密度!$A$2:$A$50,密度!$Q$2:$Q$50)</f>
        <v>155484.16718138999</v>
      </c>
      <c r="E10" s="73" ph="1">
        <f>E9*51.53*LOOKUP(E11,密度!$A$2:$A$50,密度!$B$2:$B$50)</f>
        <v>188724.59535400002</v>
      </c>
      <c r="F10" s="73" ph="1">
        <f>F9*33.183*LOOKUP(F11,密度!$A$2:$A$50,密度!$C$2:$C$50)</f>
        <v>262820.13783839997</v>
      </c>
      <c r="G10" s="73" ph="1">
        <f xml:space="preserve"> (G9+2)*51.53*LOOKUP(G11,密度!$A$2:$A$50,密度!$B$2:$B$50)</f>
        <v>190823.74204600003</v>
      </c>
      <c r="H10" s="73" ph="1">
        <f>(H9)*51.53*LOOKUP(H11,密度!$A$2:$A$50,密度!$B$2:$B$50)</f>
        <v>41578.382116000008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2504.2311792000005</v>
      </c>
      <c r="L10" s="73" ph="1">
        <f>L9*290.8*0.777</f>
        <v>3131.6891759999999</v>
      </c>
      <c r="M10" s="73" ph="1">
        <f>M9*33.183*LOOKUP(M11,密度!$A$2:$A$50,密度!$D$2:$D$50)</f>
        <v>20615.7484152</v>
      </c>
      <c r="N10" s="73" ph="1">
        <f>N9*33.183*LOOKUP(N11,密度!$A$2:$A$50,密度!$E$2:$E$50)</f>
        <v>123057.562716</v>
      </c>
      <c r="O10" s="73" ph="1">
        <f>O9*20.428*LOOKUP(O11,密度!$A$2:$A$50,密度!$C$2:$C$50)</f>
        <v>33638.865226399997</v>
      </c>
      <c r="P10" s="73" ph="1">
        <f>P9*51.53*LOOKUP(P11,密度!$A$2:$A$50,密度!$B$2:$B$50)</f>
        <v>75746.095801000003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36635.733842399997</v>
      </c>
      <c r="T10" s="73" ph="1">
        <f>T9*1.5*1.5*3.1416*LOOKUP(T11,密度!$A$2:$A$50,密度!$L$2:$L$50)</f>
        <v>48057.432192</v>
      </c>
      <c r="U10" s="73" ph="1">
        <f>U9*1.5*1.5*3.1416*LOOKUP(U11,密度!$A$2:$A$50,密度!$L$2:$L$50)</f>
        <v>46647.748362600003</v>
      </c>
      <c r="V10" s="73" ph="1">
        <f>V9*1.5*1.5*3.1416*LOOKUP(V11,密度!$A$2:$A$50,密度!$L$2:$L$50)</f>
        <v>46713.408587999998</v>
      </c>
      <c r="W10" s="73" ph="1">
        <f>W9*1.5*1.5*3.1416*LOOKUP(W11,密度!$A$2:$A$50,密度!$L$2:$L$50)</f>
        <v>26416.913291999997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91802.096819999992</v>
      </c>
      <c r="AA10" s="73" ph="1">
        <f>AA9*33.183*LOOKUP(AA11,密度!$A$2:$A$50,密度!$D$2:$D$50)</f>
        <v>172734.3586908</v>
      </c>
      <c r="AB10" s="73" ph="1">
        <f>AB9*20.428*LOOKUP(AB11,密度!$A$2:$A$50,密度!$D$2:$D$50)</f>
        <v>43220.148782400007</v>
      </c>
      <c r="AC10" s="73" ph="1">
        <f>AC9*51.53*LOOKUP(AC11,密度!$A$2:$A$50,密度!$Q$2:$Q$50)</f>
        <v>201776.87845920003</v>
      </c>
      <c r="AD10" s="73" ph="1">
        <f>AD9*20.428*LOOKUP(AD11,密度!$A$2:$A$50,密度!$V$2:$V$50)</f>
        <v>86261.642447999999</v>
      </c>
      <c r="AE10" s="73" ph="1">
        <f>AE9*20.428</f>
        <v>83060.248000000007</v>
      </c>
    </row>
    <row r="11" spans="1:99" ph="1">
      <c r="A11" s="64" t="s" ph="1">
        <v>163</v>
      </c>
      <c r="B11" s="256" ph="1"/>
      <c r="C11" s="141" t="s" ph="1">
        <v>180</v>
      </c>
      <c r="D11" s="74">
        <v>22</v>
      </c>
      <c r="E11" s="74">
        <v>23</v>
      </c>
      <c r="F11" s="74">
        <v>24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27</v>
      </c>
      <c r="P11" s="74">
        <v>22</v>
      </c>
      <c r="Q11" s="74">
        <v>25</v>
      </c>
      <c r="R11" s="74">
        <v>31</v>
      </c>
      <c r="S11" s="74">
        <v>20</v>
      </c>
      <c r="T11" s="74">
        <v>2</v>
      </c>
      <c r="U11" s="74">
        <v>25</v>
      </c>
      <c r="V11" s="74">
        <v>27</v>
      </c>
      <c r="W11" s="74">
        <v>23</v>
      </c>
      <c r="X11" s="74">
        <v>20</v>
      </c>
      <c r="Y11" s="74">
        <v>27</v>
      </c>
      <c r="Z11" s="74">
        <v>21</v>
      </c>
      <c r="AA11" s="74">
        <v>28</v>
      </c>
      <c r="AB11" s="74">
        <v>15</v>
      </c>
      <c r="AC11" s="74">
        <v>25</v>
      </c>
      <c r="AD11" s="74">
        <v>22</v>
      </c>
      <c r="AE11" s="74">
        <v>28</v>
      </c>
    </row>
    <row r="12" spans="1:99" ht="9.9" customHeight="1" ph="1"/>
    <row r="13" spans="1:99" s="72" customFormat="1" ht="29.25" customHeight="1" ph="1">
      <c r="B13" s="233" t="s" ph="1">
        <v>37</v>
      </c>
      <c r="C13" s="14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41" t="s" ph="1">
        <v>178</v>
      </c>
      <c r="D15" s="78">
        <v>0</v>
      </c>
      <c r="E15" s="78">
        <v>72</v>
      </c>
      <c r="F15" s="78">
        <v>3479</v>
      </c>
      <c r="G15" s="78">
        <v>2295</v>
      </c>
      <c r="H15" s="78">
        <v>0</v>
      </c>
      <c r="I15" s="78">
        <v>118</v>
      </c>
      <c r="J15" s="78">
        <v>1652</v>
      </c>
      <c r="K15" s="78">
        <v>324</v>
      </c>
      <c r="L15" s="78">
        <v>3220</v>
      </c>
      <c r="M15" s="78">
        <v>5582</v>
      </c>
      <c r="N15" s="78">
        <v>1159</v>
      </c>
      <c r="O15" s="78">
        <v>6054</v>
      </c>
      <c r="P15" s="78">
        <v>5467</v>
      </c>
      <c r="Q15" s="78">
        <v>3536</v>
      </c>
      <c r="R15" s="78">
        <v>3505</v>
      </c>
      <c r="S15" s="78">
        <v>6905</v>
      </c>
      <c r="T15" s="78">
        <v>6597</v>
      </c>
      <c r="U15" s="78">
        <v>1100</v>
      </c>
      <c r="V15" s="78">
        <v>2373</v>
      </c>
      <c r="W15" s="71">
        <v>-792</v>
      </c>
      <c r="X15" s="78">
        <v>27</v>
      </c>
      <c r="Y15" s="106">
        <v>-9906</v>
      </c>
      <c r="Z15" s="78">
        <v>0</v>
      </c>
      <c r="AA15" s="78">
        <v>4216</v>
      </c>
      <c r="AB15" s="78" ph="1">
        <v>2359</v>
      </c>
      <c r="AC15" s="78" ph="1">
        <v>18</v>
      </c>
      <c r="AD15" s="78">
        <v>51.53</v>
      </c>
      <c r="AE15" s="78">
        <v>5.18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41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477.89390880000002</v>
      </c>
      <c r="F16" s="73" ph="1">
        <f>F15*9.0746*LOOKUP(F17,密度!$A$2:$A$50,密度!$L$2:$L$50)</f>
        <v>29613.1603292</v>
      </c>
      <c r="G16" s="73" ph="1">
        <f>G15*9.0746*LOOKUP(G17,密度!$A$2:$A$50,密度!$B$2:$B$50)</f>
        <v>16273.598149800002</v>
      </c>
      <c r="H16" s="73" ph="1">
        <f>H15*9.0746*LOOKUP(H17,密度!$A$2:$A$50,密度!$L$2:$L$50)</f>
        <v>0</v>
      </c>
      <c r="I16" s="73" ph="1">
        <f>I15*9.0746*LOOKUP(I17,密度!$A$2:$A$50,密度!$U$2:$U$50)</f>
        <v>1100.7852783999999</v>
      </c>
      <c r="J16" s="73" ph="1">
        <f>J15*9.0746*LOOKUP(J17,密度!$A$2:$A$50,密度!$L$2:$L$50)</f>
        <v>14076.773608799998</v>
      </c>
      <c r="K16" s="73" ph="1">
        <f>K15*9.0746*LOOKUP(K17,密度!$A$2:$A$50,密度!$C$2:$C$50)</f>
        <v>3266.8233314399999</v>
      </c>
      <c r="L16" s="73" ph="1">
        <f>L15*9.0746*LOOKUP(L17,密度!$A$2:$A$50,密度!$E$2:$E$50)</f>
        <v>22920.334292799998</v>
      </c>
      <c r="M16" s="73" ph="1">
        <f>M15*9.0746*LOOKUP(M17,密度!$A$2:$A$50,密度!$M$2:$M$50)</f>
        <v>44368.204025480001</v>
      </c>
      <c r="N16" s="73" ph="1">
        <f>N15*9.0746*LOOKUP(N17,密度!$A$2:$A$50,密度!$M$2:$M$50)</f>
        <v>9245.9003167400006</v>
      </c>
      <c r="O16" s="73" ph="1">
        <f>O15*9.0746*LOOKUP(O17,密度!$A$2:$A$50,密度!$G$2:$G$50)</f>
        <v>52751.110789680002</v>
      </c>
      <c r="P16" s="73" ph="1">
        <f ca="1">P15*9.0746*LOOKUP(P17,密度!$A$2:$A$51,密度!$Q$2:$Q$50)</f>
        <v>46968.564957467999</v>
      </c>
      <c r="Q16" s="73" ph="1">
        <f>Q15*9.0746*LOOKUP(Q17,密度!$A$2:$A$50,密度!$Q$2:$Q$50)</f>
        <v>30425.638305920002</v>
      </c>
      <c r="R16" s="73" ph="1">
        <f>MAX(R15*9.0746*LOOKUP(R17,密度!$A$2:$A$50,密度!$B$2:$B$50),0)</f>
        <v>24824.952176499999</v>
      </c>
      <c r="S16" s="73" ph="1">
        <f>S15*9.0746*LOOKUP(S17,密度!$A$2:$A$50,密度!$Q$2:$Q$50)</f>
        <v>59322.835381620003</v>
      </c>
      <c r="T16" s="73" ph="1">
        <f>T15*9.0746*LOOKUP(T17,密度!$A$2:$A$50,密度!$O$2:$O$50)</f>
        <v>55674.576666000001</v>
      </c>
      <c r="U16" s="73" ph="1">
        <f>U15*9.0746*LOOKUP(U17,密度!$A$2:$A$50,密度!$H$2:$H$50)</f>
        <v>9180.5005819999988</v>
      </c>
      <c r="V16" s="73" ph="1">
        <f>MAX(5600*LOOKUP(V17,密度!$A$2:$A$50,密度!$Q$2:$Q$50)+V15*9.0476*LOOKUP(V17,密度!$A$2:$A$50,密度!$Q$2:$Q$50),0)</f>
        <v>25589.769671536003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6091.4984639599998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29895.202527039997</v>
      </c>
      <c r="AB16" s="73" ph="1">
        <f>AB15*9.0746*LOOKUP(AB17,密度!$A$2:$A$50,密度!$L$2:$L$50)</f>
        <v>20079.748553199999</v>
      </c>
      <c r="AC16" s="73" ph="1">
        <f>AC15*9.0746*LOOKUP(AC17,密度!$A$2:$A$50,密度!$L$2:$L$50)</f>
        <v>153.8689176</v>
      </c>
      <c r="AD16" s="73" ph="1">
        <f>AD15*268.68*LOOKUP(AD17,密度!$A$2:$A$50,密度!B2:B50)+IF(AD15&lt;=0,0,1566*LOOKUP(AD17,密度!$A$2:$A$50,密度!B2:B50))</f>
        <v>12014.478279840001</v>
      </c>
      <c r="AE16" s="73" ph="1">
        <f>AE15*268.68*LOOKUP(AE17,密度!$A$2:$A$50,密度!B2:B50)+IF(AE15&lt;=0,0,1566*LOOKUP(AE17,密度!$A$2:$A$50,密度!B2:B50))</f>
        <v>2305.8715670399997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23</v>
      </c>
      <c r="E17" s="74">
        <v>23</v>
      </c>
      <c r="F17" s="74">
        <v>24</v>
      </c>
      <c r="G17" s="74">
        <v>23</v>
      </c>
      <c r="H17" s="74">
        <v>19</v>
      </c>
      <c r="I17" s="74">
        <v>20</v>
      </c>
      <c r="J17" s="74">
        <v>23</v>
      </c>
      <c r="K17" s="74">
        <v>22</v>
      </c>
      <c r="L17" s="74">
        <v>24</v>
      </c>
      <c r="M17" s="74">
        <v>24</v>
      </c>
      <c r="N17" s="74">
        <v>21</v>
      </c>
      <c r="O17" s="74">
        <v>25</v>
      </c>
      <c r="P17" s="74">
        <v>25</v>
      </c>
      <c r="Q17" s="74">
        <v>23</v>
      </c>
      <c r="R17" s="74">
        <v>24</v>
      </c>
      <c r="S17" s="74">
        <v>25</v>
      </c>
      <c r="T17" s="74">
        <v>23</v>
      </c>
      <c r="U17" s="74">
        <v>20</v>
      </c>
      <c r="V17" s="74">
        <v>27</v>
      </c>
      <c r="W17" s="74">
        <v>23</v>
      </c>
      <c r="X17" s="74">
        <v>25</v>
      </c>
      <c r="Y17" s="108">
        <v>25</v>
      </c>
      <c r="Z17" s="74">
        <v>22</v>
      </c>
      <c r="AA17" s="74">
        <v>23</v>
      </c>
      <c r="AB17" s="74">
        <v>24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72</v>
      </c>
      <c r="F18" s="71">
        <v>3476</v>
      </c>
      <c r="G18" s="71">
        <v>2322</v>
      </c>
      <c r="H18" s="71">
        <v>0</v>
      </c>
      <c r="I18" s="71">
        <v>118</v>
      </c>
      <c r="J18" s="71">
        <v>1651</v>
      </c>
      <c r="K18" s="71">
        <v>324</v>
      </c>
      <c r="L18" s="71">
        <v>3218</v>
      </c>
      <c r="M18" s="71">
        <v>6828</v>
      </c>
      <c r="N18" s="71">
        <v>1349</v>
      </c>
      <c r="O18" s="71">
        <v>6052</v>
      </c>
      <c r="P18" s="71">
        <v>5465</v>
      </c>
      <c r="Q18" s="71">
        <v>3535</v>
      </c>
      <c r="R18" s="71">
        <v>3502</v>
      </c>
      <c r="S18" s="71">
        <v>6901</v>
      </c>
      <c r="T18" s="71">
        <v>5156</v>
      </c>
      <c r="U18" s="71">
        <v>1101</v>
      </c>
      <c r="V18" s="71">
        <v>2373</v>
      </c>
      <c r="W18" s="71">
        <v>-792</v>
      </c>
      <c r="X18" s="71">
        <v>27</v>
      </c>
      <c r="Y18" s="109">
        <v>-9906</v>
      </c>
      <c r="Z18" s="71">
        <v>0</v>
      </c>
      <c r="AA18" s="71">
        <v>4216</v>
      </c>
      <c r="AB18" s="71">
        <v>2358</v>
      </c>
      <c r="AC18" s="71">
        <v>28</v>
      </c>
      <c r="AD18" s="71">
        <v>81.36</v>
      </c>
      <c r="AE18" s="71">
        <v>5.15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41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477.38496959999998</v>
      </c>
      <c r="F19" s="73" ph="1">
        <f>F18*9.0746*LOOKUP(F20,密度!$A$2:$A$50,密度!$L$2:$L$50)</f>
        <v>29556.081095200003</v>
      </c>
      <c r="G19" s="73" ph="1">
        <f>G18*9.0746*LOOKUP(G20,密度!$A$2:$A$50,密度!$B$2:$B$50)</f>
        <v>16465.052245679999</v>
      </c>
      <c r="H19" s="73" ph="1">
        <f>H18*9.0746*LOOKUP(H20,密度!$A$2:$A$50,密度!$L$2:$L$50)</f>
        <v>0</v>
      </c>
      <c r="I19" s="73" ph="1">
        <f>I18*9.0746*LOOKUP(I20,密度!$A$2:$A$50,密度!$U$2:$U$50)</f>
        <v>1100.7852783999999</v>
      </c>
      <c r="J19" s="73" ph="1">
        <f>J18*9.0746*LOOKUP(J20,密度!$A$2:$A$50,密度!$L$2:$L$50)</f>
        <v>14068.2525594</v>
      </c>
      <c r="K19" s="73" ph="1">
        <f>K18*9.0746*LOOKUP(K20,密度!$A$2:$A$50,密度!$C$2:$C$50)</f>
        <v>3271.2335870400002</v>
      </c>
      <c r="L19" s="73" ph="1">
        <f>L18*9.0746*LOOKUP(L20,密度!$A$2:$A$50,密度!$E$2:$E$50)</f>
        <v>22906.098060320001</v>
      </c>
      <c r="M19" s="73" ph="1">
        <f>M18*9.0746*LOOKUP(M20,密度!$A$2:$A$50,密度!$M$2:$M$50)</f>
        <v>54340.120437600002</v>
      </c>
      <c r="N19" s="73" ph="1">
        <f>N18*9.0746*LOOKUP(N20,密度!$A$2:$A$50,密度!$M$2:$M$50)</f>
        <v>10761.621680140001</v>
      </c>
      <c r="O19" s="73" ph="1">
        <f>O18*9.0746*LOOKUP(O20,密度!$A$2:$A$50,密度!$G$2:$G$50)</f>
        <v>52733.683927840008</v>
      </c>
      <c r="P19" s="73" ph="1">
        <f ca="1">P18*9.0746*LOOKUP(P20,密度!$A$2:$A$51,密度!$Q$2:$Q$50)</f>
        <v>46987.585046829998</v>
      </c>
      <c r="Q19" s="73" ph="1">
        <f>Q18*9.0746*LOOKUP(Q20,密度!$A$2:$A$50,密度!$Q$2:$Q$50)</f>
        <v>30393.616311170001</v>
      </c>
      <c r="R19" s="73" ph="1">
        <f>MAX(R18*9.0746*LOOKUP(R20,密度!$A$2:$A$50,密度!$B$2:$B$50),0)</f>
        <v>24832.305324880002</v>
      </c>
      <c r="S19" s="73" ph="1">
        <f>S18*9.0746*LOOKUP(S20,密度!$A$2:$A$50,密度!$Q$2:$Q$50)</f>
        <v>59288.470234404005</v>
      </c>
      <c r="T19" s="73" ph="1">
        <f>T18*9.0746*LOOKUP(T20,密度!$A$2:$A$50,密度!$O$2:$O$50)</f>
        <v>43513.432968000001</v>
      </c>
      <c r="U19" s="73" ph="1">
        <f>U18*9.0746*LOOKUP(U20,密度!$A$2:$A$50,密度!$H$2:$H$50)</f>
        <v>9179.8544704799988</v>
      </c>
      <c r="V19" s="73" ph="1">
        <f>MAX(5600*LOOKUP(V20,密度!$A$2:$A$50,密度!$Q$2:$Q$50)+V18*9.0476*LOOKUP(V20,密度!$A$2:$A$50,密度!$Q$2:$Q$50),0)</f>
        <v>25570.820703175999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6078.0566079999999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29929.635189279998</v>
      </c>
      <c r="AB19" s="73" ph="1">
        <f>AB18*9.0746*LOOKUP(AB20,密度!$A$2:$A$50,密度!$L$2:$L$50)</f>
        <v>20071.236578399999</v>
      </c>
      <c r="AC19" s="73" ph="1">
        <f>AC18*9.0746*LOOKUP(AC20,密度!$A$2:$A$50,密度!$L$2:$L$50)</f>
        <v>239.09756079999997</v>
      </c>
      <c r="AD19" s="73" ph="1">
        <f>AD18*268.68*LOOKUP(AD20,密度!$A$2:$A$50,密度!B5:B53)+IF(AD18&lt;=0,0,1566*LOOKUP(AD20,密度!$A$2:$A$50,密度!B5:B53))</f>
        <v>18201.850329600002</v>
      </c>
      <c r="AE19" s="73" ph="1">
        <f>AE18*268.68*LOOKUP(AE20,密度!$A$2:$A$50,密度!B5:B53)+IF(AE18&lt;=0,0,1566*LOOKUP(AE20,密度!$A$2:$A$50,密度!B5:B53))</f>
        <v>2291.9184540000001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24</v>
      </c>
      <c r="E20" s="81">
        <v>24</v>
      </c>
      <c r="F20" s="81">
        <v>25</v>
      </c>
      <c r="G20" s="81">
        <v>23</v>
      </c>
      <c r="H20" s="81">
        <v>19</v>
      </c>
      <c r="I20" s="81">
        <v>20</v>
      </c>
      <c r="J20" s="81">
        <v>23</v>
      </c>
      <c r="K20" s="81">
        <v>20</v>
      </c>
      <c r="L20" s="81">
        <v>24</v>
      </c>
      <c r="M20" s="81">
        <v>23</v>
      </c>
      <c r="N20" s="81">
        <v>21</v>
      </c>
      <c r="O20" s="81">
        <v>25</v>
      </c>
      <c r="P20" s="81">
        <v>24</v>
      </c>
      <c r="Q20" s="81">
        <v>24</v>
      </c>
      <c r="R20" s="81">
        <v>23</v>
      </c>
      <c r="S20" s="81">
        <v>25</v>
      </c>
      <c r="T20" s="81">
        <v>23</v>
      </c>
      <c r="U20" s="81">
        <v>21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644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41" t="s" ph="1">
        <v>178</v>
      </c>
      <c r="D24" s="71">
        <v>90.63</v>
      </c>
      <c r="E24" s="71">
        <v>95.53</v>
      </c>
      <c r="F24" s="71">
        <v>3991</v>
      </c>
      <c r="G24" s="71">
        <v>1137</v>
      </c>
      <c r="H24" s="71">
        <v>3514</v>
      </c>
      <c r="I24" s="71">
        <v>3288</v>
      </c>
      <c r="J24" s="71">
        <v>5459</v>
      </c>
      <c r="K24" s="71">
        <v>0</v>
      </c>
      <c r="L24" s="71">
        <v>0</v>
      </c>
      <c r="M24" s="71">
        <v>5243</v>
      </c>
      <c r="N24" s="71">
        <v>5314</v>
      </c>
      <c r="O24" s="71">
        <v>3697</v>
      </c>
      <c r="P24" s="71">
        <v>886</v>
      </c>
      <c r="Q24" s="90">
        <v>3290</v>
      </c>
      <c r="R24" s="71">
        <v>2312</v>
      </c>
      <c r="S24" s="71">
        <v>1585</v>
      </c>
      <c r="T24" s="71">
        <v>1759</v>
      </c>
      <c r="U24" s="71">
        <v>5536</v>
      </c>
      <c r="V24" s="71">
        <v>9630</v>
      </c>
      <c r="W24" s="71">
        <v>10722</v>
      </c>
      <c r="X24" s="71">
        <v>2692</v>
      </c>
      <c r="Y24" s="71">
        <v>5145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24536.157293016</v>
      </c>
      <c r="E25" s="91" ph="1">
        <f>E24*268.68*LOOKUP(E26,密度!$A$2:$A$50,密度!$C$2:$C$50)+IF(E24&lt;=0,0,1566*LOOKUP(E26,密度!$A$2:$A$50,密度!$C$2:$C$50))</f>
        <v>30198.674143560002</v>
      </c>
      <c r="F25" s="91" ph="1">
        <f>F24*11.702*LOOKUP(F26,密度!$A$2:$A$50,密度!$Q$2:$Q$50)</f>
        <v>44249.390114540001</v>
      </c>
      <c r="G25" s="91" ph="1">
        <f>G24*18.322*LOOKUP(G26,密度!$A$2:$A$50,密度!$B$2:$B$50)</f>
        <v>16259.464976999998</v>
      </c>
      <c r="H25" s="91" ph="1">
        <f>H24*18.322*LOOKUP(H26,密度!$A$2:$A$50,密度!$B$2:$B$50)</f>
        <v>50309.273151199995</v>
      </c>
      <c r="I25" s="91" ph="1">
        <f>I24*18.322*LOOKUP(I26,密度!$A$2:$A$50,密度!$Q$2:$Q$50)</f>
        <v>57175.778310239999</v>
      </c>
      <c r="J25" s="91" ph="1">
        <f>J24*18.322*LOOKUP(J26,密度!$A$2:$A$50,密度!$Q$2:$Q$50)</f>
        <v>94838.772463600006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91086.221657200003</v>
      </c>
      <c r="N25" s="91" ph="1">
        <f>N24*18.322*LOOKUP(N26,密度!$A$2:$A$50,密度!$Q$2:$Q$50)</f>
        <v>92319.699005599992</v>
      </c>
      <c r="O25" s="91" ph="1">
        <f>O24*18.322*LOOKUP(O26,密度!$A$2:$A$50,密度!$C$2:$C$50)</f>
        <v>75261.951817399997</v>
      </c>
      <c r="P25" s="91" ph="1">
        <f>P24*11.702*LOOKUP(P26,密度!$A$2:$A$50,密度!$B$2:$B$50)</f>
        <v>8110.8644955999998</v>
      </c>
      <c r="Q25" s="92" ph="1">
        <f>Q24*18.322*LOOKUP(Q26,密度!$A$2:$A$50,密度!$B$2:$B$50)</f>
        <v>47156.558974</v>
      </c>
      <c r="R25" s="91" ph="1">
        <f>R24*35.891*LOOKUP(R26,密度!$A$2:$A$50,密度!$C$2:$C$50)</f>
        <v>92074.599123199994</v>
      </c>
      <c r="S25" s="91" ph="1">
        <f>S24*35.891*LOOKUP(S26,密度!$A$2:$A$50,密度!$B$2:$B$50)</f>
        <v>44502.883940500004</v>
      </c>
      <c r="T25" s="91" ph="1">
        <f>T24*35.891*LOOKUP(T26,密度!$A$2:$A$50,密度!$Q$2:$Q$50)</f>
        <v>59862.017465800003</v>
      </c>
      <c r="U25" s="91" ph="1">
        <f>U24*35.891</f>
        <v>198692.576</v>
      </c>
      <c r="V25" s="91" ph="1">
        <f>V24*47.051*LOOKUP(V26,密度!$A$2:$A$50,密度!$B$2:$B$50)</f>
        <v>354053.22298199998</v>
      </c>
      <c r="W25" s="91" ph="1">
        <f>W24*47.051*LOOKUP(W26,密度!$A$2:$A$50,密度!$B$2:$B$50)</f>
        <v>393293.24883120001</v>
      </c>
      <c r="X25" s="91" ph="1">
        <f>X24*47.051*LOOKUP(X26,密度!$A$2:$A$50,密度!$I$2:$I$50)</f>
        <v>131727.74368000001</v>
      </c>
      <c r="Y25" s="91" ph="1">
        <f>Y24*47.051*LOOKUP(Y26,密度!$A$2:$A$50,密度!$L$2:$L$50)</f>
        <v>226342.36432500003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24</v>
      </c>
      <c r="G26" s="74">
        <v>24</v>
      </c>
      <c r="H26" s="74">
        <v>23</v>
      </c>
      <c r="I26" s="74">
        <v>22</v>
      </c>
      <c r="J26" s="74">
        <v>23</v>
      </c>
      <c r="K26" s="74">
        <v>22</v>
      </c>
      <c r="L26" s="74">
        <v>23</v>
      </c>
      <c r="M26" s="74">
        <v>23</v>
      </c>
      <c r="N26" s="74">
        <v>23</v>
      </c>
      <c r="O26" s="74">
        <v>22</v>
      </c>
      <c r="P26" s="74">
        <v>22</v>
      </c>
      <c r="Q26" s="93">
        <v>22</v>
      </c>
      <c r="R26" s="74">
        <v>24</v>
      </c>
      <c r="S26" s="74">
        <v>22</v>
      </c>
      <c r="T26" s="74">
        <v>23</v>
      </c>
      <c r="U26" s="74">
        <v>22</v>
      </c>
      <c r="V26" s="74">
        <v>23</v>
      </c>
      <c r="W26" s="74">
        <v>25</v>
      </c>
      <c r="X26" s="74">
        <v>27</v>
      </c>
      <c r="Y26" s="74">
        <v>27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41" t="s" ph="1">
        <v>181</v>
      </c>
      <c r="D27" s="71">
        <v>90.58</v>
      </c>
      <c r="E27" s="71">
        <v>95.51</v>
      </c>
      <c r="F27" s="71">
        <v>3990</v>
      </c>
      <c r="G27" s="71">
        <v>1129</v>
      </c>
      <c r="H27" s="71">
        <v>2834</v>
      </c>
      <c r="I27" s="71">
        <v>3288</v>
      </c>
      <c r="J27" s="71">
        <v>5393</v>
      </c>
      <c r="K27" s="71">
        <v>55</v>
      </c>
      <c r="L27" s="71">
        <v>1128</v>
      </c>
      <c r="M27" s="71">
        <v>5242</v>
      </c>
      <c r="N27" s="71">
        <v>5313</v>
      </c>
      <c r="O27" s="71">
        <v>3694</v>
      </c>
      <c r="P27" s="71">
        <v>886</v>
      </c>
      <c r="Q27" s="90">
        <v>3674</v>
      </c>
      <c r="R27" s="71">
        <v>2312</v>
      </c>
      <c r="S27" s="71">
        <v>1584</v>
      </c>
      <c r="T27" s="71">
        <v>1759</v>
      </c>
      <c r="U27" s="71">
        <v>5455</v>
      </c>
      <c r="V27" s="71">
        <v>9630</v>
      </c>
      <c r="W27" s="71">
        <v>10720</v>
      </c>
      <c r="X27" s="71">
        <v>2672</v>
      </c>
      <c r="Y27" s="71">
        <v>4088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41" t="s" ph="1">
        <v>179</v>
      </c>
      <c r="D28" s="91" ph="1">
        <f>D27*268.68*LOOKUP(D29,密度!$A$2:$A$50,密度!$Q$2:$Q$50)+IF(D27&lt;=0,0,1566*LOOKUP(D29,密度!$A$2:$A$50,密度!$Q$2:$Q$50))</f>
        <v>24523.438787856001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16091.280010200002</v>
      </c>
      <c r="H28" s="91" ph="1">
        <f>H27*18.322*LOOKUP(H29,密度!$A$2:$A$50,密度!$B$2:$B$50)</f>
        <v>40392.1058892</v>
      </c>
      <c r="I28" s="91" ph="1">
        <f>I27*18.322*LOOKUP(I29,密度!$A$2:$A$50,密度!$Q$2:$Q$50)</f>
        <v>57034.207880640002</v>
      </c>
      <c r="J28" s="91" ph="1">
        <f>J27*18.322*LOOKUP(J29,密度!$A$2:$A$50,密度!$Q$2:$Q$50)</f>
        <v>93477.740832380005</v>
      </c>
      <c r="K28" s="91" ph="1">
        <f>K27*18.322*LOOKUP(K29,密度!$A$2:$A$50,密度!$Q$2:$Q$50)</f>
        <v>952.60841719999996</v>
      </c>
      <c r="L28" s="91" ph="1">
        <f>L27*18.322*LOOKUP(L29,密度!$A$2:$A$50,密度!$Q$2:$Q$50)</f>
        <v>19537.132629120002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92160.202697639994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8055.9142440000005</v>
      </c>
      <c r="Q28" s="92" ph="1">
        <f>Q27*18.322*LOOKUP(Q29,密度!$A$2:$A$50,密度!$B$2:$B$50)</f>
        <v>52418.21230359999</v>
      </c>
      <c r="R28" s="91" ph="1">
        <f>R27*35.891*LOOKUP(R29,密度!$A$2:$A$50,密度!$C$2:$C$50)</f>
        <v>91892.0431408</v>
      </c>
      <c r="S28" s="91" ph="1">
        <f>S27*35.891*LOOKUP(S29,密度!$A$2:$A$50,密度!$B$2:$B$50)</f>
        <v>44224.660497600002</v>
      </c>
      <c r="T28" s="91" ph="1">
        <f>T27*35.891*LOOKUP(T29,密度!$A$2:$A$50,密度!$Q$2:$Q$50)</f>
        <v>59636.00394278</v>
      </c>
      <c r="U28" s="91" ph="1">
        <f>U27*35.891</f>
        <v>195785.405</v>
      </c>
      <c r="V28" s="91" ph="1">
        <f>V27*47.051*LOOKUP(V29,密度!$A$2:$A$50,密度!$B$2:$B$50)</f>
        <v>353645.431965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131038.23950560001</v>
      </c>
      <c r="Y28" s="91" ph="1">
        <f>Y27*47.051*LOOKUP(Y29,密度!$A$2:$A$50,密度!$L$2:$L$50)</f>
        <v>180034.44076800003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41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25</v>
      </c>
      <c r="J29" s="74">
        <v>26</v>
      </c>
      <c r="K29" s="74">
        <v>27</v>
      </c>
      <c r="L29" s="74">
        <v>27</v>
      </c>
      <c r="M29" s="74">
        <v>26</v>
      </c>
      <c r="N29" s="74">
        <v>25</v>
      </c>
      <c r="O29" s="74">
        <v>30</v>
      </c>
      <c r="P29" s="74">
        <v>28</v>
      </c>
      <c r="Q29" s="93">
        <v>26</v>
      </c>
      <c r="R29" s="74">
        <v>27</v>
      </c>
      <c r="S29" s="74">
        <v>27</v>
      </c>
      <c r="T29" s="74">
        <v>28</v>
      </c>
      <c r="U29" s="74">
        <v>25</v>
      </c>
      <c r="V29" s="74">
        <v>24</v>
      </c>
      <c r="W29" s="74">
        <v>26</v>
      </c>
      <c r="X29" s="74">
        <v>25</v>
      </c>
      <c r="Y29" s="74">
        <v>26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41" t="s" ph="1">
        <v>5</v>
      </c>
      <c r="F32" s="142" t="s" ph="1">
        <v>43</v>
      </c>
      <c r="G32" s="97" t="s" ph="1">
        <v>4</v>
      </c>
      <c r="H32" s="141" t="s" ph="1">
        <v>5</v>
      </c>
      <c r="I32" s="142" t="s" ph="1">
        <v>43</v>
      </c>
      <c r="J32" s="97" t="s" ph="1">
        <v>4</v>
      </c>
      <c r="K32" s="141" t="s" ph="1">
        <v>5</v>
      </c>
      <c r="L32" s="142" t="s" ph="1">
        <v>43</v>
      </c>
      <c r="M32" s="97" t="s" ph="1">
        <v>4</v>
      </c>
      <c r="N32" s="141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1" t="s" ph="1">
        <v>5</v>
      </c>
      <c r="U32" s="99" t="s" ph="1">
        <v>43</v>
      </c>
      <c r="V32" s="97" t="s" ph="1">
        <v>4</v>
      </c>
      <c r="W32" s="141" t="s" ph="1">
        <v>5</v>
      </c>
      <c r="X32" s="99" t="s" ph="1">
        <v>43</v>
      </c>
      <c r="Y32" s="100" t="s" ph="1">
        <v>4</v>
      </c>
      <c r="Z32" s="141" t="s" ph="1">
        <v>5</v>
      </c>
      <c r="AA32" s="142" t="s" ph="1">
        <v>43</v>
      </c>
      <c r="AB32" s="97" t="s" ph="1">
        <v>85</v>
      </c>
      <c r="AC32" s="141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215954.50747320001</v>
      </c>
      <c r="E33" s="205" ph="1">
        <f>M10+I10</f>
        <v>20615.7484152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31" ph="1">
        <v>0</v>
      </c>
      <c r="H33" s="205" ph="1">
        <f>N19</f>
        <v>10761.621680140001</v>
      </c>
      <c r="I33" s="209" ph="1">
        <v>0</v>
      </c>
      <c r="J33" s="213" ph="1">
        <f>F10+O28</f>
        <v>337614.92812519998</v>
      </c>
      <c r="K33" s="205" ph="1">
        <f>O10+K10+E28+R28</f>
        <v>158227.85490492001</v>
      </c>
      <c r="L33" s="215" ph="1">
        <f>BE27</f>
        <v>7100</v>
      </c>
      <c r="M33" s="213" ph="1">
        <f>G10+H10+W28+S28+V28+E10</f>
        <v>1211762.7508426001</v>
      </c>
      <c r="N33" s="205" ph="1">
        <f>L10+P10++G28+H28</f>
        <v>135361.17087640002</v>
      </c>
      <c r="O33" s="209" ph="1">
        <f>BE17</f>
        <v>2270</v>
      </c>
      <c r="P33" s="213" ph="1">
        <f>L19</f>
        <v>22906.098060320001</v>
      </c>
      <c r="Q33" s="205" ph="1">
        <f>J10+N10</f>
        <v>124847.657724</v>
      </c>
      <c r="R33" s="209" ph="1">
        <f>BE23</f>
        <v>890</v>
      </c>
      <c r="S33" s="213" ph="1">
        <f>E10+X28</f>
        <v>319762.83485960006</v>
      </c>
      <c r="T33" s="205" ph="1">
        <f>X19</f>
        <v>6078.0566079999999</v>
      </c>
      <c r="U33" s="194" ph="1">
        <f>BE21</f>
        <v>730</v>
      </c>
      <c r="V33" s="207" ph="1">
        <f ca="1">P19+Q19+S19+M28+N28+J28</f>
        <v>413168.04854414403</v>
      </c>
      <c r="W33" s="207" ph="1">
        <f>D28+F28+V19+T28</f>
        <v>153934.48183901201</v>
      </c>
      <c r="X33" s="209" ph="1">
        <f>BE29+BE31</f>
        <v>10200</v>
      </c>
      <c r="Y33" s="211" ph="1">
        <f>+Q10+R10+S10+T10+U10+V10+W10+X10+Y10</f>
        <v>204471.23627699999</v>
      </c>
      <c r="Z33" s="192" ph="1">
        <f>D10+T19+U19+Y28+Z10</f>
        <v>480013.99220787</v>
      </c>
      <c r="AA33" s="194" ph="1">
        <f>BE19</f>
        <v>1440</v>
      </c>
      <c r="AB33" s="196" ph="1">
        <f>I19</f>
        <v>1100.7852783999999</v>
      </c>
      <c r="AC33" s="198" ph="1">
        <f>AD10</f>
        <v>86261.642447999999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43" t="s" ph="1">
        <v>186</v>
      </c>
      <c r="AA36" s="143" ph="1"/>
      <c r="AB36" s="191" t="s" ph="1">
        <v>642</v>
      </c>
      <c r="AC36" s="191" ph="1"/>
      <c r="AD36" s="191" ph="1"/>
      <c r="AE36" s="191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345</v>
      </c>
      <c r="AI37" s="143" t="s" ph="1">
        <v>212</v>
      </c>
      <c r="AJ37" s="143" t="s" ph="1">
        <v>213</v>
      </c>
      <c r="AK37" s="143" t="s" ph="1">
        <v>214</v>
      </c>
      <c r="AM37" s="143" t="s" ph="1">
        <v>213</v>
      </c>
      <c r="AN37" s="143" t="s" ph="1">
        <v>214</v>
      </c>
      <c r="AO37" s="143" t="s" ph="1">
        <v>215</v>
      </c>
      <c r="AP37" s="143" t="s" ph="1">
        <v>213</v>
      </c>
      <c r="AQ37" s="143" t="s" ph="1">
        <v>214</v>
      </c>
      <c r="AR37" s="143" t="s" ph="1">
        <v>215</v>
      </c>
      <c r="AS37" s="143" t="s" ph="1">
        <v>213</v>
      </c>
      <c r="AT37" s="143" t="s" ph="1">
        <v>214</v>
      </c>
      <c r="AU37" s="143" t="s" ph="1">
        <v>215</v>
      </c>
      <c r="AV37" s="143" t="s" ph="1">
        <v>213</v>
      </c>
      <c r="AW37" s="143" t="s" ph="1">
        <v>214</v>
      </c>
      <c r="AX37" s="143" t="s" ph="1">
        <v>215</v>
      </c>
      <c r="AY37" s="143" t="s" ph="1">
        <v>214</v>
      </c>
      <c r="AZ37" s="143" t="s" ph="1">
        <v>216</v>
      </c>
      <c r="BD37" s="143" t="s" ph="1">
        <v>308</v>
      </c>
      <c r="BE37" s="14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918" priority="96">
      <formula>ABS(D$7-D$10)&gt;=1000</formula>
    </cfRule>
  </conditionalFormatting>
  <conditionalFormatting sqref="E4 E6:E11">
    <cfRule type="expression" dxfId="2917" priority="95">
      <formula>ABS(E$7-E$10)&gt;=1000</formula>
    </cfRule>
  </conditionalFormatting>
  <conditionalFormatting sqref="F4:F11">
    <cfRule type="expression" dxfId="2916" priority="94">
      <formula>ABS(F$7-F$10)&gt;=1000</formula>
    </cfRule>
  </conditionalFormatting>
  <conditionalFormatting sqref="G4:G11">
    <cfRule type="expression" dxfId="2915" priority="93">
      <formula>ABS(G$7-G$10)&gt;=1000</formula>
    </cfRule>
  </conditionalFormatting>
  <conditionalFormatting sqref="H4:H11">
    <cfRule type="expression" dxfId="2914" priority="92">
      <formula>ABS(H$7-H$10)&gt;=1000</formula>
    </cfRule>
  </conditionalFormatting>
  <conditionalFormatting sqref="I4:I11">
    <cfRule type="expression" dxfId="2913" priority="91">
      <formula>ABS(I$7-I$10)&gt;=1000</formula>
    </cfRule>
  </conditionalFormatting>
  <conditionalFormatting sqref="J4:J11">
    <cfRule type="expression" dxfId="2912" priority="90">
      <formula>ABS(J$7-J$10)&gt;=1000</formula>
    </cfRule>
  </conditionalFormatting>
  <conditionalFormatting sqref="K4:K11">
    <cfRule type="expression" dxfId="2911" priority="89">
      <formula>ABS(K$7-K$10)&gt;=1000</formula>
    </cfRule>
  </conditionalFormatting>
  <conditionalFormatting sqref="L4:L11">
    <cfRule type="expression" dxfId="2910" priority="88">
      <formula>ABS(L$7-L$10)&gt;=1000</formula>
    </cfRule>
  </conditionalFormatting>
  <conditionalFormatting sqref="M4 M6:M11">
    <cfRule type="expression" dxfId="2909" priority="87">
      <formula>ABS(M$7-M$10)&gt;=1000</formula>
    </cfRule>
  </conditionalFormatting>
  <conditionalFormatting sqref="N4 N6:N11">
    <cfRule type="expression" dxfId="2908" priority="86">
      <formula>ABS(N$7-N$10)&gt;=1000</formula>
    </cfRule>
  </conditionalFormatting>
  <conditionalFormatting sqref="O4 O6:O11">
    <cfRule type="expression" dxfId="2907" priority="85">
      <formula>ABS(O$7-O$10)&gt;=1000</formula>
    </cfRule>
  </conditionalFormatting>
  <conditionalFormatting sqref="P4 P6:P11">
    <cfRule type="expression" dxfId="2906" priority="84">
      <formula>ABS(P$7-P$10)&gt;=1000</formula>
    </cfRule>
  </conditionalFormatting>
  <conditionalFormatting sqref="Q4:Q11">
    <cfRule type="expression" dxfId="2905" priority="83">
      <formula>ABS(Q$7-Q$10)&gt;=1000</formula>
    </cfRule>
  </conditionalFormatting>
  <conditionalFormatting sqref="R4:R11">
    <cfRule type="expression" dxfId="2904" priority="82">
      <formula>ABS(R$7-R$10)&gt;=1000</formula>
    </cfRule>
  </conditionalFormatting>
  <conditionalFormatting sqref="S4:S11">
    <cfRule type="expression" dxfId="2903" priority="81">
      <formula>ABS(S$7-S$10)&gt;=1000</formula>
    </cfRule>
  </conditionalFormatting>
  <conditionalFormatting sqref="T4:T9 T11">
    <cfRule type="expression" dxfId="2902" priority="80">
      <formula>ABS(T$7-T$10)&gt;=1000</formula>
    </cfRule>
  </conditionalFormatting>
  <conditionalFormatting sqref="U4:U9 U11">
    <cfRule type="expression" dxfId="2901" priority="79">
      <formula>ABS(U$7-U$10)&gt;=1000</formula>
    </cfRule>
  </conditionalFormatting>
  <conditionalFormatting sqref="V4:V9 V11">
    <cfRule type="expression" dxfId="2900" priority="78">
      <formula>ABS(V$7-V$10)&gt;=1000</formula>
    </cfRule>
  </conditionalFormatting>
  <conditionalFormatting sqref="W4:W9 W11">
    <cfRule type="expression" dxfId="2899" priority="77">
      <formula>ABS(W$7-W$10)&gt;=1000</formula>
    </cfRule>
  </conditionalFormatting>
  <conditionalFormatting sqref="X4:X9 X11">
    <cfRule type="expression" dxfId="2898" priority="76">
      <formula>ABS(X$7-X$10)&gt;=1000</formula>
    </cfRule>
  </conditionalFormatting>
  <conditionalFormatting sqref="Y4:Y9 Y11">
    <cfRule type="expression" dxfId="2897" priority="75">
      <formula>ABS(Y$7-Y$10)&gt;=1000</formula>
    </cfRule>
  </conditionalFormatting>
  <conditionalFormatting sqref="Z4:Z11">
    <cfRule type="expression" dxfId="2896" priority="74">
      <formula>ABS(Z$7-Z$10)&gt;=1000</formula>
    </cfRule>
  </conditionalFormatting>
  <conditionalFormatting sqref="AA4:AA11">
    <cfRule type="expression" dxfId="2895" priority="73">
      <formula>ABS(AA$7-AA$10)&gt;=1000</formula>
    </cfRule>
  </conditionalFormatting>
  <conditionalFormatting sqref="AB4:AB11">
    <cfRule type="expression" dxfId="2894" priority="72">
      <formula>ABS(AB$7-AB$10)&gt;=1000</formula>
    </cfRule>
  </conditionalFormatting>
  <conditionalFormatting sqref="AC4 AC6:AC11">
    <cfRule type="expression" dxfId="2893" priority="71">
      <formula>ABS(AC$7-AC$10)&gt;=1000</formula>
    </cfRule>
  </conditionalFormatting>
  <conditionalFormatting sqref="AD4:AD11">
    <cfRule type="expression" dxfId="2892" priority="70">
      <formula>ABS(AD$7-AD$10)&gt;=1000</formula>
    </cfRule>
  </conditionalFormatting>
  <conditionalFormatting sqref="AE4:AE11">
    <cfRule type="expression" dxfId="2891" priority="69">
      <formula>ABS(AE$7-AE$10)&gt;=1000</formula>
    </cfRule>
  </conditionalFormatting>
  <conditionalFormatting sqref="D13:D20">
    <cfRule type="expression" dxfId="2890" priority="68">
      <formula>ABS(D$16-D$19)&gt;=1000</formula>
    </cfRule>
  </conditionalFormatting>
  <conditionalFormatting sqref="E13:E20">
    <cfRule type="expression" dxfId="2889" priority="67">
      <formula>ABS(E$16-E$19)&gt;=1000</formula>
    </cfRule>
  </conditionalFormatting>
  <conditionalFormatting sqref="F13 F15:F20">
    <cfRule type="expression" dxfId="2888" priority="66">
      <formula>ABS(F$16-F$19)&gt;=1000</formula>
    </cfRule>
  </conditionalFormatting>
  <conditionalFormatting sqref="G13:G20">
    <cfRule type="expression" dxfId="2887" priority="65">
      <formula>ABS(G$16-G$19)&gt;=1000</formula>
    </cfRule>
  </conditionalFormatting>
  <conditionalFormatting sqref="H13:H20">
    <cfRule type="expression" dxfId="2886" priority="64">
      <formula>ABS(H$16-H$19)&gt;=1000</formula>
    </cfRule>
  </conditionalFormatting>
  <conditionalFormatting sqref="I13:I20">
    <cfRule type="expression" dxfId="2885" priority="63">
      <formula>ABS(I$16-I$19)&gt;=1000</formula>
    </cfRule>
  </conditionalFormatting>
  <conditionalFormatting sqref="J13:J20">
    <cfRule type="expression" dxfId="2884" priority="62">
      <formula>ABS(J$16-J$19)&gt;=1000</formula>
    </cfRule>
  </conditionalFormatting>
  <conditionalFormatting sqref="L13:L20">
    <cfRule type="expression" dxfId="2883" priority="61">
      <formula>ABS(L$16-L$19)&gt;=1000</formula>
    </cfRule>
  </conditionalFormatting>
  <conditionalFormatting sqref="M13 M15 M17:M18 M20">
    <cfRule type="expression" dxfId="2882" priority="60">
      <formula>ABS(M$16-M$19)&gt;=1000</formula>
    </cfRule>
  </conditionalFormatting>
  <conditionalFormatting sqref="N13:N20">
    <cfRule type="expression" dxfId="2881" priority="59">
      <formula>ABS(N$16-N$19)&gt;=1000</formula>
    </cfRule>
  </conditionalFormatting>
  <conditionalFormatting sqref="O13:O20">
    <cfRule type="expression" dxfId="2880" priority="58">
      <formula>ABS(O$16-O$19)&gt;=1000</formula>
    </cfRule>
  </conditionalFormatting>
  <conditionalFormatting sqref="P13:P20">
    <cfRule type="expression" dxfId="2879" priority="57">
      <formula>ABS(P$16-P$19)&gt;=1000</formula>
    </cfRule>
  </conditionalFormatting>
  <conditionalFormatting sqref="Q13 Q15:Q20">
    <cfRule type="expression" dxfId="2878" priority="56">
      <formula>ABS(Q$16-Q$19)&gt;=1000</formula>
    </cfRule>
  </conditionalFormatting>
  <conditionalFormatting sqref="R13:R20">
    <cfRule type="expression" dxfId="2877" priority="55">
      <formula>ABS(R$16-R$19)&gt;=1000</formula>
    </cfRule>
  </conditionalFormatting>
  <conditionalFormatting sqref="S13:S20">
    <cfRule type="expression" dxfId="2876" priority="54">
      <formula>ABS(S$16-S$19)&gt;=1000</formula>
    </cfRule>
  </conditionalFormatting>
  <conditionalFormatting sqref="T13:T20">
    <cfRule type="expression" dxfId="2875" priority="53">
      <formula>ABS(T$16-T$19)&gt;=1000</formula>
    </cfRule>
  </conditionalFormatting>
  <conditionalFormatting sqref="U13:U20">
    <cfRule type="expression" dxfId="2874" priority="52">
      <formula>ABS(U$16-U$19)&gt;=1000</formula>
    </cfRule>
  </conditionalFormatting>
  <conditionalFormatting sqref="V13:V20">
    <cfRule type="expression" dxfId="2873" priority="51">
      <formula>ABS(V$16-V$19)&gt;=1000</formula>
    </cfRule>
  </conditionalFormatting>
  <conditionalFormatting sqref="W13 W20 W15:W18">
    <cfRule type="expression" dxfId="2872" priority="50">
      <formula>ABS(W$16-W$19)&gt;=1000</formula>
    </cfRule>
  </conditionalFormatting>
  <conditionalFormatting sqref="X13 X15:X20 Y19">
    <cfRule type="expression" dxfId="2871" priority="49">
      <formula>ABS(X$16-X$19)&gt;=1000</formula>
    </cfRule>
  </conditionalFormatting>
  <conditionalFormatting sqref="Y13 Y15:Y18 Y20">
    <cfRule type="expression" dxfId="2870" priority="48">
      <formula>ABS(Y$16-Y$19)&gt;=1000</formula>
    </cfRule>
  </conditionalFormatting>
  <conditionalFormatting sqref="Z13:Z20">
    <cfRule type="expression" dxfId="2869" priority="47">
      <formula>ABS(Z$16-Z$19)&gt;=1000</formula>
    </cfRule>
  </conditionalFormatting>
  <conditionalFormatting sqref="AA13:AA20">
    <cfRule type="expression" dxfId="2868" priority="46">
      <formula>ABS(AA$16-AA$19)&gt;=1000</formula>
    </cfRule>
  </conditionalFormatting>
  <conditionalFormatting sqref="AB13 AB15:AB20">
    <cfRule type="expression" dxfId="2867" priority="45">
      <formula>ABS(AB$16-AB$19)&gt;=1000</formula>
    </cfRule>
  </conditionalFormatting>
  <conditionalFormatting sqref="AC13 AC15:AC20">
    <cfRule type="expression" dxfId="2866" priority="44">
      <formula>ABS(AC$16-AC$19)&gt;=1000</formula>
    </cfRule>
  </conditionalFormatting>
  <conditionalFormatting sqref="AD13:AD20">
    <cfRule type="expression" dxfId="2865" priority="43">
      <formula>ABS(AD$16-AD$19)&gt;=1000</formula>
    </cfRule>
  </conditionalFormatting>
  <conditionalFormatting sqref="AE13:AE20">
    <cfRule type="expression" dxfId="2864" priority="42">
      <formula>ABS(AE$16-AE$19)&gt;=1000</formula>
    </cfRule>
  </conditionalFormatting>
  <conditionalFormatting sqref="D22:D29">
    <cfRule type="expression" dxfId="2863" priority="41">
      <formula>ABS(D$25-D$28)&gt;=1000</formula>
    </cfRule>
  </conditionalFormatting>
  <conditionalFormatting sqref="E22:E29">
    <cfRule type="expression" dxfId="2862" priority="40">
      <formula>ABS(E$25-E$28)&gt;=1000</formula>
    </cfRule>
  </conditionalFormatting>
  <conditionalFormatting sqref="F22:F29">
    <cfRule type="expression" dxfId="2861" priority="39">
      <formula>ABS(F$25-F$28)&gt;=1000</formula>
    </cfRule>
  </conditionalFormatting>
  <conditionalFormatting sqref="G22:G29">
    <cfRule type="expression" dxfId="2860" priority="38">
      <formula>ABS(G$25-G$28)&gt;=1000</formula>
    </cfRule>
  </conditionalFormatting>
  <conditionalFormatting sqref="H22:H29">
    <cfRule type="expression" dxfId="2859" priority="37">
      <formula>ABS(H$25-H$28)&gt;=1000</formula>
    </cfRule>
  </conditionalFormatting>
  <conditionalFormatting sqref="I22 I24:I29">
    <cfRule type="expression" dxfId="2858" priority="36">
      <formula>ABS(I$25-I$28)&gt;=1000</formula>
    </cfRule>
  </conditionalFormatting>
  <conditionalFormatting sqref="J22:J29 K22">
    <cfRule type="expression" dxfId="2857" priority="35">
      <formula>ABS(J$25-J$28)&gt;=1000</formula>
    </cfRule>
  </conditionalFormatting>
  <conditionalFormatting sqref="K23:K29 L25 L28">
    <cfRule type="expression" dxfId="2856" priority="34">
      <formula>ABS(K$25-K$28)&gt;=1000</formula>
    </cfRule>
  </conditionalFormatting>
  <conditionalFormatting sqref="L22:L24 L26:L27 L29">
    <cfRule type="expression" dxfId="2855" priority="33">
      <formula>ABS(L$25-L$28)&gt;=1000</formula>
    </cfRule>
  </conditionalFormatting>
  <conditionalFormatting sqref="M22:M29">
    <cfRule type="expression" dxfId="2854" priority="32">
      <formula>ABS(M$25-M$28)&gt;=1000</formula>
    </cfRule>
  </conditionalFormatting>
  <conditionalFormatting sqref="N22:N29">
    <cfRule type="expression" dxfId="2853" priority="31">
      <formula>ABS(N$25-N$28)&gt;=1000</formula>
    </cfRule>
  </conditionalFormatting>
  <conditionalFormatting sqref="O22:O29">
    <cfRule type="expression" dxfId="2852" priority="30">
      <formula>ABS(O$25-O$28)&gt;=1000</formula>
    </cfRule>
  </conditionalFormatting>
  <conditionalFormatting sqref="P22:P29">
    <cfRule type="expression" dxfId="2851" priority="29">
      <formula>ABS(P$25-P$28)&gt;=1000</formula>
    </cfRule>
  </conditionalFormatting>
  <conditionalFormatting sqref="Q22:Q29">
    <cfRule type="expression" dxfId="2850" priority="28">
      <formula>ABS(Q$25-Q$28)&gt;=1000</formula>
    </cfRule>
  </conditionalFormatting>
  <conditionalFormatting sqref="R22:R29">
    <cfRule type="expression" dxfId="2849" priority="27">
      <formula>ABS(R$25-R$28)&gt;=1000</formula>
    </cfRule>
  </conditionalFormatting>
  <conditionalFormatting sqref="S22:S29">
    <cfRule type="expression" dxfId="2848" priority="26">
      <formula>ABS(S$25-S$28)&gt;=1000</formula>
    </cfRule>
  </conditionalFormatting>
  <conditionalFormatting sqref="T22:T29">
    <cfRule type="expression" dxfId="2847" priority="25">
      <formula>ABS(T$25-T$28)&gt;=1000</formula>
    </cfRule>
  </conditionalFormatting>
  <conditionalFormatting sqref="U22:U29">
    <cfRule type="expression" dxfId="2846" priority="24">
      <formula>ABS(U$25-U$28)&gt;=1000</formula>
    </cfRule>
  </conditionalFormatting>
  <conditionalFormatting sqref="V22:V29">
    <cfRule type="expression" dxfId="2845" priority="23">
      <formula>ABS(V$25-V$28)&gt;=1000</formula>
    </cfRule>
  </conditionalFormatting>
  <conditionalFormatting sqref="W22:W29">
    <cfRule type="expression" dxfId="2844" priority="22">
      <formula>ABS(W$25-W$28)&gt;=1000</formula>
    </cfRule>
  </conditionalFormatting>
  <conditionalFormatting sqref="X22:X29">
    <cfRule type="expression" dxfId="2843" priority="21">
      <formula>ABS(X$25-X$28)&gt;=1000</formula>
    </cfRule>
  </conditionalFormatting>
  <conditionalFormatting sqref="Y22:Y29">
    <cfRule type="expression" dxfId="2842" priority="20">
      <formula>ABS(Y$25-Y$28)&gt;=1000</formula>
    </cfRule>
  </conditionalFormatting>
  <conditionalFormatting sqref="I23">
    <cfRule type="expression" dxfId="2841" priority="19">
      <formula>ABS(I$25-I$28)&gt;=1000</formula>
    </cfRule>
  </conditionalFormatting>
  <conditionalFormatting sqref="F14">
    <cfRule type="expression" dxfId="2840" priority="18">
      <formula>ABS(F$16-F$19)&gt;=1000</formula>
    </cfRule>
  </conditionalFormatting>
  <conditionalFormatting sqref="Q14">
    <cfRule type="expression" dxfId="2839" priority="17">
      <formula>ABS(Q$16-Q$19)&gt;=1000</formula>
    </cfRule>
  </conditionalFormatting>
  <conditionalFormatting sqref="W14">
    <cfRule type="expression" dxfId="2838" priority="16">
      <formula>ABS(W$16-W$19)&gt;=1000</formula>
    </cfRule>
  </conditionalFormatting>
  <conditionalFormatting sqref="Y14">
    <cfRule type="expression" dxfId="2837" priority="15">
      <formula>ABS(Y$16-Y$19)&gt;=1000</formula>
    </cfRule>
  </conditionalFormatting>
  <conditionalFormatting sqref="X14">
    <cfRule type="expression" dxfId="2836" priority="14">
      <formula>ABS(X$16-X$19)&gt;=1000</formula>
    </cfRule>
  </conditionalFormatting>
  <conditionalFormatting sqref="T10:Y10">
    <cfRule type="expression" dxfId="2835" priority="13">
      <formula>ABS(T$7-T$10)&gt;=1000</formula>
    </cfRule>
  </conditionalFormatting>
  <conditionalFormatting sqref="W19">
    <cfRule type="expression" dxfId="2834" priority="12">
      <formula>ABS(W$16-W$19)&gt;=1000</formula>
    </cfRule>
  </conditionalFormatting>
  <conditionalFormatting sqref="AC5">
    <cfRule type="expression" dxfId="2833" priority="11">
      <formula>ABS(AC$7-AC$10)&gt;=1000</formula>
    </cfRule>
  </conditionalFormatting>
  <conditionalFormatting sqref="M14">
    <cfRule type="expression" dxfId="2832" priority="10">
      <formula>ABS(M$16-M$19)&gt;=1000</formula>
    </cfRule>
  </conditionalFormatting>
  <conditionalFormatting sqref="M16">
    <cfRule type="expression" dxfId="2831" priority="9">
      <formula>ABS(M$16-M$19)&gt;=1000</formula>
    </cfRule>
  </conditionalFormatting>
  <conditionalFormatting sqref="M19">
    <cfRule type="expression" dxfId="2830" priority="8">
      <formula>ABS(M$16-M$19)&gt;=1000</formula>
    </cfRule>
  </conditionalFormatting>
  <conditionalFormatting sqref="K13:K20">
    <cfRule type="expression" dxfId="2829" priority="7">
      <formula>ABS(K$16-K$19)&gt;=1000</formula>
    </cfRule>
  </conditionalFormatting>
  <conditionalFormatting sqref="E5">
    <cfRule type="expression" dxfId="2828" priority="6">
      <formula>ABS(E$7-E$10)&gt;=1000</formula>
    </cfRule>
  </conditionalFormatting>
  <conditionalFormatting sqref="AB14:AC14">
    <cfRule type="expression" dxfId="2827" priority="5">
      <formula>ABS(AB$16-AB$19)&gt;=1000</formula>
    </cfRule>
  </conditionalFormatting>
  <conditionalFormatting sqref="M5">
    <cfRule type="expression" dxfId="2826" priority="4">
      <formula>ABS(M$7-M$10)&gt;=1000</formula>
    </cfRule>
  </conditionalFormatting>
  <conditionalFormatting sqref="N5">
    <cfRule type="expression" dxfId="2825" priority="3">
      <formula>ABS(N$7-N$10)&gt;=1000</formula>
    </cfRule>
  </conditionalFormatting>
  <conditionalFormatting sqref="O5">
    <cfRule type="expression" dxfId="2824" priority="2">
      <formula>ABS(O$7-O$10)&gt;=1000</formula>
    </cfRule>
  </conditionalFormatting>
  <conditionalFormatting sqref="P5">
    <cfRule type="expression" dxfId="2823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7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8">
    <pageSetUpPr fitToPage="1"/>
  </sheetPr>
  <dimension ref="A1:CU223"/>
  <sheetViews>
    <sheetView view="pageBreakPreview" zoomScale="80" zoomScaleNormal="100" zoomScaleSheetLayoutView="80" workbookViewId="0">
      <selection activeCell="Y35" sqref="Y3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45809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47" t="s" ph="1">
        <v>178</v>
      </c>
      <c r="D6" s="71">
        <v>4937</v>
      </c>
      <c r="E6" s="71">
        <v>4684</v>
      </c>
      <c r="F6" s="71">
        <v>7138</v>
      </c>
      <c r="G6" s="71">
        <v>4001</v>
      </c>
      <c r="H6" s="71">
        <v>1030</v>
      </c>
      <c r="I6" s="71">
        <v>70.8</v>
      </c>
      <c r="J6" s="71">
        <v>7.8</v>
      </c>
      <c r="K6" s="71">
        <v>7.7</v>
      </c>
      <c r="L6" s="71">
        <v>38.6</v>
      </c>
      <c r="M6" s="71">
        <v>602</v>
      </c>
      <c r="N6" s="71">
        <v>4738</v>
      </c>
      <c r="O6" s="71">
        <v>1484</v>
      </c>
      <c r="P6" s="71">
        <v>2228</v>
      </c>
      <c r="Q6" s="71">
        <v>1850</v>
      </c>
      <c r="R6" s="71">
        <v>0</v>
      </c>
      <c r="S6" s="71">
        <v>0</v>
      </c>
      <c r="T6" s="71">
        <v>1800</v>
      </c>
      <c r="U6" s="71">
        <v>0</v>
      </c>
      <c r="V6" s="71">
        <v>5100</v>
      </c>
      <c r="W6" s="71">
        <v>6900</v>
      </c>
      <c r="X6" s="71">
        <v>4600</v>
      </c>
      <c r="Y6" s="71">
        <v>2450</v>
      </c>
      <c r="Z6" s="71">
        <v>5814</v>
      </c>
      <c r="AA6" s="71">
        <v>4229</v>
      </c>
      <c r="AB6" s="71">
        <v>2043</v>
      </c>
      <c r="AC6" s="71">
        <v>4131</v>
      </c>
      <c r="AD6" s="71">
        <v>4395</v>
      </c>
      <c r="AE6" s="71">
        <v>3630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155099.17967454001</v>
      </c>
      <c r="E7" s="73" ph="1">
        <f>E6*51.53*LOOKUP(E8,密度!$A$2:$A$50,密度!$B$2:$B$50)</f>
        <v>188169.338992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160811.67036399999</v>
      </c>
      <c r="H7" s="73" ph="1">
        <f>(H6)*51.53*LOOKUP(H8,密度!$A$2:$A$50,密度!$B$2:$B$50)</f>
        <v>41377.971639999996</v>
      </c>
      <c r="I7" s="73" ph="1">
        <f>I6*290.8*1.0267</f>
        <v>21138.356688</v>
      </c>
      <c r="J7" s="73" ph="1">
        <f>J6*290.8*0.7892</f>
        <v>1790.0950080000002</v>
      </c>
      <c r="K7" s="73" ph="1">
        <f>K6*290.8*1.1126</f>
        <v>2491.2894160000005</v>
      </c>
      <c r="L7" s="73" ph="1">
        <f>L6*290.8*0.777</f>
        <v>8721.7317600000006</v>
      </c>
      <c r="M7" s="73" ph="1">
        <f>M6*33.183*LOOKUP(M8,密度!$A$2:$A$50,密度!$D$2:$D$50)</f>
        <v>20415.641652000002</v>
      </c>
      <c r="N7" s="73" ph="1">
        <f>N6*33.183*LOOKUP(N8,密度!$A$2:$A$50,密度!$E$2:$E$50)</f>
        <v>123135.52949280001</v>
      </c>
      <c r="O7" s="73" ph="1">
        <f>O6*20.428*LOOKUP(O8,密度!$A$2:$A$50,密度!$C$2:$C$50)</f>
        <v>33501.2744752</v>
      </c>
      <c r="P7" s="73" ph="1">
        <f>P6*51.53*LOOKUP(P8,密度!$A$2:$A$50,密度!$B$2:$B$50)</f>
        <v>89504.971663999997</v>
      </c>
      <c r="Q7" s="73" ph="1">
        <f>Q6*1.5*1.5*3.1416*LOOKUP(W8,密度!$A$2:$A$50,密度!$L$2:$L$50)</f>
        <v>12253.06467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11960.071199999998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33670.569240000004</v>
      </c>
      <c r="W7" s="73" ph="1">
        <f>W6*1.5*1.5*3.1416*LOOKUP(W8,密度!$A$2:$A$50,密度!$L$2:$L$50)</f>
        <v>45700.619579999999</v>
      </c>
      <c r="X7" s="73" ph="1">
        <f>X6*1.5*1.5*3.1416*LOOKUP(X8,密度!$A$2:$A$50,密度!$L$2:$L$50)</f>
        <v>30304.501919999999</v>
      </c>
      <c r="Y7" s="73" ph="1">
        <f>Y6*1.5*1.5*3.1416*LOOKUP(Y8,密度!$A$2:$A$50,密度!$L$2:$L$50)</f>
        <v>16227.031590000001</v>
      </c>
      <c r="Z7" s="73" ph="1">
        <f>Z6*33.183*LOOKUP(Z8,密度!$A$2:$A$50,密度!$L$2:$L$50)</f>
        <v>180578.70043200001</v>
      </c>
      <c r="AA7" s="73" ph="1">
        <f>AA6*33.183*LOOKUP(AA8,密度!$A$2:$A$50,密度!$D$2:$D$50)</f>
        <v>143418.186954</v>
      </c>
      <c r="AB7" s="73" ph="1">
        <f>AB6*20.428*LOOKUP(AB8,密度!$A$2:$A$50,密度!$D$2:$D$50)</f>
        <v>43115.812772400001</v>
      </c>
      <c r="AC7" s="73" ph="1">
        <f>AC6*51.53*LOOKUP(AC8,密度!$A$2:$A$50,密度!$Q$2:$Q$50)</f>
        <v>201532.95089820001</v>
      </c>
      <c r="AD7" s="73" ph="1">
        <f>AD6*20.428*LOOKUP(AD8,密度!$A$2:$A$50,密度!$V$2:$V$50)</f>
        <v>86261.642447999999</v>
      </c>
      <c r="AE7" s="73" ph="1">
        <f>AE6*20.428</f>
        <v>74153.64</v>
      </c>
    </row>
    <row r="8" spans="1:99" ph="1">
      <c r="B8" s="256" ph="1"/>
      <c r="C8" s="68" t="s" ph="1">
        <v>180</v>
      </c>
      <c r="D8" s="74">
        <v>25</v>
      </c>
      <c r="E8" s="74">
        <v>25</v>
      </c>
      <c r="F8" s="74">
        <v>25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25</v>
      </c>
      <c r="O8" s="74">
        <v>30</v>
      </c>
      <c r="P8" s="74">
        <v>25</v>
      </c>
      <c r="Q8" s="74">
        <v>25</v>
      </c>
      <c r="R8" s="74">
        <v>32</v>
      </c>
      <c r="S8" s="74">
        <v>23</v>
      </c>
      <c r="T8" s="74">
        <v>22</v>
      </c>
      <c r="U8" s="74">
        <v>28</v>
      </c>
      <c r="V8" s="74">
        <v>28</v>
      </c>
      <c r="W8" s="74">
        <v>25</v>
      </c>
      <c r="X8" s="74">
        <v>30</v>
      </c>
      <c r="Y8" s="74">
        <v>25</v>
      </c>
      <c r="Z8" s="74">
        <v>26</v>
      </c>
      <c r="AA8" s="74">
        <v>30</v>
      </c>
      <c r="AB8" s="74">
        <v>18</v>
      </c>
      <c r="AC8" s="74">
        <v>25</v>
      </c>
      <c r="AD8" s="74">
        <v>25</v>
      </c>
      <c r="AE8" s="74">
        <v>30</v>
      </c>
    </row>
    <row r="9" spans="1:99" ht="26.4" ph="1">
      <c r="B9" s="256" ph="1">
        <v>0.66666666666666663</v>
      </c>
      <c r="C9" s="147" t="s" ph="1">
        <v>181</v>
      </c>
      <c r="D9" s="71">
        <v>4937</v>
      </c>
      <c r="E9" s="71">
        <v>4687</v>
      </c>
      <c r="F9" s="71">
        <v>7138</v>
      </c>
      <c r="G9" s="71">
        <v>4716</v>
      </c>
      <c r="H9" s="71">
        <v>1028</v>
      </c>
      <c r="I9" s="71">
        <v>0</v>
      </c>
      <c r="J9" s="71">
        <v>7.8</v>
      </c>
      <c r="K9" s="71">
        <v>7.74</v>
      </c>
      <c r="L9" s="71">
        <v>13.86</v>
      </c>
      <c r="M9" s="71">
        <v>604</v>
      </c>
      <c r="N9" s="71">
        <v>4735</v>
      </c>
      <c r="O9" s="71">
        <v>1487</v>
      </c>
      <c r="P9" s="71">
        <v>1879</v>
      </c>
      <c r="Q9" s="71">
        <v>0</v>
      </c>
      <c r="R9" s="71">
        <v>0</v>
      </c>
      <c r="S9" s="71">
        <v>5502</v>
      </c>
      <c r="T9" s="71">
        <v>7082</v>
      </c>
      <c r="U9" s="71">
        <v>7043</v>
      </c>
      <c r="V9" s="71">
        <v>7068</v>
      </c>
      <c r="W9" s="71">
        <v>3980</v>
      </c>
      <c r="X9" s="71">
        <v>0</v>
      </c>
      <c r="Y9" s="71">
        <v>0</v>
      </c>
      <c r="Z9" s="71">
        <v>2940</v>
      </c>
      <c r="AA9" s="71">
        <v>5084</v>
      </c>
      <c r="AB9" s="71">
        <v>2043</v>
      </c>
      <c r="AC9" s="71">
        <v>4136</v>
      </c>
      <c r="AD9" s="71">
        <v>4395</v>
      </c>
      <c r="AE9" s="71">
        <v>4066</v>
      </c>
    </row>
    <row r="10" spans="1:99" s="72" customFormat="1" ht="22.2" ph="1">
      <c r="B10" s="256" ph="1"/>
      <c r="C10" s="147" t="s" ph="1">
        <v>179</v>
      </c>
      <c r="D10" s="73" ph="1">
        <f>D9*33.183*LOOKUP(D11,密度!$A$2:$A$50,密度!$Q$2:$Q$50)</f>
        <v>155484.16718138999</v>
      </c>
      <c r="E10" s="73" ph="1">
        <f>E9*51.53*LOOKUP(E11,密度!$A$2:$A$50,密度!$B$2:$B$50)</f>
        <v>188724.59535400002</v>
      </c>
      <c r="F10" s="73" ph="1">
        <f>F9*33.183*LOOKUP(F11,密度!$A$2:$A$50,密度!$C$2:$C$50)</f>
        <v>262820.13783839997</v>
      </c>
      <c r="G10" s="73" ph="1">
        <f xml:space="preserve"> (G9+2)*51.53*LOOKUP(G11,密度!$A$2:$A$50,密度!$B$2:$B$50)</f>
        <v>190823.74204600003</v>
      </c>
      <c r="H10" s="73" ph="1">
        <f>(H9)*51.53*LOOKUP(H11,密度!$A$2:$A$50,密度!$B$2:$B$50)</f>
        <v>41578.382116000008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2504.2311792000005</v>
      </c>
      <c r="L10" s="73" ph="1">
        <f>L9*290.8*0.777</f>
        <v>3131.6891759999999</v>
      </c>
      <c r="M10" s="73" ph="1">
        <f>M9*33.183*LOOKUP(M11,密度!$A$2:$A$50,密度!$D$2:$D$50)</f>
        <v>20615.7484152</v>
      </c>
      <c r="N10" s="73" ph="1">
        <f>N9*33.183*LOOKUP(N11,密度!$A$2:$A$50,密度!$E$2:$E$50)</f>
        <v>123057.562716</v>
      </c>
      <c r="O10" s="73" ph="1">
        <f>O9*20.428*LOOKUP(O11,密度!$A$2:$A$50,密度!$C$2:$C$50)</f>
        <v>33638.865226399997</v>
      </c>
      <c r="P10" s="73" ph="1">
        <f>P9*51.53*LOOKUP(P11,密度!$A$2:$A$50,密度!$B$2:$B$50)</f>
        <v>75746.095801000003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36635.733842399997</v>
      </c>
      <c r="T10" s="73" ph="1">
        <f>T9*1.5*1.5*3.1416*LOOKUP(T11,密度!$A$2:$A$50,密度!$L$2:$L$50)</f>
        <v>48057.432192</v>
      </c>
      <c r="U10" s="73" ph="1">
        <f>U9*1.5*1.5*3.1416*LOOKUP(U11,密度!$A$2:$A$50,密度!$L$2:$L$50)</f>
        <v>46647.748362600003</v>
      </c>
      <c r="V10" s="73" ph="1">
        <f>V9*1.5*1.5*3.1416*LOOKUP(V11,密度!$A$2:$A$50,密度!$L$2:$L$50)</f>
        <v>46713.408587999998</v>
      </c>
      <c r="W10" s="73" ph="1">
        <f>W9*1.5*1.5*3.1416*LOOKUP(W11,密度!$A$2:$A$50,密度!$L$2:$L$50)</f>
        <v>26416.913291999997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91802.096819999992</v>
      </c>
      <c r="AA10" s="73" ph="1">
        <f>AA9*33.183*LOOKUP(AA11,密度!$A$2:$A$50,密度!$D$2:$D$50)</f>
        <v>172734.3586908</v>
      </c>
      <c r="AB10" s="73" ph="1">
        <f>AB9*20.428*LOOKUP(AB11,密度!$A$2:$A$50,密度!$D$2:$D$50)</f>
        <v>43220.148782400007</v>
      </c>
      <c r="AC10" s="73" ph="1">
        <f>AC9*51.53*LOOKUP(AC11,密度!$A$2:$A$50,密度!$Q$2:$Q$50)</f>
        <v>201776.87845920003</v>
      </c>
      <c r="AD10" s="73" ph="1">
        <f>AD9*20.428*LOOKUP(AD11,密度!$A$2:$A$50,密度!$V$2:$V$50)</f>
        <v>86261.642447999999</v>
      </c>
      <c r="AE10" s="73" ph="1">
        <f>AE9*20.428</f>
        <v>83060.248000000007</v>
      </c>
    </row>
    <row r="11" spans="1:99" ph="1">
      <c r="A11" s="64" t="s" ph="1">
        <v>163</v>
      </c>
      <c r="B11" s="256" ph="1"/>
      <c r="C11" s="147" t="s" ph="1">
        <v>180</v>
      </c>
      <c r="D11" s="74">
        <v>22</v>
      </c>
      <c r="E11" s="74">
        <v>23</v>
      </c>
      <c r="F11" s="74">
        <v>24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27</v>
      </c>
      <c r="P11" s="74">
        <v>22</v>
      </c>
      <c r="Q11" s="74">
        <v>25</v>
      </c>
      <c r="R11" s="74">
        <v>31</v>
      </c>
      <c r="S11" s="74">
        <v>20</v>
      </c>
      <c r="T11" s="74">
        <v>2</v>
      </c>
      <c r="U11" s="74">
        <v>25</v>
      </c>
      <c r="V11" s="74">
        <v>27</v>
      </c>
      <c r="W11" s="74">
        <v>23</v>
      </c>
      <c r="X11" s="74">
        <v>20</v>
      </c>
      <c r="Y11" s="74">
        <v>27</v>
      </c>
      <c r="Z11" s="74">
        <v>21</v>
      </c>
      <c r="AA11" s="74">
        <v>28</v>
      </c>
      <c r="AB11" s="74">
        <v>15</v>
      </c>
      <c r="AC11" s="74">
        <v>25</v>
      </c>
      <c r="AD11" s="74">
        <v>22</v>
      </c>
      <c r="AE11" s="74">
        <v>28</v>
      </c>
    </row>
    <row r="12" spans="1:99" ht="9.9" customHeight="1" ph="1"/>
    <row r="13" spans="1:99" s="72" customFormat="1" ht="29.25" customHeight="1" ph="1">
      <c r="B13" s="233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47" t="s" ph="1">
        <v>178</v>
      </c>
      <c r="D15" s="78">
        <v>0</v>
      </c>
      <c r="E15" s="78">
        <v>1577</v>
      </c>
      <c r="F15" s="78">
        <v>3477</v>
      </c>
      <c r="G15" s="78">
        <v>2969</v>
      </c>
      <c r="H15" s="78">
        <v>0</v>
      </c>
      <c r="I15" s="78">
        <v>117</v>
      </c>
      <c r="J15" s="78">
        <v>1651</v>
      </c>
      <c r="K15" s="78">
        <v>322</v>
      </c>
      <c r="L15" s="78">
        <v>3224</v>
      </c>
      <c r="M15" s="78">
        <v>6843</v>
      </c>
      <c r="N15" s="78">
        <v>1351</v>
      </c>
      <c r="O15" s="78">
        <v>6061</v>
      </c>
      <c r="P15" s="78">
        <v>5472</v>
      </c>
      <c r="Q15" s="78">
        <v>3536</v>
      </c>
      <c r="R15" s="78">
        <v>3505</v>
      </c>
      <c r="S15" s="78">
        <v>6907</v>
      </c>
      <c r="T15" s="78">
        <v>4304</v>
      </c>
      <c r="U15" s="78">
        <v>1099</v>
      </c>
      <c r="V15" s="78">
        <v>2371</v>
      </c>
      <c r="W15" s="71">
        <v>-792</v>
      </c>
      <c r="X15" s="78">
        <v>23</v>
      </c>
      <c r="Y15" s="106">
        <v>-9908</v>
      </c>
      <c r="Z15" s="78">
        <v>6</v>
      </c>
      <c r="AA15" s="78">
        <v>4219</v>
      </c>
      <c r="AB15" s="78" ph="1">
        <v>2361</v>
      </c>
      <c r="AC15" s="78" ph="1">
        <v>0</v>
      </c>
      <c r="AD15" s="78">
        <v>37.200000000000003</v>
      </c>
      <c r="AE15" s="78">
        <v>84.4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47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10433.762539199999</v>
      </c>
      <c r="F16" s="73" ph="1">
        <f>F15*9.0746*LOOKUP(F17,密度!$A$2:$A$50,密度!$L$2:$L$50)</f>
        <v>29375.269690200003</v>
      </c>
      <c r="G16" s="73" ph="1">
        <f>G15*9.0746*LOOKUP(G17,密度!$A$2:$A$50,密度!$B$2:$B$50)</f>
        <v>20958.560948460003</v>
      </c>
      <c r="H16" s="73" ph="1">
        <f>H15*9.0746*LOOKUP(H17,密度!$A$2:$A$50,密度!$L$2:$L$50)</f>
        <v>0</v>
      </c>
      <c r="I16" s="73" ph="1">
        <f>I15*9.0746*LOOKUP(I17,密度!$A$2:$A$50,密度!$U$2:$U$50)</f>
        <v>1082.9627640000001</v>
      </c>
      <c r="J16" s="73" ph="1">
        <f>J15*9.0746*LOOKUP(J17,密度!$A$2:$A$50,密度!$L$2:$L$50)</f>
        <v>13963.377407200001</v>
      </c>
      <c r="K16" s="73" ph="1">
        <f>K15*9.0746*LOOKUP(K17,密度!$A$2:$A$50,密度!$C$2:$C$50)</f>
        <v>3229.1256281199999</v>
      </c>
      <c r="L16" s="73" ph="1">
        <f>L15*9.0746*LOOKUP(L17,密度!$A$2:$A$50,密度!$E$2:$E$50)</f>
        <v>22849.334622400002</v>
      </c>
      <c r="M16" s="73" ph="1">
        <f>M15*9.0746*LOOKUP(M17,密度!$A$2:$A$50,密度!$M$2:$M$50)</f>
        <v>54149.009361600001</v>
      </c>
      <c r="N16" s="73" ph="1">
        <f>N15*9.0746*LOOKUP(N17,密度!$A$2:$A$50,密度!$M$2:$M$50)</f>
        <v>10728.53750346</v>
      </c>
      <c r="O16" s="73" ph="1">
        <f>O15*9.0746*LOOKUP(O17,密度!$A$2:$A$50,密度!$G$2:$G$50)</f>
        <v>52691.102274799996</v>
      </c>
      <c r="P16" s="73" ph="1">
        <f ca="1">P15*9.0746*LOOKUP(P17,密度!$A$2:$A$51,密度!$Q$2:$Q$50)</f>
        <v>46976.265481536</v>
      </c>
      <c r="Q16" s="73" ph="1">
        <f>Q15*9.0746*LOOKUP(Q17,密度!$A$2:$A$50,密度!$Q$2:$Q$50)</f>
        <v>30356.007811168001</v>
      </c>
      <c r="R16" s="73" ph="1">
        <f>MAX(R15*9.0746*LOOKUP(R17,密度!$A$2:$A$50,密度!$B$2:$B$50),0)</f>
        <v>24659.558516900001</v>
      </c>
      <c r="S16" s="73" ph="1">
        <f>S15*9.0746*LOOKUP(S17,密度!$A$2:$A$50,密度!$Q$2:$Q$50)</f>
        <v>59295.516389066004</v>
      </c>
      <c r="T16" s="73" ph="1">
        <f>T15*9.0746*LOOKUP(T17,密度!$A$2:$A$50,密度!$O$2:$O$50)</f>
        <v>36166.854598400001</v>
      </c>
      <c r="U16" s="73" ph="1">
        <f>U15*9.0746*LOOKUP(U17,密度!$A$2:$A$50,密度!$H$2:$H$50)</f>
        <v>9114.3113570599999</v>
      </c>
      <c r="V16" s="73" ph="1">
        <f>MAX(5600*LOOKUP(V17,密度!$A$2:$A$50,密度!$Q$2:$Q$50)+V15*9.0476*LOOKUP(V17,密度!$A$2:$A$50,密度!$Q$2:$Q$50),0)</f>
        <v>25518.830716468001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6040.418592</v>
      </c>
      <c r="Y16" s="107" ph="1">
        <v>0</v>
      </c>
      <c r="Z16" s="73" ph="1">
        <f>Z15*9.0746*LOOKUP(Z17,密度!$A$2:$A$50,密度!$D$2:$D$50)</f>
        <v>55.6454472</v>
      </c>
      <c r="AA16" s="73" ph="1">
        <f>AA15*9.0746*LOOKUP(AA17,密度!$A$2:$A$50,密度!$B$2:$B$50)</f>
        <v>29847.560877039996</v>
      </c>
      <c r="AB16" s="73" ph="1">
        <f>AB15*9.0746*LOOKUP(AB17,密度!$A$2:$A$50,密度!$L$2:$L$50)</f>
        <v>20075.347372200002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9012.8745216000007</v>
      </c>
      <c r="AE16" s="73" ph="1">
        <f>AE15*268.68*LOOKUP(AE17,密度!$A$2:$A$50,密度!B2:B50)+IF(AE15&lt;=0,0,1566*LOOKUP(AE17,密度!$A$2:$A$50,密度!B2:B50))</f>
        <v>18899.524723199997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26</v>
      </c>
      <c r="E17" s="74">
        <v>26</v>
      </c>
      <c r="F17" s="74">
        <v>31</v>
      </c>
      <c r="G17" s="74">
        <v>27</v>
      </c>
      <c r="H17" s="74">
        <v>27</v>
      </c>
      <c r="I17" s="74">
        <v>30</v>
      </c>
      <c r="J17" s="74">
        <v>30</v>
      </c>
      <c r="K17" s="74">
        <v>30</v>
      </c>
      <c r="L17" s="74">
        <v>27</v>
      </c>
      <c r="M17" s="74">
        <v>28</v>
      </c>
      <c r="N17" s="74">
        <v>25</v>
      </c>
      <c r="O17" s="74">
        <v>27</v>
      </c>
      <c r="P17" s="74">
        <v>26</v>
      </c>
      <c r="Q17" s="74">
        <v>26</v>
      </c>
      <c r="R17" s="74">
        <v>30</v>
      </c>
      <c r="S17" s="74">
        <v>26</v>
      </c>
      <c r="T17" s="74">
        <v>26</v>
      </c>
      <c r="U17" s="74">
        <v>26</v>
      </c>
      <c r="V17" s="74">
        <v>30</v>
      </c>
      <c r="W17" s="74">
        <v>30</v>
      </c>
      <c r="X17" s="74">
        <v>27</v>
      </c>
      <c r="Y17" s="108">
        <v>27</v>
      </c>
      <c r="Z17" s="74">
        <v>30</v>
      </c>
      <c r="AA17" s="74">
        <v>25</v>
      </c>
      <c r="AB17" s="74">
        <v>25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72</v>
      </c>
      <c r="F18" s="71">
        <v>3476</v>
      </c>
      <c r="G18" s="71">
        <v>2322</v>
      </c>
      <c r="H18" s="71">
        <v>0</v>
      </c>
      <c r="I18" s="71">
        <v>118</v>
      </c>
      <c r="J18" s="71">
        <v>1651</v>
      </c>
      <c r="K18" s="71">
        <v>324</v>
      </c>
      <c r="L18" s="71">
        <v>3218</v>
      </c>
      <c r="M18" s="71">
        <v>6828</v>
      </c>
      <c r="N18" s="71">
        <v>1349</v>
      </c>
      <c r="O18" s="71">
        <v>6052</v>
      </c>
      <c r="P18" s="71">
        <v>5465</v>
      </c>
      <c r="Q18" s="71">
        <v>3535</v>
      </c>
      <c r="R18" s="71">
        <v>3502</v>
      </c>
      <c r="S18" s="71">
        <v>6901</v>
      </c>
      <c r="T18" s="71">
        <v>5156</v>
      </c>
      <c r="U18" s="71">
        <v>1101</v>
      </c>
      <c r="V18" s="71">
        <v>2373</v>
      </c>
      <c r="W18" s="71">
        <v>-792</v>
      </c>
      <c r="X18" s="71">
        <v>27</v>
      </c>
      <c r="Y18" s="109">
        <v>-9906</v>
      </c>
      <c r="Z18" s="71">
        <v>0</v>
      </c>
      <c r="AA18" s="71">
        <v>4216</v>
      </c>
      <c r="AB18" s="71">
        <v>2358</v>
      </c>
      <c r="AC18" s="71">
        <v>28</v>
      </c>
      <c r="AD18" s="71">
        <v>81.36</v>
      </c>
      <c r="AE18" s="71">
        <v>5.15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47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477.38496959999998</v>
      </c>
      <c r="F19" s="73" ph="1">
        <f>F18*9.0746*LOOKUP(F20,密度!$A$2:$A$50,密度!$L$2:$L$50)</f>
        <v>29556.081095200003</v>
      </c>
      <c r="G19" s="73" ph="1">
        <f>G18*9.0746*LOOKUP(G20,密度!$A$2:$A$50,密度!$B$2:$B$50)</f>
        <v>16465.052245679999</v>
      </c>
      <c r="H19" s="73" ph="1">
        <f>H18*9.0746*LOOKUP(H20,密度!$A$2:$A$50,密度!$L$2:$L$50)</f>
        <v>0</v>
      </c>
      <c r="I19" s="73" ph="1">
        <f>I18*9.0746*LOOKUP(I20,密度!$A$2:$A$50,密度!$U$2:$U$50)</f>
        <v>1100.7852783999999</v>
      </c>
      <c r="J19" s="73" ph="1">
        <f>J18*9.0746*LOOKUP(J20,密度!$A$2:$A$50,密度!$L$2:$L$50)</f>
        <v>14068.2525594</v>
      </c>
      <c r="K19" s="73" ph="1">
        <f>K18*9.0746*LOOKUP(K20,密度!$A$2:$A$50,密度!$C$2:$C$50)</f>
        <v>3271.2335870400002</v>
      </c>
      <c r="L19" s="73" ph="1">
        <f>L18*9.0746*LOOKUP(L20,密度!$A$2:$A$50,密度!$E$2:$E$50)</f>
        <v>22906.098060320001</v>
      </c>
      <c r="M19" s="73" ph="1">
        <f>M18*9.0746*LOOKUP(M20,密度!$A$2:$A$50,密度!$M$2:$M$50)</f>
        <v>54340.120437600002</v>
      </c>
      <c r="N19" s="73" ph="1">
        <f>N18*9.0746*LOOKUP(N20,密度!$A$2:$A$50,密度!$M$2:$M$50)</f>
        <v>10761.621680140001</v>
      </c>
      <c r="O19" s="73" ph="1">
        <f>O18*9.0746*LOOKUP(O20,密度!$A$2:$A$50,密度!$G$2:$G$50)</f>
        <v>52733.683927840008</v>
      </c>
      <c r="P19" s="73" ph="1">
        <f ca="1">P18*9.0746*LOOKUP(P20,密度!$A$2:$A$51,密度!$Q$2:$Q$50)</f>
        <v>46987.585046829998</v>
      </c>
      <c r="Q19" s="73" ph="1">
        <f>Q18*9.0746*LOOKUP(Q20,密度!$A$2:$A$50,密度!$Q$2:$Q$50)</f>
        <v>30393.616311170001</v>
      </c>
      <c r="R19" s="73" ph="1">
        <f>MAX(R18*9.0746*LOOKUP(R20,密度!$A$2:$A$50,密度!$B$2:$B$50),0)</f>
        <v>24832.305324880002</v>
      </c>
      <c r="S19" s="73" ph="1">
        <f>S18*9.0746*LOOKUP(S20,密度!$A$2:$A$50,密度!$Q$2:$Q$50)</f>
        <v>59288.470234404005</v>
      </c>
      <c r="T19" s="73" ph="1">
        <f>T18*9.0746*LOOKUP(T20,密度!$A$2:$A$50,密度!$O$2:$O$50)</f>
        <v>43513.432968000001</v>
      </c>
      <c r="U19" s="73" ph="1">
        <f>U18*9.0746*LOOKUP(U20,密度!$A$2:$A$50,密度!$H$2:$H$50)</f>
        <v>9179.8544704799988</v>
      </c>
      <c r="V19" s="73" ph="1">
        <f>MAX(5600*LOOKUP(V20,密度!$A$2:$A$50,密度!$Q$2:$Q$50)+V18*9.0476*LOOKUP(V20,密度!$A$2:$A$50,密度!$Q$2:$Q$50),0)</f>
        <v>25570.820703175999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6078.0566079999999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29929.635189279998</v>
      </c>
      <c r="AB19" s="73" ph="1">
        <f>AB18*9.0746*LOOKUP(AB20,密度!$A$2:$A$50,密度!$L$2:$L$50)</f>
        <v>20071.236578399999</v>
      </c>
      <c r="AC19" s="73" ph="1">
        <f>AC18*9.0746*LOOKUP(AC20,密度!$A$2:$A$50,密度!$L$2:$L$50)</f>
        <v>239.09756079999997</v>
      </c>
      <c r="AD19" s="73" ph="1">
        <f>AD18*268.68*LOOKUP(AD20,密度!$A$2:$A$50,密度!B5:B53)+IF(AD18&lt;=0,0,1566*LOOKUP(AD20,密度!$A$2:$A$50,密度!B5:B53))</f>
        <v>18201.850329600002</v>
      </c>
      <c r="AE19" s="73" ph="1">
        <f>AE18*268.68*LOOKUP(AE20,密度!$A$2:$A$50,密度!B5:B53)+IF(AE18&lt;=0,0,1566*LOOKUP(AE20,密度!$A$2:$A$50,密度!B5:B53))</f>
        <v>2291.9184540000001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24</v>
      </c>
      <c r="E20" s="81">
        <v>24</v>
      </c>
      <c r="F20" s="81">
        <v>25</v>
      </c>
      <c r="G20" s="81">
        <v>23</v>
      </c>
      <c r="H20" s="81">
        <v>19</v>
      </c>
      <c r="I20" s="81">
        <v>20</v>
      </c>
      <c r="J20" s="81">
        <v>23</v>
      </c>
      <c r="K20" s="81">
        <v>20</v>
      </c>
      <c r="L20" s="81">
        <v>24</v>
      </c>
      <c r="M20" s="81">
        <v>23</v>
      </c>
      <c r="N20" s="81">
        <v>21</v>
      </c>
      <c r="O20" s="81">
        <v>25</v>
      </c>
      <c r="P20" s="81">
        <v>24</v>
      </c>
      <c r="Q20" s="81">
        <v>24</v>
      </c>
      <c r="R20" s="81">
        <v>23</v>
      </c>
      <c r="S20" s="81">
        <v>25</v>
      </c>
      <c r="T20" s="81">
        <v>23</v>
      </c>
      <c r="U20" s="81">
        <v>21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644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47" t="s" ph="1">
        <v>178</v>
      </c>
      <c r="D24" s="71">
        <v>90.8</v>
      </c>
      <c r="E24" s="71">
        <v>95.5</v>
      </c>
      <c r="F24" s="71">
        <v>3991</v>
      </c>
      <c r="G24" s="71">
        <v>2650</v>
      </c>
      <c r="H24" s="71">
        <v>2270</v>
      </c>
      <c r="I24" s="71">
        <v>3288</v>
      </c>
      <c r="J24" s="71">
        <v>5394</v>
      </c>
      <c r="K24" s="71">
        <v>37</v>
      </c>
      <c r="L24" s="71">
        <v>1129</v>
      </c>
      <c r="M24" s="71">
        <v>5242</v>
      </c>
      <c r="N24" s="71">
        <v>5314</v>
      </c>
      <c r="O24" s="71">
        <v>3689</v>
      </c>
      <c r="P24" s="71">
        <v>879</v>
      </c>
      <c r="Q24" s="90">
        <v>3945</v>
      </c>
      <c r="R24" s="71">
        <v>2309</v>
      </c>
      <c r="S24" s="71">
        <v>1580</v>
      </c>
      <c r="T24" s="71">
        <v>1758</v>
      </c>
      <c r="U24" s="71">
        <v>4790</v>
      </c>
      <c r="V24" s="71">
        <v>9627</v>
      </c>
      <c r="W24" s="71">
        <v>10717</v>
      </c>
      <c r="X24" s="71">
        <v>2660</v>
      </c>
      <c r="Y24" s="71">
        <v>5095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24579.400210560001</v>
      </c>
      <c r="E25" s="91" ph="1">
        <f>E24*268.68*LOOKUP(E26,密度!$A$2:$A$50,密度!$C$2:$C$50)+IF(E24&lt;=0,0,1566*LOOKUP(E26,密度!$A$2:$A$50,密度!$C$2:$C$50))</f>
        <v>30189.735966000004</v>
      </c>
      <c r="F25" s="91" ph="1">
        <f>F24*11.702*LOOKUP(F26,密度!$A$2:$A$50,密度!$Q$2:$Q$50)</f>
        <v>44215.297156680004</v>
      </c>
      <c r="G25" s="91" ph="1">
        <f>G24*18.322*LOOKUP(G26,密度!$A$2:$A$50,密度!$B$2:$B$50)</f>
        <v>37808.454709999991</v>
      </c>
      <c r="H25" s="91" ph="1">
        <f>H24*18.322*LOOKUP(H26,密度!$A$2:$A$50,密度!$B$2:$B$50)</f>
        <v>32424.296823999994</v>
      </c>
      <c r="I25" s="91" ph="1">
        <f>I24*18.322*LOOKUP(I26,密度!$A$2:$A$50,密度!$Q$2:$Q$50)</f>
        <v>57078.185077919996</v>
      </c>
      <c r="J25" s="91" ph="1">
        <f>J24*18.322*LOOKUP(J26,密度!$A$2:$A$50,密度!$Q$2:$Q$50)</f>
        <v>93637.387563960001</v>
      </c>
      <c r="K25" s="91" ph="1">
        <f>K24*18.322*LOOKUP(K26,密度!$A$2:$A$50,密度!$Q$2:$Q$50)</f>
        <v>641.80830035999998</v>
      </c>
      <c r="L25" s="91" ph="1">
        <f>L24*18.322*LOOKUP(L26,密度!$A$2:$A$50,密度!$Q$2:$Q$50)</f>
        <v>19583.826246119999</v>
      </c>
      <c r="M25" s="91" ph="1">
        <f>M24*18.322*LOOKUP(M26,密度!$A$2:$A$50,密度!$Q$2:$Q$50)</f>
        <v>90860.433421720008</v>
      </c>
      <c r="N25" s="91" ph="1">
        <f>N24*18.322*LOOKUP(N26,密度!$A$2:$A$50,密度!$Q$2:$Q$50)</f>
        <v>92108.421061239991</v>
      </c>
      <c r="O25" s="91" ph="1">
        <f>O24*18.322*LOOKUP(O26,密度!$A$2:$A$50,密度!$C$2:$C$50)</f>
        <v>74950.39353619999</v>
      </c>
      <c r="P25" s="91" ph="1">
        <f>P24*11.702*LOOKUP(P26,密度!$A$2:$A$50,密度!$B$2:$B$50)</f>
        <v>8019.0108167999988</v>
      </c>
      <c r="Q25" s="92" ph="1">
        <f>Q24*18.322*LOOKUP(Q26,密度!$A$2:$A$50,密度!$B$2:$B$50)</f>
        <v>56414.766344999996</v>
      </c>
      <c r="R25" s="91" ph="1">
        <f>R24*35.891*LOOKUP(R26,密度!$A$2:$A$50,密度!$C$2:$C$50)</f>
        <v>91897.114539100003</v>
      </c>
      <c r="S25" s="91" ph="1">
        <f>S24*35.891*LOOKUP(S26,密度!$A$2:$A$50,密度!$B$2:$B$50)</f>
        <v>44158.348285999993</v>
      </c>
      <c r="T25" s="91" ph="1">
        <f>T24*35.891*LOOKUP(T26,密度!$A$2:$A$50,密度!$Q$2:$Q$50)</f>
        <v>59735.864907719995</v>
      </c>
      <c r="U25" s="91" ph="1">
        <f>U24*35.891</f>
        <v>171917.88999999998</v>
      </c>
      <c r="V25" s="91" ph="1">
        <f>V24*47.051*LOOKUP(V26,密度!$A$2:$A$50,密度!$B$2:$B$50)</f>
        <v>353127.5980692</v>
      </c>
      <c r="W25" s="91" ph="1">
        <f>W24*47.051*LOOKUP(W26,密度!$A$2:$A$50,密度!$B$2:$B$50)</f>
        <v>393563.66504350002</v>
      </c>
      <c r="X25" s="91" ph="1">
        <f>X24*47.051*LOOKUP(X26,密度!$A$2:$A$50,密度!$I$2:$I$50)</f>
        <v>130024.215174</v>
      </c>
      <c r="Y25" s="91" ph="1">
        <f>Y24*47.051*LOOKUP(Y26,密度!$A$2:$A$50,密度!$L$2:$L$50)</f>
        <v>223903.00523000001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25</v>
      </c>
      <c r="I26" s="74">
        <v>24</v>
      </c>
      <c r="J26" s="74">
        <v>24</v>
      </c>
      <c r="K26" s="74">
        <v>25</v>
      </c>
      <c r="L26" s="74">
        <v>25</v>
      </c>
      <c r="M26" s="74">
        <v>26</v>
      </c>
      <c r="N26" s="74">
        <v>26</v>
      </c>
      <c r="O26" s="74">
        <v>25</v>
      </c>
      <c r="P26" s="74">
        <v>25</v>
      </c>
      <c r="Q26" s="93">
        <v>24</v>
      </c>
      <c r="R26" s="74">
        <v>25</v>
      </c>
      <c r="S26" s="74">
        <v>26</v>
      </c>
      <c r="T26" s="74">
        <v>25</v>
      </c>
      <c r="U26" s="74">
        <v>25</v>
      </c>
      <c r="V26" s="74">
        <v>25</v>
      </c>
      <c r="W26" s="74">
        <v>24</v>
      </c>
      <c r="X26" s="74">
        <v>28</v>
      </c>
      <c r="Y26" s="74">
        <v>28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47" t="s" ph="1">
        <v>181</v>
      </c>
      <c r="D27" s="71">
        <v>90.58</v>
      </c>
      <c r="E27" s="71">
        <v>95.51</v>
      </c>
      <c r="F27" s="71">
        <v>3990</v>
      </c>
      <c r="G27" s="71">
        <v>1129</v>
      </c>
      <c r="H27" s="71">
        <v>2834</v>
      </c>
      <c r="I27" s="71">
        <v>3288</v>
      </c>
      <c r="J27" s="71">
        <v>5393</v>
      </c>
      <c r="K27" s="71">
        <v>55</v>
      </c>
      <c r="L27" s="71">
        <v>1128</v>
      </c>
      <c r="M27" s="71">
        <v>5242</v>
      </c>
      <c r="N27" s="71">
        <v>5313</v>
      </c>
      <c r="O27" s="71">
        <v>3694</v>
      </c>
      <c r="P27" s="71">
        <v>886</v>
      </c>
      <c r="Q27" s="90">
        <v>3674</v>
      </c>
      <c r="R27" s="71">
        <v>2312</v>
      </c>
      <c r="S27" s="71">
        <v>1584</v>
      </c>
      <c r="T27" s="71">
        <v>1759</v>
      </c>
      <c r="U27" s="71">
        <v>5455</v>
      </c>
      <c r="V27" s="71">
        <v>9630</v>
      </c>
      <c r="W27" s="71">
        <v>10720</v>
      </c>
      <c r="X27" s="71">
        <v>2672</v>
      </c>
      <c r="Y27" s="71">
        <v>4088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47" t="s" ph="1">
        <v>179</v>
      </c>
      <c r="D28" s="91" ph="1">
        <f>D27*268.68*LOOKUP(D29,密度!$A$2:$A$50,密度!$Q$2:$Q$50)+IF(D27&lt;=0,0,1566*LOOKUP(D29,密度!$A$2:$A$50,密度!$Q$2:$Q$50))</f>
        <v>24523.438787856001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16091.280010200002</v>
      </c>
      <c r="H28" s="91" ph="1">
        <f>H27*18.322*LOOKUP(H29,密度!$A$2:$A$50,密度!$B$2:$B$50)</f>
        <v>40392.1058892</v>
      </c>
      <c r="I28" s="91" ph="1">
        <f>I27*18.322*LOOKUP(I29,密度!$A$2:$A$50,密度!$Q$2:$Q$50)</f>
        <v>57034.207880640002</v>
      </c>
      <c r="J28" s="91" ph="1">
        <f>J27*18.322*LOOKUP(J29,密度!$A$2:$A$50,密度!$Q$2:$Q$50)</f>
        <v>93477.740832380005</v>
      </c>
      <c r="K28" s="91" ph="1">
        <f>K27*18.322*LOOKUP(K29,密度!$A$2:$A$50,密度!$Q$2:$Q$50)</f>
        <v>952.60841719999996</v>
      </c>
      <c r="L28" s="91" ph="1">
        <f>L27*18.322*LOOKUP(L29,密度!$A$2:$A$50,密度!$Q$2:$Q$50)</f>
        <v>19537.132629120002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92160.202697639994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8055.9142440000005</v>
      </c>
      <c r="Q28" s="92" ph="1">
        <f>Q27*18.322*LOOKUP(Q29,密度!$A$2:$A$50,密度!$B$2:$B$50)</f>
        <v>52418.21230359999</v>
      </c>
      <c r="R28" s="91" ph="1">
        <f>R27*35.891*LOOKUP(R29,密度!$A$2:$A$50,密度!$C$2:$C$50)</f>
        <v>91892.0431408</v>
      </c>
      <c r="S28" s="91" ph="1">
        <f>S27*35.891*LOOKUP(S29,密度!$A$2:$A$50,密度!$B$2:$B$50)</f>
        <v>44224.660497600002</v>
      </c>
      <c r="T28" s="91" ph="1">
        <f>T27*35.891*LOOKUP(T29,密度!$A$2:$A$50,密度!$Q$2:$Q$50)</f>
        <v>59636.00394278</v>
      </c>
      <c r="U28" s="91" ph="1">
        <f>U27*35.891</f>
        <v>195785.405</v>
      </c>
      <c r="V28" s="91" ph="1">
        <f>V27*47.051*LOOKUP(V29,密度!$A$2:$A$50,密度!$B$2:$B$50)</f>
        <v>353645.431965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131038.23950560001</v>
      </c>
      <c r="Y28" s="91" ph="1">
        <f>Y27*47.051*LOOKUP(Y29,密度!$A$2:$A$50,密度!$L$2:$L$50)</f>
        <v>180034.44076800003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47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25</v>
      </c>
      <c r="J29" s="74">
        <v>26</v>
      </c>
      <c r="K29" s="74">
        <v>27</v>
      </c>
      <c r="L29" s="74">
        <v>27</v>
      </c>
      <c r="M29" s="74">
        <v>26</v>
      </c>
      <c r="N29" s="74">
        <v>25</v>
      </c>
      <c r="O29" s="74">
        <v>30</v>
      </c>
      <c r="P29" s="74">
        <v>28</v>
      </c>
      <c r="Q29" s="93">
        <v>26</v>
      </c>
      <c r="R29" s="74">
        <v>27</v>
      </c>
      <c r="S29" s="74">
        <v>27</v>
      </c>
      <c r="T29" s="74">
        <v>28</v>
      </c>
      <c r="U29" s="74">
        <v>25</v>
      </c>
      <c r="V29" s="74">
        <v>24</v>
      </c>
      <c r="W29" s="74">
        <v>26</v>
      </c>
      <c r="X29" s="74">
        <v>25</v>
      </c>
      <c r="Y29" s="74">
        <v>26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215954.50747320001</v>
      </c>
      <c r="E33" s="205" ph="1">
        <f>M10+I10</f>
        <v>20615.7484152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31" ph="1">
        <v>0</v>
      </c>
      <c r="H33" s="205" ph="1">
        <f>N19</f>
        <v>10761.621680140001</v>
      </c>
      <c r="I33" s="209" ph="1">
        <v>0</v>
      </c>
      <c r="J33" s="213" ph="1">
        <f>F10+O28</f>
        <v>337614.92812519998</v>
      </c>
      <c r="K33" s="205" ph="1">
        <f>O10+K10+E28+R28</f>
        <v>158227.85490492001</v>
      </c>
      <c r="L33" s="215" ph="1">
        <f>BE27</f>
        <v>7100</v>
      </c>
      <c r="M33" s="213" ph="1">
        <f>G10+H10+W28+S28+V28+E10</f>
        <v>1211762.7508426001</v>
      </c>
      <c r="N33" s="205" ph="1">
        <f>L10+P10++G28+H28</f>
        <v>135361.17087640002</v>
      </c>
      <c r="O33" s="209" ph="1">
        <f>BE17</f>
        <v>2270</v>
      </c>
      <c r="P33" s="213" ph="1">
        <f>L19</f>
        <v>22906.098060320001</v>
      </c>
      <c r="Q33" s="205" ph="1">
        <f>J10+N10</f>
        <v>124847.657724</v>
      </c>
      <c r="R33" s="209" ph="1">
        <f>BE23</f>
        <v>890</v>
      </c>
      <c r="S33" s="213" ph="1">
        <f>E10+X28</f>
        <v>319762.83485960006</v>
      </c>
      <c r="T33" s="205" ph="1">
        <f>X19</f>
        <v>6078.0566079999999</v>
      </c>
      <c r="U33" s="194" ph="1">
        <f>BE21</f>
        <v>730</v>
      </c>
      <c r="V33" s="207" ph="1">
        <f ca="1">P19+Q19+S19+M28+N28+J28</f>
        <v>413168.04854414403</v>
      </c>
      <c r="W33" s="207" ph="1">
        <f>D28+F28+V19+T28</f>
        <v>153934.48183901201</v>
      </c>
      <c r="X33" s="209" ph="1">
        <f>BE29+BE31</f>
        <v>10200</v>
      </c>
      <c r="Y33" s="211" ph="1">
        <f>+Q10+R10+S10+T10+U10+V10+W10+X10+Y10</f>
        <v>204471.23627699999</v>
      </c>
      <c r="Z33" s="192" ph="1">
        <f>D10+T19+U19+Y28+Z10</f>
        <v>480013.99220787</v>
      </c>
      <c r="AA33" s="194" ph="1">
        <f>BE19</f>
        <v>1440</v>
      </c>
      <c r="AB33" s="196" ph="1">
        <f>I19</f>
        <v>1100.7852783999999</v>
      </c>
      <c r="AC33" s="198" ph="1">
        <f>AD10</f>
        <v>86261.642447999999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45" t="s" ph="1">
        <v>186</v>
      </c>
      <c r="AA36" s="145" ph="1"/>
      <c r="AB36" s="191" t="s" ph="1">
        <v>643</v>
      </c>
      <c r="AC36" s="191" ph="1"/>
      <c r="AD36" s="191" ph="1"/>
      <c r="AE36" s="191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345</v>
      </c>
      <c r="AI37" s="145" t="s" ph="1">
        <v>212</v>
      </c>
      <c r="AJ37" s="145" t="s" ph="1">
        <v>213</v>
      </c>
      <c r="AK37" s="145" t="s" ph="1">
        <v>214</v>
      </c>
      <c r="AM37" s="145" t="s" ph="1">
        <v>213</v>
      </c>
      <c r="AN37" s="145" t="s" ph="1">
        <v>214</v>
      </c>
      <c r="AO37" s="145" t="s" ph="1">
        <v>215</v>
      </c>
      <c r="AP37" s="145" t="s" ph="1">
        <v>213</v>
      </c>
      <c r="AQ37" s="145" t="s" ph="1">
        <v>214</v>
      </c>
      <c r="AR37" s="145" t="s" ph="1">
        <v>215</v>
      </c>
      <c r="AS37" s="145" t="s" ph="1">
        <v>213</v>
      </c>
      <c r="AT37" s="145" t="s" ph="1">
        <v>214</v>
      </c>
      <c r="AU37" s="145" t="s" ph="1">
        <v>215</v>
      </c>
      <c r="AV37" s="145" t="s" ph="1">
        <v>213</v>
      </c>
      <c r="AW37" s="145" t="s" ph="1">
        <v>214</v>
      </c>
      <c r="AX37" s="145" t="s" ph="1">
        <v>215</v>
      </c>
      <c r="AY37" s="145" t="s" ph="1">
        <v>214</v>
      </c>
      <c r="AZ37" s="145" t="s" ph="1">
        <v>216</v>
      </c>
      <c r="BD37" s="145" t="s" ph="1">
        <v>308</v>
      </c>
      <c r="BE37" s="14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92" priority="96">
      <formula>ABS(D$7-D$10)&gt;=1000</formula>
    </cfRule>
  </conditionalFormatting>
  <conditionalFormatting sqref="E4 E6:E11">
    <cfRule type="expression" dxfId="2791" priority="95">
      <formula>ABS(E$7-E$10)&gt;=1000</formula>
    </cfRule>
  </conditionalFormatting>
  <conditionalFormatting sqref="F4:F11">
    <cfRule type="expression" dxfId="2790" priority="94">
      <formula>ABS(F$7-F$10)&gt;=1000</formula>
    </cfRule>
  </conditionalFormatting>
  <conditionalFormatting sqref="G4:G11">
    <cfRule type="expression" dxfId="2789" priority="93">
      <formula>ABS(G$7-G$10)&gt;=1000</formula>
    </cfRule>
  </conditionalFormatting>
  <conditionalFormatting sqref="H4:H11">
    <cfRule type="expression" dxfId="2788" priority="92">
      <formula>ABS(H$7-H$10)&gt;=1000</formula>
    </cfRule>
  </conditionalFormatting>
  <conditionalFormatting sqref="I4:I11">
    <cfRule type="expression" dxfId="2787" priority="91">
      <formula>ABS(I$7-I$10)&gt;=1000</formula>
    </cfRule>
  </conditionalFormatting>
  <conditionalFormatting sqref="J4:J11">
    <cfRule type="expression" dxfId="2786" priority="90">
      <formula>ABS(J$7-J$10)&gt;=1000</formula>
    </cfRule>
  </conditionalFormatting>
  <conditionalFormatting sqref="K4:K11">
    <cfRule type="expression" dxfId="2785" priority="89">
      <formula>ABS(K$7-K$10)&gt;=1000</formula>
    </cfRule>
  </conditionalFormatting>
  <conditionalFormatting sqref="L4:L11">
    <cfRule type="expression" dxfId="2784" priority="88">
      <formula>ABS(L$7-L$10)&gt;=1000</formula>
    </cfRule>
  </conditionalFormatting>
  <conditionalFormatting sqref="M4 M6:M11">
    <cfRule type="expression" dxfId="2783" priority="87">
      <formula>ABS(M$7-M$10)&gt;=1000</formula>
    </cfRule>
  </conditionalFormatting>
  <conditionalFormatting sqref="N4 N6:N11">
    <cfRule type="expression" dxfId="2782" priority="86">
      <formula>ABS(N$7-N$10)&gt;=1000</formula>
    </cfRule>
  </conditionalFormatting>
  <conditionalFormatting sqref="O4 O6:O11">
    <cfRule type="expression" dxfId="2781" priority="85">
      <formula>ABS(O$7-O$10)&gt;=1000</formula>
    </cfRule>
  </conditionalFormatting>
  <conditionalFormatting sqref="P4 P6:P11">
    <cfRule type="expression" dxfId="2780" priority="84">
      <formula>ABS(P$7-P$10)&gt;=1000</formula>
    </cfRule>
  </conditionalFormatting>
  <conditionalFormatting sqref="Q4:Q11">
    <cfRule type="expression" dxfId="2779" priority="83">
      <formula>ABS(Q$7-Q$10)&gt;=1000</formula>
    </cfRule>
  </conditionalFormatting>
  <conditionalFormatting sqref="R4:R11">
    <cfRule type="expression" dxfId="2778" priority="82">
      <formula>ABS(R$7-R$10)&gt;=1000</formula>
    </cfRule>
  </conditionalFormatting>
  <conditionalFormatting sqref="S4:S11">
    <cfRule type="expression" dxfId="2777" priority="81">
      <formula>ABS(S$7-S$10)&gt;=1000</formula>
    </cfRule>
  </conditionalFormatting>
  <conditionalFormatting sqref="T4:T9 T11">
    <cfRule type="expression" dxfId="2776" priority="80">
      <formula>ABS(T$7-T$10)&gt;=1000</formula>
    </cfRule>
  </conditionalFormatting>
  <conditionalFormatting sqref="U4:U9 U11">
    <cfRule type="expression" dxfId="2775" priority="79">
      <formula>ABS(U$7-U$10)&gt;=1000</formula>
    </cfRule>
  </conditionalFormatting>
  <conditionalFormatting sqref="V4:V9 V11">
    <cfRule type="expression" dxfId="2774" priority="78">
      <formula>ABS(V$7-V$10)&gt;=1000</formula>
    </cfRule>
  </conditionalFormatting>
  <conditionalFormatting sqref="W4:W9 W11">
    <cfRule type="expression" dxfId="2773" priority="77">
      <formula>ABS(W$7-W$10)&gt;=1000</formula>
    </cfRule>
  </conditionalFormatting>
  <conditionalFormatting sqref="X4:X9 X11">
    <cfRule type="expression" dxfId="2772" priority="76">
      <formula>ABS(X$7-X$10)&gt;=1000</formula>
    </cfRule>
  </conditionalFormatting>
  <conditionalFormatting sqref="Y4:Y9 Y11">
    <cfRule type="expression" dxfId="2771" priority="75">
      <formula>ABS(Y$7-Y$10)&gt;=1000</formula>
    </cfRule>
  </conditionalFormatting>
  <conditionalFormatting sqref="Z4:Z11">
    <cfRule type="expression" dxfId="2770" priority="74">
      <formula>ABS(Z$7-Z$10)&gt;=1000</formula>
    </cfRule>
  </conditionalFormatting>
  <conditionalFormatting sqref="AA4:AA11">
    <cfRule type="expression" dxfId="2769" priority="73">
      <formula>ABS(AA$7-AA$10)&gt;=1000</formula>
    </cfRule>
  </conditionalFormatting>
  <conditionalFormatting sqref="AB4:AB11">
    <cfRule type="expression" dxfId="2768" priority="72">
      <formula>ABS(AB$7-AB$10)&gt;=1000</formula>
    </cfRule>
  </conditionalFormatting>
  <conditionalFormatting sqref="AC4 AC6:AC11">
    <cfRule type="expression" dxfId="2767" priority="71">
      <formula>ABS(AC$7-AC$10)&gt;=1000</formula>
    </cfRule>
  </conditionalFormatting>
  <conditionalFormatting sqref="AD4:AD11">
    <cfRule type="expression" dxfId="2766" priority="70">
      <formula>ABS(AD$7-AD$10)&gt;=1000</formula>
    </cfRule>
  </conditionalFormatting>
  <conditionalFormatting sqref="AE4:AE11">
    <cfRule type="expression" dxfId="2765" priority="69">
      <formula>ABS(AE$7-AE$10)&gt;=1000</formula>
    </cfRule>
  </conditionalFormatting>
  <conditionalFormatting sqref="D13:D20">
    <cfRule type="expression" dxfId="2764" priority="68">
      <formula>ABS(D$16-D$19)&gt;=1000</formula>
    </cfRule>
  </conditionalFormatting>
  <conditionalFormatting sqref="E13:E20">
    <cfRule type="expression" dxfId="2763" priority="67">
      <formula>ABS(E$16-E$19)&gt;=1000</formula>
    </cfRule>
  </conditionalFormatting>
  <conditionalFormatting sqref="F13 F15:F20">
    <cfRule type="expression" dxfId="2762" priority="66">
      <formula>ABS(F$16-F$19)&gt;=1000</formula>
    </cfRule>
  </conditionalFormatting>
  <conditionalFormatting sqref="G13:G20">
    <cfRule type="expression" dxfId="2761" priority="65">
      <formula>ABS(G$16-G$19)&gt;=1000</formula>
    </cfRule>
  </conditionalFormatting>
  <conditionalFormatting sqref="H13:H20">
    <cfRule type="expression" dxfId="2760" priority="64">
      <formula>ABS(H$16-H$19)&gt;=1000</formula>
    </cfRule>
  </conditionalFormatting>
  <conditionalFormatting sqref="I13:I20">
    <cfRule type="expression" dxfId="2759" priority="63">
      <formula>ABS(I$16-I$19)&gt;=1000</formula>
    </cfRule>
  </conditionalFormatting>
  <conditionalFormatting sqref="J13:J20">
    <cfRule type="expression" dxfId="2758" priority="62">
      <formula>ABS(J$16-J$19)&gt;=1000</formula>
    </cfRule>
  </conditionalFormatting>
  <conditionalFormatting sqref="L13:L20">
    <cfRule type="expression" dxfId="2757" priority="61">
      <formula>ABS(L$16-L$19)&gt;=1000</formula>
    </cfRule>
  </conditionalFormatting>
  <conditionalFormatting sqref="M13 M15 M17:M18 M20">
    <cfRule type="expression" dxfId="2756" priority="60">
      <formula>ABS(M$16-M$19)&gt;=1000</formula>
    </cfRule>
  </conditionalFormatting>
  <conditionalFormatting sqref="N13:N20">
    <cfRule type="expression" dxfId="2755" priority="59">
      <formula>ABS(N$16-N$19)&gt;=1000</formula>
    </cfRule>
  </conditionalFormatting>
  <conditionalFormatting sqref="O13:O20">
    <cfRule type="expression" dxfId="2754" priority="58">
      <formula>ABS(O$16-O$19)&gt;=1000</formula>
    </cfRule>
  </conditionalFormatting>
  <conditionalFormatting sqref="P13:P20">
    <cfRule type="expression" dxfId="2753" priority="57">
      <formula>ABS(P$16-P$19)&gt;=1000</formula>
    </cfRule>
  </conditionalFormatting>
  <conditionalFormatting sqref="Q13 Q15:Q20">
    <cfRule type="expression" dxfId="2752" priority="56">
      <formula>ABS(Q$16-Q$19)&gt;=1000</formula>
    </cfRule>
  </conditionalFormatting>
  <conditionalFormatting sqref="R13:R20">
    <cfRule type="expression" dxfId="2751" priority="55">
      <formula>ABS(R$16-R$19)&gt;=1000</formula>
    </cfRule>
  </conditionalFormatting>
  <conditionalFormatting sqref="S13:S20">
    <cfRule type="expression" dxfId="2750" priority="54">
      <formula>ABS(S$16-S$19)&gt;=1000</formula>
    </cfRule>
  </conditionalFormatting>
  <conditionalFormatting sqref="T13:T20">
    <cfRule type="expression" dxfId="2749" priority="53">
      <formula>ABS(T$16-T$19)&gt;=1000</formula>
    </cfRule>
  </conditionalFormatting>
  <conditionalFormatting sqref="U13:U20">
    <cfRule type="expression" dxfId="2748" priority="52">
      <formula>ABS(U$16-U$19)&gt;=1000</formula>
    </cfRule>
  </conditionalFormatting>
  <conditionalFormatting sqref="V13:V20">
    <cfRule type="expression" dxfId="2747" priority="51">
      <formula>ABS(V$16-V$19)&gt;=1000</formula>
    </cfRule>
  </conditionalFormatting>
  <conditionalFormatting sqref="W13 W20 W15:W18">
    <cfRule type="expression" dxfId="2746" priority="50">
      <formula>ABS(W$16-W$19)&gt;=1000</formula>
    </cfRule>
  </conditionalFormatting>
  <conditionalFormatting sqref="X13 X15:X20 Y19">
    <cfRule type="expression" dxfId="2745" priority="49">
      <formula>ABS(X$16-X$19)&gt;=1000</formula>
    </cfRule>
  </conditionalFormatting>
  <conditionalFormatting sqref="Y13 Y15:Y18 Y20">
    <cfRule type="expression" dxfId="2744" priority="48">
      <formula>ABS(Y$16-Y$19)&gt;=1000</formula>
    </cfRule>
  </conditionalFormatting>
  <conditionalFormatting sqref="Z13:Z20">
    <cfRule type="expression" dxfId="2743" priority="47">
      <formula>ABS(Z$16-Z$19)&gt;=1000</formula>
    </cfRule>
  </conditionalFormatting>
  <conditionalFormatting sqref="AA13:AA20">
    <cfRule type="expression" dxfId="2742" priority="46">
      <formula>ABS(AA$16-AA$19)&gt;=1000</formula>
    </cfRule>
  </conditionalFormatting>
  <conditionalFormatting sqref="AB13 AB15:AB20">
    <cfRule type="expression" dxfId="2741" priority="45">
      <formula>ABS(AB$16-AB$19)&gt;=1000</formula>
    </cfRule>
  </conditionalFormatting>
  <conditionalFormatting sqref="AC13 AC15:AC20">
    <cfRule type="expression" dxfId="2740" priority="44">
      <formula>ABS(AC$16-AC$19)&gt;=1000</formula>
    </cfRule>
  </conditionalFormatting>
  <conditionalFormatting sqref="AD13:AD20">
    <cfRule type="expression" dxfId="2739" priority="43">
      <formula>ABS(AD$16-AD$19)&gt;=1000</formula>
    </cfRule>
  </conditionalFormatting>
  <conditionalFormatting sqref="AE13:AE20">
    <cfRule type="expression" dxfId="2738" priority="42">
      <formula>ABS(AE$16-AE$19)&gt;=1000</formula>
    </cfRule>
  </conditionalFormatting>
  <conditionalFormatting sqref="D22:D29">
    <cfRule type="expression" dxfId="2737" priority="41">
      <formula>ABS(D$25-D$28)&gt;=1000</formula>
    </cfRule>
  </conditionalFormatting>
  <conditionalFormatting sqref="E22:E29">
    <cfRule type="expression" dxfId="2736" priority="40">
      <formula>ABS(E$25-E$28)&gt;=1000</formula>
    </cfRule>
  </conditionalFormatting>
  <conditionalFormatting sqref="F22:F29">
    <cfRule type="expression" dxfId="2735" priority="39">
      <formula>ABS(F$25-F$28)&gt;=1000</formula>
    </cfRule>
  </conditionalFormatting>
  <conditionalFormatting sqref="G22:G29">
    <cfRule type="expression" dxfId="2734" priority="38">
      <formula>ABS(G$25-G$28)&gt;=1000</formula>
    </cfRule>
  </conditionalFormatting>
  <conditionalFormatting sqref="H22:H29">
    <cfRule type="expression" dxfId="2733" priority="37">
      <formula>ABS(H$25-H$28)&gt;=1000</formula>
    </cfRule>
  </conditionalFormatting>
  <conditionalFormatting sqref="I22 I24:I29">
    <cfRule type="expression" dxfId="2732" priority="36">
      <formula>ABS(I$25-I$28)&gt;=1000</formula>
    </cfRule>
  </conditionalFormatting>
  <conditionalFormatting sqref="J22:J29 K22">
    <cfRule type="expression" dxfId="2731" priority="35">
      <formula>ABS(J$25-J$28)&gt;=1000</formula>
    </cfRule>
  </conditionalFormatting>
  <conditionalFormatting sqref="K23:K29 L25 L28">
    <cfRule type="expression" dxfId="2730" priority="34">
      <formula>ABS(K$25-K$28)&gt;=1000</formula>
    </cfRule>
  </conditionalFormatting>
  <conditionalFormatting sqref="L22:L24 L26:L27 L29">
    <cfRule type="expression" dxfId="2729" priority="33">
      <formula>ABS(L$25-L$28)&gt;=1000</formula>
    </cfRule>
  </conditionalFormatting>
  <conditionalFormatting sqref="M22:M29">
    <cfRule type="expression" dxfId="2728" priority="32">
      <formula>ABS(M$25-M$28)&gt;=1000</formula>
    </cfRule>
  </conditionalFormatting>
  <conditionalFormatting sqref="N22:N29">
    <cfRule type="expression" dxfId="2727" priority="31">
      <formula>ABS(N$25-N$28)&gt;=1000</formula>
    </cfRule>
  </conditionalFormatting>
  <conditionalFormatting sqref="O22:O29">
    <cfRule type="expression" dxfId="2726" priority="30">
      <formula>ABS(O$25-O$28)&gt;=1000</formula>
    </cfRule>
  </conditionalFormatting>
  <conditionalFormatting sqref="P22:P29">
    <cfRule type="expression" dxfId="2725" priority="29">
      <formula>ABS(P$25-P$28)&gt;=1000</formula>
    </cfRule>
  </conditionalFormatting>
  <conditionalFormatting sqref="Q22:Q29">
    <cfRule type="expression" dxfId="2724" priority="28">
      <formula>ABS(Q$25-Q$28)&gt;=1000</formula>
    </cfRule>
  </conditionalFormatting>
  <conditionalFormatting sqref="R22:R29">
    <cfRule type="expression" dxfId="2723" priority="27">
      <formula>ABS(R$25-R$28)&gt;=1000</formula>
    </cfRule>
  </conditionalFormatting>
  <conditionalFormatting sqref="S22:S29">
    <cfRule type="expression" dxfId="2722" priority="26">
      <formula>ABS(S$25-S$28)&gt;=1000</formula>
    </cfRule>
  </conditionalFormatting>
  <conditionalFormatting sqref="T22:T29">
    <cfRule type="expression" dxfId="2721" priority="25">
      <formula>ABS(T$25-T$28)&gt;=1000</formula>
    </cfRule>
  </conditionalFormatting>
  <conditionalFormatting sqref="U22:U29">
    <cfRule type="expression" dxfId="2720" priority="24">
      <formula>ABS(U$25-U$28)&gt;=1000</formula>
    </cfRule>
  </conditionalFormatting>
  <conditionalFormatting sqref="V22:V29">
    <cfRule type="expression" dxfId="2719" priority="23">
      <formula>ABS(V$25-V$28)&gt;=1000</formula>
    </cfRule>
  </conditionalFormatting>
  <conditionalFormatting sqref="W22:W29">
    <cfRule type="expression" dxfId="2718" priority="22">
      <formula>ABS(W$25-W$28)&gt;=1000</formula>
    </cfRule>
  </conditionalFormatting>
  <conditionalFormatting sqref="X22:X29">
    <cfRule type="expression" dxfId="2717" priority="21">
      <formula>ABS(X$25-X$28)&gt;=1000</formula>
    </cfRule>
  </conditionalFormatting>
  <conditionalFormatting sqref="Y22:Y29">
    <cfRule type="expression" dxfId="2716" priority="20">
      <formula>ABS(Y$25-Y$28)&gt;=1000</formula>
    </cfRule>
  </conditionalFormatting>
  <conditionalFormatting sqref="I23">
    <cfRule type="expression" dxfId="2715" priority="19">
      <formula>ABS(I$25-I$28)&gt;=1000</formula>
    </cfRule>
  </conditionalFormatting>
  <conditionalFormatting sqref="F14">
    <cfRule type="expression" dxfId="2714" priority="18">
      <formula>ABS(F$16-F$19)&gt;=1000</formula>
    </cfRule>
  </conditionalFormatting>
  <conditionalFormatting sqref="Q14">
    <cfRule type="expression" dxfId="2713" priority="17">
      <formula>ABS(Q$16-Q$19)&gt;=1000</formula>
    </cfRule>
  </conditionalFormatting>
  <conditionalFormatting sqref="W14">
    <cfRule type="expression" dxfId="2712" priority="16">
      <formula>ABS(W$16-W$19)&gt;=1000</formula>
    </cfRule>
  </conditionalFormatting>
  <conditionalFormatting sqref="Y14">
    <cfRule type="expression" dxfId="2711" priority="15">
      <formula>ABS(Y$16-Y$19)&gt;=1000</formula>
    </cfRule>
  </conditionalFormatting>
  <conditionalFormatting sqref="X14">
    <cfRule type="expression" dxfId="2710" priority="14">
      <formula>ABS(X$16-X$19)&gt;=1000</formula>
    </cfRule>
  </conditionalFormatting>
  <conditionalFormatting sqref="T10:Y10">
    <cfRule type="expression" dxfId="2709" priority="13">
      <formula>ABS(T$7-T$10)&gt;=1000</formula>
    </cfRule>
  </conditionalFormatting>
  <conditionalFormatting sqref="W19">
    <cfRule type="expression" dxfId="2708" priority="12">
      <formula>ABS(W$16-W$19)&gt;=1000</formula>
    </cfRule>
  </conditionalFormatting>
  <conditionalFormatting sqref="AC5">
    <cfRule type="expression" dxfId="2707" priority="11">
      <formula>ABS(AC$7-AC$10)&gt;=1000</formula>
    </cfRule>
  </conditionalFormatting>
  <conditionalFormatting sqref="M14">
    <cfRule type="expression" dxfId="2706" priority="10">
      <formula>ABS(M$16-M$19)&gt;=1000</formula>
    </cfRule>
  </conditionalFormatting>
  <conditionalFormatting sqref="M16">
    <cfRule type="expression" dxfId="2705" priority="9">
      <formula>ABS(M$16-M$19)&gt;=1000</formula>
    </cfRule>
  </conditionalFormatting>
  <conditionalFormatting sqref="M19">
    <cfRule type="expression" dxfId="2704" priority="8">
      <formula>ABS(M$16-M$19)&gt;=1000</formula>
    </cfRule>
  </conditionalFormatting>
  <conditionalFormatting sqref="K13:K20">
    <cfRule type="expression" dxfId="2703" priority="7">
      <formula>ABS(K$16-K$19)&gt;=1000</formula>
    </cfRule>
  </conditionalFormatting>
  <conditionalFormatting sqref="E5">
    <cfRule type="expression" dxfId="2702" priority="6">
      <formula>ABS(E$7-E$10)&gt;=1000</formula>
    </cfRule>
  </conditionalFormatting>
  <conditionalFormatting sqref="AB14:AC14">
    <cfRule type="expression" dxfId="2701" priority="5">
      <formula>ABS(AB$16-AB$19)&gt;=1000</formula>
    </cfRule>
  </conditionalFormatting>
  <conditionalFormatting sqref="M5">
    <cfRule type="expression" dxfId="2700" priority="4">
      <formula>ABS(M$7-M$10)&gt;=1000</formula>
    </cfRule>
  </conditionalFormatting>
  <conditionalFormatting sqref="N5">
    <cfRule type="expression" dxfId="2699" priority="3">
      <formula>ABS(N$7-N$10)&gt;=1000</formula>
    </cfRule>
  </conditionalFormatting>
  <conditionalFormatting sqref="O5">
    <cfRule type="expression" dxfId="2698" priority="2">
      <formula>ABS(O$7-O$10)&gt;=1000</formula>
    </cfRule>
  </conditionalFormatting>
  <conditionalFormatting sqref="P5">
    <cfRule type="expression" dxfId="2697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98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49">
    <pageSetUpPr fitToPage="1"/>
  </sheetPr>
  <dimension ref="A1:CU223"/>
  <sheetViews>
    <sheetView view="pageBreakPreview" topLeftCell="A4" zoomScale="80" zoomScaleNormal="100" zoomScaleSheetLayoutView="80" workbookViewId="0">
      <selection activeCell="Q18" sqref="Q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45810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47" t="s" ph="1">
        <v>178</v>
      </c>
      <c r="D6" s="71">
        <v>4937</v>
      </c>
      <c r="E6" s="71">
        <v>4699</v>
      </c>
      <c r="F6" s="71">
        <v>7138</v>
      </c>
      <c r="G6" s="71">
        <v>3136</v>
      </c>
      <c r="H6" s="71">
        <v>1032</v>
      </c>
      <c r="I6" s="71">
        <v>41.01</v>
      </c>
      <c r="J6" s="71">
        <v>7.82</v>
      </c>
      <c r="K6" s="71">
        <v>7.72</v>
      </c>
      <c r="L6" s="71">
        <v>63.42</v>
      </c>
      <c r="M6" s="71">
        <v>1589</v>
      </c>
      <c r="N6" s="71">
        <v>4749</v>
      </c>
      <c r="O6" s="71">
        <v>1487</v>
      </c>
      <c r="P6" s="71">
        <v>2130</v>
      </c>
      <c r="Q6" s="71">
        <v>1979</v>
      </c>
      <c r="R6" s="71">
        <v>0</v>
      </c>
      <c r="S6" s="71">
        <v>0</v>
      </c>
      <c r="T6" s="71">
        <v>1906</v>
      </c>
      <c r="U6" s="71">
        <v>0</v>
      </c>
      <c r="V6" s="71">
        <v>5075</v>
      </c>
      <c r="W6" s="71">
        <v>6892</v>
      </c>
      <c r="X6" s="71">
        <v>6705</v>
      </c>
      <c r="Y6" s="71">
        <v>5174</v>
      </c>
      <c r="Z6" s="71">
        <v>5810</v>
      </c>
      <c r="AA6" s="71">
        <v>3509</v>
      </c>
      <c r="AB6" s="71">
        <v>2047</v>
      </c>
      <c r="AC6" s="71">
        <v>4138</v>
      </c>
      <c r="AD6" s="71">
        <v>4400</v>
      </c>
      <c r="AE6" s="71">
        <v>3579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154866.54892572001</v>
      </c>
      <c r="E7" s="73" ph="1">
        <f>E6*51.53*LOOKUP(E8,密度!$A$2:$A$50,密度!$B$2:$B$50)</f>
        <v>188360.29371300002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125916.67771800001</v>
      </c>
      <c r="H7" s="73" ph="1">
        <f>(H6)*51.53*LOOKUP(H8,密度!$A$2:$A$50,密度!$B$2:$B$50)</f>
        <v>41554.039343999997</v>
      </c>
      <c r="I7" s="73" ph="1">
        <f>I6*290.8*1.0267</f>
        <v>12244.124403600001</v>
      </c>
      <c r="J7" s="73" ph="1">
        <f>J6*290.8*0.7892</f>
        <v>1794.6849952</v>
      </c>
      <c r="K7" s="73" ph="1">
        <f>K6*290.8*1.1126</f>
        <v>2497.7602976000003</v>
      </c>
      <c r="L7" s="73" ph="1">
        <f>L6*290.8*0.777</f>
        <v>14329.850472</v>
      </c>
      <c r="M7" s="73" ph="1">
        <f>M6*33.183*LOOKUP(M8,密度!$A$2:$A$50,密度!$D$2:$D$50)</f>
        <v>53935.253322299992</v>
      </c>
      <c r="N7" s="73" ph="1">
        <f>N6*33.183*LOOKUP(N8,密度!$A$2:$A$50,密度!$E$2:$E$50)</f>
        <v>123074.71832700001</v>
      </c>
      <c r="O7" s="73" ph="1">
        <f>O6*20.428*LOOKUP(O8,密度!$A$2:$A$50,密度!$C$2:$C$50)</f>
        <v>33538.622987600007</v>
      </c>
      <c r="P7" s="73" ph="1">
        <f>P6*51.53*LOOKUP(P8,密度!$A$2:$A$50,密度!$B$2:$B$50)</f>
        <v>85469.255430000005</v>
      </c>
      <c r="Q7" s="73" ph="1">
        <f>Q6*1.5*1.5*3.1416*LOOKUP(W8,密度!$A$2:$A$50,密度!$L$2:$L$50)</f>
        <v>13079.490039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12637.4410008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33505.51743</v>
      </c>
      <c r="W7" s="73" ph="1">
        <f>W6*1.5*1.5*3.1416*LOOKUP(W8,密度!$A$2:$A$50,密度!$L$2:$L$50)</f>
        <v>45550.199772</v>
      </c>
      <c r="X7" s="73" ph="1">
        <f>X6*1.5*1.5*3.1416*LOOKUP(X8,密度!$A$2:$A$50,密度!$L$2:$L$50)</f>
        <v>44219.500479000002</v>
      </c>
      <c r="Y7" s="73" ph="1">
        <f>Y6*1.5*1.5*3.1416*LOOKUP(Y8,密度!$A$2:$A$50,密度!$L$2:$L$50)</f>
        <v>34232.268470399998</v>
      </c>
      <c r="Z7" s="73" ph="1">
        <f>Z6*33.183*LOOKUP(Z8,密度!$A$2:$A$50,密度!$L$2:$L$50)</f>
        <v>180647.25651000001</v>
      </c>
      <c r="AA7" s="73" ph="1">
        <f>AA6*33.183*LOOKUP(AA8,密度!$A$2:$A$50,密度!$D$2:$D$50)</f>
        <v>119326.83784559999</v>
      </c>
      <c r="AB7" s="73" ph="1">
        <f>AB6*20.428*LOOKUP(AB8,密度!$A$2:$A$50,密度!$D$2:$D$50)</f>
        <v>43162.594935200003</v>
      </c>
      <c r="AC7" s="73" ph="1">
        <f>AC6*51.53*LOOKUP(AC8,密度!$A$2:$A$50,密度!$Q$2:$Q$50)</f>
        <v>201723.05537420002</v>
      </c>
      <c r="AD7" s="73" ph="1">
        <f>AD6*20.428*LOOKUP(AD8,密度!$A$2:$A$50,密度!$V$2:$V$50)</f>
        <v>86359.778559999992</v>
      </c>
      <c r="AE7" s="73" ph="1">
        <f>AE6*20.428</f>
        <v>73111.812000000005</v>
      </c>
    </row>
    <row r="8" spans="1:99" ph="1">
      <c r="B8" s="256" ph="1"/>
      <c r="C8" s="68" t="s" ph="1">
        <v>180</v>
      </c>
      <c r="D8" s="74">
        <v>27</v>
      </c>
      <c r="E8" s="74">
        <v>27</v>
      </c>
      <c r="F8" s="74">
        <v>26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31</v>
      </c>
      <c r="P8" s="74">
        <v>26</v>
      </c>
      <c r="Q8" s="74">
        <v>26</v>
      </c>
      <c r="R8" s="74">
        <v>32</v>
      </c>
      <c r="S8" s="74">
        <v>21</v>
      </c>
      <c r="T8" s="74">
        <v>24</v>
      </c>
      <c r="U8" s="74">
        <v>28</v>
      </c>
      <c r="V8" s="74">
        <v>28</v>
      </c>
      <c r="W8" s="74">
        <v>27</v>
      </c>
      <c r="X8" s="74">
        <v>29</v>
      </c>
      <c r="Y8" s="74">
        <v>26</v>
      </c>
      <c r="Z8" s="74">
        <v>25</v>
      </c>
      <c r="AA8" s="74">
        <v>27</v>
      </c>
      <c r="AB8" s="74">
        <v>19</v>
      </c>
      <c r="AC8" s="74">
        <v>26</v>
      </c>
      <c r="AD8" s="74">
        <v>25</v>
      </c>
      <c r="AE8" s="74">
        <v>29</v>
      </c>
    </row>
    <row r="9" spans="1:99" ht="26.4" ph="1">
      <c r="B9" s="256" ph="1">
        <v>0.66666666666666663</v>
      </c>
      <c r="C9" s="147" t="s" ph="1">
        <v>181</v>
      </c>
      <c r="D9" s="71">
        <v>4946</v>
      </c>
      <c r="E9" s="71">
        <v>4701</v>
      </c>
      <c r="F9" s="71">
        <v>7140</v>
      </c>
      <c r="G9" s="71">
        <v>4577</v>
      </c>
      <c r="H9" s="71">
        <v>1030</v>
      </c>
      <c r="I9" s="71">
        <v>12.41</v>
      </c>
      <c r="J9" s="71">
        <v>7.71</v>
      </c>
      <c r="K9" s="71">
        <v>7.82</v>
      </c>
      <c r="L9" s="71">
        <v>35.33</v>
      </c>
      <c r="M9" s="71">
        <v>2107</v>
      </c>
      <c r="N9" s="71">
        <v>4751</v>
      </c>
      <c r="O9" s="71">
        <v>1451</v>
      </c>
      <c r="P9" s="71">
        <v>2025</v>
      </c>
      <c r="Q9" s="71">
        <v>7225</v>
      </c>
      <c r="R9" s="71">
        <v>2245</v>
      </c>
      <c r="S9" s="71">
        <v>1990</v>
      </c>
      <c r="T9" s="71">
        <v>1906</v>
      </c>
      <c r="U9" s="71">
        <v>0</v>
      </c>
      <c r="V9" s="71">
        <v>1526</v>
      </c>
      <c r="W9" s="71">
        <v>6899</v>
      </c>
      <c r="X9" s="71">
        <v>6711</v>
      </c>
      <c r="Y9" s="71">
        <v>5179</v>
      </c>
      <c r="Z9" s="71">
        <v>6600</v>
      </c>
      <c r="AA9" s="71">
        <v>3253</v>
      </c>
      <c r="AB9" s="71">
        <v>2046</v>
      </c>
      <c r="AC9" s="71">
        <v>4138</v>
      </c>
      <c r="AD9" s="71">
        <v>4406</v>
      </c>
      <c r="AE9" s="71">
        <v>3424</v>
      </c>
    </row>
    <row r="10" spans="1:99" s="72" customFormat="1" ht="22.2" ph="1">
      <c r="B10" s="256" ph="1"/>
      <c r="C10" s="147" t="s" ph="1">
        <v>179</v>
      </c>
      <c r="D10" s="73" ph="1">
        <f>D9*33.183*LOOKUP(D11,密度!$A$2:$A$50,密度!$Q$2:$Q$50)</f>
        <v>154822.26090293998</v>
      </c>
      <c r="E10" s="73" ph="1">
        <f>E9*51.53*LOOKUP(E11,密度!$A$2:$A$50,密度!$B$2:$B$50)</f>
        <v>188028.651786</v>
      </c>
      <c r="F10" s="73" ph="1">
        <f>F9*33.183*LOOKUP(F11,密度!$A$2:$A$50,密度!$C$2:$C$50)</f>
        <v>261827.607762</v>
      </c>
      <c r="G10" s="73" ph="1">
        <f xml:space="preserve"> (G9+2)*51.53*LOOKUP(G11,密度!$A$2:$A$50,密度!$B$2:$B$50)</f>
        <v>183337.71098999999</v>
      </c>
      <c r="H10" s="73" ph="1">
        <f>(H9)*51.53*LOOKUP(H11,密度!$A$2:$A$50,密度!$B$2:$B$50)</f>
        <v>41239.974300000002</v>
      </c>
      <c r="I10" s="73" ph="1">
        <f>I9*290.8*1.0267</f>
        <v>3705.1837075999997</v>
      </c>
      <c r="J10" s="73" ph="1">
        <f>J9*290.8*0.7892</f>
        <v>1769.4400656000003</v>
      </c>
      <c r="K10" s="73" ph="1">
        <f>K9*290.8*1.1126</f>
        <v>2530.1147056</v>
      </c>
      <c r="L10" s="73" ph="1">
        <f>L9*290.8*0.777</f>
        <v>7982.8700280000003</v>
      </c>
      <c r="M10" s="73" ph="1">
        <f>M9*33.183*LOOKUP(M11,密度!$A$2:$A$50,密度!$D$2:$D$50)</f>
        <v>71021.262979800013</v>
      </c>
      <c r="N10" s="73" ph="1">
        <f>N9*33.183*LOOKUP(N11,密度!$A$2:$A$50,密度!$E$2:$E$50)</f>
        <v>122590.53190079998</v>
      </c>
      <c r="O10" s="73" ph="1">
        <f>O9*20.428*LOOKUP(O11,密度!$A$2:$A$50,密度!$C$2:$C$50)</f>
        <v>32602.166697200006</v>
      </c>
      <c r="P10" s="73" ph="1">
        <f>P9*51.53*LOOKUP(P11,密度!$A$2:$A$50,密度!$B$2:$B$50)</f>
        <v>80901.198225</v>
      </c>
      <c r="Q10" s="73" ph="1">
        <f>Q9*1.5*1.5*3.1416*LOOKUP(W11,密度!$A$2:$A$50,密度!$L$2:$L$50)</f>
        <v>47648.902455000003</v>
      </c>
      <c r="R10" s="73" ph="1">
        <f>R9*1.5*1.5*3.1416*LOOKUP(R11,密度!$A$2:$A$50,密度!$L$2:$L$50)</f>
        <v>14742.307503</v>
      </c>
      <c r="S10" s="73" ph="1">
        <f>S9*1.5*1.5*3.1416*LOOKUP(S11,密度!$A$2:$A$50,密度!$L$2:$L$50)</f>
        <v>13194.390131999999</v>
      </c>
      <c r="T10" s="73" ph="1">
        <f>T9*1.5*1.5*3.1416*LOOKUP(T11,密度!$A$2:$A$50,密度!$L$2:$L$50)</f>
        <v>12610.495497600001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10074.762482400001</v>
      </c>
      <c r="W10" s="73" ph="1">
        <f>W9*1.5*1.5*3.1416*LOOKUP(W11,密度!$A$2:$A$50,密度!$L$2:$L$50)</f>
        <v>45498.931216199999</v>
      </c>
      <c r="X10" s="73" ph="1">
        <f>X9*1.5*1.5*3.1416*LOOKUP(X11,密度!$A$2:$A$50,密度!$L$2:$L$50)</f>
        <v>44211.633127200002</v>
      </c>
      <c r="Y10" s="73" ph="1">
        <f>Y9*1.5*1.5*3.1416*LOOKUP(Y11,密度!$A$2:$A$50,密度!$L$2:$L$50)</f>
        <v>34228.741239000003</v>
      </c>
      <c r="Z10" s="73" ph="1">
        <f>Z9*33.183*LOOKUP(Z11,密度!$A$2:$A$50,密度!$L$2:$L$50)</f>
        <v>203020.23060000001</v>
      </c>
      <c r="AA10" s="73" ph="1">
        <f>AA9*33.183*LOOKUP(AA11,密度!$A$2:$A$50,密度!$D$2:$D$50)</f>
        <v>109369.16374680001</v>
      </c>
      <c r="AB10" s="73" ph="1">
        <f>AB9*20.428*LOOKUP(AB11,密度!$A$2:$A$50,密度!$D$2:$D$50)</f>
        <v>43028.660796000004</v>
      </c>
      <c r="AC10" s="73" ph="1">
        <f>AC9*51.53*LOOKUP(AC11,密度!$A$2:$A$50,密度!$Q$2:$Q$50)</f>
        <v>201275.26998020001</v>
      </c>
      <c r="AD10" s="73" ph="1">
        <f>AD9*20.428*LOOKUP(AD11,密度!$A$2:$A$50,密度!$V$2:$V$50)</f>
        <v>86189.523436799995</v>
      </c>
      <c r="AE10" s="73" ph="1">
        <f>AE9*20.428</f>
        <v>69945.472000000009</v>
      </c>
    </row>
    <row r="11" spans="1:99" ph="1">
      <c r="A11" s="64" t="s" ph="1">
        <v>163</v>
      </c>
      <c r="B11" s="256" ph="1"/>
      <c r="C11" s="147" t="s" ph="1">
        <v>180</v>
      </c>
      <c r="D11" s="74">
        <v>30</v>
      </c>
      <c r="E11" s="74">
        <v>29</v>
      </c>
      <c r="F11" s="74">
        <v>30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30</v>
      </c>
      <c r="O11" s="74">
        <v>35</v>
      </c>
      <c r="P11" s="74">
        <v>30</v>
      </c>
      <c r="Q11" s="74">
        <v>29</v>
      </c>
      <c r="R11" s="74">
        <v>33</v>
      </c>
      <c r="S11" s="74">
        <v>24</v>
      </c>
      <c r="T11" s="74">
        <v>26</v>
      </c>
      <c r="U11" s="74">
        <v>31</v>
      </c>
      <c r="V11" s="74">
        <v>28</v>
      </c>
      <c r="W11" s="74">
        <v>29</v>
      </c>
      <c r="X11" s="74">
        <v>30</v>
      </c>
      <c r="Y11" s="74">
        <v>27</v>
      </c>
      <c r="Z11" s="74">
        <v>35</v>
      </c>
      <c r="AA11" s="74">
        <v>40</v>
      </c>
      <c r="AB11" s="74">
        <v>22</v>
      </c>
      <c r="AC11" s="74">
        <v>29</v>
      </c>
      <c r="AD11" s="74">
        <v>31</v>
      </c>
      <c r="AE11" s="74">
        <v>31</v>
      </c>
    </row>
    <row r="12" spans="1:99" ht="9.9" customHeight="1" ph="1"/>
    <row r="13" spans="1:99" s="72" customFormat="1" ht="29.25" customHeight="1" ph="1">
      <c r="B13" s="233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47" t="s" ph="1">
        <v>178</v>
      </c>
      <c r="D15" s="78">
        <v>0</v>
      </c>
      <c r="E15" s="78">
        <v>1580</v>
      </c>
      <c r="F15" s="78">
        <v>3482</v>
      </c>
      <c r="G15" s="78">
        <v>3056</v>
      </c>
      <c r="H15" s="78">
        <v>0</v>
      </c>
      <c r="I15" s="78">
        <v>118</v>
      </c>
      <c r="J15" s="78">
        <v>1655</v>
      </c>
      <c r="K15" s="78">
        <v>324</v>
      </c>
      <c r="L15" s="78">
        <v>3229</v>
      </c>
      <c r="M15" s="78">
        <v>6855</v>
      </c>
      <c r="N15" s="78">
        <v>2132</v>
      </c>
      <c r="O15" s="78">
        <v>6071</v>
      </c>
      <c r="P15" s="78">
        <v>5483</v>
      </c>
      <c r="Q15" s="78">
        <v>3545</v>
      </c>
      <c r="R15" s="78">
        <v>3511</v>
      </c>
      <c r="S15" s="78">
        <v>6919</v>
      </c>
      <c r="T15" s="78">
        <v>4311</v>
      </c>
      <c r="U15" s="78">
        <v>1102</v>
      </c>
      <c r="V15" s="78">
        <v>2372</v>
      </c>
      <c r="W15" s="71">
        <v>-792</v>
      </c>
      <c r="X15" s="78">
        <v>26</v>
      </c>
      <c r="Y15" s="106">
        <v>-9907</v>
      </c>
      <c r="Z15" s="78">
        <v>0</v>
      </c>
      <c r="AA15" s="78">
        <v>4226</v>
      </c>
      <c r="AB15" s="78" ph="1">
        <v>2366</v>
      </c>
      <c r="AC15" s="78" ph="1">
        <v>0</v>
      </c>
      <c r="AD15" s="78">
        <v>5.51</v>
      </c>
      <c r="AE15" s="78">
        <v>55.11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47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10442.442780000001</v>
      </c>
      <c r="F16" s="73" ph="1">
        <f>F15*9.0746*LOOKUP(F17,密度!$A$2:$A$50,密度!$L$2:$L$50)</f>
        <v>29480.707467600001</v>
      </c>
      <c r="G16" s="73" ph="1">
        <f>G15*9.0746*LOOKUP(G17,密度!$A$2:$A$50,密度!$B$2:$B$50)</f>
        <v>21572.705375040001</v>
      </c>
      <c r="H16" s="73" ph="1">
        <f>H15*9.0746*LOOKUP(H17,密度!$A$2:$A$50,密度!$L$2:$L$50)</f>
        <v>0</v>
      </c>
      <c r="I16" s="73" ph="1">
        <f>I15*9.0746*LOOKUP(I17,密度!$A$2:$A$50,密度!$U$2:$U$50)</f>
        <v>1095.4312643999999</v>
      </c>
      <c r="J16" s="73" ph="1">
        <f>J15*9.0746*LOOKUP(J17,密度!$A$2:$A$50,密度!$L$2:$L$50)</f>
        <v>14012.225979000001</v>
      </c>
      <c r="K16" s="73" ph="1">
        <f>K15*9.0746*LOOKUP(K17,密度!$A$2:$A$50,密度!$C$2:$C$50)</f>
        <v>3255.9447009599999</v>
      </c>
      <c r="L16" s="73" ph="1">
        <f>L15*9.0746*LOOKUP(L17,密度!$A$2:$A$50,密度!$E$2:$E$50)</f>
        <v>22849.608675320003</v>
      </c>
      <c r="M16" s="73" ph="1">
        <f>M15*9.0746*LOOKUP(M17,密度!$A$2:$A$50,密度!$M$2:$M$50)</f>
        <v>54243.965976</v>
      </c>
      <c r="N16" s="73" ph="1">
        <f>N15*9.0746*LOOKUP(N17,密度!$A$2:$A$50,密度!$M$2:$M$50)</f>
        <v>16930.60100472</v>
      </c>
      <c r="O16" s="73" ph="1">
        <f>O15*9.0746*LOOKUP(O17,密度!$A$2:$A$50,密度!$G$2:$G$50)</f>
        <v>52722.945046199995</v>
      </c>
      <c r="P16" s="73" ph="1">
        <f ca="1">P15*9.0746*LOOKUP(P17,密度!$A$2:$A$51,密度!$Q$2:$Q$50)</f>
        <v>47000.542758916003</v>
      </c>
      <c r="Q16" s="73" ph="1">
        <f>Q15*9.0746*LOOKUP(Q17,密度!$A$2:$A$50,密度!$Q$2:$Q$50)</f>
        <v>30387.912471340002</v>
      </c>
      <c r="R16" s="73" ph="1">
        <f>MAX(R15*9.0746*LOOKUP(R17,密度!$A$2:$A$50,密度!$B$2:$B$50),0)</f>
        <v>24730.446569719999</v>
      </c>
      <c r="S16" s="73" ph="1">
        <f>S15*9.0746*LOOKUP(S17,密度!$A$2:$A$50,密度!$Q$2:$Q$50)</f>
        <v>59353.955633368008</v>
      </c>
      <c r="T16" s="73" ph="1">
        <f>T15*9.0746*LOOKUP(T17,密度!$A$2:$A$50,密度!$O$2:$O$50)</f>
        <v>36225.676155599998</v>
      </c>
      <c r="U16" s="73" ph="1">
        <f>U15*9.0746*LOOKUP(U17,密度!$A$2:$A$50,密度!$H$2:$H$50)</f>
        <v>9147.1913552400001</v>
      </c>
      <c r="V16" s="73" ph="1">
        <f>MAX(5600*LOOKUP(V17,密度!$A$2:$A$50,密度!$Q$2:$Q$50)+V15*9.0476*LOOKUP(V17,密度!$A$2:$A$50,密度!$Q$2:$Q$50),0)</f>
        <v>25562.274159263998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29862.568450519997</v>
      </c>
      <c r="AB16" s="73" ph="1">
        <f>AB15*9.0746*LOOKUP(AB17,密度!$A$2:$A$50,密度!$L$2:$L$50)</f>
        <v>20031.979858800001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12764.35556208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27</v>
      </c>
      <c r="F17" s="74">
        <v>29</v>
      </c>
      <c r="G17" s="74">
        <v>27</v>
      </c>
      <c r="H17" s="74">
        <v>25</v>
      </c>
      <c r="I17" s="74">
        <v>27</v>
      </c>
      <c r="J17" s="74">
        <v>29</v>
      </c>
      <c r="K17" s="74">
        <v>27</v>
      </c>
      <c r="L17" s="74">
        <v>28</v>
      </c>
      <c r="M17" s="74">
        <v>28</v>
      </c>
      <c r="N17" s="74">
        <v>25</v>
      </c>
      <c r="O17" s="74">
        <v>28</v>
      </c>
      <c r="P17" s="74">
        <v>28</v>
      </c>
      <c r="Q17" s="74">
        <v>28</v>
      </c>
      <c r="R17" s="74">
        <v>29</v>
      </c>
      <c r="S17" s="74">
        <v>27</v>
      </c>
      <c r="T17" s="74">
        <v>27</v>
      </c>
      <c r="U17" s="74">
        <v>25</v>
      </c>
      <c r="V17" s="74">
        <v>28</v>
      </c>
      <c r="W17" s="74">
        <v>27</v>
      </c>
      <c r="X17" s="74">
        <v>27</v>
      </c>
      <c r="Y17" s="108">
        <v>28</v>
      </c>
      <c r="Z17" s="74">
        <v>28</v>
      </c>
      <c r="AA17" s="74">
        <v>26</v>
      </c>
      <c r="AB17" s="74">
        <v>29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3079</v>
      </c>
      <c r="F18" s="71">
        <v>3486</v>
      </c>
      <c r="G18" s="71">
        <v>3683</v>
      </c>
      <c r="H18" s="71">
        <v>0</v>
      </c>
      <c r="I18" s="71">
        <v>117</v>
      </c>
      <c r="J18" s="71">
        <v>1657</v>
      </c>
      <c r="K18" s="71">
        <v>323</v>
      </c>
      <c r="L18" s="71">
        <v>3234</v>
      </c>
      <c r="M18" s="71">
        <v>3891</v>
      </c>
      <c r="N18" s="71">
        <v>3204</v>
      </c>
      <c r="O18" s="71">
        <v>6076</v>
      </c>
      <c r="P18" s="71">
        <v>5488</v>
      </c>
      <c r="Q18" s="71">
        <v>1665</v>
      </c>
      <c r="R18" s="71">
        <v>3515</v>
      </c>
      <c r="S18" s="71">
        <v>6926</v>
      </c>
      <c r="T18" s="71">
        <v>3728</v>
      </c>
      <c r="U18" s="71">
        <v>2870</v>
      </c>
      <c r="V18" s="71">
        <v>2370</v>
      </c>
      <c r="W18" s="71">
        <v>-792</v>
      </c>
      <c r="X18" s="71">
        <v>24</v>
      </c>
      <c r="Y18" s="109">
        <v>-9907</v>
      </c>
      <c r="Z18" s="71">
        <v>0</v>
      </c>
      <c r="AA18" s="71">
        <v>4230</v>
      </c>
      <c r="AB18" s="71">
        <v>2368</v>
      </c>
      <c r="AC18" s="71">
        <v>0</v>
      </c>
      <c r="AD18" s="71">
        <v>11.23</v>
      </c>
      <c r="AE18" s="71">
        <v>84.21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47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20284.252480800002</v>
      </c>
      <c r="F19" s="73" ph="1">
        <f>F18*9.0746*LOOKUP(F20,密度!$A$2:$A$50,密度!$L$2:$L$50)</f>
        <v>29356.403596800003</v>
      </c>
      <c r="G19" s="73" ph="1">
        <f>G18*9.0746*LOOKUP(G20,密度!$A$2:$A$50,密度!$B$2:$B$50)</f>
        <v>25911.884170539997</v>
      </c>
      <c r="H19" s="73" ph="1">
        <f>H18*9.0746*LOOKUP(H20,密度!$A$2:$A$50,密度!$L$2:$L$50)</f>
        <v>0</v>
      </c>
      <c r="I19" s="73" ph="1">
        <f>I18*9.0746*LOOKUP(I20,密度!$A$2:$A$50,密度!$U$2:$U$50)</f>
        <v>1075.10597532</v>
      </c>
      <c r="J19" s="73" ph="1">
        <f>J18*9.0746*LOOKUP(J20,密度!$A$2:$A$50,密度!$L$2:$L$50)</f>
        <v>13969.0127338</v>
      </c>
      <c r="K19" s="73" ph="1">
        <f>K18*9.0746*LOOKUP(K20,密度!$A$2:$A$50,密度!$C$2:$C$50)</f>
        <v>3217.7569692400002</v>
      </c>
      <c r="L19" s="73" ph="1">
        <f>L18*9.0746*LOOKUP(L20,密度!$A$2:$A$50,密度!$E$2:$E$50)</f>
        <v>22820.426576639999</v>
      </c>
      <c r="M19" s="73" ph="1">
        <f>M18*9.0746*LOOKUP(M20,密度!$A$2:$A$50,密度!$M$2:$M$50)</f>
        <v>30642.089476452005</v>
      </c>
      <c r="N19" s="73" ph="1">
        <f>N18*9.0746*LOOKUP(N20,密度!$A$2:$A$50,密度!$M$2:$M$50)</f>
        <v>25353.4160448</v>
      </c>
      <c r="O19" s="73" ph="1">
        <f>O18*9.0746*LOOKUP(O20,密度!$A$2:$A$50,密度!$G$2:$G$50)</f>
        <v>52639.551287119997</v>
      </c>
      <c r="P19" s="73" ph="1">
        <f ca="1">P18*9.0746*LOOKUP(P20,密度!$A$2:$A$51,密度!$Q$2:$Q$50)</f>
        <v>47009.040032864003</v>
      </c>
      <c r="Q19" s="73" ph="1">
        <f>Q18*9.0746*LOOKUP(Q20,密度!$A$2:$A$50,密度!$Q$2:$Q$50)</f>
        <v>14252.970125970001</v>
      </c>
      <c r="R19" s="73" ph="1">
        <f>MAX(R18*9.0746*LOOKUP(R20,密度!$A$2:$A$50,密度!$B$2:$B$50),0)</f>
        <v>24729.913890700002</v>
      </c>
      <c r="S19" s="73" ph="1">
        <f>S18*9.0746*LOOKUP(S20,密度!$A$2:$A$50,密度!$Q$2:$Q$50)</f>
        <v>59288.931587068</v>
      </c>
      <c r="T19" s="73" ph="1">
        <f>T18*9.0746*LOOKUP(T20,密度!$A$2:$A$50,密度!$O$2:$O$50)</f>
        <v>31326.680748800005</v>
      </c>
      <c r="U19" s="73" ph="1">
        <f>U18*9.0746*LOOKUP(U20,密度!$A$2:$A$50,密度!$H$2:$H$50)</f>
        <v>23726.176921999999</v>
      </c>
      <c r="V19" s="73" ph="1">
        <f>MAX(5600*LOOKUP(V20,密度!$A$2:$A$50,密度!$Q$2:$Q$50)+V18*9.0476*LOOKUP(V20,密度!$A$2:$A$50,密度!$Q$2:$Q$50),0)</f>
        <v>25510.295843960001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6030.0498118400001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29825.578566000004</v>
      </c>
      <c r="AB19" s="73" ph="1">
        <f>AB18*9.0746*LOOKUP(AB20,密度!$A$2:$A$50,密度!$L$2:$L$50)</f>
        <v>20027.4244096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3561.2057628000002</v>
      </c>
      <c r="AE19" s="73" ph="1">
        <f>AE18*268.68*LOOKUP(AE20,密度!$A$2:$A$50,密度!B5:B53)+IF(AE18&lt;=0,0,1566*LOOKUP(AE20,密度!$A$2:$A$50,密度!B5:B53))</f>
        <v>18796.8287556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30</v>
      </c>
      <c r="E20" s="81">
        <v>30</v>
      </c>
      <c r="F20" s="81">
        <v>34</v>
      </c>
      <c r="G20" s="81">
        <v>30</v>
      </c>
      <c r="H20" s="81">
        <v>32</v>
      </c>
      <c r="I20" s="81">
        <v>38</v>
      </c>
      <c r="J20" s="81">
        <v>33</v>
      </c>
      <c r="K20" s="81">
        <v>37</v>
      </c>
      <c r="L20" s="81">
        <v>30</v>
      </c>
      <c r="M20" s="81">
        <v>32</v>
      </c>
      <c r="N20" s="81">
        <v>28</v>
      </c>
      <c r="O20" s="81">
        <v>30</v>
      </c>
      <c r="P20" s="81">
        <v>29</v>
      </c>
      <c r="Q20" s="81">
        <v>30</v>
      </c>
      <c r="R20" s="81">
        <v>30</v>
      </c>
      <c r="S20" s="81">
        <v>30</v>
      </c>
      <c r="T20" s="81">
        <v>29</v>
      </c>
      <c r="U20" s="81">
        <v>29</v>
      </c>
      <c r="V20" s="81">
        <v>30</v>
      </c>
      <c r="W20" s="81">
        <v>31</v>
      </c>
      <c r="X20" s="81">
        <v>30</v>
      </c>
      <c r="Y20" s="110">
        <v>31</v>
      </c>
      <c r="Z20" s="81">
        <v>32</v>
      </c>
      <c r="AA20" s="81">
        <v>28</v>
      </c>
      <c r="AB20" s="81">
        <v>30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47" t="s" ph="1">
        <v>178</v>
      </c>
      <c r="D24" s="71">
        <v>91.03</v>
      </c>
      <c r="E24" s="71">
        <v>95.72</v>
      </c>
      <c r="F24" s="71">
        <v>3997</v>
      </c>
      <c r="G24" s="71">
        <v>3399</v>
      </c>
      <c r="H24" s="71">
        <v>2725</v>
      </c>
      <c r="I24" s="71">
        <v>3294</v>
      </c>
      <c r="J24" s="71">
        <v>5404</v>
      </c>
      <c r="K24" s="71">
        <v>37</v>
      </c>
      <c r="L24" s="71">
        <v>1132</v>
      </c>
      <c r="M24" s="71">
        <v>5250</v>
      </c>
      <c r="N24" s="71">
        <v>5322</v>
      </c>
      <c r="O24" s="71">
        <v>3691</v>
      </c>
      <c r="P24" s="71">
        <v>884</v>
      </c>
      <c r="Q24" s="90">
        <v>3585</v>
      </c>
      <c r="R24" s="71">
        <v>2311</v>
      </c>
      <c r="S24" s="71">
        <v>1584</v>
      </c>
      <c r="T24" s="71">
        <v>1761</v>
      </c>
      <c r="U24" s="71">
        <v>4310</v>
      </c>
      <c r="V24" s="71">
        <v>9635</v>
      </c>
      <c r="W24" s="71">
        <v>10730</v>
      </c>
      <c r="X24" s="71">
        <v>2693</v>
      </c>
      <c r="Y24" s="71">
        <v>5086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44248.560910820001</v>
      </c>
      <c r="G25" s="91" ph="1">
        <f>G24*18.322*LOOKUP(G26,密度!$A$2:$A$50,密度!$B$2:$B$50)</f>
        <v>48444.872236199997</v>
      </c>
      <c r="H25" s="91" ph="1">
        <f>H24*18.322*LOOKUP(H26,密度!$A$2:$A$50,密度!$B$2:$B$50)</f>
        <v>38838.563354999998</v>
      </c>
      <c r="I25" s="91" ph="1">
        <f>I24*18.322*LOOKUP(I26,密度!$A$2:$A$50,密度!$Q$2:$Q$50)</f>
        <v>57095.434508040002</v>
      </c>
      <c r="J25" s="91" ph="1">
        <f>J24*18.322*LOOKUP(J26,密度!$A$2:$A$50,密度!$Q$2:$Q$50)</f>
        <v>93668.405610639995</v>
      </c>
      <c r="K25" s="91" ph="1">
        <f>K24*18.322*LOOKUP(K26,密度!$A$2:$A$50,密度!$Q$2:$Q$50)</f>
        <v>641.32698142000004</v>
      </c>
      <c r="L25" s="91" ph="1">
        <f>L24*18.322*LOOKUP(L26,密度!$A$2:$A$50,密度!$Q$2:$Q$50)</f>
        <v>19621.138999120001</v>
      </c>
      <c r="M25" s="91" ph="1">
        <f>M24*18.322*LOOKUP(M26,密度!$A$2:$A$50,密度!$Q$2:$Q$50)</f>
        <v>91067.393970000005</v>
      </c>
      <c r="N25" s="91" ph="1">
        <f>N24*18.322*LOOKUP(N26,密度!$A$2:$A$50,密度!$Q$2:$Q$50)</f>
        <v>92177.854478879992</v>
      </c>
      <c r="O25" s="91" ph="1">
        <f>O24*18.322*LOOKUP(O26,密度!$A$2:$A$50,密度!$C$2:$C$50)</f>
        <v>74936.926866199996</v>
      </c>
      <c r="P25" s="91" ph="1">
        <f>P24*11.702*LOOKUP(P26,密度!$A$2:$A$50,密度!$B$2:$B$50)</f>
        <v>8055.3151015999993</v>
      </c>
      <c r="Q25" s="92" ph="1">
        <f>Q24*18.322*LOOKUP(Q26,密度!$A$2:$A$50,密度!$B$2:$B$50)</f>
        <v>51148.418918999996</v>
      </c>
      <c r="R25" s="91" ph="1">
        <f>R24*35.891*LOOKUP(R26,密度!$A$2:$A$50,密度!$C$2:$C$50)</f>
        <v>91910.358318099999</v>
      </c>
      <c r="S25" s="91" ph="1">
        <f>S24*35.891*LOOKUP(S26,密度!$A$2:$A$50,密度!$B$2:$B$50)</f>
        <v>44224.660497600002</v>
      </c>
      <c r="T25" s="91" ph="1">
        <f>T24*35.891*LOOKUP(T26,密度!$A$2:$A$50,密度!$Q$2:$Q$50)</f>
        <v>59748.053491320003</v>
      </c>
      <c r="U25" s="91" ph="1">
        <f>U24*35.891</f>
        <v>154690.21</v>
      </c>
      <c r="V25" s="91" ph="1">
        <f>V24*47.051*LOOKUP(V26,密度!$A$2:$A$50,密度!$B$2:$B$50)</f>
        <v>353013.0429995</v>
      </c>
      <c r="W25" s="91" ph="1">
        <f>W24*47.051*LOOKUP(W26,密度!$A$2:$A$50,密度!$B$2:$B$50)</f>
        <v>393132.32500100002</v>
      </c>
      <c r="X25" s="91" ph="1">
        <f>X24*47.051*LOOKUP(X26,密度!$A$2:$A$50,密度!$I$2:$I$50)</f>
        <v>131637.29754269999</v>
      </c>
      <c r="Y25" s="91" ph="1">
        <f>Y24*47.051*LOOKUP(Y26,密度!$A$2:$A$50,密度!$L$2:$L$50)</f>
        <v>223268.193138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26</v>
      </c>
      <c r="J26" s="74">
        <v>26</v>
      </c>
      <c r="K26" s="74">
        <v>26</v>
      </c>
      <c r="L26" s="74">
        <v>26</v>
      </c>
      <c r="M26" s="74">
        <v>25</v>
      </c>
      <c r="N26" s="74">
        <v>27</v>
      </c>
      <c r="O26" s="74">
        <v>26</v>
      </c>
      <c r="P26" s="74">
        <v>26</v>
      </c>
      <c r="Q26" s="93">
        <v>26</v>
      </c>
      <c r="R26" s="74">
        <v>26</v>
      </c>
      <c r="S26" s="74">
        <v>27</v>
      </c>
      <c r="T26" s="74">
        <v>27</v>
      </c>
      <c r="U26" s="74">
        <v>26</v>
      </c>
      <c r="V26" s="74">
        <v>26</v>
      </c>
      <c r="W26" s="74">
        <v>26</v>
      </c>
      <c r="X26" s="74">
        <v>28</v>
      </c>
      <c r="Y26" s="74">
        <v>29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47" t="s" ph="1">
        <v>181</v>
      </c>
      <c r="D27" s="71">
        <v>91.12</v>
      </c>
      <c r="E27" s="71">
        <v>95.61</v>
      </c>
      <c r="F27" s="71">
        <v>3999</v>
      </c>
      <c r="G27" s="71">
        <v>2849</v>
      </c>
      <c r="H27" s="71">
        <v>1962</v>
      </c>
      <c r="I27" s="71">
        <v>3294</v>
      </c>
      <c r="J27" s="71">
        <v>5406</v>
      </c>
      <c r="K27" s="71">
        <v>35</v>
      </c>
      <c r="L27" s="71">
        <v>1127</v>
      </c>
      <c r="M27" s="71">
        <v>5250</v>
      </c>
      <c r="N27" s="71">
        <v>5321</v>
      </c>
      <c r="O27" s="71">
        <v>3687</v>
      </c>
      <c r="P27" s="71">
        <v>882</v>
      </c>
      <c r="Q27" s="90">
        <v>3743</v>
      </c>
      <c r="R27" s="71">
        <v>2258</v>
      </c>
      <c r="S27" s="71">
        <v>1581</v>
      </c>
      <c r="T27" s="71">
        <v>1760</v>
      </c>
      <c r="U27" s="71">
        <v>4040</v>
      </c>
      <c r="V27" s="71">
        <v>9637</v>
      </c>
      <c r="W27" s="71">
        <v>10732</v>
      </c>
      <c r="X27" s="71">
        <v>2667</v>
      </c>
      <c r="Y27" s="71">
        <v>4030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47" t="s" ph="1">
        <v>179</v>
      </c>
      <c r="D28" s="91" ph="1">
        <f>D27*268.68*LOOKUP(D29,密度!$A$2:$A$50,密度!$Q$2:$Q$50)+IF(D27&lt;=0,0,1566*LOOKUP(D29,密度!$A$2:$A$50,密度!$Q$2:$Q$50))</f>
        <v>24660.798643584003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44270.701796940004</v>
      </c>
      <c r="G28" s="91" ph="1">
        <f>G27*18.322*LOOKUP(G29,密度!$A$2:$A$50,密度!$B$2:$B$50)</f>
        <v>40605.896146200001</v>
      </c>
      <c r="H28" s="91" ph="1">
        <f>H27*18.322*LOOKUP(H29,密度!$A$2:$A$50,密度!$B$2:$B$50)</f>
        <v>27963.765615599998</v>
      </c>
      <c r="I28" s="91" ph="1">
        <f>I27*18.322*LOOKUP(I29,密度!$A$2:$A$50,密度!$Q$2:$Q$50)</f>
        <v>57052.58411376</v>
      </c>
      <c r="J28" s="91" ph="1">
        <f>J27*18.322*LOOKUP(J29,密度!$A$2:$A$50,密度!$Q$2:$Q$50)</f>
        <v>93632.74733423999</v>
      </c>
      <c r="K28" s="91" ph="1">
        <f>K27*18.322*LOOKUP(K29,密度!$A$2:$A$50,密度!$Q$2:$Q$50)</f>
        <v>605.75646740000002</v>
      </c>
      <c r="L28" s="91" ph="1">
        <f>L27*18.322*LOOKUP(L29,密度!$A$2:$A$50,密度!$Q$2:$Q$50)</f>
        <v>19519.812476080002</v>
      </c>
      <c r="M28" s="91" ph="1">
        <f>M27*18.322*LOOKUP(M29,密度!$A$2:$A$50,密度!$Q$2:$Q$50)</f>
        <v>90999.098715</v>
      </c>
      <c r="N28" s="91" ph="1">
        <f>N27*18.322*LOOKUP(N29,密度!$A$2:$A$50,密度!$Q$2:$Q$50)</f>
        <v>92160.534325839995</v>
      </c>
      <c r="O28" s="91" ph="1">
        <f>O27*18.322*LOOKUP(O29,密度!$A$2:$A$50,密度!$C$2:$C$50)</f>
        <v>74855.716433399997</v>
      </c>
      <c r="P28" s="91" ph="1">
        <f>P27*11.702*LOOKUP(P29,密度!$A$2:$A$50,密度!$B$2:$B$50)</f>
        <v>8019.5444280000011</v>
      </c>
      <c r="Q28" s="92" ph="1">
        <f>Q27*18.322*LOOKUP(Q29,密度!$A$2:$A$50,密度!$B$2:$B$50)</f>
        <v>53286.074141999998</v>
      </c>
      <c r="R28" s="91" ph="1">
        <f>R27*35.891*LOOKUP(R29,密度!$A$2:$A$50,密度!$C$2:$C$50)</f>
        <v>89745.775697199992</v>
      </c>
      <c r="S28" s="91" ph="1">
        <f>S27*35.891*LOOKUP(S29,密度!$A$2:$A$50,密度!$B$2:$B$50)</f>
        <v>44140.901670899999</v>
      </c>
      <c r="T28" s="91" ph="1">
        <f>T27*35.891*LOOKUP(T29,密度!$A$2:$A$50,密度!$Q$2:$Q$50)</f>
        <v>59714.125011199998</v>
      </c>
      <c r="U28" s="91" ph="1">
        <f>U27*35.891</f>
        <v>144999.63999999998</v>
      </c>
      <c r="V28" s="91" ph="1">
        <f>V27*47.051*LOOKUP(V29,密度!$A$2:$A$50,密度!$B$2:$B$50)</f>
        <v>353086.32022689999</v>
      </c>
      <c r="W28" s="91" ph="1">
        <f>W27*47.051*LOOKUP(W29,密度!$A$2:$A$50,密度!$B$2:$B$50)</f>
        <v>393205.60222839995</v>
      </c>
      <c r="X28" s="91" ph="1">
        <f>X27*47.051*LOOKUP(X29,密度!$A$2:$A$50,密度!$I$2:$I$50)</f>
        <v>130366.3841613</v>
      </c>
      <c r="Y28" s="91" ph="1">
        <f>Y27*47.051*LOOKUP(Y29,密度!$A$2:$A$50,密度!$L$2:$L$50)</f>
        <v>177100.90502000001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47" t="s" ph="1">
        <v>180</v>
      </c>
      <c r="D29" s="74">
        <v>25</v>
      </c>
      <c r="E29" s="74">
        <v>25</v>
      </c>
      <c r="F29" s="74">
        <v>26</v>
      </c>
      <c r="G29" s="74">
        <v>27</v>
      </c>
      <c r="H29" s="74">
        <v>27</v>
      </c>
      <c r="I29" s="74">
        <v>27</v>
      </c>
      <c r="J29" s="74">
        <v>27</v>
      </c>
      <c r="K29" s="74">
        <v>28</v>
      </c>
      <c r="L29" s="74">
        <v>27</v>
      </c>
      <c r="M29" s="74">
        <v>26</v>
      </c>
      <c r="N29" s="74">
        <v>27</v>
      </c>
      <c r="O29" s="74">
        <v>26</v>
      </c>
      <c r="P29" s="74">
        <v>28</v>
      </c>
      <c r="Q29" s="93">
        <v>28</v>
      </c>
      <c r="R29" s="74">
        <v>27</v>
      </c>
      <c r="S29" s="74">
        <v>27</v>
      </c>
      <c r="T29" s="74">
        <v>27</v>
      </c>
      <c r="U29" s="74">
        <v>28</v>
      </c>
      <c r="V29" s="74">
        <v>26</v>
      </c>
      <c r="W29" s="74">
        <v>26</v>
      </c>
      <c r="X29" s="74">
        <v>28</v>
      </c>
      <c r="Y29" s="74">
        <v>28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152397.82454280002</v>
      </c>
      <c r="E33" s="205" ph="1">
        <f>M10+I10</f>
        <v>74726.446687400006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31" ph="1">
        <v>0</v>
      </c>
      <c r="H33" s="205" ph="1">
        <f>N19</f>
        <v>25353.4160448</v>
      </c>
      <c r="I33" s="209" ph="1">
        <v>0</v>
      </c>
      <c r="J33" s="213" ph="1">
        <f>F10+O28</f>
        <v>336683.3241954</v>
      </c>
      <c r="K33" s="205" ph="1">
        <f>O10+K10+E28+R28</f>
        <v>155100.56638372</v>
      </c>
      <c r="L33" s="215" ph="1">
        <f>BE27</f>
        <v>7100</v>
      </c>
      <c r="M33" s="213" ph="1">
        <f>G10+H10+W28+S28+V28+E10</f>
        <v>1203039.1612022</v>
      </c>
      <c r="N33" s="205" ph="1">
        <f>L10+P10++G28+H28</f>
        <v>157453.73001480001</v>
      </c>
      <c r="O33" s="209" ph="1">
        <f>BE17</f>
        <v>2270</v>
      </c>
      <c r="P33" s="213" ph="1">
        <f>L19</f>
        <v>22820.426576639999</v>
      </c>
      <c r="Q33" s="205" ph="1">
        <f>J10+N10</f>
        <v>124359.97196639999</v>
      </c>
      <c r="R33" s="209" ph="1">
        <f>BE23</f>
        <v>890</v>
      </c>
      <c r="S33" s="213" ph="1">
        <f>E10+X28</f>
        <v>318395.03594730003</v>
      </c>
      <c r="T33" s="205" ph="1">
        <f>X19</f>
        <v>6030.0498118400001</v>
      </c>
      <c r="U33" s="194" ph="1">
        <f>BE21</f>
        <v>730</v>
      </c>
      <c r="V33" s="207" ph="1">
        <f ca="1">P19+Q19+S19+M28+N28+J28</f>
        <v>397343.32212098199</v>
      </c>
      <c r="W33" s="207" ph="1">
        <f>D28+F28+V19+T28</f>
        <v>154155.92129568401</v>
      </c>
      <c r="X33" s="209" ph="1">
        <f>BE29+BE31</f>
        <v>10200</v>
      </c>
      <c r="Y33" s="211" ph="1">
        <f>+Q10+R10+S10+T10+U10+V10+W10+X10+Y10</f>
        <v>222210.16365240002</v>
      </c>
      <c r="Z33" s="192" ph="1">
        <f>D10+T19+U19+Y28+Z10</f>
        <v>589996.25419373997</v>
      </c>
      <c r="AA33" s="194" ph="1">
        <f>BE19</f>
        <v>1440</v>
      </c>
      <c r="AB33" s="196" ph="1">
        <f>I19</f>
        <v>1075.10597532</v>
      </c>
      <c r="AC33" s="198" ph="1">
        <f>AD10</f>
        <v>86189.523436799995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45" t="s" ph="1">
        <v>186</v>
      </c>
      <c r="AA36" s="145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345</v>
      </c>
      <c r="AI37" s="145" t="s" ph="1">
        <v>212</v>
      </c>
      <c r="AJ37" s="145" t="s" ph="1">
        <v>213</v>
      </c>
      <c r="AK37" s="145" t="s" ph="1">
        <v>214</v>
      </c>
      <c r="AM37" s="145" t="s" ph="1">
        <v>213</v>
      </c>
      <c r="AN37" s="145" t="s" ph="1">
        <v>214</v>
      </c>
      <c r="AO37" s="145" t="s" ph="1">
        <v>215</v>
      </c>
      <c r="AP37" s="145" t="s" ph="1">
        <v>213</v>
      </c>
      <c r="AQ37" s="145" t="s" ph="1">
        <v>214</v>
      </c>
      <c r="AR37" s="145" t="s" ph="1">
        <v>215</v>
      </c>
      <c r="AS37" s="145" t="s" ph="1">
        <v>213</v>
      </c>
      <c r="AT37" s="145" t="s" ph="1">
        <v>214</v>
      </c>
      <c r="AU37" s="145" t="s" ph="1">
        <v>215</v>
      </c>
      <c r="AV37" s="145" t="s" ph="1">
        <v>213</v>
      </c>
      <c r="AW37" s="145" t="s" ph="1">
        <v>214</v>
      </c>
      <c r="AX37" s="145" t="s" ph="1">
        <v>215</v>
      </c>
      <c r="AY37" s="145" t="s" ph="1">
        <v>214</v>
      </c>
      <c r="AZ37" s="145" t="s" ph="1">
        <v>216</v>
      </c>
      <c r="BD37" s="145" t="s" ph="1">
        <v>308</v>
      </c>
      <c r="BE37" s="14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66" priority="97">
      <formula>ABS(D$7-D$10)&gt;=1000</formula>
    </cfRule>
  </conditionalFormatting>
  <conditionalFormatting sqref="E4 E6:E11">
    <cfRule type="expression" dxfId="2665" priority="96">
      <formula>ABS(E$7-E$10)&gt;=1000</formula>
    </cfRule>
  </conditionalFormatting>
  <conditionalFormatting sqref="F4:F11">
    <cfRule type="expression" dxfId="2664" priority="95">
      <formula>ABS(F$7-F$10)&gt;=1000</formula>
    </cfRule>
  </conditionalFormatting>
  <conditionalFormatting sqref="G4:G11">
    <cfRule type="expression" dxfId="2663" priority="94">
      <formula>ABS(G$7-G$10)&gt;=1000</formula>
    </cfRule>
  </conditionalFormatting>
  <conditionalFormatting sqref="H4:H11">
    <cfRule type="expression" dxfId="2662" priority="93">
      <formula>ABS(H$7-H$10)&gt;=1000</formula>
    </cfRule>
  </conditionalFormatting>
  <conditionalFormatting sqref="I4:I11">
    <cfRule type="expression" dxfId="2661" priority="92">
      <formula>ABS(I$7-I$10)&gt;=1000</formula>
    </cfRule>
  </conditionalFormatting>
  <conditionalFormatting sqref="J4:J11">
    <cfRule type="expression" dxfId="2660" priority="91">
      <formula>ABS(J$7-J$10)&gt;=1000</formula>
    </cfRule>
  </conditionalFormatting>
  <conditionalFormatting sqref="K4:K11">
    <cfRule type="expression" dxfId="2659" priority="90">
      <formula>ABS(K$7-K$10)&gt;=1000</formula>
    </cfRule>
  </conditionalFormatting>
  <conditionalFormatting sqref="L4:L11">
    <cfRule type="expression" dxfId="2658" priority="89">
      <formula>ABS(L$7-L$10)&gt;=1000</formula>
    </cfRule>
  </conditionalFormatting>
  <conditionalFormatting sqref="M4 M6:M11">
    <cfRule type="expression" dxfId="2657" priority="88">
      <formula>ABS(M$7-M$10)&gt;=1000</formula>
    </cfRule>
  </conditionalFormatting>
  <conditionalFormatting sqref="N4 N6:N11">
    <cfRule type="expression" dxfId="2656" priority="87">
      <formula>ABS(N$7-N$10)&gt;=1000</formula>
    </cfRule>
  </conditionalFormatting>
  <conditionalFormatting sqref="O4 O6:O11">
    <cfRule type="expression" dxfId="2655" priority="86">
      <formula>ABS(O$7-O$10)&gt;=1000</formula>
    </cfRule>
  </conditionalFormatting>
  <conditionalFormatting sqref="P4 P6:P11">
    <cfRule type="expression" dxfId="2654" priority="85">
      <formula>ABS(P$7-P$10)&gt;=1000</formula>
    </cfRule>
  </conditionalFormatting>
  <conditionalFormatting sqref="Q4:Q11">
    <cfRule type="expression" dxfId="2653" priority="84">
      <formula>ABS(Q$7-Q$10)&gt;=1000</formula>
    </cfRule>
  </conditionalFormatting>
  <conditionalFormatting sqref="R4:R11">
    <cfRule type="expression" dxfId="2652" priority="83">
      <formula>ABS(R$7-R$10)&gt;=1000</formula>
    </cfRule>
  </conditionalFormatting>
  <conditionalFormatting sqref="S4:S11">
    <cfRule type="expression" dxfId="2651" priority="82">
      <formula>ABS(S$7-S$10)&gt;=1000</formula>
    </cfRule>
  </conditionalFormatting>
  <conditionalFormatting sqref="T4:T9 T11">
    <cfRule type="expression" dxfId="2650" priority="81">
      <formula>ABS(T$7-T$10)&gt;=1000</formula>
    </cfRule>
  </conditionalFormatting>
  <conditionalFormatting sqref="U4:U9 U11">
    <cfRule type="expression" dxfId="2649" priority="80">
      <formula>ABS(U$7-U$10)&gt;=1000</formula>
    </cfRule>
  </conditionalFormatting>
  <conditionalFormatting sqref="V4:V9 V11">
    <cfRule type="expression" dxfId="2648" priority="79">
      <formula>ABS(V$7-V$10)&gt;=1000</formula>
    </cfRule>
  </conditionalFormatting>
  <conditionalFormatting sqref="W4:W9 W11">
    <cfRule type="expression" dxfId="2647" priority="78">
      <formula>ABS(W$7-W$10)&gt;=1000</formula>
    </cfRule>
  </conditionalFormatting>
  <conditionalFormatting sqref="X4:X9 X11">
    <cfRule type="expression" dxfId="2646" priority="77">
      <formula>ABS(X$7-X$10)&gt;=1000</formula>
    </cfRule>
  </conditionalFormatting>
  <conditionalFormatting sqref="Y4:Y9 Y11">
    <cfRule type="expression" dxfId="2645" priority="76">
      <formula>ABS(Y$7-Y$10)&gt;=1000</formula>
    </cfRule>
  </conditionalFormatting>
  <conditionalFormatting sqref="Z4:Z11">
    <cfRule type="expression" dxfId="2644" priority="75">
      <formula>ABS(Z$7-Z$10)&gt;=1000</formula>
    </cfRule>
  </conditionalFormatting>
  <conditionalFormatting sqref="AA4:AA11">
    <cfRule type="expression" dxfId="2643" priority="74">
      <formula>ABS(AA$7-AA$10)&gt;=1000</formula>
    </cfRule>
  </conditionalFormatting>
  <conditionalFormatting sqref="AB4:AB11">
    <cfRule type="expression" dxfId="2642" priority="73">
      <formula>ABS(AB$7-AB$10)&gt;=1000</formula>
    </cfRule>
  </conditionalFormatting>
  <conditionalFormatting sqref="AC4 AC6:AC11">
    <cfRule type="expression" dxfId="2641" priority="72">
      <formula>ABS(AC$7-AC$10)&gt;=1000</formula>
    </cfRule>
  </conditionalFormatting>
  <conditionalFormatting sqref="AD4:AD11">
    <cfRule type="expression" dxfId="2640" priority="71">
      <formula>ABS(AD$7-AD$10)&gt;=1000</formula>
    </cfRule>
  </conditionalFormatting>
  <conditionalFormatting sqref="AE4:AE11">
    <cfRule type="expression" dxfId="2639" priority="70">
      <formula>ABS(AE$7-AE$10)&gt;=1000</formula>
    </cfRule>
  </conditionalFormatting>
  <conditionalFormatting sqref="D13:D20">
    <cfRule type="expression" dxfId="2638" priority="69">
      <formula>ABS(D$16-D$19)&gt;=1000</formula>
    </cfRule>
  </conditionalFormatting>
  <conditionalFormatting sqref="E13:E20">
    <cfRule type="expression" dxfId="2637" priority="68">
      <formula>ABS(E$16-E$19)&gt;=1000</formula>
    </cfRule>
  </conditionalFormatting>
  <conditionalFormatting sqref="F13 F15:F20">
    <cfRule type="expression" dxfId="2636" priority="67">
      <formula>ABS(F$16-F$19)&gt;=1000</formula>
    </cfRule>
  </conditionalFormatting>
  <conditionalFormatting sqref="G13:G20">
    <cfRule type="expression" dxfId="2635" priority="66">
      <formula>ABS(G$16-G$19)&gt;=1000</formula>
    </cfRule>
  </conditionalFormatting>
  <conditionalFormatting sqref="H13:H20">
    <cfRule type="expression" dxfId="2634" priority="65">
      <formula>ABS(H$16-H$19)&gt;=1000</formula>
    </cfRule>
  </conditionalFormatting>
  <conditionalFormatting sqref="I13:I20">
    <cfRule type="expression" dxfId="2633" priority="64">
      <formula>ABS(I$16-I$19)&gt;=1000</formula>
    </cfRule>
  </conditionalFormatting>
  <conditionalFormatting sqref="J13:J20">
    <cfRule type="expression" dxfId="2632" priority="63">
      <formula>ABS(J$16-J$19)&gt;=1000</formula>
    </cfRule>
  </conditionalFormatting>
  <conditionalFormatting sqref="L13:L20">
    <cfRule type="expression" dxfId="2631" priority="62">
      <formula>ABS(L$16-L$19)&gt;=1000</formula>
    </cfRule>
  </conditionalFormatting>
  <conditionalFormatting sqref="M13 M15 M17:M18 M20">
    <cfRule type="expression" dxfId="2630" priority="61">
      <formula>ABS(M$16-M$19)&gt;=1000</formula>
    </cfRule>
  </conditionalFormatting>
  <conditionalFormatting sqref="N13:N20">
    <cfRule type="expression" dxfId="2629" priority="60">
      <formula>ABS(N$16-N$19)&gt;=1000</formula>
    </cfRule>
  </conditionalFormatting>
  <conditionalFormatting sqref="O13:O20">
    <cfRule type="expression" dxfId="2628" priority="59">
      <formula>ABS(O$16-O$19)&gt;=1000</formula>
    </cfRule>
  </conditionalFormatting>
  <conditionalFormatting sqref="P13:P20">
    <cfRule type="expression" dxfId="2627" priority="58">
      <formula>ABS(P$16-P$19)&gt;=1000</formula>
    </cfRule>
  </conditionalFormatting>
  <conditionalFormatting sqref="Q13 Q15:Q20">
    <cfRule type="expression" dxfId="2626" priority="57">
      <formula>ABS(Q$16-Q$19)&gt;=1000</formula>
    </cfRule>
  </conditionalFormatting>
  <conditionalFormatting sqref="R13:R20">
    <cfRule type="expression" dxfId="2625" priority="56">
      <formula>ABS(R$16-R$19)&gt;=1000</formula>
    </cfRule>
  </conditionalFormatting>
  <conditionalFormatting sqref="S13:S20">
    <cfRule type="expression" dxfId="2624" priority="55">
      <formula>ABS(S$16-S$19)&gt;=1000</formula>
    </cfRule>
  </conditionalFormatting>
  <conditionalFormatting sqref="T13:T20">
    <cfRule type="expression" dxfId="2623" priority="54">
      <formula>ABS(T$16-T$19)&gt;=1000</formula>
    </cfRule>
  </conditionalFormatting>
  <conditionalFormatting sqref="U13:U20">
    <cfRule type="expression" dxfId="2622" priority="53">
      <formula>ABS(U$16-U$19)&gt;=1000</formula>
    </cfRule>
  </conditionalFormatting>
  <conditionalFormatting sqref="V13:V20">
    <cfRule type="expression" dxfId="2621" priority="52">
      <formula>ABS(V$16-V$19)&gt;=1000</formula>
    </cfRule>
  </conditionalFormatting>
  <conditionalFormatting sqref="W13 W20 W15:W18">
    <cfRule type="expression" dxfId="2620" priority="51">
      <formula>ABS(W$16-W$19)&gt;=1000</formula>
    </cfRule>
  </conditionalFormatting>
  <conditionalFormatting sqref="X13 X15:X20 Y19">
    <cfRule type="expression" dxfId="2619" priority="50">
      <formula>ABS(X$16-X$19)&gt;=1000</formula>
    </cfRule>
  </conditionalFormatting>
  <conditionalFormatting sqref="Y13 Y15:Y18 Y20">
    <cfRule type="expression" dxfId="2618" priority="49">
      <formula>ABS(Y$16-Y$19)&gt;=1000</formula>
    </cfRule>
  </conditionalFormatting>
  <conditionalFormatting sqref="Z13:Z20">
    <cfRule type="expression" dxfId="2617" priority="48">
      <formula>ABS(Z$16-Z$19)&gt;=1000</formula>
    </cfRule>
  </conditionalFormatting>
  <conditionalFormatting sqref="AA13:AA20">
    <cfRule type="expression" dxfId="2616" priority="47">
      <formula>ABS(AA$16-AA$19)&gt;=1000</formula>
    </cfRule>
  </conditionalFormatting>
  <conditionalFormatting sqref="AB13 AB15:AB20">
    <cfRule type="expression" dxfId="2615" priority="46">
      <formula>ABS(AB$16-AB$19)&gt;=1000</formula>
    </cfRule>
  </conditionalFormatting>
  <conditionalFormatting sqref="AC13 AC15:AC20">
    <cfRule type="expression" dxfId="2614" priority="45">
      <formula>ABS(AC$16-AC$19)&gt;=1000</formula>
    </cfRule>
  </conditionalFormatting>
  <conditionalFormatting sqref="AD13:AD20">
    <cfRule type="expression" dxfId="2613" priority="44">
      <formula>ABS(AD$16-AD$19)&gt;=1000</formula>
    </cfRule>
  </conditionalFormatting>
  <conditionalFormatting sqref="AE13:AE20">
    <cfRule type="expression" dxfId="2612" priority="43">
      <formula>ABS(AE$16-AE$19)&gt;=1000</formula>
    </cfRule>
  </conditionalFormatting>
  <conditionalFormatting sqref="D22:D29">
    <cfRule type="expression" dxfId="2611" priority="42">
      <formula>ABS(D$25-D$28)&gt;=1000</formula>
    </cfRule>
  </conditionalFormatting>
  <conditionalFormatting sqref="E22:E29">
    <cfRule type="expression" dxfId="2610" priority="41">
      <formula>ABS(E$25-E$28)&gt;=1000</formula>
    </cfRule>
  </conditionalFormatting>
  <conditionalFormatting sqref="F22:F29">
    <cfRule type="expression" dxfId="2609" priority="40">
      <formula>ABS(F$25-F$28)&gt;=1000</formula>
    </cfRule>
  </conditionalFormatting>
  <conditionalFormatting sqref="G22:G29">
    <cfRule type="expression" dxfId="2608" priority="39">
      <formula>ABS(G$25-G$28)&gt;=1000</formula>
    </cfRule>
  </conditionalFormatting>
  <conditionalFormatting sqref="H22:H29">
    <cfRule type="expression" dxfId="2607" priority="38">
      <formula>ABS(H$25-H$28)&gt;=1000</formula>
    </cfRule>
  </conditionalFormatting>
  <conditionalFormatting sqref="I22 I24:I29">
    <cfRule type="expression" dxfId="2606" priority="37">
      <formula>ABS(I$25-I$28)&gt;=1000</formula>
    </cfRule>
  </conditionalFormatting>
  <conditionalFormatting sqref="J22:J29 K22">
    <cfRule type="expression" dxfId="2605" priority="36">
      <formula>ABS(J$25-J$28)&gt;=1000</formula>
    </cfRule>
  </conditionalFormatting>
  <conditionalFormatting sqref="K23:K29 L25 L28">
    <cfRule type="expression" dxfId="2604" priority="35">
      <formula>ABS(K$25-K$28)&gt;=1000</formula>
    </cfRule>
  </conditionalFormatting>
  <conditionalFormatting sqref="L22 L26:L27 L29 L24">
    <cfRule type="expression" dxfId="2603" priority="34">
      <formula>ABS(L$25-L$28)&gt;=1000</formula>
    </cfRule>
  </conditionalFormatting>
  <conditionalFormatting sqref="M22:M29">
    <cfRule type="expression" dxfId="2602" priority="33">
      <formula>ABS(M$25-M$28)&gt;=1000</formula>
    </cfRule>
  </conditionalFormatting>
  <conditionalFormatting sqref="N22:N29">
    <cfRule type="expression" dxfId="2601" priority="32">
      <formula>ABS(N$25-N$28)&gt;=1000</formula>
    </cfRule>
  </conditionalFormatting>
  <conditionalFormatting sqref="O22:O29">
    <cfRule type="expression" dxfId="2600" priority="31">
      <formula>ABS(O$25-O$28)&gt;=1000</formula>
    </cfRule>
  </conditionalFormatting>
  <conditionalFormatting sqref="P22:P29">
    <cfRule type="expression" dxfId="2599" priority="30">
      <formula>ABS(P$25-P$28)&gt;=1000</formula>
    </cfRule>
  </conditionalFormatting>
  <conditionalFormatting sqref="Q22:Q29">
    <cfRule type="expression" dxfId="2598" priority="29">
      <formula>ABS(Q$25-Q$28)&gt;=1000</formula>
    </cfRule>
  </conditionalFormatting>
  <conditionalFormatting sqref="R22:R29">
    <cfRule type="expression" dxfId="2597" priority="28">
      <formula>ABS(R$25-R$28)&gt;=1000</formula>
    </cfRule>
  </conditionalFormatting>
  <conditionalFormatting sqref="S22:S29">
    <cfRule type="expression" dxfId="2596" priority="27">
      <formula>ABS(S$25-S$28)&gt;=1000</formula>
    </cfRule>
  </conditionalFormatting>
  <conditionalFormatting sqref="T22:T29">
    <cfRule type="expression" dxfId="2595" priority="26">
      <formula>ABS(T$25-T$28)&gt;=1000</formula>
    </cfRule>
  </conditionalFormatting>
  <conditionalFormatting sqref="U22:U29">
    <cfRule type="expression" dxfId="2594" priority="25">
      <formula>ABS(U$25-U$28)&gt;=1000</formula>
    </cfRule>
  </conditionalFormatting>
  <conditionalFormatting sqref="V22:V29">
    <cfRule type="expression" dxfId="2593" priority="24">
      <formula>ABS(V$25-V$28)&gt;=1000</formula>
    </cfRule>
  </conditionalFormatting>
  <conditionalFormatting sqref="W22:W29">
    <cfRule type="expression" dxfId="2592" priority="23">
      <formula>ABS(W$25-W$28)&gt;=1000</formula>
    </cfRule>
  </conditionalFormatting>
  <conditionalFormatting sqref="X22:X29">
    <cfRule type="expression" dxfId="2591" priority="22">
      <formula>ABS(X$25-X$28)&gt;=1000</formula>
    </cfRule>
  </conditionalFormatting>
  <conditionalFormatting sqref="Y22:Y29">
    <cfRule type="expression" dxfId="2590" priority="21">
      <formula>ABS(Y$25-Y$28)&gt;=1000</formula>
    </cfRule>
  </conditionalFormatting>
  <conditionalFormatting sqref="I23">
    <cfRule type="expression" dxfId="2589" priority="20">
      <formula>ABS(I$25-I$28)&gt;=1000</formula>
    </cfRule>
  </conditionalFormatting>
  <conditionalFormatting sqref="F14">
    <cfRule type="expression" dxfId="2588" priority="19">
      <formula>ABS(F$16-F$19)&gt;=1000</formula>
    </cfRule>
  </conditionalFormatting>
  <conditionalFormatting sqref="Q14">
    <cfRule type="expression" dxfId="2587" priority="18">
      <formula>ABS(Q$16-Q$19)&gt;=1000</formula>
    </cfRule>
  </conditionalFormatting>
  <conditionalFormatting sqref="W14">
    <cfRule type="expression" dxfId="2586" priority="17">
      <formula>ABS(W$16-W$19)&gt;=1000</formula>
    </cfRule>
  </conditionalFormatting>
  <conditionalFormatting sqref="Y14">
    <cfRule type="expression" dxfId="2585" priority="16">
      <formula>ABS(Y$16-Y$19)&gt;=1000</formula>
    </cfRule>
  </conditionalFormatting>
  <conditionalFormatting sqref="X14">
    <cfRule type="expression" dxfId="2584" priority="15">
      <formula>ABS(X$16-X$19)&gt;=1000</formula>
    </cfRule>
  </conditionalFormatting>
  <conditionalFormatting sqref="T10:Y10">
    <cfRule type="expression" dxfId="2583" priority="14">
      <formula>ABS(T$7-T$10)&gt;=1000</formula>
    </cfRule>
  </conditionalFormatting>
  <conditionalFormatting sqref="W19">
    <cfRule type="expression" dxfId="2582" priority="13">
      <formula>ABS(W$16-W$19)&gt;=1000</formula>
    </cfRule>
  </conditionalFormatting>
  <conditionalFormatting sqref="AC5">
    <cfRule type="expression" dxfId="2581" priority="12">
      <formula>ABS(AC$7-AC$10)&gt;=1000</formula>
    </cfRule>
  </conditionalFormatting>
  <conditionalFormatting sqref="M14">
    <cfRule type="expression" dxfId="2580" priority="11">
      <formula>ABS(M$16-M$19)&gt;=1000</formula>
    </cfRule>
  </conditionalFormatting>
  <conditionalFormatting sqref="M16">
    <cfRule type="expression" dxfId="2579" priority="10">
      <formula>ABS(M$16-M$19)&gt;=1000</formula>
    </cfRule>
  </conditionalFormatting>
  <conditionalFormatting sqref="M19">
    <cfRule type="expression" dxfId="2578" priority="9">
      <formula>ABS(M$16-M$19)&gt;=1000</formula>
    </cfRule>
  </conditionalFormatting>
  <conditionalFormatting sqref="K13:K20">
    <cfRule type="expression" dxfId="2577" priority="8">
      <formula>ABS(K$16-K$19)&gt;=1000</formula>
    </cfRule>
  </conditionalFormatting>
  <conditionalFormatting sqref="E5">
    <cfRule type="expression" dxfId="2576" priority="7">
      <formula>ABS(E$7-E$10)&gt;=1000</formula>
    </cfRule>
  </conditionalFormatting>
  <conditionalFormatting sqref="AB14:AC14">
    <cfRule type="expression" dxfId="2575" priority="6">
      <formula>ABS(AB$16-AB$19)&gt;=1000</formula>
    </cfRule>
  </conditionalFormatting>
  <conditionalFormatting sqref="M5">
    <cfRule type="expression" dxfId="2574" priority="5">
      <formula>ABS(M$7-M$10)&gt;=1000</formula>
    </cfRule>
  </conditionalFormatting>
  <conditionalFormatting sqref="N5">
    <cfRule type="expression" dxfId="2573" priority="4">
      <formula>ABS(N$7-N$10)&gt;=1000</formula>
    </cfRule>
  </conditionalFormatting>
  <conditionalFormatting sqref="O5">
    <cfRule type="expression" dxfId="2572" priority="3">
      <formula>ABS(O$7-O$10)&gt;=1000</formula>
    </cfRule>
  </conditionalFormatting>
  <conditionalFormatting sqref="P5">
    <cfRule type="expression" dxfId="2571" priority="2">
      <formula>ABS(P$7-P$10)&gt;=1000</formula>
    </cfRule>
  </conditionalFormatting>
  <conditionalFormatting sqref="L23">
    <cfRule type="expression" dxfId="257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18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0">
    <pageSetUpPr fitToPage="1"/>
  </sheetPr>
  <dimension ref="A1:CU223"/>
  <sheetViews>
    <sheetView view="pageBreakPreview" zoomScale="80" zoomScaleNormal="100" zoomScaleSheetLayoutView="80" workbookViewId="0">
      <selection activeCell="Y24" sqref="Y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45811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48" t="s" ph="1">
        <v>178</v>
      </c>
      <c r="D6" s="71">
        <v>4947</v>
      </c>
      <c r="E6" s="71">
        <v>4704</v>
      </c>
      <c r="F6" s="71">
        <v>7138</v>
      </c>
      <c r="G6" s="71">
        <v>3963</v>
      </c>
      <c r="H6" s="71">
        <v>1032</v>
      </c>
      <c r="I6" s="71">
        <v>46.61</v>
      </c>
      <c r="J6" s="71">
        <v>7.81</v>
      </c>
      <c r="K6" s="71">
        <v>7.72</v>
      </c>
      <c r="L6" s="71">
        <v>38.619999999999997</v>
      </c>
      <c r="M6" s="71">
        <v>2375</v>
      </c>
      <c r="N6" s="71">
        <v>4751</v>
      </c>
      <c r="O6" s="71">
        <v>1034</v>
      </c>
      <c r="P6" s="71">
        <v>2547</v>
      </c>
      <c r="Q6" s="71">
        <v>7228</v>
      </c>
      <c r="R6" s="71">
        <v>2246</v>
      </c>
      <c r="S6" s="71">
        <v>1993</v>
      </c>
      <c r="T6" s="71">
        <v>1908</v>
      </c>
      <c r="U6" s="71">
        <v>0</v>
      </c>
      <c r="V6" s="71">
        <v>0</v>
      </c>
      <c r="W6" s="71">
        <v>3951</v>
      </c>
      <c r="X6" s="71">
        <v>6710</v>
      </c>
      <c r="Y6" s="71">
        <v>5178</v>
      </c>
      <c r="Z6" s="71">
        <v>7015</v>
      </c>
      <c r="AA6" s="71">
        <v>2696</v>
      </c>
      <c r="AB6" s="71">
        <v>2048</v>
      </c>
      <c r="AC6" s="71">
        <v>4141</v>
      </c>
      <c r="AD6" s="71">
        <v>4403</v>
      </c>
      <c r="AE6" s="71">
        <v>3423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155180.23446132001</v>
      </c>
      <c r="E7" s="73" ph="1">
        <f>E6*51.53*LOOKUP(E8,密度!$A$2:$A$50,密度!$B$2:$B$50)</f>
        <v>188754.63734399999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159101.21961500001</v>
      </c>
      <c r="H7" s="73" ph="1">
        <f>(H6)*51.53*LOOKUP(H8,密度!$A$2:$A$50,密度!$B$2:$B$50)</f>
        <v>41410.456151999999</v>
      </c>
      <c r="I7" s="73" ph="1">
        <f>I6*290.8*1.0267</f>
        <v>13916.084819599999</v>
      </c>
      <c r="J7" s="73" ph="1">
        <f>J6*290.8*0.7892</f>
        <v>1792.3900016000002</v>
      </c>
      <c r="K7" s="73" ph="1">
        <f>K6*290.8*1.1126</f>
        <v>2497.7602976000003</v>
      </c>
      <c r="L7" s="73" ph="1">
        <f>L6*290.8*0.777</f>
        <v>8726.2507920000007</v>
      </c>
      <c r="M7" s="73" ph="1">
        <f>M6*33.183*LOOKUP(M8,密度!$A$2:$A$50,密度!$D$2:$D$50)</f>
        <v>80693.175037499997</v>
      </c>
      <c r="N7" s="73" ph="1">
        <f>N6*33.183*LOOKUP(N8,密度!$A$2:$A$50,密度!$E$2:$E$50)</f>
        <v>123126.550173</v>
      </c>
      <c r="O7" s="73" ph="1">
        <f>O6*20.428*LOOKUP(O8,密度!$A$2:$A$50,密度!$C$2:$C$50)</f>
        <v>23359.430256800002</v>
      </c>
      <c r="P7" s="73" ph="1">
        <f>P6*51.53*LOOKUP(P8,密度!$A$2:$A$50,密度!$B$2:$B$50)</f>
        <v>102320.091036</v>
      </c>
      <c r="Q7" s="73" ph="1">
        <f>Q6*1.5*1.5*3.1416*LOOKUP(W8,密度!$A$2:$A$50,密度!$L$2:$L$50)</f>
        <v>47770.871147999998</v>
      </c>
      <c r="R7" s="73" ph="1">
        <f>R6*1.5*1.5*3.1416*LOOKUP(R8,密度!$A$2:$A$50,密度!$L$2:$L$50)</f>
        <v>14780.626383600002</v>
      </c>
      <c r="S7" s="73" ph="1">
        <f>S6*1.5*1.5*3.1416*LOOKUP(S8,密度!$A$2:$A$50,密度!$L$2:$L$50)</f>
        <v>13270.632051599998</v>
      </c>
      <c r="T7" s="73" ph="1">
        <f>T6*1.5*1.5*3.1416*LOOKUP(T8,密度!$A$2:$A$50,密度!$L$2:$L$50)</f>
        <v>12650.701694400001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26112.716091000002</v>
      </c>
      <c r="X7" s="73" ph="1">
        <f>X6*1.5*1.5*3.1416*LOOKUP(X8,密度!$A$2:$A$50,密度!$L$2:$L$50)</f>
        <v>44205.045191999998</v>
      </c>
      <c r="Y7" s="73" ph="1">
        <f>Y6*1.5*1.5*3.1416*LOOKUP(Y8,密度!$A$2:$A$50,密度!$L$2:$L$50)</f>
        <v>34222.132098000002</v>
      </c>
      <c r="Z7" s="73" ph="1">
        <f>Z6*33.183*LOOKUP(Z8,密度!$A$2:$A$50,密度!$L$2:$L$50)</f>
        <v>218346.46281</v>
      </c>
      <c r="AA7" s="73" ph="1">
        <f>AA6*33.183*LOOKUP(AA8,密度!$A$2:$A$50,密度!$D$2:$D$50)</f>
        <v>91680.009926400002</v>
      </c>
      <c r="AB7" s="73" ph="1">
        <f>AB6*20.428*LOOKUP(AB8,密度!$A$2:$A$50,密度!$D$2:$D$50)</f>
        <v>43183.680716800001</v>
      </c>
      <c r="AC7" s="73" ph="1">
        <f>AC6*51.53*LOOKUP(AC8,密度!$A$2:$A$50,密度!$Q$2:$Q$50)</f>
        <v>202020.80602020002</v>
      </c>
      <c r="AD7" s="73" ph="1">
        <f>AD6*20.428*LOOKUP(AD8,密度!$A$2:$A$50,密度!$V$2:$V$50)</f>
        <v>86418.660227200002</v>
      </c>
      <c r="AE7" s="73" ph="1">
        <f>AE6*20.428</f>
        <v>69925.044000000009</v>
      </c>
    </row>
    <row r="8" spans="1:99" ph="1">
      <c r="B8" s="256" ph="1"/>
      <c r="C8" s="68" t="s" ph="1">
        <v>180</v>
      </c>
      <c r="D8" s="74">
        <v>27</v>
      </c>
      <c r="E8" s="74">
        <v>26</v>
      </c>
      <c r="F8" s="74">
        <v>25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29</v>
      </c>
      <c r="P8" s="74">
        <v>25</v>
      </c>
      <c r="Q8" s="74">
        <v>27</v>
      </c>
      <c r="R8" s="74">
        <v>31</v>
      </c>
      <c r="S8" s="74">
        <v>20</v>
      </c>
      <c r="T8" s="74">
        <v>24</v>
      </c>
      <c r="U8" s="74">
        <v>26</v>
      </c>
      <c r="V8" s="74">
        <v>28</v>
      </c>
      <c r="W8" s="74">
        <v>27</v>
      </c>
      <c r="X8" s="74">
        <v>30</v>
      </c>
      <c r="Y8" s="74">
        <v>27</v>
      </c>
      <c r="Z8" s="74">
        <v>24</v>
      </c>
      <c r="AA8" s="74">
        <v>27</v>
      </c>
      <c r="AB8" s="74">
        <v>19</v>
      </c>
      <c r="AC8" s="74">
        <v>25</v>
      </c>
      <c r="AD8" s="74">
        <v>24</v>
      </c>
      <c r="AE8" s="74">
        <v>28</v>
      </c>
    </row>
    <row r="9" spans="1:99" ht="26.4" ph="1">
      <c r="B9" s="256" ph="1">
        <v>0.66666666666666663</v>
      </c>
      <c r="C9" s="148" t="s" ph="1">
        <v>181</v>
      </c>
      <c r="D9" s="71">
        <v>4946</v>
      </c>
      <c r="E9" s="71">
        <v>4704</v>
      </c>
      <c r="F9" s="71">
        <v>7138</v>
      </c>
      <c r="G9" s="71">
        <v>7107</v>
      </c>
      <c r="H9" s="71">
        <v>1030</v>
      </c>
      <c r="I9" s="71">
        <v>10.41</v>
      </c>
      <c r="J9" s="71">
        <v>7.81</v>
      </c>
      <c r="K9" s="71">
        <v>17.920000000000002</v>
      </c>
      <c r="L9" s="71">
        <v>15.61</v>
      </c>
      <c r="M9" s="71">
        <v>2953</v>
      </c>
      <c r="N9" s="71">
        <v>4750</v>
      </c>
      <c r="O9" s="71">
        <v>1034</v>
      </c>
      <c r="P9" s="71">
        <v>2387</v>
      </c>
      <c r="Q9" s="71">
        <v>7226</v>
      </c>
      <c r="R9" s="71">
        <v>4801</v>
      </c>
      <c r="S9" s="71">
        <v>1992</v>
      </c>
      <c r="T9" s="71">
        <v>1907</v>
      </c>
      <c r="U9" s="71">
        <v>0</v>
      </c>
      <c r="V9" s="71">
        <v>0</v>
      </c>
      <c r="W9" s="71">
        <v>197</v>
      </c>
      <c r="X9" s="71">
        <v>6708</v>
      </c>
      <c r="Y9" s="71">
        <v>5178</v>
      </c>
      <c r="Z9" s="71">
        <v>4731</v>
      </c>
      <c r="AA9" s="71">
        <v>2437</v>
      </c>
      <c r="AB9" s="71">
        <v>2046</v>
      </c>
      <c r="AC9" s="71">
        <v>4140</v>
      </c>
      <c r="AD9" s="71">
        <v>4401</v>
      </c>
      <c r="AE9" s="71">
        <v>3298</v>
      </c>
    </row>
    <row r="10" spans="1:99" s="72" customFormat="1" ht="22.2" ph="1">
      <c r="B10" s="256" ph="1"/>
      <c r="C10" s="148" t="s" ph="1">
        <v>179</v>
      </c>
      <c r="D10" s="73" ph="1">
        <f>D9*33.183*LOOKUP(D11,密度!$A$2:$A$50,密度!$Q$2:$Q$50)</f>
        <v>155148.86590775999</v>
      </c>
      <c r="E10" s="73" ph="1">
        <f>E9*51.53*LOOKUP(E11,密度!$A$2:$A$50,密度!$B$2:$B$50)</f>
        <v>188754.63734399999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285588.34989200003</v>
      </c>
      <c r="H10" s="73" ph="1">
        <f>(H9)*51.53*LOOKUP(H11,密度!$A$2:$A$50,密度!$B$2:$B$50)</f>
        <v>41521.276570000002</v>
      </c>
      <c r="I10" s="73" ph="1">
        <f>I9*290.8*1.0267</f>
        <v>3108.0549876</v>
      </c>
      <c r="J10" s="73" ph="1">
        <f>J9*290.8*0.7892</f>
        <v>1792.3900016000002</v>
      </c>
      <c r="K10" s="73" ph="1">
        <f>K9*290.8*1.1126</f>
        <v>5797.9099136000004</v>
      </c>
      <c r="L10" s="73" ph="1">
        <f>L9*290.8*0.777</f>
        <v>3527.104476</v>
      </c>
      <c r="M10" s="73" ph="1">
        <f>M9*33.183*LOOKUP(M11,密度!$A$2:$A$50,密度!$D$2:$D$50)</f>
        <v>100331.34563610001</v>
      </c>
      <c r="N10" s="73" ph="1">
        <f>N9*33.183*LOOKUP(N11,密度!$A$2:$A$50,密度!$E$2:$E$50)</f>
        <v>123100.63425</v>
      </c>
      <c r="O10" s="73" ph="1">
        <f>O9*20.428*LOOKUP(O11,密度!$A$2:$A$50,密度!$C$2:$C$50)</f>
        <v>23422.797912800001</v>
      </c>
      <c r="P10" s="73" ph="1">
        <f>P9*51.53*LOOKUP(P11,密度!$A$2:$A$50,密度!$B$2:$B$50)</f>
        <v>95892.444955999992</v>
      </c>
      <c r="Q10" s="73" ph="1">
        <f>Q9*1.5*1.5*3.1416*LOOKUP(W11,密度!$A$2:$A$50,密度!$L$2:$L$50)</f>
        <v>47757.652866000004</v>
      </c>
      <c r="R10" s="73" ph="1">
        <f>R9*1.5*1.5*3.1416*LOOKUP(R11,密度!$A$2:$A$50,密度!$L$2:$L$50)</f>
        <v>31594.740546599998</v>
      </c>
      <c r="S10" s="73" ph="1">
        <f>S9*1.5*1.5*3.1416*LOOKUP(S11,密度!$A$2:$A$50,密度!$L$2:$L$50)</f>
        <v>13263.973430399999</v>
      </c>
      <c r="T10" s="73" ph="1">
        <f>T9*1.5*1.5*3.1416*LOOKUP(T11,密度!$A$2:$A$50,密度!$L$2:$L$50)</f>
        <v>12644.0713476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1302.0007770000002</v>
      </c>
      <c r="X10" s="73" ph="1">
        <f>X9*1.5*1.5*3.1416*LOOKUP(X11,密度!$A$2:$A$50,密度!$L$2:$L$50)</f>
        <v>44239.285490400005</v>
      </c>
      <c r="Y10" s="73" ph="1">
        <f>Y9*1.5*1.5*3.1416*LOOKUP(Y11,密度!$A$2:$A$50,密度!$L$2:$L$50)</f>
        <v>34258.733308800001</v>
      </c>
      <c r="Z10" s="73" ph="1">
        <f>Z9*33.183*LOOKUP(Z11,密度!$A$2:$A$50,密度!$L$2:$L$50)</f>
        <v>147412.45784699998</v>
      </c>
      <c r="AA10" s="73" ph="1">
        <f>AA9*33.183*LOOKUP(AA11,密度!$A$2:$A$50,密度!$D$2:$D$50)</f>
        <v>83026.119125700003</v>
      </c>
      <c r="AB10" s="73" ph="1">
        <f>AB9*20.428*LOOKUP(AB11,密度!$A$2:$A$50,密度!$D$2:$D$50)</f>
        <v>43179.125272799996</v>
      </c>
      <c r="AC10" s="73" ph="1">
        <f>AC9*51.53*LOOKUP(AC11,密度!$A$2:$A$50,密度!$Q$2:$Q$50)</f>
        <v>201972.02050800002</v>
      </c>
      <c r="AD10" s="73" ph="1">
        <f>AD9*20.428*LOOKUP(AD11,密度!$A$2:$A$50,密度!$V$2:$V$50)</f>
        <v>86379.40578239999</v>
      </c>
      <c r="AE10" s="73" ph="1">
        <f>AE9*20.428</f>
        <v>67371.544000000009</v>
      </c>
    </row>
    <row r="11" spans="1:99" ph="1">
      <c r="A11" s="64" t="s" ph="1">
        <v>163</v>
      </c>
      <c r="B11" s="256" ph="1"/>
      <c r="C11" s="148" t="s" ph="1">
        <v>180</v>
      </c>
      <c r="D11" s="74">
        <v>27</v>
      </c>
      <c r="E11" s="74">
        <v>26</v>
      </c>
      <c r="F11" s="74">
        <v>25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25</v>
      </c>
      <c r="P11" s="74">
        <v>25</v>
      </c>
      <c r="Q11" s="74">
        <v>27</v>
      </c>
      <c r="R11" s="74">
        <v>31</v>
      </c>
      <c r="S11" s="74">
        <v>20</v>
      </c>
      <c r="T11" s="74">
        <v>24</v>
      </c>
      <c r="U11" s="74">
        <v>26</v>
      </c>
      <c r="V11" s="74">
        <v>27</v>
      </c>
      <c r="W11" s="74">
        <v>27</v>
      </c>
      <c r="X11" s="74">
        <v>29</v>
      </c>
      <c r="Y11" s="74">
        <v>26</v>
      </c>
      <c r="Z11" s="74">
        <v>23</v>
      </c>
      <c r="AA11" s="74">
        <v>25</v>
      </c>
      <c r="AB11" s="74">
        <v>18</v>
      </c>
      <c r="AC11" s="74">
        <v>25</v>
      </c>
      <c r="AD11" s="74">
        <v>24</v>
      </c>
      <c r="AE11" s="74">
        <v>27</v>
      </c>
    </row>
    <row r="12" spans="1:99" ht="9.9" customHeight="1" ph="1"/>
    <row r="13" spans="1:99" s="72" customFormat="1" ht="29.25" customHeight="1" ph="1">
      <c r="B13" s="233" t="s" ph="1">
        <v>37</v>
      </c>
      <c r="C13" s="14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48" t="s" ph="1">
        <v>178</v>
      </c>
      <c r="D15" s="78">
        <v>0</v>
      </c>
      <c r="E15" s="78">
        <v>3078</v>
      </c>
      <c r="F15" s="78">
        <v>3487</v>
      </c>
      <c r="G15" s="78">
        <v>3754</v>
      </c>
      <c r="H15" s="78">
        <v>0</v>
      </c>
      <c r="I15" s="78">
        <v>118</v>
      </c>
      <c r="J15" s="78">
        <v>1656</v>
      </c>
      <c r="K15" s="78">
        <v>325</v>
      </c>
      <c r="L15" s="78">
        <v>3233</v>
      </c>
      <c r="M15" s="78">
        <v>3886</v>
      </c>
      <c r="N15" s="78">
        <v>3205</v>
      </c>
      <c r="O15" s="78">
        <v>6074</v>
      </c>
      <c r="P15" s="78">
        <v>5486</v>
      </c>
      <c r="Q15" s="78">
        <v>1665</v>
      </c>
      <c r="R15" s="78">
        <v>3514</v>
      </c>
      <c r="S15" s="78">
        <v>6923</v>
      </c>
      <c r="T15" s="78">
        <v>3729</v>
      </c>
      <c r="U15" s="78">
        <v>2871</v>
      </c>
      <c r="V15" s="78">
        <v>2371</v>
      </c>
      <c r="W15" s="71">
        <v>-792</v>
      </c>
      <c r="X15" s="78">
        <v>27</v>
      </c>
      <c r="Y15" s="106">
        <v>-9907</v>
      </c>
      <c r="Z15" s="78">
        <v>0</v>
      </c>
      <c r="AA15" s="78">
        <v>4230</v>
      </c>
      <c r="AB15" s="78" ph="1">
        <v>2368</v>
      </c>
      <c r="AC15" s="78" ph="1">
        <v>0</v>
      </c>
      <c r="AD15" s="78">
        <v>80.010000000000005</v>
      </c>
      <c r="AE15" s="78">
        <v>5.61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48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20342.935998000001</v>
      </c>
      <c r="F16" s="73" ph="1">
        <f>F15*9.0746*LOOKUP(F17,密度!$A$2:$A$50,密度!$L$2:$L$50)</f>
        <v>29554.683606800001</v>
      </c>
      <c r="G16" s="73" ph="1">
        <f>G15*9.0746*LOOKUP(G17,密度!$A$2:$A$50,密度!$B$2:$B$50)</f>
        <v>26527.231889079998</v>
      </c>
      <c r="H16" s="73" ph="1">
        <f>H15*9.0746*LOOKUP(H17,密度!$A$2:$A$50,密度!$L$2:$L$50)</f>
        <v>0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14050.747656000001</v>
      </c>
      <c r="K16" s="73" ph="1">
        <f>K15*9.0746*LOOKUP(K17,密度!$A$2:$A$50,密度!$C$2:$C$50)</f>
        <v>3265.9939129999998</v>
      </c>
      <c r="L16" s="73" ph="1">
        <f>L15*9.0746*LOOKUP(L17,密度!$A$2:$A$50,密度!$E$2:$E$50)</f>
        <v>22877.914167640003</v>
      </c>
      <c r="M16" s="73" ph="1">
        <f>M15*9.0746*LOOKUP(M17,密度!$A$2:$A$50,密度!$M$2:$M$50)</f>
        <v>30750.116963200002</v>
      </c>
      <c r="N16" s="73" ph="1">
        <f>N15*9.0746*LOOKUP(N17,密度!$A$2:$A$50,密度!$M$2:$M$50)</f>
        <v>25451.4897843</v>
      </c>
      <c r="O16" s="73" ph="1">
        <f>O15*9.0746*LOOKUP(O17,密度!$A$2:$A$50,密度!$G$2:$G$50)</f>
        <v>52748.998222800001</v>
      </c>
      <c r="P16" s="73" ph="1">
        <f ca="1">P15*9.0746*LOOKUP(P17,密度!$A$2:$A$51,密度!$Q$2:$Q$50)</f>
        <v>47061.10718379201</v>
      </c>
      <c r="Q16" s="73" ph="1">
        <f>Q15*9.0746*LOOKUP(Q17,密度!$A$2:$A$50,密度!$Q$2:$Q$50)</f>
        <v>14272.46100558</v>
      </c>
      <c r="R16" s="73" ph="1">
        <f>MAX(R15*9.0746*LOOKUP(R17,密度!$A$2:$A$50,密度!$B$2:$B$50),0)</f>
        <v>24777.0881988</v>
      </c>
      <c r="S16" s="73" ph="1">
        <f>S15*9.0746*LOOKUP(S17,密度!$A$2:$A$50,密度!$Q$2:$Q$50)</f>
        <v>59344.292817796006</v>
      </c>
      <c r="T16" s="73" ph="1">
        <f>T15*9.0746*LOOKUP(T17,密度!$A$2:$A$50,密度!$O$2:$O$50)</f>
        <v>31335.083828400002</v>
      </c>
      <c r="U16" s="73" ph="1">
        <f>U15*9.0746*LOOKUP(U17,密度!$A$2:$A$50,密度!$H$2:$H$50)</f>
        <v>23830.840636019999</v>
      </c>
      <c r="V16" s="73" ph="1">
        <f>MAX(5600*LOOKUP(V17,密度!$A$2:$A$50,密度!$Q$2:$Q$50)+V15*9.0476*LOOKUP(V17,密度!$A$2:$A$50,密度!$Q$2:$Q$50),0)</f>
        <v>25553.727615352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6083.9008931999997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29890.834014600001</v>
      </c>
      <c r="AB16" s="73" ph="1">
        <f>AB15*9.0746*LOOKUP(AB17,密度!$A$2:$A$50,密度!$L$2:$L$50)</f>
        <v>20070.401715200001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17979.982469279999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27</v>
      </c>
      <c r="F17" s="74">
        <v>28</v>
      </c>
      <c r="G17" s="74">
        <v>26</v>
      </c>
      <c r="H17" s="74">
        <v>24</v>
      </c>
      <c r="I17" s="74">
        <v>26</v>
      </c>
      <c r="J17" s="74">
        <v>27</v>
      </c>
      <c r="K17" s="74">
        <v>27</v>
      </c>
      <c r="L17" s="74">
        <v>28</v>
      </c>
      <c r="M17" s="74">
        <v>28</v>
      </c>
      <c r="N17" s="74">
        <v>25</v>
      </c>
      <c r="O17" s="74">
        <v>28</v>
      </c>
      <c r="P17" s="74">
        <v>27</v>
      </c>
      <c r="Q17" s="74">
        <v>28</v>
      </c>
      <c r="R17" s="74">
        <v>28</v>
      </c>
      <c r="S17" s="74">
        <v>28</v>
      </c>
      <c r="T17" s="74">
        <v>26</v>
      </c>
      <c r="U17" s="74">
        <v>25</v>
      </c>
      <c r="V17" s="74">
        <v>28</v>
      </c>
      <c r="W17" s="74">
        <v>26</v>
      </c>
      <c r="X17" s="74">
        <v>26</v>
      </c>
      <c r="Y17" s="108">
        <v>26</v>
      </c>
      <c r="Z17" s="74">
        <v>26</v>
      </c>
      <c r="AA17" s="74">
        <v>26</v>
      </c>
      <c r="AB17" s="74">
        <v>28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3076</v>
      </c>
      <c r="F18" s="71">
        <v>3486</v>
      </c>
      <c r="G18" s="71">
        <v>3788</v>
      </c>
      <c r="H18" s="71">
        <v>1825</v>
      </c>
      <c r="I18" s="71">
        <v>118</v>
      </c>
      <c r="J18" s="71">
        <v>1655</v>
      </c>
      <c r="K18" s="71">
        <v>325</v>
      </c>
      <c r="L18" s="71">
        <v>3229</v>
      </c>
      <c r="M18" s="71">
        <v>928</v>
      </c>
      <c r="N18" s="71">
        <v>3204</v>
      </c>
      <c r="O18" s="71">
        <v>6072</v>
      </c>
      <c r="P18" s="71">
        <v>7159</v>
      </c>
      <c r="Q18" s="71">
        <v>0</v>
      </c>
      <c r="R18" s="71">
        <v>3511</v>
      </c>
      <c r="S18" s="71">
        <v>6918</v>
      </c>
      <c r="T18" s="71">
        <v>2757</v>
      </c>
      <c r="U18" s="71">
        <v>4670</v>
      </c>
      <c r="V18" s="71">
        <v>2371</v>
      </c>
      <c r="W18" s="71">
        <v>-792</v>
      </c>
      <c r="X18" s="71">
        <v>26</v>
      </c>
      <c r="Y18" s="109">
        <v>-9906</v>
      </c>
      <c r="Z18" s="71">
        <v>0</v>
      </c>
      <c r="AA18" s="71">
        <v>4228</v>
      </c>
      <c r="AB18" s="71">
        <v>2366</v>
      </c>
      <c r="AC18" s="71">
        <v>0</v>
      </c>
      <c r="AD18" s="71">
        <v>85.61</v>
      </c>
      <c r="AE18" s="71">
        <v>40.909999999999997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48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20329.717715999999</v>
      </c>
      <c r="F19" s="73" ph="1">
        <f>F18*9.0746*LOOKUP(F20,密度!$A$2:$A$50,密度!$L$2:$L$50)</f>
        <v>29546.2079304</v>
      </c>
      <c r="G19" s="73" ph="1">
        <f>G18*9.0746*LOOKUP(G20,密度!$A$2:$A$50,密度!$B$2:$B$50)</f>
        <v>26767.489183760001</v>
      </c>
      <c r="H19" s="73" ph="1">
        <f>H18*9.0746*LOOKUP(H20,密度!$A$2:$A$50,密度!$L$2:$L$50)</f>
        <v>15352.181415000001</v>
      </c>
      <c r="I19" s="73" ph="1">
        <f>I18*9.0746*LOOKUP(I20,密度!$A$2:$A$50,密度!$U$2:$U$50)</f>
        <v>1097.5728699999997</v>
      </c>
      <c r="J19" s="73" ph="1">
        <f>J18*9.0746*LOOKUP(J20,密度!$A$2:$A$50,密度!$L$2:$L$50)</f>
        <v>14042.262905000001</v>
      </c>
      <c r="K19" s="73" ph="1">
        <f>K18*9.0746*LOOKUP(K20,密度!$A$2:$A$50,密度!$C$2:$C$50)</f>
        <v>3270.4177804999999</v>
      </c>
      <c r="L19" s="73" ph="1">
        <f>L18*9.0746*LOOKUP(L20,密度!$A$2:$A$50,密度!$E$2:$E$50)</f>
        <v>22884.770935400004</v>
      </c>
      <c r="M19" s="73" ph="1">
        <f>M18*9.0746*LOOKUP(M20,密度!$A$2:$A$50,密度!$M$2:$M$50)</f>
        <v>7352.5748652800003</v>
      </c>
      <c r="N19" s="73" ph="1">
        <f>N18*9.0746*LOOKUP(N20,密度!$A$2:$A$50,密度!$M$2:$M$50)</f>
        <v>25414.473583440002</v>
      </c>
      <c r="O19" s="73" ph="1">
        <f>O18*9.0746*LOOKUP(O20,密度!$A$2:$A$50,密度!$G$2:$G$50)</f>
        <v>52731.629438399999</v>
      </c>
      <c r="P19" s="73" ph="1">
        <f ca="1">P18*9.0746*LOOKUP(P20,密度!$A$2:$A$51,密度!$Q$2:$Q$50)</f>
        <v>61412.771842647999</v>
      </c>
      <c r="Q19" s="73" ph="1">
        <f>Q18*9.0746*LOOKUP(Q20,密度!$A$2:$A$50,密度!$Q$2:$Q$50)</f>
        <v>0</v>
      </c>
      <c r="R19" s="73" ph="1">
        <f>MAX(R18*9.0746*LOOKUP(R20,密度!$A$2:$A$50,密度!$B$2:$B$50),0)</f>
        <v>24730.446569719999</v>
      </c>
      <c r="S19" s="73" ph="1">
        <f>S18*9.0746*LOOKUP(S20,密度!$A$2:$A$50,密度!$Q$2:$Q$50)</f>
        <v>59301.432574536004</v>
      </c>
      <c r="T19" s="73" ph="1">
        <f>T18*9.0746*LOOKUP(T20,密度!$A$2:$A$50,密度!$O$2:$O$50)</f>
        <v>23167.290457200001</v>
      </c>
      <c r="U19" s="73" ph="1">
        <f>U18*9.0746*LOOKUP(U20,密度!$A$2:$A$50,密度!$H$2:$H$50)</f>
        <v>38687.224927800002</v>
      </c>
      <c r="V19" s="73" ph="1">
        <f>MAX(5600*LOOKUP(V20,密度!$A$2:$A$50,密度!$Q$2:$Q$50)+V18*9.0476*LOOKUP(V20,密度!$A$2:$A$50,密度!$Q$2:$Q$50),0)</f>
        <v>25553.727615352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6074.482341599999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29876.701232559997</v>
      </c>
      <c r="AB19" s="73" ph="1">
        <f>AB18*9.0746*LOOKUP(AB20,密度!$A$2:$A$50,密度!$L$2:$L$50)</f>
        <v>20053.450362400003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19089.098859600002</v>
      </c>
      <c r="AE19" s="73" ph="1">
        <f>AE18*268.68*LOOKUP(AE20,密度!$A$2:$A$50,密度!B5:B53)+IF(AE18&lt;=0,0,1566*LOOKUP(AE20,密度!$A$2:$A$50,密度!B5:B53))</f>
        <v>9757.3319675999992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27</v>
      </c>
      <c r="E20" s="81">
        <v>27</v>
      </c>
      <c r="F20" s="81">
        <v>28</v>
      </c>
      <c r="G20" s="81">
        <v>26</v>
      </c>
      <c r="H20" s="81">
        <v>35</v>
      </c>
      <c r="I20" s="81">
        <v>25</v>
      </c>
      <c r="J20" s="81">
        <v>27</v>
      </c>
      <c r="K20" s="81">
        <v>25</v>
      </c>
      <c r="L20" s="81">
        <v>27</v>
      </c>
      <c r="M20" s="81">
        <v>27</v>
      </c>
      <c r="N20" s="81">
        <v>26</v>
      </c>
      <c r="O20" s="81">
        <v>28</v>
      </c>
      <c r="P20" s="81">
        <v>27</v>
      </c>
      <c r="Q20" s="81">
        <v>25</v>
      </c>
      <c r="R20" s="81">
        <v>29</v>
      </c>
      <c r="S20" s="81">
        <v>28</v>
      </c>
      <c r="T20" s="81">
        <v>26</v>
      </c>
      <c r="U20" s="81">
        <v>27</v>
      </c>
      <c r="V20" s="81">
        <v>28</v>
      </c>
      <c r="W20" s="81">
        <v>26</v>
      </c>
      <c r="X20" s="81">
        <v>26</v>
      </c>
      <c r="Y20" s="110">
        <v>25</v>
      </c>
      <c r="Z20" s="81">
        <v>25</v>
      </c>
      <c r="AA20" s="81">
        <v>26</v>
      </c>
      <c r="AB20" s="81">
        <v>28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48" t="s" ph="1">
        <v>178</v>
      </c>
      <c r="D24" s="71">
        <v>91.03</v>
      </c>
      <c r="E24" s="71">
        <v>95.71</v>
      </c>
      <c r="F24" s="71">
        <v>3999</v>
      </c>
      <c r="G24" s="71">
        <v>2492</v>
      </c>
      <c r="H24" s="71">
        <v>3095</v>
      </c>
      <c r="I24" s="71">
        <v>3298</v>
      </c>
      <c r="J24" s="71">
        <v>5410</v>
      </c>
      <c r="K24" s="71">
        <v>38</v>
      </c>
      <c r="L24" s="71">
        <v>1133</v>
      </c>
      <c r="M24" s="71">
        <v>5254</v>
      </c>
      <c r="N24" s="71">
        <v>5327</v>
      </c>
      <c r="O24" s="71">
        <v>3692</v>
      </c>
      <c r="P24" s="71">
        <v>885</v>
      </c>
      <c r="Q24" s="90">
        <v>2372</v>
      </c>
      <c r="R24" s="71">
        <v>1745</v>
      </c>
      <c r="S24" s="71">
        <v>1587</v>
      </c>
      <c r="T24" s="71">
        <v>1762</v>
      </c>
      <c r="U24" s="71">
        <v>4936</v>
      </c>
      <c r="V24" s="71">
        <v>9637</v>
      </c>
      <c r="W24" s="71">
        <v>10737</v>
      </c>
      <c r="X24" s="71">
        <v>2698</v>
      </c>
      <c r="Y24" s="71">
        <v>4310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44204.719016760006</v>
      </c>
      <c r="G25" s="91" ph="1">
        <f>G24*18.322*LOOKUP(G26,密度!$A$2:$A$50,密度!$B$2:$B$50)</f>
        <v>35476.595448</v>
      </c>
      <c r="H25" s="91" ph="1">
        <f>H24*18.322*LOOKUP(H26,密度!$A$2:$A$50,密度!$B$2:$B$50)</f>
        <v>44061.020429999997</v>
      </c>
      <c r="I25" s="91" ph="1">
        <f>I24*18.322*LOOKUP(I26,密度!$A$2:$A$50,密度!$Q$2:$Q$50)</f>
        <v>57121.864725920001</v>
      </c>
      <c r="J25" s="91" ph="1">
        <f>J24*18.322*LOOKUP(J26,密度!$A$2:$A$50,密度!$Q$2:$Q$50)</f>
        <v>93702.02794639999</v>
      </c>
      <c r="K25" s="91" ph="1">
        <f>K24*18.322*LOOKUP(K26,密度!$A$2:$A$50,密度!$Q$2:$Q$50)</f>
        <v>658.66014308000001</v>
      </c>
      <c r="L25" s="91" ph="1">
        <f>L24*18.322*LOOKUP(L26,密度!$A$2:$A$50,密度!$Q$2:$Q$50)</f>
        <v>19623.733394319999</v>
      </c>
      <c r="M25" s="91" ph="1">
        <f>M24*18.322*LOOKUP(M26,密度!$A$2:$A$50,密度!$Q$2:$Q$50)</f>
        <v>91000.084072160011</v>
      </c>
      <c r="N25" s="91" ph="1">
        <f>N24*18.322*LOOKUP(N26,密度!$A$2:$A$50,密度!$Q$2:$Q$50)</f>
        <v>92196.134338279997</v>
      </c>
      <c r="O25" s="91" ph="1">
        <f>O24*18.322*LOOKUP(O26,密度!$A$2:$A$50,密度!$C$2:$C$50)</f>
        <v>74855.762238399999</v>
      </c>
      <c r="P25" s="91" ph="1">
        <f>P24*11.702*LOOKUP(P26,密度!$A$2:$A$50,密度!$B$2:$B$50)</f>
        <v>8046.8217900000009</v>
      </c>
      <c r="Q25" s="92" ph="1">
        <f>Q24*18.322*LOOKUP(Q26,密度!$A$2:$A$50,密度!$B$2:$B$50)</f>
        <v>33807.365973600005</v>
      </c>
      <c r="R25" s="91" ph="1">
        <f>R24*35.891*LOOKUP(R26,密度!$A$2:$A$50,密度!$C$2:$C$50)</f>
        <v>69356.234982999988</v>
      </c>
      <c r="S25" s="91" ph="1">
        <f>S24*35.891*LOOKUP(S26,密度!$A$2:$A$50,密度!$B$2:$B$50)</f>
        <v>44308.419324300005</v>
      </c>
      <c r="T25" s="91" ph="1">
        <f>T24*35.891*LOOKUP(T26,密度!$A$2:$A$50,密度!$Q$2:$Q$50)</f>
        <v>59826.882330259999</v>
      </c>
      <c r="U25" s="91" ph="1">
        <f>U24*35.891</f>
        <v>177157.976</v>
      </c>
      <c r="V25" s="91" ph="1">
        <f>V24*47.051*LOOKUP(V26,密度!$A$2:$A$50,密度!$B$2:$B$50)</f>
        <v>352723.57583730004</v>
      </c>
      <c r="W25" s="91" ph="1">
        <f>W24*47.051*LOOKUP(W26,密度!$A$2:$A$50,密度!$B$2:$B$50)</f>
        <v>392529.978099</v>
      </c>
      <c r="X25" s="91" ph="1">
        <f>X24*47.051*LOOKUP(X26,密度!$A$2:$A$50,密度!$I$2:$I$50)</f>
        <v>132021.34192000001</v>
      </c>
      <c r="Y25" s="91" ph="1">
        <f>Y24*47.051*LOOKUP(Y26,密度!$A$2:$A$50,密度!$L$2:$L$50)</f>
        <v>189405.68254000001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27</v>
      </c>
      <c r="J26" s="74">
        <v>27</v>
      </c>
      <c r="K26" s="74">
        <v>26</v>
      </c>
      <c r="L26" s="74">
        <v>27</v>
      </c>
      <c r="M26" s="74">
        <v>27</v>
      </c>
      <c r="N26" s="74">
        <v>28</v>
      </c>
      <c r="O26" s="74">
        <v>28</v>
      </c>
      <c r="P26" s="74">
        <v>28</v>
      </c>
      <c r="Q26" s="93">
        <v>27</v>
      </c>
      <c r="R26" s="74">
        <v>27</v>
      </c>
      <c r="S26" s="74">
        <v>27</v>
      </c>
      <c r="T26" s="74">
        <v>26</v>
      </c>
      <c r="U26" s="74">
        <v>28</v>
      </c>
      <c r="V26" s="74">
        <v>27</v>
      </c>
      <c r="W26" s="74">
        <v>28</v>
      </c>
      <c r="X26" s="74">
        <v>27</v>
      </c>
      <c r="Y26" s="74">
        <v>28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48" t="s" ph="1">
        <v>181</v>
      </c>
      <c r="D27" s="71">
        <v>90.91</v>
      </c>
      <c r="E27" s="71">
        <v>95.71</v>
      </c>
      <c r="F27" s="71">
        <v>3997</v>
      </c>
      <c r="G27" s="71">
        <v>2129</v>
      </c>
      <c r="H27" s="71">
        <v>2580</v>
      </c>
      <c r="I27" s="71">
        <v>3295</v>
      </c>
      <c r="J27" s="71">
        <v>5408</v>
      </c>
      <c r="K27" s="71">
        <v>38</v>
      </c>
      <c r="L27" s="71">
        <v>1132</v>
      </c>
      <c r="M27" s="71">
        <v>5252</v>
      </c>
      <c r="N27" s="71">
        <v>5324</v>
      </c>
      <c r="O27" s="71">
        <v>3691</v>
      </c>
      <c r="P27" s="71">
        <v>884</v>
      </c>
      <c r="Q27" s="90">
        <v>2821</v>
      </c>
      <c r="R27" s="71">
        <v>1744</v>
      </c>
      <c r="S27" s="71">
        <v>1586</v>
      </c>
      <c r="T27" s="71">
        <v>1762</v>
      </c>
      <c r="U27" s="71">
        <v>6030</v>
      </c>
      <c r="V27" s="71">
        <v>9638</v>
      </c>
      <c r="W27" s="71">
        <v>10735</v>
      </c>
      <c r="X27" s="71">
        <v>1849</v>
      </c>
      <c r="Y27" s="71">
        <v>4885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48" t="s" ph="1">
        <v>179</v>
      </c>
      <c r="D28" s="91" ph="1">
        <f>D27*268.68*LOOKUP(D29,密度!$A$2:$A$50,密度!$Q$2:$Q$50)+IF(D27&lt;=0,0,1566*LOOKUP(D29,密度!$A$2:$A$50,密度!$Q$2:$Q$50))</f>
        <v>24607.380921912001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44215.35215608</v>
      </c>
      <c r="G28" s="91" ph="1">
        <f>G27*18.322*LOOKUP(G29,密度!$A$2:$A$50,密度!$B$2:$B$50)</f>
        <v>30308.857026000001</v>
      </c>
      <c r="H28" s="91" ph="1">
        <f>H27*18.322*LOOKUP(H29,密度!$A$2:$A$50,密度!$B$2:$B$50)</f>
        <v>36729.380519999999</v>
      </c>
      <c r="I28" s="91" ph="1">
        <f>I27*18.322*LOOKUP(I29,密度!$A$2:$A$50,密度!$Q$2:$Q$50)</f>
        <v>57069.904266800004</v>
      </c>
      <c r="J28" s="91" ph="1">
        <f>J27*18.322*LOOKUP(J29,密度!$A$2:$A$50,密度!$Q$2:$Q$50)</f>
        <v>93598.027877119996</v>
      </c>
      <c r="K28" s="91" ph="1">
        <f>K27*18.322*LOOKUP(K29,密度!$A$2:$A$50,密度!$Q$2:$Q$50)</f>
        <v>657.67845032000002</v>
      </c>
      <c r="L28" s="91" ph="1">
        <f>L27*18.322*LOOKUP(L29,密度!$A$2:$A$50,密度!$Q$2:$Q$50)</f>
        <v>19606.413241280003</v>
      </c>
      <c r="M28" s="91" ph="1">
        <f>M27*18.322*LOOKUP(M29,密度!$A$2:$A$50,密度!$Q$2:$Q$50)</f>
        <v>90898.08476528</v>
      </c>
      <c r="N28" s="91" ph="1">
        <f>N27*18.322*LOOKUP(N29,密度!$A$2:$A$50,密度!$Q$2:$Q$50)</f>
        <v>92144.212355359996</v>
      </c>
      <c r="O28" s="91" ph="1">
        <f>O27*18.322*LOOKUP(O29,密度!$A$2:$A$50,密度!$C$2:$C$50)</f>
        <v>74889.588314799985</v>
      </c>
      <c r="P28" s="91" ph="1">
        <f>P27*11.702*LOOKUP(P29,密度!$A$2:$A$50,密度!$B$2:$B$50)</f>
        <v>8047.0394471999998</v>
      </c>
      <c r="Q28" s="92" ph="1">
        <f>Q27*18.322*LOOKUP(Q29,密度!$A$2:$A$50,密度!$B$2:$B$50)</f>
        <v>40248.170089399995</v>
      </c>
      <c r="R28" s="91" ph="1">
        <f>R27*35.891*LOOKUP(R29,密度!$A$2:$A$50,密度!$C$2:$C$50)</f>
        <v>69316.489289599995</v>
      </c>
      <c r="S28" s="91" ph="1">
        <f>S27*35.891*LOOKUP(S29,密度!$A$2:$A$50,密度!$B$2:$B$50)</f>
        <v>44280.499715400001</v>
      </c>
      <c r="T28" s="91" ph="1">
        <f>T27*35.891*LOOKUP(T29,密度!$A$2:$A$50,密度!$Q$2:$Q$50)</f>
        <v>59737.71401204</v>
      </c>
      <c r="U28" s="91" ph="1">
        <f>U27*35.891</f>
        <v>216422.72999999998</v>
      </c>
      <c r="V28" s="91" ph="1">
        <f>V27*47.051*LOOKUP(V29,密度!$A$2:$A$50,密度!$B$2:$B$50)</f>
        <v>352352.04702599999</v>
      </c>
      <c r="W28" s="91" ph="1">
        <f>W27*47.051*LOOKUP(W29,密度!$A$2:$A$50,密度!$B$2:$B$50)</f>
        <v>392911.44408150006</v>
      </c>
      <c r="X28" s="91" ph="1">
        <f>X27*47.051*LOOKUP(X29,密度!$A$2:$A$50,密度!$I$2:$I$50)</f>
        <v>90381.493931099991</v>
      </c>
      <c r="Y28" s="91" ph="1">
        <f>Y27*47.051*LOOKUP(Y29,密度!$A$2:$A$50,密度!$L$2:$L$50)</f>
        <v>214674.42209000001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48" t="s" ph="1">
        <v>180</v>
      </c>
      <c r="D29" s="74">
        <v>25</v>
      </c>
      <c r="E29" s="74">
        <v>25</v>
      </c>
      <c r="F29" s="74">
        <v>27</v>
      </c>
      <c r="G29" s="74">
        <v>28</v>
      </c>
      <c r="H29" s="74">
        <v>28</v>
      </c>
      <c r="I29" s="74">
        <v>27</v>
      </c>
      <c r="J29" s="74">
        <v>28</v>
      </c>
      <c r="K29" s="74">
        <v>28</v>
      </c>
      <c r="L29" s="74">
        <v>27</v>
      </c>
      <c r="M29" s="74">
        <v>28</v>
      </c>
      <c r="N29" s="74">
        <v>28</v>
      </c>
      <c r="O29" s="74">
        <v>27</v>
      </c>
      <c r="P29" s="74">
        <v>27</v>
      </c>
      <c r="Q29" s="93">
        <v>26</v>
      </c>
      <c r="R29" s="74">
        <v>27</v>
      </c>
      <c r="S29" s="74">
        <v>27</v>
      </c>
      <c r="T29" s="74">
        <v>28</v>
      </c>
      <c r="U29" s="74">
        <v>28</v>
      </c>
      <c r="V29" s="74">
        <v>28</v>
      </c>
      <c r="W29" s="74">
        <v>27</v>
      </c>
      <c r="X29" s="74">
        <v>28</v>
      </c>
      <c r="Y29" s="74">
        <v>28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126205.2443985</v>
      </c>
      <c r="E33" s="205" ph="1">
        <f>M10+I10</f>
        <v>103439.40062370001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31" ph="1">
        <v>0</v>
      </c>
      <c r="H33" s="205" ph="1">
        <f>N19</f>
        <v>25414.473583440002</v>
      </c>
      <c r="I33" s="209" ph="1">
        <v>0</v>
      </c>
      <c r="J33" s="213" ph="1">
        <f>F10+O28</f>
        <v>337543.92397539999</v>
      </c>
      <c r="K33" s="205" ph="1">
        <f>O10+K10+E28+R28</f>
        <v>128789.50032491999</v>
      </c>
      <c r="L33" s="215" ph="1">
        <f>BE27</f>
        <v>7100</v>
      </c>
      <c r="M33" s="213" ph="1">
        <f>G10+H10+W28+S28+V28+E10</f>
        <v>1305408.2546289</v>
      </c>
      <c r="N33" s="205" ph="1">
        <f>L10+P10++G28+H28</f>
        <v>166457.78697799999</v>
      </c>
      <c r="O33" s="209" ph="1">
        <f>BE17</f>
        <v>2270</v>
      </c>
      <c r="P33" s="213" ph="1">
        <f>L19</f>
        <v>22884.770935400004</v>
      </c>
      <c r="Q33" s="205" ph="1">
        <f>J10+N10</f>
        <v>124893.0242516</v>
      </c>
      <c r="R33" s="209" ph="1">
        <f>BE23</f>
        <v>890</v>
      </c>
      <c r="S33" s="213" ph="1">
        <f>E10+X28</f>
        <v>279136.13127509999</v>
      </c>
      <c r="T33" s="205" ph="1">
        <f>X19</f>
        <v>6074.482341599999</v>
      </c>
      <c r="U33" s="194" ph="1">
        <f>BE21</f>
        <v>730</v>
      </c>
      <c r="V33" s="207" ph="1">
        <f ca="1">P19+Q19+S19+M28+N28+J28</f>
        <v>397354.529414944</v>
      </c>
      <c r="W33" s="207" ph="1">
        <f>D28+F28+V19+T28</f>
        <v>154114.17470538401</v>
      </c>
      <c r="X33" s="209" ph="1">
        <f>BE29+BE31</f>
        <v>10200</v>
      </c>
      <c r="Y33" s="211" ph="1">
        <f>+Q10+R10+S10+T10+U10+V10+W10+X10+Y10</f>
        <v>185060.45776680001</v>
      </c>
      <c r="Z33" s="192" ph="1">
        <f>D10+T19+U19+Y28+Z10</f>
        <v>579090.26122976001</v>
      </c>
      <c r="AA33" s="194" ph="1">
        <f>BE19</f>
        <v>1440</v>
      </c>
      <c r="AB33" s="196" ph="1">
        <f>I19</f>
        <v>1097.5728699999997</v>
      </c>
      <c r="AC33" s="198" ph="1">
        <f>AD10</f>
        <v>86379.40578239999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50" t="s" ph="1">
        <v>186</v>
      </c>
      <c r="AA36" s="150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345</v>
      </c>
      <c r="AI37" s="150" t="s" ph="1">
        <v>212</v>
      </c>
      <c r="AJ37" s="150" t="s" ph="1">
        <v>213</v>
      </c>
      <c r="AK37" s="150" t="s" ph="1">
        <v>214</v>
      </c>
      <c r="AM37" s="150" t="s" ph="1">
        <v>213</v>
      </c>
      <c r="AN37" s="150" t="s" ph="1">
        <v>214</v>
      </c>
      <c r="AO37" s="150" t="s" ph="1">
        <v>215</v>
      </c>
      <c r="AP37" s="150" t="s" ph="1">
        <v>213</v>
      </c>
      <c r="AQ37" s="150" t="s" ph="1">
        <v>214</v>
      </c>
      <c r="AR37" s="150" t="s" ph="1">
        <v>215</v>
      </c>
      <c r="AS37" s="150" t="s" ph="1">
        <v>213</v>
      </c>
      <c r="AT37" s="150" t="s" ph="1">
        <v>214</v>
      </c>
      <c r="AU37" s="150" t="s" ph="1">
        <v>215</v>
      </c>
      <c r="AV37" s="150" t="s" ph="1">
        <v>213</v>
      </c>
      <c r="AW37" s="150" t="s" ph="1">
        <v>214</v>
      </c>
      <c r="AX37" s="150" t="s" ph="1">
        <v>215</v>
      </c>
      <c r="AY37" s="150" t="s" ph="1">
        <v>214</v>
      </c>
      <c r="AZ37" s="150" t="s" ph="1">
        <v>216</v>
      </c>
      <c r="BD37" s="150" t="s" ph="1">
        <v>308</v>
      </c>
      <c r="BE37" s="15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39" priority="97">
      <formula>ABS(D$7-D$10)&gt;=1000</formula>
    </cfRule>
  </conditionalFormatting>
  <conditionalFormatting sqref="E4 E6:E11">
    <cfRule type="expression" dxfId="2538" priority="96">
      <formula>ABS(E$7-E$10)&gt;=1000</formula>
    </cfRule>
  </conditionalFormatting>
  <conditionalFormatting sqref="F4:F11">
    <cfRule type="expression" dxfId="2537" priority="95">
      <formula>ABS(F$7-F$10)&gt;=1000</formula>
    </cfRule>
  </conditionalFormatting>
  <conditionalFormatting sqref="G4:G11">
    <cfRule type="expression" dxfId="2536" priority="94">
      <formula>ABS(G$7-G$10)&gt;=1000</formula>
    </cfRule>
  </conditionalFormatting>
  <conditionalFormatting sqref="H4:H11">
    <cfRule type="expression" dxfId="2535" priority="93">
      <formula>ABS(H$7-H$10)&gt;=1000</formula>
    </cfRule>
  </conditionalFormatting>
  <conditionalFormatting sqref="I4:I11">
    <cfRule type="expression" dxfId="2534" priority="92">
      <formula>ABS(I$7-I$10)&gt;=1000</formula>
    </cfRule>
  </conditionalFormatting>
  <conditionalFormatting sqref="J4:J11">
    <cfRule type="expression" dxfId="2533" priority="91">
      <formula>ABS(J$7-J$10)&gt;=1000</formula>
    </cfRule>
  </conditionalFormatting>
  <conditionalFormatting sqref="K4:K11">
    <cfRule type="expression" dxfId="2532" priority="90">
      <formula>ABS(K$7-K$10)&gt;=1000</formula>
    </cfRule>
  </conditionalFormatting>
  <conditionalFormatting sqref="L4:L11">
    <cfRule type="expression" dxfId="2531" priority="89">
      <formula>ABS(L$7-L$10)&gt;=1000</formula>
    </cfRule>
  </conditionalFormatting>
  <conditionalFormatting sqref="M4 M6:M11">
    <cfRule type="expression" dxfId="2530" priority="88">
      <formula>ABS(M$7-M$10)&gt;=1000</formula>
    </cfRule>
  </conditionalFormatting>
  <conditionalFormatting sqref="N4 N6:N11">
    <cfRule type="expression" dxfId="2529" priority="87">
      <formula>ABS(N$7-N$10)&gt;=1000</formula>
    </cfRule>
  </conditionalFormatting>
  <conditionalFormatting sqref="O4 O6:O11">
    <cfRule type="expression" dxfId="2528" priority="86">
      <formula>ABS(O$7-O$10)&gt;=1000</formula>
    </cfRule>
  </conditionalFormatting>
  <conditionalFormatting sqref="P4 P6:P11">
    <cfRule type="expression" dxfId="2527" priority="85">
      <formula>ABS(P$7-P$10)&gt;=1000</formula>
    </cfRule>
  </conditionalFormatting>
  <conditionalFormatting sqref="Q4:Q11">
    <cfRule type="expression" dxfId="2526" priority="84">
      <formula>ABS(Q$7-Q$10)&gt;=1000</formula>
    </cfRule>
  </conditionalFormatting>
  <conditionalFormatting sqref="R4:R11">
    <cfRule type="expression" dxfId="2525" priority="83">
      <formula>ABS(R$7-R$10)&gt;=1000</formula>
    </cfRule>
  </conditionalFormatting>
  <conditionalFormatting sqref="S4:S11">
    <cfRule type="expression" dxfId="2524" priority="82">
      <formula>ABS(S$7-S$10)&gt;=1000</formula>
    </cfRule>
  </conditionalFormatting>
  <conditionalFormatting sqref="T4:T9 T11">
    <cfRule type="expression" dxfId="2523" priority="81">
      <formula>ABS(T$7-T$10)&gt;=1000</formula>
    </cfRule>
  </conditionalFormatting>
  <conditionalFormatting sqref="U4:U9 U11">
    <cfRule type="expression" dxfId="2522" priority="80">
      <formula>ABS(U$7-U$10)&gt;=1000</formula>
    </cfRule>
  </conditionalFormatting>
  <conditionalFormatting sqref="V4:V9 V11">
    <cfRule type="expression" dxfId="2521" priority="79">
      <formula>ABS(V$7-V$10)&gt;=1000</formula>
    </cfRule>
  </conditionalFormatting>
  <conditionalFormatting sqref="W4:W9 W11">
    <cfRule type="expression" dxfId="2520" priority="78">
      <formula>ABS(W$7-W$10)&gt;=1000</formula>
    </cfRule>
  </conditionalFormatting>
  <conditionalFormatting sqref="X4:X9 X11">
    <cfRule type="expression" dxfId="2519" priority="77">
      <formula>ABS(X$7-X$10)&gt;=1000</formula>
    </cfRule>
  </conditionalFormatting>
  <conditionalFormatting sqref="Y4:Y9 Y11">
    <cfRule type="expression" dxfId="2518" priority="76">
      <formula>ABS(Y$7-Y$10)&gt;=1000</formula>
    </cfRule>
  </conditionalFormatting>
  <conditionalFormatting sqref="Z4:Z11">
    <cfRule type="expression" dxfId="2517" priority="75">
      <formula>ABS(Z$7-Z$10)&gt;=1000</formula>
    </cfRule>
  </conditionalFormatting>
  <conditionalFormatting sqref="AA4:AA11">
    <cfRule type="expression" dxfId="2516" priority="74">
      <formula>ABS(AA$7-AA$10)&gt;=1000</formula>
    </cfRule>
  </conditionalFormatting>
  <conditionalFormatting sqref="AB4:AB11">
    <cfRule type="expression" dxfId="2515" priority="73">
      <formula>ABS(AB$7-AB$10)&gt;=1000</formula>
    </cfRule>
  </conditionalFormatting>
  <conditionalFormatting sqref="AC4 AC6:AC11">
    <cfRule type="expression" dxfId="2514" priority="72">
      <formula>ABS(AC$7-AC$10)&gt;=1000</formula>
    </cfRule>
  </conditionalFormatting>
  <conditionalFormatting sqref="AD4:AD11">
    <cfRule type="expression" dxfId="2513" priority="71">
      <formula>ABS(AD$7-AD$10)&gt;=1000</formula>
    </cfRule>
  </conditionalFormatting>
  <conditionalFormatting sqref="AE4:AE11">
    <cfRule type="expression" dxfId="2512" priority="70">
      <formula>ABS(AE$7-AE$10)&gt;=1000</formula>
    </cfRule>
  </conditionalFormatting>
  <conditionalFormatting sqref="D13:D20">
    <cfRule type="expression" dxfId="2511" priority="69">
      <formula>ABS(D$16-D$19)&gt;=1000</formula>
    </cfRule>
  </conditionalFormatting>
  <conditionalFormatting sqref="E13:E20">
    <cfRule type="expression" dxfId="2510" priority="68">
      <formula>ABS(E$16-E$19)&gt;=1000</formula>
    </cfRule>
  </conditionalFormatting>
  <conditionalFormatting sqref="F13 F15:F20">
    <cfRule type="expression" dxfId="2509" priority="67">
      <formula>ABS(F$16-F$19)&gt;=1000</formula>
    </cfRule>
  </conditionalFormatting>
  <conditionalFormatting sqref="G13:G20">
    <cfRule type="expression" dxfId="2508" priority="66">
      <formula>ABS(G$16-G$19)&gt;=1000</formula>
    </cfRule>
  </conditionalFormatting>
  <conditionalFormatting sqref="H13:H20">
    <cfRule type="expression" dxfId="2507" priority="65">
      <formula>ABS(H$16-H$19)&gt;=1000</formula>
    </cfRule>
  </conditionalFormatting>
  <conditionalFormatting sqref="I13:I20">
    <cfRule type="expression" dxfId="2506" priority="64">
      <formula>ABS(I$16-I$19)&gt;=1000</formula>
    </cfRule>
  </conditionalFormatting>
  <conditionalFormatting sqref="J13:J20">
    <cfRule type="expression" dxfId="2505" priority="63">
      <formula>ABS(J$16-J$19)&gt;=1000</formula>
    </cfRule>
  </conditionalFormatting>
  <conditionalFormatting sqref="L13:L20">
    <cfRule type="expression" dxfId="2504" priority="62">
      <formula>ABS(L$16-L$19)&gt;=1000</formula>
    </cfRule>
  </conditionalFormatting>
  <conditionalFormatting sqref="M13 M15 M17:M18 M20">
    <cfRule type="expression" dxfId="2503" priority="61">
      <formula>ABS(M$16-M$19)&gt;=1000</formula>
    </cfRule>
  </conditionalFormatting>
  <conditionalFormatting sqref="N13:N20">
    <cfRule type="expression" dxfId="2502" priority="60">
      <formula>ABS(N$16-N$19)&gt;=1000</formula>
    </cfRule>
  </conditionalFormatting>
  <conditionalFormatting sqref="O13:O20">
    <cfRule type="expression" dxfId="2501" priority="59">
      <formula>ABS(O$16-O$19)&gt;=1000</formula>
    </cfRule>
  </conditionalFormatting>
  <conditionalFormatting sqref="P13:P20">
    <cfRule type="expression" dxfId="2500" priority="58">
      <formula>ABS(P$16-P$19)&gt;=1000</formula>
    </cfRule>
  </conditionalFormatting>
  <conditionalFormatting sqref="Q13 Q15:Q20">
    <cfRule type="expression" dxfId="2499" priority="57">
      <formula>ABS(Q$16-Q$19)&gt;=1000</formula>
    </cfRule>
  </conditionalFormatting>
  <conditionalFormatting sqref="R13:R20">
    <cfRule type="expression" dxfId="2498" priority="56">
      <formula>ABS(R$16-R$19)&gt;=1000</formula>
    </cfRule>
  </conditionalFormatting>
  <conditionalFormatting sqref="S13:S20">
    <cfRule type="expression" dxfId="2497" priority="55">
      <formula>ABS(S$16-S$19)&gt;=1000</formula>
    </cfRule>
  </conditionalFormatting>
  <conditionalFormatting sqref="T13:T20">
    <cfRule type="expression" dxfId="2496" priority="54">
      <formula>ABS(T$16-T$19)&gt;=1000</formula>
    </cfRule>
  </conditionalFormatting>
  <conditionalFormatting sqref="U13:U20">
    <cfRule type="expression" dxfId="2495" priority="53">
      <formula>ABS(U$16-U$19)&gt;=1000</formula>
    </cfRule>
  </conditionalFormatting>
  <conditionalFormatting sqref="V13:V20">
    <cfRule type="expression" dxfId="2494" priority="52">
      <formula>ABS(V$16-V$19)&gt;=1000</formula>
    </cfRule>
  </conditionalFormatting>
  <conditionalFormatting sqref="W13 W20 W15:W18">
    <cfRule type="expression" dxfId="2493" priority="51">
      <formula>ABS(W$16-W$19)&gt;=1000</formula>
    </cfRule>
  </conditionalFormatting>
  <conditionalFormatting sqref="X13 X15:X20 Y19">
    <cfRule type="expression" dxfId="2492" priority="50">
      <formula>ABS(X$16-X$19)&gt;=1000</formula>
    </cfRule>
  </conditionalFormatting>
  <conditionalFormatting sqref="Y13 Y15:Y18 Y20">
    <cfRule type="expression" dxfId="2491" priority="49">
      <formula>ABS(Y$16-Y$19)&gt;=1000</formula>
    </cfRule>
  </conditionalFormatting>
  <conditionalFormatting sqref="Z13:Z20">
    <cfRule type="expression" dxfId="2490" priority="48">
      <formula>ABS(Z$16-Z$19)&gt;=1000</formula>
    </cfRule>
  </conditionalFormatting>
  <conditionalFormatting sqref="AA13:AA20">
    <cfRule type="expression" dxfId="2489" priority="47">
      <formula>ABS(AA$16-AA$19)&gt;=1000</formula>
    </cfRule>
  </conditionalFormatting>
  <conditionalFormatting sqref="AB13 AB15:AB20">
    <cfRule type="expression" dxfId="2488" priority="46">
      <formula>ABS(AB$16-AB$19)&gt;=1000</formula>
    </cfRule>
  </conditionalFormatting>
  <conditionalFormatting sqref="AC13 AC15:AC20">
    <cfRule type="expression" dxfId="2487" priority="45">
      <formula>ABS(AC$16-AC$19)&gt;=1000</formula>
    </cfRule>
  </conditionalFormatting>
  <conditionalFormatting sqref="AD13:AD20">
    <cfRule type="expression" dxfId="2486" priority="44">
      <formula>ABS(AD$16-AD$19)&gt;=1000</formula>
    </cfRule>
  </conditionalFormatting>
  <conditionalFormatting sqref="AE13:AE20">
    <cfRule type="expression" dxfId="2485" priority="43">
      <formula>ABS(AE$16-AE$19)&gt;=1000</formula>
    </cfRule>
  </conditionalFormatting>
  <conditionalFormatting sqref="D22:D29">
    <cfRule type="expression" dxfId="2484" priority="42">
      <formula>ABS(D$25-D$28)&gt;=1000</formula>
    </cfRule>
  </conditionalFormatting>
  <conditionalFormatting sqref="E22:E29">
    <cfRule type="expression" dxfId="2483" priority="41">
      <formula>ABS(E$25-E$28)&gt;=1000</formula>
    </cfRule>
  </conditionalFormatting>
  <conditionalFormatting sqref="F22:F29">
    <cfRule type="expression" dxfId="2482" priority="40">
      <formula>ABS(F$25-F$28)&gt;=1000</formula>
    </cfRule>
  </conditionalFormatting>
  <conditionalFormatting sqref="G22:G29">
    <cfRule type="expression" dxfId="2481" priority="39">
      <formula>ABS(G$25-G$28)&gt;=1000</formula>
    </cfRule>
  </conditionalFormatting>
  <conditionalFormatting sqref="H22:H29">
    <cfRule type="expression" dxfId="2480" priority="38">
      <formula>ABS(H$25-H$28)&gt;=1000</formula>
    </cfRule>
  </conditionalFormatting>
  <conditionalFormatting sqref="I22 I24:I29">
    <cfRule type="expression" dxfId="2479" priority="37">
      <formula>ABS(I$25-I$28)&gt;=1000</formula>
    </cfRule>
  </conditionalFormatting>
  <conditionalFormatting sqref="J22:J29 K22">
    <cfRule type="expression" dxfId="2478" priority="36">
      <formula>ABS(J$25-J$28)&gt;=1000</formula>
    </cfRule>
  </conditionalFormatting>
  <conditionalFormatting sqref="K23:K29 L25 L28">
    <cfRule type="expression" dxfId="2477" priority="35">
      <formula>ABS(K$25-K$28)&gt;=1000</formula>
    </cfRule>
  </conditionalFormatting>
  <conditionalFormatting sqref="L22 L26:L27 L29 L24">
    <cfRule type="expression" dxfId="2476" priority="34">
      <formula>ABS(L$25-L$28)&gt;=1000</formula>
    </cfRule>
  </conditionalFormatting>
  <conditionalFormatting sqref="M22:M29">
    <cfRule type="expression" dxfId="2475" priority="33">
      <formula>ABS(M$25-M$28)&gt;=1000</formula>
    </cfRule>
  </conditionalFormatting>
  <conditionalFormatting sqref="N22:N29">
    <cfRule type="expression" dxfId="2474" priority="32">
      <formula>ABS(N$25-N$28)&gt;=1000</formula>
    </cfRule>
  </conditionalFormatting>
  <conditionalFormatting sqref="O22:O29">
    <cfRule type="expression" dxfId="2473" priority="31">
      <formula>ABS(O$25-O$28)&gt;=1000</formula>
    </cfRule>
  </conditionalFormatting>
  <conditionalFormatting sqref="P22:P29">
    <cfRule type="expression" dxfId="2472" priority="30">
      <formula>ABS(P$25-P$28)&gt;=1000</formula>
    </cfRule>
  </conditionalFormatting>
  <conditionalFormatting sqref="Q22:Q29">
    <cfRule type="expression" dxfId="2471" priority="29">
      <formula>ABS(Q$25-Q$28)&gt;=1000</formula>
    </cfRule>
  </conditionalFormatting>
  <conditionalFormatting sqref="R22:R29">
    <cfRule type="expression" dxfId="2470" priority="28">
      <formula>ABS(R$25-R$28)&gt;=1000</formula>
    </cfRule>
  </conditionalFormatting>
  <conditionalFormatting sqref="S22:S29">
    <cfRule type="expression" dxfId="2469" priority="27">
      <formula>ABS(S$25-S$28)&gt;=1000</formula>
    </cfRule>
  </conditionalFormatting>
  <conditionalFormatting sqref="T22:T29">
    <cfRule type="expression" dxfId="2468" priority="26">
      <formula>ABS(T$25-T$28)&gt;=1000</formula>
    </cfRule>
  </conditionalFormatting>
  <conditionalFormatting sqref="U22:U29">
    <cfRule type="expression" dxfId="2467" priority="25">
      <formula>ABS(U$25-U$28)&gt;=1000</formula>
    </cfRule>
  </conditionalFormatting>
  <conditionalFormatting sqref="V22:V29">
    <cfRule type="expression" dxfId="2466" priority="24">
      <formula>ABS(V$25-V$28)&gt;=1000</formula>
    </cfRule>
  </conditionalFormatting>
  <conditionalFormatting sqref="W22:W29">
    <cfRule type="expression" dxfId="2465" priority="23">
      <formula>ABS(W$25-W$28)&gt;=1000</formula>
    </cfRule>
  </conditionalFormatting>
  <conditionalFormatting sqref="X22:X29">
    <cfRule type="expression" dxfId="2464" priority="22">
      <formula>ABS(X$25-X$28)&gt;=1000</formula>
    </cfRule>
  </conditionalFormatting>
  <conditionalFormatting sqref="Y22:Y29">
    <cfRule type="expression" dxfId="2463" priority="21">
      <formula>ABS(Y$25-Y$28)&gt;=1000</formula>
    </cfRule>
  </conditionalFormatting>
  <conditionalFormatting sqref="I23">
    <cfRule type="expression" dxfId="2462" priority="20">
      <formula>ABS(I$25-I$28)&gt;=1000</formula>
    </cfRule>
  </conditionalFormatting>
  <conditionalFormatting sqref="F14">
    <cfRule type="expression" dxfId="2461" priority="19">
      <formula>ABS(F$16-F$19)&gt;=1000</formula>
    </cfRule>
  </conditionalFormatting>
  <conditionalFormatting sqref="Q14">
    <cfRule type="expression" dxfId="2460" priority="18">
      <formula>ABS(Q$16-Q$19)&gt;=1000</formula>
    </cfRule>
  </conditionalFormatting>
  <conditionalFormatting sqref="W14">
    <cfRule type="expression" dxfId="2459" priority="17">
      <formula>ABS(W$16-W$19)&gt;=1000</formula>
    </cfRule>
  </conditionalFormatting>
  <conditionalFormatting sqref="Y14">
    <cfRule type="expression" dxfId="2458" priority="16">
      <formula>ABS(Y$16-Y$19)&gt;=1000</formula>
    </cfRule>
  </conditionalFormatting>
  <conditionalFormatting sqref="X14">
    <cfRule type="expression" dxfId="2457" priority="15">
      <formula>ABS(X$16-X$19)&gt;=1000</formula>
    </cfRule>
  </conditionalFormatting>
  <conditionalFormatting sqref="T10:Y10">
    <cfRule type="expression" dxfId="2456" priority="14">
      <formula>ABS(T$7-T$10)&gt;=1000</formula>
    </cfRule>
  </conditionalFormatting>
  <conditionalFormatting sqref="W19">
    <cfRule type="expression" dxfId="2455" priority="13">
      <formula>ABS(W$16-W$19)&gt;=1000</formula>
    </cfRule>
  </conditionalFormatting>
  <conditionalFormatting sqref="AC5">
    <cfRule type="expression" dxfId="2454" priority="12">
      <formula>ABS(AC$7-AC$10)&gt;=1000</formula>
    </cfRule>
  </conditionalFormatting>
  <conditionalFormatting sqref="M14">
    <cfRule type="expression" dxfId="2453" priority="11">
      <formula>ABS(M$16-M$19)&gt;=1000</formula>
    </cfRule>
  </conditionalFormatting>
  <conditionalFormatting sqref="M16">
    <cfRule type="expression" dxfId="2452" priority="10">
      <formula>ABS(M$16-M$19)&gt;=1000</formula>
    </cfRule>
  </conditionalFormatting>
  <conditionalFormatting sqref="M19">
    <cfRule type="expression" dxfId="2451" priority="9">
      <formula>ABS(M$16-M$19)&gt;=1000</formula>
    </cfRule>
  </conditionalFormatting>
  <conditionalFormatting sqref="K13:K20">
    <cfRule type="expression" dxfId="2450" priority="8">
      <formula>ABS(K$16-K$19)&gt;=1000</formula>
    </cfRule>
  </conditionalFormatting>
  <conditionalFormatting sqref="E5">
    <cfRule type="expression" dxfId="2449" priority="7">
      <formula>ABS(E$7-E$10)&gt;=1000</formula>
    </cfRule>
  </conditionalFormatting>
  <conditionalFormatting sqref="AB14:AC14">
    <cfRule type="expression" dxfId="2448" priority="6">
      <formula>ABS(AB$16-AB$19)&gt;=1000</formula>
    </cfRule>
  </conditionalFormatting>
  <conditionalFormatting sqref="M5">
    <cfRule type="expression" dxfId="2447" priority="5">
      <formula>ABS(M$7-M$10)&gt;=1000</formula>
    </cfRule>
  </conditionalFormatting>
  <conditionalFormatting sqref="N5">
    <cfRule type="expression" dxfId="2446" priority="4">
      <formula>ABS(N$7-N$10)&gt;=1000</formula>
    </cfRule>
  </conditionalFormatting>
  <conditionalFormatting sqref="O5">
    <cfRule type="expression" dxfId="2445" priority="3">
      <formula>ABS(O$7-O$10)&gt;=1000</formula>
    </cfRule>
  </conditionalFormatting>
  <conditionalFormatting sqref="P5">
    <cfRule type="expression" dxfId="2444" priority="2">
      <formula>ABS(P$7-P$10)&gt;=1000</formula>
    </cfRule>
  </conditionalFormatting>
  <conditionalFormatting sqref="L23">
    <cfRule type="expression" dxfId="2443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39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1">
    <pageSetUpPr fitToPage="1"/>
  </sheetPr>
  <dimension ref="A1:CU223"/>
  <sheetViews>
    <sheetView view="pageBreakPreview" topLeftCell="A4" zoomScale="80" zoomScaleNormal="100" zoomScaleSheetLayoutView="80" workbookViewId="0">
      <selection activeCell="Y24" sqref="Y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45812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53" t="s" ph="1">
        <v>178</v>
      </c>
      <c r="D6" s="71">
        <v>4942</v>
      </c>
      <c r="E6" s="71">
        <v>4701</v>
      </c>
      <c r="F6" s="71">
        <v>7138</v>
      </c>
      <c r="G6" s="71">
        <v>6566</v>
      </c>
      <c r="H6" s="71">
        <v>1030</v>
      </c>
      <c r="I6" s="71">
        <v>47.12</v>
      </c>
      <c r="J6" s="71">
        <v>7.82</v>
      </c>
      <c r="K6" s="71">
        <v>7.71</v>
      </c>
      <c r="L6" s="71">
        <v>41.92</v>
      </c>
      <c r="M6" s="71">
        <v>3200</v>
      </c>
      <c r="N6" s="71">
        <v>4669</v>
      </c>
      <c r="O6" s="71">
        <v>1032</v>
      </c>
      <c r="P6" s="71">
        <v>2784</v>
      </c>
      <c r="Q6" s="71">
        <v>7218</v>
      </c>
      <c r="R6" s="71">
        <v>6987</v>
      </c>
      <c r="S6" s="71">
        <v>1990</v>
      </c>
      <c r="T6" s="71">
        <v>1905</v>
      </c>
      <c r="U6" s="71">
        <v>0</v>
      </c>
      <c r="V6" s="71">
        <v>0</v>
      </c>
      <c r="W6" s="71">
        <v>0</v>
      </c>
      <c r="X6" s="71">
        <v>1135</v>
      </c>
      <c r="Y6" s="71">
        <v>5171</v>
      </c>
      <c r="Z6" s="71">
        <v>4715</v>
      </c>
      <c r="AA6" s="71">
        <v>1826</v>
      </c>
      <c r="AB6" s="71">
        <v>2045</v>
      </c>
      <c r="AC6" s="71">
        <v>4136</v>
      </c>
      <c r="AD6" s="71">
        <v>4399</v>
      </c>
      <c r="AE6" s="71">
        <v>3302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155023.39169352001</v>
      </c>
      <c r="E7" s="73" ph="1">
        <f>E6*51.53*LOOKUP(E8,密度!$A$2:$A$50,密度!$B$2:$B$50)</f>
        <v>188852.276388</v>
      </c>
      <c r="F7" s="73" ph="1">
        <f>F6*33.183*LOOKUP(F8,密度!$A$2:$A$50,密度!$C$2:$C$50)</f>
        <v>262820.13783839997</v>
      </c>
      <c r="G7" s="73" ph="1">
        <f xml:space="preserve"> (G6+2)*51.53*LOOKUP(G8,密度!$A$2:$A$50,密度!$B$2:$B$50)</f>
        <v>263854.87158399995</v>
      </c>
      <c r="H7" s="73" ph="1">
        <f>(H6)*51.53*LOOKUP(H8,密度!$A$2:$A$50,密度!$B$2:$B$50)</f>
        <v>41616.813190000001</v>
      </c>
      <c r="I7" s="73" ph="1">
        <f>I6*290.8*1.0267</f>
        <v>14068.352643199998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9471.8910720000003</v>
      </c>
      <c r="M7" s="73" ph="1">
        <f>M6*33.183*LOOKUP(M8,密度!$A$2:$A$50,密度!$D$2:$D$50)</f>
        <v>108925.18848000001</v>
      </c>
      <c r="N7" s="73" ph="1">
        <f>N6*33.183*LOOKUP(N8,密度!$A$2:$A$50,密度!$E$2:$E$50)</f>
        <v>121001.444487</v>
      </c>
      <c r="O7" s="73" ph="1">
        <f>O6*20.428*LOOKUP(O8,密度!$A$2:$A$50,密度!$C$2:$C$50)</f>
        <v>23345.870150399998</v>
      </c>
      <c r="P7" s="73" ph="1">
        <f>P6*51.53*LOOKUP(P8,密度!$A$2:$A$50,密度!$B$2:$B$50)</f>
        <v>111841.04179199999</v>
      </c>
      <c r="Q7" s="73" ph="1">
        <f>Q6*1.5*1.5*3.1416*LOOKUP(W8,密度!$A$2:$A$50,密度!$L$2:$L$50)</f>
        <v>47806.822047599999</v>
      </c>
      <c r="R7" s="73" ph="1">
        <f>R6*1.5*1.5*3.1416*LOOKUP(R8,密度!$A$2:$A$50,密度!$L$2:$L$50)</f>
        <v>46029.903242400003</v>
      </c>
      <c r="S7" s="73" ph="1">
        <f>S6*1.5*1.5*3.1416*LOOKUP(S8,密度!$A$2:$A$50,密度!$L$2:$L$50)</f>
        <v>13250.656187999999</v>
      </c>
      <c r="T7" s="73" ph="1">
        <f>T6*1.5*1.5*3.1416*LOOKUP(T8,密度!$A$2:$A$50,密度!$L$2:$L$50)</f>
        <v>12644.276336999998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7517.4207570000008</v>
      </c>
      <c r="Y7" s="73" ph="1">
        <f>Y6*1.5*1.5*3.1416*LOOKUP(Y8,密度!$A$2:$A$50,密度!$L$2:$L$50)</f>
        <v>34248.971572200004</v>
      </c>
      <c r="Z7" s="73" ph="1">
        <f>Z6*33.183*LOOKUP(Z8,密度!$A$2:$A$50,密度!$L$2:$L$50)</f>
        <v>146913.916455</v>
      </c>
      <c r="AA7" s="73" ph="1">
        <f>AA6*33.183*LOOKUP(AA8,密度!$A$2:$A$50,密度!$D$2:$D$50)</f>
        <v>62209.968618599996</v>
      </c>
      <c r="AB7" s="73" ph="1">
        <f>AB6*20.428*LOOKUP(AB8,密度!$A$2:$A$50,密度!$D$2:$D$50)</f>
        <v>43191.441314000003</v>
      </c>
      <c r="AC7" s="73" ph="1">
        <f>AC6*51.53*LOOKUP(AC8,密度!$A$2:$A$50,密度!$Q$2:$Q$50)</f>
        <v>202088.04545600002</v>
      </c>
      <c r="AD7" s="73" ph="1">
        <f>AD6*20.428*LOOKUP(AD8,密度!$A$2:$A$50,密度!$V$2:$V$50)</f>
        <v>86340.151337599993</v>
      </c>
      <c r="AE7" s="73" ph="1">
        <f>AE6*20.428</f>
        <v>67453.256000000008</v>
      </c>
    </row>
    <row r="8" spans="1:99" ph="1">
      <c r="B8" s="256" ph="1"/>
      <c r="C8" s="68" t="s" ph="1">
        <v>180</v>
      </c>
      <c r="D8" s="74">
        <v>27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27</v>
      </c>
      <c r="P8" s="74">
        <v>25</v>
      </c>
      <c r="Q8" s="74">
        <v>26</v>
      </c>
      <c r="R8" s="74">
        <v>30</v>
      </c>
      <c r="S8" s="74">
        <v>20</v>
      </c>
      <c r="T8" s="74">
        <v>23</v>
      </c>
      <c r="U8" s="74">
        <v>24</v>
      </c>
      <c r="V8" s="74">
        <v>28</v>
      </c>
      <c r="W8" s="74">
        <v>25</v>
      </c>
      <c r="X8" s="74">
        <v>25</v>
      </c>
      <c r="Y8" s="74">
        <v>25</v>
      </c>
      <c r="Z8" s="74">
        <v>23</v>
      </c>
      <c r="AA8" s="74">
        <v>25</v>
      </c>
      <c r="AB8" s="74">
        <v>17</v>
      </c>
      <c r="AC8" s="74">
        <v>23</v>
      </c>
      <c r="AD8" s="74">
        <v>24</v>
      </c>
      <c r="AE8" s="74">
        <v>22</v>
      </c>
    </row>
    <row r="9" spans="1:99" ht="26.4" ph="1">
      <c r="B9" s="256" ph="1">
        <v>0.66666666666666663</v>
      </c>
      <c r="C9" s="153" t="s" ph="1">
        <v>181</v>
      </c>
      <c r="D9" s="71">
        <v>4943</v>
      </c>
      <c r="E9" s="71">
        <v>4703</v>
      </c>
      <c r="F9" s="71">
        <v>7138</v>
      </c>
      <c r="G9" s="71">
        <v>6656</v>
      </c>
      <c r="H9" s="71">
        <v>1030</v>
      </c>
      <c r="I9" s="71">
        <v>20.61</v>
      </c>
      <c r="J9" s="71">
        <v>7.82</v>
      </c>
      <c r="K9" s="71">
        <v>7.74</v>
      </c>
      <c r="L9" s="71">
        <v>40.01</v>
      </c>
      <c r="M9" s="71">
        <v>3714</v>
      </c>
      <c r="N9" s="71">
        <v>4670</v>
      </c>
      <c r="O9" s="71">
        <v>1032</v>
      </c>
      <c r="P9" s="71">
        <v>2674</v>
      </c>
      <c r="Q9" s="71">
        <v>7222</v>
      </c>
      <c r="R9" s="71">
        <v>6992</v>
      </c>
      <c r="S9" s="71">
        <v>4439</v>
      </c>
      <c r="T9" s="71">
        <v>4013</v>
      </c>
      <c r="U9" s="71">
        <v>0</v>
      </c>
      <c r="V9" s="71">
        <v>0</v>
      </c>
      <c r="W9" s="71">
        <v>0</v>
      </c>
      <c r="X9" s="71">
        <v>0</v>
      </c>
      <c r="Y9" s="71">
        <v>2239</v>
      </c>
      <c r="Z9" s="71">
        <v>1813</v>
      </c>
      <c r="AA9" s="71">
        <v>1550</v>
      </c>
      <c r="AB9" s="71">
        <v>1888</v>
      </c>
      <c r="AC9" s="71">
        <v>4138</v>
      </c>
      <c r="AD9" s="71">
        <v>4400</v>
      </c>
      <c r="AE9" s="71">
        <v>3157</v>
      </c>
    </row>
    <row r="10" spans="1:99" s="72" customFormat="1" ht="22.2" ph="1">
      <c r="B10" s="256" ph="1"/>
      <c r="C10" s="153" t="s" ph="1">
        <v>179</v>
      </c>
      <c r="D10" s="73" ph="1">
        <f>D9*33.183*LOOKUP(D11,密度!$A$2:$A$50,密度!$Q$2:$Q$50)</f>
        <v>155054.76024708</v>
      </c>
      <c r="E10" s="73" ph="1">
        <f>E9*51.53*LOOKUP(E11,密度!$A$2:$A$50,密度!$B$2:$B$50)</f>
        <v>188714.51093299998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267161.64443799999</v>
      </c>
      <c r="H10" s="73" ph="1">
        <f>(H9)*51.53*LOOKUP(H11,密度!$A$2:$A$50,密度!$B$2:$B$50)</f>
        <v>41425.739950000003</v>
      </c>
      <c r="I10" s="73" ph="1">
        <f>I9*290.8*1.0267</f>
        <v>6153.4114595999999</v>
      </c>
      <c r="J10" s="73" ph="1">
        <f>J9*290.8*0.7892</f>
        <v>1794.6849952</v>
      </c>
      <c r="K10" s="73" ph="1">
        <f>K9*290.8*1.1126</f>
        <v>2504.2311792000005</v>
      </c>
      <c r="L10" s="73" ph="1">
        <f>L9*290.8*0.777</f>
        <v>9040.3235160000004</v>
      </c>
      <c r="M10" s="73" ph="1">
        <f>M9*33.183*LOOKUP(M11,密度!$A$2:$A$50,密度!$D$2:$D$50)</f>
        <v>126187.1377218</v>
      </c>
      <c r="N10" s="73" ph="1">
        <f>N9*33.183*LOOKUP(N11,密度!$A$2:$A$50,密度!$E$2:$E$50)</f>
        <v>121027.36040999999</v>
      </c>
      <c r="O10" s="73" ph="1">
        <f>O9*20.428*LOOKUP(O11,密度!$A$2:$A$50,密度!$C$2:$C$50)</f>
        <v>23253.110688000001</v>
      </c>
      <c r="P10" s="73" ph="1">
        <f>P9*51.53*LOOKUP(P11,密度!$A$2:$A$50,密度!$B$2:$B$50)</f>
        <v>107187.79003800001</v>
      </c>
      <c r="Q10" s="73" ph="1">
        <f>Q9*1.5*1.5*3.1416*LOOKUP(W11,密度!$A$2:$A$50,密度!$L$2:$L$50)</f>
        <v>47629.1174436</v>
      </c>
      <c r="R10" s="73" ph="1">
        <f>R9*1.5*1.5*3.1416*LOOKUP(R11,密度!$A$2:$A$50,密度!$L$2:$L$50)</f>
        <v>46013.419267200006</v>
      </c>
      <c r="S10" s="73" ph="1">
        <f>S9*1.5*1.5*3.1416*LOOKUP(S11,密度!$A$2:$A$50,密度!$L$2:$L$50)</f>
        <v>29588.997022199997</v>
      </c>
      <c r="T10" s="73" ph="1">
        <f>T9*1.5*1.5*3.1416*LOOKUP(T11,密度!$A$2:$A$50,密度!$L$2:$L$50)</f>
        <v>26635.948000199998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14813.693294400002</v>
      </c>
      <c r="Z10" s="73" ph="1">
        <f>Z9*33.183*LOOKUP(Z11,密度!$A$2:$A$50,密度!$L$2:$L$50)</f>
        <v>56430.810701999995</v>
      </c>
      <c r="AA10" s="73" ph="1">
        <f>AA9*33.183*LOOKUP(AA11,密度!$A$2:$A$50,密度!$D$2:$D$50)</f>
        <v>52662.914235000004</v>
      </c>
      <c r="AB10" s="73" ph="1">
        <f>AB9*20.428*LOOKUP(AB11,密度!$A$2:$A$50,密度!$D$2:$D$50)</f>
        <v>39844.666918399998</v>
      </c>
      <c r="AC10" s="73" ph="1">
        <f>AC9*51.53*LOOKUP(AC11,密度!$A$2:$A$50,密度!$Q$2:$Q$50)</f>
        <v>201723.05537420002</v>
      </c>
      <c r="AD10" s="73" ph="1">
        <f>AD9*20.428*LOOKUP(AD11,密度!$A$2:$A$50,密度!$V$2:$V$50)</f>
        <v>86359.778559999992</v>
      </c>
      <c r="AE10" s="73" ph="1">
        <f>AE9*20.428</f>
        <v>64491.196000000004</v>
      </c>
    </row>
    <row r="11" spans="1:99" ph="1">
      <c r="A11" s="64" t="s" ph="1">
        <v>163</v>
      </c>
      <c r="B11" s="256" ph="1"/>
      <c r="C11" s="153" t="s" ph="1">
        <v>180</v>
      </c>
      <c r="D11" s="74">
        <v>27</v>
      </c>
      <c r="E11" s="74">
        <v>26</v>
      </c>
      <c r="F11" s="74">
        <v>25</v>
      </c>
      <c r="G11" s="74">
        <v>26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32</v>
      </c>
      <c r="P11" s="74">
        <v>27</v>
      </c>
      <c r="Q11" s="74">
        <v>27</v>
      </c>
      <c r="R11" s="74">
        <v>31</v>
      </c>
      <c r="S11" s="74">
        <v>19</v>
      </c>
      <c r="T11" s="74">
        <v>23</v>
      </c>
      <c r="U11" s="74">
        <v>26</v>
      </c>
      <c r="V11" s="74">
        <v>28</v>
      </c>
      <c r="W11" s="74">
        <v>29</v>
      </c>
      <c r="X11" s="74">
        <v>30</v>
      </c>
      <c r="Y11" s="74">
        <v>26</v>
      </c>
      <c r="Z11" s="74">
        <v>24</v>
      </c>
      <c r="AA11" s="74">
        <v>28</v>
      </c>
      <c r="AB11" s="74">
        <v>18</v>
      </c>
      <c r="AC11" s="74">
        <v>26</v>
      </c>
      <c r="AD11" s="74">
        <v>25</v>
      </c>
      <c r="AE11" s="74">
        <v>28</v>
      </c>
    </row>
    <row r="12" spans="1:99" ht="9.9" customHeight="1" ph="1"/>
    <row r="13" spans="1:99" s="72" customFormat="1" ht="29.25" customHeight="1" ph="1">
      <c r="B13" s="233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53" t="s" ph="1">
        <v>178</v>
      </c>
      <c r="D15" s="78">
        <v>0</v>
      </c>
      <c r="E15" s="78">
        <v>3071</v>
      </c>
      <c r="F15" s="78">
        <v>3484</v>
      </c>
      <c r="G15" s="78">
        <v>3834</v>
      </c>
      <c r="H15" s="78">
        <v>1815</v>
      </c>
      <c r="I15" s="78">
        <v>117</v>
      </c>
      <c r="J15" s="78">
        <v>1653</v>
      </c>
      <c r="K15" s="78">
        <v>324</v>
      </c>
      <c r="L15" s="78">
        <v>3223</v>
      </c>
      <c r="M15" s="78">
        <v>925</v>
      </c>
      <c r="N15" s="78">
        <v>3199</v>
      </c>
      <c r="O15" s="78">
        <v>6064</v>
      </c>
      <c r="P15" s="78">
        <v>7149</v>
      </c>
      <c r="Q15" s="78">
        <v>0</v>
      </c>
      <c r="R15" s="78">
        <v>3508</v>
      </c>
      <c r="S15" s="78">
        <v>6909</v>
      </c>
      <c r="T15" s="78">
        <v>2753</v>
      </c>
      <c r="U15" s="78">
        <v>4664</v>
      </c>
      <c r="V15" s="78">
        <v>2370</v>
      </c>
      <c r="W15" s="71">
        <v>-792</v>
      </c>
      <c r="X15" s="78">
        <v>26</v>
      </c>
      <c r="Y15" s="106">
        <v>-9907</v>
      </c>
      <c r="Z15" s="78">
        <v>0</v>
      </c>
      <c r="AA15" s="78">
        <v>4221</v>
      </c>
      <c r="AB15" s="78" ph="1">
        <v>2361</v>
      </c>
      <c r="AC15" s="78" ph="1">
        <v>0</v>
      </c>
      <c r="AD15" s="78">
        <v>24.41</v>
      </c>
      <c r="AE15" s="78">
        <v>5.43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53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20318.379681600003</v>
      </c>
      <c r="F16" s="73" ph="1">
        <f>F15*9.0746*LOOKUP(F17,密度!$A$2:$A$50,密度!$L$2:$L$50)</f>
        <v>29560.872484000003</v>
      </c>
      <c r="G16" s="73" ph="1">
        <f>G15*9.0746*LOOKUP(G17,密度!$A$2:$A$50,密度!$B$2:$B$50)</f>
        <v>27123.855985439997</v>
      </c>
      <c r="H16" s="73" ph="1">
        <f>H15*9.0746*LOOKUP(H17,密度!$A$2:$A$50,密度!$L$2:$L$50)</f>
        <v>15350.411868000003</v>
      </c>
      <c r="I16" s="73" ph="1">
        <f>I15*9.0746*LOOKUP(I17,密度!$A$2:$A$50,密度!$U$2:$U$50)</f>
        <v>1088.271405</v>
      </c>
      <c r="J16" s="73" ph="1">
        <f>J15*9.0746*LOOKUP(J17,密度!$A$2:$A$50,密度!$L$2:$L$50)</f>
        <v>14040.293716800001</v>
      </c>
      <c r="K16" s="73" ph="1">
        <f>K15*9.0746*LOOKUP(K17,密度!$A$2:$A$50,密度!$C$2:$C$50)</f>
        <v>3262.4130758399997</v>
      </c>
      <c r="L16" s="73" ph="1">
        <f>L15*9.0746*LOOKUP(L17,密度!$A$2:$A$50,密度!$E$2:$E$50)</f>
        <v>22842.2473598</v>
      </c>
      <c r="M16" s="73" ph="1">
        <f>M15*9.0746*LOOKUP(M17,密度!$A$2:$A$50,密度!$M$2:$M$50)</f>
        <v>7345.5937755000004</v>
      </c>
      <c r="N16" s="73" ph="1">
        <f>N15*9.0746*LOOKUP(N17,密度!$A$2:$A$50,密度!$M$2:$M$50)</f>
        <v>25374.813044139999</v>
      </c>
      <c r="O16" s="73" ph="1">
        <f>O15*9.0746*LOOKUP(O17,密度!$A$2:$A$50,密度!$G$2:$G$50)</f>
        <v>52662.154300800001</v>
      </c>
      <c r="P16" s="73" ph="1">
        <f ca="1">P15*9.0746*LOOKUP(P17,密度!$A$2:$A$51,密度!$Q$2:$Q$50)</f>
        <v>61373.048597862005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24734.782413600002</v>
      </c>
      <c r="S16" s="73" ph="1">
        <f>S15*9.0746*LOOKUP(S17,密度!$A$2:$A$50,密度!$Q$2:$Q$50)</f>
        <v>59312.686076742008</v>
      </c>
      <c r="T16" s="73" ph="1">
        <f>T15*9.0746*LOOKUP(T17,密度!$A$2:$A$50,密度!$O$2:$O$50)</f>
        <v>23133.678138800002</v>
      </c>
      <c r="U16" s="73" ph="1">
        <f>U15*9.0746*LOOKUP(U17,密度!$A$2:$A$50,密度!$H$2:$H$50)</f>
        <v>38713.702795679994</v>
      </c>
      <c r="V16" s="73" ph="1">
        <f>MAX(5600*LOOKUP(V17,密度!$A$2:$A$50,密度!$Q$2:$Q$50)+V15*9.0476*LOOKUP(V17,密度!$A$2:$A$50,密度!$Q$2:$Q$50),0)</f>
        <v>25564.111039840001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6082.0681504800004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29861.709993359997</v>
      </c>
      <c r="AB16" s="73" ph="1">
        <f>AB15*9.0746*LOOKUP(AB17,密度!$A$2:$A$50,密度!$L$2:$L$50)</f>
        <v>20032.497111000001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6333.8436724799994</v>
      </c>
      <c r="AE16" s="73" ph="1">
        <f>AE15*268.68*LOOKUP(AE17,密度!$A$2:$A$50,密度!B2:B50)+IF(AE15&lt;=0,0,1566*LOOKUP(AE17,密度!$A$2:$A$50,密度!B2:B50))</f>
        <v>2358.2372990399999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25</v>
      </c>
      <c r="E17" s="74">
        <v>26</v>
      </c>
      <c r="F17" s="74">
        <v>27</v>
      </c>
      <c r="G17" s="74">
        <v>25</v>
      </c>
      <c r="H17" s="74">
        <v>30</v>
      </c>
      <c r="I17" s="74">
        <v>25</v>
      </c>
      <c r="J17" s="74">
        <v>26</v>
      </c>
      <c r="K17" s="74">
        <v>24</v>
      </c>
      <c r="L17" s="74">
        <v>27</v>
      </c>
      <c r="M17" s="74">
        <v>25</v>
      </c>
      <c r="N17" s="74">
        <v>26</v>
      </c>
      <c r="O17" s="74">
        <v>28</v>
      </c>
      <c r="P17" s="74">
        <v>26</v>
      </c>
      <c r="Q17" s="74">
        <v>24</v>
      </c>
      <c r="R17" s="74">
        <v>28</v>
      </c>
      <c r="S17" s="74">
        <v>26</v>
      </c>
      <c r="T17" s="74">
        <v>25</v>
      </c>
      <c r="U17" s="74">
        <v>25</v>
      </c>
      <c r="V17" s="74">
        <v>27</v>
      </c>
      <c r="W17" s="74">
        <v>24</v>
      </c>
      <c r="X17" s="74">
        <v>25</v>
      </c>
      <c r="Y17" s="108">
        <v>25</v>
      </c>
      <c r="Z17" s="74">
        <v>25</v>
      </c>
      <c r="AA17" s="74">
        <v>25</v>
      </c>
      <c r="AB17" s="74">
        <v>27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3074</v>
      </c>
      <c r="F18" s="71">
        <v>3484</v>
      </c>
      <c r="G18" s="71">
        <v>3875</v>
      </c>
      <c r="H18" s="71">
        <v>2146</v>
      </c>
      <c r="I18" s="71">
        <v>117</v>
      </c>
      <c r="J18" s="71">
        <v>1653</v>
      </c>
      <c r="K18" s="71">
        <v>892</v>
      </c>
      <c r="L18" s="71">
        <v>5634</v>
      </c>
      <c r="M18" s="71">
        <v>926</v>
      </c>
      <c r="N18" s="71">
        <v>4756</v>
      </c>
      <c r="O18" s="71">
        <v>6067</v>
      </c>
      <c r="P18" s="71">
        <v>7153</v>
      </c>
      <c r="Q18" s="71">
        <v>0</v>
      </c>
      <c r="R18" s="71">
        <v>3509</v>
      </c>
      <c r="S18" s="71">
        <v>6913</v>
      </c>
      <c r="T18" s="71">
        <v>2752</v>
      </c>
      <c r="U18" s="71">
        <v>4666</v>
      </c>
      <c r="V18" s="71">
        <v>596</v>
      </c>
      <c r="W18" s="71">
        <v>-792</v>
      </c>
      <c r="X18" s="71">
        <v>25</v>
      </c>
      <c r="Y18" s="109">
        <v>-9907</v>
      </c>
      <c r="Z18" s="71">
        <v>0</v>
      </c>
      <c r="AA18" s="71">
        <v>4223</v>
      </c>
      <c r="AB18" s="71">
        <v>2363</v>
      </c>
      <c r="AC18" s="71">
        <v>0</v>
      </c>
      <c r="AD18" s="71">
        <v>47.91</v>
      </c>
      <c r="AE18" s="71">
        <v>5.01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53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20294.770557600001</v>
      </c>
      <c r="F19" s="73" ph="1">
        <f>F18*9.0746*LOOKUP(F20,密度!$A$2:$A$50,密度!$L$2:$L$50)</f>
        <v>29466.0247648</v>
      </c>
      <c r="G19" s="73" ph="1">
        <f>G18*9.0746*LOOKUP(G20,密度!$A$2:$A$50,密度!$B$2:$B$50)</f>
        <v>27322.486275000003</v>
      </c>
      <c r="H19" s="73" ph="1">
        <f>H18*9.0746*LOOKUP(H20,密度!$A$2:$A$50,密度!$L$2:$L$50)</f>
        <v>18149.853371199999</v>
      </c>
      <c r="I19" s="73" ph="1">
        <f>I18*9.0746*LOOKUP(I20,密度!$A$2:$A$50,密度!$U$2:$U$50)</f>
        <v>1082.9627640000001</v>
      </c>
      <c r="J19" s="73" ph="1">
        <f>J18*9.0746*LOOKUP(J20,密度!$A$2:$A$50,密度!$L$2:$L$50)</f>
        <v>13995.292775400001</v>
      </c>
      <c r="K19" s="73" ph="1">
        <f>K18*9.0746*LOOKUP(K20,密度!$A$2:$A$50,密度!$C$2:$C$50)</f>
        <v>8951.7553248800014</v>
      </c>
      <c r="L19" s="73" ph="1">
        <f>L18*9.0746*LOOKUP(L20,密度!$A$2:$A$50,密度!$E$2:$E$50)</f>
        <v>39929.637488400003</v>
      </c>
      <c r="M19" s="73" ph="1">
        <f>M18*9.0746*LOOKUP(M20,密度!$A$2:$A$50,密度!$M$2:$M$50)</f>
        <v>7309.8389440400006</v>
      </c>
      <c r="N19" s="73" ph="1">
        <f>N18*9.0746*LOOKUP(N20,密度!$A$2:$A$50,密度!$M$2:$M$50)</f>
        <v>37725.104982159995</v>
      </c>
      <c r="O19" s="73" ph="1">
        <f>O18*9.0746*LOOKUP(O20,密度!$A$2:$A$50,密度!$G$2:$G$50)</f>
        <v>52688.207477399999</v>
      </c>
      <c r="P19" s="73" ph="1">
        <f ca="1">P18*9.0746*LOOKUP(P20,密度!$A$2:$A$51,密度!$Q$2:$Q$50)</f>
        <v>61361.301437416005</v>
      </c>
      <c r="Q19" s="73" ph="1">
        <f>Q18*9.0746*LOOKUP(Q20,密度!$A$2:$A$50,密度!$Q$2:$Q$50)</f>
        <v>0</v>
      </c>
      <c r="R19" s="73" ph="1">
        <f>MAX(R18*9.0746*LOOKUP(R20,密度!$A$2:$A$50,密度!$B$2:$B$50),0)</f>
        <v>24716.35916068</v>
      </c>
      <c r="S19" s="73" ph="1">
        <f>S18*9.0746*LOOKUP(S20,密度!$A$2:$A$50,密度!$Q$2:$Q$50)</f>
        <v>59258.572331276002</v>
      </c>
      <c r="T19" s="73" ph="1">
        <f>T18*9.0746*LOOKUP(T20,密度!$A$2:$A$50,密度!$O$2:$O$50)</f>
        <v>23125.275059200001</v>
      </c>
      <c r="U19" s="73" ph="1">
        <f>U18*9.0746*LOOKUP(U20,密度!$A$2:$A$50,密度!$H$2:$H$50)</f>
        <v>38654.088118439999</v>
      </c>
      <c r="V19" s="73" ph="1">
        <f>MAX(5600*LOOKUP(V20,密度!$A$2:$A$50,密度!$Q$2:$Q$50)+V18*9.0476*LOOKUP(V20,密度!$A$2:$A$50,密度!$Q$2:$Q$50),0)</f>
        <v>10383.612171551998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6059.2376000000004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29875.859109679997</v>
      </c>
      <c r="AB19" s="73" ph="1">
        <f>AB18*9.0746*LOOKUP(AB20,密度!$A$2:$A$50,密度!$L$2:$L$50)</f>
        <v>20049.466613000001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11218.682487599999</v>
      </c>
      <c r="AE19" s="73" ph="1">
        <f>AE18*268.68*LOOKUP(AE20,密度!$A$2:$A$50,密度!B5:B53)+IF(AE18&lt;=0,0,1566*LOOKUP(AE20,密度!$A$2:$A$50,密度!B5:B53))</f>
        <v>2262.6914435999997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27</v>
      </c>
      <c r="E20" s="81">
        <v>28</v>
      </c>
      <c r="F20" s="81">
        <v>30</v>
      </c>
      <c r="G20" s="81">
        <v>28</v>
      </c>
      <c r="H20" s="81">
        <v>30</v>
      </c>
      <c r="I20" s="81">
        <v>30</v>
      </c>
      <c r="J20" s="81">
        <v>29</v>
      </c>
      <c r="K20" s="81">
        <v>29</v>
      </c>
      <c r="L20" s="81">
        <v>27</v>
      </c>
      <c r="M20" s="81">
        <v>30</v>
      </c>
      <c r="N20" s="81">
        <v>26</v>
      </c>
      <c r="O20" s="81">
        <v>28</v>
      </c>
      <c r="P20" s="81">
        <v>27</v>
      </c>
      <c r="Q20" s="81">
        <v>28</v>
      </c>
      <c r="R20" s="81">
        <v>29</v>
      </c>
      <c r="S20" s="81">
        <v>28</v>
      </c>
      <c r="T20" s="81">
        <v>27</v>
      </c>
      <c r="U20" s="81">
        <v>27</v>
      </c>
      <c r="V20" s="81">
        <v>28</v>
      </c>
      <c r="W20" s="81">
        <v>26</v>
      </c>
      <c r="X20" s="81">
        <v>27</v>
      </c>
      <c r="Y20" s="110">
        <v>26</v>
      </c>
      <c r="Z20" s="81">
        <v>28</v>
      </c>
      <c r="AA20" s="81">
        <v>25</v>
      </c>
      <c r="AB20" s="81">
        <v>27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53" t="s" ph="1">
        <v>178</v>
      </c>
      <c r="D24" s="71">
        <v>90.82</v>
      </c>
      <c r="E24" s="71">
        <v>95.62</v>
      </c>
      <c r="F24" s="71">
        <v>3993</v>
      </c>
      <c r="G24" s="71">
        <v>2882</v>
      </c>
      <c r="H24" s="71">
        <v>3338</v>
      </c>
      <c r="I24" s="71">
        <v>3291</v>
      </c>
      <c r="J24" s="71">
        <v>5402</v>
      </c>
      <c r="K24" s="71">
        <v>38</v>
      </c>
      <c r="L24" s="71">
        <v>1131</v>
      </c>
      <c r="M24" s="71">
        <v>5247</v>
      </c>
      <c r="N24" s="71">
        <v>5321</v>
      </c>
      <c r="O24" s="71">
        <v>3690</v>
      </c>
      <c r="P24" s="71">
        <v>883</v>
      </c>
      <c r="Q24" s="90">
        <v>1828</v>
      </c>
      <c r="R24" s="71">
        <v>1743</v>
      </c>
      <c r="S24" s="71">
        <v>1586</v>
      </c>
      <c r="T24" s="71">
        <v>1760</v>
      </c>
      <c r="U24" s="71">
        <v>5964</v>
      </c>
      <c r="V24" s="71">
        <v>9630</v>
      </c>
      <c r="W24" s="71">
        <v>10732</v>
      </c>
      <c r="X24" s="71">
        <v>1364</v>
      </c>
      <c r="Y24" s="71">
        <v>5737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24584.487612624001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44204.279138580001</v>
      </c>
      <c r="G25" s="91" ph="1">
        <f>G24*18.322*LOOKUP(G26,密度!$A$2:$A$50,密度!$B$2:$B$50)</f>
        <v>41118.477914799994</v>
      </c>
      <c r="H25" s="91" ph="1">
        <f>H24*18.322*LOOKUP(H26,密度!$A$2:$A$50,密度!$B$2:$B$50)</f>
        <v>47624.385593199993</v>
      </c>
      <c r="I25" s="91" ph="1">
        <f>I24*18.322*LOOKUP(I26,密度!$A$2:$A$50,密度!$Q$2:$Q$50)</f>
        <v>57000.623654640003</v>
      </c>
      <c r="J25" s="91" ph="1">
        <f>J24*18.322*LOOKUP(J26,密度!$A$2:$A$50,密度!$Q$2:$Q$50)</f>
        <v>93563.466722079989</v>
      </c>
      <c r="K25" s="91" ph="1">
        <f>K24*18.322*LOOKUP(K26,密度!$A$2:$A$50,密度!$Q$2:$Q$50)</f>
        <v>658.66014308000001</v>
      </c>
      <c r="L25" s="91" ph="1">
        <f>L24*18.322*LOOKUP(L26,密度!$A$2:$A$50,密度!$Q$2:$Q$50)</f>
        <v>19589.093088240003</v>
      </c>
      <c r="M25" s="91" ph="1">
        <f>M24*18.322*LOOKUP(M26,密度!$A$2:$A$50,密度!$Q$2:$Q$50)</f>
        <v>90878.843000880006</v>
      </c>
      <c r="N25" s="91" ph="1">
        <f>N24*18.322*LOOKUP(N26,密度!$A$2:$A$50,密度!$Q$2:$Q$50)</f>
        <v>92092.290372439995</v>
      </c>
      <c r="O25" s="91" ph="1">
        <f>O24*18.322*LOOKUP(O26,密度!$A$2:$A$50,密度!$C$2:$C$50)</f>
        <v>74869.298531999986</v>
      </c>
      <c r="P25" s="91" ph="1">
        <f>P24*11.702*LOOKUP(P26,密度!$A$2:$A$50,密度!$B$2:$B$50)</f>
        <v>8037.9364614000006</v>
      </c>
      <c r="Q25" s="92" ph="1">
        <f>Q24*18.322*LOOKUP(Q26,密度!$A$2:$A$50,密度!$B$2:$B$50)</f>
        <v>26023.762632000002</v>
      </c>
      <c r="R25" s="91" ph="1">
        <f>R24*35.891*LOOKUP(R26,密度!$A$2:$A$50,密度!$C$2:$C$50)</f>
        <v>69320.534205300006</v>
      </c>
      <c r="S25" s="91" ph="1">
        <f>S24*35.891*LOOKUP(S26,密度!$A$2:$A$50,密度!$B$2:$B$50)</f>
        <v>44229.268901999996</v>
      </c>
      <c r="T25" s="91" ph="1">
        <f>T24*35.891*LOOKUP(T26,密度!$A$2:$A$50,密度!$Q$2:$Q$50)</f>
        <v>59669.9072992</v>
      </c>
      <c r="U25" s="91" ph="1">
        <f>U24*35.891</f>
        <v>214053.924</v>
      </c>
      <c r="V25" s="91" ph="1">
        <f>V24*47.051*LOOKUP(V26,密度!$A$2:$A$50,密度!$B$2:$B$50)</f>
        <v>352059.57801</v>
      </c>
      <c r="W25" s="91" ph="1">
        <f>W24*47.051*LOOKUP(W26,密度!$A$2:$A$50,密度!$B$2:$B$50)</f>
        <v>392801.64116280002</v>
      </c>
      <c r="X25" s="91" ph="1">
        <f>X24*47.051*LOOKUP(X26,密度!$A$2:$A$50,密度!$I$2:$I$50)</f>
        <v>66674.071239600002</v>
      </c>
      <c r="Y25" s="91" ph="1">
        <f>Y24*47.051*LOOKUP(Y26,密度!$A$2:$A$50,密度!$L$2:$L$50)</f>
        <v>252116.10225800003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27</v>
      </c>
      <c r="J26" s="74">
        <v>27</v>
      </c>
      <c r="K26" s="74">
        <v>26</v>
      </c>
      <c r="L26" s="74">
        <v>27</v>
      </c>
      <c r="M26" s="74">
        <v>27</v>
      </c>
      <c r="N26" s="74">
        <v>28</v>
      </c>
      <c r="O26" s="74">
        <v>27</v>
      </c>
      <c r="P26" s="74">
        <v>27</v>
      </c>
      <c r="Q26" s="93">
        <v>28</v>
      </c>
      <c r="R26" s="74">
        <v>26</v>
      </c>
      <c r="S26" s="74">
        <v>28</v>
      </c>
      <c r="T26" s="74">
        <v>28</v>
      </c>
      <c r="U26" s="74">
        <v>27</v>
      </c>
      <c r="V26" s="74">
        <v>28</v>
      </c>
      <c r="W26" s="74">
        <v>27</v>
      </c>
      <c r="X26" s="74">
        <v>28</v>
      </c>
      <c r="Y26" s="74">
        <v>28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53" t="s" ph="1">
        <v>181</v>
      </c>
      <c r="D27" s="71">
        <v>90.81</v>
      </c>
      <c r="E27" s="71">
        <v>95.61</v>
      </c>
      <c r="F27" s="71">
        <v>3993</v>
      </c>
      <c r="G27" s="71">
        <v>2367</v>
      </c>
      <c r="H27" s="71">
        <v>3111</v>
      </c>
      <c r="I27" s="71">
        <v>3291</v>
      </c>
      <c r="J27" s="71">
        <v>5402</v>
      </c>
      <c r="K27" s="71">
        <v>37</v>
      </c>
      <c r="L27" s="71">
        <v>1129</v>
      </c>
      <c r="M27" s="71">
        <v>5247</v>
      </c>
      <c r="N27" s="71">
        <v>5321</v>
      </c>
      <c r="O27" s="71">
        <v>3689</v>
      </c>
      <c r="P27" s="71">
        <v>881</v>
      </c>
      <c r="Q27" s="90">
        <v>1570</v>
      </c>
      <c r="R27" s="71">
        <v>1742</v>
      </c>
      <c r="S27" s="71">
        <v>1584</v>
      </c>
      <c r="T27" s="71">
        <v>1759</v>
      </c>
      <c r="U27" s="71">
        <v>5951</v>
      </c>
      <c r="V27" s="71">
        <v>9629</v>
      </c>
      <c r="W27" s="71">
        <v>10731</v>
      </c>
      <c r="X27" s="71">
        <v>1354</v>
      </c>
      <c r="Y27" s="71">
        <v>6327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53" t="s" ph="1">
        <v>179</v>
      </c>
      <c r="D28" s="91" ph="1">
        <f>D27*268.68*LOOKUP(D29,密度!$A$2:$A$50,密度!$Q$2:$Q$50)+IF(D27&lt;=0,0,1566*LOOKUP(D29,密度!$A$2:$A$50,密度!$Q$2:$Q$50))</f>
        <v>24581.943911592003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44171.103617520006</v>
      </c>
      <c r="G28" s="91" ph="1">
        <f>G27*18.322*LOOKUP(G29,密度!$A$2:$A$50,密度!$B$2:$B$50)</f>
        <v>33736.102554600002</v>
      </c>
      <c r="H28" s="91" ph="1">
        <f>H27*18.322*LOOKUP(H29,密度!$A$2:$A$50,密度!$B$2:$B$50)</f>
        <v>44288.799533999998</v>
      </c>
      <c r="I28" s="91" ph="1">
        <f>I27*18.322*LOOKUP(I29,密度!$A$2:$A$50,密度!$Q$2:$Q$50)</f>
        <v>57000.623654640003</v>
      </c>
      <c r="J28" s="91" ph="1">
        <f>J27*18.322*LOOKUP(J29,密度!$A$2:$A$50,密度!$Q$2:$Q$50)</f>
        <v>93563.466722079989</v>
      </c>
      <c r="K28" s="91" ph="1">
        <f>K27*18.322*LOOKUP(K29,密度!$A$2:$A$50,密度!$Q$2:$Q$50)</f>
        <v>640.37112267999998</v>
      </c>
      <c r="L28" s="91" ph="1">
        <f>L27*18.322*LOOKUP(L29,密度!$A$2:$A$50,密度!$Q$2:$Q$50)</f>
        <v>19554.452782160002</v>
      </c>
      <c r="M28" s="91" ph="1">
        <f>M27*18.322*LOOKUP(M29,密度!$A$2:$A$50,密度!$Q$2:$Q$50)</f>
        <v>90878.843000880006</v>
      </c>
      <c r="N28" s="91" ph="1">
        <f>N27*18.322*LOOKUP(N29,密度!$A$2:$A$50,密度!$Q$2:$Q$50)</f>
        <v>92160.534325839995</v>
      </c>
      <c r="O28" s="91" ph="1">
        <f>O27*18.322*LOOKUP(O29,密度!$A$2:$A$50,密度!$C$2:$C$50)</f>
        <v>74849.008749199988</v>
      </c>
      <c r="P28" s="91" ph="1">
        <f>P27*11.702*LOOKUP(P29,密度!$A$2:$A$50,密度!$B$2:$B$50)</f>
        <v>8027.9780593999994</v>
      </c>
      <c r="Q28" s="92" ph="1">
        <f>Q27*18.322*LOOKUP(Q29,密度!$A$2:$A$50,密度!$B$2:$B$50)</f>
        <v>22376.713565999999</v>
      </c>
      <c r="R28" s="91" ph="1">
        <f>R27*35.891*LOOKUP(R29,密度!$A$2:$A$50,密度!$C$2:$C$50)</f>
        <v>69186.980205200001</v>
      </c>
      <c r="S28" s="91" ph="1">
        <f>S27*35.891*LOOKUP(S29,密度!$A$2:$A$50,密度!$B$2:$B$50)</f>
        <v>44128.013212799997</v>
      </c>
      <c r="T28" s="91" ph="1">
        <f>T27*35.891*LOOKUP(T29,密度!$A$2:$A$50,密度!$Q$2:$Q$50)</f>
        <v>59636.00394278</v>
      </c>
      <c r="U28" s="91" ph="1">
        <f>U27*35.891</f>
        <v>213587.34099999999</v>
      </c>
      <c r="V28" s="91" ph="1">
        <f>V27*47.051*LOOKUP(V29,密度!$A$2:$A$50,密度!$B$2:$B$50)</f>
        <v>352430.76805410004</v>
      </c>
      <c r="W28" s="91" ph="1">
        <f>W27*47.051*LOOKUP(W29,密度!$A$2:$A$50,密度!$B$2:$B$50)</f>
        <v>392310.62633700005</v>
      </c>
      <c r="X28" s="91" ph="1">
        <f>X27*47.051*LOOKUP(X29,密度!$A$2:$A$50,密度!$I$2:$I$50)</f>
        <v>66185.258400599996</v>
      </c>
      <c r="Y28" s="91" ph="1">
        <f>Y27*47.051*LOOKUP(Y29,密度!$A$2:$A$50,密度!$L$2:$L$50)</f>
        <v>277746.33464100002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53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28</v>
      </c>
      <c r="I29" s="74">
        <v>27</v>
      </c>
      <c r="J29" s="74">
        <v>27</v>
      </c>
      <c r="K29" s="74">
        <v>28</v>
      </c>
      <c r="L29" s="74">
        <v>27</v>
      </c>
      <c r="M29" s="74">
        <v>27</v>
      </c>
      <c r="N29" s="74">
        <v>27</v>
      </c>
      <c r="O29" s="74">
        <v>27</v>
      </c>
      <c r="P29" s="74">
        <v>26</v>
      </c>
      <c r="Q29" s="93">
        <v>27</v>
      </c>
      <c r="R29" s="74">
        <v>28</v>
      </c>
      <c r="S29" s="74">
        <v>29</v>
      </c>
      <c r="T29" s="74">
        <v>28</v>
      </c>
      <c r="U29" s="74">
        <v>27</v>
      </c>
      <c r="V29" s="74">
        <v>27</v>
      </c>
      <c r="W29" s="74">
        <v>28</v>
      </c>
      <c r="X29" s="74">
        <v>28</v>
      </c>
      <c r="Y29" s="74">
        <v>29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92507.581153400009</v>
      </c>
      <c r="E33" s="205" ph="1">
        <f>M10+I10</f>
        <v>132340.54918139998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31" ph="1">
        <v>0</v>
      </c>
      <c r="H33" s="205" ph="1">
        <f>N19</f>
        <v>37725.104982159995</v>
      </c>
      <c r="I33" s="209" ph="1">
        <v>0</v>
      </c>
      <c r="J33" s="213" ph="1">
        <f>F10+O28</f>
        <v>337503.34440979996</v>
      </c>
      <c r="K33" s="205" ph="1">
        <f>O10+K10+E28+R28</f>
        <v>125166.83135612</v>
      </c>
      <c r="L33" s="215" ph="1">
        <f>BE27</f>
        <v>7100</v>
      </c>
      <c r="M33" s="213" ph="1">
        <f>G10+H10+W28+S28+V28+E10</f>
        <v>1286171.3029249001</v>
      </c>
      <c r="N33" s="205" ph="1">
        <f>L10+P10++G28+H28</f>
        <v>194253.01564260002</v>
      </c>
      <c r="O33" s="209" ph="1">
        <f>BE17</f>
        <v>2270</v>
      </c>
      <c r="P33" s="213" ph="1">
        <f>L19</f>
        <v>39929.637488400003</v>
      </c>
      <c r="Q33" s="205" ph="1">
        <f>J10+N10</f>
        <v>122822.0454052</v>
      </c>
      <c r="R33" s="209" ph="1">
        <f>BE23</f>
        <v>890</v>
      </c>
      <c r="S33" s="213" ph="1">
        <f>E10+X28</f>
        <v>254899.76933359998</v>
      </c>
      <c r="T33" s="205" ph="1">
        <f>X19</f>
        <v>6059.2376000000004</v>
      </c>
      <c r="U33" s="194" ph="1">
        <f>BE21</f>
        <v>730</v>
      </c>
      <c r="V33" s="207" ph="1">
        <f ca="1">P19+Q19+S19+M28+N28+J28</f>
        <v>397222.71781749197</v>
      </c>
      <c r="W33" s="207" ph="1">
        <f>D28+F28+V19+T28</f>
        <v>138772.66364344402</v>
      </c>
      <c r="X33" s="209" ph="1">
        <f>BE29+BE31</f>
        <v>10200</v>
      </c>
      <c r="Y33" s="211" ph="1">
        <f>+Q10+R10+S10+T10+U10+V10+W10+X10+Y10</f>
        <v>164681.17502759999</v>
      </c>
      <c r="Z33" s="192" ph="1">
        <f>D10+T19+U19+Y28+Z10</f>
        <v>551011.26876772009</v>
      </c>
      <c r="AA33" s="194" ph="1">
        <f>BE19</f>
        <v>1440</v>
      </c>
      <c r="AB33" s="196" ph="1">
        <f>I19</f>
        <v>1082.9627640000001</v>
      </c>
      <c r="AC33" s="198" ph="1">
        <f>AD10</f>
        <v>86359.778559999992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51" t="s" ph="1">
        <v>186</v>
      </c>
      <c r="AA36" s="151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345</v>
      </c>
      <c r="AI37" s="151" t="s" ph="1">
        <v>212</v>
      </c>
      <c r="AJ37" s="151" t="s" ph="1">
        <v>213</v>
      </c>
      <c r="AK37" s="151" t="s" ph="1">
        <v>214</v>
      </c>
      <c r="AM37" s="151" t="s" ph="1">
        <v>213</v>
      </c>
      <c r="AN37" s="151" t="s" ph="1">
        <v>214</v>
      </c>
      <c r="AO37" s="151" t="s" ph="1">
        <v>215</v>
      </c>
      <c r="AP37" s="151" t="s" ph="1">
        <v>213</v>
      </c>
      <c r="AQ37" s="151" t="s" ph="1">
        <v>214</v>
      </c>
      <c r="AR37" s="151" t="s" ph="1">
        <v>215</v>
      </c>
      <c r="AS37" s="151" t="s" ph="1">
        <v>213</v>
      </c>
      <c r="AT37" s="151" t="s" ph="1">
        <v>214</v>
      </c>
      <c r="AU37" s="151" t="s" ph="1">
        <v>215</v>
      </c>
      <c r="AV37" s="151" t="s" ph="1">
        <v>213</v>
      </c>
      <c r="AW37" s="151" t="s" ph="1">
        <v>214</v>
      </c>
      <c r="AX37" s="151" t="s" ph="1">
        <v>215</v>
      </c>
      <c r="AY37" s="151" t="s" ph="1">
        <v>214</v>
      </c>
      <c r="AZ37" s="151" t="s" ph="1">
        <v>216</v>
      </c>
      <c r="BD37" s="151" t="s" ph="1">
        <v>308</v>
      </c>
      <c r="BE37" s="15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12" priority="97">
      <formula>ABS(D$7-D$10)&gt;=1000</formula>
    </cfRule>
  </conditionalFormatting>
  <conditionalFormatting sqref="E4 E6:E11">
    <cfRule type="expression" dxfId="2411" priority="96">
      <formula>ABS(E$7-E$10)&gt;=1000</formula>
    </cfRule>
  </conditionalFormatting>
  <conditionalFormatting sqref="F4:F11">
    <cfRule type="expression" dxfId="2410" priority="95">
      <formula>ABS(F$7-F$10)&gt;=1000</formula>
    </cfRule>
  </conditionalFormatting>
  <conditionalFormatting sqref="G4:G11">
    <cfRule type="expression" dxfId="2409" priority="94">
      <formula>ABS(G$7-G$10)&gt;=1000</formula>
    </cfRule>
  </conditionalFormatting>
  <conditionalFormatting sqref="H4:H11">
    <cfRule type="expression" dxfId="2408" priority="93">
      <formula>ABS(H$7-H$10)&gt;=1000</formula>
    </cfRule>
  </conditionalFormatting>
  <conditionalFormatting sqref="I4:I11">
    <cfRule type="expression" dxfId="2407" priority="92">
      <formula>ABS(I$7-I$10)&gt;=1000</formula>
    </cfRule>
  </conditionalFormatting>
  <conditionalFormatting sqref="J4:J11">
    <cfRule type="expression" dxfId="2406" priority="91">
      <formula>ABS(J$7-J$10)&gt;=1000</formula>
    </cfRule>
  </conditionalFormatting>
  <conditionalFormatting sqref="K4:K11">
    <cfRule type="expression" dxfId="2405" priority="90">
      <formula>ABS(K$7-K$10)&gt;=1000</formula>
    </cfRule>
  </conditionalFormatting>
  <conditionalFormatting sqref="L4:L11">
    <cfRule type="expression" dxfId="2404" priority="89">
      <formula>ABS(L$7-L$10)&gt;=1000</formula>
    </cfRule>
  </conditionalFormatting>
  <conditionalFormatting sqref="M4 M6:M11">
    <cfRule type="expression" dxfId="2403" priority="88">
      <formula>ABS(M$7-M$10)&gt;=1000</formula>
    </cfRule>
  </conditionalFormatting>
  <conditionalFormatting sqref="N4 N6:N11">
    <cfRule type="expression" dxfId="2402" priority="87">
      <formula>ABS(N$7-N$10)&gt;=1000</formula>
    </cfRule>
  </conditionalFormatting>
  <conditionalFormatting sqref="O4 O6:O11">
    <cfRule type="expression" dxfId="2401" priority="86">
      <formula>ABS(O$7-O$10)&gt;=1000</formula>
    </cfRule>
  </conditionalFormatting>
  <conditionalFormatting sqref="P4 P6:P11">
    <cfRule type="expression" dxfId="2400" priority="85">
      <formula>ABS(P$7-P$10)&gt;=1000</formula>
    </cfRule>
  </conditionalFormatting>
  <conditionalFormatting sqref="Q4:Q11">
    <cfRule type="expression" dxfId="2399" priority="84">
      <formula>ABS(Q$7-Q$10)&gt;=1000</formula>
    </cfRule>
  </conditionalFormatting>
  <conditionalFormatting sqref="R4:R11">
    <cfRule type="expression" dxfId="2398" priority="83">
      <formula>ABS(R$7-R$10)&gt;=1000</formula>
    </cfRule>
  </conditionalFormatting>
  <conditionalFormatting sqref="S4:S11">
    <cfRule type="expression" dxfId="2397" priority="82">
      <formula>ABS(S$7-S$10)&gt;=1000</formula>
    </cfRule>
  </conditionalFormatting>
  <conditionalFormatting sqref="T4:T9 T11">
    <cfRule type="expression" dxfId="2396" priority="81">
      <formula>ABS(T$7-T$10)&gt;=1000</formula>
    </cfRule>
  </conditionalFormatting>
  <conditionalFormatting sqref="U4:U9 U11">
    <cfRule type="expression" dxfId="2395" priority="80">
      <formula>ABS(U$7-U$10)&gt;=1000</formula>
    </cfRule>
  </conditionalFormatting>
  <conditionalFormatting sqref="V4:V9 V11">
    <cfRule type="expression" dxfId="2394" priority="79">
      <formula>ABS(V$7-V$10)&gt;=1000</formula>
    </cfRule>
  </conditionalFormatting>
  <conditionalFormatting sqref="W4:W9 W11">
    <cfRule type="expression" dxfId="2393" priority="78">
      <formula>ABS(W$7-W$10)&gt;=1000</formula>
    </cfRule>
  </conditionalFormatting>
  <conditionalFormatting sqref="X4:X9 X11">
    <cfRule type="expression" dxfId="2392" priority="77">
      <formula>ABS(X$7-X$10)&gt;=1000</formula>
    </cfRule>
  </conditionalFormatting>
  <conditionalFormatting sqref="Y4:Y9 Y11">
    <cfRule type="expression" dxfId="2391" priority="76">
      <formula>ABS(Y$7-Y$10)&gt;=1000</formula>
    </cfRule>
  </conditionalFormatting>
  <conditionalFormatting sqref="Z4:Z11">
    <cfRule type="expression" dxfId="2390" priority="75">
      <formula>ABS(Z$7-Z$10)&gt;=1000</formula>
    </cfRule>
  </conditionalFormatting>
  <conditionalFormatting sqref="AA4:AA11">
    <cfRule type="expression" dxfId="2389" priority="74">
      <formula>ABS(AA$7-AA$10)&gt;=1000</formula>
    </cfRule>
  </conditionalFormatting>
  <conditionalFormatting sqref="AB4:AB11">
    <cfRule type="expression" dxfId="2388" priority="73">
      <formula>ABS(AB$7-AB$10)&gt;=1000</formula>
    </cfRule>
  </conditionalFormatting>
  <conditionalFormatting sqref="AC4 AC6:AC11">
    <cfRule type="expression" dxfId="2387" priority="72">
      <formula>ABS(AC$7-AC$10)&gt;=1000</formula>
    </cfRule>
  </conditionalFormatting>
  <conditionalFormatting sqref="AD4:AD11">
    <cfRule type="expression" dxfId="2386" priority="71">
      <formula>ABS(AD$7-AD$10)&gt;=1000</formula>
    </cfRule>
  </conditionalFormatting>
  <conditionalFormatting sqref="AE4:AE11">
    <cfRule type="expression" dxfId="2385" priority="70">
      <formula>ABS(AE$7-AE$10)&gt;=1000</formula>
    </cfRule>
  </conditionalFormatting>
  <conditionalFormatting sqref="D13:D20">
    <cfRule type="expression" dxfId="2384" priority="69">
      <formula>ABS(D$16-D$19)&gt;=1000</formula>
    </cfRule>
  </conditionalFormatting>
  <conditionalFormatting sqref="E13:E20">
    <cfRule type="expression" dxfId="2383" priority="68">
      <formula>ABS(E$16-E$19)&gt;=1000</formula>
    </cfRule>
  </conditionalFormatting>
  <conditionalFormatting sqref="F13 F15:F20">
    <cfRule type="expression" dxfId="2382" priority="67">
      <formula>ABS(F$16-F$19)&gt;=1000</formula>
    </cfRule>
  </conditionalFormatting>
  <conditionalFormatting sqref="G13:G20">
    <cfRule type="expression" dxfId="2381" priority="66">
      <formula>ABS(G$16-G$19)&gt;=1000</formula>
    </cfRule>
  </conditionalFormatting>
  <conditionalFormatting sqref="H13:H20">
    <cfRule type="expression" dxfId="2380" priority="65">
      <formula>ABS(H$16-H$19)&gt;=1000</formula>
    </cfRule>
  </conditionalFormatting>
  <conditionalFormatting sqref="I13:I20">
    <cfRule type="expression" dxfId="2379" priority="64">
      <formula>ABS(I$16-I$19)&gt;=1000</formula>
    </cfRule>
  </conditionalFormatting>
  <conditionalFormatting sqref="J13:J20">
    <cfRule type="expression" dxfId="2378" priority="63">
      <formula>ABS(J$16-J$19)&gt;=1000</formula>
    </cfRule>
  </conditionalFormatting>
  <conditionalFormatting sqref="L13:L20">
    <cfRule type="expression" dxfId="2377" priority="62">
      <formula>ABS(L$16-L$19)&gt;=1000</formula>
    </cfRule>
  </conditionalFormatting>
  <conditionalFormatting sqref="M13 M15 M17:M18 M20">
    <cfRule type="expression" dxfId="2376" priority="61">
      <formula>ABS(M$16-M$19)&gt;=1000</formula>
    </cfRule>
  </conditionalFormatting>
  <conditionalFormatting sqref="N13:N20">
    <cfRule type="expression" dxfId="2375" priority="60">
      <formula>ABS(N$16-N$19)&gt;=1000</formula>
    </cfRule>
  </conditionalFormatting>
  <conditionalFormatting sqref="O13:O20">
    <cfRule type="expression" dxfId="2374" priority="59">
      <formula>ABS(O$16-O$19)&gt;=1000</formula>
    </cfRule>
  </conditionalFormatting>
  <conditionalFormatting sqref="P13:P20">
    <cfRule type="expression" dxfId="2373" priority="58">
      <formula>ABS(P$16-P$19)&gt;=1000</formula>
    </cfRule>
  </conditionalFormatting>
  <conditionalFormatting sqref="Q13 Q15:Q20">
    <cfRule type="expression" dxfId="2372" priority="57">
      <formula>ABS(Q$16-Q$19)&gt;=1000</formula>
    </cfRule>
  </conditionalFormatting>
  <conditionalFormatting sqref="R13:R20">
    <cfRule type="expression" dxfId="2371" priority="56">
      <formula>ABS(R$16-R$19)&gt;=1000</formula>
    </cfRule>
  </conditionalFormatting>
  <conditionalFormatting sqref="S13:S20">
    <cfRule type="expression" dxfId="2370" priority="55">
      <formula>ABS(S$16-S$19)&gt;=1000</formula>
    </cfRule>
  </conditionalFormatting>
  <conditionalFormatting sqref="T13:T20">
    <cfRule type="expression" dxfId="2369" priority="54">
      <formula>ABS(T$16-T$19)&gt;=1000</formula>
    </cfRule>
  </conditionalFormatting>
  <conditionalFormatting sqref="U13:U20">
    <cfRule type="expression" dxfId="2368" priority="53">
      <formula>ABS(U$16-U$19)&gt;=1000</formula>
    </cfRule>
  </conditionalFormatting>
  <conditionalFormatting sqref="V13:V20">
    <cfRule type="expression" dxfId="2367" priority="52">
      <formula>ABS(V$16-V$19)&gt;=1000</formula>
    </cfRule>
  </conditionalFormatting>
  <conditionalFormatting sqref="W13 W20 W15:W18">
    <cfRule type="expression" dxfId="2366" priority="51">
      <formula>ABS(W$16-W$19)&gt;=1000</formula>
    </cfRule>
  </conditionalFormatting>
  <conditionalFormatting sqref="X13 X15:X20 Y19">
    <cfRule type="expression" dxfId="2365" priority="50">
      <formula>ABS(X$16-X$19)&gt;=1000</formula>
    </cfRule>
  </conditionalFormatting>
  <conditionalFormatting sqref="Y13 Y15:Y18 Y20">
    <cfRule type="expression" dxfId="2364" priority="49">
      <formula>ABS(Y$16-Y$19)&gt;=1000</formula>
    </cfRule>
  </conditionalFormatting>
  <conditionalFormatting sqref="Z13:Z20">
    <cfRule type="expression" dxfId="2363" priority="48">
      <formula>ABS(Z$16-Z$19)&gt;=1000</formula>
    </cfRule>
  </conditionalFormatting>
  <conditionalFormatting sqref="AA13:AA20">
    <cfRule type="expression" dxfId="2362" priority="47">
      <formula>ABS(AA$16-AA$19)&gt;=1000</formula>
    </cfRule>
  </conditionalFormatting>
  <conditionalFormatting sqref="AB13 AB15:AB20">
    <cfRule type="expression" dxfId="2361" priority="46">
      <formula>ABS(AB$16-AB$19)&gt;=1000</formula>
    </cfRule>
  </conditionalFormatting>
  <conditionalFormatting sqref="AC13 AC15:AC20">
    <cfRule type="expression" dxfId="2360" priority="45">
      <formula>ABS(AC$16-AC$19)&gt;=1000</formula>
    </cfRule>
  </conditionalFormatting>
  <conditionalFormatting sqref="AD13:AD20">
    <cfRule type="expression" dxfId="2359" priority="44">
      <formula>ABS(AD$16-AD$19)&gt;=1000</formula>
    </cfRule>
  </conditionalFormatting>
  <conditionalFormatting sqref="AE13:AE20">
    <cfRule type="expression" dxfId="2358" priority="43">
      <formula>ABS(AE$16-AE$19)&gt;=1000</formula>
    </cfRule>
  </conditionalFormatting>
  <conditionalFormatting sqref="D22:D29">
    <cfRule type="expression" dxfId="2357" priority="42">
      <formula>ABS(D$25-D$28)&gt;=1000</formula>
    </cfRule>
  </conditionalFormatting>
  <conditionalFormatting sqref="E22:E29">
    <cfRule type="expression" dxfId="2356" priority="41">
      <formula>ABS(E$25-E$28)&gt;=1000</formula>
    </cfRule>
  </conditionalFormatting>
  <conditionalFormatting sqref="F22:F29">
    <cfRule type="expression" dxfId="2355" priority="40">
      <formula>ABS(F$25-F$28)&gt;=1000</formula>
    </cfRule>
  </conditionalFormatting>
  <conditionalFormatting sqref="G22:G29">
    <cfRule type="expression" dxfId="2354" priority="39">
      <formula>ABS(G$25-G$28)&gt;=1000</formula>
    </cfRule>
  </conditionalFormatting>
  <conditionalFormatting sqref="H22:H29">
    <cfRule type="expression" dxfId="2353" priority="38">
      <formula>ABS(H$25-H$28)&gt;=1000</formula>
    </cfRule>
  </conditionalFormatting>
  <conditionalFormatting sqref="I22 I24:I29">
    <cfRule type="expression" dxfId="2352" priority="37">
      <formula>ABS(I$25-I$28)&gt;=1000</formula>
    </cfRule>
  </conditionalFormatting>
  <conditionalFormatting sqref="J22:J29 K22">
    <cfRule type="expression" dxfId="2351" priority="36">
      <formula>ABS(J$25-J$28)&gt;=1000</formula>
    </cfRule>
  </conditionalFormatting>
  <conditionalFormatting sqref="K23:K29 L25 L28">
    <cfRule type="expression" dxfId="2350" priority="35">
      <formula>ABS(K$25-K$28)&gt;=1000</formula>
    </cfRule>
  </conditionalFormatting>
  <conditionalFormatting sqref="L22 L26:L27 L29 L24">
    <cfRule type="expression" dxfId="2349" priority="34">
      <formula>ABS(L$25-L$28)&gt;=1000</formula>
    </cfRule>
  </conditionalFormatting>
  <conditionalFormatting sqref="M22:M29">
    <cfRule type="expression" dxfId="2348" priority="33">
      <formula>ABS(M$25-M$28)&gt;=1000</formula>
    </cfRule>
  </conditionalFormatting>
  <conditionalFormatting sqref="N22:N29">
    <cfRule type="expression" dxfId="2347" priority="32">
      <formula>ABS(N$25-N$28)&gt;=1000</formula>
    </cfRule>
  </conditionalFormatting>
  <conditionalFormatting sqref="O22:O29">
    <cfRule type="expression" dxfId="2346" priority="31">
      <formula>ABS(O$25-O$28)&gt;=1000</formula>
    </cfRule>
  </conditionalFormatting>
  <conditionalFormatting sqref="P22:P29">
    <cfRule type="expression" dxfId="2345" priority="30">
      <formula>ABS(P$25-P$28)&gt;=1000</formula>
    </cfRule>
  </conditionalFormatting>
  <conditionalFormatting sqref="Q22:Q29">
    <cfRule type="expression" dxfId="2344" priority="29">
      <formula>ABS(Q$25-Q$28)&gt;=1000</formula>
    </cfRule>
  </conditionalFormatting>
  <conditionalFormatting sqref="R22:R29">
    <cfRule type="expression" dxfId="2343" priority="28">
      <formula>ABS(R$25-R$28)&gt;=1000</formula>
    </cfRule>
  </conditionalFormatting>
  <conditionalFormatting sqref="S22:S29">
    <cfRule type="expression" dxfId="2342" priority="27">
      <formula>ABS(S$25-S$28)&gt;=1000</formula>
    </cfRule>
  </conditionalFormatting>
  <conditionalFormatting sqref="T22:T29">
    <cfRule type="expression" dxfId="2341" priority="26">
      <formula>ABS(T$25-T$28)&gt;=1000</formula>
    </cfRule>
  </conditionalFormatting>
  <conditionalFormatting sqref="U22:U29">
    <cfRule type="expression" dxfId="2340" priority="25">
      <formula>ABS(U$25-U$28)&gt;=1000</formula>
    </cfRule>
  </conditionalFormatting>
  <conditionalFormatting sqref="V22:V29">
    <cfRule type="expression" dxfId="2339" priority="24">
      <formula>ABS(V$25-V$28)&gt;=1000</formula>
    </cfRule>
  </conditionalFormatting>
  <conditionalFormatting sqref="W22:W29">
    <cfRule type="expression" dxfId="2338" priority="23">
      <formula>ABS(W$25-W$28)&gt;=1000</formula>
    </cfRule>
  </conditionalFormatting>
  <conditionalFormatting sqref="X22:X29">
    <cfRule type="expression" dxfId="2337" priority="22">
      <formula>ABS(X$25-X$28)&gt;=1000</formula>
    </cfRule>
  </conditionalFormatting>
  <conditionalFormatting sqref="Y22:Y29">
    <cfRule type="expression" dxfId="2336" priority="21">
      <formula>ABS(Y$25-Y$28)&gt;=1000</formula>
    </cfRule>
  </conditionalFormatting>
  <conditionalFormatting sqref="I23">
    <cfRule type="expression" dxfId="2335" priority="20">
      <formula>ABS(I$25-I$28)&gt;=1000</formula>
    </cfRule>
  </conditionalFormatting>
  <conditionalFormatting sqref="F14">
    <cfRule type="expression" dxfId="2334" priority="19">
      <formula>ABS(F$16-F$19)&gt;=1000</formula>
    </cfRule>
  </conditionalFormatting>
  <conditionalFormatting sqref="Q14">
    <cfRule type="expression" dxfId="2333" priority="18">
      <formula>ABS(Q$16-Q$19)&gt;=1000</formula>
    </cfRule>
  </conditionalFormatting>
  <conditionalFormatting sqref="W14">
    <cfRule type="expression" dxfId="2332" priority="17">
      <formula>ABS(W$16-W$19)&gt;=1000</formula>
    </cfRule>
  </conditionalFormatting>
  <conditionalFormatting sqref="Y14">
    <cfRule type="expression" dxfId="2331" priority="16">
      <formula>ABS(Y$16-Y$19)&gt;=1000</formula>
    </cfRule>
  </conditionalFormatting>
  <conditionalFormatting sqref="X14">
    <cfRule type="expression" dxfId="2330" priority="15">
      <formula>ABS(X$16-X$19)&gt;=1000</formula>
    </cfRule>
  </conditionalFormatting>
  <conditionalFormatting sqref="T10:Y10">
    <cfRule type="expression" dxfId="2329" priority="14">
      <formula>ABS(T$7-T$10)&gt;=1000</formula>
    </cfRule>
  </conditionalFormatting>
  <conditionalFormatting sqref="W19">
    <cfRule type="expression" dxfId="2328" priority="13">
      <formula>ABS(W$16-W$19)&gt;=1000</formula>
    </cfRule>
  </conditionalFormatting>
  <conditionalFormatting sqref="AC5">
    <cfRule type="expression" dxfId="2327" priority="12">
      <formula>ABS(AC$7-AC$10)&gt;=1000</formula>
    </cfRule>
  </conditionalFormatting>
  <conditionalFormatting sqref="M14">
    <cfRule type="expression" dxfId="2326" priority="11">
      <formula>ABS(M$16-M$19)&gt;=1000</formula>
    </cfRule>
  </conditionalFormatting>
  <conditionalFormatting sqref="M16">
    <cfRule type="expression" dxfId="2325" priority="10">
      <formula>ABS(M$16-M$19)&gt;=1000</formula>
    </cfRule>
  </conditionalFormatting>
  <conditionalFormatting sqref="M19">
    <cfRule type="expression" dxfId="2324" priority="9">
      <formula>ABS(M$16-M$19)&gt;=1000</formula>
    </cfRule>
  </conditionalFormatting>
  <conditionalFormatting sqref="K13:K20">
    <cfRule type="expression" dxfId="2323" priority="8">
      <formula>ABS(K$16-K$19)&gt;=1000</formula>
    </cfRule>
  </conditionalFormatting>
  <conditionalFormatting sqref="E5">
    <cfRule type="expression" dxfId="2322" priority="7">
      <formula>ABS(E$7-E$10)&gt;=1000</formula>
    </cfRule>
  </conditionalFormatting>
  <conditionalFormatting sqref="AB14:AC14">
    <cfRule type="expression" dxfId="2321" priority="6">
      <formula>ABS(AB$16-AB$19)&gt;=1000</formula>
    </cfRule>
  </conditionalFormatting>
  <conditionalFormatting sqref="M5">
    <cfRule type="expression" dxfId="2320" priority="5">
      <formula>ABS(M$7-M$10)&gt;=1000</formula>
    </cfRule>
  </conditionalFormatting>
  <conditionalFormatting sqref="N5">
    <cfRule type="expression" dxfId="2319" priority="4">
      <formula>ABS(N$7-N$10)&gt;=1000</formula>
    </cfRule>
  </conditionalFormatting>
  <conditionalFormatting sqref="O5">
    <cfRule type="expression" dxfId="2318" priority="3">
      <formula>ABS(O$7-O$10)&gt;=1000</formula>
    </cfRule>
  </conditionalFormatting>
  <conditionalFormatting sqref="P5">
    <cfRule type="expression" dxfId="2317" priority="2">
      <formula>ABS(P$7-P$10)&gt;=1000</formula>
    </cfRule>
  </conditionalFormatting>
  <conditionalFormatting sqref="L23">
    <cfRule type="expression" dxfId="2316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5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2">
    <pageSetUpPr fitToPage="1"/>
  </sheetPr>
  <dimension ref="A1:CU223"/>
  <sheetViews>
    <sheetView view="pageBreakPreview" zoomScale="80" zoomScaleNormal="100" zoomScaleSheetLayoutView="80" workbookViewId="0">
      <selection activeCell="G4" sqref="G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45813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53" t="s" ph="1">
        <v>178</v>
      </c>
      <c r="D6" s="71">
        <v>4940</v>
      </c>
      <c r="E6" s="71">
        <v>4701</v>
      </c>
      <c r="F6" s="71">
        <v>7138</v>
      </c>
      <c r="G6" s="71">
        <v>6088</v>
      </c>
      <c r="H6" s="71">
        <v>1028</v>
      </c>
      <c r="I6" s="71">
        <v>25.62</v>
      </c>
      <c r="J6" s="71">
        <v>7.71</v>
      </c>
      <c r="K6" s="71">
        <v>17.91</v>
      </c>
      <c r="L6" s="71">
        <v>65.92</v>
      </c>
      <c r="M6" s="71">
        <v>4021</v>
      </c>
      <c r="N6" s="71">
        <v>4442</v>
      </c>
      <c r="O6" s="71">
        <v>1031</v>
      </c>
      <c r="P6" s="71">
        <v>2938</v>
      </c>
      <c r="Q6" s="71">
        <v>7212</v>
      </c>
      <c r="R6" s="71">
        <v>6992</v>
      </c>
      <c r="S6" s="71">
        <v>4439</v>
      </c>
      <c r="T6" s="71">
        <v>4013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1827</v>
      </c>
      <c r="AA6" s="71">
        <v>1184</v>
      </c>
      <c r="AB6" s="71">
        <v>1887</v>
      </c>
      <c r="AC6" s="71">
        <v>4136</v>
      </c>
      <c r="AD6" s="71">
        <v>4397</v>
      </c>
      <c r="AE6" s="71">
        <v>3330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154960.65458639999</v>
      </c>
      <c r="E7" s="73" ph="1">
        <f>E6*51.53*LOOKUP(E8,密度!$A$2:$A$50,密度!$B$2:$B$50)</f>
        <v>188440.464087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244369.84299</v>
      </c>
      <c r="H7" s="73" ph="1">
        <f>(H6)*51.53*LOOKUP(H8,密度!$A$2:$A$50,密度!$B$2:$B$50)</f>
        <v>41440.652732000002</v>
      </c>
      <c r="I7" s="73" ph="1">
        <f>I6*290.8*1.0267</f>
        <v>7649.2189031999997</v>
      </c>
      <c r="J7" s="73" ph="1">
        <f>J6*290.8*0.7892</f>
        <v>1769.4400656000003</v>
      </c>
      <c r="K7" s="73" ph="1">
        <f>K6*290.8*1.1126</f>
        <v>5794.6744728000003</v>
      </c>
      <c r="L7" s="73" ph="1">
        <f>L6*290.8*0.777</f>
        <v>14894.729472000001</v>
      </c>
      <c r="M7" s="73" ph="1">
        <f>M6*33.183*LOOKUP(M8,密度!$A$2:$A$50,密度!$D$2:$D$50)</f>
        <v>136617.79234769999</v>
      </c>
      <c r="N7" s="73" ph="1">
        <f>N6*33.183*LOOKUP(N8,密度!$A$2:$A$50,密度!$E$2:$E$50)</f>
        <v>115118.529966</v>
      </c>
      <c r="O7" s="73" ph="1">
        <f>O6*20.428*LOOKUP(O8,密度!$A$2:$A$50,密度!$C$2:$C$50)</f>
        <v>23291.656281200001</v>
      </c>
      <c r="P7" s="73" ph="1">
        <f>P6*51.53*LOOKUP(P8,密度!$A$2:$A$50,密度!$B$2:$B$50)</f>
        <v>117770.27940600002</v>
      </c>
      <c r="Q7" s="73" ph="1">
        <f>Q6*1.5*1.5*3.1416*LOOKUP(W8,密度!$A$2:$A$50,密度!$L$2:$L$50)</f>
        <v>47665.124892</v>
      </c>
      <c r="R7" s="73" ph="1">
        <f>R6*1.5*1.5*3.1416*LOOKUP(R8,密度!$A$2:$A$50,密度!$L$2:$L$50)</f>
        <v>46013.419267200006</v>
      </c>
      <c r="S7" s="73" ph="1">
        <f>S6*1.5*1.5*3.1416*LOOKUP(S8,密度!$A$2:$A$50,密度!$L$2:$L$50)</f>
        <v>29588.997022199997</v>
      </c>
      <c r="T7" s="73" ph="1">
        <f>T6*1.5*1.5*3.1416*LOOKUP(T8,密度!$A$2:$A$50,密度!$L$2:$L$50)</f>
        <v>26635.948000199998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56684.693835000005</v>
      </c>
      <c r="AA7" s="73" ph="1">
        <f>AA6*33.183*LOOKUP(AA8,密度!$A$2:$A$50,密度!$D$2:$D$50)</f>
        <v>40263.031065599993</v>
      </c>
      <c r="AB7" s="73" ph="1">
        <f>AB6*20.428*LOOKUP(AB8,密度!$A$2:$A$50,密度!$D$2:$D$50)</f>
        <v>39854.400860399997</v>
      </c>
      <c r="AC7" s="73" ph="1">
        <f>AC6*51.53*LOOKUP(AC8,密度!$A$2:$A$50,密度!$Q$2:$Q$50)</f>
        <v>201776.87845920003</v>
      </c>
      <c r="AD7" s="73" ph="1">
        <f>AD6*20.428*LOOKUP(AD8,密度!$A$2:$A$50,密度!$V$2:$V$50)</f>
        <v>86300.896892799996</v>
      </c>
      <c r="AE7" s="73" ph="1">
        <f>AE6*20.428</f>
        <v>68025.240000000005</v>
      </c>
    </row>
    <row r="8" spans="1:99" ph="1">
      <c r="B8" s="256" ph="1"/>
      <c r="C8" s="68" t="s" ph="1">
        <v>180</v>
      </c>
      <c r="D8" s="74">
        <v>27</v>
      </c>
      <c r="E8" s="74">
        <v>27</v>
      </c>
      <c r="F8" s="74">
        <v>25</v>
      </c>
      <c r="G8" s="74">
        <v>26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29</v>
      </c>
      <c r="P8" s="74">
        <v>27</v>
      </c>
      <c r="Q8" s="74">
        <v>26</v>
      </c>
      <c r="R8" s="74">
        <v>31</v>
      </c>
      <c r="S8" s="74">
        <v>19</v>
      </c>
      <c r="T8" s="74">
        <v>23</v>
      </c>
      <c r="U8" s="74">
        <v>26</v>
      </c>
      <c r="V8" s="74">
        <v>27</v>
      </c>
      <c r="W8" s="74">
        <v>27</v>
      </c>
      <c r="X8" s="74">
        <v>28</v>
      </c>
      <c r="Y8" s="74">
        <v>26</v>
      </c>
      <c r="Z8" s="74">
        <v>27</v>
      </c>
      <c r="AA8" s="74">
        <v>27</v>
      </c>
      <c r="AB8" s="74">
        <v>17</v>
      </c>
      <c r="AC8" s="74">
        <v>25</v>
      </c>
      <c r="AD8" s="74">
        <v>25</v>
      </c>
      <c r="AE8" s="74">
        <v>29</v>
      </c>
    </row>
    <row r="9" spans="1:99" ht="26.4" ph="1">
      <c r="B9" s="256" ph="1">
        <v>0.66666666666666663</v>
      </c>
      <c r="C9" s="153" t="s" ph="1">
        <v>181</v>
      </c>
      <c r="D9" s="71">
        <v>4942</v>
      </c>
      <c r="E9" s="71">
        <v>4699</v>
      </c>
      <c r="F9" s="71">
        <v>7140</v>
      </c>
      <c r="G9" s="71">
        <v>8426</v>
      </c>
      <c r="H9" s="71">
        <v>1030</v>
      </c>
      <c r="I9" s="71">
        <v>13.41</v>
      </c>
      <c r="J9" s="71">
        <v>7.82</v>
      </c>
      <c r="K9" s="71">
        <v>7.62</v>
      </c>
      <c r="L9" s="71">
        <v>50.91</v>
      </c>
      <c r="M9" s="71">
        <v>4418</v>
      </c>
      <c r="N9" s="71">
        <v>4444</v>
      </c>
      <c r="O9" s="71">
        <v>1009</v>
      </c>
      <c r="P9" s="71">
        <v>2723</v>
      </c>
      <c r="Q9" s="71">
        <v>5876</v>
      </c>
      <c r="R9" s="71">
        <v>6999</v>
      </c>
      <c r="S9" s="71">
        <v>4443</v>
      </c>
      <c r="T9" s="71">
        <v>6736</v>
      </c>
      <c r="U9" s="71">
        <v>4814</v>
      </c>
      <c r="V9" s="71">
        <v>0</v>
      </c>
      <c r="W9" s="71">
        <v>0</v>
      </c>
      <c r="X9" s="71">
        <v>0</v>
      </c>
      <c r="Y9" s="71">
        <v>0</v>
      </c>
      <c r="Z9" s="71">
        <v>1806</v>
      </c>
      <c r="AA9" s="71">
        <v>896</v>
      </c>
      <c r="AB9" s="71">
        <v>1550</v>
      </c>
      <c r="AC9" s="71">
        <v>4136</v>
      </c>
      <c r="AD9" s="71">
        <v>4402</v>
      </c>
      <c r="AE9" s="71">
        <v>3501</v>
      </c>
    </row>
    <row r="10" spans="1:99" s="72" customFormat="1" ht="22.2" ph="1">
      <c r="B10" s="256" ph="1"/>
      <c r="C10" s="153" t="s" ph="1">
        <v>179</v>
      </c>
      <c r="D10" s="73" ph="1">
        <f>D9*33.183*LOOKUP(D11,密度!$A$2:$A$50,密度!$Q$2:$Q$50)</f>
        <v>154908.59842332001</v>
      </c>
      <c r="E10" s="73" ph="1">
        <f>E9*51.53*LOOKUP(E11,密度!$A$2:$A$50,密度!$B$2:$B$50)</f>
        <v>187948.65661400001</v>
      </c>
      <c r="F10" s="73" ph="1">
        <f>F9*33.183*LOOKUP(F11,密度!$A$2:$A$50,密度!$C$2:$C$50)</f>
        <v>262372.53898799996</v>
      </c>
      <c r="G10" s="73" ph="1">
        <f xml:space="preserve"> (G9+2)*51.53*LOOKUP(G11,密度!$A$2:$A$50,密度!$B$2:$B$50)</f>
        <v>337837.95603600005</v>
      </c>
      <c r="H10" s="73" ph="1">
        <f>(H9)*51.53*LOOKUP(H11,密度!$A$2:$A$50,密度!$B$2:$B$50)</f>
        <v>41330.203329999997</v>
      </c>
      <c r="I10" s="73" ph="1">
        <f>I9*290.8*1.0267</f>
        <v>4003.7480676</v>
      </c>
      <c r="J10" s="73" ph="1">
        <f>J9*290.8*0.7892</f>
        <v>1794.6849952</v>
      </c>
      <c r="K10" s="73" ph="1">
        <f>K9*290.8*1.1126</f>
        <v>2465.4058896000001</v>
      </c>
      <c r="L10" s="73" ph="1">
        <f>L9*290.8*0.777</f>
        <v>11503.195956</v>
      </c>
      <c r="M10" s="73" ph="1">
        <f>M9*33.183*LOOKUP(M11,密度!$A$2:$A$50,密度!$D$2:$D$50)</f>
        <v>149446.58238360001</v>
      </c>
      <c r="N10" s="73" ph="1">
        <f>N9*33.183*LOOKUP(N11,密度!$A$2:$A$50,密度!$E$2:$E$50)</f>
        <v>114993.40350960002</v>
      </c>
      <c r="O10" s="73" ph="1">
        <f>O9*20.428*LOOKUP(O11,密度!$A$2:$A$50,密度!$C$2:$C$50)</f>
        <v>22648.302977600004</v>
      </c>
      <c r="P10" s="73" ph="1">
        <f>P9*51.53*LOOKUP(P11,密度!$A$2:$A$50,密度!$B$2:$B$50)</f>
        <v>108787.14210700001</v>
      </c>
      <c r="Q10" s="73" ph="1">
        <f>Q9*1.5*1.5*3.1416*LOOKUP(W11,密度!$A$2:$A$50,密度!$L$2:$L$50)</f>
        <v>38461.496673599999</v>
      </c>
      <c r="R10" s="73" ph="1">
        <f>R9*1.5*1.5*3.1416*LOOKUP(R11,密度!$A$2:$A$50,密度!$L$2:$L$50)</f>
        <v>45960.539070600003</v>
      </c>
      <c r="S10" s="73" ph="1">
        <f>S9*1.5*1.5*3.1416*LOOKUP(S11,密度!$A$2:$A$50,密度!$L$2:$L$50)</f>
        <v>29552.848201799996</v>
      </c>
      <c r="T10" s="73" ph="1">
        <f>T9*1.5*1.5*3.1416*LOOKUP(T11,密度!$A$2:$A$50,密度!$L$2:$L$50)</f>
        <v>44709.630134399995</v>
      </c>
      <c r="U10" s="73" ph="1">
        <f>U9*1.5*1.5*3.1416*LOOKUP(U11,密度!$A$2:$A$50,密度!$L$2:$L$50)</f>
        <v>31850.433014400005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56033.145630000006</v>
      </c>
      <c r="AA10" s="73" ph="1">
        <f>AA9*33.183*LOOKUP(AA11,密度!$A$2:$A$50,密度!$D$2:$D$50)</f>
        <v>30255.250636800003</v>
      </c>
      <c r="AB10" s="73" ph="1">
        <f>AB9*20.428*LOOKUP(AB11,密度!$A$2:$A$50,密度!$D$2:$D$50)</f>
        <v>32657.630760000004</v>
      </c>
      <c r="AC10" s="73" ph="1">
        <f>AC9*51.53*LOOKUP(AC11,密度!$A$2:$A$50,密度!$Q$2:$Q$50)</f>
        <v>201050.11170640003</v>
      </c>
      <c r="AD10" s="73" ph="1">
        <f>AD9*20.428*LOOKUP(AD11,密度!$A$2:$A$50,密度!$V$2:$V$50)</f>
        <v>86111.276025600004</v>
      </c>
      <c r="AE10" s="73" ph="1">
        <f>AE9*20.428</f>
        <v>71518.428</v>
      </c>
    </row>
    <row r="11" spans="1:99" ph="1">
      <c r="A11" s="64" t="s" ph="1">
        <v>163</v>
      </c>
      <c r="B11" s="256" ph="1"/>
      <c r="C11" s="153" t="s" ph="1">
        <v>180</v>
      </c>
      <c r="D11" s="74">
        <v>28</v>
      </c>
      <c r="E11" s="74">
        <v>29</v>
      </c>
      <c r="F11" s="74">
        <v>27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28</v>
      </c>
      <c r="O11" s="74">
        <v>36</v>
      </c>
      <c r="P11" s="74">
        <v>30</v>
      </c>
      <c r="Q11" s="74">
        <v>28</v>
      </c>
      <c r="R11" s="74">
        <v>33</v>
      </c>
      <c r="S11" s="74">
        <v>21</v>
      </c>
      <c r="T11" s="74">
        <v>23</v>
      </c>
      <c r="U11" s="74">
        <v>26</v>
      </c>
      <c r="V11" s="74">
        <v>28</v>
      </c>
      <c r="W11" s="74">
        <v>36</v>
      </c>
      <c r="X11" s="74">
        <v>25</v>
      </c>
      <c r="Y11" s="74">
        <v>32</v>
      </c>
      <c r="Z11" s="74">
        <v>27</v>
      </c>
      <c r="AA11" s="74">
        <v>35</v>
      </c>
      <c r="AB11" s="74">
        <v>20</v>
      </c>
      <c r="AC11" s="74">
        <v>30</v>
      </c>
      <c r="AD11" s="74">
        <v>27</v>
      </c>
      <c r="AE11" s="74">
        <v>34</v>
      </c>
    </row>
    <row r="12" spans="1:99" ht="9.9" customHeight="1" ph="1"/>
    <row r="13" spans="1:99" s="72" customFormat="1" ht="29.25" customHeight="1" ph="1">
      <c r="B13" s="233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53" t="s" ph="1">
        <v>178</v>
      </c>
      <c r="D15" s="78">
        <v>0</v>
      </c>
      <c r="E15" s="78">
        <v>3071</v>
      </c>
      <c r="F15" s="78">
        <v>3483</v>
      </c>
      <c r="G15" s="78">
        <v>3929</v>
      </c>
      <c r="H15" s="78">
        <v>2142</v>
      </c>
      <c r="I15" s="78">
        <v>117</v>
      </c>
      <c r="J15" s="78">
        <v>1652</v>
      </c>
      <c r="K15" s="78">
        <v>892</v>
      </c>
      <c r="L15" s="78">
        <v>5631</v>
      </c>
      <c r="M15" s="78">
        <v>924</v>
      </c>
      <c r="N15" s="78">
        <v>4754</v>
      </c>
      <c r="O15" s="78">
        <v>6072</v>
      </c>
      <c r="P15" s="78">
        <v>7148</v>
      </c>
      <c r="Q15" s="78">
        <v>0</v>
      </c>
      <c r="R15" s="78">
        <v>3507</v>
      </c>
      <c r="S15" s="78">
        <v>6909</v>
      </c>
      <c r="T15" s="78">
        <v>2750</v>
      </c>
      <c r="U15" s="78">
        <v>4662</v>
      </c>
      <c r="V15" s="78">
        <v>594</v>
      </c>
      <c r="W15" s="71">
        <v>-792</v>
      </c>
      <c r="X15" s="78">
        <v>25</v>
      </c>
      <c r="Y15" s="106">
        <v>-9908</v>
      </c>
      <c r="Z15" s="78">
        <v>0</v>
      </c>
      <c r="AA15" s="78">
        <v>4221</v>
      </c>
      <c r="AB15" s="78" ph="1">
        <v>2362</v>
      </c>
      <c r="AC15" s="78" ph="1">
        <v>0</v>
      </c>
      <c r="AD15" s="78">
        <v>75.11</v>
      </c>
      <c r="AE15" s="78">
        <v>27.62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53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20296.672011000002</v>
      </c>
      <c r="F16" s="73" ph="1">
        <f>F15*9.0746*LOOKUP(F17,密度!$A$2:$A$50,密度!$L$2:$L$50)</f>
        <v>29457.5672376</v>
      </c>
      <c r="G16" s="73" ph="1">
        <f>G15*9.0746*LOOKUP(G17,密度!$A$2:$A$50,密度!$B$2:$B$50)</f>
        <v>27763.85031758</v>
      </c>
      <c r="H16" s="73" ph="1">
        <f>H15*9.0746*LOOKUP(H17,密度!$A$2:$A$50,密度!$L$2:$L$50)</f>
        <v>18174.336642000002</v>
      </c>
      <c r="I16" s="73" ph="1">
        <f>I15*9.0746*LOOKUP(I17,密度!$A$2:$A$50,密度!$U$2:$U$50)</f>
        <v>1087.2096768000001</v>
      </c>
      <c r="J16" s="73" ph="1">
        <f>J15*9.0746*LOOKUP(J17,密度!$A$2:$A$50,密度!$L$2:$L$50)</f>
        <v>14001.817412800001</v>
      </c>
      <c r="K16" s="73" ph="1">
        <f>K15*9.0746*LOOKUP(K17,密度!$A$2:$A$50,密度!$C$2:$C$50)</f>
        <v>8976.03895448</v>
      </c>
      <c r="L16" s="73" ph="1">
        <f>L15*9.0746*LOOKUP(L17,密度!$A$2:$A$50,密度!$E$2:$E$50)</f>
        <v>39908.375700600001</v>
      </c>
      <c r="M16" s="73" ph="1">
        <f>M15*9.0746*LOOKUP(M17,密度!$A$2:$A$50,密度!$M$2:$M$50)</f>
        <v>7311.6593088000009</v>
      </c>
      <c r="N16" s="73" ph="1">
        <f>N15*9.0746*LOOKUP(N17,密度!$A$2:$A$50,密度!$M$2:$M$50)</f>
        <v>37752.381414839998</v>
      </c>
      <c r="O16" s="73" ph="1">
        <f>O15*9.0746*LOOKUP(O17,密度!$A$2:$A$50,密度!$G$2:$G$50)</f>
        <v>52786.730409600001</v>
      </c>
      <c r="P16" s="73" ph="1">
        <f ca="1">P15*9.0746*LOOKUP(P17,密度!$A$2:$A$51,密度!$Q$2:$Q$50)</f>
        <v>61318.409433056004</v>
      </c>
      <c r="Q16" s="73" ph="1">
        <f>Q15*9.0746*LOOKUP(Q17,密度!$A$2:$A$50,密度!$Q$2:$Q$50)</f>
        <v>0</v>
      </c>
      <c r="R16" s="73" ph="1">
        <f>MAX(R15*9.0746*LOOKUP(R17,密度!$A$2:$A$50,密度!$B$2:$B$50),0)</f>
        <v>24756.373609380003</v>
      </c>
      <c r="S16" s="73" ph="1">
        <f>S15*9.0746*LOOKUP(S17,密度!$A$2:$A$50,密度!$Q$2:$Q$50)</f>
        <v>59268.171624648006</v>
      </c>
      <c r="T16" s="73" ph="1">
        <f>T15*9.0746*LOOKUP(T17,密度!$A$2:$A$50,密度!$O$2:$O$50)</f>
        <v>23108.468900000003</v>
      </c>
      <c r="U16" s="73" ph="1">
        <f>U15*9.0746*LOOKUP(U17,密度!$A$2:$A$50,密度!$H$2:$H$50)</f>
        <v>38663.257094280001</v>
      </c>
      <c r="V16" s="73" ph="1">
        <f>MAX(5600*LOOKUP(V17,密度!$A$2:$A$50,密度!$Q$2:$Q$50)+V15*9.0476*LOOKUP(V17,密度!$A$2:$A$50,密度!$Q$2:$Q$50),0)</f>
        <v>10374.201075808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6065.0637899999992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29861.709993359997</v>
      </c>
      <c r="AB16" s="73" ph="1">
        <f>AB15*9.0746*LOOKUP(AB17,密度!$A$2:$A$50,密度!$L$2:$L$50)</f>
        <v>20062.4160672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16953.614122079998</v>
      </c>
      <c r="AE16" s="73" ph="1">
        <f>AE15*268.68*LOOKUP(AE17,密度!$A$2:$A$50,密度!B2:B50)+IF(AE15&lt;=0,0,1566*LOOKUP(AE17,密度!$A$2:$A$50,密度!B2:B50))</f>
        <v>7006.2196713600006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27</v>
      </c>
      <c r="E17" s="74">
        <v>27</v>
      </c>
      <c r="F17" s="74">
        <v>30</v>
      </c>
      <c r="G17" s="74">
        <v>26</v>
      </c>
      <c r="H17" s="74">
        <v>27</v>
      </c>
      <c r="I17" s="74">
        <v>26</v>
      </c>
      <c r="J17" s="74">
        <v>28</v>
      </c>
      <c r="K17" s="74">
        <v>25</v>
      </c>
      <c r="L17" s="74">
        <v>27</v>
      </c>
      <c r="M17" s="74">
        <v>28</v>
      </c>
      <c r="N17" s="74">
        <v>25</v>
      </c>
      <c r="O17" s="74">
        <v>27</v>
      </c>
      <c r="P17" s="74">
        <v>27</v>
      </c>
      <c r="Q17" s="74">
        <v>27</v>
      </c>
      <c r="R17" s="74">
        <v>27</v>
      </c>
      <c r="S17" s="74">
        <v>27</v>
      </c>
      <c r="T17" s="74">
        <v>26</v>
      </c>
      <c r="U17" s="74">
        <v>26</v>
      </c>
      <c r="V17" s="74">
        <v>27</v>
      </c>
      <c r="W17" s="74">
        <v>26</v>
      </c>
      <c r="X17" s="74">
        <v>26</v>
      </c>
      <c r="Y17" s="108">
        <v>27</v>
      </c>
      <c r="Z17" s="74">
        <v>27</v>
      </c>
      <c r="AA17" s="74">
        <v>25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4708</v>
      </c>
      <c r="F18" s="71">
        <v>3483</v>
      </c>
      <c r="G18" s="71">
        <v>3970</v>
      </c>
      <c r="H18" s="71">
        <v>3753</v>
      </c>
      <c r="I18" s="71">
        <v>116</v>
      </c>
      <c r="J18" s="71">
        <v>1653</v>
      </c>
      <c r="K18" s="71">
        <v>892</v>
      </c>
      <c r="L18" s="71">
        <v>5641</v>
      </c>
      <c r="M18" s="71">
        <v>2778</v>
      </c>
      <c r="N18" s="71">
        <v>3784</v>
      </c>
      <c r="O18" s="71">
        <v>6078</v>
      </c>
      <c r="P18" s="71">
        <v>7157</v>
      </c>
      <c r="Q18" s="71">
        <v>0</v>
      </c>
      <c r="R18" s="71">
        <v>3510</v>
      </c>
      <c r="S18" s="71">
        <v>6916</v>
      </c>
      <c r="T18" s="71">
        <v>2752</v>
      </c>
      <c r="U18" s="71">
        <v>6459</v>
      </c>
      <c r="V18" s="71">
        <v>595</v>
      </c>
      <c r="W18" s="71">
        <v>-792</v>
      </c>
      <c r="X18" s="71">
        <v>24</v>
      </c>
      <c r="Y18" s="109">
        <v>-9907</v>
      </c>
      <c r="Z18" s="71">
        <v>0</v>
      </c>
      <c r="AA18" s="71">
        <v>4223</v>
      </c>
      <c r="AB18" s="71">
        <v>2364</v>
      </c>
      <c r="AC18" s="71">
        <v>0</v>
      </c>
      <c r="AD18" s="71">
        <v>74.81</v>
      </c>
      <c r="AE18" s="71">
        <v>56.62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53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31082.556859200005</v>
      </c>
      <c r="F19" s="73" ph="1">
        <f>F18*9.0746*LOOKUP(F20,密度!$A$2:$A$50,密度!$L$2:$L$50)</f>
        <v>29299.533078600001</v>
      </c>
      <c r="G19" s="73" ph="1">
        <f>G18*9.0746*LOOKUP(G20,密度!$A$2:$A$50,密度!$B$2:$B$50)</f>
        <v>28024.751419800003</v>
      </c>
      <c r="H19" s="73" ph="1">
        <f>H18*9.0746*LOOKUP(H20,密度!$A$2:$A$50,密度!$L$2:$L$50)</f>
        <v>31672.985634000001</v>
      </c>
      <c r="I19" s="73" ph="1">
        <f>I18*9.0746*LOOKUP(I20,密度!$A$2:$A$50,密度!$U$2:$U$50)</f>
        <v>1067.6012811200001</v>
      </c>
      <c r="J19" s="73" ph="1">
        <f>J18*9.0746*LOOKUP(J20,密度!$A$2:$A$50,密度!$L$2:$L$50)</f>
        <v>13965.292147800001</v>
      </c>
      <c r="K19" s="73" ph="1">
        <f>K18*9.0746*LOOKUP(K20,密度!$A$2:$A$50,密度!$C$2:$C$50)</f>
        <v>8911.2826088799993</v>
      </c>
      <c r="L19" s="73" ph="1">
        <f>L18*9.0746*LOOKUP(L20,密度!$A$2:$A$50,密度!$E$2:$E$50)</f>
        <v>39917.820544280003</v>
      </c>
      <c r="M19" s="73" ph="1">
        <f>M18*9.0746*LOOKUP(M20,密度!$A$2:$A$50,密度!$M$2:$M$50)</f>
        <v>21929.51683212</v>
      </c>
      <c r="N19" s="73" ph="1">
        <f>N18*9.0746*LOOKUP(N20,密度!$A$2:$A$50,密度!$M$2:$M$50)</f>
        <v>29980.757855839998</v>
      </c>
      <c r="O19" s="73" ph="1">
        <f>O18*9.0746*LOOKUP(O20,密度!$A$2:$A$50,密度!$G$2:$G$50)</f>
        <v>52723.064830919997</v>
      </c>
      <c r="P19" s="73" ph="1">
        <f ca="1">P18*9.0746*LOOKUP(P20,密度!$A$2:$A$51,密度!$Q$2:$Q$50)</f>
        <v>61350.152202363999</v>
      </c>
      <c r="Q19" s="73" ph="1">
        <f>Q18*9.0746*LOOKUP(Q20,密度!$A$2:$A$50,密度!$Q$2:$Q$50)</f>
        <v>0</v>
      </c>
      <c r="R19" s="73" ph="1">
        <f>MAX(R18*9.0746*LOOKUP(R20,密度!$A$2:$A$50,密度!$B$2:$B$50),0)</f>
        <v>24694.736203799999</v>
      </c>
      <c r="S19" s="73" ph="1">
        <f>S18*9.0746*LOOKUP(S20,密度!$A$2:$A$50,密度!$Q$2:$Q$50)</f>
        <v>59240.984123048009</v>
      </c>
      <c r="T19" s="73" ph="1">
        <f>T18*9.0746*LOOKUP(T20,密度!$A$2:$A$50,密度!$O$2:$O$50)</f>
        <v>23125.275059200001</v>
      </c>
      <c r="U19" s="73" ph="1">
        <f>U18*9.0746*LOOKUP(U20,密度!$A$2:$A$50,密度!$H$2:$H$50)</f>
        <v>53507.662914060005</v>
      </c>
      <c r="V19" s="73" ph="1">
        <f>MAX(5600*LOOKUP(V20,密度!$A$2:$A$50,密度!$Q$2:$Q$50)+V18*9.0476*LOOKUP(V20,密度!$A$2:$A$50,密度!$Q$2:$Q$50),0)</f>
        <v>10352.659650759999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6030.0498118400001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29810.711648820001</v>
      </c>
      <c r="AB19" s="73" ph="1">
        <f>AB18*9.0746*LOOKUP(AB20,密度!$A$2:$A$50,密度!$L$2:$L$50)</f>
        <v>20036.4990096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16834.443771600003</v>
      </c>
      <c r="AE19" s="73" ph="1">
        <f>AE18*268.68*LOOKUP(AE20,密度!$A$2:$A$50,密度!B5:B53)+IF(AE18&lt;=0,0,1566*LOOKUP(AE20,密度!$A$2:$A$50,密度!B5:B53))</f>
        <v>13037.0200632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29</v>
      </c>
      <c r="E20" s="81">
        <v>28</v>
      </c>
      <c r="F20" s="81">
        <v>35</v>
      </c>
      <c r="G20" s="81">
        <v>27</v>
      </c>
      <c r="H20" s="81">
        <v>32</v>
      </c>
      <c r="I20" s="81">
        <v>36</v>
      </c>
      <c r="J20" s="81">
        <v>31</v>
      </c>
      <c r="K20" s="81">
        <v>34</v>
      </c>
      <c r="L20" s="81">
        <v>28</v>
      </c>
      <c r="M20" s="81">
        <v>30</v>
      </c>
      <c r="N20" s="81">
        <v>27</v>
      </c>
      <c r="O20" s="81">
        <v>29</v>
      </c>
      <c r="P20" s="81">
        <v>28</v>
      </c>
      <c r="Q20" s="81">
        <v>31</v>
      </c>
      <c r="R20" s="81">
        <v>30</v>
      </c>
      <c r="S20" s="81">
        <v>29</v>
      </c>
      <c r="T20" s="81">
        <v>28</v>
      </c>
      <c r="U20" s="81">
        <v>27</v>
      </c>
      <c r="V20" s="81">
        <v>31</v>
      </c>
      <c r="W20" s="81">
        <v>29</v>
      </c>
      <c r="X20" s="81">
        <v>30</v>
      </c>
      <c r="Y20" s="110">
        <v>31</v>
      </c>
      <c r="Z20" s="81">
        <v>34</v>
      </c>
      <c r="AA20" s="81">
        <v>27</v>
      </c>
      <c r="AB20" s="81">
        <v>28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53" t="s" ph="1">
        <v>178</v>
      </c>
      <c r="D24" s="71">
        <v>90.81</v>
      </c>
      <c r="E24" s="71">
        <v>95.61</v>
      </c>
      <c r="F24" s="71">
        <v>3994</v>
      </c>
      <c r="G24" s="71">
        <v>2365</v>
      </c>
      <c r="H24" s="71">
        <v>2455</v>
      </c>
      <c r="I24" s="71">
        <v>3289</v>
      </c>
      <c r="J24" s="71">
        <v>5399</v>
      </c>
      <c r="K24" s="71">
        <v>37</v>
      </c>
      <c r="L24" s="71">
        <v>1130</v>
      </c>
      <c r="M24" s="71">
        <v>5244</v>
      </c>
      <c r="N24" s="71">
        <v>5319</v>
      </c>
      <c r="O24" s="71">
        <v>3688</v>
      </c>
      <c r="P24" s="71">
        <v>882</v>
      </c>
      <c r="Q24" s="90">
        <v>983</v>
      </c>
      <c r="R24" s="71">
        <v>1742</v>
      </c>
      <c r="S24" s="71">
        <v>1583</v>
      </c>
      <c r="T24" s="71">
        <v>1760</v>
      </c>
      <c r="U24" s="71">
        <v>5931</v>
      </c>
      <c r="V24" s="71">
        <v>9627</v>
      </c>
      <c r="W24" s="71">
        <v>10728</v>
      </c>
      <c r="X24" s="71">
        <v>1353</v>
      </c>
      <c r="Y24" s="71">
        <v>6735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24581.943911592003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44182.165752159999</v>
      </c>
      <c r="G25" s="91" ph="1">
        <f>G24*18.322*LOOKUP(G26,密度!$A$2:$A$50,密度!$B$2:$B$50)</f>
        <v>33707.597186999999</v>
      </c>
      <c r="H25" s="91" ph="1">
        <f>H24*18.322*LOOKUP(H26,密度!$A$2:$A$50,密度!$B$2:$B$50)</f>
        <v>34990.338728999996</v>
      </c>
      <c r="I25" s="91" ph="1">
        <f>I24*18.322*LOOKUP(I26,密度!$A$2:$A$50,密度!$Q$2:$Q$50)</f>
        <v>57008.768699740001</v>
      </c>
      <c r="J25" s="91" ph="1">
        <f>J24*18.322*LOOKUP(J26,密度!$A$2:$A$50,密度!$Q$2:$Q$50)</f>
        <v>93511.506262960014</v>
      </c>
      <c r="K25" s="91" ph="1">
        <f>K24*18.322*LOOKUP(K26,密度!$A$2:$A$50,密度!$Q$2:$Q$50)</f>
        <v>640.84566247999999</v>
      </c>
      <c r="L25" s="91" ph="1">
        <f>L24*18.322*LOOKUP(L26,密度!$A$2:$A$50,密度!$Q$2:$Q$50)</f>
        <v>19557.280233199999</v>
      </c>
      <c r="M25" s="91" ph="1">
        <f>M24*18.322*LOOKUP(M26,密度!$A$2:$A$50,密度!$Q$2:$Q$50)</f>
        <v>90826.882541760002</v>
      </c>
      <c r="N25" s="91" ph="1">
        <f>N24*18.322*LOOKUP(N26,密度!$A$2:$A$50,密度!$Q$2:$Q$50)</f>
        <v>92125.894019760002</v>
      </c>
      <c r="O25" s="91" ph="1">
        <f>O24*18.322*LOOKUP(O26,密度!$A$2:$A$50,密度!$C$2:$C$50)</f>
        <v>74876.019041599997</v>
      </c>
      <c r="P25" s="91" ph="1">
        <f>P24*11.702*LOOKUP(P26,密度!$A$2:$A$50,密度!$B$2:$B$50)</f>
        <v>8037.0904068</v>
      </c>
      <c r="Q25" s="92" ph="1">
        <f>Q24*18.322*LOOKUP(Q26,密度!$A$2:$A$50,密度!$B$2:$B$50)</f>
        <v>14010.388175399999</v>
      </c>
      <c r="R25" s="91" ph="1">
        <f>R24*35.891*LOOKUP(R26,密度!$A$2:$A$50,密度!$C$2:$C$50)</f>
        <v>69236.997902799994</v>
      </c>
      <c r="S25" s="91" ph="1">
        <f>S24*35.891*LOOKUP(S26,密度!$A$2:$A$50,密度!$B$2:$B$50)</f>
        <v>44196.740888699998</v>
      </c>
      <c r="T25" s="91" ph="1">
        <f>T24*35.891*LOOKUP(T26,密度!$A$2:$A$50,密度!$Q$2:$Q$50)</f>
        <v>59669.9072992</v>
      </c>
      <c r="U25" s="91" ph="1">
        <f>U24*35.891</f>
        <v>212869.52099999998</v>
      </c>
      <c r="V25" s="91" ph="1">
        <f>V24*47.051*LOOKUP(V26,密度!$A$2:$A$50,密度!$B$2:$B$50)</f>
        <v>352357.5661083</v>
      </c>
      <c r="W25" s="91" ph="1">
        <f>W24*47.051*LOOKUP(W26,密度!$A$2:$A$50,密度!$B$2:$B$50)</f>
        <v>392655.23727120005</v>
      </c>
      <c r="X25" s="91" ph="1">
        <f>X24*47.051*LOOKUP(X26,密度!$A$2:$A$50,密度!$I$2:$I$50)</f>
        <v>66136.377116699994</v>
      </c>
      <c r="Y25" s="91" ph="1">
        <f>Y24*47.051*LOOKUP(Y26,密度!$A$2:$A$50,密度!$L$2:$L$50)</f>
        <v>295973.84499000001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26</v>
      </c>
      <c r="J26" s="74">
        <v>27</v>
      </c>
      <c r="K26" s="74">
        <v>27</v>
      </c>
      <c r="L26" s="74">
        <v>28</v>
      </c>
      <c r="M26" s="74">
        <v>27</v>
      </c>
      <c r="N26" s="74">
        <v>27</v>
      </c>
      <c r="O26" s="74">
        <v>26</v>
      </c>
      <c r="P26" s="74">
        <v>26</v>
      </c>
      <c r="Q26" s="93">
        <v>27</v>
      </c>
      <c r="R26" s="74">
        <v>27</v>
      </c>
      <c r="S26" s="74">
        <v>27</v>
      </c>
      <c r="T26" s="74">
        <v>28</v>
      </c>
      <c r="U26" s="74">
        <v>28</v>
      </c>
      <c r="V26" s="74">
        <v>27</v>
      </c>
      <c r="W26" s="74">
        <v>27</v>
      </c>
      <c r="X26" s="74">
        <v>28</v>
      </c>
      <c r="Y26" s="74">
        <v>28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53" t="s" ph="1">
        <v>181</v>
      </c>
      <c r="D27" s="71">
        <v>90.92</v>
      </c>
      <c r="E27" s="71">
        <v>95.61</v>
      </c>
      <c r="F27" s="71">
        <v>3996</v>
      </c>
      <c r="G27" s="71">
        <v>1867</v>
      </c>
      <c r="H27" s="71">
        <v>1971</v>
      </c>
      <c r="I27" s="71">
        <v>3291</v>
      </c>
      <c r="J27" s="71">
        <v>5401</v>
      </c>
      <c r="K27" s="71">
        <v>36</v>
      </c>
      <c r="L27" s="71">
        <v>1126</v>
      </c>
      <c r="M27" s="71">
        <v>5246</v>
      </c>
      <c r="N27" s="71">
        <v>5319</v>
      </c>
      <c r="O27" s="71">
        <v>3685</v>
      </c>
      <c r="P27" s="71">
        <v>880</v>
      </c>
      <c r="Q27" s="90">
        <v>752</v>
      </c>
      <c r="R27" s="71">
        <v>1739</v>
      </c>
      <c r="S27" s="71">
        <v>2193</v>
      </c>
      <c r="T27" s="71">
        <v>1758</v>
      </c>
      <c r="U27" s="71">
        <v>5782</v>
      </c>
      <c r="V27" s="71">
        <v>9630</v>
      </c>
      <c r="W27" s="71">
        <v>10730</v>
      </c>
      <c r="X27" s="71">
        <v>1920</v>
      </c>
      <c r="Y27" s="71">
        <v>5135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53" t="s" ph="1">
        <v>179</v>
      </c>
      <c r="D28" s="91" ph="1">
        <f>D27*268.68*LOOKUP(D29,密度!$A$2:$A$50,密度!$Q$2:$Q$50)+IF(D27&lt;=0,0,1566*LOOKUP(D29,密度!$A$2:$A$50,密度!$Q$2:$Q$50))</f>
        <v>24609.924622944003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44204.290021440007</v>
      </c>
      <c r="G28" s="91" ph="1">
        <f>G27*18.322*LOOKUP(G29,密度!$A$2:$A$50,密度!$B$2:$B$50)</f>
        <v>26578.974198</v>
      </c>
      <c r="H28" s="91" ph="1">
        <f>H27*18.322*LOOKUP(H29,密度!$A$2:$A$50,密度!$B$2:$B$50)</f>
        <v>28059.538374</v>
      </c>
      <c r="I28" s="91" ph="1">
        <f>I27*18.322*LOOKUP(I29,密度!$A$2:$A$50,密度!$Q$2:$Q$50)</f>
        <v>56958.41526324</v>
      </c>
      <c r="J28" s="91" ph="1">
        <f>J27*18.322*LOOKUP(J29,密度!$A$2:$A$50,密度!$Q$2:$Q$50)</f>
        <v>93546.146569039993</v>
      </c>
      <c r="K28" s="91" ph="1">
        <f>K27*18.322*LOOKUP(K29,密度!$A$2:$A$50,密度!$Q$2:$Q$50)</f>
        <v>624.46213007999995</v>
      </c>
      <c r="L28" s="91" ph="1">
        <f>L27*18.322*LOOKUP(L29,密度!$A$2:$A$50,密度!$Q$2:$Q$50)</f>
        <v>19517.14002916</v>
      </c>
      <c r="M28" s="91" ph="1">
        <f>M27*18.322*LOOKUP(M29,密度!$A$2:$A$50,密度!$Q$2:$Q$50)</f>
        <v>90861.522847840009</v>
      </c>
      <c r="N28" s="91" ph="1">
        <f>N27*18.322*LOOKUP(N29,密度!$A$2:$A$50,密度!$Q$2:$Q$50)</f>
        <v>92125.894019760002</v>
      </c>
      <c r="O28" s="91" ph="1">
        <f>O27*18.322*LOOKUP(O29,密度!$A$2:$A$50,密度!$C$2:$C$50)</f>
        <v>74815.111216999998</v>
      </c>
      <c r="P28" s="91" ph="1">
        <f>P27*11.702*LOOKUP(P29,密度!$A$2:$A$50,密度!$B$2:$B$50)</f>
        <v>8018.8657119999998</v>
      </c>
      <c r="Q28" s="92" ph="1">
        <f>Q27*18.322*LOOKUP(Q29,密度!$A$2:$A$50,密度!$B$2:$B$50)</f>
        <v>10705.617888000001</v>
      </c>
      <c r="R28" s="91" ph="1">
        <f>R27*35.891*LOOKUP(R29,密度!$A$2:$A$50,密度!$C$2:$C$50)</f>
        <v>69117.760822600001</v>
      </c>
      <c r="S28" s="91" ph="1">
        <f>S27*35.891*LOOKUP(S29,密度!$A$2:$A$50,密度!$B$2:$B$50)</f>
        <v>61290.6694881</v>
      </c>
      <c r="T28" s="91" ph="1">
        <f>T27*35.891*LOOKUP(T29,密度!$A$2:$A$50,密度!$Q$2:$Q$50)</f>
        <v>59691.066479339999</v>
      </c>
      <c r="U28" s="91" ph="1">
        <f>U27*35.891</f>
        <v>207521.76199999999</v>
      </c>
      <c r="V28" s="91" ph="1">
        <f>V27*47.051*LOOKUP(V29,密度!$A$2:$A$50,密度!$B$2:$B$50)</f>
        <v>352467.36902700004</v>
      </c>
      <c r="W28" s="91" ph="1">
        <f>W27*47.051*LOOKUP(W29,密度!$A$2:$A$50,密度!$B$2:$B$50)</f>
        <v>393132.32500100002</v>
      </c>
      <c r="X28" s="91" ph="1">
        <f>X27*47.051*LOOKUP(X29,密度!$A$2:$A$50,密度!$I$2:$I$50)</f>
        <v>93852.065087999988</v>
      </c>
      <c r="Y28" s="91" ph="1">
        <f>Y27*47.051*LOOKUP(Y29,密度!$A$2:$A$50,密度!$L$2:$L$50)</f>
        <v>225177.61682000002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53" t="s" ph="1">
        <v>180</v>
      </c>
      <c r="D29" s="74">
        <v>25</v>
      </c>
      <c r="E29" s="74">
        <v>25</v>
      </c>
      <c r="F29" s="74">
        <v>27</v>
      </c>
      <c r="G29" s="74">
        <v>28</v>
      </c>
      <c r="H29" s="74">
        <v>28</v>
      </c>
      <c r="I29" s="74">
        <v>28</v>
      </c>
      <c r="J29" s="74">
        <v>27</v>
      </c>
      <c r="K29" s="74">
        <v>25</v>
      </c>
      <c r="L29" s="74">
        <v>26</v>
      </c>
      <c r="M29" s="74">
        <v>27</v>
      </c>
      <c r="N29" s="74">
        <v>27</v>
      </c>
      <c r="O29" s="74">
        <v>26</v>
      </c>
      <c r="P29" s="74">
        <v>26</v>
      </c>
      <c r="Q29" s="93">
        <v>28</v>
      </c>
      <c r="R29" s="74">
        <v>27</v>
      </c>
      <c r="S29" s="74">
        <v>26</v>
      </c>
      <c r="T29" s="74">
        <v>26</v>
      </c>
      <c r="U29" s="74">
        <v>27</v>
      </c>
      <c r="V29" s="74">
        <v>27</v>
      </c>
      <c r="W29" s="74">
        <v>26</v>
      </c>
      <c r="X29" s="74">
        <v>28</v>
      </c>
      <c r="Y29" s="74">
        <v>30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62912.881396800003</v>
      </c>
      <c r="E33" s="205" ph="1">
        <f>M10+I10</f>
        <v>153450.33045120002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31" ph="1">
        <v>0</v>
      </c>
      <c r="H33" s="205" ph="1">
        <f>N19</f>
        <v>29980.757855839998</v>
      </c>
      <c r="I33" s="209" ph="1">
        <v>0</v>
      </c>
      <c r="J33" s="213" ph="1">
        <f>F10+O28</f>
        <v>337187.65020499995</v>
      </c>
      <c r="K33" s="205" ph="1">
        <f>O10+K10+E28+R28</f>
        <v>124453.97897352</v>
      </c>
      <c r="L33" s="215" ph="1">
        <f>BE27</f>
        <v>7100</v>
      </c>
      <c r="M33" s="213" ph="1">
        <f>G10+H10+W28+S28+V28+E10</f>
        <v>1374007.1794961002</v>
      </c>
      <c r="N33" s="205" ph="1">
        <f>L10+P10++G28+H28</f>
        <v>174928.85063500001</v>
      </c>
      <c r="O33" s="209" ph="1">
        <f>BE17</f>
        <v>2270</v>
      </c>
      <c r="P33" s="213" ph="1">
        <f>L19</f>
        <v>39917.820544280003</v>
      </c>
      <c r="Q33" s="205" ph="1">
        <f>J10+N10</f>
        <v>116788.08850480002</v>
      </c>
      <c r="R33" s="209" ph="1">
        <f>BE23</f>
        <v>890</v>
      </c>
      <c r="S33" s="213" ph="1">
        <f>E10+X28</f>
        <v>281800.72170200001</v>
      </c>
      <c r="T33" s="205" ph="1">
        <f>X19</f>
        <v>6030.0498118400001</v>
      </c>
      <c r="U33" s="194" ph="1">
        <f>BE21</f>
        <v>730</v>
      </c>
      <c r="V33" s="207" ph="1">
        <f ca="1">P19+Q19+S19+M28+N28+J28</f>
        <v>397124.69976205204</v>
      </c>
      <c r="W33" s="207" ph="1">
        <f>D28+F28+V19+T28</f>
        <v>138857.94077448401</v>
      </c>
      <c r="X33" s="209" ph="1">
        <f>BE29+BE31</f>
        <v>10200</v>
      </c>
      <c r="Y33" s="211" ph="1">
        <f>+Q10+R10+S10+T10+U10+V10+W10+X10+Y10</f>
        <v>190534.94709480001</v>
      </c>
      <c r="Z33" s="192" ph="1">
        <f>D10+T19+U19+Y28+Z10</f>
        <v>512752.29884658003</v>
      </c>
      <c r="AA33" s="194" ph="1">
        <f>BE19</f>
        <v>1440</v>
      </c>
      <c r="AB33" s="196" ph="1">
        <f>I19</f>
        <v>1067.6012811200001</v>
      </c>
      <c r="AC33" s="198" ph="1">
        <f>AD10</f>
        <v>86111.276025600004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51" t="s" ph="1">
        <v>186</v>
      </c>
      <c r="AA36" s="151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345</v>
      </c>
      <c r="AI37" s="151" t="s" ph="1">
        <v>212</v>
      </c>
      <c r="AJ37" s="151" t="s" ph="1">
        <v>213</v>
      </c>
      <c r="AK37" s="151" t="s" ph="1">
        <v>214</v>
      </c>
      <c r="AM37" s="151" t="s" ph="1">
        <v>213</v>
      </c>
      <c r="AN37" s="151" t="s" ph="1">
        <v>214</v>
      </c>
      <c r="AO37" s="151" t="s" ph="1">
        <v>215</v>
      </c>
      <c r="AP37" s="151" t="s" ph="1">
        <v>213</v>
      </c>
      <c r="AQ37" s="151" t="s" ph="1">
        <v>214</v>
      </c>
      <c r="AR37" s="151" t="s" ph="1">
        <v>215</v>
      </c>
      <c r="AS37" s="151" t="s" ph="1">
        <v>213</v>
      </c>
      <c r="AT37" s="151" t="s" ph="1">
        <v>214</v>
      </c>
      <c r="AU37" s="151" t="s" ph="1">
        <v>215</v>
      </c>
      <c r="AV37" s="151" t="s" ph="1">
        <v>213</v>
      </c>
      <c r="AW37" s="151" t="s" ph="1">
        <v>214</v>
      </c>
      <c r="AX37" s="151" t="s" ph="1">
        <v>215</v>
      </c>
      <c r="AY37" s="151" t="s" ph="1">
        <v>214</v>
      </c>
      <c r="AZ37" s="151" t="s" ph="1">
        <v>216</v>
      </c>
      <c r="BD37" s="151" t="s" ph="1">
        <v>308</v>
      </c>
      <c r="BE37" s="15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85" priority="97">
      <formula>ABS(D$7-D$10)&gt;=1000</formula>
    </cfRule>
  </conditionalFormatting>
  <conditionalFormatting sqref="E4 E6:E11">
    <cfRule type="expression" dxfId="2284" priority="96">
      <formula>ABS(E$7-E$10)&gt;=1000</formula>
    </cfRule>
  </conditionalFormatting>
  <conditionalFormatting sqref="F4:F11">
    <cfRule type="expression" dxfId="2283" priority="95">
      <formula>ABS(F$7-F$10)&gt;=1000</formula>
    </cfRule>
  </conditionalFormatting>
  <conditionalFormatting sqref="G4:G11">
    <cfRule type="expression" dxfId="2282" priority="94">
      <formula>ABS(G$7-G$10)&gt;=1000</formula>
    </cfRule>
  </conditionalFormatting>
  <conditionalFormatting sqref="H4:H11">
    <cfRule type="expression" dxfId="2281" priority="93">
      <formula>ABS(H$7-H$10)&gt;=1000</formula>
    </cfRule>
  </conditionalFormatting>
  <conditionalFormatting sqref="I4:I11">
    <cfRule type="expression" dxfId="2280" priority="92">
      <formula>ABS(I$7-I$10)&gt;=1000</formula>
    </cfRule>
  </conditionalFormatting>
  <conditionalFormatting sqref="J4:J11">
    <cfRule type="expression" dxfId="2279" priority="91">
      <formula>ABS(J$7-J$10)&gt;=1000</formula>
    </cfRule>
  </conditionalFormatting>
  <conditionalFormatting sqref="K4:K11">
    <cfRule type="expression" dxfId="2278" priority="90">
      <formula>ABS(K$7-K$10)&gt;=1000</formula>
    </cfRule>
  </conditionalFormatting>
  <conditionalFormatting sqref="L4:L11">
    <cfRule type="expression" dxfId="2277" priority="89">
      <formula>ABS(L$7-L$10)&gt;=1000</formula>
    </cfRule>
  </conditionalFormatting>
  <conditionalFormatting sqref="M4 M6:M11">
    <cfRule type="expression" dxfId="2276" priority="88">
      <formula>ABS(M$7-M$10)&gt;=1000</formula>
    </cfRule>
  </conditionalFormatting>
  <conditionalFormatting sqref="N4 N6:N11">
    <cfRule type="expression" dxfId="2275" priority="87">
      <formula>ABS(N$7-N$10)&gt;=1000</formula>
    </cfRule>
  </conditionalFormatting>
  <conditionalFormatting sqref="O4 O6:O11">
    <cfRule type="expression" dxfId="2274" priority="86">
      <formula>ABS(O$7-O$10)&gt;=1000</formula>
    </cfRule>
  </conditionalFormatting>
  <conditionalFormatting sqref="P4 P6:P11">
    <cfRule type="expression" dxfId="2273" priority="85">
      <formula>ABS(P$7-P$10)&gt;=1000</formula>
    </cfRule>
  </conditionalFormatting>
  <conditionalFormatting sqref="Q4:Q11">
    <cfRule type="expression" dxfId="2272" priority="84">
      <formula>ABS(Q$7-Q$10)&gt;=1000</formula>
    </cfRule>
  </conditionalFormatting>
  <conditionalFormatting sqref="R4:R11">
    <cfRule type="expression" dxfId="2271" priority="83">
      <formula>ABS(R$7-R$10)&gt;=1000</formula>
    </cfRule>
  </conditionalFormatting>
  <conditionalFormatting sqref="S4:S11">
    <cfRule type="expression" dxfId="2270" priority="82">
      <formula>ABS(S$7-S$10)&gt;=1000</formula>
    </cfRule>
  </conditionalFormatting>
  <conditionalFormatting sqref="T4:T9 T11">
    <cfRule type="expression" dxfId="2269" priority="81">
      <formula>ABS(T$7-T$10)&gt;=1000</formula>
    </cfRule>
  </conditionalFormatting>
  <conditionalFormatting sqref="U4:U9 U11">
    <cfRule type="expression" dxfId="2268" priority="80">
      <formula>ABS(U$7-U$10)&gt;=1000</formula>
    </cfRule>
  </conditionalFormatting>
  <conditionalFormatting sqref="V4:V9 V11">
    <cfRule type="expression" dxfId="2267" priority="79">
      <formula>ABS(V$7-V$10)&gt;=1000</formula>
    </cfRule>
  </conditionalFormatting>
  <conditionalFormatting sqref="W4:W9 W11">
    <cfRule type="expression" dxfId="2266" priority="78">
      <formula>ABS(W$7-W$10)&gt;=1000</formula>
    </cfRule>
  </conditionalFormatting>
  <conditionalFormatting sqref="X4:X9 X11">
    <cfRule type="expression" dxfId="2265" priority="77">
      <formula>ABS(X$7-X$10)&gt;=1000</formula>
    </cfRule>
  </conditionalFormatting>
  <conditionalFormatting sqref="Y4:Y9 Y11">
    <cfRule type="expression" dxfId="2264" priority="76">
      <formula>ABS(Y$7-Y$10)&gt;=1000</formula>
    </cfRule>
  </conditionalFormatting>
  <conditionalFormatting sqref="Z4:Z11">
    <cfRule type="expression" dxfId="2263" priority="75">
      <formula>ABS(Z$7-Z$10)&gt;=1000</formula>
    </cfRule>
  </conditionalFormatting>
  <conditionalFormatting sqref="AA4:AA11">
    <cfRule type="expression" dxfId="2262" priority="74">
      <formula>ABS(AA$7-AA$10)&gt;=1000</formula>
    </cfRule>
  </conditionalFormatting>
  <conditionalFormatting sqref="AB4:AB11">
    <cfRule type="expression" dxfId="2261" priority="73">
      <formula>ABS(AB$7-AB$10)&gt;=1000</formula>
    </cfRule>
  </conditionalFormatting>
  <conditionalFormatting sqref="AC4 AC6:AC11">
    <cfRule type="expression" dxfId="2260" priority="72">
      <formula>ABS(AC$7-AC$10)&gt;=1000</formula>
    </cfRule>
  </conditionalFormatting>
  <conditionalFormatting sqref="AD4:AD11">
    <cfRule type="expression" dxfId="2259" priority="71">
      <formula>ABS(AD$7-AD$10)&gt;=1000</formula>
    </cfRule>
  </conditionalFormatting>
  <conditionalFormatting sqref="AE4:AE11">
    <cfRule type="expression" dxfId="2258" priority="70">
      <formula>ABS(AE$7-AE$10)&gt;=1000</formula>
    </cfRule>
  </conditionalFormatting>
  <conditionalFormatting sqref="D13:D20">
    <cfRule type="expression" dxfId="2257" priority="69">
      <formula>ABS(D$16-D$19)&gt;=1000</formula>
    </cfRule>
  </conditionalFormatting>
  <conditionalFormatting sqref="E13:E20">
    <cfRule type="expression" dxfId="2256" priority="68">
      <formula>ABS(E$16-E$19)&gt;=1000</formula>
    </cfRule>
  </conditionalFormatting>
  <conditionalFormatting sqref="F13 F15:F20">
    <cfRule type="expression" dxfId="2255" priority="67">
      <formula>ABS(F$16-F$19)&gt;=1000</formula>
    </cfRule>
  </conditionalFormatting>
  <conditionalFormatting sqref="G13:G20">
    <cfRule type="expression" dxfId="2254" priority="66">
      <formula>ABS(G$16-G$19)&gt;=1000</formula>
    </cfRule>
  </conditionalFormatting>
  <conditionalFormatting sqref="H13:H20">
    <cfRule type="expression" dxfId="2253" priority="65">
      <formula>ABS(H$16-H$19)&gt;=1000</formula>
    </cfRule>
  </conditionalFormatting>
  <conditionalFormatting sqref="I13:I20">
    <cfRule type="expression" dxfId="2252" priority="64">
      <formula>ABS(I$16-I$19)&gt;=1000</formula>
    </cfRule>
  </conditionalFormatting>
  <conditionalFormatting sqref="J13:J20">
    <cfRule type="expression" dxfId="2251" priority="63">
      <formula>ABS(J$16-J$19)&gt;=1000</formula>
    </cfRule>
  </conditionalFormatting>
  <conditionalFormatting sqref="L13:L20">
    <cfRule type="expression" dxfId="2250" priority="62">
      <formula>ABS(L$16-L$19)&gt;=1000</formula>
    </cfRule>
  </conditionalFormatting>
  <conditionalFormatting sqref="M13 M15 M17:M18 M20">
    <cfRule type="expression" dxfId="2249" priority="61">
      <formula>ABS(M$16-M$19)&gt;=1000</formula>
    </cfRule>
  </conditionalFormatting>
  <conditionalFormatting sqref="N13:N20">
    <cfRule type="expression" dxfId="2248" priority="60">
      <formula>ABS(N$16-N$19)&gt;=1000</formula>
    </cfRule>
  </conditionalFormatting>
  <conditionalFormatting sqref="O13:O20">
    <cfRule type="expression" dxfId="2247" priority="59">
      <formula>ABS(O$16-O$19)&gt;=1000</formula>
    </cfRule>
  </conditionalFormatting>
  <conditionalFormatting sqref="P13:P20">
    <cfRule type="expression" dxfId="2246" priority="58">
      <formula>ABS(P$16-P$19)&gt;=1000</formula>
    </cfRule>
  </conditionalFormatting>
  <conditionalFormatting sqref="Q13 Q15:Q20">
    <cfRule type="expression" dxfId="2245" priority="57">
      <formula>ABS(Q$16-Q$19)&gt;=1000</formula>
    </cfRule>
  </conditionalFormatting>
  <conditionalFormatting sqref="R13:R20">
    <cfRule type="expression" dxfId="2244" priority="56">
      <formula>ABS(R$16-R$19)&gt;=1000</formula>
    </cfRule>
  </conditionalFormatting>
  <conditionalFormatting sqref="S13:S20">
    <cfRule type="expression" dxfId="2243" priority="55">
      <formula>ABS(S$16-S$19)&gt;=1000</formula>
    </cfRule>
  </conditionalFormatting>
  <conditionalFormatting sqref="T13:T20">
    <cfRule type="expression" dxfId="2242" priority="54">
      <formula>ABS(T$16-T$19)&gt;=1000</formula>
    </cfRule>
  </conditionalFormatting>
  <conditionalFormatting sqref="U13:U20">
    <cfRule type="expression" dxfId="2241" priority="53">
      <formula>ABS(U$16-U$19)&gt;=1000</formula>
    </cfRule>
  </conditionalFormatting>
  <conditionalFormatting sqref="V13:V20">
    <cfRule type="expression" dxfId="2240" priority="52">
      <formula>ABS(V$16-V$19)&gt;=1000</formula>
    </cfRule>
  </conditionalFormatting>
  <conditionalFormatting sqref="W13 W20 W15:W18">
    <cfRule type="expression" dxfId="2239" priority="51">
      <formula>ABS(W$16-W$19)&gt;=1000</formula>
    </cfRule>
  </conditionalFormatting>
  <conditionalFormatting sqref="X13 X15:X20 Y19">
    <cfRule type="expression" dxfId="2238" priority="50">
      <formula>ABS(X$16-X$19)&gt;=1000</formula>
    </cfRule>
  </conditionalFormatting>
  <conditionalFormatting sqref="Y13 Y15:Y18 Y20">
    <cfRule type="expression" dxfId="2237" priority="49">
      <formula>ABS(Y$16-Y$19)&gt;=1000</formula>
    </cfRule>
  </conditionalFormatting>
  <conditionalFormatting sqref="Z13:Z20">
    <cfRule type="expression" dxfId="2236" priority="48">
      <formula>ABS(Z$16-Z$19)&gt;=1000</formula>
    </cfRule>
  </conditionalFormatting>
  <conditionalFormatting sqref="AA13:AA20">
    <cfRule type="expression" dxfId="2235" priority="47">
      <formula>ABS(AA$16-AA$19)&gt;=1000</formula>
    </cfRule>
  </conditionalFormatting>
  <conditionalFormatting sqref="AB13 AB15:AB20">
    <cfRule type="expression" dxfId="2234" priority="46">
      <formula>ABS(AB$16-AB$19)&gt;=1000</formula>
    </cfRule>
  </conditionalFormatting>
  <conditionalFormatting sqref="AC13 AC15:AC20">
    <cfRule type="expression" dxfId="2233" priority="45">
      <formula>ABS(AC$16-AC$19)&gt;=1000</formula>
    </cfRule>
  </conditionalFormatting>
  <conditionalFormatting sqref="AD13:AD20">
    <cfRule type="expression" dxfId="2232" priority="44">
      <formula>ABS(AD$16-AD$19)&gt;=1000</formula>
    </cfRule>
  </conditionalFormatting>
  <conditionalFormatting sqref="AE13:AE20">
    <cfRule type="expression" dxfId="2231" priority="43">
      <formula>ABS(AE$16-AE$19)&gt;=1000</formula>
    </cfRule>
  </conditionalFormatting>
  <conditionalFormatting sqref="D22:D29">
    <cfRule type="expression" dxfId="2230" priority="42">
      <formula>ABS(D$25-D$28)&gt;=1000</formula>
    </cfRule>
  </conditionalFormatting>
  <conditionalFormatting sqref="E22:E29">
    <cfRule type="expression" dxfId="2229" priority="41">
      <formula>ABS(E$25-E$28)&gt;=1000</formula>
    </cfRule>
  </conditionalFormatting>
  <conditionalFormatting sqref="F22:F29">
    <cfRule type="expression" dxfId="2228" priority="40">
      <formula>ABS(F$25-F$28)&gt;=1000</formula>
    </cfRule>
  </conditionalFormatting>
  <conditionalFormatting sqref="G22:G29">
    <cfRule type="expression" dxfId="2227" priority="39">
      <formula>ABS(G$25-G$28)&gt;=1000</formula>
    </cfRule>
  </conditionalFormatting>
  <conditionalFormatting sqref="H22:H29">
    <cfRule type="expression" dxfId="2226" priority="38">
      <formula>ABS(H$25-H$28)&gt;=1000</formula>
    </cfRule>
  </conditionalFormatting>
  <conditionalFormatting sqref="I22 I24:I29">
    <cfRule type="expression" dxfId="2225" priority="37">
      <formula>ABS(I$25-I$28)&gt;=1000</formula>
    </cfRule>
  </conditionalFormatting>
  <conditionalFormatting sqref="J22:J29 K22">
    <cfRule type="expression" dxfId="2224" priority="36">
      <formula>ABS(J$25-J$28)&gt;=1000</formula>
    </cfRule>
  </conditionalFormatting>
  <conditionalFormatting sqref="K23:K29 L25 L28">
    <cfRule type="expression" dxfId="2223" priority="35">
      <formula>ABS(K$25-K$28)&gt;=1000</formula>
    </cfRule>
  </conditionalFormatting>
  <conditionalFormatting sqref="L22 L26:L27 L29 L24">
    <cfRule type="expression" dxfId="2222" priority="34">
      <formula>ABS(L$25-L$28)&gt;=1000</formula>
    </cfRule>
  </conditionalFormatting>
  <conditionalFormatting sqref="M22:M29">
    <cfRule type="expression" dxfId="2221" priority="33">
      <formula>ABS(M$25-M$28)&gt;=1000</formula>
    </cfRule>
  </conditionalFormatting>
  <conditionalFormatting sqref="N22:N29">
    <cfRule type="expression" dxfId="2220" priority="32">
      <formula>ABS(N$25-N$28)&gt;=1000</formula>
    </cfRule>
  </conditionalFormatting>
  <conditionalFormatting sqref="O22:O29">
    <cfRule type="expression" dxfId="2219" priority="31">
      <formula>ABS(O$25-O$28)&gt;=1000</formula>
    </cfRule>
  </conditionalFormatting>
  <conditionalFormatting sqref="P22:P29">
    <cfRule type="expression" dxfId="2218" priority="30">
      <formula>ABS(P$25-P$28)&gt;=1000</formula>
    </cfRule>
  </conditionalFormatting>
  <conditionalFormatting sqref="Q22:Q29">
    <cfRule type="expression" dxfId="2217" priority="29">
      <formula>ABS(Q$25-Q$28)&gt;=1000</formula>
    </cfRule>
  </conditionalFormatting>
  <conditionalFormatting sqref="R22:R29">
    <cfRule type="expression" dxfId="2216" priority="28">
      <formula>ABS(R$25-R$28)&gt;=1000</formula>
    </cfRule>
  </conditionalFormatting>
  <conditionalFormatting sqref="S22:S29">
    <cfRule type="expression" dxfId="2215" priority="27">
      <formula>ABS(S$25-S$28)&gt;=1000</formula>
    </cfRule>
  </conditionalFormatting>
  <conditionalFormatting sqref="T22:T29">
    <cfRule type="expression" dxfId="2214" priority="26">
      <formula>ABS(T$25-T$28)&gt;=1000</formula>
    </cfRule>
  </conditionalFormatting>
  <conditionalFormatting sqref="U22:U29">
    <cfRule type="expression" dxfId="2213" priority="25">
      <formula>ABS(U$25-U$28)&gt;=1000</formula>
    </cfRule>
  </conditionalFormatting>
  <conditionalFormatting sqref="V22:V29">
    <cfRule type="expression" dxfId="2212" priority="24">
      <formula>ABS(V$25-V$28)&gt;=1000</formula>
    </cfRule>
  </conditionalFormatting>
  <conditionalFormatting sqref="W22:W29">
    <cfRule type="expression" dxfId="2211" priority="23">
      <formula>ABS(W$25-W$28)&gt;=1000</formula>
    </cfRule>
  </conditionalFormatting>
  <conditionalFormatting sqref="X22:X29">
    <cfRule type="expression" dxfId="2210" priority="22">
      <formula>ABS(X$25-X$28)&gt;=1000</formula>
    </cfRule>
  </conditionalFormatting>
  <conditionalFormatting sqref="Y22:Y29">
    <cfRule type="expression" dxfId="2209" priority="21">
      <formula>ABS(Y$25-Y$28)&gt;=1000</formula>
    </cfRule>
  </conditionalFormatting>
  <conditionalFormatting sqref="I23">
    <cfRule type="expression" dxfId="2208" priority="20">
      <formula>ABS(I$25-I$28)&gt;=1000</formula>
    </cfRule>
  </conditionalFormatting>
  <conditionalFormatting sqref="F14">
    <cfRule type="expression" dxfId="2207" priority="19">
      <formula>ABS(F$16-F$19)&gt;=1000</formula>
    </cfRule>
  </conditionalFormatting>
  <conditionalFormatting sqref="Q14">
    <cfRule type="expression" dxfId="2206" priority="18">
      <formula>ABS(Q$16-Q$19)&gt;=1000</formula>
    </cfRule>
  </conditionalFormatting>
  <conditionalFormatting sqref="W14">
    <cfRule type="expression" dxfId="2205" priority="17">
      <formula>ABS(W$16-W$19)&gt;=1000</formula>
    </cfRule>
  </conditionalFormatting>
  <conditionalFormatting sqref="Y14">
    <cfRule type="expression" dxfId="2204" priority="16">
      <formula>ABS(Y$16-Y$19)&gt;=1000</formula>
    </cfRule>
  </conditionalFormatting>
  <conditionalFormatting sqref="X14">
    <cfRule type="expression" dxfId="2203" priority="15">
      <formula>ABS(X$16-X$19)&gt;=1000</formula>
    </cfRule>
  </conditionalFormatting>
  <conditionalFormatting sqref="T10:Y10">
    <cfRule type="expression" dxfId="2202" priority="14">
      <formula>ABS(T$7-T$10)&gt;=1000</formula>
    </cfRule>
  </conditionalFormatting>
  <conditionalFormatting sqref="W19">
    <cfRule type="expression" dxfId="2201" priority="13">
      <formula>ABS(W$16-W$19)&gt;=1000</formula>
    </cfRule>
  </conditionalFormatting>
  <conditionalFormatting sqref="AC5">
    <cfRule type="expression" dxfId="2200" priority="12">
      <formula>ABS(AC$7-AC$10)&gt;=1000</formula>
    </cfRule>
  </conditionalFormatting>
  <conditionalFormatting sqref="M14">
    <cfRule type="expression" dxfId="2199" priority="11">
      <formula>ABS(M$16-M$19)&gt;=1000</formula>
    </cfRule>
  </conditionalFormatting>
  <conditionalFormatting sqref="M16">
    <cfRule type="expression" dxfId="2198" priority="10">
      <formula>ABS(M$16-M$19)&gt;=1000</formula>
    </cfRule>
  </conditionalFormatting>
  <conditionalFormatting sqref="M19">
    <cfRule type="expression" dxfId="2197" priority="9">
      <formula>ABS(M$16-M$19)&gt;=1000</formula>
    </cfRule>
  </conditionalFormatting>
  <conditionalFormatting sqref="K13:K20">
    <cfRule type="expression" dxfId="2196" priority="8">
      <formula>ABS(K$16-K$19)&gt;=1000</formula>
    </cfRule>
  </conditionalFormatting>
  <conditionalFormatting sqref="E5">
    <cfRule type="expression" dxfId="2195" priority="7">
      <formula>ABS(E$7-E$10)&gt;=1000</formula>
    </cfRule>
  </conditionalFormatting>
  <conditionalFormatting sqref="AB14:AC14">
    <cfRule type="expression" dxfId="2194" priority="6">
      <formula>ABS(AB$16-AB$19)&gt;=1000</formula>
    </cfRule>
  </conditionalFormatting>
  <conditionalFormatting sqref="M5">
    <cfRule type="expression" dxfId="2193" priority="5">
      <formula>ABS(M$7-M$10)&gt;=1000</formula>
    </cfRule>
  </conditionalFormatting>
  <conditionalFormatting sqref="N5">
    <cfRule type="expression" dxfId="2192" priority="4">
      <formula>ABS(N$7-N$10)&gt;=1000</formula>
    </cfRule>
  </conditionalFormatting>
  <conditionalFormatting sqref="O5">
    <cfRule type="expression" dxfId="2191" priority="3">
      <formula>ABS(O$7-O$10)&gt;=1000</formula>
    </cfRule>
  </conditionalFormatting>
  <conditionalFormatting sqref="P5">
    <cfRule type="expression" dxfId="2190" priority="2">
      <formula>ABS(P$7-P$10)&gt;=1000</formula>
    </cfRule>
  </conditionalFormatting>
  <conditionalFormatting sqref="L23">
    <cfRule type="expression" dxfId="2189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69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3">
    <pageSetUpPr fitToPage="1"/>
  </sheetPr>
  <dimension ref="A1:CU223"/>
  <sheetViews>
    <sheetView view="pageBreakPreview" zoomScale="80" zoomScaleNormal="100" zoomScaleSheetLayoutView="80" workbookViewId="0">
      <selection activeCell="W4" sqref="W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45814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54" t="s" ph="1">
        <v>178</v>
      </c>
      <c r="D6" s="71">
        <v>4942</v>
      </c>
      <c r="E6" s="71">
        <v>4701</v>
      </c>
      <c r="F6" s="71">
        <v>7138</v>
      </c>
      <c r="G6" s="71">
        <v>7818</v>
      </c>
      <c r="H6" s="71">
        <v>1030</v>
      </c>
      <c r="I6" s="71">
        <v>51.21</v>
      </c>
      <c r="J6" s="71">
        <v>7.83</v>
      </c>
      <c r="K6" s="71">
        <v>17.52</v>
      </c>
      <c r="L6" s="71">
        <v>41.33</v>
      </c>
      <c r="M6" s="71">
        <v>4641</v>
      </c>
      <c r="N6" s="71">
        <v>4443</v>
      </c>
      <c r="O6" s="71">
        <v>1009</v>
      </c>
      <c r="P6" s="71">
        <v>3414</v>
      </c>
      <c r="Q6" s="71">
        <v>3171</v>
      </c>
      <c r="R6" s="71">
        <v>6998</v>
      </c>
      <c r="S6" s="71">
        <v>4443</v>
      </c>
      <c r="T6" s="71">
        <v>6734</v>
      </c>
      <c r="U6" s="71">
        <v>4817</v>
      </c>
      <c r="V6" s="71">
        <v>0</v>
      </c>
      <c r="W6" s="71">
        <v>0</v>
      </c>
      <c r="X6" s="71">
        <v>0</v>
      </c>
      <c r="Y6" s="71">
        <v>0</v>
      </c>
      <c r="Z6" s="71">
        <v>2373</v>
      </c>
      <c r="AA6" s="71">
        <v>914</v>
      </c>
      <c r="AB6" s="71">
        <v>1551</v>
      </c>
      <c r="AC6" s="71">
        <v>4138</v>
      </c>
      <c r="AD6" s="71">
        <v>4399</v>
      </c>
      <c r="AE6" s="71">
        <v>3501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155023.39169352001</v>
      </c>
      <c r="E7" s="73" ph="1">
        <f>E6*51.53*LOOKUP(E8,密度!$A$2:$A$50,密度!$B$2:$B$50)</f>
        <v>188634.25811099997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313788.53402000002</v>
      </c>
      <c r="H7" s="73" ph="1">
        <f>(H6)*51.53*LOOKUP(H8,密度!$A$2:$A$50,密度!$B$2:$B$50)</f>
        <v>41569.044880000001</v>
      </c>
      <c r="I7" s="73" ph="1">
        <f>I6*290.8*1.0267</f>
        <v>15289.4808756</v>
      </c>
      <c r="J7" s="73" ph="1">
        <f>J6*290.8*0.7892</f>
        <v>1796.9799888</v>
      </c>
      <c r="K7" s="73" ph="1">
        <f>K6*290.8*1.1126</f>
        <v>5668.4922815999998</v>
      </c>
      <c r="L7" s="73" ph="1">
        <f>L6*290.8*0.777</f>
        <v>9338.5796279999995</v>
      </c>
      <c r="M7" s="73" ph="1">
        <f>M6*33.183*LOOKUP(M8,密度!$A$2:$A$50,密度!$D$2:$D$50)</f>
        <v>157821.56011439997</v>
      </c>
      <c r="N7" s="73" ph="1">
        <f>N6*33.183*LOOKUP(N8,密度!$A$2:$A$50,密度!$E$2:$E$50)</f>
        <v>115144.445889</v>
      </c>
      <c r="O7" s="73" ph="1">
        <f>O6*20.428*LOOKUP(O8,密度!$A$2:$A$50,密度!$C$2:$C$50)</f>
        <v>22794.647126800006</v>
      </c>
      <c r="P7" s="73" ph="1">
        <f>P6*51.53*LOOKUP(P8,密度!$A$2:$A$50,密度!$B$2:$B$50)</f>
        <v>136850.82841800002</v>
      </c>
      <c r="Q7" s="73" ph="1">
        <f>Q6*1.5*1.5*3.1416*LOOKUP(W8,密度!$A$2:$A$50,密度!$L$2:$L$50)</f>
        <v>20980.0006416</v>
      </c>
      <c r="R7" s="73" ph="1">
        <f>R6*1.5*1.5*3.1416*LOOKUP(R8,密度!$A$2:$A$50,密度!$L$2:$L$50)</f>
        <v>46052.904466799999</v>
      </c>
      <c r="S7" s="73" ph="1">
        <f>S6*1.5*1.5*3.1416*LOOKUP(S8,密度!$A$2:$A$50,密度!$L$2:$L$50)</f>
        <v>29584.253991599999</v>
      </c>
      <c r="T7" s="73" ph="1">
        <f>T6*1.5*1.5*3.1416*LOOKUP(T8,密度!$A$2:$A$50,密度!$L$2:$L$50)</f>
        <v>44743.955256000001</v>
      </c>
      <c r="U7" s="73" ph="1">
        <f>U6*1.5*1.5*3.1416*LOOKUP(U8,密度!$A$2:$A$50,密度!$L$2:$L$50)</f>
        <v>31870.2816432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73939.920201000001</v>
      </c>
      <c r="AA7" s="73" ph="1">
        <f>AA6*33.183*LOOKUP(AA8,密度!$A$2:$A$50,密度!$D$2:$D$50)</f>
        <v>31139.053295399997</v>
      </c>
      <c r="AB7" s="73" ph="1">
        <f>AB6*20.428*LOOKUP(AB8,密度!$A$2:$A$50,密度!$D$2:$D$50)</f>
        <v>32757.909769200003</v>
      </c>
      <c r="AC7" s="73" ph="1">
        <f>AC6*51.53*LOOKUP(AC8,密度!$A$2:$A$50,密度!$Q$2:$Q$50)</f>
        <v>201874.44948360001</v>
      </c>
      <c r="AD7" s="73" ph="1">
        <f>AD6*20.428*LOOKUP(AD8,密度!$A$2:$A$50,密度!$V$2:$V$50)</f>
        <v>86340.151337599993</v>
      </c>
      <c r="AE7" s="73" ph="1">
        <f>AE6*20.428</f>
        <v>71518.428</v>
      </c>
    </row>
    <row r="8" spans="1:99" ph="1">
      <c r="B8" s="256" ph="1"/>
      <c r="C8" s="68" t="s" ph="1">
        <v>180</v>
      </c>
      <c r="D8" s="74">
        <v>27</v>
      </c>
      <c r="E8" s="74">
        <v>26</v>
      </c>
      <c r="F8" s="74">
        <v>25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29</v>
      </c>
      <c r="P8" s="74">
        <v>27</v>
      </c>
      <c r="Q8" s="74">
        <v>27</v>
      </c>
      <c r="R8" s="74">
        <v>31</v>
      </c>
      <c r="S8" s="74">
        <v>20</v>
      </c>
      <c r="T8" s="74">
        <v>22</v>
      </c>
      <c r="U8" s="74">
        <v>26</v>
      </c>
      <c r="V8" s="74">
        <v>28</v>
      </c>
      <c r="W8" s="74">
        <v>26</v>
      </c>
      <c r="X8" s="74">
        <v>28</v>
      </c>
      <c r="Y8" s="74">
        <v>26</v>
      </c>
      <c r="Z8" s="74">
        <v>23</v>
      </c>
      <c r="AA8" s="74">
        <v>25</v>
      </c>
      <c r="AB8" s="74">
        <v>17</v>
      </c>
      <c r="AC8" s="74">
        <v>25</v>
      </c>
      <c r="AD8" s="74">
        <v>25</v>
      </c>
      <c r="AE8" s="74">
        <v>31</v>
      </c>
    </row>
    <row r="9" spans="1:99" ht="26.4" ph="1">
      <c r="B9" s="256" ph="1">
        <v>0.66666666666666663</v>
      </c>
      <c r="C9" s="154" t="s" ph="1">
        <v>181</v>
      </c>
      <c r="D9" s="71">
        <v>4943</v>
      </c>
      <c r="E9" s="71">
        <v>4699</v>
      </c>
      <c r="F9" s="71">
        <v>7141</v>
      </c>
      <c r="G9" s="71">
        <v>8829</v>
      </c>
      <c r="H9" s="71">
        <v>2017</v>
      </c>
      <c r="I9" s="71">
        <v>21.82</v>
      </c>
      <c r="J9" s="71">
        <v>7.81</v>
      </c>
      <c r="K9" s="71">
        <v>7.82</v>
      </c>
      <c r="L9" s="71">
        <v>44.51</v>
      </c>
      <c r="M9" s="71">
        <v>5184</v>
      </c>
      <c r="N9" s="71">
        <v>4445</v>
      </c>
      <c r="O9" s="71">
        <v>1007</v>
      </c>
      <c r="P9" s="71">
        <v>3266</v>
      </c>
      <c r="Q9" s="71">
        <v>0</v>
      </c>
      <c r="R9" s="71">
        <v>5976</v>
      </c>
      <c r="S9" s="71">
        <v>4446</v>
      </c>
      <c r="T9" s="71">
        <v>6742</v>
      </c>
      <c r="U9" s="71">
        <v>6821</v>
      </c>
      <c r="V9" s="71">
        <v>2483</v>
      </c>
      <c r="W9" s="71">
        <v>0</v>
      </c>
      <c r="X9" s="71">
        <v>1709</v>
      </c>
      <c r="Y9" s="71">
        <v>0</v>
      </c>
      <c r="Z9" s="71">
        <v>3265</v>
      </c>
      <c r="AA9" s="71">
        <v>615</v>
      </c>
      <c r="AB9" s="71">
        <v>2510</v>
      </c>
      <c r="AC9" s="71">
        <v>4136</v>
      </c>
      <c r="AD9" s="71">
        <v>4433</v>
      </c>
      <c r="AE9" s="71">
        <v>3405</v>
      </c>
    </row>
    <row r="10" spans="1:99" s="72" customFormat="1" ht="22.2" ph="1">
      <c r="B10" s="256" ph="1"/>
      <c r="C10" s="154" t="s" ph="1">
        <v>179</v>
      </c>
      <c r="D10" s="73" ph="1">
        <f>D9*33.183*LOOKUP(D11,密度!$A$2:$A$50,密度!$Q$2:$Q$50)</f>
        <v>154728.35334477</v>
      </c>
      <c r="E10" s="73" ph="1">
        <f>E9*51.53*LOOKUP(E11,密度!$A$2:$A$50,密度!$B$2:$B$50)</f>
        <v>187948.65661400001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353992.28639700002</v>
      </c>
      <c r="H10" s="73" ph="1">
        <f>(H9)*51.53*LOOKUP(H11,密度!$A$2:$A$50,密度!$B$2:$B$50)</f>
        <v>81028.513396000009</v>
      </c>
      <c r="I10" s="73" ph="1">
        <f>I9*290.8*1.0267</f>
        <v>6514.6743352000003</v>
      </c>
      <c r="J10" s="73" ph="1">
        <f>J9*290.8*0.7892</f>
        <v>1792.3900016000002</v>
      </c>
      <c r="K10" s="73" ph="1">
        <f>K9*290.8*1.1126</f>
        <v>2530.1147056</v>
      </c>
      <c r="L10" s="73" ph="1">
        <f>L9*290.8*0.777</f>
        <v>10057.105716</v>
      </c>
      <c r="M10" s="73" ph="1">
        <f>M9*33.183*LOOKUP(M11,密度!$A$2:$A$50,密度!$D$2:$D$50)</f>
        <v>174600.98207999999</v>
      </c>
      <c r="N10" s="73" ph="1">
        <f>N9*33.183*LOOKUP(N11,密度!$A$2:$A$50,密度!$E$2:$E$50)</f>
        <v>114694.78305599999</v>
      </c>
      <c r="O10" s="73" ph="1">
        <f>O9*20.428*LOOKUP(O11,密度!$A$2:$A$50,密度!$C$2:$C$50)</f>
        <v>22517.012221599998</v>
      </c>
      <c r="P10" s="73" ph="1">
        <f>P9*51.53*LOOKUP(P11,密度!$A$2:$A$50,密度!$B$2:$B$50)</f>
        <v>130480.64859400001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39158.290987200002</v>
      </c>
      <c r="S10" s="73" ph="1">
        <f>S9*1.5*1.5*3.1416*LOOKUP(S11,密度!$A$2:$A$50,密度!$L$2:$L$50)</f>
        <v>29509.948868399995</v>
      </c>
      <c r="T10" s="73" ph="1">
        <f>T9*1.5*1.5*3.1416*LOOKUP(T11,密度!$A$2:$A$50,密度!$L$2:$L$50)</f>
        <v>44701.798125599998</v>
      </c>
      <c r="U10" s="73" ph="1">
        <f>U9*1.5*1.5*3.1416*LOOKUP(U11,密度!$A$2:$A$50,密度!$L$2:$L$50)</f>
        <v>45129.165681600003</v>
      </c>
      <c r="V10" s="73" ph="1">
        <f>V9*1.5*1.5*3.1416*LOOKUP(V11,密度!$A$2:$A$50,密度!$L$2:$L$50)</f>
        <v>16392.9457692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11258.781256800001</v>
      </c>
      <c r="Y10" s="73" ph="1">
        <f>Y9*1.5*1.5*3.1416*LOOKUP(Y11,密度!$A$2:$A$50,密度!$L$2:$L$50)</f>
        <v>0</v>
      </c>
      <c r="Z10" s="73" ph="1">
        <f>Z9*33.183*LOOKUP(Z11,密度!$A$2:$A$50,密度!$L$2:$L$50)</f>
        <v>100650.177855</v>
      </c>
      <c r="AA10" s="73" ph="1">
        <f>AA9*33.183*LOOKUP(AA11,密度!$A$2:$A$50,密度!$D$2:$D$50)</f>
        <v>20587.131395999997</v>
      </c>
      <c r="AB10" s="73" ph="1">
        <f>AB9*20.428*LOOKUP(AB11,密度!$A$2:$A$50,密度!$D$2:$D$50)</f>
        <v>52838.145539999998</v>
      </c>
      <c r="AC10" s="73" ph="1">
        <f>AC9*51.53*LOOKUP(AC11,密度!$A$2:$A$50,密度!$Q$2:$Q$50)</f>
        <v>201325.04692960001</v>
      </c>
      <c r="AD10" s="73" ph="1">
        <f>AD9*20.428*LOOKUP(AD11,密度!$A$2:$A$50,密度!$V$2:$V$50)</f>
        <v>86717.693462400013</v>
      </c>
      <c r="AE10" s="73" ph="1">
        <f>AE9*20.428</f>
        <v>69557.34</v>
      </c>
    </row>
    <row r="11" spans="1:99" ph="1">
      <c r="A11" s="64" t="s" ph="1">
        <v>163</v>
      </c>
      <c r="B11" s="256" ph="1"/>
      <c r="C11" s="154" t="s" ph="1">
        <v>180</v>
      </c>
      <c r="D11" s="74">
        <v>30</v>
      </c>
      <c r="E11" s="74">
        <v>29</v>
      </c>
      <c r="F11" s="74">
        <v>29</v>
      </c>
      <c r="G11" s="74">
        <v>27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30</v>
      </c>
      <c r="O11" s="74">
        <v>40</v>
      </c>
      <c r="P11" s="74">
        <v>30</v>
      </c>
      <c r="Q11" s="74">
        <v>39</v>
      </c>
      <c r="R11" s="74">
        <v>35</v>
      </c>
      <c r="S11" s="74">
        <v>23</v>
      </c>
      <c r="T11" s="74">
        <v>24</v>
      </c>
      <c r="U11" s="74">
        <v>26</v>
      </c>
      <c r="V11" s="74">
        <v>28</v>
      </c>
      <c r="W11" s="74">
        <v>42</v>
      </c>
      <c r="X11" s="74">
        <v>30</v>
      </c>
      <c r="Y11" s="74">
        <v>32</v>
      </c>
      <c r="Z11" s="74">
        <v>33</v>
      </c>
      <c r="AA11" s="74">
        <v>45</v>
      </c>
      <c r="AB11" s="74">
        <v>21</v>
      </c>
      <c r="AC11" s="74">
        <v>28</v>
      </c>
      <c r="AD11" s="74">
        <v>30</v>
      </c>
      <c r="AE11" s="74">
        <v>33</v>
      </c>
    </row>
    <row r="12" spans="1:99" ht="9.9" customHeight="1" ph="1"/>
    <row r="13" spans="1:99" s="72" customFormat="1" ht="29.25" customHeight="1" ph="1">
      <c r="B13" s="233" t="s" ph="1">
        <v>37</v>
      </c>
      <c r="C13" s="15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54" t="s" ph="1">
        <v>178</v>
      </c>
      <c r="D15" s="78">
        <v>0</v>
      </c>
      <c r="E15" s="78">
        <v>4707</v>
      </c>
      <c r="F15" s="78">
        <v>3483</v>
      </c>
      <c r="G15" s="78">
        <v>4024</v>
      </c>
      <c r="H15" s="78">
        <v>3743</v>
      </c>
      <c r="I15" s="78">
        <v>118</v>
      </c>
      <c r="J15" s="78">
        <v>1653</v>
      </c>
      <c r="K15" s="78">
        <v>893</v>
      </c>
      <c r="L15" s="78">
        <v>5635</v>
      </c>
      <c r="M15" s="78">
        <v>5588</v>
      </c>
      <c r="N15" s="78">
        <v>936</v>
      </c>
      <c r="O15" s="78">
        <v>6075</v>
      </c>
      <c r="P15" s="78">
        <v>7153</v>
      </c>
      <c r="Q15" s="78">
        <v>0</v>
      </c>
      <c r="R15" s="78">
        <v>3508</v>
      </c>
      <c r="S15" s="78">
        <v>6912</v>
      </c>
      <c r="T15" s="78">
        <v>2751</v>
      </c>
      <c r="U15" s="78">
        <v>6457</v>
      </c>
      <c r="V15" s="78">
        <v>596</v>
      </c>
      <c r="W15" s="71">
        <v>-792</v>
      </c>
      <c r="X15" s="78">
        <v>25</v>
      </c>
      <c r="Y15" s="106">
        <v>-9907</v>
      </c>
      <c r="Z15" s="78">
        <v>0</v>
      </c>
      <c r="AA15" s="78">
        <v>2769</v>
      </c>
      <c r="AB15" s="78" ph="1">
        <v>2363</v>
      </c>
      <c r="AC15" s="78" ph="1">
        <v>0</v>
      </c>
      <c r="AD15" s="78">
        <v>17.91</v>
      </c>
      <c r="AE15" s="78">
        <v>5.42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54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31075.954786799997</v>
      </c>
      <c r="F16" s="73" ph="1">
        <f>F15*9.0746*LOOKUP(F17,密度!$A$2:$A$50,密度!$L$2:$L$50)</f>
        <v>29489.1740694</v>
      </c>
      <c r="G16" s="73" ph="1">
        <f>G15*9.0746*LOOKUP(G17,密度!$A$2:$A$50,密度!$B$2:$B$50)</f>
        <v>28435.157464479998</v>
      </c>
      <c r="H16" s="73" ph="1">
        <f>H15*9.0746*LOOKUP(H17,密度!$A$2:$A$50,密度!$L$2:$L$50)</f>
        <v>31690.490537400001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14025.293403000001</v>
      </c>
      <c r="K16" s="73" ph="1">
        <f>K15*9.0746*LOOKUP(K17,密度!$A$2:$A$50,密度!$C$2:$C$50)</f>
        <v>8986.1017784199994</v>
      </c>
      <c r="L16" s="73" ph="1">
        <f>L15*9.0746*LOOKUP(L17,密度!$A$2:$A$50,密度!$E$2:$E$50)</f>
        <v>39875.362305800001</v>
      </c>
      <c r="M16" s="73" ph="1">
        <f>M15*9.0746*LOOKUP(M17,密度!$A$2:$A$50,密度!$M$2:$M$50)</f>
        <v>44218.130105600001</v>
      </c>
      <c r="N16" s="73" ph="1">
        <f>N15*9.0746*LOOKUP(N17,密度!$A$2:$A$50,密度!$M$2:$M$50)</f>
        <v>7415.9591313600004</v>
      </c>
      <c r="O16" s="73" ph="1">
        <f>O15*9.0746*LOOKUP(O17,密度!$A$2:$A$50,密度!$G$2:$G$50)</f>
        <v>52757.682614999998</v>
      </c>
      <c r="P16" s="73" ph="1">
        <f ca="1">P15*9.0746*LOOKUP(P17,密度!$A$2:$A$51,密度!$Q$2:$Q$50)</f>
        <v>61361.301437416005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24734.782413600002</v>
      </c>
      <c r="S16" s="73" ph="1">
        <f>S15*9.0746*LOOKUP(S17,密度!$A$2:$A$50,密度!$Q$2:$Q$50)</f>
        <v>59250.000282624002</v>
      </c>
      <c r="T16" s="73" ph="1">
        <f>T15*9.0746*LOOKUP(T17,密度!$A$2:$A$50,密度!$O$2:$O$50)</f>
        <v>23116.871979600004</v>
      </c>
      <c r="U16" s="73" ph="1">
        <f>U15*9.0746*LOOKUP(U17,密度!$A$2:$A$50,密度!$H$2:$H$50)</f>
        <v>53549.689201580004</v>
      </c>
      <c r="V16" s="73" ph="1">
        <f>MAX(5600*LOOKUP(V17,密度!$A$2:$A$50,密度!$Q$2:$Q$50)+V15*9.0476*LOOKUP(V17,密度!$A$2:$A$50,密度!$Q$2:$Q$50),0)</f>
        <v>10391.306830271998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6059.2376000000004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19566.836734379998</v>
      </c>
      <c r="AB16" s="73" ph="1">
        <f>AB15*9.0746*LOOKUP(AB17,密度!$A$2:$A$50,密度!$L$2:$L$50)</f>
        <v>20028.023333200003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4972.3346404799995</v>
      </c>
      <c r="AE16" s="73" ph="1">
        <f>AE15*268.68*LOOKUP(AE17,密度!$A$2:$A$50,密度!B2:B50)+IF(AE15&lt;=0,0,1566*LOOKUP(AE17,密度!$A$2:$A$50,密度!B2:B50))</f>
        <v>2356.14266976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27</v>
      </c>
      <c r="E17" s="74">
        <v>28</v>
      </c>
      <c r="F17" s="74">
        <v>29</v>
      </c>
      <c r="G17" s="74">
        <v>26</v>
      </c>
      <c r="H17" s="74">
        <v>29</v>
      </c>
      <c r="I17" s="74">
        <v>26</v>
      </c>
      <c r="J17" s="74">
        <v>27</v>
      </c>
      <c r="K17" s="74">
        <v>25</v>
      </c>
      <c r="L17" s="74">
        <v>28</v>
      </c>
      <c r="M17" s="74">
        <v>28</v>
      </c>
      <c r="N17" s="74">
        <v>27</v>
      </c>
      <c r="O17" s="74">
        <v>28</v>
      </c>
      <c r="P17" s="74">
        <v>27</v>
      </c>
      <c r="Q17" s="74">
        <v>26</v>
      </c>
      <c r="R17" s="74">
        <v>28</v>
      </c>
      <c r="S17" s="74">
        <v>28</v>
      </c>
      <c r="T17" s="74">
        <v>26</v>
      </c>
      <c r="U17" s="74">
        <v>26</v>
      </c>
      <c r="V17" s="74">
        <v>27</v>
      </c>
      <c r="W17" s="74">
        <v>26</v>
      </c>
      <c r="X17" s="74">
        <v>27</v>
      </c>
      <c r="Y17" s="108">
        <v>27</v>
      </c>
      <c r="Z17" s="74">
        <v>26</v>
      </c>
      <c r="AA17" s="74">
        <v>26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0</v>
      </c>
      <c r="E18" s="71">
        <v>4713</v>
      </c>
      <c r="F18" s="71">
        <v>3484</v>
      </c>
      <c r="G18" s="71">
        <v>4118</v>
      </c>
      <c r="H18" s="71">
        <v>3742</v>
      </c>
      <c r="I18" s="71">
        <v>116</v>
      </c>
      <c r="J18" s="71">
        <v>1654</v>
      </c>
      <c r="K18" s="71">
        <v>892</v>
      </c>
      <c r="L18" s="71">
        <v>5643</v>
      </c>
      <c r="M18" s="71">
        <v>3172</v>
      </c>
      <c r="N18" s="71">
        <v>419</v>
      </c>
      <c r="O18" s="71">
        <v>6079</v>
      </c>
      <c r="P18" s="71">
        <v>7159</v>
      </c>
      <c r="Q18" s="71">
        <v>0</v>
      </c>
      <c r="R18" s="71">
        <v>3511</v>
      </c>
      <c r="S18" s="71">
        <v>6919</v>
      </c>
      <c r="T18" s="71">
        <v>2068</v>
      </c>
      <c r="U18" s="71">
        <v>6458</v>
      </c>
      <c r="V18" s="71">
        <v>594</v>
      </c>
      <c r="W18" s="71">
        <v>-792</v>
      </c>
      <c r="X18" s="71">
        <v>25</v>
      </c>
      <c r="Y18" s="109">
        <v>-9908</v>
      </c>
      <c r="Z18" s="71">
        <v>0</v>
      </c>
      <c r="AA18" s="71">
        <v>1317</v>
      </c>
      <c r="AB18" s="71">
        <v>2364</v>
      </c>
      <c r="AC18" s="71">
        <v>0</v>
      </c>
      <c r="AD18" s="71">
        <v>42.51</v>
      </c>
      <c r="AE18" s="71">
        <v>5.41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54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31082.252909400006</v>
      </c>
      <c r="F19" s="73" ph="1">
        <f>F18*9.0746*LOOKUP(F20,密度!$A$2:$A$50,密度!$L$2:$L$50)</f>
        <v>29371.177045600001</v>
      </c>
      <c r="G19" s="73" ph="1">
        <f>G18*9.0746*LOOKUP(G20,密度!$A$2:$A$50,密度!$B$2:$B$50)</f>
        <v>29035.870575600002</v>
      </c>
      <c r="H19" s="73" ph="1">
        <f>H18*9.0746*LOOKUP(H20,密度!$A$2:$A$50,密度!$L$2:$L$50)</f>
        <v>31648.066782400001</v>
      </c>
      <c r="I19" s="73" ph="1">
        <f>I18*9.0746*LOOKUP(I20,密度!$A$2:$A$50,密度!$U$2:$U$50)</f>
        <v>1067.6012811200001</v>
      </c>
      <c r="J19" s="73" ph="1">
        <f>J18*9.0746*LOOKUP(J20,密度!$A$2:$A$50,密度!$L$2:$L$50)</f>
        <v>13973.7406004</v>
      </c>
      <c r="K19" s="73" ph="1">
        <f>K18*9.0746*LOOKUP(K20,密度!$A$2:$A$50,密度!$C$2:$C$50)</f>
        <v>8945.2796903199996</v>
      </c>
      <c r="L19" s="73" ph="1">
        <f>L18*9.0746*LOOKUP(L20,密度!$A$2:$A$50,密度!$E$2:$E$50)</f>
        <v>39875.64452586</v>
      </c>
      <c r="M19" s="73" ph="1">
        <f>M18*9.0746*LOOKUP(M20,密度!$A$2:$A$50,密度!$M$2:$M$50)</f>
        <v>25039.750680879999</v>
      </c>
      <c r="N19" s="73" ph="1">
        <f>N18*9.0746*LOOKUP(N20,密度!$A$2:$A$50,密度!$M$2:$M$50)</f>
        <v>3307.5837122600001</v>
      </c>
      <c r="O19" s="73" ph="1">
        <f>O18*9.0746*LOOKUP(O20,密度!$A$2:$A$50,密度!$G$2:$G$50)</f>
        <v>52665.541848979999</v>
      </c>
      <c r="P19" s="73" ph="1">
        <f ca="1">P18*9.0746*LOOKUP(P20,密度!$A$2:$A$51,密度!$Q$2:$Q$50)</f>
        <v>61367.296299668</v>
      </c>
      <c r="Q19" s="73" ph="1">
        <f>Q18*9.0746*LOOKUP(Q20,密度!$A$2:$A$50,密度!$Q$2:$Q$50)</f>
        <v>0</v>
      </c>
      <c r="R19" s="73" ph="1">
        <f>MAX(R18*9.0746*LOOKUP(R20,密度!$A$2:$A$50,密度!$B$2:$B$50),0)</f>
        <v>24701.77174118</v>
      </c>
      <c r="S19" s="73" ph="1">
        <f>S18*9.0746*LOOKUP(S20,密度!$A$2:$A$50,密度!$Q$2:$Q$50)</f>
        <v>59229.009190142002</v>
      </c>
      <c r="T19" s="73" ph="1">
        <f>T18*9.0746*LOOKUP(T20,密度!$A$2:$A$50,密度!$O$2:$O$50)</f>
        <v>17377.568612800002</v>
      </c>
      <c r="U19" s="73" ph="1">
        <f>U18*9.0746*LOOKUP(U20,密度!$A$2:$A$50,密度!$H$2:$H$50)</f>
        <v>53499.378711720005</v>
      </c>
      <c r="V19" s="73" ph="1">
        <f>MAX(5600*LOOKUP(V20,密度!$A$2:$A$50,密度!$Q$2:$Q$50)+V18*9.0476*LOOKUP(V20,密度!$A$2:$A$50,密度!$Q$2:$Q$50),0)</f>
        <v>10336.669057359999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6026.610936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9286.1198514000007</v>
      </c>
      <c r="AB19" s="73" ph="1">
        <f>AB18*9.0746*LOOKUP(AB20,密度!$A$2:$A$50,密度!$L$2:$L$50)</f>
        <v>20015.0466552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10091.354943599999</v>
      </c>
      <c r="AE19" s="73" ph="1">
        <f>AE18*268.68*LOOKUP(AE20,密度!$A$2:$A$50,密度!B5:B53)+IF(AE18&lt;=0,0,1566*LOOKUP(AE20,密度!$A$2:$A$50,密度!B5:B53))</f>
        <v>2346.1971875999998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29</v>
      </c>
      <c r="E20" s="81">
        <v>29</v>
      </c>
      <c r="F20" s="81">
        <v>33</v>
      </c>
      <c r="G20" s="81">
        <v>28</v>
      </c>
      <c r="H20" s="81">
        <v>30</v>
      </c>
      <c r="I20" s="81">
        <v>36</v>
      </c>
      <c r="J20" s="81">
        <v>31</v>
      </c>
      <c r="K20" s="81">
        <v>30</v>
      </c>
      <c r="L20" s="81">
        <v>29</v>
      </c>
      <c r="M20" s="81">
        <v>30</v>
      </c>
      <c r="N20" s="81">
        <v>30</v>
      </c>
      <c r="O20" s="81">
        <v>30</v>
      </c>
      <c r="P20" s="81">
        <v>28</v>
      </c>
      <c r="Q20" s="81">
        <v>30</v>
      </c>
      <c r="R20" s="81">
        <v>30</v>
      </c>
      <c r="S20" s="81">
        <v>30</v>
      </c>
      <c r="T20" s="81">
        <v>29</v>
      </c>
      <c r="U20" s="81">
        <v>27</v>
      </c>
      <c r="V20" s="81">
        <v>32</v>
      </c>
      <c r="W20" s="81">
        <v>30</v>
      </c>
      <c r="X20" s="81">
        <v>32</v>
      </c>
      <c r="Y20" s="110">
        <v>30</v>
      </c>
      <c r="Z20" s="81">
        <v>33</v>
      </c>
      <c r="AA20" s="81">
        <v>28</v>
      </c>
      <c r="AB20" s="81">
        <v>29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54" t="s" ph="1">
        <v>178</v>
      </c>
      <c r="D24" s="71">
        <v>90.91</v>
      </c>
      <c r="E24" s="71">
        <v>95.62</v>
      </c>
      <c r="F24" s="71">
        <v>3997</v>
      </c>
      <c r="G24" s="71">
        <v>3012</v>
      </c>
      <c r="H24" s="71">
        <v>1972</v>
      </c>
      <c r="I24" s="71">
        <v>3292</v>
      </c>
      <c r="J24" s="71">
        <v>5403</v>
      </c>
      <c r="K24" s="71">
        <v>37</v>
      </c>
      <c r="L24" s="71">
        <v>1130</v>
      </c>
      <c r="M24" s="71">
        <v>5247</v>
      </c>
      <c r="N24" s="71">
        <v>5321</v>
      </c>
      <c r="O24" s="71">
        <v>3688</v>
      </c>
      <c r="P24" s="71">
        <v>2750</v>
      </c>
      <c r="Q24" s="90">
        <v>122</v>
      </c>
      <c r="R24" s="71">
        <v>1743</v>
      </c>
      <c r="S24" s="71">
        <v>2197</v>
      </c>
      <c r="T24" s="71">
        <v>1760</v>
      </c>
      <c r="U24" s="71">
        <v>5351</v>
      </c>
      <c r="V24" s="71">
        <v>9629</v>
      </c>
      <c r="W24" s="71">
        <v>10732</v>
      </c>
      <c r="X24" s="71">
        <v>1944</v>
      </c>
      <c r="Y24" s="71">
        <v>5134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24607.380921912001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44215.35215608</v>
      </c>
      <c r="G25" s="91" ph="1">
        <f>G24*18.322*LOOKUP(G26,密度!$A$2:$A$50,密度!$B$2:$B$50)</f>
        <v>42929.083605599997</v>
      </c>
      <c r="H25" s="91" ph="1">
        <f>H24*18.322*LOOKUP(H26,密度!$A$2:$A$50,密度!$B$2:$B$50)</f>
        <v>28106.292453599999</v>
      </c>
      <c r="I25" s="91" ph="1">
        <f>I24*18.322*LOOKUP(I26,密度!$A$2:$A$50,密度!$Q$2:$Q$50)</f>
        <v>57017.94380768</v>
      </c>
      <c r="J25" s="91" ph="1">
        <f>J24*18.322*LOOKUP(J26,密度!$A$2:$A$50,密度!$Q$2:$Q$50)</f>
        <v>93580.78687512</v>
      </c>
      <c r="K25" s="91" ph="1">
        <f>K24*18.322*LOOKUP(K26,密度!$A$2:$A$50,密度!$Q$2:$Q$50)</f>
        <v>640.37112267999998</v>
      </c>
      <c r="L25" s="91" ph="1">
        <f>L24*18.322*LOOKUP(L26,密度!$A$2:$A$50,密度!$Q$2:$Q$50)</f>
        <v>19586.4726758</v>
      </c>
      <c r="M25" s="91" ph="1">
        <f>M24*18.322*LOOKUP(M26,密度!$A$2:$A$50,密度!$Q$2:$Q$50)</f>
        <v>90811.548127080008</v>
      </c>
      <c r="N25" s="91" ph="1">
        <f>N24*18.322*LOOKUP(N26,密度!$A$2:$A$50,密度!$Q$2:$Q$50)</f>
        <v>92160.534325839995</v>
      </c>
      <c r="O25" s="91" ph="1">
        <f>O24*18.322*LOOKUP(O26,密度!$A$2:$A$50,密度!$C$2:$C$50)</f>
        <v>74727.361662399999</v>
      </c>
      <c r="P25" s="91" ph="1">
        <f>P24*11.702*LOOKUP(P26,密度!$A$2:$A$50,密度!$B$2:$B$50)</f>
        <v>25004.248500000002</v>
      </c>
      <c r="Q25" s="92" ph="1">
        <f>Q24*18.322*LOOKUP(Q26,密度!$A$2:$A$50,密度!$B$2:$B$50)</f>
        <v>1736.8156680000002</v>
      </c>
      <c r="R25" s="91" ph="1">
        <f>R24*35.891*LOOKUP(R26,密度!$A$2:$A$50,密度!$C$2:$C$50)</f>
        <v>69276.743596200002</v>
      </c>
      <c r="S25" s="91" ph="1">
        <f>S24*35.891*LOOKUP(S26,密度!$A$2:$A$50,密度!$B$2:$B$50)</f>
        <v>61339.380753300007</v>
      </c>
      <c r="T25" s="91" ph="1">
        <f>T24*35.891*LOOKUP(T26,密度!$A$2:$A$50,密度!$Q$2:$Q$50)</f>
        <v>59714.125011199998</v>
      </c>
      <c r="U25" s="91" ph="1">
        <f>U24*35.891</f>
        <v>192052.74099999998</v>
      </c>
      <c r="V25" s="91" ph="1">
        <f>V24*47.051*LOOKUP(V26,密度!$A$2:$A$50,密度!$B$2:$B$50)</f>
        <v>352023.01938300004</v>
      </c>
      <c r="W25" s="91" ph="1">
        <f>W24*47.051*LOOKUP(W26,密度!$A$2:$A$50,密度!$B$2:$B$50)</f>
        <v>392801.64116280002</v>
      </c>
      <c r="X25" s="91" ph="1">
        <f>X24*47.051*LOOKUP(X26,密度!$A$2:$A$50,密度!$I$2:$I$50)</f>
        <v>95025.215901599993</v>
      </c>
      <c r="Y25" s="91" ph="1">
        <f>Y24*47.051*LOOKUP(Y26,密度!$A$2:$A$50,密度!$L$2:$L$50)</f>
        <v>225616.88495600002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27</v>
      </c>
      <c r="J26" s="74">
        <v>27</v>
      </c>
      <c r="K26" s="74">
        <v>28</v>
      </c>
      <c r="L26" s="74">
        <v>26</v>
      </c>
      <c r="M26" s="74">
        <v>28</v>
      </c>
      <c r="N26" s="74">
        <v>27</v>
      </c>
      <c r="O26" s="74">
        <v>29</v>
      </c>
      <c r="P26" s="74">
        <v>28</v>
      </c>
      <c r="Q26" s="93">
        <v>28</v>
      </c>
      <c r="R26" s="74">
        <v>27</v>
      </c>
      <c r="S26" s="74">
        <v>27</v>
      </c>
      <c r="T26" s="74">
        <v>27</v>
      </c>
      <c r="U26" s="74">
        <v>29</v>
      </c>
      <c r="V26" s="74">
        <v>28</v>
      </c>
      <c r="W26" s="74">
        <v>27</v>
      </c>
      <c r="X26" s="74">
        <v>28</v>
      </c>
      <c r="Y26" s="74">
        <v>28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54" t="s" ph="1">
        <v>181</v>
      </c>
      <c r="D27" s="71">
        <v>90.91</v>
      </c>
      <c r="E27" s="71">
        <v>95.61</v>
      </c>
      <c r="F27" s="71">
        <v>3997</v>
      </c>
      <c r="G27" s="71">
        <v>2497</v>
      </c>
      <c r="H27" s="71">
        <v>1969</v>
      </c>
      <c r="I27" s="71">
        <v>2351</v>
      </c>
      <c r="J27" s="71">
        <v>5403</v>
      </c>
      <c r="K27" s="71">
        <v>34</v>
      </c>
      <c r="L27" s="71">
        <v>1125</v>
      </c>
      <c r="M27" s="71">
        <v>5248</v>
      </c>
      <c r="N27" s="71">
        <v>5319</v>
      </c>
      <c r="O27" s="71">
        <v>3684</v>
      </c>
      <c r="P27" s="71">
        <v>2750</v>
      </c>
      <c r="Q27" s="90">
        <v>323</v>
      </c>
      <c r="R27" s="71">
        <v>1738</v>
      </c>
      <c r="S27" s="71">
        <v>2805</v>
      </c>
      <c r="T27" s="71">
        <v>1757</v>
      </c>
      <c r="U27" s="71">
        <v>5600</v>
      </c>
      <c r="V27" s="71">
        <v>9631</v>
      </c>
      <c r="W27" s="71">
        <v>10732</v>
      </c>
      <c r="X27" s="71">
        <v>2546</v>
      </c>
      <c r="Y27" s="71">
        <v>4064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54" t="s" ph="1">
        <v>179</v>
      </c>
      <c r="D28" s="91" ph="1">
        <f>D27*268.68*LOOKUP(D29,密度!$A$2:$A$50,密度!$Q$2:$Q$50)+IF(D27&lt;=0,0,1566*LOOKUP(D29,密度!$A$2:$A$50,密度!$Q$2:$Q$50))</f>
        <v>24607.380921912001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44150.337833420002</v>
      </c>
      <c r="G28" s="91" ph="1">
        <f>G27*18.322*LOOKUP(G29,密度!$A$2:$A$50,密度!$B$2:$B$50)</f>
        <v>35547.776418000001</v>
      </c>
      <c r="H28" s="91" ph="1">
        <f>H27*18.322*LOOKUP(H29,密度!$A$2:$A$50,密度!$B$2:$B$50)</f>
        <v>28002.205171599999</v>
      </c>
      <c r="I28" s="91" ph="1">
        <f>I27*18.322*LOOKUP(I29,密度!$A$2:$A$50,密度!$Q$2:$Q$50)</f>
        <v>40659.805516460001</v>
      </c>
      <c r="J28" s="91" ph="1">
        <f>J27*18.322*LOOKUP(J29,密度!$A$2:$A$50,密度!$Q$2:$Q$50)</f>
        <v>93511.491238919989</v>
      </c>
      <c r="K28" s="91" ph="1">
        <f>K27*18.322*LOOKUP(K29,密度!$A$2:$A$50,密度!$Q$2:$Q$50)</f>
        <v>588.44913975999998</v>
      </c>
      <c r="L28" s="91" ph="1">
        <f>L27*18.322*LOOKUP(L29,密度!$A$2:$A$50,密度!$Q$2:$Q$50)</f>
        <v>19456.521142500002</v>
      </c>
      <c r="M28" s="91" ph="1">
        <f>M27*18.322*LOOKUP(M29,密度!$A$2:$A$50,密度!$Q$2:$Q$50)</f>
        <v>90828.855454720004</v>
      </c>
      <c r="N28" s="91" ph="1">
        <f>N27*18.322*LOOKUP(N29,密度!$A$2:$A$50,密度!$Q$2:$Q$50)</f>
        <v>91990.431961740003</v>
      </c>
      <c r="O28" s="91" ph="1">
        <f>O27*18.322*LOOKUP(O29,密度!$A$2:$A$50,密度!$C$2:$C$50)</f>
        <v>74592.313864799988</v>
      </c>
      <c r="P28" s="91" ph="1">
        <f>P27*11.702*LOOKUP(P29,密度!$A$2:$A$50,密度!$B$2:$B$50)</f>
        <v>24978.504099999998</v>
      </c>
      <c r="Q28" s="92" ph="1">
        <f>Q27*18.322*LOOKUP(Q29,密度!$A$2:$A$50,密度!$B$2:$B$50)</f>
        <v>4598.2906619999994</v>
      </c>
      <c r="R28" s="91" ph="1">
        <f>R27*35.891*LOOKUP(R29,密度!$A$2:$A$50,密度!$C$2:$C$50)</f>
        <v>68984.447292199999</v>
      </c>
      <c r="S28" s="91" ph="1">
        <f>S27*35.891*LOOKUP(S29,密度!$A$2:$A$50,密度!$B$2:$B$50)</f>
        <v>78143.356730999993</v>
      </c>
      <c r="T28" s="91" ph="1">
        <f>T27*35.891*LOOKUP(T29,密度!$A$2:$A$50,密度!$Q$2:$Q$50)</f>
        <v>59568.197229939993</v>
      </c>
      <c r="U28" s="91" ph="1">
        <f>U27*35.891</f>
        <v>200989.59999999998</v>
      </c>
      <c r="V28" s="91" ph="1">
        <f>V27*47.051*LOOKUP(V29,密度!$A$2:$A$50,密度!$B$2:$B$50)</f>
        <v>351733.61809220002</v>
      </c>
      <c r="W28" s="91" ph="1">
        <f>W27*47.051*LOOKUP(W29,密度!$A$2:$A$50,密度!$B$2:$B$50)</f>
        <v>392347.18496400001</v>
      </c>
      <c r="X28" s="91" ph="1">
        <f>X27*47.051*LOOKUP(X29,密度!$A$2:$A$50,密度!$I$2:$I$50)</f>
        <v>124451.7488094</v>
      </c>
      <c r="Y28" s="91" ph="1">
        <f>Y27*47.051*LOOKUP(Y29,密度!$A$2:$A$50,密度!$L$2:$L$50)</f>
        <v>178403.841312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54" t="s" ph="1">
        <v>180</v>
      </c>
      <c r="D29" s="74">
        <v>25</v>
      </c>
      <c r="E29" s="74">
        <v>25</v>
      </c>
      <c r="F29" s="74">
        <v>29</v>
      </c>
      <c r="G29" s="74">
        <v>28</v>
      </c>
      <c r="H29" s="74">
        <v>29</v>
      </c>
      <c r="I29" s="74">
        <v>29</v>
      </c>
      <c r="J29" s="74">
        <v>28</v>
      </c>
      <c r="K29" s="74">
        <v>28</v>
      </c>
      <c r="L29" s="74">
        <v>29</v>
      </c>
      <c r="M29" s="74">
        <v>28</v>
      </c>
      <c r="N29" s="74">
        <v>29</v>
      </c>
      <c r="O29" s="74">
        <v>30</v>
      </c>
      <c r="P29" s="74">
        <v>29</v>
      </c>
      <c r="Q29" s="93">
        <v>28</v>
      </c>
      <c r="R29" s="74">
        <v>29</v>
      </c>
      <c r="S29" s="74">
        <v>29</v>
      </c>
      <c r="T29" s="74">
        <v>28</v>
      </c>
      <c r="U29" s="74">
        <v>29</v>
      </c>
      <c r="V29" s="74">
        <v>29</v>
      </c>
      <c r="W29" s="74">
        <v>28</v>
      </c>
      <c r="X29" s="74">
        <v>28</v>
      </c>
      <c r="Y29" s="74">
        <v>29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73425.276935999995</v>
      </c>
      <c r="E33" s="205" ph="1">
        <f>M10+I10</f>
        <v>181115.65641519998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31" ph="1">
        <v>0</v>
      </c>
      <c r="H33" s="205" ph="1">
        <f>N19</f>
        <v>3307.5837122600001</v>
      </c>
      <c r="I33" s="209" ph="1">
        <v>0</v>
      </c>
      <c r="J33" s="213" ph="1">
        <f>F10+O28</f>
        <v>336646.16000249999</v>
      </c>
      <c r="K33" s="205" ph="1">
        <f>O10+K10+E28+R28</f>
        <v>124254.08350312</v>
      </c>
      <c r="L33" s="215" ph="1">
        <f>BE27</f>
        <v>7100</v>
      </c>
      <c r="M33" s="213" ph="1">
        <f>G10+H10+W28+S28+V28+E10</f>
        <v>1445193.6161942002</v>
      </c>
      <c r="N33" s="205" ph="1">
        <f>L10+P10++G28+H28</f>
        <v>204087.73589960003</v>
      </c>
      <c r="O33" s="209" ph="1">
        <f>BE17</f>
        <v>2270</v>
      </c>
      <c r="P33" s="213" ph="1">
        <f>L19</f>
        <v>39875.64452586</v>
      </c>
      <c r="Q33" s="205" ph="1">
        <f>J10+N10</f>
        <v>116487.17305759998</v>
      </c>
      <c r="R33" s="209" ph="1">
        <f>BE23</f>
        <v>890</v>
      </c>
      <c r="S33" s="213" ph="1">
        <f>E10+X28</f>
        <v>312400.40542339999</v>
      </c>
      <c r="T33" s="205" ph="1">
        <f>X19</f>
        <v>6026.610936</v>
      </c>
      <c r="U33" s="194" ph="1">
        <f>BE21</f>
        <v>730</v>
      </c>
      <c r="V33" s="207" ph="1">
        <f ca="1">P19+Q19+S19+M28+N28+J28</f>
        <v>396927.08414518996</v>
      </c>
      <c r="W33" s="207" ph="1">
        <f>D28+F28+V19+T28</f>
        <v>138662.58504263201</v>
      </c>
      <c r="X33" s="209" ph="1">
        <f>BE29+BE31</f>
        <v>10200</v>
      </c>
      <c r="Y33" s="211" ph="1">
        <f>+Q10+R10+S10+T10+U10+V10+W10+X10+Y10</f>
        <v>186150.9306888</v>
      </c>
      <c r="Z33" s="192" ph="1">
        <f>D10+T19+U19+Y28+Z10</f>
        <v>504659.31983629003</v>
      </c>
      <c r="AA33" s="194" ph="1">
        <f>BE19</f>
        <v>1440</v>
      </c>
      <c r="AB33" s="196" ph="1">
        <f>I19</f>
        <v>1067.6012811200001</v>
      </c>
      <c r="AC33" s="198" ph="1">
        <f>AD10</f>
        <v>86717.693462400013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56" t="s" ph="1">
        <v>186</v>
      </c>
      <c r="AA36" s="156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345</v>
      </c>
      <c r="AI37" s="156" t="s" ph="1">
        <v>212</v>
      </c>
      <c r="AJ37" s="156" t="s" ph="1">
        <v>213</v>
      </c>
      <c r="AK37" s="156" t="s" ph="1">
        <v>214</v>
      </c>
      <c r="AM37" s="156" t="s" ph="1">
        <v>213</v>
      </c>
      <c r="AN37" s="156" t="s" ph="1">
        <v>214</v>
      </c>
      <c r="AO37" s="156" t="s" ph="1">
        <v>215</v>
      </c>
      <c r="AP37" s="156" t="s" ph="1">
        <v>213</v>
      </c>
      <c r="AQ37" s="156" t="s" ph="1">
        <v>214</v>
      </c>
      <c r="AR37" s="156" t="s" ph="1">
        <v>215</v>
      </c>
      <c r="AS37" s="156" t="s" ph="1">
        <v>213</v>
      </c>
      <c r="AT37" s="156" t="s" ph="1">
        <v>214</v>
      </c>
      <c r="AU37" s="156" t="s" ph="1">
        <v>215</v>
      </c>
      <c r="AV37" s="156" t="s" ph="1">
        <v>213</v>
      </c>
      <c r="AW37" s="156" t="s" ph="1">
        <v>214</v>
      </c>
      <c r="AX37" s="156" t="s" ph="1">
        <v>215</v>
      </c>
      <c r="AY37" s="156" t="s" ph="1">
        <v>214</v>
      </c>
      <c r="AZ37" s="156" t="s" ph="1">
        <v>216</v>
      </c>
      <c r="BD37" s="156" t="s" ph="1">
        <v>308</v>
      </c>
      <c r="BE37" s="15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58" priority="97">
      <formula>ABS(D$7-D$10)&gt;=1000</formula>
    </cfRule>
  </conditionalFormatting>
  <conditionalFormatting sqref="E4 E6:E11">
    <cfRule type="expression" dxfId="2157" priority="96">
      <formula>ABS(E$7-E$10)&gt;=1000</formula>
    </cfRule>
  </conditionalFormatting>
  <conditionalFormatting sqref="F4:F11">
    <cfRule type="expression" dxfId="2156" priority="95">
      <formula>ABS(F$7-F$10)&gt;=1000</formula>
    </cfRule>
  </conditionalFormatting>
  <conditionalFormatting sqref="G4:G11">
    <cfRule type="expression" dxfId="2155" priority="94">
      <formula>ABS(G$7-G$10)&gt;=1000</formula>
    </cfRule>
  </conditionalFormatting>
  <conditionalFormatting sqref="H4:H11">
    <cfRule type="expression" dxfId="2154" priority="93">
      <formula>ABS(H$7-H$10)&gt;=1000</formula>
    </cfRule>
  </conditionalFormatting>
  <conditionalFormatting sqref="I4:I11">
    <cfRule type="expression" dxfId="2153" priority="92">
      <formula>ABS(I$7-I$10)&gt;=1000</formula>
    </cfRule>
  </conditionalFormatting>
  <conditionalFormatting sqref="J4:J11">
    <cfRule type="expression" dxfId="2152" priority="91">
      <formula>ABS(J$7-J$10)&gt;=1000</formula>
    </cfRule>
  </conditionalFormatting>
  <conditionalFormatting sqref="K4:K11">
    <cfRule type="expression" dxfId="2151" priority="90">
      <formula>ABS(K$7-K$10)&gt;=1000</formula>
    </cfRule>
  </conditionalFormatting>
  <conditionalFormatting sqref="L4:L11">
    <cfRule type="expression" dxfId="2150" priority="89">
      <formula>ABS(L$7-L$10)&gt;=1000</formula>
    </cfRule>
  </conditionalFormatting>
  <conditionalFormatting sqref="M4 M6:M11">
    <cfRule type="expression" dxfId="2149" priority="88">
      <formula>ABS(M$7-M$10)&gt;=1000</formula>
    </cfRule>
  </conditionalFormatting>
  <conditionalFormatting sqref="N4 N6:N11">
    <cfRule type="expression" dxfId="2148" priority="87">
      <formula>ABS(N$7-N$10)&gt;=1000</formula>
    </cfRule>
  </conditionalFormatting>
  <conditionalFormatting sqref="O4 O6:O11">
    <cfRule type="expression" dxfId="2147" priority="86">
      <formula>ABS(O$7-O$10)&gt;=1000</formula>
    </cfRule>
  </conditionalFormatting>
  <conditionalFormatting sqref="P4 P6:P11">
    <cfRule type="expression" dxfId="2146" priority="85">
      <formula>ABS(P$7-P$10)&gt;=1000</formula>
    </cfRule>
  </conditionalFormatting>
  <conditionalFormatting sqref="Q4:Q11">
    <cfRule type="expression" dxfId="2145" priority="84">
      <formula>ABS(Q$7-Q$10)&gt;=1000</formula>
    </cfRule>
  </conditionalFormatting>
  <conditionalFormatting sqref="R4:R11">
    <cfRule type="expression" dxfId="2144" priority="83">
      <formula>ABS(R$7-R$10)&gt;=1000</formula>
    </cfRule>
  </conditionalFormatting>
  <conditionalFormatting sqref="S4:S11">
    <cfRule type="expression" dxfId="2143" priority="82">
      <formula>ABS(S$7-S$10)&gt;=1000</formula>
    </cfRule>
  </conditionalFormatting>
  <conditionalFormatting sqref="T4:T9 T11">
    <cfRule type="expression" dxfId="2142" priority="81">
      <formula>ABS(T$7-T$10)&gt;=1000</formula>
    </cfRule>
  </conditionalFormatting>
  <conditionalFormatting sqref="U4:U9 U11">
    <cfRule type="expression" dxfId="2141" priority="80">
      <formula>ABS(U$7-U$10)&gt;=1000</formula>
    </cfRule>
  </conditionalFormatting>
  <conditionalFormatting sqref="V4:V9 V11">
    <cfRule type="expression" dxfId="2140" priority="79">
      <formula>ABS(V$7-V$10)&gt;=1000</formula>
    </cfRule>
  </conditionalFormatting>
  <conditionalFormatting sqref="W4:W9 W11">
    <cfRule type="expression" dxfId="2139" priority="78">
      <formula>ABS(W$7-W$10)&gt;=1000</formula>
    </cfRule>
  </conditionalFormatting>
  <conditionalFormatting sqref="X4:X9 X11">
    <cfRule type="expression" dxfId="2138" priority="77">
      <formula>ABS(X$7-X$10)&gt;=1000</formula>
    </cfRule>
  </conditionalFormatting>
  <conditionalFormatting sqref="Y4:Y9 Y11">
    <cfRule type="expression" dxfId="2137" priority="76">
      <formula>ABS(Y$7-Y$10)&gt;=1000</formula>
    </cfRule>
  </conditionalFormatting>
  <conditionalFormatting sqref="Z4:Z11">
    <cfRule type="expression" dxfId="2136" priority="75">
      <formula>ABS(Z$7-Z$10)&gt;=1000</formula>
    </cfRule>
  </conditionalFormatting>
  <conditionalFormatting sqref="AA4:AA11">
    <cfRule type="expression" dxfId="2135" priority="74">
      <formula>ABS(AA$7-AA$10)&gt;=1000</formula>
    </cfRule>
  </conditionalFormatting>
  <conditionalFormatting sqref="AB4:AB11">
    <cfRule type="expression" dxfId="2134" priority="73">
      <formula>ABS(AB$7-AB$10)&gt;=1000</formula>
    </cfRule>
  </conditionalFormatting>
  <conditionalFormatting sqref="AC4 AC6:AC11">
    <cfRule type="expression" dxfId="2133" priority="72">
      <formula>ABS(AC$7-AC$10)&gt;=1000</formula>
    </cfRule>
  </conditionalFormatting>
  <conditionalFormatting sqref="AD4:AD11">
    <cfRule type="expression" dxfId="2132" priority="71">
      <formula>ABS(AD$7-AD$10)&gt;=1000</formula>
    </cfRule>
  </conditionalFormatting>
  <conditionalFormatting sqref="AE4:AE11">
    <cfRule type="expression" dxfId="2131" priority="70">
      <formula>ABS(AE$7-AE$10)&gt;=1000</formula>
    </cfRule>
  </conditionalFormatting>
  <conditionalFormatting sqref="D13:D20">
    <cfRule type="expression" dxfId="2130" priority="69">
      <formula>ABS(D$16-D$19)&gt;=1000</formula>
    </cfRule>
  </conditionalFormatting>
  <conditionalFormatting sqref="E13:E20">
    <cfRule type="expression" dxfId="2129" priority="68">
      <formula>ABS(E$16-E$19)&gt;=1000</formula>
    </cfRule>
  </conditionalFormatting>
  <conditionalFormatting sqref="F13 F15:F20">
    <cfRule type="expression" dxfId="2128" priority="67">
      <formula>ABS(F$16-F$19)&gt;=1000</formula>
    </cfRule>
  </conditionalFormatting>
  <conditionalFormatting sqref="G13:G20">
    <cfRule type="expression" dxfId="2127" priority="66">
      <formula>ABS(G$16-G$19)&gt;=1000</formula>
    </cfRule>
  </conditionalFormatting>
  <conditionalFormatting sqref="H13:H20">
    <cfRule type="expression" dxfId="2126" priority="65">
      <formula>ABS(H$16-H$19)&gt;=1000</formula>
    </cfRule>
  </conditionalFormatting>
  <conditionalFormatting sqref="I13:I20">
    <cfRule type="expression" dxfId="2125" priority="64">
      <formula>ABS(I$16-I$19)&gt;=1000</formula>
    </cfRule>
  </conditionalFormatting>
  <conditionalFormatting sqref="J13:J20">
    <cfRule type="expression" dxfId="2124" priority="63">
      <formula>ABS(J$16-J$19)&gt;=1000</formula>
    </cfRule>
  </conditionalFormatting>
  <conditionalFormatting sqref="L13:L20">
    <cfRule type="expression" dxfId="2123" priority="62">
      <formula>ABS(L$16-L$19)&gt;=1000</formula>
    </cfRule>
  </conditionalFormatting>
  <conditionalFormatting sqref="M13 M15 M17:M18 M20">
    <cfRule type="expression" dxfId="2122" priority="61">
      <formula>ABS(M$16-M$19)&gt;=1000</formula>
    </cfRule>
  </conditionalFormatting>
  <conditionalFormatting sqref="N13:N20">
    <cfRule type="expression" dxfId="2121" priority="60">
      <formula>ABS(N$16-N$19)&gt;=1000</formula>
    </cfRule>
  </conditionalFormatting>
  <conditionalFormatting sqref="O13:O20">
    <cfRule type="expression" dxfId="2120" priority="59">
      <formula>ABS(O$16-O$19)&gt;=1000</formula>
    </cfRule>
  </conditionalFormatting>
  <conditionalFormatting sqref="P13:P20">
    <cfRule type="expression" dxfId="2119" priority="58">
      <formula>ABS(P$16-P$19)&gt;=1000</formula>
    </cfRule>
  </conditionalFormatting>
  <conditionalFormatting sqref="Q13 Q15:Q20">
    <cfRule type="expression" dxfId="2118" priority="57">
      <formula>ABS(Q$16-Q$19)&gt;=1000</formula>
    </cfRule>
  </conditionalFormatting>
  <conditionalFormatting sqref="R13:R20">
    <cfRule type="expression" dxfId="2117" priority="56">
      <formula>ABS(R$16-R$19)&gt;=1000</formula>
    </cfRule>
  </conditionalFormatting>
  <conditionalFormatting sqref="S13:S20">
    <cfRule type="expression" dxfId="2116" priority="55">
      <formula>ABS(S$16-S$19)&gt;=1000</formula>
    </cfRule>
  </conditionalFormatting>
  <conditionalFormatting sqref="T13:T20">
    <cfRule type="expression" dxfId="2115" priority="54">
      <formula>ABS(T$16-T$19)&gt;=1000</formula>
    </cfRule>
  </conditionalFormatting>
  <conditionalFormatting sqref="U13:U20">
    <cfRule type="expression" dxfId="2114" priority="53">
      <formula>ABS(U$16-U$19)&gt;=1000</formula>
    </cfRule>
  </conditionalFormatting>
  <conditionalFormatting sqref="V13:V20">
    <cfRule type="expression" dxfId="2113" priority="52">
      <formula>ABS(V$16-V$19)&gt;=1000</formula>
    </cfRule>
  </conditionalFormatting>
  <conditionalFormatting sqref="W13 W20 W15:W18">
    <cfRule type="expression" dxfId="2112" priority="51">
      <formula>ABS(W$16-W$19)&gt;=1000</formula>
    </cfRule>
  </conditionalFormatting>
  <conditionalFormatting sqref="X13 X15:X20 Y19">
    <cfRule type="expression" dxfId="2111" priority="50">
      <formula>ABS(X$16-X$19)&gt;=1000</formula>
    </cfRule>
  </conditionalFormatting>
  <conditionalFormatting sqref="Y13 Y15:Y18 Y20">
    <cfRule type="expression" dxfId="2110" priority="49">
      <formula>ABS(Y$16-Y$19)&gt;=1000</formula>
    </cfRule>
  </conditionalFormatting>
  <conditionalFormatting sqref="Z13:Z20">
    <cfRule type="expression" dxfId="2109" priority="48">
      <formula>ABS(Z$16-Z$19)&gt;=1000</formula>
    </cfRule>
  </conditionalFormatting>
  <conditionalFormatting sqref="AA13:AA20">
    <cfRule type="expression" dxfId="2108" priority="47">
      <formula>ABS(AA$16-AA$19)&gt;=1000</formula>
    </cfRule>
  </conditionalFormatting>
  <conditionalFormatting sqref="AB13 AB15:AB20">
    <cfRule type="expression" dxfId="2107" priority="46">
      <formula>ABS(AB$16-AB$19)&gt;=1000</formula>
    </cfRule>
  </conditionalFormatting>
  <conditionalFormatting sqref="AC13 AC15:AC20">
    <cfRule type="expression" dxfId="2106" priority="45">
      <formula>ABS(AC$16-AC$19)&gt;=1000</formula>
    </cfRule>
  </conditionalFormatting>
  <conditionalFormatting sqref="AD13:AD20">
    <cfRule type="expression" dxfId="2105" priority="44">
      <formula>ABS(AD$16-AD$19)&gt;=1000</formula>
    </cfRule>
  </conditionalFormatting>
  <conditionalFormatting sqref="AE13:AE20">
    <cfRule type="expression" dxfId="2104" priority="43">
      <formula>ABS(AE$16-AE$19)&gt;=1000</formula>
    </cfRule>
  </conditionalFormatting>
  <conditionalFormatting sqref="D22:D29">
    <cfRule type="expression" dxfId="2103" priority="42">
      <formula>ABS(D$25-D$28)&gt;=1000</formula>
    </cfRule>
  </conditionalFormatting>
  <conditionalFormatting sqref="E22:E29">
    <cfRule type="expression" dxfId="2102" priority="41">
      <formula>ABS(E$25-E$28)&gt;=1000</formula>
    </cfRule>
  </conditionalFormatting>
  <conditionalFormatting sqref="F22:F29">
    <cfRule type="expression" dxfId="2101" priority="40">
      <formula>ABS(F$25-F$28)&gt;=1000</formula>
    </cfRule>
  </conditionalFormatting>
  <conditionalFormatting sqref="G22:G29">
    <cfRule type="expression" dxfId="2100" priority="39">
      <formula>ABS(G$25-G$28)&gt;=1000</formula>
    </cfRule>
  </conditionalFormatting>
  <conditionalFormatting sqref="H22:H29">
    <cfRule type="expression" dxfId="2099" priority="38">
      <formula>ABS(H$25-H$28)&gt;=1000</formula>
    </cfRule>
  </conditionalFormatting>
  <conditionalFormatting sqref="I22 I24:I29">
    <cfRule type="expression" dxfId="2098" priority="37">
      <formula>ABS(I$25-I$28)&gt;=1000</formula>
    </cfRule>
  </conditionalFormatting>
  <conditionalFormatting sqref="J22:J29 K22">
    <cfRule type="expression" dxfId="2097" priority="36">
      <formula>ABS(J$25-J$28)&gt;=1000</formula>
    </cfRule>
  </conditionalFormatting>
  <conditionalFormatting sqref="K23:K29 L25 L28">
    <cfRule type="expression" dxfId="2096" priority="35">
      <formula>ABS(K$25-K$28)&gt;=1000</formula>
    </cfRule>
  </conditionalFormatting>
  <conditionalFormatting sqref="L22 L26:L27 L29 L24">
    <cfRule type="expression" dxfId="2095" priority="34">
      <formula>ABS(L$25-L$28)&gt;=1000</formula>
    </cfRule>
  </conditionalFormatting>
  <conditionalFormatting sqref="M22:M29">
    <cfRule type="expression" dxfId="2094" priority="33">
      <formula>ABS(M$25-M$28)&gt;=1000</formula>
    </cfRule>
  </conditionalFormatting>
  <conditionalFormatting sqref="N22:N29">
    <cfRule type="expression" dxfId="2093" priority="32">
      <formula>ABS(N$25-N$28)&gt;=1000</formula>
    </cfRule>
  </conditionalFormatting>
  <conditionalFormatting sqref="O22:O29">
    <cfRule type="expression" dxfId="2092" priority="31">
      <formula>ABS(O$25-O$28)&gt;=1000</formula>
    </cfRule>
  </conditionalFormatting>
  <conditionalFormatting sqref="P22:P29">
    <cfRule type="expression" dxfId="2091" priority="30">
      <formula>ABS(P$25-P$28)&gt;=1000</formula>
    </cfRule>
  </conditionalFormatting>
  <conditionalFormatting sqref="Q22:Q29">
    <cfRule type="expression" dxfId="2090" priority="29">
      <formula>ABS(Q$25-Q$28)&gt;=1000</formula>
    </cfRule>
  </conditionalFormatting>
  <conditionalFormatting sqref="R22:R29">
    <cfRule type="expression" dxfId="2089" priority="28">
      <formula>ABS(R$25-R$28)&gt;=1000</formula>
    </cfRule>
  </conditionalFormatting>
  <conditionalFormatting sqref="S22:S29">
    <cfRule type="expression" dxfId="2088" priority="27">
      <formula>ABS(S$25-S$28)&gt;=1000</formula>
    </cfRule>
  </conditionalFormatting>
  <conditionalFormatting sqref="T22:T29">
    <cfRule type="expression" dxfId="2087" priority="26">
      <formula>ABS(T$25-T$28)&gt;=1000</formula>
    </cfRule>
  </conditionalFormatting>
  <conditionalFormatting sqref="U22:U29">
    <cfRule type="expression" dxfId="2086" priority="25">
      <formula>ABS(U$25-U$28)&gt;=1000</formula>
    </cfRule>
  </conditionalFormatting>
  <conditionalFormatting sqref="V22:V29">
    <cfRule type="expression" dxfId="2085" priority="24">
      <formula>ABS(V$25-V$28)&gt;=1000</formula>
    </cfRule>
  </conditionalFormatting>
  <conditionalFormatting sqref="W22:W29">
    <cfRule type="expression" dxfId="2084" priority="23">
      <formula>ABS(W$25-W$28)&gt;=1000</formula>
    </cfRule>
  </conditionalFormatting>
  <conditionalFormatting sqref="X22:X29">
    <cfRule type="expression" dxfId="2083" priority="22">
      <formula>ABS(X$25-X$28)&gt;=1000</formula>
    </cfRule>
  </conditionalFormatting>
  <conditionalFormatting sqref="Y22:Y29">
    <cfRule type="expression" dxfId="2082" priority="21">
      <formula>ABS(Y$25-Y$28)&gt;=1000</formula>
    </cfRule>
  </conditionalFormatting>
  <conditionalFormatting sqref="I23">
    <cfRule type="expression" dxfId="2081" priority="20">
      <formula>ABS(I$25-I$28)&gt;=1000</formula>
    </cfRule>
  </conditionalFormatting>
  <conditionalFormatting sqref="F14">
    <cfRule type="expression" dxfId="2080" priority="19">
      <formula>ABS(F$16-F$19)&gt;=1000</formula>
    </cfRule>
  </conditionalFormatting>
  <conditionalFormatting sqref="Q14">
    <cfRule type="expression" dxfId="2079" priority="18">
      <formula>ABS(Q$16-Q$19)&gt;=1000</formula>
    </cfRule>
  </conditionalFormatting>
  <conditionalFormatting sqref="W14">
    <cfRule type="expression" dxfId="2078" priority="17">
      <formula>ABS(W$16-W$19)&gt;=1000</formula>
    </cfRule>
  </conditionalFormatting>
  <conditionalFormatting sqref="Y14">
    <cfRule type="expression" dxfId="2077" priority="16">
      <formula>ABS(Y$16-Y$19)&gt;=1000</formula>
    </cfRule>
  </conditionalFormatting>
  <conditionalFormatting sqref="X14">
    <cfRule type="expression" dxfId="2076" priority="15">
      <formula>ABS(X$16-X$19)&gt;=1000</formula>
    </cfRule>
  </conditionalFormatting>
  <conditionalFormatting sqref="T10:Y10">
    <cfRule type="expression" dxfId="2075" priority="14">
      <formula>ABS(T$7-T$10)&gt;=1000</formula>
    </cfRule>
  </conditionalFormatting>
  <conditionalFormatting sqref="W19">
    <cfRule type="expression" dxfId="2074" priority="13">
      <formula>ABS(W$16-W$19)&gt;=1000</formula>
    </cfRule>
  </conditionalFormatting>
  <conditionalFormatting sqref="AC5">
    <cfRule type="expression" dxfId="2073" priority="12">
      <formula>ABS(AC$7-AC$10)&gt;=1000</formula>
    </cfRule>
  </conditionalFormatting>
  <conditionalFormatting sqref="M14">
    <cfRule type="expression" dxfId="2072" priority="11">
      <formula>ABS(M$16-M$19)&gt;=1000</formula>
    </cfRule>
  </conditionalFormatting>
  <conditionalFormatting sqref="M16">
    <cfRule type="expression" dxfId="2071" priority="10">
      <formula>ABS(M$16-M$19)&gt;=1000</formula>
    </cfRule>
  </conditionalFormatting>
  <conditionalFormatting sqref="M19">
    <cfRule type="expression" dxfId="2070" priority="9">
      <formula>ABS(M$16-M$19)&gt;=1000</formula>
    </cfRule>
  </conditionalFormatting>
  <conditionalFormatting sqref="K13:K20">
    <cfRule type="expression" dxfId="2069" priority="8">
      <formula>ABS(K$16-K$19)&gt;=1000</formula>
    </cfRule>
  </conditionalFormatting>
  <conditionalFormatting sqref="E5">
    <cfRule type="expression" dxfId="2068" priority="7">
      <formula>ABS(E$7-E$10)&gt;=1000</formula>
    </cfRule>
  </conditionalFormatting>
  <conditionalFormatting sqref="AB14:AC14">
    <cfRule type="expression" dxfId="2067" priority="6">
      <formula>ABS(AB$16-AB$19)&gt;=1000</formula>
    </cfRule>
  </conditionalFormatting>
  <conditionalFormatting sqref="M5">
    <cfRule type="expression" dxfId="2066" priority="5">
      <formula>ABS(M$7-M$10)&gt;=1000</formula>
    </cfRule>
  </conditionalFormatting>
  <conditionalFormatting sqref="N5">
    <cfRule type="expression" dxfId="2065" priority="4">
      <formula>ABS(N$7-N$10)&gt;=1000</formula>
    </cfRule>
  </conditionalFormatting>
  <conditionalFormatting sqref="O5">
    <cfRule type="expression" dxfId="2064" priority="3">
      <formula>ABS(O$7-O$10)&gt;=1000</formula>
    </cfRule>
  </conditionalFormatting>
  <conditionalFormatting sqref="P5">
    <cfRule type="expression" dxfId="2063" priority="2">
      <formula>ABS(P$7-P$10)&gt;=1000</formula>
    </cfRule>
  </conditionalFormatting>
  <conditionalFormatting sqref="L23">
    <cfRule type="expression" dxfId="2062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90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4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45817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59" t="s" ph="1">
        <v>178</v>
      </c>
      <c r="D6" s="71">
        <v>4951</v>
      </c>
      <c r="E6" s="71">
        <v>4709</v>
      </c>
      <c r="F6" s="71">
        <v>7138</v>
      </c>
      <c r="G6" s="71">
        <v>6418</v>
      </c>
      <c r="H6" s="71">
        <v>981</v>
      </c>
      <c r="I6" s="71">
        <v>63.31</v>
      </c>
      <c r="J6" s="71">
        <v>7.71</v>
      </c>
      <c r="K6" s="71">
        <v>7.72</v>
      </c>
      <c r="L6" s="71">
        <v>40.31</v>
      </c>
      <c r="M6" s="71">
        <v>6005</v>
      </c>
      <c r="N6" s="71">
        <v>4454</v>
      </c>
      <c r="O6" s="71">
        <v>1010</v>
      </c>
      <c r="P6" s="71">
        <v>5036</v>
      </c>
      <c r="Q6" s="71">
        <v>0</v>
      </c>
      <c r="R6" s="71">
        <v>0</v>
      </c>
      <c r="S6" s="71">
        <v>0</v>
      </c>
      <c r="T6" s="71">
        <v>5315</v>
      </c>
      <c r="U6" s="71">
        <v>6840</v>
      </c>
      <c r="V6" s="71">
        <v>4991</v>
      </c>
      <c r="W6" s="71">
        <v>6972</v>
      </c>
      <c r="X6" s="71">
        <v>6683</v>
      </c>
      <c r="Y6" s="71">
        <v>0</v>
      </c>
      <c r="Z6" s="71">
        <v>5635</v>
      </c>
      <c r="AA6" s="71">
        <v>556</v>
      </c>
      <c r="AB6" s="71">
        <v>3471</v>
      </c>
      <c r="AC6" s="71">
        <v>4145</v>
      </c>
      <c r="AD6" s="71">
        <v>4406</v>
      </c>
      <c r="AE6" s="71">
        <v>3003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155077.34691969</v>
      </c>
      <c r="E7" s="73" ph="1">
        <f>E6*51.53*LOOKUP(E8,密度!$A$2:$A$50,密度!$B$2:$B$50)</f>
        <v>188761.14558300003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257346.90054000003</v>
      </c>
      <c r="H7" s="73" ph="1">
        <f>(H6)*51.53*LOOKUP(H8,密度!$A$2:$A$50,密度!$B$2:$B$50)</f>
        <v>39455.000865000002</v>
      </c>
      <c r="I7" s="73" ph="1">
        <f>I6*290.8*1.0267</f>
        <v>18902.1096316</v>
      </c>
      <c r="J7" s="73" ph="1">
        <f>J6*290.8*0.7892</f>
        <v>1769.4400656000003</v>
      </c>
      <c r="K7" s="73" ph="1">
        <f>K6*290.8*1.1126</f>
        <v>2497.7602976000003</v>
      </c>
      <c r="L7" s="73" ph="1">
        <f>L6*290.8*0.777</f>
        <v>9108.1089960000008</v>
      </c>
      <c r="M7" s="73" ph="1">
        <f>M6*33.183*LOOKUP(M8,密度!$A$2:$A$50,密度!$D$2:$D$50)</f>
        <v>203647.72113000002</v>
      </c>
      <c r="N7" s="73" ph="1">
        <f>N6*33.183*LOOKUP(N8,密度!$A$2:$A$50,密度!$E$2:$E$50)</f>
        <v>115089.58775339999</v>
      </c>
      <c r="O7" s="73" ph="1">
        <f>O6*20.428*LOOKUP(O8,密度!$A$2:$A$50,密度!$C$2:$C$50)</f>
        <v>22780.100348000004</v>
      </c>
      <c r="P7" s="73" ph="1">
        <f>P6*51.53*LOOKUP(P8,密度!$A$2:$A$50,密度!$B$2:$B$50)</f>
        <v>201427.84309600003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35165.154023999996</v>
      </c>
      <c r="U7" s="73" ph="1">
        <f>U6*1.5*1.5*3.1416*LOOKUP(U8,密度!$A$2:$A$50,密度!$L$2:$L$50)</f>
        <v>45158.175216000003</v>
      </c>
      <c r="V7" s="73" ph="1">
        <f>V6*1.5*1.5*3.1416*LOOKUP(V8,密度!$A$2:$A$50,密度!$L$2:$L$50)</f>
        <v>32950.943348399996</v>
      </c>
      <c r="W7" s="73" ph="1">
        <f>W6*1.5*1.5*3.1416*LOOKUP(W8,密度!$A$2:$A$50,密度!$L$2:$L$50)</f>
        <v>46029.648772799999</v>
      </c>
      <c r="X7" s="73" ph="1">
        <f>X6*1.5*1.5*3.1416*LOOKUP(X8,密度!$A$2:$A$50,密度!$L$2:$L$50)</f>
        <v>44027.170941600001</v>
      </c>
      <c r="Y7" s="73" ph="1">
        <f>Y6*1.5*1.5*3.1416*LOOKUP(Y8,密度!$A$2:$A$50,密度!$L$2:$L$50)</f>
        <v>0</v>
      </c>
      <c r="Z7" s="73" ph="1">
        <f>Z6*33.183*LOOKUP(Z8,密度!$A$2:$A$50,密度!$L$2:$L$50)</f>
        <v>174832.10167499998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73068.208434</v>
      </c>
      <c r="AC7" s="73" ph="1">
        <f>AC6*51.53*LOOKUP(AC8,密度!$A$2:$A$50,密度!$Q$2:$Q$50)</f>
        <v>201912.64764200003</v>
      </c>
      <c r="AD7" s="73" ph="1">
        <f>AD6*20.428*LOOKUP(AD8,密度!$A$2:$A$50,密度!$V$2:$V$50)</f>
        <v>86189.523436799995</v>
      </c>
      <c r="AE7" s="73" ph="1">
        <f>AE6*20.428</f>
        <v>61345.284</v>
      </c>
    </row>
    <row r="8" spans="1:99" ph="1">
      <c r="B8" s="256" ph="1"/>
      <c r="C8" s="68" t="s" ph="1">
        <v>180</v>
      </c>
      <c r="D8" s="74">
        <v>29</v>
      </c>
      <c r="E8" s="74">
        <v>27</v>
      </c>
      <c r="F8" s="74">
        <v>26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31</v>
      </c>
      <c r="P8" s="74">
        <v>29</v>
      </c>
      <c r="Q8" s="74">
        <v>27</v>
      </c>
      <c r="R8" s="74">
        <v>33</v>
      </c>
      <c r="S8" s="74">
        <v>23</v>
      </c>
      <c r="T8" s="74">
        <v>26</v>
      </c>
      <c r="U8" s="74">
        <v>28</v>
      </c>
      <c r="V8" s="74">
        <v>28</v>
      </c>
      <c r="W8" s="74">
        <v>28</v>
      </c>
      <c r="X8" s="74">
        <v>30</v>
      </c>
      <c r="Y8" s="74">
        <v>27</v>
      </c>
      <c r="Z8" s="74">
        <v>27</v>
      </c>
      <c r="AA8" s="74">
        <v>28</v>
      </c>
      <c r="AB8" s="74">
        <v>21</v>
      </c>
      <c r="AC8" s="74">
        <v>27</v>
      </c>
      <c r="AD8" s="74">
        <v>26</v>
      </c>
      <c r="AE8" s="74">
        <v>32</v>
      </c>
    </row>
    <row r="9" spans="1:99" ht="26.4" ph="1">
      <c r="B9" s="256" ph="1">
        <v>0.66666666666666663</v>
      </c>
      <c r="C9" s="159" t="s" ph="1">
        <v>181</v>
      </c>
      <c r="D9" s="71">
        <v>4955</v>
      </c>
      <c r="E9" s="71">
        <v>4709</v>
      </c>
      <c r="F9" s="71">
        <v>7141</v>
      </c>
      <c r="G9" s="71">
        <v>7856</v>
      </c>
      <c r="H9" s="71">
        <v>981</v>
      </c>
      <c r="I9" s="71">
        <v>63.41</v>
      </c>
      <c r="J9" s="71">
        <v>7.82</v>
      </c>
      <c r="K9" s="71">
        <v>7.83</v>
      </c>
      <c r="L9" s="71">
        <v>37.82</v>
      </c>
      <c r="M9" s="71">
        <v>5431</v>
      </c>
      <c r="N9" s="71">
        <v>4256</v>
      </c>
      <c r="O9" s="71">
        <v>1010</v>
      </c>
      <c r="P9" s="71">
        <v>4745</v>
      </c>
      <c r="Q9" s="71">
        <v>0</v>
      </c>
      <c r="R9" s="71">
        <v>0</v>
      </c>
      <c r="S9" s="71">
        <v>0</v>
      </c>
      <c r="T9" s="71">
        <v>841</v>
      </c>
      <c r="U9" s="71">
        <v>6847</v>
      </c>
      <c r="V9" s="71">
        <v>4997</v>
      </c>
      <c r="W9" s="71">
        <v>6982</v>
      </c>
      <c r="X9" s="71">
        <v>6692</v>
      </c>
      <c r="Y9" s="71">
        <v>2722</v>
      </c>
      <c r="Z9" s="71">
        <v>6627</v>
      </c>
      <c r="AA9" s="71">
        <v>556</v>
      </c>
      <c r="AB9" s="71">
        <v>3764</v>
      </c>
      <c r="AC9" s="71">
        <v>4145</v>
      </c>
      <c r="AD9" s="71">
        <v>4413</v>
      </c>
      <c r="AE9" s="71">
        <v>2822</v>
      </c>
    </row>
    <row r="10" spans="1:99" s="72" customFormat="1" ht="22.2" ph="1">
      <c r="B10" s="256" ph="1"/>
      <c r="C10" s="159" t="s" ph="1">
        <v>179</v>
      </c>
      <c r="D10" s="73" ph="1">
        <f>D9*33.183*LOOKUP(D11,密度!$A$2:$A$50,密度!$Q$2:$Q$50)</f>
        <v>154980.66725369997</v>
      </c>
      <c r="E10" s="73" ph="1">
        <f>E9*51.53*LOOKUP(E11,密度!$A$2:$A$50,密度!$B$2:$B$50)</f>
        <v>187911.85388800001</v>
      </c>
      <c r="F10" s="73" ph="1">
        <f>F9*33.183*LOOKUP(F11,密度!$A$2:$A$50,密度!$C$2:$C$50)</f>
        <v>261864.27829529997</v>
      </c>
      <c r="G10" s="73" ph="1">
        <f xml:space="preserve"> (G9+2)*51.53*LOOKUP(G11,密度!$A$2:$A$50,密度!$B$2:$B$50)</f>
        <v>314301.03078799997</v>
      </c>
      <c r="H10" s="73" ph="1">
        <f>(H9)*51.53*LOOKUP(H11,密度!$A$2:$A$50,密度!$B$2:$B$50)</f>
        <v>39192.136029000001</v>
      </c>
      <c r="I10" s="73" ph="1">
        <f>I9*290.8*1.0267</f>
        <v>18931.966067599998</v>
      </c>
      <c r="J10" s="73" ph="1">
        <f>J9*290.8*0.7892</f>
        <v>1794.6849952</v>
      </c>
      <c r="K10" s="73" ph="1">
        <f>K9*290.8*1.1126</f>
        <v>2533.3501464000001</v>
      </c>
      <c r="L10" s="73" ph="1">
        <f>L9*290.8*0.777</f>
        <v>8545.4895120000001</v>
      </c>
      <c r="M10" s="73" ph="1">
        <f>M9*33.183*LOOKUP(M11,密度!$A$2:$A$50,密度!$D$2:$D$50)</f>
        <v>182595.73572360002</v>
      </c>
      <c r="N10" s="73" ph="1">
        <f>N9*33.183*LOOKUP(N11,密度!$A$2:$A$50,密度!$E$2:$E$50)</f>
        <v>109495.99979135999</v>
      </c>
      <c r="O10" s="73" ph="1">
        <f>O9*20.428*LOOKUP(O11,密度!$A$2:$A$50,密度!$C$2:$C$50)</f>
        <v>22563.461407999999</v>
      </c>
      <c r="P10" s="73" ph="1">
        <f>P9*51.53*LOOKUP(P11,密度!$A$2:$A$50,密度!$B$2:$B$50)</f>
        <v>189128.36897499999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5522.6194254000002</v>
      </c>
      <c r="U10" s="73" ph="1">
        <f>U9*1.5*1.5*3.1416*LOOKUP(U11,密度!$A$2:$A$50,密度!$L$2:$L$50)</f>
        <v>45155.991018600005</v>
      </c>
      <c r="V10" s="73" ph="1">
        <f>V9*1.5*1.5*3.1416*LOOKUP(V11,密度!$A$2:$A$50,密度!$L$2:$L$50)</f>
        <v>32990.555782800002</v>
      </c>
      <c r="W10" s="73" ph="1">
        <f>W9*1.5*1.5*3.1416*LOOKUP(W11,密度!$A$2:$A$50,密度!$L$2:$L$50)</f>
        <v>45996.963566400002</v>
      </c>
      <c r="X10" s="73" ph="1">
        <f>X9*1.5*1.5*3.1416*LOOKUP(X11,密度!$A$2:$A$50,密度!$L$2:$L$50)</f>
        <v>43991.856216</v>
      </c>
      <c r="Y10" s="73" ph="1">
        <f>Y9*1.5*1.5*3.1416*LOOKUP(Y11,密度!$A$2:$A$50,密度!$L$2:$L$50)</f>
        <v>18009.3225312</v>
      </c>
      <c r="Z10" s="73" ph="1">
        <f>Z9*33.183*LOOKUP(Z11,密度!$A$2:$A$50,密度!$L$2:$L$50)</f>
        <v>203850.76790700003</v>
      </c>
      <c r="AA10" s="73" ph="1">
        <f>AA9*33.183*LOOKUP(AA11,密度!$A$2:$A$50,密度!$D$2:$D$50)</f>
        <v>18612.105782399998</v>
      </c>
      <c r="AB10" s="73" ph="1">
        <f>AB9*20.428*LOOKUP(AB11,密度!$A$2:$A$50,密度!$D$2:$D$50)</f>
        <v>78943.981486399993</v>
      </c>
      <c r="AC10" s="73" ph="1">
        <f>AC9*51.53*LOOKUP(AC11,密度!$A$2:$A$50,密度!$Q$2:$Q$50)</f>
        <v>201487.59986050002</v>
      </c>
      <c r="AD10" s="73" ph="1">
        <f>AD9*20.428*LOOKUP(AD11,密度!$A$2:$A$50,密度!$V$2:$V$50)</f>
        <v>86326.456406400015</v>
      </c>
      <c r="AE10" s="73" ph="1">
        <f>AE9*20.428</f>
        <v>57647.815999999999</v>
      </c>
    </row>
    <row r="11" spans="1:99" ph="1">
      <c r="A11" s="64" t="s" ph="1">
        <v>163</v>
      </c>
      <c r="B11" s="256" ph="1"/>
      <c r="C11" s="159" t="s" ph="1">
        <v>180</v>
      </c>
      <c r="D11" s="74">
        <v>31</v>
      </c>
      <c r="E11" s="74">
        <v>31</v>
      </c>
      <c r="F11" s="74">
        <v>30</v>
      </c>
      <c r="G11" s="74">
        <v>29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41</v>
      </c>
      <c r="P11" s="74">
        <v>32</v>
      </c>
      <c r="Q11" s="74">
        <v>41</v>
      </c>
      <c r="R11" s="74">
        <v>40</v>
      </c>
      <c r="S11" s="74">
        <v>28</v>
      </c>
      <c r="T11" s="74">
        <v>33</v>
      </c>
      <c r="U11" s="74">
        <v>29</v>
      </c>
      <c r="V11" s="74">
        <v>28</v>
      </c>
      <c r="W11" s="74">
        <v>30</v>
      </c>
      <c r="X11" s="74">
        <v>32</v>
      </c>
      <c r="Y11" s="74">
        <v>26</v>
      </c>
      <c r="Z11" s="74">
        <v>35</v>
      </c>
      <c r="AA11" s="74">
        <v>45</v>
      </c>
      <c r="AB11" s="74">
        <v>25</v>
      </c>
      <c r="AC11" s="74">
        <v>30</v>
      </c>
      <c r="AD11" s="74">
        <v>33</v>
      </c>
      <c r="AE11" s="74">
        <v>36</v>
      </c>
    </row>
    <row r="12" spans="1:99" ht="9.9" customHeight="1" ph="1"/>
    <row r="13" spans="1:99" s="72" customFormat="1" ht="29.25" customHeight="1" ph="1">
      <c r="B13" s="23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59" t="s" ph="1">
        <v>178</v>
      </c>
      <c r="D15" s="78">
        <v>1598</v>
      </c>
      <c r="E15" s="78">
        <v>4719</v>
      </c>
      <c r="F15" s="78">
        <v>3706</v>
      </c>
      <c r="G15" s="78">
        <v>4353</v>
      </c>
      <c r="H15" s="78">
        <v>3733</v>
      </c>
      <c r="I15" s="78">
        <v>118</v>
      </c>
      <c r="J15" s="78">
        <v>1657</v>
      </c>
      <c r="K15" s="78">
        <v>895</v>
      </c>
      <c r="L15" s="78">
        <v>5651</v>
      </c>
      <c r="M15" s="78">
        <v>3580</v>
      </c>
      <c r="N15" s="78">
        <v>2438</v>
      </c>
      <c r="O15" s="78">
        <v>6088</v>
      </c>
      <c r="P15" s="78">
        <v>7170</v>
      </c>
      <c r="Q15" s="78">
        <v>0</v>
      </c>
      <c r="R15" s="78">
        <v>3515</v>
      </c>
      <c r="S15" s="78">
        <v>6930</v>
      </c>
      <c r="T15" s="78">
        <v>1378</v>
      </c>
      <c r="U15" s="78">
        <v>6466</v>
      </c>
      <c r="V15" s="78">
        <v>595</v>
      </c>
      <c r="W15" s="71">
        <v>-792</v>
      </c>
      <c r="X15" s="78">
        <v>25</v>
      </c>
      <c r="Y15" s="106">
        <v>-9909</v>
      </c>
      <c r="Z15" s="78">
        <v>0</v>
      </c>
      <c r="AA15" s="78">
        <v>0</v>
      </c>
      <c r="AB15" s="78" ph="1">
        <v>2369</v>
      </c>
      <c r="AC15" s="78" ph="1">
        <v>0</v>
      </c>
      <c r="AD15" s="78">
        <v>84.61</v>
      </c>
      <c r="AE15" s="78">
        <v>0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59" t="s" ph="1">
        <v>179</v>
      </c>
      <c r="D16" s="73" ph="1">
        <f>D15*7.0686*LOOKUP(D17,密度!$A$2:$A$50,密度!$L$2:$L$50)</f>
        <v>10538.816072399999</v>
      </c>
      <c r="E16" s="73" ph="1">
        <f>E15*7.0686*LOOKUP(E17,密度!$A$2:$A$50,密度!$L$2:$L$50)</f>
        <v>31155.179655600004</v>
      </c>
      <c r="F16" s="73" ph="1">
        <f>F15*9.0746*LOOKUP(F17,密度!$A$2:$A$50,密度!$L$2:$L$50)</f>
        <v>31309.965335600005</v>
      </c>
      <c r="G16" s="73" ph="1">
        <f>G15*9.0746*LOOKUP(G17,密度!$A$2:$A$50,密度!$B$2:$B$50)</f>
        <v>30692.847162600003</v>
      </c>
      <c r="H16" s="73" ph="1">
        <f>H15*9.0746*LOOKUP(H17,密度!$A$2:$A$50,密度!$L$2:$L$50)</f>
        <v>31673.575483000004</v>
      </c>
      <c r="I16" s="73" ph="1">
        <f>I15*9.0746*LOOKUP(I17,密度!$A$2:$A$50,密度!$U$2:$U$50)</f>
        <v>1095.4312643999999</v>
      </c>
      <c r="J16" s="73" ph="1">
        <f>J15*9.0746*LOOKUP(J17,密度!$A$2:$A$50,密度!$L$2:$L$50)</f>
        <v>14029.1591826</v>
      </c>
      <c r="K16" s="73" ph="1">
        <f>K15*9.0746*LOOKUP(K17,密度!$A$2:$A$50,密度!$C$2:$C$50)</f>
        <v>8994.0447757999991</v>
      </c>
      <c r="L16" s="73" ph="1">
        <f>L15*9.0746*LOOKUP(L17,密度!$A$2:$A$50,密度!$E$2:$E$50)</f>
        <v>39875.767032959993</v>
      </c>
      <c r="M16" s="73" ph="1">
        <f>M15*9.0746*LOOKUP(M17,密度!$A$2:$A$50,密度!$M$2:$M$50)</f>
        <v>28260.500453199998</v>
      </c>
      <c r="N16" s="73" ph="1">
        <f>N15*9.0746*LOOKUP(N17,密度!$A$2:$A$50,密度!$M$2:$M$50)</f>
        <v>19338.478962680001</v>
      </c>
      <c r="O16" s="73" ph="1">
        <f>O15*9.0746*LOOKUP(O17,密度!$A$2:$A$50,密度!$G$2:$G$50)</f>
        <v>52743.513534559999</v>
      </c>
      <c r="P16" s="73" ph="1">
        <f ca="1">P15*9.0746*LOOKUP(P17,密度!$A$2:$A$51,密度!$Q$2:$Q$50)</f>
        <v>61416.69406626001</v>
      </c>
      <c r="Q16" s="73" ph="1">
        <f>Q15*9.0746*LOOKUP(Q17,密度!$A$2:$A$50,密度!$Q$2:$Q$50)</f>
        <v>0</v>
      </c>
      <c r="R16" s="73" ph="1">
        <f>MAX(R15*9.0746*LOOKUP(R17,密度!$A$2:$A$50,密度!$B$2:$B$50),0)</f>
        <v>24729.913890700002</v>
      </c>
      <c r="S16" s="73" ph="1">
        <f>S15*9.0746*LOOKUP(S17,密度!$A$2:$A$50,密度!$Q$2:$Q$50)</f>
        <v>59360.905143540003</v>
      </c>
      <c r="T16" s="73" ph="1">
        <f>T15*9.0746*LOOKUP(T17,密度!$A$2:$A$50,密度!$O$2:$O$50)</f>
        <v>11579.443688800002</v>
      </c>
      <c r="U16" s="73" ph="1">
        <f>U15*9.0746*LOOKUP(U17,密度!$A$2:$A$50,密度!$H$2:$H$50)</f>
        <v>53624.328694040007</v>
      </c>
      <c r="V16" s="73" ph="1">
        <f>MAX(5600*LOOKUP(V17,密度!$A$2:$A$50,密度!$Q$2:$Q$50)+V15*9.0476*LOOKUP(V17,密度!$A$2:$A$50,密度!$Q$2:$Q$50),0)</f>
        <v>10367.48713546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6052.828790999999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20035.8819368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18943.511938079999</v>
      </c>
      <c r="AE16" s="73" ph="1">
        <f>AE15*268.68*LOOKUP(AE17,密度!$A$2:$A$50,密度!B2:B50)+IF(AE15&lt;=0,0,1566*LOOKUP(AE17,密度!$A$2:$A$50,密度!B2:B50))</f>
        <v>0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28</v>
      </c>
      <c r="F17" s="74">
        <v>31</v>
      </c>
      <c r="G17" s="74">
        <v>28</v>
      </c>
      <c r="H17" s="74">
        <v>27</v>
      </c>
      <c r="I17" s="74">
        <v>27</v>
      </c>
      <c r="J17" s="74">
        <v>29</v>
      </c>
      <c r="K17" s="74">
        <v>27</v>
      </c>
      <c r="L17" s="74">
        <v>30</v>
      </c>
      <c r="M17" s="74">
        <v>30</v>
      </c>
      <c r="N17" s="74">
        <v>26</v>
      </c>
      <c r="O17" s="74">
        <v>30</v>
      </c>
      <c r="P17" s="74">
        <v>29</v>
      </c>
      <c r="Q17" s="74">
        <v>28</v>
      </c>
      <c r="R17" s="74">
        <v>30</v>
      </c>
      <c r="S17" s="74">
        <v>29</v>
      </c>
      <c r="T17" s="74">
        <v>28</v>
      </c>
      <c r="U17" s="74">
        <v>26</v>
      </c>
      <c r="V17" s="74">
        <v>29</v>
      </c>
      <c r="W17" s="74">
        <v>28</v>
      </c>
      <c r="X17" s="74">
        <v>28</v>
      </c>
      <c r="Y17" s="108">
        <v>28</v>
      </c>
      <c r="Z17" s="74">
        <v>29</v>
      </c>
      <c r="AA17" s="74">
        <v>26</v>
      </c>
      <c r="AB17" s="74">
        <v>30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1599</v>
      </c>
      <c r="E18" s="71">
        <v>4727</v>
      </c>
      <c r="F18" s="71">
        <v>3708</v>
      </c>
      <c r="G18" s="71">
        <v>4384</v>
      </c>
      <c r="H18" s="71">
        <v>3736</v>
      </c>
      <c r="I18" s="71">
        <v>117</v>
      </c>
      <c r="J18" s="71">
        <v>1660</v>
      </c>
      <c r="K18" s="71">
        <v>1735</v>
      </c>
      <c r="L18" s="71">
        <v>5666</v>
      </c>
      <c r="M18" s="71">
        <v>5077</v>
      </c>
      <c r="N18" s="71">
        <v>2972</v>
      </c>
      <c r="O18" s="71">
        <v>6097</v>
      </c>
      <c r="P18" s="71">
        <v>7179</v>
      </c>
      <c r="Q18" s="71">
        <v>0</v>
      </c>
      <c r="R18" s="71">
        <v>3520</v>
      </c>
      <c r="S18" s="71">
        <v>6938</v>
      </c>
      <c r="T18" s="71">
        <v>844</v>
      </c>
      <c r="U18" s="71">
        <v>6473</v>
      </c>
      <c r="V18" s="71">
        <v>594</v>
      </c>
      <c r="W18" s="71">
        <v>-792</v>
      </c>
      <c r="X18" s="71">
        <v>24</v>
      </c>
      <c r="Y18" s="109">
        <v>-9907</v>
      </c>
      <c r="Z18" s="71">
        <v>0</v>
      </c>
      <c r="AA18" s="71">
        <v>0</v>
      </c>
      <c r="AB18" s="71">
        <v>2372</v>
      </c>
      <c r="AC18" s="71">
        <v>0</v>
      </c>
      <c r="AD18" s="71">
        <v>83.92</v>
      </c>
      <c r="AE18" s="71">
        <v>20.21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59" t="s" ph="1">
        <v>179</v>
      </c>
      <c r="D19" s="73" ph="1">
        <f>D18*7.0686*LOOKUP(D20,密度!$A$2:$A$50,密度!$L$2:$L$50)</f>
        <v>10500.200310600001</v>
      </c>
      <c r="E19" s="73" ph="1">
        <f>E18*7.0686*LOOKUP(E20,密度!$A$2:$A$50,密度!$L$2:$L$50)</f>
        <v>31007.5166016</v>
      </c>
      <c r="F19" s="73" ph="1">
        <f>F18*9.0746*LOOKUP(F20,密度!$A$2:$A$50,密度!$L$2:$L$50)</f>
        <v>31225.916390400005</v>
      </c>
      <c r="G19" s="73" ph="1">
        <f>G18*9.0746*LOOKUP(G20,密度!$A$2:$A$50,密度!$B$2:$B$50)</f>
        <v>30843.79587392</v>
      </c>
      <c r="H19" s="73" ph="1">
        <f>H18*9.0746*LOOKUP(H20,密度!$A$2:$A$50,密度!$L$2:$L$50)</f>
        <v>31326.099974400004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13994.303644000001</v>
      </c>
      <c r="K19" s="73" ph="1">
        <f>K18*9.0746*LOOKUP(K20,密度!$A$2:$A$50,密度!$C$2:$C$50)</f>
        <v>17366.107393000002</v>
      </c>
      <c r="L19" s="73" ph="1">
        <f>L18*9.0746*LOOKUP(L20,密度!$A$2:$A$50,密度!$E$2:$E$50)</f>
        <v>39864.383128752001</v>
      </c>
      <c r="M19" s="73" ph="1">
        <f>M18*9.0746*LOOKUP(M20,密度!$A$2:$A$50,密度!$M$2:$M$50)</f>
        <v>39885.230388824006</v>
      </c>
      <c r="N19" s="73" ph="1">
        <f>N18*9.0746*LOOKUP(N20,密度!$A$2:$A$50,密度!$M$2:$M$50)</f>
        <v>23460.951772880002</v>
      </c>
      <c r="O19" s="73" ph="1">
        <f>O18*9.0746*LOOKUP(O20,密度!$A$2:$A$50,密度!$G$2:$G$50)</f>
        <v>52766.710662301994</v>
      </c>
      <c r="P19" s="73" ph="1">
        <f ca="1">P18*9.0746*LOOKUP(P20,密度!$A$2:$A$51,密度!$Q$2:$Q$50)</f>
        <v>61361.538647460002</v>
      </c>
      <c r="Q19" s="73" ph="1">
        <f>Q18*9.0746*LOOKUP(Q20,密度!$A$2:$A$50,密度!$Q$2:$Q$50)</f>
        <v>0</v>
      </c>
      <c r="R19" s="73" ph="1">
        <f>MAX(R18*9.0746*LOOKUP(R20,密度!$A$2:$A$50,密度!$B$2:$B$50),0)</f>
        <v>24707.594912</v>
      </c>
      <c r="S19" s="73" ph="1">
        <f>S18*9.0746*LOOKUP(S20,密度!$A$2:$A$50,密度!$Q$2:$Q$50)</f>
        <v>59301.623504119998</v>
      </c>
      <c r="T19" s="73" ph="1">
        <f>T18*9.0746*LOOKUP(T20,密度!$A$2:$A$50,密度!$O$2:$O$50)</f>
        <v>7055.4361628800007</v>
      </c>
      <c r="U19" s="73" ph="1">
        <f>U18*9.0746*LOOKUP(U20,密度!$A$2:$A$50,密度!$H$2:$H$50)</f>
        <v>53340.515497264001</v>
      </c>
      <c r="V19" s="73" ph="1">
        <f>MAX(5600*LOOKUP(V20,密度!$A$2:$A$50,密度!$Q$2:$Q$50)+V18*9.0476*LOOKUP(V20,密度!$A$2:$A$50,密度!$Q$2:$Q$50),0)</f>
        <v>10322.292757896001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6004.3380424320003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20039.7295672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18736.2870912</v>
      </c>
      <c r="AE19" s="73" ph="1">
        <f>AE18*268.68*LOOKUP(AE20,密度!$A$2:$A$50,密度!B5:B53)+IF(AE18&lt;=0,0,1566*LOOKUP(AE20,密度!$A$2:$A$50,密度!B5:B53))</f>
        <v>5435.9097156000007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33</v>
      </c>
      <c r="E20" s="81">
        <v>34</v>
      </c>
      <c r="F20" s="81">
        <v>34</v>
      </c>
      <c r="G20" s="81">
        <v>30</v>
      </c>
      <c r="H20" s="81">
        <v>38</v>
      </c>
      <c r="I20" s="81">
        <v>35</v>
      </c>
      <c r="J20" s="81">
        <v>33</v>
      </c>
      <c r="K20" s="81">
        <v>32</v>
      </c>
      <c r="L20" s="81">
        <v>32</v>
      </c>
      <c r="M20" s="81">
        <v>34</v>
      </c>
      <c r="N20" s="81">
        <v>30</v>
      </c>
      <c r="O20" s="81">
        <v>31</v>
      </c>
      <c r="P20" s="81">
        <v>32</v>
      </c>
      <c r="Q20" s="81">
        <v>34</v>
      </c>
      <c r="R20" s="81">
        <v>32</v>
      </c>
      <c r="S20" s="81">
        <v>32</v>
      </c>
      <c r="T20" s="81">
        <v>33</v>
      </c>
      <c r="U20" s="81">
        <v>32</v>
      </c>
      <c r="V20" s="81">
        <v>34</v>
      </c>
      <c r="W20" s="81">
        <v>34</v>
      </c>
      <c r="X20" s="81">
        <v>34</v>
      </c>
      <c r="Y20" s="110">
        <v>34</v>
      </c>
      <c r="Z20" s="81">
        <v>34</v>
      </c>
      <c r="AA20" s="81">
        <v>32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59" t="s" ph="1">
        <v>178</v>
      </c>
      <c r="D24" s="71">
        <v>91.12</v>
      </c>
      <c r="E24" s="71">
        <v>95.81</v>
      </c>
      <c r="F24" s="71">
        <v>4003</v>
      </c>
      <c r="G24" s="71">
        <v>2482</v>
      </c>
      <c r="H24" s="71">
        <v>1596</v>
      </c>
      <c r="I24" s="71">
        <v>2358</v>
      </c>
      <c r="J24" s="71">
        <v>5418</v>
      </c>
      <c r="K24" s="71">
        <v>37</v>
      </c>
      <c r="L24" s="71">
        <v>1132</v>
      </c>
      <c r="M24" s="71">
        <v>5261</v>
      </c>
      <c r="N24" s="71">
        <v>5331</v>
      </c>
      <c r="O24" s="71">
        <v>3691</v>
      </c>
      <c r="P24" s="71">
        <v>3064</v>
      </c>
      <c r="Q24" s="90">
        <v>971</v>
      </c>
      <c r="R24" s="71">
        <v>1743</v>
      </c>
      <c r="S24" s="71">
        <v>4065</v>
      </c>
      <c r="T24" s="71">
        <v>1763</v>
      </c>
      <c r="U24" s="71">
        <v>4697</v>
      </c>
      <c r="V24" s="71">
        <v>9643</v>
      </c>
      <c r="W24" s="71">
        <v>10748</v>
      </c>
      <c r="X24" s="71">
        <v>2070</v>
      </c>
      <c r="Y24" s="71">
        <v>4044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24660.798643584003</v>
      </c>
      <c r="E25" s="91" ph="1">
        <f>E24*268.68*LOOKUP(E26,密度!$A$2:$A$50,密度!$C$2:$C$50)+IF(E24&lt;=0,0,1566*LOOKUP(E26,密度!$A$2:$A$50,密度!$C$2:$C$50))</f>
        <v>30282.097134120002</v>
      </c>
      <c r="F25" s="91" ph="1">
        <f>F24*11.702*LOOKUP(F26,密度!$A$2:$A$50,密度!$Q$2:$Q$50)</f>
        <v>44188.50718298</v>
      </c>
      <c r="G25" s="91" ph="1">
        <f>G24*18.322*LOOKUP(G26,密度!$A$2:$A$50,密度!$B$2:$B$50)</f>
        <v>35256.925661199995</v>
      </c>
      <c r="H25" s="91" ph="1">
        <f>H24*18.322*LOOKUP(H26,密度!$A$2:$A$50,密度!$B$2:$B$50)</f>
        <v>22671.254373600001</v>
      </c>
      <c r="I25" s="91" ph="1">
        <f>I24*18.322*LOOKUP(I26,密度!$A$2:$A$50,密度!$Q$2:$Q$50)</f>
        <v>40754.946349079997</v>
      </c>
      <c r="J25" s="91" ph="1">
        <f>J24*18.322*LOOKUP(J26,密度!$A$2:$A$50,密度!$Q$2:$Q$50)</f>
        <v>93702.605822279991</v>
      </c>
      <c r="K25" s="91" ph="1">
        <f>K24*18.322*LOOKUP(K26,密度!$A$2:$A$50,密度!$Q$2:$Q$50)</f>
        <v>639.90336202000003</v>
      </c>
      <c r="L25" s="91" ph="1">
        <f>L24*18.322*LOOKUP(L26,密度!$A$2:$A$50,密度!$Q$2:$Q$50)</f>
        <v>19549.58426032</v>
      </c>
      <c r="M25" s="91" ph="1">
        <f>M24*18.322*LOOKUP(M26,密度!$A$2:$A$50,密度!$Q$2:$Q$50)</f>
        <v>90929.504979860008</v>
      </c>
      <c r="N25" s="91" ph="1">
        <f>N24*18.322*LOOKUP(N26,密度!$A$2:$A$50,密度!$Q$2:$Q$50)</f>
        <v>92139.363438059998</v>
      </c>
      <c r="O25" s="91" ph="1">
        <f>O24*18.322*LOOKUP(O26,密度!$A$2:$A$50,密度!$C$2:$C$50)</f>
        <v>74788.148561800001</v>
      </c>
      <c r="P25" s="91" ph="1">
        <f>P24*11.702*LOOKUP(P26,密度!$A$2:$A$50,密度!$B$2:$B$50)</f>
        <v>27830.5951136</v>
      </c>
      <c r="Q25" s="92" ph="1">
        <f>Q24*18.322*LOOKUP(Q26,密度!$A$2:$A$50,密度!$B$2:$B$50)</f>
        <v>13793.1002486</v>
      </c>
      <c r="R25" s="91" ph="1">
        <f>R24*35.891*LOOKUP(R26,密度!$A$2:$A$50,密度!$C$2:$C$50)</f>
        <v>69132.860166300001</v>
      </c>
      <c r="S25" s="91" ph="1">
        <f>S24*35.891*LOOKUP(S26,密度!$A$2:$A$50,密度!$B$2:$B$50)</f>
        <v>113245.18542299999</v>
      </c>
      <c r="T25" s="91" ph="1">
        <f>T24*35.891*LOOKUP(T26,密度!$A$2:$A$50,密度!$Q$2:$Q$50)</f>
        <v>59727.957043690003</v>
      </c>
      <c r="U25" s="91" ph="1">
        <f>U24*35.891</f>
        <v>168580.027</v>
      </c>
      <c r="V25" s="91" ph="1">
        <f>V24*47.051*LOOKUP(V26,密度!$A$2:$A$50,密度!$B$2:$B$50)</f>
        <v>352171.86992660002</v>
      </c>
      <c r="W25" s="91" ph="1">
        <f>W24*47.051*LOOKUP(W26,密度!$A$2:$A$50,密度!$B$2:$B$50)</f>
        <v>391617.29221119999</v>
      </c>
      <c r="X25" s="91" ph="1">
        <f>X24*47.051*LOOKUP(X26,密度!$A$2:$A$50,密度!$I$2:$I$50)</f>
        <v>100960.247862</v>
      </c>
      <c r="Y25" s="91" ph="1">
        <f>Y24*47.051*LOOKUP(Y26,密度!$A$2:$A$50,密度!$L$2:$L$50)</f>
        <v>177525.86965200002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30</v>
      </c>
      <c r="J26" s="74">
        <v>29</v>
      </c>
      <c r="K26" s="74">
        <v>29</v>
      </c>
      <c r="L26" s="74">
        <v>31</v>
      </c>
      <c r="M26" s="74">
        <v>30</v>
      </c>
      <c r="N26" s="74">
        <v>30</v>
      </c>
      <c r="O26" s="74">
        <v>29</v>
      </c>
      <c r="P26" s="74">
        <v>29</v>
      </c>
      <c r="Q26" s="93">
        <v>30</v>
      </c>
      <c r="R26" s="74">
        <v>30</v>
      </c>
      <c r="S26" s="74">
        <v>29</v>
      </c>
      <c r="T26" s="74">
        <v>29</v>
      </c>
      <c r="U26" s="74">
        <v>29</v>
      </c>
      <c r="V26" s="74">
        <v>29</v>
      </c>
      <c r="W26" s="74">
        <v>31</v>
      </c>
      <c r="X26" s="74">
        <v>30</v>
      </c>
      <c r="Y26" s="74">
        <v>29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59" t="s" ph="1">
        <v>181</v>
      </c>
      <c r="D27" s="71">
        <v>91.21</v>
      </c>
      <c r="E27" s="71">
        <v>95.81</v>
      </c>
      <c r="F27" s="71">
        <v>4006</v>
      </c>
      <c r="G27" s="71">
        <v>1996</v>
      </c>
      <c r="H27" s="71">
        <v>1125</v>
      </c>
      <c r="I27" s="71">
        <v>2358</v>
      </c>
      <c r="J27" s="71">
        <v>5419</v>
      </c>
      <c r="K27" s="71">
        <v>34</v>
      </c>
      <c r="L27" s="71">
        <v>1128</v>
      </c>
      <c r="M27" s="71">
        <v>5263</v>
      </c>
      <c r="N27" s="71">
        <v>5331</v>
      </c>
      <c r="O27" s="71">
        <v>3688</v>
      </c>
      <c r="P27" s="71">
        <v>1937</v>
      </c>
      <c r="Q27" s="90">
        <v>1318</v>
      </c>
      <c r="R27" s="71">
        <v>1739</v>
      </c>
      <c r="S27" s="71">
        <v>4693</v>
      </c>
      <c r="T27" s="71">
        <v>1761</v>
      </c>
      <c r="U27" s="71">
        <v>4531</v>
      </c>
      <c r="V27" s="71">
        <v>9646</v>
      </c>
      <c r="W27" s="71">
        <v>10751</v>
      </c>
      <c r="X27" s="71">
        <v>2335</v>
      </c>
      <c r="Y27" s="71">
        <v>2993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59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30282.097134120002</v>
      </c>
      <c r="F28" s="91" ph="1">
        <f>F27*11.702*LOOKUP(F29,密度!$A$2:$A$50,密度!$Q$2:$Q$50)</f>
        <v>44186.465066960001</v>
      </c>
      <c r="G28" s="91" ph="1">
        <f>G27*18.322*LOOKUP(G29,密度!$A$2:$A$50,密度!$B$2:$B$50)</f>
        <v>28320.359372799998</v>
      </c>
      <c r="H28" s="91" ph="1">
        <f>H27*18.322*LOOKUP(H29,密度!$A$2:$A$50,密度!$B$2:$B$50)</f>
        <v>15962.126399999999</v>
      </c>
      <c r="I28" s="91" ph="1">
        <f>I27*18.322*LOOKUP(I29,密度!$A$2:$A$50,密度!$Q$2:$Q$50)</f>
        <v>40754.946349079997</v>
      </c>
      <c r="J28" s="91" ph="1">
        <f>J27*18.322*LOOKUP(J29,密度!$A$2:$A$50,密度!$Q$2:$Q$50)</f>
        <v>93660.328356939994</v>
      </c>
      <c r="K28" s="91" ph="1">
        <f>K27*18.322*LOOKUP(K29,密度!$A$2:$A$50,密度!$Q$2:$Q$50)</f>
        <v>587.17832583999996</v>
      </c>
      <c r="L28" s="91" ph="1">
        <f>L27*18.322*LOOKUP(L29,密度!$A$2:$A$50,密度!$Q$2:$Q$50)</f>
        <v>19480.50445728</v>
      </c>
      <c r="M28" s="91" ph="1">
        <f>M27*18.322*LOOKUP(M29,密度!$A$2:$A$50,密度!$Q$2:$Q$50)</f>
        <v>90964.072364380001</v>
      </c>
      <c r="N28" s="91" ph="1">
        <f>N27*18.322*LOOKUP(N29,密度!$A$2:$A$50,密度!$Q$2:$Q$50)</f>
        <v>92139.363438059998</v>
      </c>
      <c r="O28" s="91" ph="1">
        <f>O27*18.322*LOOKUP(O29,密度!$A$2:$A$50,密度!$C$2:$C$50)</f>
        <v>74605.732897599999</v>
      </c>
      <c r="P28" s="91" ph="1">
        <f>P27*11.702*LOOKUP(P29,密度!$A$2:$A$50,密度!$B$2:$B$50)</f>
        <v>17532.749689</v>
      </c>
      <c r="Q28" s="92" ph="1">
        <f>Q27*18.322*LOOKUP(Q29,密度!$A$2:$A$50,密度!$B$2:$B$50)</f>
        <v>18700.5178624</v>
      </c>
      <c r="R28" s="91" ph="1">
        <f>R27*35.891*LOOKUP(R29,密度!$A$2:$A$50,密度!$C$2:$C$50)</f>
        <v>68843.137247000006</v>
      </c>
      <c r="S28" s="91" ph="1">
        <f>S27*35.891*LOOKUP(S29,密度!$A$2:$A$50,密度!$B$2:$B$50)</f>
        <v>130437.19694719999</v>
      </c>
      <c r="T28" s="91" ph="1">
        <f>T27*35.891*LOOKUP(T29,密度!$A$2:$A$50,密度!$Q$2:$Q$50)</f>
        <v>59531.895636899993</v>
      </c>
      <c r="U28" s="91" ph="1">
        <f>U27*35.891</f>
        <v>162622.12099999998</v>
      </c>
      <c r="V28" s="91" ph="1">
        <f>V27*47.051*LOOKUP(V29,密度!$A$2:$A$50,密度!$B$2:$B$50)</f>
        <v>351056.02723099996</v>
      </c>
      <c r="W28" s="91" ph="1">
        <f>W27*47.051*LOOKUP(W29,密度!$A$2:$A$50,密度!$B$2:$B$50)</f>
        <v>391726.60109440004</v>
      </c>
      <c r="X28" s="91" ph="1">
        <f>X27*47.051*LOOKUP(X29,密度!$A$2:$A$50,密度!$I$2:$I$50)</f>
        <v>113885.11051100001</v>
      </c>
      <c r="Y28" s="91" ph="1">
        <f>Y27*47.051*LOOKUP(Y29,密度!$A$2:$A$50,密度!$L$2:$L$50)</f>
        <v>130965.98799000002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59" t="s" ph="1">
        <v>180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30</v>
      </c>
      <c r="J29" s="74">
        <v>30</v>
      </c>
      <c r="K29" s="74">
        <v>31</v>
      </c>
      <c r="L29" s="74">
        <v>31</v>
      </c>
      <c r="M29" s="74">
        <v>30</v>
      </c>
      <c r="N29" s="74">
        <v>30</v>
      </c>
      <c r="O29" s="74">
        <v>31</v>
      </c>
      <c r="P29" s="74">
        <v>32</v>
      </c>
      <c r="Q29" s="93">
        <v>31</v>
      </c>
      <c r="R29" s="74">
        <v>32</v>
      </c>
      <c r="S29" s="74">
        <v>31</v>
      </c>
      <c r="T29" s="74">
        <v>32</v>
      </c>
      <c r="U29" s="74">
        <v>31</v>
      </c>
      <c r="V29" s="74">
        <v>32</v>
      </c>
      <c r="W29" s="74">
        <v>31</v>
      </c>
      <c r="X29" s="74">
        <v>30</v>
      </c>
      <c r="Y29" s="74">
        <v>32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97556.087268799994</v>
      </c>
      <c r="E33" s="205" ph="1">
        <f>M10+I10</f>
        <v>201527.70179120003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31" ph="1">
        <v>0</v>
      </c>
      <c r="H33" s="205" ph="1">
        <f>N19</f>
        <v>23460.951772880002</v>
      </c>
      <c r="I33" s="209" ph="1">
        <v>0</v>
      </c>
      <c r="J33" s="213" ph="1">
        <f>F10+O28</f>
        <v>336470.01119289995</v>
      </c>
      <c r="K33" s="205" ph="1">
        <f>O10+K10+E28+R28</f>
        <v>124222.04593552</v>
      </c>
      <c r="L33" s="215" ph="1">
        <f>BE27</f>
        <v>7100</v>
      </c>
      <c r="M33" s="213" ph="1">
        <f>G10+H10+W28+S28+V28+E10</f>
        <v>1414624.8459775997</v>
      </c>
      <c r="N33" s="205" ph="1">
        <f>L10+P10++G28+H28</f>
        <v>241956.34425979998</v>
      </c>
      <c r="O33" s="209" ph="1">
        <f>BE17</f>
        <v>2270</v>
      </c>
      <c r="P33" s="213" ph="1">
        <f>L19</f>
        <v>39864.383128752001</v>
      </c>
      <c r="Q33" s="205" ph="1">
        <f>J10+N10</f>
        <v>111290.68478656</v>
      </c>
      <c r="R33" s="209" ph="1">
        <f>BE23</f>
        <v>890</v>
      </c>
      <c r="S33" s="213" ph="1">
        <f>E10+X28</f>
        <v>301796.96439900005</v>
      </c>
      <c r="T33" s="205" ph="1">
        <f>X19</f>
        <v>6004.3380424320003</v>
      </c>
      <c r="U33" s="194" ph="1">
        <f>BE21</f>
        <v>730</v>
      </c>
      <c r="V33" s="207" ph="1">
        <f ca="1">P19+Q19+S19+M28+N28+J28</f>
        <v>397426.92631096003</v>
      </c>
      <c r="W33" s="207" ph="1">
        <f>D28+F28+V19+T28</f>
        <v>138724.34541462798</v>
      </c>
      <c r="X33" s="209" ph="1">
        <f>BE29+BE31</f>
        <v>10200</v>
      </c>
      <c r="Y33" s="211" ph="1">
        <f>+Q10+R10+S10+T10+U10+V10+W10+X10+Y10</f>
        <v>191667.3085404</v>
      </c>
      <c r="Z33" s="192" ph="1">
        <f>D10+T19+U19+Y28+Z10</f>
        <v>550193.37481084408</v>
      </c>
      <c r="AA33" s="194" ph="1">
        <f>BE19</f>
        <v>1440</v>
      </c>
      <c r="AB33" s="196" ph="1">
        <f>I19</f>
        <v>1077.6541229999998</v>
      </c>
      <c r="AC33" s="198" ph="1">
        <f>AD10</f>
        <v>86326.456406400015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57" t="s" ph="1">
        <v>186</v>
      </c>
      <c r="AA36" s="157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345</v>
      </c>
      <c r="AI37" s="157" t="s" ph="1">
        <v>212</v>
      </c>
      <c r="AJ37" s="157" t="s" ph="1">
        <v>213</v>
      </c>
      <c r="AK37" s="157" t="s" ph="1">
        <v>214</v>
      </c>
      <c r="AM37" s="157" t="s" ph="1">
        <v>213</v>
      </c>
      <c r="AN37" s="157" t="s" ph="1">
        <v>214</v>
      </c>
      <c r="AO37" s="157" t="s" ph="1">
        <v>215</v>
      </c>
      <c r="AP37" s="157" t="s" ph="1">
        <v>213</v>
      </c>
      <c r="AQ37" s="157" t="s" ph="1">
        <v>214</v>
      </c>
      <c r="AR37" s="157" t="s" ph="1">
        <v>215</v>
      </c>
      <c r="AS37" s="157" t="s" ph="1">
        <v>213</v>
      </c>
      <c r="AT37" s="157" t="s" ph="1">
        <v>214</v>
      </c>
      <c r="AU37" s="157" t="s" ph="1">
        <v>215</v>
      </c>
      <c r="AV37" s="157" t="s" ph="1">
        <v>213</v>
      </c>
      <c r="AW37" s="157" t="s" ph="1">
        <v>214</v>
      </c>
      <c r="AX37" s="157" t="s" ph="1">
        <v>215</v>
      </c>
      <c r="AY37" s="157" t="s" ph="1">
        <v>214</v>
      </c>
      <c r="AZ37" s="157" t="s" ph="1">
        <v>216</v>
      </c>
      <c r="BD37" s="157" t="s" ph="1">
        <v>308</v>
      </c>
      <c r="BE37" s="15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31" priority="97">
      <formula>ABS(D$7-D$10)&gt;=1000</formula>
    </cfRule>
  </conditionalFormatting>
  <conditionalFormatting sqref="E4 E6:E11">
    <cfRule type="expression" dxfId="2030" priority="96">
      <formula>ABS(E$7-E$10)&gt;=1000</formula>
    </cfRule>
  </conditionalFormatting>
  <conditionalFormatting sqref="F4:F11">
    <cfRule type="expression" dxfId="2029" priority="95">
      <formula>ABS(F$7-F$10)&gt;=1000</formula>
    </cfRule>
  </conditionalFormatting>
  <conditionalFormatting sqref="G4:G11">
    <cfRule type="expression" dxfId="2028" priority="94">
      <formula>ABS(G$7-G$10)&gt;=1000</formula>
    </cfRule>
  </conditionalFormatting>
  <conditionalFormatting sqref="H4:H11">
    <cfRule type="expression" dxfId="2027" priority="93">
      <formula>ABS(H$7-H$10)&gt;=1000</formula>
    </cfRule>
  </conditionalFormatting>
  <conditionalFormatting sqref="I4:I11">
    <cfRule type="expression" dxfId="2026" priority="92">
      <formula>ABS(I$7-I$10)&gt;=1000</formula>
    </cfRule>
  </conditionalFormatting>
  <conditionalFormatting sqref="J4:J11">
    <cfRule type="expression" dxfId="2025" priority="91">
      <formula>ABS(J$7-J$10)&gt;=1000</formula>
    </cfRule>
  </conditionalFormatting>
  <conditionalFormatting sqref="K4:K11">
    <cfRule type="expression" dxfId="2024" priority="90">
      <formula>ABS(K$7-K$10)&gt;=1000</formula>
    </cfRule>
  </conditionalFormatting>
  <conditionalFormatting sqref="L4:L11">
    <cfRule type="expression" dxfId="2023" priority="89">
      <formula>ABS(L$7-L$10)&gt;=1000</formula>
    </cfRule>
  </conditionalFormatting>
  <conditionalFormatting sqref="M4 M6:M11">
    <cfRule type="expression" dxfId="2022" priority="88">
      <formula>ABS(M$7-M$10)&gt;=1000</formula>
    </cfRule>
  </conditionalFormatting>
  <conditionalFormatting sqref="N4 N6:N11">
    <cfRule type="expression" dxfId="2021" priority="87">
      <formula>ABS(N$7-N$10)&gt;=1000</formula>
    </cfRule>
  </conditionalFormatting>
  <conditionalFormatting sqref="O4 O6:O11">
    <cfRule type="expression" dxfId="2020" priority="86">
      <formula>ABS(O$7-O$10)&gt;=1000</formula>
    </cfRule>
  </conditionalFormatting>
  <conditionalFormatting sqref="P4 P6:P11">
    <cfRule type="expression" dxfId="2019" priority="85">
      <formula>ABS(P$7-P$10)&gt;=1000</formula>
    </cfRule>
  </conditionalFormatting>
  <conditionalFormatting sqref="Q4:Q11">
    <cfRule type="expression" dxfId="2018" priority="84">
      <formula>ABS(Q$7-Q$10)&gt;=1000</formula>
    </cfRule>
  </conditionalFormatting>
  <conditionalFormatting sqref="R4:R11">
    <cfRule type="expression" dxfId="2017" priority="83">
      <formula>ABS(R$7-R$10)&gt;=1000</formula>
    </cfRule>
  </conditionalFormatting>
  <conditionalFormatting sqref="S4:S11">
    <cfRule type="expression" dxfId="2016" priority="82">
      <formula>ABS(S$7-S$10)&gt;=1000</formula>
    </cfRule>
  </conditionalFormatting>
  <conditionalFormatting sqref="T4:T9 T11">
    <cfRule type="expression" dxfId="2015" priority="81">
      <formula>ABS(T$7-T$10)&gt;=1000</formula>
    </cfRule>
  </conditionalFormatting>
  <conditionalFormatting sqref="U4:U9 U11">
    <cfRule type="expression" dxfId="2014" priority="80">
      <formula>ABS(U$7-U$10)&gt;=1000</formula>
    </cfRule>
  </conditionalFormatting>
  <conditionalFormatting sqref="V4:V9 V11">
    <cfRule type="expression" dxfId="2013" priority="79">
      <formula>ABS(V$7-V$10)&gt;=1000</formula>
    </cfRule>
  </conditionalFormatting>
  <conditionalFormatting sqref="W4:W9 W11">
    <cfRule type="expression" dxfId="2012" priority="78">
      <formula>ABS(W$7-W$10)&gt;=1000</formula>
    </cfRule>
  </conditionalFormatting>
  <conditionalFormatting sqref="X4:X9 X11">
    <cfRule type="expression" dxfId="2011" priority="77">
      <formula>ABS(X$7-X$10)&gt;=1000</formula>
    </cfRule>
  </conditionalFormatting>
  <conditionalFormatting sqref="Y4:Y9 Y11">
    <cfRule type="expression" dxfId="2010" priority="76">
      <formula>ABS(Y$7-Y$10)&gt;=1000</formula>
    </cfRule>
  </conditionalFormatting>
  <conditionalFormatting sqref="Z4:Z11">
    <cfRule type="expression" dxfId="2009" priority="75">
      <formula>ABS(Z$7-Z$10)&gt;=1000</formula>
    </cfRule>
  </conditionalFormatting>
  <conditionalFormatting sqref="AA4:AA11">
    <cfRule type="expression" dxfId="2008" priority="74">
      <formula>ABS(AA$7-AA$10)&gt;=1000</formula>
    </cfRule>
  </conditionalFormatting>
  <conditionalFormatting sqref="AB4:AB11">
    <cfRule type="expression" dxfId="2007" priority="73">
      <formula>ABS(AB$7-AB$10)&gt;=1000</formula>
    </cfRule>
  </conditionalFormatting>
  <conditionalFormatting sqref="AC4 AC6:AC11">
    <cfRule type="expression" dxfId="2006" priority="72">
      <formula>ABS(AC$7-AC$10)&gt;=1000</formula>
    </cfRule>
  </conditionalFormatting>
  <conditionalFormatting sqref="AD4:AD11">
    <cfRule type="expression" dxfId="2005" priority="71">
      <formula>ABS(AD$7-AD$10)&gt;=1000</formula>
    </cfRule>
  </conditionalFormatting>
  <conditionalFormatting sqref="AE4:AE11">
    <cfRule type="expression" dxfId="2004" priority="70">
      <formula>ABS(AE$7-AE$10)&gt;=1000</formula>
    </cfRule>
  </conditionalFormatting>
  <conditionalFormatting sqref="D13:D20">
    <cfRule type="expression" dxfId="2003" priority="69">
      <formula>ABS(D$16-D$19)&gt;=1000</formula>
    </cfRule>
  </conditionalFormatting>
  <conditionalFormatting sqref="E13:E20">
    <cfRule type="expression" dxfId="2002" priority="68">
      <formula>ABS(E$16-E$19)&gt;=1000</formula>
    </cfRule>
  </conditionalFormatting>
  <conditionalFormatting sqref="F13 F15:F20">
    <cfRule type="expression" dxfId="2001" priority="67">
      <formula>ABS(F$16-F$19)&gt;=1000</formula>
    </cfRule>
  </conditionalFormatting>
  <conditionalFormatting sqref="G13:G20">
    <cfRule type="expression" dxfId="2000" priority="66">
      <formula>ABS(G$16-G$19)&gt;=1000</formula>
    </cfRule>
  </conditionalFormatting>
  <conditionalFormatting sqref="H13:H20">
    <cfRule type="expression" dxfId="1999" priority="65">
      <formula>ABS(H$16-H$19)&gt;=1000</formula>
    </cfRule>
  </conditionalFormatting>
  <conditionalFormatting sqref="I13:I20">
    <cfRule type="expression" dxfId="1998" priority="64">
      <formula>ABS(I$16-I$19)&gt;=1000</formula>
    </cfRule>
  </conditionalFormatting>
  <conditionalFormatting sqref="J13:J20">
    <cfRule type="expression" dxfId="1997" priority="63">
      <formula>ABS(J$16-J$19)&gt;=1000</formula>
    </cfRule>
  </conditionalFormatting>
  <conditionalFormatting sqref="L13:L20">
    <cfRule type="expression" dxfId="1996" priority="62">
      <formula>ABS(L$16-L$19)&gt;=1000</formula>
    </cfRule>
  </conditionalFormatting>
  <conditionalFormatting sqref="M13 M15 M17:M18 M20">
    <cfRule type="expression" dxfId="1995" priority="61">
      <formula>ABS(M$16-M$19)&gt;=1000</formula>
    </cfRule>
  </conditionalFormatting>
  <conditionalFormatting sqref="N13:N20">
    <cfRule type="expression" dxfId="1994" priority="60">
      <formula>ABS(N$16-N$19)&gt;=1000</formula>
    </cfRule>
  </conditionalFormatting>
  <conditionalFormatting sqref="O13:O20">
    <cfRule type="expression" dxfId="1993" priority="59">
      <formula>ABS(O$16-O$19)&gt;=1000</formula>
    </cfRule>
  </conditionalFormatting>
  <conditionalFormatting sqref="P13:P20">
    <cfRule type="expression" dxfId="1992" priority="58">
      <formula>ABS(P$16-P$19)&gt;=1000</formula>
    </cfRule>
  </conditionalFormatting>
  <conditionalFormatting sqref="Q13 Q15:Q20">
    <cfRule type="expression" dxfId="1991" priority="57">
      <formula>ABS(Q$16-Q$19)&gt;=1000</formula>
    </cfRule>
  </conditionalFormatting>
  <conditionalFormatting sqref="R13:R20">
    <cfRule type="expression" dxfId="1990" priority="56">
      <formula>ABS(R$16-R$19)&gt;=1000</formula>
    </cfRule>
  </conditionalFormatting>
  <conditionalFormatting sqref="S13:S20">
    <cfRule type="expression" dxfId="1989" priority="55">
      <formula>ABS(S$16-S$19)&gt;=1000</formula>
    </cfRule>
  </conditionalFormatting>
  <conditionalFormatting sqref="T13:T20">
    <cfRule type="expression" dxfId="1988" priority="54">
      <formula>ABS(T$16-T$19)&gt;=1000</formula>
    </cfRule>
  </conditionalFormatting>
  <conditionalFormatting sqref="U13:U20">
    <cfRule type="expression" dxfId="1987" priority="53">
      <formula>ABS(U$16-U$19)&gt;=1000</formula>
    </cfRule>
  </conditionalFormatting>
  <conditionalFormatting sqref="V13:V20">
    <cfRule type="expression" dxfId="1986" priority="52">
      <formula>ABS(V$16-V$19)&gt;=1000</formula>
    </cfRule>
  </conditionalFormatting>
  <conditionalFormatting sqref="W13 W20 W15:W18">
    <cfRule type="expression" dxfId="1985" priority="51">
      <formula>ABS(W$16-W$19)&gt;=1000</formula>
    </cfRule>
  </conditionalFormatting>
  <conditionalFormatting sqref="X13 X15:X20 Y19">
    <cfRule type="expression" dxfId="1984" priority="50">
      <formula>ABS(X$16-X$19)&gt;=1000</formula>
    </cfRule>
  </conditionalFormatting>
  <conditionalFormatting sqref="Y13 Y15:Y18 Y20">
    <cfRule type="expression" dxfId="1983" priority="49">
      <formula>ABS(Y$16-Y$19)&gt;=1000</formula>
    </cfRule>
  </conditionalFormatting>
  <conditionalFormatting sqref="Z13:Z20">
    <cfRule type="expression" dxfId="1982" priority="48">
      <formula>ABS(Z$16-Z$19)&gt;=1000</formula>
    </cfRule>
  </conditionalFormatting>
  <conditionalFormatting sqref="AA13:AA20">
    <cfRule type="expression" dxfId="1981" priority="47">
      <formula>ABS(AA$16-AA$19)&gt;=1000</formula>
    </cfRule>
  </conditionalFormatting>
  <conditionalFormatting sqref="AB13 AB15:AB20">
    <cfRule type="expression" dxfId="1980" priority="46">
      <formula>ABS(AB$16-AB$19)&gt;=1000</formula>
    </cfRule>
  </conditionalFormatting>
  <conditionalFormatting sqref="AC13 AC15:AC20">
    <cfRule type="expression" dxfId="1979" priority="45">
      <formula>ABS(AC$16-AC$19)&gt;=1000</formula>
    </cfRule>
  </conditionalFormatting>
  <conditionalFormatting sqref="AD13:AD20">
    <cfRule type="expression" dxfId="1978" priority="44">
      <formula>ABS(AD$16-AD$19)&gt;=1000</formula>
    </cfRule>
  </conditionalFormatting>
  <conditionalFormatting sqref="AE13:AE20">
    <cfRule type="expression" dxfId="1977" priority="43">
      <formula>ABS(AE$16-AE$19)&gt;=1000</formula>
    </cfRule>
  </conditionalFormatting>
  <conditionalFormatting sqref="D22:D29">
    <cfRule type="expression" dxfId="1976" priority="42">
      <formula>ABS(D$25-D$28)&gt;=1000</formula>
    </cfRule>
  </conditionalFormatting>
  <conditionalFormatting sqref="E22:E29">
    <cfRule type="expression" dxfId="1975" priority="41">
      <formula>ABS(E$25-E$28)&gt;=1000</formula>
    </cfRule>
  </conditionalFormatting>
  <conditionalFormatting sqref="F22:F29">
    <cfRule type="expression" dxfId="1974" priority="40">
      <formula>ABS(F$25-F$28)&gt;=1000</formula>
    </cfRule>
  </conditionalFormatting>
  <conditionalFormatting sqref="G22:G29">
    <cfRule type="expression" dxfId="1973" priority="39">
      <formula>ABS(G$25-G$28)&gt;=1000</formula>
    </cfRule>
  </conditionalFormatting>
  <conditionalFormatting sqref="H22:H29">
    <cfRule type="expression" dxfId="1972" priority="38">
      <formula>ABS(H$25-H$28)&gt;=1000</formula>
    </cfRule>
  </conditionalFormatting>
  <conditionalFormatting sqref="I22 I24:I29">
    <cfRule type="expression" dxfId="1971" priority="37">
      <formula>ABS(I$25-I$28)&gt;=1000</formula>
    </cfRule>
  </conditionalFormatting>
  <conditionalFormatting sqref="J22:J29 K22">
    <cfRule type="expression" dxfId="1970" priority="36">
      <formula>ABS(J$25-J$28)&gt;=1000</formula>
    </cfRule>
  </conditionalFormatting>
  <conditionalFormatting sqref="K23:K29 L25 L28">
    <cfRule type="expression" dxfId="1969" priority="35">
      <formula>ABS(K$25-K$28)&gt;=1000</formula>
    </cfRule>
  </conditionalFormatting>
  <conditionalFormatting sqref="L22 L26:L27 L29 L24">
    <cfRule type="expression" dxfId="1968" priority="34">
      <formula>ABS(L$25-L$28)&gt;=1000</formula>
    </cfRule>
  </conditionalFormatting>
  <conditionalFormatting sqref="M22:M29">
    <cfRule type="expression" dxfId="1967" priority="33">
      <formula>ABS(M$25-M$28)&gt;=1000</formula>
    </cfRule>
  </conditionalFormatting>
  <conditionalFormatting sqref="N22:N29">
    <cfRule type="expression" dxfId="1966" priority="32">
      <formula>ABS(N$25-N$28)&gt;=1000</formula>
    </cfRule>
  </conditionalFormatting>
  <conditionalFormatting sqref="O22:O29">
    <cfRule type="expression" dxfId="1965" priority="31">
      <formula>ABS(O$25-O$28)&gt;=1000</formula>
    </cfRule>
  </conditionalFormatting>
  <conditionalFormatting sqref="P22:P29">
    <cfRule type="expression" dxfId="1964" priority="30">
      <formula>ABS(P$25-P$28)&gt;=1000</formula>
    </cfRule>
  </conditionalFormatting>
  <conditionalFormatting sqref="Q22:Q29">
    <cfRule type="expression" dxfId="1963" priority="29">
      <formula>ABS(Q$25-Q$28)&gt;=1000</formula>
    </cfRule>
  </conditionalFormatting>
  <conditionalFormatting sqref="R22:R29">
    <cfRule type="expression" dxfId="1962" priority="28">
      <formula>ABS(R$25-R$28)&gt;=1000</formula>
    </cfRule>
  </conditionalFormatting>
  <conditionalFormatting sqref="S22:S29">
    <cfRule type="expression" dxfId="1961" priority="27">
      <formula>ABS(S$25-S$28)&gt;=1000</formula>
    </cfRule>
  </conditionalFormatting>
  <conditionalFormatting sqref="T22:T29">
    <cfRule type="expression" dxfId="1960" priority="26">
      <formula>ABS(T$25-T$28)&gt;=1000</formula>
    </cfRule>
  </conditionalFormatting>
  <conditionalFormatting sqref="U22:U29">
    <cfRule type="expression" dxfId="1959" priority="25">
      <formula>ABS(U$25-U$28)&gt;=1000</formula>
    </cfRule>
  </conditionalFormatting>
  <conditionalFormatting sqref="V22:V29">
    <cfRule type="expression" dxfId="1958" priority="24">
      <formula>ABS(V$25-V$28)&gt;=1000</formula>
    </cfRule>
  </conditionalFormatting>
  <conditionalFormatting sqref="W22:W29">
    <cfRule type="expression" dxfId="1957" priority="23">
      <formula>ABS(W$25-W$28)&gt;=1000</formula>
    </cfRule>
  </conditionalFormatting>
  <conditionalFormatting sqref="X22:X29">
    <cfRule type="expression" dxfId="1956" priority="22">
      <formula>ABS(X$25-X$28)&gt;=1000</formula>
    </cfRule>
  </conditionalFormatting>
  <conditionalFormatting sqref="Y22:Y29">
    <cfRule type="expression" dxfId="1955" priority="21">
      <formula>ABS(Y$25-Y$28)&gt;=1000</formula>
    </cfRule>
  </conditionalFormatting>
  <conditionalFormatting sqref="I23">
    <cfRule type="expression" dxfId="1954" priority="20">
      <formula>ABS(I$25-I$28)&gt;=1000</formula>
    </cfRule>
  </conditionalFormatting>
  <conditionalFormatting sqref="F14">
    <cfRule type="expression" dxfId="1953" priority="19">
      <formula>ABS(F$16-F$19)&gt;=1000</formula>
    </cfRule>
  </conditionalFormatting>
  <conditionalFormatting sqref="Q14">
    <cfRule type="expression" dxfId="1952" priority="18">
      <formula>ABS(Q$16-Q$19)&gt;=1000</formula>
    </cfRule>
  </conditionalFormatting>
  <conditionalFormatting sqref="W14">
    <cfRule type="expression" dxfId="1951" priority="17">
      <formula>ABS(W$16-W$19)&gt;=1000</formula>
    </cfRule>
  </conditionalFormatting>
  <conditionalFormatting sqref="Y14">
    <cfRule type="expression" dxfId="1950" priority="16">
      <formula>ABS(Y$16-Y$19)&gt;=1000</formula>
    </cfRule>
  </conditionalFormatting>
  <conditionalFormatting sqref="X14">
    <cfRule type="expression" dxfId="1949" priority="15">
      <formula>ABS(X$16-X$19)&gt;=1000</formula>
    </cfRule>
  </conditionalFormatting>
  <conditionalFormatting sqref="T10:Y10">
    <cfRule type="expression" dxfId="1948" priority="14">
      <formula>ABS(T$7-T$10)&gt;=1000</formula>
    </cfRule>
  </conditionalFormatting>
  <conditionalFormatting sqref="W19">
    <cfRule type="expression" dxfId="1947" priority="13">
      <formula>ABS(W$16-W$19)&gt;=1000</formula>
    </cfRule>
  </conditionalFormatting>
  <conditionalFormatting sqref="AC5">
    <cfRule type="expression" dxfId="1946" priority="12">
      <formula>ABS(AC$7-AC$10)&gt;=1000</formula>
    </cfRule>
  </conditionalFormatting>
  <conditionalFormatting sqref="M14">
    <cfRule type="expression" dxfId="1945" priority="11">
      <formula>ABS(M$16-M$19)&gt;=1000</formula>
    </cfRule>
  </conditionalFormatting>
  <conditionalFormatting sqref="M16">
    <cfRule type="expression" dxfId="1944" priority="10">
      <formula>ABS(M$16-M$19)&gt;=1000</formula>
    </cfRule>
  </conditionalFormatting>
  <conditionalFormatting sqref="M19">
    <cfRule type="expression" dxfId="1943" priority="9">
      <formula>ABS(M$16-M$19)&gt;=1000</formula>
    </cfRule>
  </conditionalFormatting>
  <conditionalFormatting sqref="K13:K20">
    <cfRule type="expression" dxfId="1942" priority="8">
      <formula>ABS(K$16-K$19)&gt;=1000</formula>
    </cfRule>
  </conditionalFormatting>
  <conditionalFormatting sqref="E5">
    <cfRule type="expression" dxfId="1941" priority="7">
      <formula>ABS(E$7-E$10)&gt;=1000</formula>
    </cfRule>
  </conditionalFormatting>
  <conditionalFormatting sqref="AB14:AC14">
    <cfRule type="expression" dxfId="1940" priority="6">
      <formula>ABS(AB$16-AB$19)&gt;=1000</formula>
    </cfRule>
  </conditionalFormatting>
  <conditionalFormatting sqref="M5">
    <cfRule type="expression" dxfId="1939" priority="5">
      <formula>ABS(M$7-M$10)&gt;=1000</formula>
    </cfRule>
  </conditionalFormatting>
  <conditionalFormatting sqref="N5">
    <cfRule type="expression" dxfId="1938" priority="4">
      <formula>ABS(N$7-N$10)&gt;=1000</formula>
    </cfRule>
  </conditionalFormatting>
  <conditionalFormatting sqref="O5">
    <cfRule type="expression" dxfId="1937" priority="3">
      <formula>ABS(O$7-O$10)&gt;=1000</formula>
    </cfRule>
  </conditionalFormatting>
  <conditionalFormatting sqref="P5">
    <cfRule type="expression" dxfId="1936" priority="2">
      <formula>ABS(P$7-P$10)&gt;=1000</formula>
    </cfRule>
  </conditionalFormatting>
  <conditionalFormatting sqref="L23">
    <cfRule type="expression" dxfId="1935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10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5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45818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0" t="s" ph="1">
        <v>178</v>
      </c>
      <c r="D6" s="71">
        <v>4955</v>
      </c>
      <c r="E6" s="71">
        <v>4713</v>
      </c>
      <c r="F6" s="71">
        <v>7138</v>
      </c>
      <c r="G6" s="71">
        <v>7247</v>
      </c>
      <c r="H6" s="71">
        <v>841</v>
      </c>
      <c r="I6" s="71">
        <v>63.41</v>
      </c>
      <c r="J6" s="71">
        <v>7.72</v>
      </c>
      <c r="K6" s="71">
        <v>7.71</v>
      </c>
      <c r="L6" s="71">
        <v>42.92</v>
      </c>
      <c r="M6" s="71">
        <v>5431</v>
      </c>
      <c r="N6" s="71">
        <v>4255</v>
      </c>
      <c r="O6" s="71">
        <v>1011</v>
      </c>
      <c r="P6" s="71">
        <v>5165</v>
      </c>
      <c r="Q6" s="71">
        <v>52</v>
      </c>
      <c r="R6" s="71">
        <v>0</v>
      </c>
      <c r="S6" s="71">
        <v>0</v>
      </c>
      <c r="T6" s="71">
        <v>0</v>
      </c>
      <c r="U6" s="71">
        <v>3052</v>
      </c>
      <c r="V6" s="71">
        <v>4997</v>
      </c>
      <c r="W6" s="71">
        <v>6981</v>
      </c>
      <c r="X6" s="71">
        <v>6692</v>
      </c>
      <c r="Y6" s="71">
        <v>2724</v>
      </c>
      <c r="Z6" s="71">
        <v>6977</v>
      </c>
      <c r="AA6" s="71">
        <v>558</v>
      </c>
      <c r="AB6" s="71">
        <v>4364</v>
      </c>
      <c r="AC6" s="71">
        <v>4147</v>
      </c>
      <c r="AD6" s="71">
        <v>4411</v>
      </c>
      <c r="AE6" s="71">
        <v>3386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155103.98357744998</v>
      </c>
      <c r="E7" s="73" ph="1">
        <f>E6*51.53*LOOKUP(E8,密度!$A$2:$A$50,密度!$B$2:$B$50)</f>
        <v>188702.91153000001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290241.33369000006</v>
      </c>
      <c r="H7" s="73" ph="1">
        <f>(H6)*51.53*LOOKUP(H8,密度!$A$2:$A$50,密度!$B$2:$B$50)</f>
        <v>33785.314707999998</v>
      </c>
      <c r="I7" s="73" ph="1">
        <f>I6*290.8*1.0267</f>
        <v>18931.966067599998</v>
      </c>
      <c r="J7" s="73" ph="1">
        <f>J6*290.8*0.7892</f>
        <v>1771.7350592</v>
      </c>
      <c r="K7" s="73" ph="1">
        <f>K6*290.8*1.1126</f>
        <v>2494.5248568000002</v>
      </c>
      <c r="L7" s="73" ph="1">
        <f>L6*290.8*0.777</f>
        <v>9697.8426720000007</v>
      </c>
      <c r="M7" s="73" ph="1">
        <f>M6*33.183*LOOKUP(M8,密度!$A$2:$A$50,密度!$D$2:$D$50)</f>
        <v>184181.644206</v>
      </c>
      <c r="N7" s="73" ph="1">
        <f>N6*33.183*LOOKUP(N8,密度!$A$2:$A$50,密度!$E$2:$E$50)</f>
        <v>109792.193904</v>
      </c>
      <c r="O7" s="73" ph="1">
        <f>O6*20.428*LOOKUP(O8,密度!$A$2:$A$50,密度!$C$2:$C$50)</f>
        <v>22802.654902800004</v>
      </c>
      <c r="P7" s="73" ph="1">
        <f>P6*51.53*LOOKUP(P8,密度!$A$2:$A$50,密度!$B$2:$B$50)</f>
        <v>206587.53169</v>
      </c>
      <c r="Q7" s="73" ph="1">
        <f>Q6*1.5*1.5*3.1416*LOOKUP(W8,密度!$A$2:$A$50,密度!$L$2:$L$50)</f>
        <v>342.94019760000003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20106.378230400001</v>
      </c>
      <c r="V7" s="73" ph="1">
        <f>V6*1.5*1.5*3.1416*LOOKUP(V8,密度!$A$2:$A$50,密度!$L$2:$L$50)</f>
        <v>33025.877576999999</v>
      </c>
      <c r="W7" s="73" ph="1">
        <f>W6*1.5*1.5*3.1416*LOOKUP(W8,密度!$A$2:$A$50,密度!$L$2:$L$50)</f>
        <v>46039.7215278</v>
      </c>
      <c r="X7" s="73" ph="1">
        <f>X6*1.5*1.5*3.1416*LOOKUP(X8,密度!$A$2:$A$50,密度!$L$2:$L$50)</f>
        <v>44086.4623584</v>
      </c>
      <c r="Y7" s="73" ph="1">
        <f>Y6*1.5*1.5*3.1416*LOOKUP(Y8,密度!$A$2:$A$50,密度!$L$2:$L$50)</f>
        <v>18003.300083999999</v>
      </c>
      <c r="Z7" s="73" ph="1">
        <f>Z6*33.183*LOOKUP(Z8,密度!$A$2:$A$50,密度!$L$2:$L$50)</f>
        <v>216006.09900300001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91777.651864000014</v>
      </c>
      <c r="AC7" s="73" ph="1">
        <f>AC6*51.53*LOOKUP(AC8,密度!$A$2:$A$50,密度!$Q$2:$Q$50)</f>
        <v>201713.03639630001</v>
      </c>
      <c r="AD7" s="73" ph="1">
        <f>AD6*20.428*LOOKUP(AD8,密度!$A$2:$A$50,密度!$V$2:$V$50)</f>
        <v>86287.332700800005</v>
      </c>
      <c r="AE7" s="73" ph="1">
        <f>AE6*20.428</f>
        <v>69169.207999999999</v>
      </c>
    </row>
    <row r="8" spans="1:99" ph="1">
      <c r="B8" s="256" ph="1"/>
      <c r="C8" s="68" t="s" ph="1">
        <v>180</v>
      </c>
      <c r="D8" s="74">
        <v>30</v>
      </c>
      <c r="E8" s="74">
        <v>28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31</v>
      </c>
      <c r="P8" s="74">
        <v>29</v>
      </c>
      <c r="Q8" s="74">
        <v>27</v>
      </c>
      <c r="R8" s="74">
        <v>34</v>
      </c>
      <c r="S8" s="74">
        <v>25</v>
      </c>
      <c r="T8" s="74">
        <v>25</v>
      </c>
      <c r="U8" s="74">
        <v>30</v>
      </c>
      <c r="V8" s="74">
        <v>27</v>
      </c>
      <c r="W8" s="74">
        <v>29</v>
      </c>
      <c r="X8" s="74">
        <v>30</v>
      </c>
      <c r="Y8" s="74">
        <v>27</v>
      </c>
      <c r="Z8" s="74">
        <v>29</v>
      </c>
      <c r="AA8" s="74">
        <v>28</v>
      </c>
      <c r="AB8" s="74">
        <v>22</v>
      </c>
      <c r="AC8" s="74">
        <v>29</v>
      </c>
      <c r="AD8" s="74">
        <v>27</v>
      </c>
      <c r="AE8" s="74">
        <v>36</v>
      </c>
    </row>
    <row r="9" spans="1:99" ht="26.4" ph="1">
      <c r="B9" s="256" ph="1">
        <v>0.66666666666666663</v>
      </c>
      <c r="C9" s="160" t="s" ph="1">
        <v>181</v>
      </c>
      <c r="D9" s="71">
        <v>4957</v>
      </c>
      <c r="E9" s="71">
        <v>4713</v>
      </c>
      <c r="F9" s="71">
        <v>7141</v>
      </c>
      <c r="G9" s="71">
        <v>8607</v>
      </c>
      <c r="H9" s="71">
        <v>1030</v>
      </c>
      <c r="I9" s="71">
        <v>63.31</v>
      </c>
      <c r="J9" s="71">
        <v>7.81</v>
      </c>
      <c r="K9" s="71">
        <v>7.62</v>
      </c>
      <c r="L9" s="71">
        <v>45.71</v>
      </c>
      <c r="M9" s="71">
        <v>5322</v>
      </c>
      <c r="N9" s="71">
        <v>4258</v>
      </c>
      <c r="O9" s="71">
        <v>45</v>
      </c>
      <c r="P9" s="71">
        <v>4911</v>
      </c>
      <c r="Q9" s="71">
        <v>3966</v>
      </c>
      <c r="R9" s="71">
        <v>0</v>
      </c>
      <c r="S9" s="71">
        <v>0</v>
      </c>
      <c r="T9" s="71">
        <v>0</v>
      </c>
      <c r="U9" s="71">
        <v>0</v>
      </c>
      <c r="V9" s="71">
        <v>3020</v>
      </c>
      <c r="W9" s="71">
        <v>6990</v>
      </c>
      <c r="X9" s="71">
        <v>6699</v>
      </c>
      <c r="Y9" s="71">
        <v>5085</v>
      </c>
      <c r="Z9" s="71">
        <v>4683</v>
      </c>
      <c r="AA9" s="71">
        <v>556</v>
      </c>
      <c r="AB9" s="71">
        <v>4249</v>
      </c>
      <c r="AC9" s="71">
        <v>4149</v>
      </c>
      <c r="AD9" s="71">
        <v>4414</v>
      </c>
      <c r="AE9" s="71">
        <v>3342</v>
      </c>
    </row>
    <row r="10" spans="1:99" s="72" customFormat="1" ht="22.2" ph="1">
      <c r="B10" s="256" ph="1"/>
      <c r="C10" s="160" t="s" ph="1">
        <v>179</v>
      </c>
      <c r="D10" s="73" ph="1">
        <f>D9*33.183*LOOKUP(D11,密度!$A$2:$A$50,密度!$Q$2:$Q$50)</f>
        <v>154931.3705889</v>
      </c>
      <c r="E10" s="73" ph="1">
        <f>E9*51.53*LOOKUP(E11,密度!$A$2:$A$50,密度!$B$2:$B$50)</f>
        <v>188071.47321600001</v>
      </c>
      <c r="F10" s="73" ph="1">
        <f>F9*33.183*LOOKUP(F11,密度!$A$2:$A$50,密度!$C$2:$C$50)</f>
        <v>261864.27829529997</v>
      </c>
      <c r="G10" s="73" ph="1">
        <f xml:space="preserve"> (G9+2)*51.53*LOOKUP(G11,密度!$A$2:$A$50,密度!$B$2:$B$50)</f>
        <v>343939.95828100003</v>
      </c>
      <c r="H10" s="73" ph="1">
        <f>(H9)*51.53*LOOKUP(H11,密度!$A$2:$A$50,密度!$B$2:$B$50)</f>
        <v>41239.974300000002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2465.4058896000001</v>
      </c>
      <c r="L10" s="73" ph="1">
        <f>L9*290.8*0.777</f>
        <v>10328.247636</v>
      </c>
      <c r="M10" s="73" ph="1">
        <f>M9*33.183*LOOKUP(M11,密度!$A$2:$A$50,密度!$D$2:$D$50)</f>
        <v>178931.04502320001</v>
      </c>
      <c r="N10" s="73" ph="1">
        <f>N9*33.183*LOOKUP(N11,密度!$A$2:$A$50,密度!$E$2:$E$50)</f>
        <v>109547.45467848</v>
      </c>
      <c r="O10" s="73" ph="1">
        <f>O9*20.428*LOOKUP(O11,密度!$A$2:$A$50,密度!$C$2:$C$50)</f>
        <v>1002.3611040000001</v>
      </c>
      <c r="P10" s="73" ph="1">
        <f>P9*51.53*LOOKUP(P11,密度!$A$2:$A$50,密度!$B$2:$B$50)</f>
        <v>195972.62995200002</v>
      </c>
      <c r="Q10" s="73" ph="1">
        <f>Q9*1.5*1.5*3.1416*LOOKUP(W11,密度!$A$2:$A$50,密度!$L$2:$L$50)</f>
        <v>26099.716935600001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19938.258647999999</v>
      </c>
      <c r="W10" s="73" ph="1">
        <f>W9*1.5*1.5*3.1416*LOOKUP(W11,密度!$A$2:$A$50,密度!$L$2:$L$50)</f>
        <v>46000.257533999997</v>
      </c>
      <c r="X10" s="73" ph="1">
        <f>X9*1.5*1.5*3.1416*LOOKUP(X11,密度!$A$2:$A$50,密度!$L$2:$L$50)</f>
        <v>43990.520250599999</v>
      </c>
      <c r="Y10" s="73" ph="1">
        <f>Y9*1.5*1.5*3.1416*LOOKUP(Y11,密度!$A$2:$A$50,密度!$L$2:$L$50)</f>
        <v>33535.594322999998</v>
      </c>
      <c r="Z10" s="73" ph="1">
        <f>Z9*33.183*LOOKUP(Z11,密度!$A$2:$A$50,密度!$L$2:$L$50)</f>
        <v>144052.08180300001</v>
      </c>
      <c r="AA10" s="73" ph="1">
        <f>AA9*33.183*LOOKUP(AA11,密度!$A$2:$A$50,密度!$D$2:$D$50)</f>
        <v>18564.320935079999</v>
      </c>
      <c r="AB10" s="73" ph="1">
        <f>AB9*20.428*LOOKUP(AB11,密度!$A$2:$A$50,密度!$D$2:$D$50)</f>
        <v>89116.093872400001</v>
      </c>
      <c r="AC10" s="73" ph="1">
        <f>AC9*51.53*LOOKUP(AC11,密度!$A$2:$A$50,密度!$Q$2:$Q$50)</f>
        <v>200546.77181939999</v>
      </c>
      <c r="AD10" s="73" ph="1">
        <f>AD9*20.428*LOOKUP(AD11,密度!$A$2:$A$50,密度!$V$2:$V$50)</f>
        <v>86346.018259200006</v>
      </c>
      <c r="AE10" s="73" ph="1">
        <f>AE9*20.428</f>
        <v>68270.376000000004</v>
      </c>
    </row>
    <row r="11" spans="1:99" ph="1">
      <c r="A11" s="64" t="s" ph="1">
        <v>163</v>
      </c>
      <c r="B11" s="256" ph="1"/>
      <c r="C11" s="160" t="s" ph="1">
        <v>180</v>
      </c>
      <c r="D11" s="74">
        <v>32</v>
      </c>
      <c r="E11" s="74">
        <v>31</v>
      </c>
      <c r="F11" s="74">
        <v>30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44</v>
      </c>
      <c r="P11" s="74">
        <v>31</v>
      </c>
      <c r="Q11" s="74">
        <v>30</v>
      </c>
      <c r="R11" s="74">
        <v>40</v>
      </c>
      <c r="S11" s="74">
        <v>27</v>
      </c>
      <c r="T11" s="74">
        <v>38</v>
      </c>
      <c r="U11" s="74">
        <v>33</v>
      </c>
      <c r="V11" s="74">
        <v>28</v>
      </c>
      <c r="W11" s="74">
        <v>31</v>
      </c>
      <c r="X11" s="74">
        <v>33</v>
      </c>
      <c r="Y11" s="74">
        <v>29</v>
      </c>
      <c r="Z11" s="74">
        <v>35</v>
      </c>
      <c r="AA11" s="74">
        <v>48</v>
      </c>
      <c r="AB11" s="74">
        <v>25</v>
      </c>
      <c r="AC11" s="74">
        <v>38</v>
      </c>
      <c r="AD11" s="74">
        <v>34</v>
      </c>
      <c r="AE11" s="74">
        <v>39</v>
      </c>
    </row>
    <row r="12" spans="1:99" ht="9.9" customHeight="1" ph="1"/>
    <row r="13" spans="1:99" s="72" customFormat="1" ht="29.25" customHeight="1" ph="1">
      <c r="B13" s="233" t="s" ph="1">
        <v>37</v>
      </c>
      <c r="C13" s="16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0" t="s" ph="1">
        <v>178</v>
      </c>
      <c r="D15" s="78">
        <v>1599</v>
      </c>
      <c r="E15" s="78">
        <v>4722</v>
      </c>
      <c r="F15" s="78">
        <v>3707</v>
      </c>
      <c r="G15" s="78">
        <v>4461</v>
      </c>
      <c r="H15" s="78">
        <v>3734</v>
      </c>
      <c r="I15" s="78">
        <v>117</v>
      </c>
      <c r="J15" s="78">
        <v>1660</v>
      </c>
      <c r="K15" s="78">
        <v>1787</v>
      </c>
      <c r="L15" s="78">
        <v>5659</v>
      </c>
      <c r="M15" s="78">
        <v>6422</v>
      </c>
      <c r="N15" s="78">
        <v>1616</v>
      </c>
      <c r="O15" s="78">
        <v>6094</v>
      </c>
      <c r="P15" s="78">
        <v>7176</v>
      </c>
      <c r="Q15" s="78">
        <v>0</v>
      </c>
      <c r="R15" s="78">
        <v>3518</v>
      </c>
      <c r="S15" s="78">
        <v>6934</v>
      </c>
      <c r="T15" s="78">
        <v>1245</v>
      </c>
      <c r="U15" s="78">
        <v>6056</v>
      </c>
      <c r="V15" s="78">
        <v>595</v>
      </c>
      <c r="W15" s="71">
        <v>-792</v>
      </c>
      <c r="X15" s="78">
        <v>25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5.62</v>
      </c>
      <c r="AE15" s="78">
        <v>72.61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0" t="s" ph="1">
        <v>179</v>
      </c>
      <c r="D16" s="73" ph="1">
        <f>D15*7.0686*LOOKUP(D17,密度!$A$2:$A$50,密度!$L$2:$L$50)</f>
        <v>10545.4110762</v>
      </c>
      <c r="E16" s="73" ph="1">
        <f>E15*7.0686*LOOKUP(E17,密度!$A$2:$A$50,密度!$L$2:$L$50)</f>
        <v>31174.9858728</v>
      </c>
      <c r="F16" s="73" ph="1">
        <f>F15*9.0746*LOOKUP(F17,密度!$A$2:$A$50,密度!$L$2:$L$50)</f>
        <v>31251.134703800006</v>
      </c>
      <c r="G16" s="73" ph="1">
        <f>G15*9.0746*LOOKUP(G17,密度!$A$2:$A$50,密度!$B$2:$B$50)</f>
        <v>31454.351296200002</v>
      </c>
      <c r="H16" s="73" ph="1">
        <f>H15*9.0746*LOOKUP(H17,密度!$A$2:$A$50,密度!$L$2:$L$50)</f>
        <v>31648.175677600004</v>
      </c>
      <c r="I16" s="73" ph="1">
        <f>I15*9.0746*LOOKUP(I17,密度!$A$2:$A$50,密度!$U$2:$U$50)</f>
        <v>1085.0862204</v>
      </c>
      <c r="J16" s="73" ph="1">
        <f>J15*9.0746*LOOKUP(J17,密度!$A$2:$A$50,密度!$L$2:$L$50)</f>
        <v>14039.495152000001</v>
      </c>
      <c r="K16" s="73" ph="1">
        <f>K15*9.0746*LOOKUP(K17,密度!$A$2:$A$50,密度!$C$2:$C$50)</f>
        <v>17933.617450180001</v>
      </c>
      <c r="L16" s="73" ph="1">
        <f>L15*9.0746*LOOKUP(L17,密度!$A$2:$A$50,密度!$E$2:$E$50)</f>
        <v>39873.162169030002</v>
      </c>
      <c r="M16" s="73" ph="1">
        <f>M15*9.0746*LOOKUP(M17,密度!$A$2:$A$50,密度!$M$2:$M$50)</f>
        <v>50881.719595720002</v>
      </c>
      <c r="N16" s="73" ph="1">
        <f>N15*9.0746*LOOKUP(N17,密度!$A$2:$A$50,密度!$M$2:$M$50)</f>
        <v>12756.695176640002</v>
      </c>
      <c r="O16" s="73" ph="1">
        <f>O15*9.0746*LOOKUP(O17,密度!$A$2:$A$50,密度!$G$2:$G$50)</f>
        <v>52795.494658279997</v>
      </c>
      <c r="P16" s="73" ph="1">
        <f ca="1">P15*9.0746*LOOKUP(P17,密度!$A$2:$A$51,密度!$Q$2:$Q$50)</f>
        <v>61429.017191568004</v>
      </c>
      <c r="Q16" s="73" ph="1">
        <f>Q15*9.0746*LOOKUP(Q17,密度!$A$2:$A$50,密度!$Q$2:$Q$50)</f>
        <v>0</v>
      </c>
      <c r="R16" s="73" ph="1">
        <f>MAX(R15*9.0746*LOOKUP(R17,密度!$A$2:$A$50,密度!$B$2:$B$50),0)</f>
        <v>24751.020502840001</v>
      </c>
      <c r="S16" s="73" ph="1">
        <f>S15*9.0746*LOOKUP(S17,密度!$A$2:$A$50,密度!$Q$2:$Q$50)</f>
        <v>59357.414326411999</v>
      </c>
      <c r="T16" s="73" ph="1">
        <f>T15*9.0746*LOOKUP(T17,密度!$A$2:$A$50,密度!$O$2:$O$50)</f>
        <v>10461.834102000001</v>
      </c>
      <c r="U16" s="73" ph="1">
        <f>U15*9.0746*LOOKUP(U17,密度!$A$2:$A$50,密度!$H$2:$H$50)</f>
        <v>50064.713393600003</v>
      </c>
      <c r="V16" s="73" ph="1">
        <f>MAX(5600*LOOKUP(V17,密度!$A$2:$A$50,密度!$Q$2:$Q$50)+V15*9.0476*LOOKUP(V17,密度!$A$2:$A$50,密度!$Q$2:$Q$50),0)</f>
        <v>10360.897142260001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6045.8373630000006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16429.95680208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28</v>
      </c>
      <c r="F17" s="74">
        <v>33</v>
      </c>
      <c r="G17" s="74">
        <v>28</v>
      </c>
      <c r="H17" s="74">
        <v>28</v>
      </c>
      <c r="I17" s="74">
        <v>28</v>
      </c>
      <c r="J17" s="74">
        <v>30</v>
      </c>
      <c r="K17" s="74">
        <v>29</v>
      </c>
      <c r="L17" s="74">
        <v>31</v>
      </c>
      <c r="M17" s="74">
        <v>27</v>
      </c>
      <c r="N17" s="74">
        <v>30</v>
      </c>
      <c r="O17" s="74">
        <v>30</v>
      </c>
      <c r="P17" s="74">
        <v>30</v>
      </c>
      <c r="Q17" s="74">
        <v>29</v>
      </c>
      <c r="R17" s="74">
        <v>30</v>
      </c>
      <c r="S17" s="74">
        <v>30</v>
      </c>
      <c r="T17" s="74">
        <v>28</v>
      </c>
      <c r="U17" s="74">
        <v>29</v>
      </c>
      <c r="V17" s="74">
        <v>30</v>
      </c>
      <c r="W17" s="74">
        <v>29</v>
      </c>
      <c r="X17" s="74">
        <v>29</v>
      </c>
      <c r="Y17" s="108">
        <v>29</v>
      </c>
      <c r="Z17" s="74">
        <v>29</v>
      </c>
      <c r="AA17" s="74">
        <v>28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1601</v>
      </c>
      <c r="E18" s="71">
        <v>4729</v>
      </c>
      <c r="F18" s="71">
        <v>1991</v>
      </c>
      <c r="G18" s="71">
        <v>2663</v>
      </c>
      <c r="H18" s="71">
        <v>3737</v>
      </c>
      <c r="I18" s="71">
        <v>117</v>
      </c>
      <c r="J18" s="71">
        <v>1661</v>
      </c>
      <c r="K18" s="71">
        <v>1787</v>
      </c>
      <c r="L18" s="71">
        <v>5670</v>
      </c>
      <c r="M18" s="71">
        <v>3459</v>
      </c>
      <c r="N18" s="71">
        <v>3743</v>
      </c>
      <c r="O18" s="71">
        <v>6101</v>
      </c>
      <c r="P18" s="71">
        <v>7182</v>
      </c>
      <c r="Q18" s="71">
        <v>0</v>
      </c>
      <c r="R18" s="71">
        <v>3520</v>
      </c>
      <c r="S18" s="71">
        <v>6941</v>
      </c>
      <c r="T18" s="71">
        <v>2563</v>
      </c>
      <c r="U18" s="71">
        <v>4732</v>
      </c>
      <c r="V18" s="71">
        <v>595</v>
      </c>
      <c r="W18" s="71">
        <v>-792</v>
      </c>
      <c r="X18" s="71">
        <v>24</v>
      </c>
      <c r="Y18" s="109">
        <v>-9906</v>
      </c>
      <c r="Z18" s="71">
        <v>0</v>
      </c>
      <c r="AA18" s="71">
        <v>0</v>
      </c>
      <c r="AB18" s="71">
        <v>2374</v>
      </c>
      <c r="AC18" s="71">
        <v>0</v>
      </c>
      <c r="AD18" s="71">
        <v>19.61</v>
      </c>
      <c r="AE18" s="71">
        <v>84.62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0" t="s" ph="1">
        <v>179</v>
      </c>
      <c r="D19" s="73" ph="1">
        <f>D18*7.0686*LOOKUP(D20,密度!$A$2:$A$50,密度!$L$2:$L$50)</f>
        <v>10524.650598000002</v>
      </c>
      <c r="E19" s="73" ph="1">
        <f>E18*7.0686*LOOKUP(E20,密度!$A$2:$A$50,密度!$L$2:$L$50)</f>
        <v>31120.918151399997</v>
      </c>
      <c r="F19" s="73" ph="1">
        <f>F18*9.0746*LOOKUP(F20,密度!$A$2:$A$50,密度!$L$2:$L$50)</f>
        <v>16748.599012200004</v>
      </c>
      <c r="G19" s="73" ph="1">
        <f>G18*9.0746*LOOKUP(G20,密度!$A$2:$A$50,密度!$B$2:$B$50)</f>
        <v>18713.886949120002</v>
      </c>
      <c r="H19" s="73" ph="1">
        <f>H18*9.0746*LOOKUP(H20,密度!$A$2:$A$50,密度!$L$2:$L$50)</f>
        <v>31605.779146400004</v>
      </c>
      <c r="I19" s="73" ph="1">
        <f>I18*9.0746*LOOKUP(I20,密度!$A$2:$A$50,密度!$U$2:$U$50)</f>
        <v>1076.8047404399999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39892.526004240004</v>
      </c>
      <c r="M19" s="73" ph="1">
        <f>M18*9.0746*LOOKUP(M20,密度!$A$2:$A$50,密度!$M$2:$M$50)</f>
        <v>27141.162427338004</v>
      </c>
      <c r="N19" s="73" ph="1">
        <f>N18*9.0746*LOOKUP(N20,密度!$A$2:$A$50,密度!$M$2:$M$50)</f>
        <v>29547.221563220002</v>
      </c>
      <c r="O19" s="73" ph="1">
        <f>O18*9.0746*LOOKUP(O20,密度!$A$2:$A$50,密度!$G$2:$G$50)</f>
        <v>52742.089185344004</v>
      </c>
      <c r="P19" s="73" ph="1">
        <f ca="1">P18*9.0746*LOOKUP(P20,密度!$A$2:$A$51,密度!$Q$2:$Q$50)</f>
        <v>61387.180744680001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24682.040838400004</v>
      </c>
      <c r="S19" s="73" ph="1">
        <f>S18*9.0746*LOOKUP(S20,密度!$A$2:$A$50,密度!$Q$2:$Q$50)</f>
        <v>59327.265601339997</v>
      </c>
      <c r="T19" s="73" ph="1">
        <f>T18*9.0746*LOOKUP(T20,密度!$A$2:$A$50,密度!$O$2:$O$50)</f>
        <v>21444.060215600002</v>
      </c>
      <c r="U19" s="73" ph="1">
        <f>U18*9.0746*LOOKUP(U20,密度!$A$2:$A$50,密度!$H$2:$H$50)</f>
        <v>38952.217041192001</v>
      </c>
      <c r="V19" s="73" ph="1">
        <f>MAX(5600*LOOKUP(V20,密度!$A$2:$A$50,密度!$Q$2:$Q$50)+V18*9.0476*LOOKUP(V20,密度!$A$2:$A$50,密度!$Q$2:$Q$50),0)</f>
        <v>10330.802839979999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6010.7950704960003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20056.626472399999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5310.6510995999997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31</v>
      </c>
      <c r="F20" s="81">
        <v>35</v>
      </c>
      <c r="G20" s="81">
        <v>31</v>
      </c>
      <c r="H20" s="81">
        <v>30</v>
      </c>
      <c r="I20" s="81">
        <v>36</v>
      </c>
      <c r="J20" s="81">
        <v>33</v>
      </c>
      <c r="K20" s="81">
        <v>32</v>
      </c>
      <c r="L20" s="81">
        <v>32</v>
      </c>
      <c r="M20" s="81">
        <v>35</v>
      </c>
      <c r="N20" s="81">
        <v>30</v>
      </c>
      <c r="O20" s="81">
        <v>32</v>
      </c>
      <c r="P20" s="81">
        <v>32</v>
      </c>
      <c r="Q20" s="81">
        <v>34</v>
      </c>
      <c r="R20" s="81">
        <v>33</v>
      </c>
      <c r="S20" s="81">
        <v>32</v>
      </c>
      <c r="T20" s="81">
        <v>32</v>
      </c>
      <c r="U20" s="81">
        <v>33</v>
      </c>
      <c r="V20" s="81">
        <v>34</v>
      </c>
      <c r="W20" s="81">
        <v>34</v>
      </c>
      <c r="X20" s="81">
        <v>33</v>
      </c>
      <c r="Y20" s="110">
        <v>34</v>
      </c>
      <c r="Z20" s="81">
        <v>34</v>
      </c>
      <c r="AA20" s="81">
        <v>32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0" t="s" ph="1">
        <v>178</v>
      </c>
      <c r="D24" s="71">
        <v>91.12</v>
      </c>
      <c r="E24" s="71">
        <v>95.82</v>
      </c>
      <c r="F24" s="71">
        <v>4006</v>
      </c>
      <c r="G24" s="71">
        <v>1996</v>
      </c>
      <c r="H24" s="71">
        <v>2261</v>
      </c>
      <c r="I24" s="71">
        <v>2360</v>
      </c>
      <c r="J24" s="71">
        <v>5421</v>
      </c>
      <c r="K24" s="71">
        <v>37</v>
      </c>
      <c r="L24" s="71">
        <v>1134</v>
      </c>
      <c r="M24" s="71">
        <v>5265</v>
      </c>
      <c r="N24" s="71">
        <v>5335</v>
      </c>
      <c r="O24" s="71">
        <v>3694</v>
      </c>
      <c r="P24" s="71">
        <v>362</v>
      </c>
      <c r="Q24" s="90">
        <v>1339</v>
      </c>
      <c r="R24" s="71">
        <v>1743</v>
      </c>
      <c r="S24" s="71">
        <v>4696</v>
      </c>
      <c r="T24" s="71">
        <v>1764</v>
      </c>
      <c r="U24" s="71">
        <v>4657</v>
      </c>
      <c r="V24" s="71">
        <v>9648</v>
      </c>
      <c r="W24" s="71">
        <v>10754</v>
      </c>
      <c r="X24" s="71">
        <v>2195</v>
      </c>
      <c r="Y24" s="71">
        <v>2899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24660.798643584003</v>
      </c>
      <c r="E25" s="91" ph="1">
        <f>E24*268.68*LOOKUP(E26,密度!$A$2:$A$50,密度!$C$2:$C$50)+IF(E24&lt;=0,0,1566*LOOKUP(E26,密度!$A$2:$A$50,密度!$C$2:$C$50))</f>
        <v>30285.076526639998</v>
      </c>
      <c r="F25" s="91" ph="1">
        <f>F24*11.702*LOOKUP(F26,密度!$A$2:$A$50,密度!$Q$2:$Q$50)</f>
        <v>44221.623725960002</v>
      </c>
      <c r="G25" s="91" ph="1">
        <f>G24*18.322*LOOKUP(G26,密度!$A$2:$A$50,密度!$B$2:$B$50)</f>
        <v>28353.273013599999</v>
      </c>
      <c r="H25" s="91" ph="1">
        <f>H24*18.322*LOOKUP(H26,密度!$A$2:$A$50,密度!$B$2:$B$50)</f>
        <v>32154.893800400001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93694.895741459986</v>
      </c>
      <c r="K25" s="91" ph="1">
        <f>K24*18.322*LOOKUP(K26,密度!$A$2:$A$50,密度!$Q$2:$Q$50)</f>
        <v>639.49661361999995</v>
      </c>
      <c r="L25" s="91" ph="1">
        <f>L24*18.322*LOOKUP(L26,密度!$A$2:$A$50,密度!$Q$2:$Q$50)</f>
        <v>19599.707022839997</v>
      </c>
      <c r="M25" s="91" ph="1">
        <f>M24*18.322*LOOKUP(M26,密度!$A$2:$A$50,密度!$Q$2:$Q$50)</f>
        <v>90998.639748900008</v>
      </c>
      <c r="N25" s="91" ph="1">
        <f>N24*18.322*LOOKUP(N26,密度!$A$2:$A$50,密度!$Q$2:$Q$50)</f>
        <v>92267.146929099996</v>
      </c>
      <c r="O25" s="91" ph="1">
        <f>O24*18.322*LOOKUP(O26,密度!$A$2:$A$50,密度!$C$2:$C$50)</f>
        <v>74896.312488799987</v>
      </c>
      <c r="P25" s="91" ph="1">
        <f>P24*11.702*LOOKUP(P26,密度!$A$2:$A$50,密度!$B$2:$B$50)</f>
        <v>3288.0794487999997</v>
      </c>
      <c r="Q25" s="92" ph="1">
        <f>Q24*18.322*LOOKUP(Q26,密度!$A$2:$A$50,密度!$B$2:$B$50)</f>
        <v>19042.637239600001</v>
      </c>
      <c r="R25" s="91" ph="1">
        <f>R24*35.891*LOOKUP(R26,密度!$A$2:$A$50,密度!$C$2:$C$50)</f>
        <v>69182.906576699999</v>
      </c>
      <c r="S25" s="91" ph="1">
        <f>S24*35.891*LOOKUP(S26,密度!$A$2:$A$50,密度!$B$2:$B$50)</f>
        <v>130672.2686408</v>
      </c>
      <c r="T25" s="91" ph="1">
        <f>T24*35.891*LOOKUP(T26,密度!$A$2:$A$50,密度!$Q$2:$Q$50)</f>
        <v>59723.848600919999</v>
      </c>
      <c r="U25" s="91" ph="1">
        <f>U24*35.891</f>
        <v>167144.38699999999</v>
      </c>
      <c r="V25" s="91" ph="1">
        <f>V24*47.051*LOOKUP(V26,密度!$A$2:$A$50,密度!$B$2:$B$50)</f>
        <v>353126.18653920002</v>
      </c>
      <c r="W25" s="91" ph="1">
        <f>W24*47.051*LOOKUP(W26,密度!$A$2:$A$50,密度!$B$2:$B$50)</f>
        <v>393606.86256660003</v>
      </c>
      <c r="X25" s="91" ph="1">
        <f>X24*47.051*LOOKUP(X26,密度!$A$2:$A$50,密度!$I$2:$I$50)</f>
        <v>107170.48582650001</v>
      </c>
      <c r="Y25" s="91" ph="1">
        <f>Y24*47.051*LOOKUP(Y26,密度!$A$2:$A$50,密度!$L$2:$L$50)</f>
        <v>127125.59126800002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29</v>
      </c>
      <c r="I26" s="74">
        <v>30</v>
      </c>
      <c r="J26" s="74">
        <v>30</v>
      </c>
      <c r="K26" s="74">
        <v>30</v>
      </c>
      <c r="L26" s="74">
        <v>30</v>
      </c>
      <c r="M26" s="74">
        <v>30</v>
      </c>
      <c r="N26" s="74">
        <v>29</v>
      </c>
      <c r="O26" s="74">
        <v>28</v>
      </c>
      <c r="P26" s="74">
        <v>29</v>
      </c>
      <c r="Q26" s="93">
        <v>29</v>
      </c>
      <c r="R26" s="74">
        <v>29</v>
      </c>
      <c r="S26" s="74">
        <v>30</v>
      </c>
      <c r="T26" s="74">
        <v>30</v>
      </c>
      <c r="U26" s="74">
        <v>28</v>
      </c>
      <c r="V26" s="74">
        <v>27</v>
      </c>
      <c r="W26" s="74">
        <v>27</v>
      </c>
      <c r="X26" s="74">
        <v>29</v>
      </c>
      <c r="Y26" s="74">
        <v>30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0" t="s" ph="1">
        <v>181</v>
      </c>
      <c r="D27" s="71">
        <v>91.21</v>
      </c>
      <c r="E27" s="71">
        <v>95.92</v>
      </c>
      <c r="F27" s="71">
        <v>4008</v>
      </c>
      <c r="G27" s="71">
        <v>1464</v>
      </c>
      <c r="H27" s="71">
        <v>1724</v>
      </c>
      <c r="I27" s="71">
        <v>2359</v>
      </c>
      <c r="J27" s="71">
        <v>5421</v>
      </c>
      <c r="K27" s="71">
        <v>1165</v>
      </c>
      <c r="L27" s="71">
        <v>1129</v>
      </c>
      <c r="M27" s="71">
        <v>5266</v>
      </c>
      <c r="N27" s="71">
        <v>5335</v>
      </c>
      <c r="O27" s="71">
        <v>3691</v>
      </c>
      <c r="P27" s="71">
        <v>360</v>
      </c>
      <c r="Q27" s="90">
        <v>2073</v>
      </c>
      <c r="R27" s="71">
        <v>1740</v>
      </c>
      <c r="S27" s="71">
        <v>4809</v>
      </c>
      <c r="T27" s="71">
        <v>1762</v>
      </c>
      <c r="U27" s="71">
        <v>4595</v>
      </c>
      <c r="V27" s="71">
        <v>9651</v>
      </c>
      <c r="W27" s="71">
        <v>10758</v>
      </c>
      <c r="X27" s="71">
        <v>2765</v>
      </c>
      <c r="Y27" s="71">
        <v>3660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0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30314.870451840005</v>
      </c>
      <c r="F28" s="91" ph="1">
        <f>F27*11.702*LOOKUP(F29,密度!$A$2:$A$50,密度!$Q$2:$Q$50)</f>
        <v>44176.632110400002</v>
      </c>
      <c r="G28" s="91" ph="1">
        <f>G27*18.322*LOOKUP(G29,密度!$A$2:$A$50,密度!$B$2:$B$50)</f>
        <v>20772.047155199998</v>
      </c>
      <c r="H28" s="91" ph="1">
        <f>H27*18.322*LOOKUP(H29,密度!$A$2:$A$50,密度!$B$2:$B$50)</f>
        <v>24432.643507999997</v>
      </c>
      <c r="I28" s="91" ph="1">
        <f>I27*18.322*LOOKUP(I29,密度!$A$2:$A$50,密度!$Q$2:$Q$50)</f>
        <v>40739.813842839998</v>
      </c>
      <c r="J28" s="91" ph="1">
        <f>J27*18.322*LOOKUP(J29,密度!$A$2:$A$50,密度!$Q$2:$Q$50)</f>
        <v>93620.403069959983</v>
      </c>
      <c r="K28" s="91" ph="1">
        <f>K27*18.322*LOOKUP(K29,密度!$A$2:$A$50,密度!$Q$2:$Q$50)</f>
        <v>20119.492635399998</v>
      </c>
      <c r="L28" s="91" ph="1">
        <f>L27*18.322*LOOKUP(L29,密度!$A$2:$A$50,密度!$Q$2:$Q$50)</f>
        <v>19483.708242199998</v>
      </c>
      <c r="M28" s="91" ph="1">
        <f>M27*18.322*LOOKUP(M29,密度!$A$2:$A$50,密度!$Q$2:$Q$50)</f>
        <v>90943.560702160001</v>
      </c>
      <c r="N28" s="91" ph="1">
        <f>N27*18.322*LOOKUP(N29,密度!$A$2:$A$50,密度!$Q$2:$Q$50)</f>
        <v>92068.718752999994</v>
      </c>
      <c r="O28" s="91" ph="1">
        <f>O27*18.322*LOOKUP(O29,密度!$A$2:$A$50,密度!$C$2:$C$50)</f>
        <v>74524.405203999995</v>
      </c>
      <c r="P28" s="91" ph="1">
        <f>P27*11.702*LOOKUP(P29,密度!$A$2:$A$50,密度!$B$2:$B$50)</f>
        <v>3262.3303679999999</v>
      </c>
      <c r="Q28" s="92" ph="1">
        <f>Q27*18.322*LOOKUP(Q29,密度!$A$2:$A$50,密度!$B$2:$B$50)</f>
        <v>29412.8782464</v>
      </c>
      <c r="R28" s="91" ph="1">
        <f>R27*35.891*LOOKUP(R29,密度!$A$2:$A$50,密度!$C$2:$C$50)</f>
        <v>68882.725019999998</v>
      </c>
      <c r="S28" s="91" ph="1">
        <f>S27*35.891*LOOKUP(S29,密度!$A$2:$A$50,密度!$B$2:$B$50)</f>
        <v>133661.29983359997</v>
      </c>
      <c r="T28" s="91" ph="1">
        <f>T27*35.891*LOOKUP(T29,密度!$A$2:$A$50,密度!$Q$2:$Q$50)</f>
        <v>59524.595407499997</v>
      </c>
      <c r="U28" s="91" ph="1">
        <f>U27*35.891</f>
        <v>164919.14499999999</v>
      </c>
      <c r="V28" s="91" ph="1">
        <f>V27*47.051*LOOKUP(V29,密度!$A$2:$A$50,密度!$B$2:$B$50)</f>
        <v>350874.72561270004</v>
      </c>
      <c r="W28" s="91" ph="1">
        <f>W27*47.051*LOOKUP(W29,密度!$A$2:$A$50,密度!$B$2:$B$50)</f>
        <v>391526.09796300001</v>
      </c>
      <c r="X28" s="91" ph="1">
        <f>X27*47.051*LOOKUP(X29,密度!$A$2:$A$50,密度!$I$2:$I$50)</f>
        <v>134857.52914900001</v>
      </c>
      <c r="Y28" s="91" ph="1">
        <f>Y27*47.051*LOOKUP(Y29,密度!$A$2:$A$50,密度!$L$2:$L$50)</f>
        <v>159979.98714000001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0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32</v>
      </c>
      <c r="I29" s="74">
        <v>31</v>
      </c>
      <c r="J29" s="74">
        <v>31</v>
      </c>
      <c r="K29" s="74">
        <v>31</v>
      </c>
      <c r="L29" s="74">
        <v>32</v>
      </c>
      <c r="M29" s="74">
        <v>31</v>
      </c>
      <c r="N29" s="74">
        <v>32</v>
      </c>
      <c r="O29" s="74">
        <v>33</v>
      </c>
      <c r="P29" s="74">
        <v>31</v>
      </c>
      <c r="Q29" s="93">
        <v>31</v>
      </c>
      <c r="R29" s="74">
        <v>32</v>
      </c>
      <c r="S29" s="74">
        <v>31</v>
      </c>
      <c r="T29" s="74">
        <v>33</v>
      </c>
      <c r="U29" s="74">
        <v>32</v>
      </c>
      <c r="V29" s="74">
        <v>33</v>
      </c>
      <c r="W29" s="74">
        <v>32</v>
      </c>
      <c r="X29" s="74">
        <v>30</v>
      </c>
      <c r="Y29" s="74">
        <v>33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107680.41480748</v>
      </c>
      <c r="E33" s="205" ph="1">
        <f>M10+I10</f>
        <v>197833.15465480002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31" ph="1">
        <v>0</v>
      </c>
      <c r="H33" s="205" ph="1">
        <f>N19</f>
        <v>29547.221563220002</v>
      </c>
      <c r="I33" s="209" ph="1">
        <v>0</v>
      </c>
      <c r="J33" s="213" ph="1">
        <f>F10+O28</f>
        <v>336388.68349929998</v>
      </c>
      <c r="K33" s="205" ph="1">
        <f>O10+K10+E28+R28</f>
        <v>102665.36246544</v>
      </c>
      <c r="L33" s="215" ph="1">
        <f>BE27</f>
        <v>7100</v>
      </c>
      <c r="M33" s="213" ph="1">
        <f>G10+H10+W28+S28+V28+E10</f>
        <v>1449313.5292062999</v>
      </c>
      <c r="N33" s="205" ph="1">
        <f>L10+P10++G28+H28</f>
        <v>251505.56825120005</v>
      </c>
      <c r="O33" s="209" ph="1">
        <f>BE17</f>
        <v>2270</v>
      </c>
      <c r="P33" s="213" ph="1">
        <f>L19</f>
        <v>39892.526004240004</v>
      </c>
      <c r="Q33" s="205" ph="1">
        <f>J10+N10</f>
        <v>111339.84468008</v>
      </c>
      <c r="R33" s="209" ph="1">
        <f>BE23</f>
        <v>890</v>
      </c>
      <c r="S33" s="213" ph="1">
        <f>E10+X28</f>
        <v>322929.00236500002</v>
      </c>
      <c r="T33" s="205" ph="1">
        <f>X19</f>
        <v>6010.7950704960003</v>
      </c>
      <c r="U33" s="194" ph="1">
        <f>BE21</f>
        <v>730</v>
      </c>
      <c r="V33" s="207" ph="1">
        <f ca="1">P19+Q19+S19+M28+N28+J28</f>
        <v>397347.12887113995</v>
      </c>
      <c r="W33" s="207" ph="1">
        <f>D28+F28+V19+T28</f>
        <v>138715.722310752</v>
      </c>
      <c r="X33" s="209" ph="1">
        <f>BE29+BE31</f>
        <v>10200</v>
      </c>
      <c r="Y33" s="211" ph="1">
        <f>+Q10+R10+S10+T10+U10+V10+W10+X10+Y10</f>
        <v>169564.3476912</v>
      </c>
      <c r="Z33" s="192" ph="1">
        <f>D10+T19+U19+Y28+Z10</f>
        <v>519359.71678869199</v>
      </c>
      <c r="AA33" s="194" ph="1">
        <f>BE19</f>
        <v>1440</v>
      </c>
      <c r="AB33" s="196" ph="1">
        <f>I19</f>
        <v>1076.8047404399999</v>
      </c>
      <c r="AC33" s="198" ph="1">
        <f>AD10</f>
        <v>86346.018259200006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2" t="s" ph="1">
        <v>186</v>
      </c>
      <c r="AA36" s="162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345</v>
      </c>
      <c r="AI37" s="162" t="s" ph="1">
        <v>212</v>
      </c>
      <c r="AJ37" s="162" t="s" ph="1">
        <v>213</v>
      </c>
      <c r="AK37" s="162" t="s" ph="1">
        <v>214</v>
      </c>
      <c r="AM37" s="162" t="s" ph="1">
        <v>213</v>
      </c>
      <c r="AN37" s="162" t="s" ph="1">
        <v>214</v>
      </c>
      <c r="AO37" s="162" t="s" ph="1">
        <v>215</v>
      </c>
      <c r="AP37" s="162" t="s" ph="1">
        <v>213</v>
      </c>
      <c r="AQ37" s="162" t="s" ph="1">
        <v>214</v>
      </c>
      <c r="AR37" s="162" t="s" ph="1">
        <v>215</v>
      </c>
      <c r="AS37" s="162" t="s" ph="1">
        <v>213</v>
      </c>
      <c r="AT37" s="162" t="s" ph="1">
        <v>214</v>
      </c>
      <c r="AU37" s="162" t="s" ph="1">
        <v>215</v>
      </c>
      <c r="AV37" s="162" t="s" ph="1">
        <v>213</v>
      </c>
      <c r="AW37" s="162" t="s" ph="1">
        <v>214</v>
      </c>
      <c r="AX37" s="162" t="s" ph="1">
        <v>215</v>
      </c>
      <c r="AY37" s="162" t="s" ph="1">
        <v>214</v>
      </c>
      <c r="AZ37" s="162" t="s" ph="1">
        <v>216</v>
      </c>
      <c r="BD37" s="162" t="s" ph="1">
        <v>308</v>
      </c>
      <c r="BE37" s="16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04" priority="97">
      <formula>ABS(D$7-D$10)&gt;=1000</formula>
    </cfRule>
  </conditionalFormatting>
  <conditionalFormatting sqref="E4 E6:E11">
    <cfRule type="expression" dxfId="1903" priority="96">
      <formula>ABS(E$7-E$10)&gt;=1000</formula>
    </cfRule>
  </conditionalFormatting>
  <conditionalFormatting sqref="F4:F11">
    <cfRule type="expression" dxfId="1902" priority="95">
      <formula>ABS(F$7-F$10)&gt;=1000</formula>
    </cfRule>
  </conditionalFormatting>
  <conditionalFormatting sqref="G4:G11">
    <cfRule type="expression" dxfId="1901" priority="94">
      <formula>ABS(G$7-G$10)&gt;=1000</formula>
    </cfRule>
  </conditionalFormatting>
  <conditionalFormatting sqref="H4:H11">
    <cfRule type="expression" dxfId="1900" priority="93">
      <formula>ABS(H$7-H$10)&gt;=1000</formula>
    </cfRule>
  </conditionalFormatting>
  <conditionalFormatting sqref="I4:I11">
    <cfRule type="expression" dxfId="1899" priority="92">
      <formula>ABS(I$7-I$10)&gt;=1000</formula>
    </cfRule>
  </conditionalFormatting>
  <conditionalFormatting sqref="J4:J11">
    <cfRule type="expression" dxfId="1898" priority="91">
      <formula>ABS(J$7-J$10)&gt;=1000</formula>
    </cfRule>
  </conditionalFormatting>
  <conditionalFormatting sqref="K4:K11">
    <cfRule type="expression" dxfId="1897" priority="90">
      <formula>ABS(K$7-K$10)&gt;=1000</formula>
    </cfRule>
  </conditionalFormatting>
  <conditionalFormatting sqref="L4:L11">
    <cfRule type="expression" dxfId="1896" priority="89">
      <formula>ABS(L$7-L$10)&gt;=1000</formula>
    </cfRule>
  </conditionalFormatting>
  <conditionalFormatting sqref="M4 M6:M11">
    <cfRule type="expression" dxfId="1895" priority="88">
      <formula>ABS(M$7-M$10)&gt;=1000</formula>
    </cfRule>
  </conditionalFormatting>
  <conditionalFormatting sqref="N4 N6:N11">
    <cfRule type="expression" dxfId="1894" priority="87">
      <formula>ABS(N$7-N$10)&gt;=1000</formula>
    </cfRule>
  </conditionalFormatting>
  <conditionalFormatting sqref="O4 O6:O11">
    <cfRule type="expression" dxfId="1893" priority="86">
      <formula>ABS(O$7-O$10)&gt;=1000</formula>
    </cfRule>
  </conditionalFormatting>
  <conditionalFormatting sqref="P4 P6:P11">
    <cfRule type="expression" dxfId="1892" priority="85">
      <formula>ABS(P$7-P$10)&gt;=1000</formula>
    </cfRule>
  </conditionalFormatting>
  <conditionalFormatting sqref="Q4:Q11">
    <cfRule type="expression" dxfId="1891" priority="84">
      <formula>ABS(Q$7-Q$10)&gt;=1000</formula>
    </cfRule>
  </conditionalFormatting>
  <conditionalFormatting sqref="R4:R11">
    <cfRule type="expression" dxfId="1890" priority="83">
      <formula>ABS(R$7-R$10)&gt;=1000</formula>
    </cfRule>
  </conditionalFormatting>
  <conditionalFormatting sqref="S4:S11">
    <cfRule type="expression" dxfId="1889" priority="82">
      <formula>ABS(S$7-S$10)&gt;=1000</formula>
    </cfRule>
  </conditionalFormatting>
  <conditionalFormatting sqref="T4:T9 T11">
    <cfRule type="expression" dxfId="1888" priority="81">
      <formula>ABS(T$7-T$10)&gt;=1000</formula>
    </cfRule>
  </conditionalFormatting>
  <conditionalFormatting sqref="U4:U9 U11">
    <cfRule type="expression" dxfId="1887" priority="80">
      <formula>ABS(U$7-U$10)&gt;=1000</formula>
    </cfRule>
  </conditionalFormatting>
  <conditionalFormatting sqref="V4:V9 V11">
    <cfRule type="expression" dxfId="1886" priority="79">
      <formula>ABS(V$7-V$10)&gt;=1000</formula>
    </cfRule>
  </conditionalFormatting>
  <conditionalFormatting sqref="W4:W9 W11">
    <cfRule type="expression" dxfId="1885" priority="78">
      <formula>ABS(W$7-W$10)&gt;=1000</formula>
    </cfRule>
  </conditionalFormatting>
  <conditionalFormatting sqref="X4:X9 X11">
    <cfRule type="expression" dxfId="1884" priority="77">
      <formula>ABS(X$7-X$10)&gt;=1000</formula>
    </cfRule>
  </conditionalFormatting>
  <conditionalFormatting sqref="Y4:Y9 Y11">
    <cfRule type="expression" dxfId="1883" priority="76">
      <formula>ABS(Y$7-Y$10)&gt;=1000</formula>
    </cfRule>
  </conditionalFormatting>
  <conditionalFormatting sqref="Z4:Z11">
    <cfRule type="expression" dxfId="1882" priority="75">
      <formula>ABS(Z$7-Z$10)&gt;=1000</formula>
    </cfRule>
  </conditionalFormatting>
  <conditionalFormatting sqref="AA4:AA11">
    <cfRule type="expression" dxfId="1881" priority="74">
      <formula>ABS(AA$7-AA$10)&gt;=1000</formula>
    </cfRule>
  </conditionalFormatting>
  <conditionalFormatting sqref="AB4:AB11">
    <cfRule type="expression" dxfId="1880" priority="73">
      <formula>ABS(AB$7-AB$10)&gt;=1000</formula>
    </cfRule>
  </conditionalFormatting>
  <conditionalFormatting sqref="AC4 AC6:AC11">
    <cfRule type="expression" dxfId="1879" priority="72">
      <formula>ABS(AC$7-AC$10)&gt;=1000</formula>
    </cfRule>
  </conditionalFormatting>
  <conditionalFormatting sqref="AD4:AD11">
    <cfRule type="expression" dxfId="1878" priority="71">
      <formula>ABS(AD$7-AD$10)&gt;=1000</formula>
    </cfRule>
  </conditionalFormatting>
  <conditionalFormatting sqref="AE4:AE11">
    <cfRule type="expression" dxfId="1877" priority="70">
      <formula>ABS(AE$7-AE$10)&gt;=1000</formula>
    </cfRule>
  </conditionalFormatting>
  <conditionalFormatting sqref="D13:D20">
    <cfRule type="expression" dxfId="1876" priority="69">
      <formula>ABS(D$16-D$19)&gt;=1000</formula>
    </cfRule>
  </conditionalFormatting>
  <conditionalFormatting sqref="E13:E20">
    <cfRule type="expression" dxfId="1875" priority="68">
      <formula>ABS(E$16-E$19)&gt;=1000</formula>
    </cfRule>
  </conditionalFormatting>
  <conditionalFormatting sqref="F13 F15:F20">
    <cfRule type="expression" dxfId="1874" priority="67">
      <formula>ABS(F$16-F$19)&gt;=1000</formula>
    </cfRule>
  </conditionalFormatting>
  <conditionalFormatting sqref="G13:G20">
    <cfRule type="expression" dxfId="1873" priority="66">
      <formula>ABS(G$16-G$19)&gt;=1000</formula>
    </cfRule>
  </conditionalFormatting>
  <conditionalFormatting sqref="H13:H20">
    <cfRule type="expression" dxfId="1872" priority="65">
      <formula>ABS(H$16-H$19)&gt;=1000</formula>
    </cfRule>
  </conditionalFormatting>
  <conditionalFormatting sqref="I13:I20">
    <cfRule type="expression" dxfId="1871" priority="64">
      <formula>ABS(I$16-I$19)&gt;=1000</formula>
    </cfRule>
  </conditionalFormatting>
  <conditionalFormatting sqref="J13:J20">
    <cfRule type="expression" dxfId="1870" priority="63">
      <formula>ABS(J$16-J$19)&gt;=1000</formula>
    </cfRule>
  </conditionalFormatting>
  <conditionalFormatting sqref="L13:L20">
    <cfRule type="expression" dxfId="1869" priority="62">
      <formula>ABS(L$16-L$19)&gt;=1000</formula>
    </cfRule>
  </conditionalFormatting>
  <conditionalFormatting sqref="M13 M15 M17:M18 M20">
    <cfRule type="expression" dxfId="1868" priority="61">
      <formula>ABS(M$16-M$19)&gt;=1000</formula>
    </cfRule>
  </conditionalFormatting>
  <conditionalFormatting sqref="N13:N20">
    <cfRule type="expression" dxfId="1867" priority="60">
      <formula>ABS(N$16-N$19)&gt;=1000</formula>
    </cfRule>
  </conditionalFormatting>
  <conditionalFormatting sqref="O13:O20">
    <cfRule type="expression" dxfId="1866" priority="59">
      <formula>ABS(O$16-O$19)&gt;=1000</formula>
    </cfRule>
  </conditionalFormatting>
  <conditionalFormatting sqref="P13:P20">
    <cfRule type="expression" dxfId="1865" priority="58">
      <formula>ABS(P$16-P$19)&gt;=1000</formula>
    </cfRule>
  </conditionalFormatting>
  <conditionalFormatting sqref="Q13 Q15:Q20">
    <cfRule type="expression" dxfId="1864" priority="57">
      <formula>ABS(Q$16-Q$19)&gt;=1000</formula>
    </cfRule>
  </conditionalFormatting>
  <conditionalFormatting sqref="R13:R20">
    <cfRule type="expression" dxfId="1863" priority="56">
      <formula>ABS(R$16-R$19)&gt;=1000</formula>
    </cfRule>
  </conditionalFormatting>
  <conditionalFormatting sqref="S13:S20">
    <cfRule type="expression" dxfId="1862" priority="55">
      <formula>ABS(S$16-S$19)&gt;=1000</formula>
    </cfRule>
  </conditionalFormatting>
  <conditionalFormatting sqref="T13:T20">
    <cfRule type="expression" dxfId="1861" priority="54">
      <formula>ABS(T$16-T$19)&gt;=1000</formula>
    </cfRule>
  </conditionalFormatting>
  <conditionalFormatting sqref="U13:U20">
    <cfRule type="expression" dxfId="1860" priority="53">
      <formula>ABS(U$16-U$19)&gt;=1000</formula>
    </cfRule>
  </conditionalFormatting>
  <conditionalFormatting sqref="V13:V20">
    <cfRule type="expression" dxfId="1859" priority="52">
      <formula>ABS(V$16-V$19)&gt;=1000</formula>
    </cfRule>
  </conditionalFormatting>
  <conditionalFormatting sqref="W13 W20 W15:W18">
    <cfRule type="expression" dxfId="1858" priority="51">
      <formula>ABS(W$16-W$19)&gt;=1000</formula>
    </cfRule>
  </conditionalFormatting>
  <conditionalFormatting sqref="X13 X15:X20 Y19">
    <cfRule type="expression" dxfId="1857" priority="50">
      <formula>ABS(X$16-X$19)&gt;=1000</formula>
    </cfRule>
  </conditionalFormatting>
  <conditionalFormatting sqref="Y13 Y15:Y18 Y20">
    <cfRule type="expression" dxfId="1856" priority="49">
      <formula>ABS(Y$16-Y$19)&gt;=1000</formula>
    </cfRule>
  </conditionalFormatting>
  <conditionalFormatting sqref="Z13:Z20">
    <cfRule type="expression" dxfId="1855" priority="48">
      <formula>ABS(Z$16-Z$19)&gt;=1000</formula>
    </cfRule>
  </conditionalFormatting>
  <conditionalFormatting sqref="AA13:AA20">
    <cfRule type="expression" dxfId="1854" priority="47">
      <formula>ABS(AA$16-AA$19)&gt;=1000</formula>
    </cfRule>
  </conditionalFormatting>
  <conditionalFormatting sqref="AB13 AB15:AB20">
    <cfRule type="expression" dxfId="1853" priority="46">
      <formula>ABS(AB$16-AB$19)&gt;=1000</formula>
    </cfRule>
  </conditionalFormatting>
  <conditionalFormatting sqref="AC13 AC15:AC20">
    <cfRule type="expression" dxfId="1852" priority="45">
      <formula>ABS(AC$16-AC$19)&gt;=1000</formula>
    </cfRule>
  </conditionalFormatting>
  <conditionalFormatting sqref="AD13:AD20">
    <cfRule type="expression" dxfId="1851" priority="44">
      <formula>ABS(AD$16-AD$19)&gt;=1000</formula>
    </cfRule>
  </conditionalFormatting>
  <conditionalFormatting sqref="AE13:AE20">
    <cfRule type="expression" dxfId="1850" priority="43">
      <formula>ABS(AE$16-AE$19)&gt;=1000</formula>
    </cfRule>
  </conditionalFormatting>
  <conditionalFormatting sqref="D22:D29">
    <cfRule type="expression" dxfId="1849" priority="42">
      <formula>ABS(D$25-D$28)&gt;=1000</formula>
    </cfRule>
  </conditionalFormatting>
  <conditionalFormatting sqref="E22:E29">
    <cfRule type="expression" dxfId="1848" priority="41">
      <formula>ABS(E$25-E$28)&gt;=1000</formula>
    </cfRule>
  </conditionalFormatting>
  <conditionalFormatting sqref="F22:F29">
    <cfRule type="expression" dxfId="1847" priority="40">
      <formula>ABS(F$25-F$28)&gt;=1000</formula>
    </cfRule>
  </conditionalFormatting>
  <conditionalFormatting sqref="G22:G29">
    <cfRule type="expression" dxfId="1846" priority="39">
      <formula>ABS(G$25-G$28)&gt;=1000</formula>
    </cfRule>
  </conditionalFormatting>
  <conditionalFormatting sqref="H22:H29">
    <cfRule type="expression" dxfId="1845" priority="38">
      <formula>ABS(H$25-H$28)&gt;=1000</formula>
    </cfRule>
  </conditionalFormatting>
  <conditionalFormatting sqref="I22 I24:I29">
    <cfRule type="expression" dxfId="1844" priority="37">
      <formula>ABS(I$25-I$28)&gt;=1000</formula>
    </cfRule>
  </conditionalFormatting>
  <conditionalFormatting sqref="J22:J29 K22">
    <cfRule type="expression" dxfId="1843" priority="36">
      <formula>ABS(J$25-J$28)&gt;=1000</formula>
    </cfRule>
  </conditionalFormatting>
  <conditionalFormatting sqref="K23:K29 L25 L28">
    <cfRule type="expression" dxfId="1842" priority="35">
      <formula>ABS(K$25-K$28)&gt;=1000</formula>
    </cfRule>
  </conditionalFormatting>
  <conditionalFormatting sqref="L22 L26:L27 L29 L24">
    <cfRule type="expression" dxfId="1841" priority="34">
      <formula>ABS(L$25-L$28)&gt;=1000</formula>
    </cfRule>
  </conditionalFormatting>
  <conditionalFormatting sqref="M22:M29">
    <cfRule type="expression" dxfId="1840" priority="33">
      <formula>ABS(M$25-M$28)&gt;=1000</formula>
    </cfRule>
  </conditionalFormatting>
  <conditionalFormatting sqref="N22:N29">
    <cfRule type="expression" dxfId="1839" priority="32">
      <formula>ABS(N$25-N$28)&gt;=1000</formula>
    </cfRule>
  </conditionalFormatting>
  <conditionalFormatting sqref="O22:O29">
    <cfRule type="expression" dxfId="1838" priority="31">
      <formula>ABS(O$25-O$28)&gt;=1000</formula>
    </cfRule>
  </conditionalFormatting>
  <conditionalFormatting sqref="P22:P29">
    <cfRule type="expression" dxfId="1837" priority="30">
      <formula>ABS(P$25-P$28)&gt;=1000</formula>
    </cfRule>
  </conditionalFormatting>
  <conditionalFormatting sqref="Q22:Q29">
    <cfRule type="expression" dxfId="1836" priority="29">
      <formula>ABS(Q$25-Q$28)&gt;=1000</formula>
    </cfRule>
  </conditionalFormatting>
  <conditionalFormatting sqref="R22:R29">
    <cfRule type="expression" dxfId="1835" priority="28">
      <formula>ABS(R$25-R$28)&gt;=1000</formula>
    </cfRule>
  </conditionalFormatting>
  <conditionalFormatting sqref="S22:S29">
    <cfRule type="expression" dxfId="1834" priority="27">
      <formula>ABS(S$25-S$28)&gt;=1000</formula>
    </cfRule>
  </conditionalFormatting>
  <conditionalFormatting sqref="T22:T29">
    <cfRule type="expression" dxfId="1833" priority="26">
      <formula>ABS(T$25-T$28)&gt;=1000</formula>
    </cfRule>
  </conditionalFormatting>
  <conditionalFormatting sqref="U22:U29">
    <cfRule type="expression" dxfId="1832" priority="25">
      <formula>ABS(U$25-U$28)&gt;=1000</formula>
    </cfRule>
  </conditionalFormatting>
  <conditionalFormatting sqref="V22:V29">
    <cfRule type="expression" dxfId="1831" priority="24">
      <formula>ABS(V$25-V$28)&gt;=1000</formula>
    </cfRule>
  </conditionalFormatting>
  <conditionalFormatting sqref="W22:W29">
    <cfRule type="expression" dxfId="1830" priority="23">
      <formula>ABS(W$25-W$28)&gt;=1000</formula>
    </cfRule>
  </conditionalFormatting>
  <conditionalFormatting sqref="X22:X29">
    <cfRule type="expression" dxfId="1829" priority="22">
      <formula>ABS(X$25-X$28)&gt;=1000</formula>
    </cfRule>
  </conditionalFormatting>
  <conditionalFormatting sqref="Y22:Y29">
    <cfRule type="expression" dxfId="1828" priority="21">
      <formula>ABS(Y$25-Y$28)&gt;=1000</formula>
    </cfRule>
  </conditionalFormatting>
  <conditionalFormatting sqref="I23">
    <cfRule type="expression" dxfId="1827" priority="20">
      <formula>ABS(I$25-I$28)&gt;=1000</formula>
    </cfRule>
  </conditionalFormatting>
  <conditionalFormatting sqref="F14">
    <cfRule type="expression" dxfId="1826" priority="19">
      <formula>ABS(F$16-F$19)&gt;=1000</formula>
    </cfRule>
  </conditionalFormatting>
  <conditionalFormatting sqref="Q14">
    <cfRule type="expression" dxfId="1825" priority="18">
      <formula>ABS(Q$16-Q$19)&gt;=1000</formula>
    </cfRule>
  </conditionalFormatting>
  <conditionalFormatting sqref="W14">
    <cfRule type="expression" dxfId="1824" priority="17">
      <formula>ABS(W$16-W$19)&gt;=1000</formula>
    </cfRule>
  </conditionalFormatting>
  <conditionalFormatting sqref="Y14">
    <cfRule type="expression" dxfId="1823" priority="16">
      <formula>ABS(Y$16-Y$19)&gt;=1000</formula>
    </cfRule>
  </conditionalFormatting>
  <conditionalFormatting sqref="X14">
    <cfRule type="expression" dxfId="1822" priority="15">
      <formula>ABS(X$16-X$19)&gt;=1000</formula>
    </cfRule>
  </conditionalFormatting>
  <conditionalFormatting sqref="T10:Y10">
    <cfRule type="expression" dxfId="1821" priority="14">
      <formula>ABS(T$7-T$10)&gt;=1000</formula>
    </cfRule>
  </conditionalFormatting>
  <conditionalFormatting sqref="W19">
    <cfRule type="expression" dxfId="1820" priority="13">
      <formula>ABS(W$16-W$19)&gt;=1000</formula>
    </cfRule>
  </conditionalFormatting>
  <conditionalFormatting sqref="AC5">
    <cfRule type="expression" dxfId="1819" priority="12">
      <formula>ABS(AC$7-AC$10)&gt;=1000</formula>
    </cfRule>
  </conditionalFormatting>
  <conditionalFormatting sqref="M14">
    <cfRule type="expression" dxfId="1818" priority="11">
      <formula>ABS(M$16-M$19)&gt;=1000</formula>
    </cfRule>
  </conditionalFormatting>
  <conditionalFormatting sqref="M16">
    <cfRule type="expression" dxfId="1817" priority="10">
      <formula>ABS(M$16-M$19)&gt;=1000</formula>
    </cfRule>
  </conditionalFormatting>
  <conditionalFormatting sqref="M19">
    <cfRule type="expression" dxfId="1816" priority="9">
      <formula>ABS(M$16-M$19)&gt;=1000</formula>
    </cfRule>
  </conditionalFormatting>
  <conditionalFormatting sqref="K13:K20">
    <cfRule type="expression" dxfId="1815" priority="8">
      <formula>ABS(K$16-K$19)&gt;=1000</formula>
    </cfRule>
  </conditionalFormatting>
  <conditionalFormatting sqref="E5">
    <cfRule type="expression" dxfId="1814" priority="7">
      <formula>ABS(E$7-E$10)&gt;=1000</formula>
    </cfRule>
  </conditionalFormatting>
  <conditionalFormatting sqref="AB14:AC14">
    <cfRule type="expression" dxfId="1813" priority="6">
      <formula>ABS(AB$16-AB$19)&gt;=1000</formula>
    </cfRule>
  </conditionalFormatting>
  <conditionalFormatting sqref="M5">
    <cfRule type="expression" dxfId="1812" priority="5">
      <formula>ABS(M$7-M$10)&gt;=1000</formula>
    </cfRule>
  </conditionalFormatting>
  <conditionalFormatting sqref="N5">
    <cfRule type="expression" dxfId="1811" priority="4">
      <formula>ABS(N$7-N$10)&gt;=1000</formula>
    </cfRule>
  </conditionalFormatting>
  <conditionalFormatting sqref="O5">
    <cfRule type="expression" dxfId="1810" priority="3">
      <formula>ABS(O$7-O$10)&gt;=1000</formula>
    </cfRule>
  </conditionalFormatting>
  <conditionalFormatting sqref="P5">
    <cfRule type="expression" dxfId="1809" priority="2">
      <formula>ABS(P$7-P$10)&gt;=1000</formula>
    </cfRule>
  </conditionalFormatting>
  <conditionalFormatting sqref="L23">
    <cfRule type="expression" dxfId="1808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3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6">
    <pageSetUpPr fitToPage="1"/>
  </sheetPr>
  <dimension ref="A1:CU223"/>
  <sheetViews>
    <sheetView view="pageBreakPreview" zoomScale="80" zoomScaleNormal="100" zoomScaleSheetLayoutView="80" workbookViewId="0">
      <selection activeCell="AF22" sqref="AF2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45819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5" t="s" ph="1">
        <v>178</v>
      </c>
      <c r="D6" s="71">
        <v>4957</v>
      </c>
      <c r="E6" s="71">
        <v>4714</v>
      </c>
      <c r="F6" s="71">
        <v>7138</v>
      </c>
      <c r="G6" s="71">
        <v>8098</v>
      </c>
      <c r="H6" s="71">
        <v>536</v>
      </c>
      <c r="I6" s="71">
        <v>63.31</v>
      </c>
      <c r="J6" s="71">
        <v>7.72</v>
      </c>
      <c r="K6" s="71">
        <v>7.62</v>
      </c>
      <c r="L6" s="71">
        <v>42.91</v>
      </c>
      <c r="M6" s="71">
        <v>5319</v>
      </c>
      <c r="N6" s="71">
        <v>4032</v>
      </c>
      <c r="O6" s="71">
        <v>46</v>
      </c>
      <c r="P6" s="71">
        <v>5577</v>
      </c>
      <c r="Q6" s="71">
        <v>4040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5389</v>
      </c>
      <c r="X6" s="71">
        <v>6697</v>
      </c>
      <c r="Y6" s="71">
        <v>5086</v>
      </c>
      <c r="Z6" s="71">
        <v>4668</v>
      </c>
      <c r="AA6" s="71">
        <v>558</v>
      </c>
      <c r="AB6" s="71">
        <v>4249</v>
      </c>
      <c r="AC6" s="71">
        <v>4149</v>
      </c>
      <c r="AD6" s="71">
        <v>4410</v>
      </c>
      <c r="AE6" s="71">
        <v>3438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155166.58861623</v>
      </c>
      <c r="E7" s="73" ph="1">
        <f>E6*51.53*LOOKUP(E8,密度!$A$2:$A$50,密度!$B$2:$B$50)</f>
        <v>188548.62040400002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324314.36100000003</v>
      </c>
      <c r="H7" s="73" ph="1">
        <f>(H6)*51.53*LOOKUP(H8,密度!$A$2:$A$50,密度!$B$2:$B$50)</f>
        <v>21557.472440000001</v>
      </c>
      <c r="I7" s="73" ph="1">
        <f>I6*290.8*1.0267</f>
        <v>18902.1096316</v>
      </c>
      <c r="J7" s="73" ph="1">
        <f>J6*290.8*0.7892</f>
        <v>1771.7350592</v>
      </c>
      <c r="K7" s="73" ph="1">
        <f>K6*290.8*1.1126</f>
        <v>2465.4058896000001</v>
      </c>
      <c r="L7" s="73" ph="1">
        <f>L6*290.8*0.777</f>
        <v>9695.5831559999988</v>
      </c>
      <c r="M7" s="73" ph="1">
        <f>M6*33.183*LOOKUP(M8,密度!$A$2:$A$50,密度!$D$2:$D$50)</f>
        <v>180542.23563330001</v>
      </c>
      <c r="N7" s="73" ph="1">
        <f>N6*33.183*LOOKUP(N8,密度!$A$2:$A$50,密度!$E$2:$E$50)</f>
        <v>104038.10242559999</v>
      </c>
      <c r="O7" s="73" ph="1">
        <f>O6*20.428*LOOKUP(O8,密度!$A$2:$A$50,密度!$C$2:$C$50)</f>
        <v>1038.4492088</v>
      </c>
      <c r="P7" s="73" ph="1">
        <f>P6*51.53*LOOKUP(P8,密度!$A$2:$A$50,密度!$B$2:$B$50)</f>
        <v>223066.53712200001</v>
      </c>
      <c r="Q7" s="73" ph="1">
        <f>Q6*1.5*1.5*3.1416*LOOKUP(W8,密度!$A$2:$A$50,密度!$L$2:$L$50)</f>
        <v>26615.258208000003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35502.382792800003</v>
      </c>
      <c r="X7" s="73" ph="1">
        <f>X6*1.5*1.5*3.1416*LOOKUP(X8,密度!$A$2:$A$50,密度!$L$2:$L$50)</f>
        <v>44450.770933799999</v>
      </c>
      <c r="Y7" s="73" ph="1">
        <f>Y6*1.5*1.5*3.1416*LOOKUP(Y8,密度!$A$2:$A$50,密度!$L$2:$L$50)</f>
        <v>33614.091125999999</v>
      </c>
      <c r="Z7" s="73" ph="1">
        <f>Z6*33.183*LOOKUP(Z8,密度!$A$2:$A$50,密度!$L$2:$L$50)</f>
        <v>144829.85814000003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89281.011159200003</v>
      </c>
      <c r="AC7" s="73" ph="1">
        <f>AC6*51.53*LOOKUP(AC8,密度!$A$2:$A$50,密度!$Q$2:$Q$50)</f>
        <v>201957.8384214</v>
      </c>
      <c r="AD7" s="73" ph="1">
        <f>AD6*20.428*LOOKUP(AD8,密度!$A$2:$A$50,密度!$V$2:$V$50)</f>
        <v>86267.770848000015</v>
      </c>
      <c r="AE7" s="73" ph="1">
        <f>AE6*20.428</f>
        <v>70231.464000000007</v>
      </c>
    </row>
    <row r="8" spans="1:99" ph="1">
      <c r="B8" s="256" ph="1"/>
      <c r="C8" s="68" t="s" ph="1">
        <v>180</v>
      </c>
      <c r="D8" s="74">
        <v>30</v>
      </c>
      <c r="E8" s="74">
        <v>29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30</v>
      </c>
      <c r="P8" s="74">
        <v>29</v>
      </c>
      <c r="Q8" s="74">
        <v>29</v>
      </c>
      <c r="R8" s="74">
        <v>33</v>
      </c>
      <c r="S8" s="74">
        <v>24</v>
      </c>
      <c r="T8" s="74">
        <v>28</v>
      </c>
      <c r="U8" s="74">
        <v>28</v>
      </c>
      <c r="V8" s="74">
        <v>28</v>
      </c>
      <c r="W8" s="74">
        <v>30</v>
      </c>
      <c r="X8" s="74">
        <v>23</v>
      </c>
      <c r="Y8" s="74">
        <v>27</v>
      </c>
      <c r="Z8" s="74">
        <v>27</v>
      </c>
      <c r="AA8" s="74">
        <v>28</v>
      </c>
      <c r="AB8" s="74">
        <v>23</v>
      </c>
      <c r="AC8" s="74">
        <v>28</v>
      </c>
      <c r="AD8" s="74">
        <v>27</v>
      </c>
      <c r="AE8" s="74">
        <v>36</v>
      </c>
    </row>
    <row r="9" spans="1:99" ht="26.4" ph="1">
      <c r="B9" s="256" ph="1">
        <v>0.66666666666666663</v>
      </c>
      <c r="C9" s="165" t="s" ph="1">
        <v>181</v>
      </c>
      <c r="D9" s="71">
        <v>4959</v>
      </c>
      <c r="E9" s="71">
        <v>4713</v>
      </c>
      <c r="F9" s="71">
        <v>7141</v>
      </c>
      <c r="G9" s="71">
        <v>8246</v>
      </c>
      <c r="H9" s="71">
        <v>1906</v>
      </c>
      <c r="I9" s="71">
        <v>63.31</v>
      </c>
      <c r="J9" s="71">
        <v>7.72</v>
      </c>
      <c r="K9" s="71">
        <v>7.73</v>
      </c>
      <c r="L9" s="71">
        <v>36.81</v>
      </c>
      <c r="M9" s="71">
        <v>5321</v>
      </c>
      <c r="N9" s="71">
        <v>3847</v>
      </c>
      <c r="O9" s="71">
        <v>45</v>
      </c>
      <c r="P9" s="71">
        <v>5308</v>
      </c>
      <c r="Q9" s="71">
        <v>6586</v>
      </c>
      <c r="R9" s="71">
        <v>4990</v>
      </c>
      <c r="S9" s="71">
        <v>0</v>
      </c>
      <c r="T9" s="71">
        <v>0</v>
      </c>
      <c r="U9" s="71">
        <v>0</v>
      </c>
      <c r="V9" s="71">
        <v>0</v>
      </c>
      <c r="W9" s="71">
        <v>168</v>
      </c>
      <c r="X9" s="71">
        <v>6702</v>
      </c>
      <c r="Y9" s="71">
        <v>5092</v>
      </c>
      <c r="Z9" s="71">
        <v>2388</v>
      </c>
      <c r="AA9" s="71">
        <v>558</v>
      </c>
      <c r="AB9" s="71">
        <v>4251</v>
      </c>
      <c r="AC9" s="71">
        <v>4150</v>
      </c>
      <c r="AD9" s="71">
        <v>4415</v>
      </c>
      <c r="AE9" s="71">
        <v>3328</v>
      </c>
    </row>
    <row r="10" spans="1:99" s="72" customFormat="1" ht="22.2" ph="1">
      <c r="B10" s="256" ph="1"/>
      <c r="C10" s="165" t="s" ph="1">
        <v>179</v>
      </c>
      <c r="D10" s="73" ph="1">
        <f>D9*33.183*LOOKUP(D11,密度!$A$2:$A$50,密度!$Q$2:$Q$50)</f>
        <v>155105.77778226</v>
      </c>
      <c r="E10" s="73" ph="1">
        <f>E9*51.53*LOOKUP(E11,密度!$A$2:$A$50,密度!$B$2:$B$50)</f>
        <v>187658.60970300002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329135.054336</v>
      </c>
      <c r="H10" s="73" ph="1">
        <f>(H9)*51.53*LOOKUP(H11,密度!$A$2:$A$50,密度!$B$2:$B$50)</f>
        <v>76313.971860000005</v>
      </c>
      <c r="I10" s="73" ph="1">
        <f>I9*290.8*1.0267</f>
        <v>18902.1096316</v>
      </c>
      <c r="J10" s="73" ph="1">
        <f>J9*290.8*0.7892</f>
        <v>1771.7350592</v>
      </c>
      <c r="K10" s="73" ph="1">
        <f>K9*290.8*1.1126</f>
        <v>2500.9957383999999</v>
      </c>
      <c r="L10" s="73" ph="1">
        <f>L9*290.8*0.777</f>
        <v>8317.2783960000015</v>
      </c>
      <c r="M10" s="73" ph="1">
        <f>M9*33.183*LOOKUP(M11,密度!$A$2:$A$50,密度!$D$2:$D$50)</f>
        <v>179515.40760809998</v>
      </c>
      <c r="N10" s="73" ph="1">
        <f>N9*33.183*LOOKUP(N11,密度!$A$2:$A$50,密度!$E$2:$E$50)</f>
        <v>98973.475375320006</v>
      </c>
      <c r="O10" s="73" ph="1">
        <f>O9*20.428*LOOKUP(O11,密度!$A$2:$A$50,密度!$C$2:$C$50)</f>
        <v>1006.221996</v>
      </c>
      <c r="P10" s="73" ph="1">
        <f>P9*51.53*LOOKUP(P11,密度!$A$2:$A$50,密度!$B$2:$B$50)</f>
        <v>211568.67913999999</v>
      </c>
      <c r="Q10" s="73" ph="1">
        <f>Q9*1.5*1.5*3.1416*LOOKUP(W11,密度!$A$2:$A$50,密度!$L$2:$L$50)</f>
        <v>43015.710830399999</v>
      </c>
      <c r="R10" s="73" ph="1">
        <f>R9*1.5*1.5*3.1416*LOOKUP(R11,密度!$A$2:$A$50,密度!$L$2:$L$50)</f>
        <v>32732.707392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1097.2729151999999</v>
      </c>
      <c r="X10" s="73" ph="1">
        <f>X9*1.5*1.5*3.1416*LOOKUP(X11,密度!$A$2:$A$50,密度!$L$2:$L$50)</f>
        <v>44341.8367392</v>
      </c>
      <c r="Y10" s="73" ph="1">
        <f>Y9*1.5*1.5*3.1416*LOOKUP(Y11,密度!$A$2:$A$50,密度!$L$2:$L$50)</f>
        <v>33617.752660799997</v>
      </c>
      <c r="Z10" s="73" ph="1">
        <f>Z9*33.183*LOOKUP(Z11,密度!$A$2:$A$50,密度!$L$2:$L$50)</f>
        <v>73694.133719999998</v>
      </c>
      <c r="AA10" s="73" ph="1">
        <f>AA9*33.183*LOOKUP(AA11,密度!$A$2:$A$50,密度!$D$2:$D$50)</f>
        <v>18760.526704800002</v>
      </c>
      <c r="AB10" s="73" ph="1">
        <f>AB9*20.428*LOOKUP(AB11,密度!$A$2:$A$50,密度!$D$2:$D$50)</f>
        <v>89158.04072759999</v>
      </c>
      <c r="AC10" s="73" ph="1">
        <f>AC9*51.53*LOOKUP(AC11,密度!$A$2:$A$50,密度!$Q$2:$Q$50)</f>
        <v>201570.26170999999</v>
      </c>
      <c r="AD10" s="73" ph="1">
        <f>AD9*20.428*LOOKUP(AD11,密度!$A$2:$A$50,密度!$V$2:$V$50)</f>
        <v>86365.580112000011</v>
      </c>
      <c r="AE10" s="73" ph="1">
        <f>AE9*20.428</f>
        <v>67984.384000000005</v>
      </c>
    </row>
    <row r="11" spans="1:99" ph="1">
      <c r="A11" s="64" t="s" ph="1">
        <v>163</v>
      </c>
      <c r="B11" s="256" ph="1"/>
      <c r="C11" s="165" t="s" ph="1">
        <v>180</v>
      </c>
      <c r="D11" s="74">
        <v>31</v>
      </c>
      <c r="E11" s="74">
        <v>33</v>
      </c>
      <c r="F11" s="74">
        <v>29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32</v>
      </c>
      <c r="O11" s="74">
        <v>40</v>
      </c>
      <c r="P11" s="74">
        <v>32</v>
      </c>
      <c r="Q11" s="74">
        <v>30</v>
      </c>
      <c r="R11" s="74">
        <v>34</v>
      </c>
      <c r="S11" s="74">
        <v>27</v>
      </c>
      <c r="T11" s="74">
        <v>35</v>
      </c>
      <c r="U11" s="74">
        <v>32</v>
      </c>
      <c r="V11" s="74">
        <v>28</v>
      </c>
      <c r="W11" s="74">
        <v>38</v>
      </c>
      <c r="X11" s="74">
        <v>26</v>
      </c>
      <c r="Y11" s="74">
        <v>28</v>
      </c>
      <c r="Z11" s="74">
        <v>32</v>
      </c>
      <c r="AA11" s="74">
        <v>40</v>
      </c>
      <c r="AB11" s="74">
        <v>25</v>
      </c>
      <c r="AC11" s="74">
        <v>31</v>
      </c>
      <c r="AD11" s="74">
        <v>32</v>
      </c>
      <c r="AE11" s="74">
        <v>37</v>
      </c>
    </row>
    <row r="12" spans="1:99" ht="9.9" customHeight="1" ph="1"/>
    <row r="13" spans="1:99" s="72" customFormat="1" ht="29.25" customHeight="1" ph="1">
      <c r="B13" s="233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5" t="s" ph="1">
        <v>178</v>
      </c>
      <c r="D15" s="78">
        <v>1600</v>
      </c>
      <c r="E15" s="78">
        <v>4724</v>
      </c>
      <c r="F15" s="78">
        <v>1988</v>
      </c>
      <c r="G15" s="78">
        <v>2708</v>
      </c>
      <c r="H15" s="78">
        <v>3733</v>
      </c>
      <c r="I15" s="78">
        <v>117</v>
      </c>
      <c r="J15" s="78">
        <v>1659</v>
      </c>
      <c r="K15" s="78">
        <v>1787</v>
      </c>
      <c r="L15" s="78">
        <v>5660</v>
      </c>
      <c r="M15" s="78">
        <v>3453</v>
      </c>
      <c r="N15" s="78">
        <v>4191</v>
      </c>
      <c r="O15" s="78">
        <v>6096</v>
      </c>
      <c r="P15" s="78">
        <v>7177</v>
      </c>
      <c r="Q15" s="78">
        <v>0</v>
      </c>
      <c r="R15" s="78">
        <v>3518</v>
      </c>
      <c r="S15" s="78">
        <v>6935</v>
      </c>
      <c r="T15" s="78">
        <v>6625</v>
      </c>
      <c r="U15" s="78">
        <v>2366</v>
      </c>
      <c r="V15" s="78">
        <v>595</v>
      </c>
      <c r="W15" s="71">
        <v>-792</v>
      </c>
      <c r="X15" s="78">
        <v>26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71.92</v>
      </c>
      <c r="AE15" s="78">
        <v>5.53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5" t="s" ph="1">
        <v>179</v>
      </c>
      <c r="D16" s="73" ph="1">
        <f>D15*7.0686*LOOKUP(D17,密度!$A$2:$A$50,密度!$L$2:$L$50)</f>
        <v>10563.315840000001</v>
      </c>
      <c r="E16" s="73" ph="1">
        <f>E15*7.0686*LOOKUP(E17,密度!$A$2:$A$50,密度!$L$2:$L$50)</f>
        <v>31154.797951200006</v>
      </c>
      <c r="F16" s="73" ph="1">
        <f>F15*9.0746*LOOKUP(F17,密度!$A$2:$A$50,密度!$L$2:$L$50)</f>
        <v>16777.483464000001</v>
      </c>
      <c r="G16" s="73" ph="1">
        <f>G15*9.0746*LOOKUP(G17,密度!$A$2:$A$50,密度!$B$2:$B$50)</f>
        <v>19052.23522504</v>
      </c>
      <c r="H16" s="73" ph="1">
        <f>H15*9.0746*LOOKUP(H17,密度!$A$2:$A$50,密度!$L$2:$L$50)</f>
        <v>31639.700001200003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14031.037624800001</v>
      </c>
      <c r="K16" s="73" ph="1">
        <f>K15*9.0746*LOOKUP(K17,密度!$A$2:$A$50,密度!$C$2:$C$50)</f>
        <v>17933.617450180001</v>
      </c>
      <c r="L16" s="73" ph="1">
        <f>L15*9.0746*LOOKUP(L17,密度!$A$2:$A$50,密度!$E$2:$E$50)</f>
        <v>39939.274713600003</v>
      </c>
      <c r="M16" s="73" ph="1">
        <f>M15*9.0746*LOOKUP(M17,密度!$A$2:$A$50,密度!$M$2:$M$50)</f>
        <v>27192.787191516003</v>
      </c>
      <c r="N16" s="73" ph="1">
        <f>N15*9.0746*LOOKUP(N17,密度!$A$2:$A$50,密度!$M$2:$M$50)</f>
        <v>33163.597579200003</v>
      </c>
      <c r="O16" s="73" ph="1">
        <f>O15*9.0746*LOOKUP(O17,密度!$A$2:$A$50,密度!$G$2:$G$50)</f>
        <v>52812.821699519998</v>
      </c>
      <c r="P16" s="73" ph="1">
        <f ca="1">P15*9.0746*LOOKUP(P17,密度!$A$2:$A$51,密度!$Q$2:$Q$50)</f>
        <v>61437.577533986005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24751.020502840001</v>
      </c>
      <c r="S16" s="73" ph="1">
        <f>S15*9.0746*LOOKUP(S17,密度!$A$2:$A$50,密度!$Q$2:$Q$50)</f>
        <v>59365.97466883</v>
      </c>
      <c r="T16" s="73" ph="1">
        <f>T15*9.0746*LOOKUP(T17,密度!$A$2:$A$50,密度!$O$2:$O$50)</f>
        <v>55670.402350000004</v>
      </c>
      <c r="U16" s="73" ph="1">
        <f>U15*9.0746*LOOKUP(U17,密度!$A$2:$A$50,密度!$H$2:$H$50)</f>
        <v>19559.6287796</v>
      </c>
      <c r="V16" s="73" ph="1">
        <f>MAX(5600*LOOKUP(V17,密度!$A$2:$A$50,密度!$Q$2:$Q$50)+V15*9.0476*LOOKUP(V17,密度!$A$2:$A$50,密度!$Q$2:$Q$50),0)</f>
        <v>10360.897142260001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6055.2260575200007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16285.427381759999</v>
      </c>
      <c r="AE16" s="73" ph="1">
        <f>AE15*268.68*LOOKUP(AE17,密度!$A$2:$A$50,密度!B2:B50)+IF(AE15&lt;=0,0,1566*LOOKUP(AE17,密度!$A$2:$A$50,密度!B2:B50))</f>
        <v>2379.1835918400002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29</v>
      </c>
      <c r="F17" s="74">
        <v>32</v>
      </c>
      <c r="G17" s="74">
        <v>30</v>
      </c>
      <c r="H17" s="74">
        <v>28</v>
      </c>
      <c r="I17" s="74">
        <v>27</v>
      </c>
      <c r="J17" s="74">
        <v>30</v>
      </c>
      <c r="K17" s="74">
        <v>29</v>
      </c>
      <c r="L17" s="74">
        <v>30</v>
      </c>
      <c r="M17" s="74">
        <v>32</v>
      </c>
      <c r="N17" s="74">
        <v>28</v>
      </c>
      <c r="O17" s="74">
        <v>30</v>
      </c>
      <c r="P17" s="74">
        <v>30</v>
      </c>
      <c r="Q17" s="74">
        <v>28</v>
      </c>
      <c r="R17" s="74">
        <v>30</v>
      </c>
      <c r="S17" s="74">
        <v>30</v>
      </c>
      <c r="T17" s="74">
        <v>28</v>
      </c>
      <c r="U17" s="74">
        <v>29</v>
      </c>
      <c r="V17" s="74">
        <v>30</v>
      </c>
      <c r="W17" s="74">
        <v>28</v>
      </c>
      <c r="X17" s="74">
        <v>29</v>
      </c>
      <c r="Y17" s="108">
        <v>29</v>
      </c>
      <c r="Z17" s="74">
        <v>29</v>
      </c>
      <c r="AA17" s="74">
        <v>27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3246</v>
      </c>
      <c r="E18" s="71">
        <v>4729</v>
      </c>
      <c r="F18" s="71">
        <v>2468</v>
      </c>
      <c r="G18" s="71">
        <v>2743</v>
      </c>
      <c r="H18" s="71">
        <v>3736</v>
      </c>
      <c r="I18" s="71">
        <v>117</v>
      </c>
      <c r="J18" s="71">
        <v>1661</v>
      </c>
      <c r="K18" s="71">
        <v>1787</v>
      </c>
      <c r="L18" s="71">
        <v>5670</v>
      </c>
      <c r="M18" s="71">
        <v>5761</v>
      </c>
      <c r="N18" s="71">
        <v>1900</v>
      </c>
      <c r="O18" s="71">
        <v>6102</v>
      </c>
      <c r="P18" s="71">
        <v>7181</v>
      </c>
      <c r="Q18" s="71">
        <v>0</v>
      </c>
      <c r="R18" s="71">
        <v>3521</v>
      </c>
      <c r="S18" s="71">
        <v>6941</v>
      </c>
      <c r="T18" s="71">
        <v>5348</v>
      </c>
      <c r="U18" s="71">
        <v>2366</v>
      </c>
      <c r="V18" s="71">
        <v>595</v>
      </c>
      <c r="W18" s="71">
        <v>-792</v>
      </c>
      <c r="X18" s="71">
        <v>25</v>
      </c>
      <c r="Y18" s="109">
        <v>-9907</v>
      </c>
      <c r="Z18" s="71">
        <v>0</v>
      </c>
      <c r="AA18" s="71">
        <v>0</v>
      </c>
      <c r="AB18" s="71">
        <v>2375</v>
      </c>
      <c r="AC18" s="71">
        <v>0</v>
      </c>
      <c r="AD18" s="71">
        <v>84.51</v>
      </c>
      <c r="AE18" s="71">
        <v>18.11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5" t="s" ph="1">
        <v>179</v>
      </c>
      <c r="D19" s="73" ph="1">
        <f>D18*7.0686*LOOKUP(D20,密度!$A$2:$A$50,密度!$L$2:$L$50)</f>
        <v>21338.548308000001</v>
      </c>
      <c r="E19" s="73" ph="1">
        <f>E18*7.0686*LOOKUP(E20,密度!$A$2:$A$50,密度!$L$2:$L$50)</f>
        <v>31120.918151399997</v>
      </c>
      <c r="F19" s="73" ph="1">
        <f>F18*9.0746*LOOKUP(F20,密度!$A$2:$A$50,密度!$L$2:$L$50)</f>
        <v>20738.800452799998</v>
      </c>
      <c r="G19" s="73" ph="1">
        <f>G18*9.0746*LOOKUP(G20,密度!$A$2:$A$50,密度!$B$2:$B$50)</f>
        <v>19298.479033340001</v>
      </c>
      <c r="H19" s="73" ph="1">
        <f>H18*9.0746*LOOKUP(H20,密度!$A$2:$A$50,密度!$L$2:$L$50)</f>
        <v>31597.321619200004</v>
      </c>
      <c r="I19" s="73" ph="1">
        <f>I18*9.0746*LOOKUP(I20,密度!$A$2:$A$50,密度!$U$2:$U$50)</f>
        <v>1078.7158512000001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39834.384134580003</v>
      </c>
      <c r="M19" s="73" ph="1">
        <f>M18*9.0746*LOOKUP(M20,密度!$A$2:$A$50,密度!$M$2:$M$50)</f>
        <v>45203.884574702002</v>
      </c>
      <c r="N19" s="73" ph="1">
        <f>N18*9.0746*LOOKUP(N20,密度!$A$2:$A$50,密度!$M$2:$M$50)</f>
        <v>14998.589626000001</v>
      </c>
      <c r="O19" s="73" ph="1">
        <f>O18*9.0746*LOOKUP(O20,密度!$A$2:$A$50,密度!$G$2:$G$50)</f>
        <v>52750.734012288005</v>
      </c>
      <c r="P19" s="73" ph="1">
        <f ca="1">P18*9.0746*LOOKUP(P20,密度!$A$2:$A$51,密度!$Q$2:$Q$50)</f>
        <v>61378.633378940001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24714.614115100001</v>
      </c>
      <c r="S19" s="73" ph="1">
        <f>S18*9.0746*LOOKUP(S20,密度!$A$2:$A$50,密度!$Q$2:$Q$50)</f>
        <v>59286.324182250006</v>
      </c>
      <c r="T19" s="73" ph="1">
        <f>T18*9.0746*LOOKUP(T20,密度!$A$2:$A$50,密度!$O$2:$O$50)</f>
        <v>44745.545857600002</v>
      </c>
      <c r="U19" s="73" ph="1">
        <f>U18*9.0746*LOOKUP(U20,密度!$A$2:$A$50,密度!$H$2:$H$50)</f>
        <v>19517.76129758</v>
      </c>
      <c r="V19" s="73" ph="1">
        <f>MAX(5600*LOOKUP(V20,密度!$A$2:$A$50,密度!$Q$2:$Q$50)+V18*9.0476*LOOKUP(V20,密度!$A$2:$A$50,密度!$Q$2:$Q$50),0)</f>
        <v>10338.051832499999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6026.610936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20065.074925000001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4997.5045596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31</v>
      </c>
      <c r="F20" s="81">
        <v>36</v>
      </c>
      <c r="G20" s="81">
        <v>30</v>
      </c>
      <c r="H20" s="81">
        <v>30</v>
      </c>
      <c r="I20" s="81">
        <v>34</v>
      </c>
      <c r="J20" s="81">
        <v>33</v>
      </c>
      <c r="K20" s="81">
        <v>32</v>
      </c>
      <c r="L20" s="81">
        <v>33</v>
      </c>
      <c r="M20" s="81">
        <v>35</v>
      </c>
      <c r="N20" s="81">
        <v>30</v>
      </c>
      <c r="O20" s="81">
        <v>32</v>
      </c>
      <c r="P20" s="81">
        <v>32</v>
      </c>
      <c r="Q20" s="81">
        <v>33</v>
      </c>
      <c r="R20" s="81">
        <v>32</v>
      </c>
      <c r="S20" s="81">
        <v>33</v>
      </c>
      <c r="T20" s="81">
        <v>30</v>
      </c>
      <c r="U20" s="81">
        <v>31</v>
      </c>
      <c r="V20" s="81">
        <v>33</v>
      </c>
      <c r="W20" s="81">
        <v>33</v>
      </c>
      <c r="X20" s="81">
        <v>32</v>
      </c>
      <c r="Y20" s="110">
        <v>33</v>
      </c>
      <c r="Z20" s="81">
        <v>32</v>
      </c>
      <c r="AA20" s="81">
        <v>31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645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5" t="s" ph="1">
        <v>178</v>
      </c>
      <c r="D24" s="71">
        <v>91.14</v>
      </c>
      <c r="E24" s="71">
        <v>95.82</v>
      </c>
      <c r="F24" s="71">
        <v>4007</v>
      </c>
      <c r="G24" s="71">
        <v>2206</v>
      </c>
      <c r="H24" s="71">
        <v>1734</v>
      </c>
      <c r="I24" s="71">
        <v>2360</v>
      </c>
      <c r="J24" s="71">
        <v>5422</v>
      </c>
      <c r="K24" s="71">
        <v>1171</v>
      </c>
      <c r="L24" s="71">
        <v>1134</v>
      </c>
      <c r="M24" s="71">
        <v>5266</v>
      </c>
      <c r="N24" s="71">
        <v>5337</v>
      </c>
      <c r="O24" s="71">
        <v>3695</v>
      </c>
      <c r="P24" s="71">
        <v>365</v>
      </c>
      <c r="Q24" s="90">
        <v>2156</v>
      </c>
      <c r="R24" s="71">
        <v>1744</v>
      </c>
      <c r="S24" s="71">
        <v>4814</v>
      </c>
      <c r="T24" s="71">
        <v>1765</v>
      </c>
      <c r="U24" s="71">
        <v>4306</v>
      </c>
      <c r="V24" s="71">
        <v>9651</v>
      </c>
      <c r="W24" s="71">
        <v>10760</v>
      </c>
      <c r="X24" s="71">
        <v>2795</v>
      </c>
      <c r="Y24" s="71">
        <v>4224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24665.886045648003</v>
      </c>
      <c r="E25" s="91" ph="1">
        <f>E24*268.68*LOOKUP(E26,密度!$A$2:$A$50,密度!$C$2:$C$50)+IF(E24&lt;=0,0,1566*LOOKUP(E26,密度!$A$2:$A$50,密度!$C$2:$C$50))</f>
        <v>30285.076526639998</v>
      </c>
      <c r="F25" s="91" ph="1">
        <f>F24*11.702*LOOKUP(F26,密度!$A$2:$A$50,密度!$Q$2:$Q$50)</f>
        <v>44232.66257362</v>
      </c>
      <c r="G25" s="91" ph="1">
        <f>G24*18.322*LOOKUP(G26,密度!$A$2:$A$50,密度!$B$2:$B$50)</f>
        <v>31336.332799599997</v>
      </c>
      <c r="H25" s="91" ph="1">
        <f>H24*18.322*LOOKUP(H26,密度!$A$2:$A$50,密度!$B$2:$B$50)</f>
        <v>24602.957491199999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93712.179433719997</v>
      </c>
      <c r="K25" s="91" ph="1">
        <f>K24*18.322*LOOKUP(K26,密度!$A$2:$A$50,密度!$Q$2:$Q$50)</f>
        <v>20223.112339959996</v>
      </c>
      <c r="L25" s="91" ph="1">
        <f>L24*18.322*LOOKUP(L26,密度!$A$2:$A$50,密度!$Q$2:$Q$50)</f>
        <v>19584.124161839998</v>
      </c>
      <c r="M25" s="91" ph="1">
        <f>M24*18.322*LOOKUP(M26,密度!$A$2:$A$50,密度!$Q$2:$Q$50)</f>
        <v>91015.923441160005</v>
      </c>
      <c r="N25" s="91" ph="1">
        <f>N24*18.322*LOOKUP(N26,密度!$A$2:$A$50,密度!$Q$2:$Q$50)</f>
        <v>92169.727206119991</v>
      </c>
      <c r="O25" s="91" ph="1">
        <f>O24*18.322*LOOKUP(O26,密度!$A$2:$A$50,密度!$C$2:$C$50)</f>
        <v>74815.037928999984</v>
      </c>
      <c r="P25" s="91" ph="1">
        <f>P24*11.702*LOOKUP(P26,密度!$A$2:$A$50,密度!$B$2:$B$50)</f>
        <v>3311.4846189999998</v>
      </c>
      <c r="Q25" s="92" ph="1">
        <f>Q24*18.322*LOOKUP(Q26,密度!$A$2:$A$50,密度!$B$2:$B$50)</f>
        <v>30661.632478399999</v>
      </c>
      <c r="R25" s="91" ph="1">
        <f>R24*35.891*LOOKUP(R26,密度!$A$2:$A$50,密度!$C$2:$C$50)</f>
        <v>69172.523310399993</v>
      </c>
      <c r="S25" s="91" ph="1">
        <f>S24*35.891*LOOKUP(S26,密度!$A$2:$A$50,密度!$B$2:$B$50)</f>
        <v>133955.7711322</v>
      </c>
      <c r="T25" s="91" ph="1">
        <f>T24*35.891*LOOKUP(T26,密度!$A$2:$A$50,密度!$Q$2:$Q$50)</f>
        <v>59795.714226950004</v>
      </c>
      <c r="U25" s="91" ph="1">
        <f>U24*35.891</f>
        <v>154546.64599999998</v>
      </c>
      <c r="V25" s="91" ph="1">
        <f>V24*47.051*LOOKUP(V26,密度!$A$2:$A$50,密度!$B$2:$B$50)</f>
        <v>352464.0378162</v>
      </c>
      <c r="W25" s="91" ph="1">
        <f>W24*47.051*LOOKUP(W26,密度!$A$2:$A$50,密度!$B$2:$B$50)</f>
        <v>392054.52774400002</v>
      </c>
      <c r="X25" s="91" ph="1">
        <f>X24*47.051*LOOKUP(X26,密度!$A$2:$A$50,密度!$I$2:$I$50)</f>
        <v>136465.37944650001</v>
      </c>
      <c r="Y25" s="91" ph="1">
        <f>Y24*47.051*LOOKUP(Y26,密度!$A$2:$A$50,密度!$L$2:$L$50)</f>
        <v>185228.87116800001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30</v>
      </c>
      <c r="J26" s="74">
        <v>30</v>
      </c>
      <c r="K26" s="74">
        <v>31</v>
      </c>
      <c r="L26" s="74">
        <v>31</v>
      </c>
      <c r="M26" s="74">
        <v>30</v>
      </c>
      <c r="N26" s="74">
        <v>31</v>
      </c>
      <c r="O26" s="74">
        <v>30</v>
      </c>
      <c r="P26" s="74">
        <v>30</v>
      </c>
      <c r="Q26" s="93">
        <v>29</v>
      </c>
      <c r="R26" s="74">
        <v>30</v>
      </c>
      <c r="S26" s="74">
        <v>30</v>
      </c>
      <c r="T26" s="74">
        <v>29</v>
      </c>
      <c r="U26" s="74">
        <v>29</v>
      </c>
      <c r="V26" s="74">
        <v>29</v>
      </c>
      <c r="W26" s="74">
        <v>31</v>
      </c>
      <c r="X26" s="74">
        <v>29</v>
      </c>
      <c r="Y26" s="74">
        <v>30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5" t="s" ph="1">
        <v>181</v>
      </c>
      <c r="D27" s="71">
        <v>91.12</v>
      </c>
      <c r="E27" s="71">
        <v>95.71</v>
      </c>
      <c r="F27" s="71">
        <v>4009</v>
      </c>
      <c r="G27" s="71">
        <v>1512</v>
      </c>
      <c r="H27" s="71">
        <v>1414</v>
      </c>
      <c r="I27" s="71">
        <v>2360</v>
      </c>
      <c r="J27" s="71">
        <v>5421</v>
      </c>
      <c r="K27" s="71">
        <v>1169</v>
      </c>
      <c r="L27" s="71">
        <v>2352</v>
      </c>
      <c r="M27" s="71">
        <v>5267</v>
      </c>
      <c r="N27" s="71">
        <v>5337</v>
      </c>
      <c r="O27" s="71">
        <v>3692</v>
      </c>
      <c r="P27" s="71">
        <v>363</v>
      </c>
      <c r="Q27" s="90">
        <v>2537</v>
      </c>
      <c r="R27" s="71">
        <v>1741</v>
      </c>
      <c r="S27" s="71">
        <v>5443</v>
      </c>
      <c r="T27" s="71">
        <v>1763</v>
      </c>
      <c r="U27" s="71">
        <v>4405</v>
      </c>
      <c r="V27" s="71">
        <v>9652</v>
      </c>
      <c r="W27" s="71">
        <v>10761</v>
      </c>
      <c r="X27" s="71">
        <v>3375</v>
      </c>
      <c r="Y27" s="71">
        <v>4980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5" t="s" ph="1">
        <v>179</v>
      </c>
      <c r="D28" s="91" ph="1">
        <f>D27*268.68*LOOKUP(D29,密度!$A$2:$A$50,密度!$Q$2:$Q$50)+IF(D27&lt;=0,0,1566*LOOKUP(D29,密度!$A$2:$A$50,密度!$Q$2:$Q$50))</f>
        <v>24660.798643584003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44157.160567500003</v>
      </c>
      <c r="G28" s="91" ph="1">
        <f>G27*18.322*LOOKUP(G29,密度!$A$2:$A$50,密度!$B$2:$B$50)</f>
        <v>21453.097881599999</v>
      </c>
      <c r="H28" s="91" ph="1">
        <f>H27*18.322*LOOKUP(H29,密度!$A$2:$A$50,密度!$B$2:$B$50)</f>
        <v>20039.302737999998</v>
      </c>
      <c r="I28" s="91" ph="1">
        <f>I27*18.322*LOOKUP(I29,密度!$A$2:$A$50,密度!$Q$2:$Q$50)</f>
        <v>40727.680647999994</v>
      </c>
      <c r="J28" s="91" ph="1">
        <f>J27*18.322*LOOKUP(J29,密度!$A$2:$A$50,密度!$Q$2:$Q$50)</f>
        <v>93620.403069959983</v>
      </c>
      <c r="K28" s="91" ph="1">
        <f>K27*18.322*LOOKUP(K29,密度!$A$2:$A$50,密度!$Q$2:$Q$50)</f>
        <v>20174.007914199996</v>
      </c>
      <c r="L28" s="91" ph="1">
        <f>L27*18.322*LOOKUP(L29,密度!$A$2:$A$50,密度!$Q$2:$Q$50)</f>
        <v>40561.61004</v>
      </c>
      <c r="M28" s="91" ph="1">
        <f>M27*18.322*LOOKUP(M29,密度!$A$2:$A$50,密度!$Q$2:$Q$50)</f>
        <v>90960.830652920005</v>
      </c>
      <c r="N28" s="91" ph="1">
        <f>N27*18.322*LOOKUP(N29,密度!$A$2:$A$50,密度!$Q$2:$Q$50)</f>
        <v>92039.673802499994</v>
      </c>
      <c r="O28" s="91" ph="1">
        <f>O27*18.322*LOOKUP(O29,密度!$A$2:$A$50,密度!$C$2:$C$50)</f>
        <v>74612.240871999995</v>
      </c>
      <c r="P28" s="91" ph="1">
        <f>P27*11.702*LOOKUP(P29,密度!$A$2:$A$50,密度!$B$2:$B$50)</f>
        <v>3285.6934109999997</v>
      </c>
      <c r="Q28" s="92" ph="1">
        <f>Q27*18.322*LOOKUP(Q29,密度!$A$2:$A$50,密度!$B$2:$B$50)</f>
        <v>35954.533978999993</v>
      </c>
      <c r="R28" s="91" ph="1">
        <f>R27*35.891*LOOKUP(R29,密度!$A$2:$A$50,密度!$C$2:$C$50)</f>
        <v>68991.0476471</v>
      </c>
      <c r="S28" s="91" ph="1">
        <f>S27*35.891*LOOKUP(S29,密度!$A$2:$A$50,密度!$B$2:$B$50)</f>
        <v>151106.87050549997</v>
      </c>
      <c r="T28" s="91" ph="1">
        <f>T27*35.891*LOOKUP(T29,密度!$A$2:$A$50,密度!$Q$2:$Q$50)</f>
        <v>59599.507102699994</v>
      </c>
      <c r="U28" s="91" ph="1">
        <f>U27*35.891</f>
        <v>158099.85499999998</v>
      </c>
      <c r="V28" s="91" ph="1">
        <f>V27*47.051*LOOKUP(V29,密度!$A$2:$A$50,密度!$B$2:$B$50)</f>
        <v>352091.83617560001</v>
      </c>
      <c r="W28" s="91" ph="1">
        <f>W27*47.051*LOOKUP(W29,密度!$A$2:$A$50,密度!$B$2:$B$50)</f>
        <v>392546.64826830005</v>
      </c>
      <c r="X28" s="91" ph="1">
        <f>X27*47.051*LOOKUP(X29,密度!$A$2:$A$50,密度!$I$2:$I$50)</f>
        <v>164783.77661250002</v>
      </c>
      <c r="Y28" s="91" ph="1">
        <f>Y27*47.051*LOOKUP(Y29,密度!$A$2:$A$50,密度!$L$2:$L$50)</f>
        <v>218146.31538000001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5" t="s" ph="1">
        <v>180</v>
      </c>
      <c r="D29" s="74">
        <v>25</v>
      </c>
      <c r="E29" s="74">
        <v>25</v>
      </c>
      <c r="F29" s="74">
        <v>33</v>
      </c>
      <c r="G29" s="74">
        <v>31</v>
      </c>
      <c r="H29" s="74">
        <v>32</v>
      </c>
      <c r="I29" s="74">
        <v>32</v>
      </c>
      <c r="J29" s="74">
        <v>31</v>
      </c>
      <c r="K29" s="74">
        <v>32</v>
      </c>
      <c r="L29" s="74">
        <v>33</v>
      </c>
      <c r="M29" s="74">
        <v>31</v>
      </c>
      <c r="N29" s="74">
        <v>33</v>
      </c>
      <c r="O29" s="74">
        <v>32</v>
      </c>
      <c r="P29" s="74">
        <v>32</v>
      </c>
      <c r="Q29" s="93">
        <v>32</v>
      </c>
      <c r="R29" s="74">
        <v>31</v>
      </c>
      <c r="S29" s="74">
        <v>32</v>
      </c>
      <c r="T29" s="74">
        <v>32</v>
      </c>
      <c r="U29" s="74">
        <v>31</v>
      </c>
      <c r="V29" s="74">
        <v>30</v>
      </c>
      <c r="W29" s="74">
        <v>30</v>
      </c>
      <c r="X29" s="74">
        <v>29</v>
      </c>
      <c r="Y29" s="74">
        <v>31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107918.56743239998</v>
      </c>
      <c r="E33" s="205" ph="1">
        <f>M10+I10</f>
        <v>198417.51723969998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31" ph="1">
        <v>0</v>
      </c>
      <c r="H33" s="205" ph="1">
        <f>N19</f>
        <v>14998.589626000001</v>
      </c>
      <c r="I33" s="209" ph="1">
        <v>0</v>
      </c>
      <c r="J33" s="213" ph="1">
        <f>F10+O28</f>
        <v>336666.08700970002</v>
      </c>
      <c r="K33" s="205" ph="1">
        <f>O10+K10+E28+R28</f>
        <v>102750.56859042001</v>
      </c>
      <c r="L33" s="215" ph="1">
        <f>BE27</f>
        <v>7100</v>
      </c>
      <c r="M33" s="213" ph="1">
        <f>G10+H10+W28+S28+V28+E10</f>
        <v>1488852.9908483999</v>
      </c>
      <c r="N33" s="205" ph="1">
        <f>L10+P10++G28+H28</f>
        <v>261378.3581556</v>
      </c>
      <c r="O33" s="209" ph="1">
        <f>BE17</f>
        <v>2270</v>
      </c>
      <c r="P33" s="213" ph="1">
        <f>L19</f>
        <v>39834.384134580003</v>
      </c>
      <c r="Q33" s="205" ph="1">
        <f>J10+N10</f>
        <v>100745.21043452001</v>
      </c>
      <c r="R33" s="209" ph="1">
        <f>BE23</f>
        <v>890</v>
      </c>
      <c r="S33" s="213" ph="1">
        <f>E10+X28</f>
        <v>352442.38631550001</v>
      </c>
      <c r="T33" s="205" ph="1">
        <f>X19</f>
        <v>6026.610936</v>
      </c>
      <c r="U33" s="194" ph="1">
        <f>BE21</f>
        <v>730</v>
      </c>
      <c r="V33" s="207" ph="1">
        <f ca="1">P19+Q19+S19+M28+N28+J28</f>
        <v>397285.86508657003</v>
      </c>
      <c r="W33" s="207" ph="1">
        <f>D28+F28+V19+T28</f>
        <v>138755.51814628398</v>
      </c>
      <c r="X33" s="209" ph="1">
        <f>BE29+BE31</f>
        <v>10200</v>
      </c>
      <c r="Y33" s="211" ph="1">
        <f>+Q10+R10+S10+T10+U10+V10+W10+X10+Y10</f>
        <v>154805.28053759999</v>
      </c>
      <c r="Z33" s="192" ph="1">
        <f>D10+T19+U19+Y28+Z10</f>
        <v>511209.53403744003</v>
      </c>
      <c r="AA33" s="194" ph="1">
        <f>BE19</f>
        <v>1440</v>
      </c>
      <c r="AB33" s="196" ph="1">
        <f>I19</f>
        <v>1078.7158512000001</v>
      </c>
      <c r="AC33" s="198" ph="1">
        <f>AD10</f>
        <v>86365.580112000011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3" t="s" ph="1">
        <v>186</v>
      </c>
      <c r="AA36" s="163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77" priority="97">
      <formula>ABS(D$7-D$10)&gt;=1000</formula>
    </cfRule>
  </conditionalFormatting>
  <conditionalFormatting sqref="E4 E6:E11">
    <cfRule type="expression" dxfId="1776" priority="96">
      <formula>ABS(E$7-E$10)&gt;=1000</formula>
    </cfRule>
  </conditionalFormatting>
  <conditionalFormatting sqref="F4:F11">
    <cfRule type="expression" dxfId="1775" priority="95">
      <formula>ABS(F$7-F$10)&gt;=1000</formula>
    </cfRule>
  </conditionalFormatting>
  <conditionalFormatting sqref="G4:G11">
    <cfRule type="expression" dxfId="1774" priority="94">
      <formula>ABS(G$7-G$10)&gt;=1000</formula>
    </cfRule>
  </conditionalFormatting>
  <conditionalFormatting sqref="H4:H11">
    <cfRule type="expression" dxfId="1773" priority="93">
      <formula>ABS(H$7-H$10)&gt;=1000</formula>
    </cfRule>
  </conditionalFormatting>
  <conditionalFormatting sqref="I4:I11">
    <cfRule type="expression" dxfId="1772" priority="92">
      <formula>ABS(I$7-I$10)&gt;=1000</formula>
    </cfRule>
  </conditionalFormatting>
  <conditionalFormatting sqref="J4:J11">
    <cfRule type="expression" dxfId="1771" priority="91">
      <formula>ABS(J$7-J$10)&gt;=1000</formula>
    </cfRule>
  </conditionalFormatting>
  <conditionalFormatting sqref="K4:K11">
    <cfRule type="expression" dxfId="1770" priority="90">
      <formula>ABS(K$7-K$10)&gt;=1000</formula>
    </cfRule>
  </conditionalFormatting>
  <conditionalFormatting sqref="L4:L11">
    <cfRule type="expression" dxfId="1769" priority="89">
      <formula>ABS(L$7-L$10)&gt;=1000</formula>
    </cfRule>
  </conditionalFormatting>
  <conditionalFormatting sqref="M4 M6:M11">
    <cfRule type="expression" dxfId="1768" priority="88">
      <formula>ABS(M$7-M$10)&gt;=1000</formula>
    </cfRule>
  </conditionalFormatting>
  <conditionalFormatting sqref="N4 N6:N11">
    <cfRule type="expression" dxfId="1767" priority="87">
      <formula>ABS(N$7-N$10)&gt;=1000</formula>
    </cfRule>
  </conditionalFormatting>
  <conditionalFormatting sqref="O4 O6:O11">
    <cfRule type="expression" dxfId="1766" priority="86">
      <formula>ABS(O$7-O$10)&gt;=1000</formula>
    </cfRule>
  </conditionalFormatting>
  <conditionalFormatting sqref="P4 P6:P11">
    <cfRule type="expression" dxfId="1765" priority="85">
      <formula>ABS(P$7-P$10)&gt;=1000</formula>
    </cfRule>
  </conditionalFormatting>
  <conditionalFormatting sqref="Q4:Q11">
    <cfRule type="expression" dxfId="1764" priority="84">
      <formula>ABS(Q$7-Q$10)&gt;=1000</formula>
    </cfRule>
  </conditionalFormatting>
  <conditionalFormatting sqref="R4:R11">
    <cfRule type="expression" dxfId="1763" priority="83">
      <formula>ABS(R$7-R$10)&gt;=1000</formula>
    </cfRule>
  </conditionalFormatting>
  <conditionalFormatting sqref="S4:S11">
    <cfRule type="expression" dxfId="1762" priority="82">
      <formula>ABS(S$7-S$10)&gt;=1000</formula>
    </cfRule>
  </conditionalFormatting>
  <conditionalFormatting sqref="T4:T9 T11">
    <cfRule type="expression" dxfId="1761" priority="81">
      <formula>ABS(T$7-T$10)&gt;=1000</formula>
    </cfRule>
  </conditionalFormatting>
  <conditionalFormatting sqref="U4:U9 U11">
    <cfRule type="expression" dxfId="1760" priority="80">
      <formula>ABS(U$7-U$10)&gt;=1000</formula>
    </cfRule>
  </conditionalFormatting>
  <conditionalFormatting sqref="V4:V9 V11">
    <cfRule type="expression" dxfId="1759" priority="79">
      <formula>ABS(V$7-V$10)&gt;=1000</formula>
    </cfRule>
  </conditionalFormatting>
  <conditionalFormatting sqref="W4:W9 W11">
    <cfRule type="expression" dxfId="1758" priority="78">
      <formula>ABS(W$7-W$10)&gt;=1000</formula>
    </cfRule>
  </conditionalFormatting>
  <conditionalFormatting sqref="X4:X9 X11">
    <cfRule type="expression" dxfId="1757" priority="77">
      <formula>ABS(X$7-X$10)&gt;=1000</formula>
    </cfRule>
  </conditionalFormatting>
  <conditionalFormatting sqref="Y4:Y9 Y11">
    <cfRule type="expression" dxfId="1756" priority="76">
      <formula>ABS(Y$7-Y$10)&gt;=1000</formula>
    </cfRule>
  </conditionalFormatting>
  <conditionalFormatting sqref="Z4:Z11">
    <cfRule type="expression" dxfId="1755" priority="75">
      <formula>ABS(Z$7-Z$10)&gt;=1000</formula>
    </cfRule>
  </conditionalFormatting>
  <conditionalFormatting sqref="AA4:AA11">
    <cfRule type="expression" dxfId="1754" priority="74">
      <formula>ABS(AA$7-AA$10)&gt;=1000</formula>
    </cfRule>
  </conditionalFormatting>
  <conditionalFormatting sqref="AB4:AB11">
    <cfRule type="expression" dxfId="1753" priority="73">
      <formula>ABS(AB$7-AB$10)&gt;=1000</formula>
    </cfRule>
  </conditionalFormatting>
  <conditionalFormatting sqref="AC4 AC6:AC11">
    <cfRule type="expression" dxfId="1752" priority="72">
      <formula>ABS(AC$7-AC$10)&gt;=1000</formula>
    </cfRule>
  </conditionalFormatting>
  <conditionalFormatting sqref="AD4:AD11">
    <cfRule type="expression" dxfId="1751" priority="71">
      <formula>ABS(AD$7-AD$10)&gt;=1000</formula>
    </cfRule>
  </conditionalFormatting>
  <conditionalFormatting sqref="AE4:AE11">
    <cfRule type="expression" dxfId="1750" priority="70">
      <formula>ABS(AE$7-AE$10)&gt;=1000</formula>
    </cfRule>
  </conditionalFormatting>
  <conditionalFormatting sqref="D13:D20">
    <cfRule type="expression" dxfId="1749" priority="69">
      <formula>ABS(D$16-D$19)&gt;=1000</formula>
    </cfRule>
  </conditionalFormatting>
  <conditionalFormatting sqref="E13:E20">
    <cfRule type="expression" dxfId="1748" priority="68">
      <formula>ABS(E$16-E$19)&gt;=1000</formula>
    </cfRule>
  </conditionalFormatting>
  <conditionalFormatting sqref="F13 F15:F20">
    <cfRule type="expression" dxfId="1747" priority="67">
      <formula>ABS(F$16-F$19)&gt;=1000</formula>
    </cfRule>
  </conditionalFormatting>
  <conditionalFormatting sqref="G13:G20">
    <cfRule type="expression" dxfId="1746" priority="66">
      <formula>ABS(G$16-G$19)&gt;=1000</formula>
    </cfRule>
  </conditionalFormatting>
  <conditionalFormatting sqref="H13:H20">
    <cfRule type="expression" dxfId="1745" priority="65">
      <formula>ABS(H$16-H$19)&gt;=1000</formula>
    </cfRule>
  </conditionalFormatting>
  <conditionalFormatting sqref="I13:I20">
    <cfRule type="expression" dxfId="1744" priority="64">
      <formula>ABS(I$16-I$19)&gt;=1000</formula>
    </cfRule>
  </conditionalFormatting>
  <conditionalFormatting sqref="J13:J20">
    <cfRule type="expression" dxfId="1743" priority="63">
      <formula>ABS(J$16-J$19)&gt;=1000</formula>
    </cfRule>
  </conditionalFormatting>
  <conditionalFormatting sqref="L13:L20">
    <cfRule type="expression" dxfId="1742" priority="62">
      <formula>ABS(L$16-L$19)&gt;=1000</formula>
    </cfRule>
  </conditionalFormatting>
  <conditionalFormatting sqref="M13 M15 M17:M18 M20">
    <cfRule type="expression" dxfId="1741" priority="61">
      <formula>ABS(M$16-M$19)&gt;=1000</formula>
    </cfRule>
  </conditionalFormatting>
  <conditionalFormatting sqref="N13:N20">
    <cfRule type="expression" dxfId="1740" priority="60">
      <formula>ABS(N$16-N$19)&gt;=1000</formula>
    </cfRule>
  </conditionalFormatting>
  <conditionalFormatting sqref="O13:O20">
    <cfRule type="expression" dxfId="1739" priority="59">
      <formula>ABS(O$16-O$19)&gt;=1000</formula>
    </cfRule>
  </conditionalFormatting>
  <conditionalFormatting sqref="P13:P20">
    <cfRule type="expression" dxfId="1738" priority="58">
      <formula>ABS(P$16-P$19)&gt;=1000</formula>
    </cfRule>
  </conditionalFormatting>
  <conditionalFormatting sqref="Q13 Q15:Q20">
    <cfRule type="expression" dxfId="1737" priority="57">
      <formula>ABS(Q$16-Q$19)&gt;=1000</formula>
    </cfRule>
  </conditionalFormatting>
  <conditionalFormatting sqref="R13:R20">
    <cfRule type="expression" dxfId="1736" priority="56">
      <formula>ABS(R$16-R$19)&gt;=1000</formula>
    </cfRule>
  </conditionalFormatting>
  <conditionalFormatting sqref="S13:S20">
    <cfRule type="expression" dxfId="1735" priority="55">
      <formula>ABS(S$16-S$19)&gt;=1000</formula>
    </cfRule>
  </conditionalFormatting>
  <conditionalFormatting sqref="T13:T20">
    <cfRule type="expression" dxfId="1734" priority="54">
      <formula>ABS(T$16-T$19)&gt;=1000</formula>
    </cfRule>
  </conditionalFormatting>
  <conditionalFormatting sqref="U13:U20">
    <cfRule type="expression" dxfId="1733" priority="53">
      <formula>ABS(U$16-U$19)&gt;=1000</formula>
    </cfRule>
  </conditionalFormatting>
  <conditionalFormatting sqref="V13:V20">
    <cfRule type="expression" dxfId="1732" priority="52">
      <formula>ABS(V$16-V$19)&gt;=1000</formula>
    </cfRule>
  </conditionalFormatting>
  <conditionalFormatting sqref="W13 W20 W15:W18">
    <cfRule type="expression" dxfId="1731" priority="51">
      <formula>ABS(W$16-W$19)&gt;=1000</formula>
    </cfRule>
  </conditionalFormatting>
  <conditionalFormatting sqref="X13 X15:X20 Y19">
    <cfRule type="expression" dxfId="1730" priority="50">
      <formula>ABS(X$16-X$19)&gt;=1000</formula>
    </cfRule>
  </conditionalFormatting>
  <conditionalFormatting sqref="Y13 Y15:Y18 Y20">
    <cfRule type="expression" dxfId="1729" priority="49">
      <formula>ABS(Y$16-Y$19)&gt;=1000</formula>
    </cfRule>
  </conditionalFormatting>
  <conditionalFormatting sqref="Z13:Z20">
    <cfRule type="expression" dxfId="1728" priority="48">
      <formula>ABS(Z$16-Z$19)&gt;=1000</formula>
    </cfRule>
  </conditionalFormatting>
  <conditionalFormatting sqref="AA13:AA20">
    <cfRule type="expression" dxfId="1727" priority="47">
      <formula>ABS(AA$16-AA$19)&gt;=1000</formula>
    </cfRule>
  </conditionalFormatting>
  <conditionalFormatting sqref="AB13 AB15:AB20">
    <cfRule type="expression" dxfId="1726" priority="46">
      <formula>ABS(AB$16-AB$19)&gt;=1000</formula>
    </cfRule>
  </conditionalFormatting>
  <conditionalFormatting sqref="AC13 AC15:AC20">
    <cfRule type="expression" dxfId="1725" priority="45">
      <formula>ABS(AC$16-AC$19)&gt;=1000</formula>
    </cfRule>
  </conditionalFormatting>
  <conditionalFormatting sqref="AD13:AD20">
    <cfRule type="expression" dxfId="1724" priority="44">
      <formula>ABS(AD$16-AD$19)&gt;=1000</formula>
    </cfRule>
  </conditionalFormatting>
  <conditionalFormatting sqref="AE13:AE20">
    <cfRule type="expression" dxfId="1723" priority="43">
      <formula>ABS(AE$16-AE$19)&gt;=1000</formula>
    </cfRule>
  </conditionalFormatting>
  <conditionalFormatting sqref="D22:D29">
    <cfRule type="expression" dxfId="1722" priority="42">
      <formula>ABS(D$25-D$28)&gt;=1000</formula>
    </cfRule>
  </conditionalFormatting>
  <conditionalFormatting sqref="E22:E29">
    <cfRule type="expression" dxfId="1721" priority="41">
      <formula>ABS(E$25-E$28)&gt;=1000</formula>
    </cfRule>
  </conditionalFormatting>
  <conditionalFormatting sqref="F22:F29">
    <cfRule type="expression" dxfId="1720" priority="40">
      <formula>ABS(F$25-F$28)&gt;=1000</formula>
    </cfRule>
  </conditionalFormatting>
  <conditionalFormatting sqref="G22:G29">
    <cfRule type="expression" dxfId="1719" priority="39">
      <formula>ABS(G$25-G$28)&gt;=1000</formula>
    </cfRule>
  </conditionalFormatting>
  <conditionalFormatting sqref="H22:H29">
    <cfRule type="expression" dxfId="1718" priority="38">
      <formula>ABS(H$25-H$28)&gt;=1000</formula>
    </cfRule>
  </conditionalFormatting>
  <conditionalFormatting sqref="I22 I24:I29">
    <cfRule type="expression" dxfId="1717" priority="37">
      <formula>ABS(I$25-I$28)&gt;=1000</formula>
    </cfRule>
  </conditionalFormatting>
  <conditionalFormatting sqref="J22:J29 K22">
    <cfRule type="expression" dxfId="1716" priority="36">
      <formula>ABS(J$25-J$28)&gt;=1000</formula>
    </cfRule>
  </conditionalFormatting>
  <conditionalFormatting sqref="K23:K29 L25 L28">
    <cfRule type="expression" dxfId="1715" priority="35">
      <formula>ABS(K$25-K$28)&gt;=1000</formula>
    </cfRule>
  </conditionalFormatting>
  <conditionalFormatting sqref="L22 L26:L27 L29 L24">
    <cfRule type="expression" dxfId="1714" priority="34">
      <formula>ABS(L$25-L$28)&gt;=1000</formula>
    </cfRule>
  </conditionalFormatting>
  <conditionalFormatting sqref="M22:M29">
    <cfRule type="expression" dxfId="1713" priority="33">
      <formula>ABS(M$25-M$28)&gt;=1000</formula>
    </cfRule>
  </conditionalFormatting>
  <conditionalFormatting sqref="N22:N29">
    <cfRule type="expression" dxfId="1712" priority="32">
      <formula>ABS(N$25-N$28)&gt;=1000</formula>
    </cfRule>
  </conditionalFormatting>
  <conditionalFormatting sqref="O22:O29">
    <cfRule type="expression" dxfId="1711" priority="31">
      <formula>ABS(O$25-O$28)&gt;=1000</formula>
    </cfRule>
  </conditionalFormatting>
  <conditionalFormatting sqref="P22:P29">
    <cfRule type="expression" dxfId="1710" priority="30">
      <formula>ABS(P$25-P$28)&gt;=1000</formula>
    </cfRule>
  </conditionalFormatting>
  <conditionalFormatting sqref="Q22:Q29">
    <cfRule type="expression" dxfId="1709" priority="29">
      <formula>ABS(Q$25-Q$28)&gt;=1000</formula>
    </cfRule>
  </conditionalFormatting>
  <conditionalFormatting sqref="R22:R29">
    <cfRule type="expression" dxfId="1708" priority="28">
      <formula>ABS(R$25-R$28)&gt;=1000</formula>
    </cfRule>
  </conditionalFormatting>
  <conditionalFormatting sqref="S22:S29">
    <cfRule type="expression" dxfId="1707" priority="27">
      <formula>ABS(S$25-S$28)&gt;=1000</formula>
    </cfRule>
  </conditionalFormatting>
  <conditionalFormatting sqref="T22:T29">
    <cfRule type="expression" dxfId="1706" priority="26">
      <formula>ABS(T$25-T$28)&gt;=1000</formula>
    </cfRule>
  </conditionalFormatting>
  <conditionalFormatting sqref="U22:U29">
    <cfRule type="expression" dxfId="1705" priority="25">
      <formula>ABS(U$25-U$28)&gt;=1000</formula>
    </cfRule>
  </conditionalFormatting>
  <conditionalFormatting sqref="V22:V29">
    <cfRule type="expression" dxfId="1704" priority="24">
      <formula>ABS(V$25-V$28)&gt;=1000</formula>
    </cfRule>
  </conditionalFormatting>
  <conditionalFormatting sqref="W22:W29">
    <cfRule type="expression" dxfId="1703" priority="23">
      <formula>ABS(W$25-W$28)&gt;=1000</formula>
    </cfRule>
  </conditionalFormatting>
  <conditionalFormatting sqref="X22:X29">
    <cfRule type="expression" dxfId="1702" priority="22">
      <formula>ABS(X$25-X$28)&gt;=1000</formula>
    </cfRule>
  </conditionalFormatting>
  <conditionalFormatting sqref="Y22:Y29">
    <cfRule type="expression" dxfId="1701" priority="21">
      <formula>ABS(Y$25-Y$28)&gt;=1000</formula>
    </cfRule>
  </conditionalFormatting>
  <conditionalFormatting sqref="I23">
    <cfRule type="expression" dxfId="1700" priority="20">
      <formula>ABS(I$25-I$28)&gt;=1000</formula>
    </cfRule>
  </conditionalFormatting>
  <conditionalFormatting sqref="F14">
    <cfRule type="expression" dxfId="1699" priority="19">
      <formula>ABS(F$16-F$19)&gt;=1000</formula>
    </cfRule>
  </conditionalFormatting>
  <conditionalFormatting sqref="Q14">
    <cfRule type="expression" dxfId="1698" priority="18">
      <formula>ABS(Q$16-Q$19)&gt;=1000</formula>
    </cfRule>
  </conditionalFormatting>
  <conditionalFormatting sqref="W14">
    <cfRule type="expression" dxfId="1697" priority="17">
      <formula>ABS(W$16-W$19)&gt;=1000</formula>
    </cfRule>
  </conditionalFormatting>
  <conditionalFormatting sqref="Y14">
    <cfRule type="expression" dxfId="1696" priority="16">
      <formula>ABS(Y$16-Y$19)&gt;=1000</formula>
    </cfRule>
  </conditionalFormatting>
  <conditionalFormatting sqref="X14">
    <cfRule type="expression" dxfId="1695" priority="15">
      <formula>ABS(X$16-X$19)&gt;=1000</formula>
    </cfRule>
  </conditionalFormatting>
  <conditionalFormatting sqref="T10:Y10">
    <cfRule type="expression" dxfId="1694" priority="14">
      <formula>ABS(T$7-T$10)&gt;=1000</formula>
    </cfRule>
  </conditionalFormatting>
  <conditionalFormatting sqref="W19">
    <cfRule type="expression" dxfId="1693" priority="13">
      <formula>ABS(W$16-W$19)&gt;=1000</formula>
    </cfRule>
  </conditionalFormatting>
  <conditionalFormatting sqref="AC5">
    <cfRule type="expression" dxfId="1692" priority="12">
      <formula>ABS(AC$7-AC$10)&gt;=1000</formula>
    </cfRule>
  </conditionalFormatting>
  <conditionalFormatting sqref="M14">
    <cfRule type="expression" dxfId="1691" priority="11">
      <formula>ABS(M$16-M$19)&gt;=1000</formula>
    </cfRule>
  </conditionalFormatting>
  <conditionalFormatting sqref="M16">
    <cfRule type="expression" dxfId="1690" priority="10">
      <formula>ABS(M$16-M$19)&gt;=1000</formula>
    </cfRule>
  </conditionalFormatting>
  <conditionalFormatting sqref="M19">
    <cfRule type="expression" dxfId="1689" priority="9">
      <formula>ABS(M$16-M$19)&gt;=1000</formula>
    </cfRule>
  </conditionalFormatting>
  <conditionalFormatting sqref="K13:K20">
    <cfRule type="expression" dxfId="1688" priority="8">
      <formula>ABS(K$16-K$19)&gt;=1000</formula>
    </cfRule>
  </conditionalFormatting>
  <conditionalFormatting sqref="E5">
    <cfRule type="expression" dxfId="1687" priority="7">
      <formula>ABS(E$7-E$10)&gt;=1000</formula>
    </cfRule>
  </conditionalFormatting>
  <conditionalFormatting sqref="AB14:AC14">
    <cfRule type="expression" dxfId="1686" priority="6">
      <formula>ABS(AB$16-AB$19)&gt;=1000</formula>
    </cfRule>
  </conditionalFormatting>
  <conditionalFormatting sqref="M5">
    <cfRule type="expression" dxfId="1685" priority="5">
      <formula>ABS(M$7-M$10)&gt;=1000</formula>
    </cfRule>
  </conditionalFormatting>
  <conditionalFormatting sqref="N5">
    <cfRule type="expression" dxfId="1684" priority="4">
      <formula>ABS(N$7-N$10)&gt;=1000</formula>
    </cfRule>
  </conditionalFormatting>
  <conditionalFormatting sqref="O5">
    <cfRule type="expression" dxfId="1683" priority="3">
      <formula>ABS(O$7-O$10)&gt;=1000</formula>
    </cfRule>
  </conditionalFormatting>
  <conditionalFormatting sqref="P5">
    <cfRule type="expression" dxfId="1682" priority="2">
      <formula>ABS(P$7-P$10)&gt;=1000</formula>
    </cfRule>
  </conditionalFormatting>
  <conditionalFormatting sqref="L23">
    <cfRule type="expression" dxfId="1681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5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7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45820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5" t="s" ph="1">
        <v>178</v>
      </c>
      <c r="D6" s="71">
        <v>4956</v>
      </c>
      <c r="E6" s="71">
        <v>4713</v>
      </c>
      <c r="F6" s="71">
        <v>7138</v>
      </c>
      <c r="G6" s="71">
        <v>7626</v>
      </c>
      <c r="H6" s="71">
        <v>2295</v>
      </c>
      <c r="I6" s="71">
        <v>63.31</v>
      </c>
      <c r="J6" s="71">
        <v>7.71</v>
      </c>
      <c r="K6" s="71">
        <v>7.63</v>
      </c>
      <c r="L6" s="71">
        <v>40.520000000000003</v>
      </c>
      <c r="M6" s="71">
        <v>5320</v>
      </c>
      <c r="N6" s="71">
        <v>3844</v>
      </c>
      <c r="O6" s="71">
        <v>46</v>
      </c>
      <c r="P6" s="71">
        <v>5685</v>
      </c>
      <c r="Q6" s="71">
        <v>6586</v>
      </c>
      <c r="R6" s="71">
        <v>4993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2480</v>
      </c>
      <c r="Y6" s="71">
        <v>5091</v>
      </c>
      <c r="Z6" s="71">
        <v>2453</v>
      </c>
      <c r="AA6" s="71">
        <v>556</v>
      </c>
      <c r="AB6" s="71">
        <v>4250</v>
      </c>
      <c r="AC6" s="71">
        <v>4149</v>
      </c>
      <c r="AD6" s="71">
        <v>4410</v>
      </c>
      <c r="AE6" s="71">
        <v>3290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155135.28609683999</v>
      </c>
      <c r="E7" s="73" ph="1">
        <f>E6*51.53*LOOKUP(E8,密度!$A$2:$A$50,密度!$B$2:$B$50)</f>
        <v>188508.622818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305101.58600800001</v>
      </c>
      <c r="H7" s="73" ph="1">
        <f>(H6)*51.53*LOOKUP(H8,密度!$A$2:$A$50,密度!$B$2:$B$50)</f>
        <v>92302.983674999996</v>
      </c>
      <c r="I7" s="73" ph="1">
        <f>I6*290.8*1.0267</f>
        <v>18902.1096316</v>
      </c>
      <c r="J7" s="73" ph="1">
        <f>J6*290.8*0.7892</f>
        <v>1769.4400656000003</v>
      </c>
      <c r="K7" s="73" ph="1">
        <f>K6*290.8*1.1126</f>
        <v>2468.6413304000002</v>
      </c>
      <c r="L7" s="73" ph="1">
        <f>L6*290.8*0.777</f>
        <v>9155.5588320000024</v>
      </c>
      <c r="M7" s="73" ph="1">
        <f>M6*33.183*LOOKUP(M8,密度!$A$2:$A$50,密度!$D$2:$D$50)</f>
        <v>180576.17852399999</v>
      </c>
      <c r="N7" s="73" ph="1">
        <f>N6*33.183*LOOKUP(N8,密度!$A$2:$A$50,密度!$E$2:$E$50)</f>
        <v>99187.119475200001</v>
      </c>
      <c r="O7" s="73" ph="1">
        <f>O6*20.428*LOOKUP(O8,密度!$A$2:$A$50,密度!$C$2:$C$50)</f>
        <v>1037.5095208</v>
      </c>
      <c r="P7" s="73" ph="1">
        <f>P6*51.53*LOOKUP(P8,密度!$A$2:$A$50,密度!$B$2:$B$50)</f>
        <v>227386.27640999999</v>
      </c>
      <c r="Q7" s="73" ph="1">
        <f>Q6*1.5*1.5*3.1416*LOOKUP(W8,密度!$A$2:$A$50,密度!$L$2:$L$50)</f>
        <v>43434.6950268</v>
      </c>
      <c r="R7" s="73" ph="1">
        <f>R6*1.5*1.5*3.1416*LOOKUP(R8,密度!$A$2:$A$50,密度!$L$2:$L$50)</f>
        <v>32787.679894200002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16443.260063999998</v>
      </c>
      <c r="Y7" s="73" ph="1">
        <f>Y6*1.5*1.5*3.1416*LOOKUP(Y8,密度!$A$2:$A$50,密度!$L$2:$L$50)</f>
        <v>33611.1505884</v>
      </c>
      <c r="Z7" s="73" ph="1">
        <f>Z6*33.183*LOOKUP(Z8,密度!$A$2:$A$50,密度!$L$2:$L$50)</f>
        <v>75944.239767000006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89302.023399999991</v>
      </c>
      <c r="AC7" s="73" ph="1">
        <f>AC6*51.53*LOOKUP(AC8,密度!$A$2:$A$50,密度!$Q$2:$Q$50)</f>
        <v>201957.8384214</v>
      </c>
      <c r="AD7" s="73" ph="1">
        <f>AD6*20.428*LOOKUP(AD8,密度!$A$2:$A$50,密度!$V$2:$V$50)</f>
        <v>86267.770848000015</v>
      </c>
      <c r="AE7" s="73" ph="1">
        <f>AE6*20.428</f>
        <v>67208.12000000001</v>
      </c>
    </row>
    <row r="8" spans="1:99" ph="1">
      <c r="B8" s="256" ph="1"/>
      <c r="C8" s="68" t="s" ph="1">
        <v>180</v>
      </c>
      <c r="D8" s="74">
        <v>30</v>
      </c>
      <c r="E8" s="74">
        <v>29</v>
      </c>
      <c r="F8" s="74">
        <v>27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31</v>
      </c>
      <c r="P8" s="74">
        <v>29</v>
      </c>
      <c r="Q8" s="74">
        <v>29</v>
      </c>
      <c r="R8" s="74">
        <v>33</v>
      </c>
      <c r="S8" s="74">
        <v>24</v>
      </c>
      <c r="T8" s="74">
        <v>25</v>
      </c>
      <c r="U8" s="74">
        <v>28</v>
      </c>
      <c r="V8" s="74">
        <v>29</v>
      </c>
      <c r="W8" s="74">
        <v>29</v>
      </c>
      <c r="X8" s="74">
        <v>24</v>
      </c>
      <c r="Y8" s="74">
        <v>28</v>
      </c>
      <c r="Z8" s="74">
        <v>29</v>
      </c>
      <c r="AA8" s="74">
        <v>28</v>
      </c>
      <c r="AB8" s="74">
        <v>23</v>
      </c>
      <c r="AC8" s="74">
        <v>28</v>
      </c>
      <c r="AD8" s="74">
        <v>27</v>
      </c>
      <c r="AE8" s="74">
        <v>34</v>
      </c>
    </row>
    <row r="9" spans="1:99" ht="26.4" ph="1">
      <c r="B9" s="256" ph="1">
        <v>0.66666666666666663</v>
      </c>
      <c r="C9" s="165" t="s" ph="1">
        <v>181</v>
      </c>
      <c r="D9" s="71">
        <v>5132</v>
      </c>
      <c r="E9" s="71">
        <v>4714</v>
      </c>
      <c r="F9" s="71">
        <v>7141</v>
      </c>
      <c r="G9" s="71">
        <v>7318</v>
      </c>
      <c r="H9" s="71">
        <v>2297</v>
      </c>
      <c r="I9" s="71">
        <v>63.31</v>
      </c>
      <c r="J9" s="71">
        <v>7.81</v>
      </c>
      <c r="K9" s="71">
        <v>7.71</v>
      </c>
      <c r="L9" s="71">
        <v>8.7100000000000009</v>
      </c>
      <c r="M9" s="71">
        <v>5321</v>
      </c>
      <c r="N9" s="71">
        <v>3846</v>
      </c>
      <c r="O9" s="71">
        <v>45</v>
      </c>
      <c r="P9" s="71">
        <v>5660</v>
      </c>
      <c r="Q9" s="71">
        <v>6592</v>
      </c>
      <c r="R9" s="71">
        <v>7009</v>
      </c>
      <c r="S9" s="71">
        <v>2611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2763</v>
      </c>
      <c r="Z9" s="71">
        <v>3488</v>
      </c>
      <c r="AA9" s="71">
        <v>558</v>
      </c>
      <c r="AB9" s="71">
        <v>4125</v>
      </c>
      <c r="AC9" s="71">
        <v>4151</v>
      </c>
      <c r="AD9" s="71">
        <v>4417</v>
      </c>
      <c r="AE9" s="71">
        <v>3350</v>
      </c>
    </row>
    <row r="10" spans="1:99" s="72" customFormat="1" ht="22.2" ph="1">
      <c r="B10" s="256" ph="1"/>
      <c r="C10" s="165" t="s" ph="1">
        <v>179</v>
      </c>
      <c r="D10" s="73" ph="1">
        <f>D9*33.183*LOOKUP(D11,密度!$A$2:$A$50,密度!$Q$2:$Q$50)</f>
        <v>160516.80814247997</v>
      </c>
      <c r="E10" s="73" ph="1">
        <f>E9*51.53*LOOKUP(E11,密度!$A$2:$A$50,密度!$B$2:$B$50)</f>
        <v>187892.75687000001</v>
      </c>
      <c r="F10" s="73" ph="1">
        <f>F9*33.183*LOOKUP(F11,密度!$A$2:$A$50,密度!$C$2:$C$50)</f>
        <v>262053.84613770002</v>
      </c>
      <c r="G10" s="73" ph="1">
        <f xml:space="preserve"> (G9+2)*51.53*LOOKUP(G11,密度!$A$2:$A$50,密度!$B$2:$B$50)</f>
        <v>292103.37024000002</v>
      </c>
      <c r="H10" s="73" ph="1">
        <f>(H9)*51.53*LOOKUP(H11,密度!$A$2:$A$50,密度!$B$2:$B$50)</f>
        <v>91969.146570000012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2494.5248568000002</v>
      </c>
      <c r="L10" s="73" ph="1">
        <f>L9*290.8*0.777</f>
        <v>1968.0384360000003</v>
      </c>
      <c r="M10" s="73" ph="1">
        <f>M9*33.183*LOOKUP(M11,密度!$A$2:$A$50,密度!$D$2:$D$50)</f>
        <v>179992.13781419999</v>
      </c>
      <c r="N10" s="73" ph="1">
        <f>N9*33.183*LOOKUP(N11,密度!$A$2:$A$50,密度!$E$2:$E$50)</f>
        <v>99091.960586100002</v>
      </c>
      <c r="O10" s="73" ph="1">
        <f>O9*20.428*LOOKUP(O11,密度!$A$2:$A$50,密度!$C$2:$C$50)</f>
        <v>1011.0940740000001</v>
      </c>
      <c r="P10" s="73" ph="1">
        <f>P9*51.53*LOOKUP(P11,密度!$A$2:$A$50,密度!$B$2:$B$50)</f>
        <v>225598.85529999997</v>
      </c>
      <c r="Q10" s="73" ph="1">
        <f>Q9*1.5*1.5*3.1416*LOOKUP(W11,密度!$A$2:$A$50,密度!$L$2:$L$50)</f>
        <v>43381.072627200003</v>
      </c>
      <c r="R10" s="73" ph="1">
        <f>R9*1.5*1.5*3.1416*LOOKUP(R11,密度!$A$2:$A$50,密度!$L$2:$L$50)</f>
        <v>45976.662547200001</v>
      </c>
      <c r="S10" s="73" ph="1">
        <f>S9*1.5*1.5*3.1416*LOOKUP(S11,密度!$A$2:$A$50,密度!$L$2:$L$50)</f>
        <v>17293.3793802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18202.464957600001</v>
      </c>
      <c r="Z10" s="73" ph="1">
        <f>Z9*33.183*LOOKUP(Z11,密度!$A$2:$A$50,密度!$L$2:$L$50)</f>
        <v>107756.08502400001</v>
      </c>
      <c r="AA10" s="73" ph="1">
        <f>AA9*33.183*LOOKUP(AA11,密度!$A$2:$A$50,密度!$D$2:$D$50)</f>
        <v>18825.3331038</v>
      </c>
      <c r="AB10" s="73" ph="1">
        <f>AB9*20.428*LOOKUP(AB11,密度!$A$2:$A$50,密度!$D$2:$D$50)</f>
        <v>86515.388849999988</v>
      </c>
      <c r="AC10" s="73" ph="1">
        <f>AC9*51.53*LOOKUP(AC11,密度!$A$2:$A$50,密度!$Q$2:$Q$50)</f>
        <v>201473.38015699998</v>
      </c>
      <c r="AD10" s="73" ph="1">
        <f>AD9*20.428*LOOKUP(AD11,密度!$A$2:$A$50,密度!$V$2:$V$50)</f>
        <v>86404.703817600006</v>
      </c>
      <c r="AE10" s="73" ph="1">
        <f>AE9*20.428</f>
        <v>68433.8</v>
      </c>
    </row>
    <row r="11" spans="1:99" ph="1">
      <c r="A11" s="64" t="s" ph="1">
        <v>163</v>
      </c>
      <c r="B11" s="256" ph="1"/>
      <c r="C11" s="165" t="s" ph="1">
        <v>180</v>
      </c>
      <c r="D11" s="74">
        <v>31</v>
      </c>
      <c r="E11" s="74">
        <v>32</v>
      </c>
      <c r="F11" s="74">
        <v>29</v>
      </c>
      <c r="G11" s="74">
        <v>31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35</v>
      </c>
      <c r="P11" s="74">
        <v>32</v>
      </c>
      <c r="Q11" s="74">
        <v>30</v>
      </c>
      <c r="R11" s="74">
        <v>34</v>
      </c>
      <c r="S11" s="74">
        <v>25</v>
      </c>
      <c r="T11" s="74">
        <v>31</v>
      </c>
      <c r="U11" s="74">
        <v>31</v>
      </c>
      <c r="V11" s="74">
        <v>28</v>
      </c>
      <c r="W11" s="74">
        <v>31</v>
      </c>
      <c r="X11" s="74">
        <v>28</v>
      </c>
      <c r="Y11" s="74">
        <v>30</v>
      </c>
      <c r="Z11" s="74">
        <v>31</v>
      </c>
      <c r="AA11" s="74">
        <v>36</v>
      </c>
      <c r="AB11" s="74">
        <v>25</v>
      </c>
      <c r="AC11" s="74">
        <v>32</v>
      </c>
      <c r="AD11" s="74">
        <v>30</v>
      </c>
      <c r="AE11" s="74">
        <v>37</v>
      </c>
    </row>
    <row r="12" spans="1:99" ht="9.9" customHeight="1" ph="1"/>
    <row r="13" spans="1:99" s="72" customFormat="1" ht="29.25" customHeight="1" ph="1">
      <c r="B13" s="233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5" t="s" ph="1">
        <v>178</v>
      </c>
      <c r="D15" s="78">
        <v>3244</v>
      </c>
      <c r="E15" s="78">
        <v>4724</v>
      </c>
      <c r="F15" s="78">
        <v>2458</v>
      </c>
      <c r="G15" s="78">
        <v>2805</v>
      </c>
      <c r="H15" s="78">
        <v>3733</v>
      </c>
      <c r="I15" s="78">
        <v>117</v>
      </c>
      <c r="J15" s="78">
        <v>1659</v>
      </c>
      <c r="K15" s="78">
        <v>1787</v>
      </c>
      <c r="L15" s="78">
        <v>5661</v>
      </c>
      <c r="M15" s="78">
        <v>6636</v>
      </c>
      <c r="N15" s="78">
        <v>998</v>
      </c>
      <c r="O15" s="78">
        <v>6097</v>
      </c>
      <c r="P15" s="78">
        <v>7175</v>
      </c>
      <c r="Q15" s="78">
        <v>0</v>
      </c>
      <c r="R15" s="78">
        <v>3517</v>
      </c>
      <c r="S15" s="78">
        <v>6935</v>
      </c>
      <c r="T15" s="78">
        <v>4402</v>
      </c>
      <c r="U15" s="78">
        <v>2364</v>
      </c>
      <c r="V15" s="78">
        <v>596</v>
      </c>
      <c r="W15" s="71">
        <v>-792</v>
      </c>
      <c r="X15" s="78">
        <v>26</v>
      </c>
      <c r="Y15" s="106">
        <v>-9909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5.77</v>
      </c>
      <c r="AE15" s="78">
        <v>76.709999999999994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5" t="s" ph="1">
        <v>179</v>
      </c>
      <c r="D16" s="73" ph="1">
        <f>D15*7.0686*LOOKUP(D17,密度!$A$2:$A$50,密度!$L$2:$L$50)</f>
        <v>21394.192327200002</v>
      </c>
      <c r="E16" s="73" ph="1">
        <f>E15*7.0686*LOOKUP(E17,密度!$A$2:$A$50,密度!$L$2:$L$50)</f>
        <v>31121.405884800006</v>
      </c>
      <c r="F16" s="73" ph="1">
        <f>F15*9.0746*LOOKUP(F17,密度!$A$2:$A$50,密度!$L$2:$L$50)</f>
        <v>20632.46429</v>
      </c>
      <c r="G16" s="73" ph="1">
        <f>G15*9.0746*LOOKUP(G17,密度!$A$2:$A$50,密度!$B$2:$B$50)</f>
        <v>19757.5911786</v>
      </c>
      <c r="H16" s="73" ph="1">
        <f>H15*9.0746*LOOKUP(H17,密度!$A$2:$A$50,密度!$L$2:$L$50)</f>
        <v>31639.700001200003</v>
      </c>
      <c r="I16" s="73" ph="1">
        <f>I15*9.0746*LOOKUP(I17,密度!$A$2:$A$50,密度!$U$2:$U$50)</f>
        <v>1084.0244921999999</v>
      </c>
      <c r="J16" s="73" ph="1">
        <f>J15*9.0746*LOOKUP(J17,密度!$A$2:$A$50,密度!$L$2:$L$50)</f>
        <v>14031.037624800001</v>
      </c>
      <c r="K16" s="73" ph="1">
        <f>K15*9.0746*LOOKUP(K17,密度!$A$2:$A$50,密度!$C$2:$C$50)</f>
        <v>17920.64440202</v>
      </c>
      <c r="L16" s="73" ph="1">
        <f>L15*9.0746*LOOKUP(L17,密度!$A$2:$A$50,密度!$E$2:$E$50)</f>
        <v>39946.331122560005</v>
      </c>
      <c r="M16" s="73" ph="1">
        <f>M15*9.0746*LOOKUP(M17,密度!$A$2:$A$50,密度!$M$2:$M$50)</f>
        <v>52196.06215471201</v>
      </c>
      <c r="N16" s="73" ph="1">
        <f>N15*9.0746*LOOKUP(N17,密度!$A$2:$A$50,密度!$M$2:$M$50)</f>
        <v>7916.2436442799999</v>
      </c>
      <c r="O16" s="73" ph="1">
        <f>O15*9.0746*LOOKUP(O17,密度!$A$2:$A$50,密度!$G$2:$G$50)</f>
        <v>52821.485220139999</v>
      </c>
      <c r="P16" s="73" ph="1">
        <f ca="1">P15*9.0746*LOOKUP(P17,密度!$A$2:$A$51,密度!$Q$2:$Q$50)</f>
        <v>61420.456849150003</v>
      </c>
      <c r="Q16" s="73" ph="1">
        <f>Q15*9.0746*LOOKUP(Q17,密度!$A$2:$A$50,密度!$Q$2:$Q$50)</f>
        <v>0</v>
      </c>
      <c r="R16" s="73" ph="1">
        <f>MAX(R15*9.0746*LOOKUP(R17,密度!$A$2:$A$50,密度!$B$2:$B$50),0)</f>
        <v>24743.98496546</v>
      </c>
      <c r="S16" s="73" ph="1">
        <f>S15*9.0746*LOOKUP(S17,密度!$A$2:$A$50,密度!$Q$2:$Q$50)</f>
        <v>59318.775405580003</v>
      </c>
      <c r="T16" s="73" ph="1">
        <f>T15*9.0746*LOOKUP(T17,密度!$A$2:$A$50,密度!$O$2:$O$50)</f>
        <v>36990.356399199998</v>
      </c>
      <c r="U16" s="73" ph="1">
        <f>U15*9.0746*LOOKUP(U17,密度!$A$2:$A$50,密度!$H$2:$H$50)</f>
        <v>19521.642503999999</v>
      </c>
      <c r="V16" s="73" ph="1">
        <f>MAX(5600*LOOKUP(V17,密度!$A$2:$A$50,密度!$Q$2:$Q$50)+V15*9.0476*LOOKUP(V17,密度!$A$2:$A$50,密度!$Q$2:$Q$50),0)</f>
        <v>10339.312922064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6055.2260575200007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20039.7295672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2429.4546945599996</v>
      </c>
      <c r="AE16" s="73" ph="1">
        <f>AE15*268.68*LOOKUP(AE17,密度!$A$2:$A$50,密度!B2:B50)+IF(AE15&lt;=0,0,1566*LOOKUP(AE17,密度!$A$2:$A$50,密度!B2:B50))</f>
        <v>17288.754806879995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30</v>
      </c>
      <c r="F17" s="74">
        <v>37</v>
      </c>
      <c r="G17" s="74">
        <v>29</v>
      </c>
      <c r="H17" s="74">
        <v>28</v>
      </c>
      <c r="I17" s="74">
        <v>29</v>
      </c>
      <c r="J17" s="74">
        <v>30</v>
      </c>
      <c r="K17" s="74">
        <v>30</v>
      </c>
      <c r="L17" s="74">
        <v>30</v>
      </c>
      <c r="M17" s="74">
        <v>33</v>
      </c>
      <c r="N17" s="74">
        <v>26</v>
      </c>
      <c r="O17" s="74">
        <v>30</v>
      </c>
      <c r="P17" s="74">
        <v>30</v>
      </c>
      <c r="Q17" s="74">
        <v>28</v>
      </c>
      <c r="R17" s="74">
        <v>30</v>
      </c>
      <c r="S17" s="74">
        <v>31</v>
      </c>
      <c r="T17" s="74">
        <v>28</v>
      </c>
      <c r="U17" s="74">
        <v>30</v>
      </c>
      <c r="V17" s="74">
        <v>34</v>
      </c>
      <c r="W17" s="74">
        <v>30</v>
      </c>
      <c r="X17" s="74">
        <v>29</v>
      </c>
      <c r="Y17" s="108">
        <v>29</v>
      </c>
      <c r="Z17" s="74">
        <v>29</v>
      </c>
      <c r="AA17" s="74">
        <v>27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3248</v>
      </c>
      <c r="E18" s="71">
        <v>4730</v>
      </c>
      <c r="F18" s="71">
        <v>2456</v>
      </c>
      <c r="G18" s="71">
        <v>2846</v>
      </c>
      <c r="H18" s="71">
        <v>3735</v>
      </c>
      <c r="I18" s="71">
        <v>117</v>
      </c>
      <c r="J18" s="71">
        <v>1661</v>
      </c>
      <c r="K18" s="71">
        <v>1787</v>
      </c>
      <c r="L18" s="71">
        <v>5672</v>
      </c>
      <c r="M18" s="71">
        <v>4180</v>
      </c>
      <c r="N18" s="71">
        <v>1567</v>
      </c>
      <c r="O18" s="71">
        <v>6104</v>
      </c>
      <c r="P18" s="71">
        <v>7182</v>
      </c>
      <c r="Q18" s="71">
        <v>0</v>
      </c>
      <c r="R18" s="71">
        <v>3522</v>
      </c>
      <c r="S18" s="71">
        <v>6942</v>
      </c>
      <c r="T18" s="71">
        <v>3449</v>
      </c>
      <c r="U18" s="71">
        <v>2365</v>
      </c>
      <c r="V18" s="71">
        <v>595</v>
      </c>
      <c r="W18" s="71">
        <v>-792</v>
      </c>
      <c r="X18" s="71">
        <v>26</v>
      </c>
      <c r="Y18" s="109">
        <v>-9907</v>
      </c>
      <c r="Z18" s="71">
        <v>0</v>
      </c>
      <c r="AA18" s="71">
        <v>0</v>
      </c>
      <c r="AB18" s="71">
        <v>2375</v>
      </c>
      <c r="AC18" s="71">
        <v>0</v>
      </c>
      <c r="AD18" s="71">
        <v>11.81</v>
      </c>
      <c r="AE18" s="71">
        <v>84.41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5" t="s" ph="1">
        <v>179</v>
      </c>
      <c r="D19" s="73" ph="1">
        <f>D18*7.0686*LOOKUP(D20,密度!$A$2:$A$50,密度!$L$2:$L$50)</f>
        <v>21351.695904</v>
      </c>
      <c r="E19" s="73" ph="1">
        <f>E18*7.0686*LOOKUP(E20,密度!$A$2:$A$50,密度!$L$2:$L$50)</f>
        <v>31060.630062000004</v>
      </c>
      <c r="F19" s="73" ph="1">
        <f>F18*9.0746*LOOKUP(F20,密度!$A$2:$A$50,密度!$L$2:$L$50)</f>
        <v>20637.963497600002</v>
      </c>
      <c r="G19" s="73" ph="1">
        <f>G18*9.0746*LOOKUP(G20,密度!$A$2:$A$50,密度!$B$2:$B$50)</f>
        <v>20023.13938348</v>
      </c>
      <c r="H19" s="73" ph="1">
        <f>H18*9.0746*LOOKUP(H20,密度!$A$2:$A$50,密度!$L$2:$L$50)</f>
        <v>31554.970461000004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14002.733947400002</v>
      </c>
      <c r="K19" s="73" ph="1">
        <f>K18*9.0746*LOOKUP(K20,密度!$A$2:$A$50,密度!$C$2:$C$50)</f>
        <v>17886.590150600001</v>
      </c>
      <c r="L19" s="73" ph="1">
        <f>L18*9.0746*LOOKUP(L20,密度!$A$2:$A$50,密度!$E$2:$E$50)</f>
        <v>39906.597441984006</v>
      </c>
      <c r="M19" s="73" ph="1">
        <f>M18*9.0746*LOOKUP(M20,密度!$A$2:$A$50,密度!$M$2:$M$50)</f>
        <v>32798.513716760004</v>
      </c>
      <c r="N19" s="73" ph="1">
        <f>N18*9.0746*LOOKUP(N20,密度!$A$2:$A$50,密度!$M$2:$M$50)</f>
        <v>12369.88944418</v>
      </c>
      <c r="O19" s="73" ph="1">
        <f>O18*9.0746*LOOKUP(O20,密度!$A$2:$A$50,密度!$G$2:$G$50)</f>
        <v>52708.754912688004</v>
      </c>
      <c r="P19" s="73" ph="1">
        <f ca="1">P18*9.0746*LOOKUP(P20,密度!$A$2:$A$51,密度!$Q$2:$Q$50)</f>
        <v>61387.180744680001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24721.633318199998</v>
      </c>
      <c r="S19" s="73" ph="1">
        <f>S18*9.0746*LOOKUP(S20,密度!$A$2:$A$50,密度!$Q$2:$Q$50)</f>
        <v>59378.650160855999</v>
      </c>
      <c r="T19" s="73" ph="1">
        <f>T18*9.0746*LOOKUP(T20,密度!$A$2:$A$50,密度!$O$2:$O$50)</f>
        <v>28882.066995119996</v>
      </c>
      <c r="U19" s="73" ph="1">
        <f>U18*9.0746*LOOKUP(U20,密度!$A$2:$A$50,密度!$H$2:$H$50)</f>
        <v>19509.512032450002</v>
      </c>
      <c r="V19" s="73" ph="1">
        <f>MAX(5600*LOOKUP(V20,密度!$A$2:$A$50,密度!$Q$2:$Q$50)+V18*9.0476*LOOKUP(V20,密度!$A$2:$A$50,密度!$Q$2:$Q$50),0)</f>
        <v>10316.634354599999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6029.4926597040003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20043.52275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3682.2890916000006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33</v>
      </c>
      <c r="F20" s="81">
        <v>36</v>
      </c>
      <c r="G20" s="81">
        <v>30</v>
      </c>
      <c r="H20" s="81">
        <v>31</v>
      </c>
      <c r="I20" s="81">
        <v>35</v>
      </c>
      <c r="J20" s="81">
        <v>33</v>
      </c>
      <c r="K20" s="81">
        <v>32</v>
      </c>
      <c r="L20" s="81">
        <v>32</v>
      </c>
      <c r="M20" s="81">
        <v>35</v>
      </c>
      <c r="N20" s="81">
        <v>30</v>
      </c>
      <c r="O20" s="81">
        <v>33</v>
      </c>
      <c r="P20" s="81">
        <v>32</v>
      </c>
      <c r="Q20" s="81">
        <v>33</v>
      </c>
      <c r="R20" s="81">
        <v>32</v>
      </c>
      <c r="S20" s="81">
        <v>31</v>
      </c>
      <c r="T20" s="81">
        <v>31</v>
      </c>
      <c r="U20" s="81">
        <v>31</v>
      </c>
      <c r="V20" s="81">
        <v>36</v>
      </c>
      <c r="W20" s="81">
        <v>36</v>
      </c>
      <c r="X20" s="81">
        <v>33</v>
      </c>
      <c r="Y20" s="110">
        <v>34</v>
      </c>
      <c r="Z20" s="81">
        <v>34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647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5" t="s" ph="1">
        <v>178</v>
      </c>
      <c r="D24" s="71">
        <v>91.02</v>
      </c>
      <c r="E24" s="71">
        <v>95.71</v>
      </c>
      <c r="F24" s="71">
        <v>3362</v>
      </c>
      <c r="G24" s="71">
        <v>2355</v>
      </c>
      <c r="H24" s="71">
        <v>1415</v>
      </c>
      <c r="I24" s="71">
        <v>2359</v>
      </c>
      <c r="J24" s="71">
        <v>5419</v>
      </c>
      <c r="K24" s="71">
        <v>1170</v>
      </c>
      <c r="L24" s="71">
        <v>2353</v>
      </c>
      <c r="M24" s="71">
        <v>5266</v>
      </c>
      <c r="N24" s="71">
        <v>5338</v>
      </c>
      <c r="O24" s="71">
        <v>3695</v>
      </c>
      <c r="P24" s="71">
        <v>370</v>
      </c>
      <c r="Q24" s="90">
        <v>2544</v>
      </c>
      <c r="R24" s="71">
        <v>1744</v>
      </c>
      <c r="S24" s="71">
        <v>5003</v>
      </c>
      <c r="T24" s="71">
        <v>1705</v>
      </c>
      <c r="U24" s="71">
        <v>4560</v>
      </c>
      <c r="V24" s="71">
        <v>9651</v>
      </c>
      <c r="W24" s="71">
        <v>10762</v>
      </c>
      <c r="X24" s="71">
        <v>2937</v>
      </c>
      <c r="Y24" s="71">
        <v>5603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24635.361633264001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37112.605832920002</v>
      </c>
      <c r="G25" s="91" ph="1">
        <f>G24*18.322*LOOKUP(G26,密度!$A$2:$A$50,密度!$B$2:$B$50)</f>
        <v>33414.051263999994</v>
      </c>
      <c r="H25" s="91" ph="1">
        <f>H24*18.322*LOOKUP(H26,密度!$A$2:$A$50,密度!$B$2:$B$50)</f>
        <v>20076.807871999998</v>
      </c>
      <c r="I25" s="91" ph="1">
        <f>I24*18.322*LOOKUP(I26,密度!$A$2:$A$50,密度!$Q$2:$Q$50)</f>
        <v>40772.230041340001</v>
      </c>
      <c r="J25" s="91" ph="1">
        <f>J24*18.322*LOOKUP(J26,密度!$A$2:$A$50,密度!$Q$2:$Q$50)</f>
        <v>93585.863168439988</v>
      </c>
      <c r="K25" s="91" ph="1">
        <f>K24*18.322*LOOKUP(K26,密度!$A$2:$A$50,密度!$Q$2:$Q$50)</f>
        <v>20205.842389199999</v>
      </c>
      <c r="L25" s="91" ph="1">
        <f>L24*18.322*LOOKUP(L26,密度!$A$2:$A$50,密度!$Q$2:$Q$50)</f>
        <v>40636.19413828</v>
      </c>
      <c r="M25" s="91" ph="1">
        <f>M24*18.322*LOOKUP(M26,密度!$A$2:$A$50,密度!$Q$2:$Q$50)</f>
        <v>91015.923441160005</v>
      </c>
      <c r="N25" s="91" ph="1">
        <f>N24*18.322*LOOKUP(N26,密度!$A$2:$A$50,密度!$Q$2:$Q$50)</f>
        <v>92260.349283880001</v>
      </c>
      <c r="O25" s="91" ph="1">
        <f>O24*18.322*LOOKUP(O26,密度!$A$2:$A$50,密度!$C$2:$C$50)</f>
        <v>74916.587613999989</v>
      </c>
      <c r="P25" s="91" ph="1">
        <f>P24*11.702*LOOKUP(P26,密度!$A$2:$A$50,密度!$B$2:$B$50)</f>
        <v>3368.104746</v>
      </c>
      <c r="Q25" s="92" ph="1">
        <f>Q24*18.322*LOOKUP(Q26,密度!$A$2:$A$50,密度!$B$2:$B$50)</f>
        <v>36179.5886016</v>
      </c>
      <c r="R25" s="91" ph="1">
        <f>R24*35.891*LOOKUP(R26,密度!$A$2:$A$50,密度!$C$2:$C$50)</f>
        <v>69266.414166399991</v>
      </c>
      <c r="S25" s="91" ph="1">
        <f>S24*35.891*LOOKUP(S26,密度!$A$2:$A$50,密度!$B$2:$B$50)</f>
        <v>139214.94037689999</v>
      </c>
      <c r="T25" s="91" ph="1">
        <f>T24*35.891*LOOKUP(T26,密度!$A$2:$A$50,密度!$Q$2:$Q$50)</f>
        <v>57680.386619899997</v>
      </c>
      <c r="U25" s="91" ph="1">
        <f>U24*35.891</f>
        <v>163662.96</v>
      </c>
      <c r="V25" s="91" ph="1">
        <f>V24*47.051*LOOKUP(V26,密度!$A$2:$A$50,密度!$B$2:$B$50)</f>
        <v>353235.9894579</v>
      </c>
      <c r="W25" s="91" ph="1">
        <f>W24*47.051*LOOKUP(W26,密度!$A$2:$A$50,密度!$B$2:$B$50)</f>
        <v>393038.85348440002</v>
      </c>
      <c r="X25" s="91" ph="1">
        <f>X24*47.051*LOOKUP(X26,密度!$A$2:$A$50,密度!$I$2:$I$50)</f>
        <v>143246.49660420002</v>
      </c>
      <c r="Y25" s="91" ph="1">
        <f>Y24*47.051*LOOKUP(Y26,密度!$A$2:$A$50,密度!$L$2:$L$50)</f>
        <v>244909.25353700004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31</v>
      </c>
      <c r="K26" s="74">
        <v>31</v>
      </c>
      <c r="L26" s="74">
        <v>31</v>
      </c>
      <c r="M26" s="74">
        <v>30</v>
      </c>
      <c r="N26" s="74">
        <v>30</v>
      </c>
      <c r="O26" s="74">
        <v>28</v>
      </c>
      <c r="P26" s="74">
        <v>27</v>
      </c>
      <c r="Q26" s="93">
        <v>29</v>
      </c>
      <c r="R26" s="74">
        <v>28</v>
      </c>
      <c r="S26" s="74">
        <v>30</v>
      </c>
      <c r="T26" s="74">
        <v>31</v>
      </c>
      <c r="U26" s="74">
        <v>30</v>
      </c>
      <c r="V26" s="74">
        <v>27</v>
      </c>
      <c r="W26" s="74">
        <v>29</v>
      </c>
      <c r="X26" s="74">
        <v>30</v>
      </c>
      <c r="Y26" s="74">
        <v>33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5" t="s" ph="1">
        <v>181</v>
      </c>
      <c r="D27" s="71">
        <v>91.21</v>
      </c>
      <c r="E27" s="71">
        <v>95.82</v>
      </c>
      <c r="F27" s="71">
        <v>3362</v>
      </c>
      <c r="G27" s="71">
        <v>1788</v>
      </c>
      <c r="H27" s="71">
        <v>1407</v>
      </c>
      <c r="I27" s="71">
        <v>2361</v>
      </c>
      <c r="J27" s="71">
        <v>5419</v>
      </c>
      <c r="K27" s="71">
        <v>1169</v>
      </c>
      <c r="L27" s="71">
        <v>2350</v>
      </c>
      <c r="M27" s="71">
        <v>5268</v>
      </c>
      <c r="N27" s="71">
        <v>5337</v>
      </c>
      <c r="O27" s="71">
        <v>3694</v>
      </c>
      <c r="P27" s="71">
        <v>741</v>
      </c>
      <c r="Q27" s="90">
        <v>2764</v>
      </c>
      <c r="R27" s="71">
        <v>1742</v>
      </c>
      <c r="S27" s="71">
        <v>5393</v>
      </c>
      <c r="T27" s="71">
        <v>1764</v>
      </c>
      <c r="U27" s="71">
        <v>4481</v>
      </c>
      <c r="V27" s="71">
        <v>9653</v>
      </c>
      <c r="W27" s="71">
        <v>10764</v>
      </c>
      <c r="X27" s="71">
        <v>3053</v>
      </c>
      <c r="Y27" s="71">
        <v>3990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5" t="s" ph="1">
        <v>179</v>
      </c>
      <c r="D28" s="91" ph="1">
        <f>D27*268.68*LOOKUP(D29,密度!$A$2:$A$50,密度!$Q$2:$Q$50)+IF(D27&lt;=0,0,1566*LOOKUP(D29,密度!$A$2:$A$50,密度!$Q$2:$Q$50))</f>
        <v>24683.691952871999</v>
      </c>
      <c r="E28" s="91" ph="1">
        <f>E27*268.68*LOOKUP(E29,密度!$A$2:$A$50,密度!$C$2:$C$50)+IF(E27&lt;=0,0,1566*LOOKUP(E29,密度!$A$2:$A$50,密度!$C$2:$C$50))</f>
        <v>30285.076526639998</v>
      </c>
      <c r="F28" s="91" ph="1">
        <f>F27*11.702*LOOKUP(F29,密度!$A$2:$A$50,密度!$Q$2:$Q$50)</f>
        <v>37056.3465956</v>
      </c>
      <c r="G28" s="91" ph="1">
        <f>G27*18.322*LOOKUP(G29,密度!$A$2:$A$50,密度!$B$2:$B$50)</f>
        <v>25369.139558399998</v>
      </c>
      <c r="H28" s="91" ph="1">
        <f>H27*18.322*LOOKUP(H29,密度!$A$2:$A$50,密度!$B$2:$B$50)</f>
        <v>19940.098268999998</v>
      </c>
      <c r="I28" s="91" ph="1">
        <f>I27*18.322*LOOKUP(I29,密度!$A$2:$A$50,密度!$Q$2:$Q$50)</f>
        <v>40774.35374436</v>
      </c>
      <c r="J28" s="91" ph="1">
        <f>J27*18.322*LOOKUP(J29,密度!$A$2:$A$50,密度!$Q$2:$Q$50)</f>
        <v>93585.863168439988</v>
      </c>
      <c r="K28" s="91" ph="1">
        <f>K27*18.322*LOOKUP(K29,密度!$A$2:$A$50,密度!$Q$2:$Q$50)</f>
        <v>20174.007914199996</v>
      </c>
      <c r="L28" s="91" ph="1">
        <f>L27*18.322*LOOKUP(L29,密度!$A$2:$A$50,密度!$Q$2:$Q$50)</f>
        <v>40527.118875</v>
      </c>
      <c r="M28" s="91" ph="1">
        <f>M27*18.322*LOOKUP(M29,密度!$A$2:$A$50,密度!$Q$2:$Q$50)</f>
        <v>90978.100603679995</v>
      </c>
      <c r="N28" s="91" ph="1">
        <f>N27*18.322*LOOKUP(N29,密度!$A$2:$A$50,密度!$Q$2:$Q$50)</f>
        <v>92039.673802499994</v>
      </c>
      <c r="O28" s="91" ph="1">
        <f>O27*18.322*LOOKUP(O29,密度!$A$2:$A$50,密度!$C$2:$C$50)</f>
        <v>74652.659203999996</v>
      </c>
      <c r="P28" s="91" ph="1">
        <f>P27*11.702*LOOKUP(P29,密度!$A$2:$A$50,密度!$B$2:$B$50)</f>
        <v>6707.1592770000007</v>
      </c>
      <c r="Q28" s="92" ph="1">
        <f>Q27*18.322*LOOKUP(Q29,密度!$A$2:$A$50,密度!$B$2:$B$50)</f>
        <v>39171.593187999992</v>
      </c>
      <c r="R28" s="91" ph="1">
        <f>R27*35.891*LOOKUP(R29,密度!$A$2:$A$50,密度!$C$2:$C$50)</f>
        <v>68961.900565999997</v>
      </c>
      <c r="S28" s="91" ph="1">
        <f>S27*35.891*LOOKUP(S29,密度!$A$2:$A$50,密度!$B$2:$B$50)</f>
        <v>149563.93795010002</v>
      </c>
      <c r="T28" s="91" ph="1">
        <f>T27*35.891*LOOKUP(T29,密度!$A$2:$A$50,密度!$Q$2:$Q$50)</f>
        <v>59761.83563532</v>
      </c>
      <c r="U28" s="91" ph="1">
        <f>U27*35.891</f>
        <v>160827.571</v>
      </c>
      <c r="V28" s="91" ph="1">
        <f>V27*47.051*LOOKUP(V29,密度!$A$2:$A$50,密度!$B$2:$B$50)</f>
        <v>351719.54984320002</v>
      </c>
      <c r="W28" s="91" ph="1">
        <f>W27*47.051*LOOKUP(W29,密度!$A$2:$A$50,密度!$B$2:$B$50)</f>
        <v>391744.46165399998</v>
      </c>
      <c r="X28" s="91" ph="1">
        <f>X27*47.051*LOOKUP(X29,密度!$A$2:$A$50,密度!$I$2:$I$50)</f>
        <v>148904.1723298</v>
      </c>
      <c r="Y28" s="91" ph="1">
        <f>Y27*47.051*LOOKUP(Y29,密度!$A$2:$A$50,密度!$L$2:$L$50)</f>
        <v>174028.94523000004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5" t="s" ph="1">
        <v>180</v>
      </c>
      <c r="D29" s="74">
        <v>25</v>
      </c>
      <c r="E29" s="74">
        <v>25</v>
      </c>
      <c r="F29" s="74">
        <v>32</v>
      </c>
      <c r="G29" s="74">
        <v>31</v>
      </c>
      <c r="H29" s="74">
        <v>32</v>
      </c>
      <c r="I29" s="74">
        <v>31</v>
      </c>
      <c r="J29" s="74">
        <v>31</v>
      </c>
      <c r="K29" s="74">
        <v>32</v>
      </c>
      <c r="L29" s="74">
        <v>33</v>
      </c>
      <c r="M29" s="74">
        <v>31</v>
      </c>
      <c r="N29" s="74">
        <v>33</v>
      </c>
      <c r="O29" s="74">
        <v>32</v>
      </c>
      <c r="P29" s="74">
        <v>32</v>
      </c>
      <c r="Q29" s="93">
        <v>32</v>
      </c>
      <c r="R29" s="74">
        <v>32</v>
      </c>
      <c r="S29" s="74">
        <v>33</v>
      </c>
      <c r="T29" s="74">
        <v>29</v>
      </c>
      <c r="U29" s="74">
        <v>30</v>
      </c>
      <c r="V29" s="74">
        <v>31</v>
      </c>
      <c r="W29" s="74">
        <v>32</v>
      </c>
      <c r="X29" s="74">
        <v>30</v>
      </c>
      <c r="Y29" s="74">
        <v>35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105340.72195379999</v>
      </c>
      <c r="E33" s="205" ph="1">
        <f>M10+I10</f>
        <v>198894.24744579999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31" ph="1">
        <v>0</v>
      </c>
      <c r="H33" s="205" ph="1">
        <f>N19</f>
        <v>12369.88944418</v>
      </c>
      <c r="I33" s="209" ph="1">
        <v>0</v>
      </c>
      <c r="J33" s="213" ph="1">
        <f>F10+O28</f>
        <v>336706.50534170005</v>
      </c>
      <c r="K33" s="205" ph="1">
        <f>O10+K10+E28+R28</f>
        <v>102752.59602344</v>
      </c>
      <c r="L33" s="215" ph="1">
        <f>BE27</f>
        <v>7100</v>
      </c>
      <c r="M33" s="213" ph="1">
        <f>G10+H10+W28+S28+V28+E10</f>
        <v>1464993.2231273002</v>
      </c>
      <c r="N33" s="205" ph="1">
        <f>L10+P10++G28+H28</f>
        <v>272876.13156339998</v>
      </c>
      <c r="O33" s="209" ph="1">
        <f>BE17</f>
        <v>2270</v>
      </c>
      <c r="P33" s="213" ph="1">
        <f>L19</f>
        <v>39906.597441984006</v>
      </c>
      <c r="Q33" s="205" ph="1">
        <f>J10+N10</f>
        <v>100884.3505877</v>
      </c>
      <c r="R33" s="209" ph="1">
        <f>BE23</f>
        <v>890</v>
      </c>
      <c r="S33" s="213" ph="1">
        <f>E10+X28</f>
        <v>336796.92919980001</v>
      </c>
      <c r="T33" s="205" ph="1">
        <f>X19</f>
        <v>6029.4926597040003</v>
      </c>
      <c r="U33" s="194" ph="1">
        <f>BE21</f>
        <v>730</v>
      </c>
      <c r="V33" s="207" ph="1">
        <f ca="1">P19+Q19+S19+M28+N28+J28</f>
        <v>397369.46848015598</v>
      </c>
      <c r="W33" s="207" ph="1">
        <f>D28+F28+V19+T28</f>
        <v>131818.50853839199</v>
      </c>
      <c r="X33" s="209" ph="1">
        <f>BE29+BE31</f>
        <v>10200</v>
      </c>
      <c r="Y33" s="211" ph="1">
        <f>+Q10+R10+S10+T10+U10+V10+W10+X10+Y10</f>
        <v>124853.5795122</v>
      </c>
      <c r="Z33" s="192" ph="1">
        <f>D10+T19+U19+Y28+Z10</f>
        <v>490693.41742405004</v>
      </c>
      <c r="AA33" s="194" ph="1">
        <f>BE19</f>
        <v>1440</v>
      </c>
      <c r="AB33" s="196" ph="1">
        <f>I19</f>
        <v>1077.6541229999998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3" t="s" ph="1">
        <v>186</v>
      </c>
      <c r="AA36" s="163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50" priority="97">
      <formula>ABS(D$7-D$10)&gt;=1000</formula>
    </cfRule>
  </conditionalFormatting>
  <conditionalFormatting sqref="E4 E6:E11">
    <cfRule type="expression" dxfId="1649" priority="96">
      <formula>ABS(E$7-E$10)&gt;=1000</formula>
    </cfRule>
  </conditionalFormatting>
  <conditionalFormatting sqref="F4:F11">
    <cfRule type="expression" dxfId="1648" priority="95">
      <formula>ABS(F$7-F$10)&gt;=1000</formula>
    </cfRule>
  </conditionalFormatting>
  <conditionalFormatting sqref="G4:G11">
    <cfRule type="expression" dxfId="1647" priority="94">
      <formula>ABS(G$7-G$10)&gt;=1000</formula>
    </cfRule>
  </conditionalFormatting>
  <conditionalFormatting sqref="H4:H11">
    <cfRule type="expression" dxfId="1646" priority="93">
      <formula>ABS(H$7-H$10)&gt;=1000</formula>
    </cfRule>
  </conditionalFormatting>
  <conditionalFormatting sqref="I4:I11">
    <cfRule type="expression" dxfId="1645" priority="92">
      <formula>ABS(I$7-I$10)&gt;=1000</formula>
    </cfRule>
  </conditionalFormatting>
  <conditionalFormatting sqref="J4:J11">
    <cfRule type="expression" dxfId="1644" priority="91">
      <formula>ABS(J$7-J$10)&gt;=1000</formula>
    </cfRule>
  </conditionalFormatting>
  <conditionalFormatting sqref="K4:K11">
    <cfRule type="expression" dxfId="1643" priority="90">
      <formula>ABS(K$7-K$10)&gt;=1000</formula>
    </cfRule>
  </conditionalFormatting>
  <conditionalFormatting sqref="L4:L11">
    <cfRule type="expression" dxfId="1642" priority="89">
      <formula>ABS(L$7-L$10)&gt;=1000</formula>
    </cfRule>
  </conditionalFormatting>
  <conditionalFormatting sqref="M4 M6:M11">
    <cfRule type="expression" dxfId="1641" priority="88">
      <formula>ABS(M$7-M$10)&gt;=1000</formula>
    </cfRule>
  </conditionalFormatting>
  <conditionalFormatting sqref="N4 N6:N11">
    <cfRule type="expression" dxfId="1640" priority="87">
      <formula>ABS(N$7-N$10)&gt;=1000</formula>
    </cfRule>
  </conditionalFormatting>
  <conditionalFormatting sqref="O4 O6:O11">
    <cfRule type="expression" dxfId="1639" priority="86">
      <formula>ABS(O$7-O$10)&gt;=1000</formula>
    </cfRule>
  </conditionalFormatting>
  <conditionalFormatting sqref="P4 P6:P11">
    <cfRule type="expression" dxfId="1638" priority="85">
      <formula>ABS(P$7-P$10)&gt;=1000</formula>
    </cfRule>
  </conditionalFormatting>
  <conditionalFormatting sqref="Q4:Q11">
    <cfRule type="expression" dxfId="1637" priority="84">
      <formula>ABS(Q$7-Q$10)&gt;=1000</formula>
    </cfRule>
  </conditionalFormatting>
  <conditionalFormatting sqref="R4:R11">
    <cfRule type="expression" dxfId="1636" priority="83">
      <formula>ABS(R$7-R$10)&gt;=1000</formula>
    </cfRule>
  </conditionalFormatting>
  <conditionalFormatting sqref="S4:S11">
    <cfRule type="expression" dxfId="1635" priority="82">
      <formula>ABS(S$7-S$10)&gt;=1000</formula>
    </cfRule>
  </conditionalFormatting>
  <conditionalFormatting sqref="T4:T9 T11">
    <cfRule type="expression" dxfId="1634" priority="81">
      <formula>ABS(T$7-T$10)&gt;=1000</formula>
    </cfRule>
  </conditionalFormatting>
  <conditionalFormatting sqref="U4:U9 U11">
    <cfRule type="expression" dxfId="1633" priority="80">
      <formula>ABS(U$7-U$10)&gt;=1000</formula>
    </cfRule>
  </conditionalFormatting>
  <conditionalFormatting sqref="V4:V9 V11">
    <cfRule type="expression" dxfId="1632" priority="79">
      <formula>ABS(V$7-V$10)&gt;=1000</formula>
    </cfRule>
  </conditionalFormatting>
  <conditionalFormatting sqref="W4:W9 W11">
    <cfRule type="expression" dxfId="1631" priority="78">
      <formula>ABS(W$7-W$10)&gt;=1000</formula>
    </cfRule>
  </conditionalFormatting>
  <conditionalFormatting sqref="X4:X9 X11">
    <cfRule type="expression" dxfId="1630" priority="77">
      <formula>ABS(X$7-X$10)&gt;=1000</formula>
    </cfRule>
  </conditionalFormatting>
  <conditionalFormatting sqref="Y4:Y9 Y11">
    <cfRule type="expression" dxfId="1629" priority="76">
      <formula>ABS(Y$7-Y$10)&gt;=1000</formula>
    </cfRule>
  </conditionalFormatting>
  <conditionalFormatting sqref="Z4:Z11">
    <cfRule type="expression" dxfId="1628" priority="75">
      <formula>ABS(Z$7-Z$10)&gt;=1000</formula>
    </cfRule>
  </conditionalFormatting>
  <conditionalFormatting sqref="AA4:AA11">
    <cfRule type="expression" dxfId="1627" priority="74">
      <formula>ABS(AA$7-AA$10)&gt;=1000</formula>
    </cfRule>
  </conditionalFormatting>
  <conditionalFormatting sqref="AB4:AB11">
    <cfRule type="expression" dxfId="1626" priority="73">
      <formula>ABS(AB$7-AB$10)&gt;=1000</formula>
    </cfRule>
  </conditionalFormatting>
  <conditionalFormatting sqref="AC4 AC6:AC11">
    <cfRule type="expression" dxfId="1625" priority="72">
      <formula>ABS(AC$7-AC$10)&gt;=1000</formula>
    </cfRule>
  </conditionalFormatting>
  <conditionalFormatting sqref="AD4:AD11">
    <cfRule type="expression" dxfId="1624" priority="71">
      <formula>ABS(AD$7-AD$10)&gt;=1000</formula>
    </cfRule>
  </conditionalFormatting>
  <conditionalFormatting sqref="AE4:AE11">
    <cfRule type="expression" dxfId="1623" priority="70">
      <formula>ABS(AE$7-AE$10)&gt;=1000</formula>
    </cfRule>
  </conditionalFormatting>
  <conditionalFormatting sqref="D13:D20">
    <cfRule type="expression" dxfId="1622" priority="69">
      <formula>ABS(D$16-D$19)&gt;=1000</formula>
    </cfRule>
  </conditionalFormatting>
  <conditionalFormatting sqref="E13:E20">
    <cfRule type="expression" dxfId="1621" priority="68">
      <formula>ABS(E$16-E$19)&gt;=1000</formula>
    </cfRule>
  </conditionalFormatting>
  <conditionalFormatting sqref="F13 F15:F20">
    <cfRule type="expression" dxfId="1620" priority="67">
      <formula>ABS(F$16-F$19)&gt;=1000</formula>
    </cfRule>
  </conditionalFormatting>
  <conditionalFormatting sqref="G13:G20">
    <cfRule type="expression" dxfId="1619" priority="66">
      <formula>ABS(G$16-G$19)&gt;=1000</formula>
    </cfRule>
  </conditionalFormatting>
  <conditionalFormatting sqref="H13:H20">
    <cfRule type="expression" dxfId="1618" priority="65">
      <formula>ABS(H$16-H$19)&gt;=1000</formula>
    </cfRule>
  </conditionalFormatting>
  <conditionalFormatting sqref="I13:I20">
    <cfRule type="expression" dxfId="1617" priority="64">
      <formula>ABS(I$16-I$19)&gt;=1000</formula>
    </cfRule>
  </conditionalFormatting>
  <conditionalFormatting sqref="J13:J20">
    <cfRule type="expression" dxfId="1616" priority="63">
      <formula>ABS(J$16-J$19)&gt;=1000</formula>
    </cfRule>
  </conditionalFormatting>
  <conditionalFormatting sqref="L13:L20">
    <cfRule type="expression" dxfId="1615" priority="62">
      <formula>ABS(L$16-L$19)&gt;=1000</formula>
    </cfRule>
  </conditionalFormatting>
  <conditionalFormatting sqref="M13 M15 M17:M18 M20">
    <cfRule type="expression" dxfId="1614" priority="61">
      <formula>ABS(M$16-M$19)&gt;=1000</formula>
    </cfRule>
  </conditionalFormatting>
  <conditionalFormatting sqref="N13:N20">
    <cfRule type="expression" dxfId="1613" priority="60">
      <formula>ABS(N$16-N$19)&gt;=1000</formula>
    </cfRule>
  </conditionalFormatting>
  <conditionalFormatting sqref="O13:O20">
    <cfRule type="expression" dxfId="1612" priority="59">
      <formula>ABS(O$16-O$19)&gt;=1000</formula>
    </cfRule>
  </conditionalFormatting>
  <conditionalFormatting sqref="P13:P20">
    <cfRule type="expression" dxfId="1611" priority="58">
      <formula>ABS(P$16-P$19)&gt;=1000</formula>
    </cfRule>
  </conditionalFormatting>
  <conditionalFormatting sqref="Q13 Q15:Q20">
    <cfRule type="expression" dxfId="1610" priority="57">
      <formula>ABS(Q$16-Q$19)&gt;=1000</formula>
    </cfRule>
  </conditionalFormatting>
  <conditionalFormatting sqref="R13:R20">
    <cfRule type="expression" dxfId="1609" priority="56">
      <formula>ABS(R$16-R$19)&gt;=1000</formula>
    </cfRule>
  </conditionalFormatting>
  <conditionalFormatting sqref="S13:S20">
    <cfRule type="expression" dxfId="1608" priority="55">
      <formula>ABS(S$16-S$19)&gt;=1000</formula>
    </cfRule>
  </conditionalFormatting>
  <conditionalFormatting sqref="T13:T20">
    <cfRule type="expression" dxfId="1607" priority="54">
      <formula>ABS(T$16-T$19)&gt;=1000</formula>
    </cfRule>
  </conditionalFormatting>
  <conditionalFormatting sqref="U13:U20">
    <cfRule type="expression" dxfId="1606" priority="53">
      <formula>ABS(U$16-U$19)&gt;=1000</formula>
    </cfRule>
  </conditionalFormatting>
  <conditionalFormatting sqref="V13:V20">
    <cfRule type="expression" dxfId="1605" priority="52">
      <formula>ABS(V$16-V$19)&gt;=1000</formula>
    </cfRule>
  </conditionalFormatting>
  <conditionalFormatting sqref="W13 W20 W15:W18">
    <cfRule type="expression" dxfId="1604" priority="51">
      <formula>ABS(W$16-W$19)&gt;=1000</formula>
    </cfRule>
  </conditionalFormatting>
  <conditionalFormatting sqref="X13 X15:X20 Y19">
    <cfRule type="expression" dxfId="1603" priority="50">
      <formula>ABS(X$16-X$19)&gt;=1000</formula>
    </cfRule>
  </conditionalFormatting>
  <conditionalFormatting sqref="Y13 Y15:Y18 Y20">
    <cfRule type="expression" dxfId="1602" priority="49">
      <formula>ABS(Y$16-Y$19)&gt;=1000</formula>
    </cfRule>
  </conditionalFormatting>
  <conditionalFormatting sqref="Z13:Z20">
    <cfRule type="expression" dxfId="1601" priority="48">
      <formula>ABS(Z$16-Z$19)&gt;=1000</formula>
    </cfRule>
  </conditionalFormatting>
  <conditionalFormatting sqref="AA13:AA20">
    <cfRule type="expression" dxfId="1600" priority="47">
      <formula>ABS(AA$16-AA$19)&gt;=1000</formula>
    </cfRule>
  </conditionalFormatting>
  <conditionalFormatting sqref="AB13 AB15:AB20">
    <cfRule type="expression" dxfId="1599" priority="46">
      <formula>ABS(AB$16-AB$19)&gt;=1000</formula>
    </cfRule>
  </conditionalFormatting>
  <conditionalFormatting sqref="AC13 AC15:AC20">
    <cfRule type="expression" dxfId="1598" priority="45">
      <formula>ABS(AC$16-AC$19)&gt;=1000</formula>
    </cfRule>
  </conditionalFormatting>
  <conditionalFormatting sqref="AD13:AD20">
    <cfRule type="expression" dxfId="1597" priority="44">
      <formula>ABS(AD$16-AD$19)&gt;=1000</formula>
    </cfRule>
  </conditionalFormatting>
  <conditionalFormatting sqref="AE13:AE20">
    <cfRule type="expression" dxfId="1596" priority="43">
      <formula>ABS(AE$16-AE$19)&gt;=1000</formula>
    </cfRule>
  </conditionalFormatting>
  <conditionalFormatting sqref="D22:D29">
    <cfRule type="expression" dxfId="1595" priority="42">
      <formula>ABS(D$25-D$28)&gt;=1000</formula>
    </cfRule>
  </conditionalFormatting>
  <conditionalFormatting sqref="E22:E29">
    <cfRule type="expression" dxfId="1594" priority="41">
      <formula>ABS(E$25-E$28)&gt;=1000</formula>
    </cfRule>
  </conditionalFormatting>
  <conditionalFormatting sqref="F22:F29">
    <cfRule type="expression" dxfId="1593" priority="40">
      <formula>ABS(F$25-F$28)&gt;=1000</formula>
    </cfRule>
  </conditionalFormatting>
  <conditionalFormatting sqref="G22:G29">
    <cfRule type="expression" dxfId="1592" priority="39">
      <formula>ABS(G$25-G$28)&gt;=1000</formula>
    </cfRule>
  </conditionalFormatting>
  <conditionalFormatting sqref="H22:H29">
    <cfRule type="expression" dxfId="1591" priority="38">
      <formula>ABS(H$25-H$28)&gt;=1000</formula>
    </cfRule>
  </conditionalFormatting>
  <conditionalFormatting sqref="I22 I24:I29">
    <cfRule type="expression" dxfId="1590" priority="37">
      <formula>ABS(I$25-I$28)&gt;=1000</formula>
    </cfRule>
  </conditionalFormatting>
  <conditionalFormatting sqref="J22:J29 K22">
    <cfRule type="expression" dxfId="1589" priority="36">
      <formula>ABS(J$25-J$28)&gt;=1000</formula>
    </cfRule>
  </conditionalFormatting>
  <conditionalFormatting sqref="K23:K29 L25 L28">
    <cfRule type="expression" dxfId="1588" priority="35">
      <formula>ABS(K$25-K$28)&gt;=1000</formula>
    </cfRule>
  </conditionalFormatting>
  <conditionalFormatting sqref="L22 L26:L27 L29 L24">
    <cfRule type="expression" dxfId="1587" priority="34">
      <formula>ABS(L$25-L$28)&gt;=1000</formula>
    </cfRule>
  </conditionalFormatting>
  <conditionalFormatting sqref="M22:M29">
    <cfRule type="expression" dxfId="1586" priority="33">
      <formula>ABS(M$25-M$28)&gt;=1000</formula>
    </cfRule>
  </conditionalFormatting>
  <conditionalFormatting sqref="N22:N29">
    <cfRule type="expression" dxfId="1585" priority="32">
      <formula>ABS(N$25-N$28)&gt;=1000</formula>
    </cfRule>
  </conditionalFormatting>
  <conditionalFormatting sqref="O22:O29">
    <cfRule type="expression" dxfId="1584" priority="31">
      <formula>ABS(O$25-O$28)&gt;=1000</formula>
    </cfRule>
  </conditionalFormatting>
  <conditionalFormatting sqref="P22:P29">
    <cfRule type="expression" dxfId="1583" priority="30">
      <formula>ABS(P$25-P$28)&gt;=1000</formula>
    </cfRule>
  </conditionalFormatting>
  <conditionalFormatting sqref="Q22:Q29">
    <cfRule type="expression" dxfId="1582" priority="29">
      <formula>ABS(Q$25-Q$28)&gt;=1000</formula>
    </cfRule>
  </conditionalFormatting>
  <conditionalFormatting sqref="R22:R29">
    <cfRule type="expression" dxfId="1581" priority="28">
      <formula>ABS(R$25-R$28)&gt;=1000</formula>
    </cfRule>
  </conditionalFormatting>
  <conditionalFormatting sqref="S22:S29">
    <cfRule type="expression" dxfId="1580" priority="27">
      <formula>ABS(S$25-S$28)&gt;=1000</formula>
    </cfRule>
  </conditionalFormatting>
  <conditionalFormatting sqref="T22:T29">
    <cfRule type="expression" dxfId="1579" priority="26">
      <formula>ABS(T$25-T$28)&gt;=1000</formula>
    </cfRule>
  </conditionalFormatting>
  <conditionalFormatting sqref="U22:U29">
    <cfRule type="expression" dxfId="1578" priority="25">
      <formula>ABS(U$25-U$28)&gt;=1000</formula>
    </cfRule>
  </conditionalFormatting>
  <conditionalFormatting sqref="V22:V29">
    <cfRule type="expression" dxfId="1577" priority="24">
      <formula>ABS(V$25-V$28)&gt;=1000</formula>
    </cfRule>
  </conditionalFormatting>
  <conditionalFormatting sqref="W22:W29">
    <cfRule type="expression" dxfId="1576" priority="23">
      <formula>ABS(W$25-W$28)&gt;=1000</formula>
    </cfRule>
  </conditionalFormatting>
  <conditionalFormatting sqref="X22:X29">
    <cfRule type="expression" dxfId="1575" priority="22">
      <formula>ABS(X$25-X$28)&gt;=1000</formula>
    </cfRule>
  </conditionalFormatting>
  <conditionalFormatting sqref="Y22:Y29">
    <cfRule type="expression" dxfId="1574" priority="21">
      <formula>ABS(Y$25-Y$28)&gt;=1000</formula>
    </cfRule>
  </conditionalFormatting>
  <conditionalFormatting sqref="I23">
    <cfRule type="expression" dxfId="1573" priority="20">
      <formula>ABS(I$25-I$28)&gt;=1000</formula>
    </cfRule>
  </conditionalFormatting>
  <conditionalFormatting sqref="F14">
    <cfRule type="expression" dxfId="1572" priority="19">
      <formula>ABS(F$16-F$19)&gt;=1000</formula>
    </cfRule>
  </conditionalFormatting>
  <conditionalFormatting sqref="Q14">
    <cfRule type="expression" dxfId="1571" priority="18">
      <formula>ABS(Q$16-Q$19)&gt;=1000</formula>
    </cfRule>
  </conditionalFormatting>
  <conditionalFormatting sqref="W14">
    <cfRule type="expression" dxfId="1570" priority="17">
      <formula>ABS(W$16-W$19)&gt;=1000</formula>
    </cfRule>
  </conditionalFormatting>
  <conditionalFormatting sqref="Y14">
    <cfRule type="expression" dxfId="1569" priority="16">
      <formula>ABS(Y$16-Y$19)&gt;=1000</formula>
    </cfRule>
  </conditionalFormatting>
  <conditionalFormatting sqref="X14">
    <cfRule type="expression" dxfId="1568" priority="15">
      <formula>ABS(X$16-X$19)&gt;=1000</formula>
    </cfRule>
  </conditionalFormatting>
  <conditionalFormatting sqref="T10:Y10">
    <cfRule type="expression" dxfId="1567" priority="14">
      <formula>ABS(T$7-T$10)&gt;=1000</formula>
    </cfRule>
  </conditionalFormatting>
  <conditionalFormatting sqref="W19">
    <cfRule type="expression" dxfId="1566" priority="13">
      <formula>ABS(W$16-W$19)&gt;=1000</formula>
    </cfRule>
  </conditionalFormatting>
  <conditionalFormatting sqref="AC5">
    <cfRule type="expression" dxfId="1565" priority="12">
      <formula>ABS(AC$7-AC$10)&gt;=1000</formula>
    </cfRule>
  </conditionalFormatting>
  <conditionalFormatting sqref="M14">
    <cfRule type="expression" dxfId="1564" priority="11">
      <formula>ABS(M$16-M$19)&gt;=1000</formula>
    </cfRule>
  </conditionalFormatting>
  <conditionalFormatting sqref="M16">
    <cfRule type="expression" dxfId="1563" priority="10">
      <formula>ABS(M$16-M$19)&gt;=1000</formula>
    </cfRule>
  </conditionalFormatting>
  <conditionalFormatting sqref="M19">
    <cfRule type="expression" dxfId="1562" priority="9">
      <formula>ABS(M$16-M$19)&gt;=1000</formula>
    </cfRule>
  </conditionalFormatting>
  <conditionalFormatting sqref="K13:K20">
    <cfRule type="expression" dxfId="1561" priority="8">
      <formula>ABS(K$16-K$19)&gt;=1000</formula>
    </cfRule>
  </conditionalFormatting>
  <conditionalFormatting sqref="E5">
    <cfRule type="expression" dxfId="1560" priority="7">
      <formula>ABS(E$7-E$10)&gt;=1000</formula>
    </cfRule>
  </conditionalFormatting>
  <conditionalFormatting sqref="AB14:AC14">
    <cfRule type="expression" dxfId="1559" priority="6">
      <formula>ABS(AB$16-AB$19)&gt;=1000</formula>
    </cfRule>
  </conditionalFormatting>
  <conditionalFormatting sqref="M5">
    <cfRule type="expression" dxfId="1558" priority="5">
      <formula>ABS(M$7-M$10)&gt;=1000</formula>
    </cfRule>
  </conditionalFormatting>
  <conditionalFormatting sqref="N5">
    <cfRule type="expression" dxfId="1557" priority="4">
      <formula>ABS(N$7-N$10)&gt;=1000</formula>
    </cfRule>
  </conditionalFormatting>
  <conditionalFormatting sqref="O5">
    <cfRule type="expression" dxfId="1556" priority="3">
      <formula>ABS(O$7-O$10)&gt;=1000</formula>
    </cfRule>
  </conditionalFormatting>
  <conditionalFormatting sqref="P5">
    <cfRule type="expression" dxfId="1555" priority="2">
      <formula>ABS(P$7-P$10)&gt;=1000</formula>
    </cfRule>
  </conditionalFormatting>
  <conditionalFormatting sqref="L23">
    <cfRule type="expression" dxfId="155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6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8">
    <pageSetUpPr fitToPage="1"/>
  </sheetPr>
  <dimension ref="A1:CU223"/>
  <sheetViews>
    <sheetView view="pageBreakPreview" topLeftCell="A4" zoomScale="80" zoomScaleNormal="100" zoomScaleSheetLayoutView="80" workbookViewId="0">
      <selection activeCell="V18" sqref="V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45821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5" t="s" ph="1">
        <v>178</v>
      </c>
      <c r="D6" s="71">
        <v>5128</v>
      </c>
      <c r="E6" s="71">
        <v>4716</v>
      </c>
      <c r="F6" s="71">
        <v>7138</v>
      </c>
      <c r="G6" s="71">
        <v>6706</v>
      </c>
      <c r="H6" s="71">
        <v>2298</v>
      </c>
      <c r="I6" s="71">
        <v>63.21</v>
      </c>
      <c r="J6" s="71">
        <v>7.82</v>
      </c>
      <c r="K6" s="71">
        <v>7.71</v>
      </c>
      <c r="L6" s="71">
        <v>57.32</v>
      </c>
      <c r="M6" s="71">
        <v>5319</v>
      </c>
      <c r="N6" s="71">
        <v>3844</v>
      </c>
      <c r="O6" s="71">
        <v>47</v>
      </c>
      <c r="P6" s="71">
        <v>5498</v>
      </c>
      <c r="Q6" s="71">
        <v>5389</v>
      </c>
      <c r="R6" s="71">
        <v>7008</v>
      </c>
      <c r="S6" s="71">
        <v>2614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4171</v>
      </c>
      <c r="AA6" s="71">
        <v>556</v>
      </c>
      <c r="AB6" s="71">
        <v>4121</v>
      </c>
      <c r="AC6" s="71">
        <v>4150</v>
      </c>
      <c r="AD6" s="71">
        <v>4410</v>
      </c>
      <c r="AE6" s="71">
        <v>3353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160621.41688632002</v>
      </c>
      <c r="E7" s="73" ph="1">
        <f>E6*51.53*LOOKUP(E8,密度!$A$2:$A$50,密度!$B$2:$B$50)</f>
        <v>189041.74189200002</v>
      </c>
      <c r="F7" s="73" ph="1">
        <f>F6*33.183*LOOKUP(F8,密度!$A$2:$A$50,密度!$C$2:$C$50)</f>
        <v>262464.8474574</v>
      </c>
      <c r="G7" s="73" ph="1">
        <f xml:space="preserve"> (G6+2)*51.53*LOOKUP(G8,密度!$A$2:$A$50,密度!$B$2:$B$50)</f>
        <v>268891.434396</v>
      </c>
      <c r="H7" s="73" ph="1">
        <f>(H6)*51.53*LOOKUP(H8,密度!$A$2:$A$50,密度!$B$2:$B$50)</f>
        <v>92636.789862000005</v>
      </c>
      <c r="I7" s="73" ph="1">
        <f>I6*290.8*1.0267</f>
        <v>18872.253195599998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12951.545711999999</v>
      </c>
      <c r="M7" s="73" ph="1">
        <f>M6*33.183*LOOKUP(M8,密度!$A$2:$A$50,密度!$D$2:$D$50)</f>
        <v>180718.73601030002</v>
      </c>
      <c r="N7" s="73" ph="1">
        <f>N6*33.183*LOOKUP(N8,密度!$A$2:$A$50,密度!$E$2:$E$50)</f>
        <v>99327.430472399996</v>
      </c>
      <c r="O7" s="73" ph="1">
        <f>O6*20.428*LOOKUP(O8,密度!$A$2:$A$50,密度!$C$2:$C$50)</f>
        <v>1061.7922844</v>
      </c>
      <c r="P7" s="73" ph="1">
        <f>P6*51.53*LOOKUP(P8,密度!$A$2:$A$50,密度!$B$2:$B$50)</f>
        <v>220388.35812600001</v>
      </c>
      <c r="Q7" s="73" ph="1">
        <f>Q6*1.5*1.5*3.1416*LOOKUP(W8,密度!$A$2:$A$50,密度!$L$2:$L$50)</f>
        <v>35730.938905199997</v>
      </c>
      <c r="R7" s="73" ph="1">
        <f>R6*1.5*1.5*3.1416*LOOKUP(R8,密度!$A$2:$A$50,密度!$L$2:$L$50)</f>
        <v>46168.249881600001</v>
      </c>
      <c r="S7" s="73" ph="1">
        <f>S6*1.5*1.5*3.1416*LOOKUP(S8,密度!$A$2:$A$50,密度!$L$2:$L$50)</f>
        <v>17257.817253600002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129686.69654100001</v>
      </c>
      <c r="AA7" s="73" ph="1">
        <f>AA6*33.183*LOOKUP(AA8,密度!$A$2:$A$50,密度!$D$2:$D$50)</f>
        <v>18925.751498400001</v>
      </c>
      <c r="AB7" s="73" ph="1">
        <f>AB6*20.428*LOOKUP(AB8,密度!$A$2:$A$50,密度!$D$2:$D$50)</f>
        <v>86751.393534000003</v>
      </c>
      <c r="AC7" s="73" ph="1">
        <f>AC6*51.53*LOOKUP(AC8,密度!$A$2:$A$50,密度!$Q$2:$Q$50)</f>
        <v>202308.04248500001</v>
      </c>
      <c r="AD7" s="73" ph="1">
        <f>AD6*20.428*LOOKUP(AD8,密度!$A$2:$A$50,密度!$V$2:$V$50)</f>
        <v>86267.770848000015</v>
      </c>
      <c r="AE7" s="73" ph="1">
        <f>AE6*20.428</f>
        <v>68495.084000000003</v>
      </c>
    </row>
    <row r="8" spans="1:99" ph="1">
      <c r="B8" s="256" ph="1"/>
      <c r="C8" s="68" t="s" ph="1">
        <v>180</v>
      </c>
      <c r="D8" s="74">
        <v>29</v>
      </c>
      <c r="E8" s="74">
        <v>27</v>
      </c>
      <c r="F8" s="74">
        <v>26</v>
      </c>
      <c r="G8" s="74">
        <v>27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29</v>
      </c>
      <c r="P8" s="74">
        <v>27</v>
      </c>
      <c r="Q8" s="74">
        <v>28</v>
      </c>
      <c r="R8" s="74">
        <v>30</v>
      </c>
      <c r="S8" s="74">
        <v>28</v>
      </c>
      <c r="T8" s="74">
        <v>22</v>
      </c>
      <c r="U8" s="74">
        <v>26</v>
      </c>
      <c r="V8" s="74">
        <v>28</v>
      </c>
      <c r="W8" s="74">
        <v>24</v>
      </c>
      <c r="X8" s="74">
        <v>22</v>
      </c>
      <c r="Y8" s="74">
        <v>25</v>
      </c>
      <c r="Z8" s="74">
        <v>25</v>
      </c>
      <c r="AA8" s="74">
        <v>26</v>
      </c>
      <c r="AB8" s="74">
        <v>21</v>
      </c>
      <c r="AC8" s="74">
        <v>26</v>
      </c>
      <c r="AD8" s="74">
        <v>26</v>
      </c>
      <c r="AE8" s="74">
        <v>32</v>
      </c>
    </row>
    <row r="9" spans="1:99" ht="26.4" ph="1">
      <c r="B9" s="256" ph="1">
        <v>0.66666666666666663</v>
      </c>
      <c r="C9" s="165" t="s" ph="1">
        <v>181</v>
      </c>
      <c r="D9" s="71">
        <v>5123</v>
      </c>
      <c r="E9" s="71">
        <v>4713</v>
      </c>
      <c r="F9" s="71">
        <v>7138</v>
      </c>
      <c r="G9" s="71">
        <v>6401</v>
      </c>
      <c r="H9" s="71">
        <v>2173</v>
      </c>
      <c r="I9" s="71">
        <v>63.11</v>
      </c>
      <c r="J9" s="71">
        <v>7.81</v>
      </c>
      <c r="K9" s="71">
        <v>7.71</v>
      </c>
      <c r="L9" s="71">
        <v>33.21</v>
      </c>
      <c r="M9" s="71">
        <v>5314</v>
      </c>
      <c r="N9" s="71">
        <v>3839</v>
      </c>
      <c r="O9" s="71">
        <v>47</v>
      </c>
      <c r="P9" s="71">
        <v>5245</v>
      </c>
      <c r="Q9" s="71">
        <v>4756</v>
      </c>
      <c r="R9" s="71">
        <v>7002</v>
      </c>
      <c r="S9" s="71">
        <v>4869</v>
      </c>
      <c r="T9" s="71">
        <v>2430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4306</v>
      </c>
      <c r="AA9" s="71">
        <v>555</v>
      </c>
      <c r="AB9" s="71">
        <v>3994</v>
      </c>
      <c r="AC9" s="71">
        <v>4147</v>
      </c>
      <c r="AD9" s="71">
        <v>4406</v>
      </c>
      <c r="AE9" s="71">
        <v>3281</v>
      </c>
    </row>
    <row r="10" spans="1:99" s="72" customFormat="1" ht="22.2" ph="1">
      <c r="B10" s="256" ph="1"/>
      <c r="C10" s="165" t="s" ph="1">
        <v>179</v>
      </c>
      <c r="D10" s="73" ph="1">
        <f>D9*33.183*LOOKUP(D11,密度!$A$2:$A$50,密度!$Q$2:$Q$50)</f>
        <v>160582.10233157998</v>
      </c>
      <c r="E10" s="73" ph="1">
        <f>E9*51.53*LOOKUP(E11,密度!$A$2:$A$50,密度!$B$2:$B$50)</f>
        <v>189115.775043</v>
      </c>
      <c r="F10" s="73" ph="1">
        <f>F9*33.183*LOOKUP(F11,密度!$A$2:$A$50,密度!$C$2:$C$50)</f>
        <v>262654.33566059999</v>
      </c>
      <c r="G10" s="73" ph="1">
        <f xml:space="preserve"> (G9+2)*51.53*LOOKUP(G11,密度!$A$2:$A$50,密度!$B$2:$B$50)</f>
        <v>256929.409633</v>
      </c>
      <c r="H10" s="73" ph="1">
        <f>(H9)*51.53*LOOKUP(H11,密度!$A$2:$A$50,密度!$B$2:$B$50)</f>
        <v>87698.577208000002</v>
      </c>
      <c r="I10" s="73" ph="1">
        <f>I9*290.8*1.0267</f>
        <v>18842.396759599997</v>
      </c>
      <c r="J10" s="73" ph="1">
        <f>J9*290.8*0.7892</f>
        <v>1792.3900016000002</v>
      </c>
      <c r="K10" s="73" ph="1">
        <f>K9*290.8*1.1126</f>
        <v>2494.5248568000002</v>
      </c>
      <c r="L10" s="73" ph="1">
        <f>L9*290.8*0.777</f>
        <v>7503.8526360000005</v>
      </c>
      <c r="M10" s="73" ph="1">
        <f>M9*33.183*LOOKUP(M11,密度!$A$2:$A$50,密度!$D$2:$D$50)</f>
        <v>180883.89111960001</v>
      </c>
      <c r="N10" s="73" ph="1">
        <f>N9*33.183*LOOKUP(N11,密度!$A$2:$A$50,密度!$E$2:$E$50)</f>
        <v>99338.360952600007</v>
      </c>
      <c r="O10" s="73" ph="1">
        <f>O9*20.428*LOOKUP(O11,密度!$A$2:$A$50,密度!$C$2:$C$50)</f>
        <v>1066.7848876</v>
      </c>
      <c r="P10" s="73" ph="1">
        <f>P9*51.53*LOOKUP(P11,密度!$A$2:$A$50,密度!$B$2:$B$50)</f>
        <v>210706.27306000001</v>
      </c>
      <c r="Q10" s="73" ph="1">
        <f>Q9*1.5*1.5*3.1416*LOOKUP(W11,密度!$A$2:$A$50,密度!$L$2:$L$50)</f>
        <v>31500.3111192</v>
      </c>
      <c r="R10" s="73" ph="1">
        <f>R9*1.5*1.5*3.1416*LOOKUP(R11,密度!$A$2:$A$50,密度!$L$2:$L$50)</f>
        <v>46079.227933200003</v>
      </c>
      <c r="S10" s="73" ph="1">
        <f>S9*1.5*1.5*3.1416*LOOKUP(S11,密度!$A$2:$A$50,密度!$L$2:$L$50)</f>
        <v>32248.741555799999</v>
      </c>
      <c r="T10" s="73" ph="1">
        <f>T9*1.5*1.5*3.1416*LOOKUP(T11,密度!$A$2:$A$50,密度!$L$2:$L$50)</f>
        <v>16146.09612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134312.83811999997</v>
      </c>
      <c r="AA10" s="73" ph="1">
        <f>AA9*33.183*LOOKUP(AA11,密度!$A$2:$A$50,密度!$D$2:$D$50)</f>
        <v>18924.862194000001</v>
      </c>
      <c r="AB10" s="73" ph="1">
        <f>AB9*20.428*LOOKUP(AB11,密度!$A$2:$A$50,密度!$D$2:$D$50)</f>
        <v>84216.6117104</v>
      </c>
      <c r="AC10" s="73" ph="1">
        <f>AC9*51.53*LOOKUP(AC11,密度!$A$2:$A$50,密度!$Q$2:$Q$50)</f>
        <v>202313.51909340001</v>
      </c>
      <c r="AD10" s="73" ph="1">
        <f>AD9*20.428*LOOKUP(AD11,密度!$A$2:$A$50,密度!$V$2:$V$50)</f>
        <v>86477.541894399998</v>
      </c>
      <c r="AE10" s="73" ph="1">
        <f>AE9*20.428</f>
        <v>67024.267999999996</v>
      </c>
    </row>
    <row r="11" spans="1:99" ph="1">
      <c r="A11" s="64" t="s" ph="1">
        <v>163</v>
      </c>
      <c r="B11" s="256" ph="1"/>
      <c r="C11" s="165" t="s" ph="1">
        <v>180</v>
      </c>
      <c r="D11" s="74">
        <v>28</v>
      </c>
      <c r="E11" s="74">
        <v>26</v>
      </c>
      <c r="F11" s="74">
        <v>25</v>
      </c>
      <c r="G11" s="74">
        <v>26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28</v>
      </c>
      <c r="O11" s="74">
        <v>22</v>
      </c>
      <c r="P11" s="74">
        <v>25</v>
      </c>
      <c r="Q11" s="74">
        <v>27</v>
      </c>
      <c r="R11" s="74">
        <v>31</v>
      </c>
      <c r="S11" s="74">
        <v>25</v>
      </c>
      <c r="T11" s="74">
        <v>22</v>
      </c>
      <c r="U11" s="74">
        <v>25</v>
      </c>
      <c r="V11" s="74">
        <v>28</v>
      </c>
      <c r="W11" s="74">
        <v>25</v>
      </c>
      <c r="X11" s="74">
        <v>25</v>
      </c>
      <c r="Y11" s="74">
        <v>24</v>
      </c>
      <c r="Z11" s="74">
        <v>22</v>
      </c>
      <c r="AA11" s="74">
        <v>24</v>
      </c>
      <c r="AB11" s="74">
        <v>19</v>
      </c>
      <c r="AC11" s="74">
        <v>25</v>
      </c>
      <c r="AD11" s="74">
        <v>24</v>
      </c>
      <c r="AE11" s="74">
        <v>29</v>
      </c>
    </row>
    <row r="12" spans="1:99" ht="9.9" customHeight="1" ph="1"/>
    <row r="13" spans="1:99" s="72" customFormat="1" ht="29.25" customHeight="1" ph="1">
      <c r="B13" s="233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5" t="s" ph="1">
        <v>178</v>
      </c>
      <c r="D15" s="78">
        <v>3244</v>
      </c>
      <c r="E15" s="78">
        <v>4724</v>
      </c>
      <c r="F15" s="78">
        <v>2449</v>
      </c>
      <c r="G15" s="78">
        <v>2906</v>
      </c>
      <c r="H15" s="78">
        <v>3731</v>
      </c>
      <c r="I15" s="78">
        <v>118</v>
      </c>
      <c r="J15" s="78">
        <v>1660</v>
      </c>
      <c r="K15" s="78">
        <v>1787</v>
      </c>
      <c r="L15" s="78">
        <v>5655</v>
      </c>
      <c r="M15" s="78">
        <v>5484</v>
      </c>
      <c r="N15" s="78">
        <v>231</v>
      </c>
      <c r="O15" s="78">
        <v>6094</v>
      </c>
      <c r="P15" s="78">
        <v>7172</v>
      </c>
      <c r="Q15" s="78">
        <v>0</v>
      </c>
      <c r="R15" s="78">
        <v>3516</v>
      </c>
      <c r="S15" s="78">
        <v>6931</v>
      </c>
      <c r="T15" s="78">
        <v>3444</v>
      </c>
      <c r="U15" s="78">
        <v>2363</v>
      </c>
      <c r="V15" s="78">
        <v>596</v>
      </c>
      <c r="W15" s="71">
        <v>-792</v>
      </c>
      <c r="X15" s="78">
        <v>27</v>
      </c>
      <c r="Y15" s="106">
        <v>-9907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75.209999999999994</v>
      </c>
      <c r="AE15" s="78">
        <v>41.93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5" t="s" ph="1">
        <v>179</v>
      </c>
      <c r="D16" s="73" ph="1">
        <f>D15*7.0686*LOOKUP(D17,密度!$A$2:$A$50,密度!$L$2:$L$50)</f>
        <v>21417.122865600002</v>
      </c>
      <c r="E16" s="73" ph="1">
        <f>E15*7.0686*LOOKUP(E17,密度!$A$2:$A$50,密度!$L$2:$L$50)</f>
        <v>31154.797951200006</v>
      </c>
      <c r="F16" s="73" ph="1">
        <f>F15*9.0746*LOOKUP(F17,密度!$A$2:$A$50,密度!$L$2:$L$50)</f>
        <v>20668.036722000001</v>
      </c>
      <c r="G16" s="73" ph="1">
        <f>G15*9.0746*LOOKUP(G17,密度!$A$2:$A$50,密度!$B$2:$B$50)</f>
        <v>20490.1019652</v>
      </c>
      <c r="H16" s="73" ph="1">
        <f>H15*9.0746*LOOKUP(H17,密度!$A$2:$A$50,密度!$L$2:$L$50)</f>
        <v>31690.463313600005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14069.622824000002</v>
      </c>
      <c r="K16" s="73" ph="1">
        <f>K15*9.0746*LOOKUP(K17,密度!$A$2:$A$50,密度!$C$2:$C$50)</f>
        <v>17944.96886732</v>
      </c>
      <c r="L16" s="73" ph="1">
        <f>L15*9.0746*LOOKUP(L17,密度!$A$2:$A$50,密度!$E$2:$E$50)</f>
        <v>39903.992668800005</v>
      </c>
      <c r="M16" s="73" ph="1">
        <f>M15*9.0746*LOOKUP(M17,密度!$A$2:$A$50,密度!$M$2:$M$50)</f>
        <v>43345.407674400005</v>
      </c>
      <c r="N16" s="73" ph="1">
        <f>N15*9.0746*LOOKUP(N17,密度!$A$2:$A$50,密度!$M$2:$M$50)</f>
        <v>1834.4131482600003</v>
      </c>
      <c r="O16" s="73" ph="1">
        <f>O15*9.0746*LOOKUP(O17,密度!$A$2:$A$50,密度!$G$2:$G$50)</f>
        <v>52861.855393159996</v>
      </c>
      <c r="P16" s="73" ph="1">
        <f ca="1">P15*9.0746*LOOKUP(P17,密度!$A$2:$A$51,密度!$Q$2:$Q$50)</f>
        <v>61478.732932144005</v>
      </c>
      <c r="Q16" s="73" ph="1">
        <f>Q15*9.0746*LOOKUP(Q17,密度!$A$2:$A$50,密度!$Q$2:$Q$50)</f>
        <v>0</v>
      </c>
      <c r="R16" s="73" ph="1">
        <f>MAX(R15*9.0746*LOOKUP(R17,密度!$A$2:$A$50,密度!$B$2:$B$50),0)</f>
        <v>24736.949428079999</v>
      </c>
      <c r="S16" s="73" ph="1">
        <f>S15*9.0746*LOOKUP(S17,密度!$A$2:$A$50,密度!$Q$2:$Q$50)</f>
        <v>59331.733299158004</v>
      </c>
      <c r="T16" s="73" ph="1">
        <f>T15*9.0746*LOOKUP(T17,密度!$A$2:$A$50,密度!$O$2:$O$50)</f>
        <v>28940.206142400002</v>
      </c>
      <c r="U16" s="73" ph="1">
        <f>U15*9.0746*LOOKUP(U17,密度!$A$2:$A$50,密度!$H$2:$H$50)</f>
        <v>19556.2711776</v>
      </c>
      <c r="V16" s="73" ph="1">
        <f>MAX(5600*LOOKUP(V17,密度!$A$2:$A$50,密度!$Q$2:$Q$50)+V15*9.0476*LOOKUP(V17,密度!$A$2:$A$50,密度!$Q$2:$Q$50),0)</f>
        <v>10383.612171551998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6071.6278942799991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16974.560414879998</v>
      </c>
      <c r="AE16" s="73" ph="1">
        <f>AE15*268.68*LOOKUP(AE17,密度!$A$2:$A$50,密度!B2:B50)+IF(AE15&lt;=0,0,1566*LOOKUP(AE17,密度!$A$2:$A$50,密度!B2:B50))</f>
        <v>10003.634171039999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29</v>
      </c>
      <c r="F17" s="74">
        <v>32</v>
      </c>
      <c r="G17" s="74">
        <v>28</v>
      </c>
      <c r="H17" s="74">
        <v>26</v>
      </c>
      <c r="I17" s="74">
        <v>26</v>
      </c>
      <c r="J17" s="74">
        <v>28</v>
      </c>
      <c r="K17" s="74">
        <v>28</v>
      </c>
      <c r="L17" s="74">
        <v>30</v>
      </c>
      <c r="M17" s="74">
        <v>29</v>
      </c>
      <c r="N17" s="74">
        <v>25</v>
      </c>
      <c r="O17" s="74">
        <v>29</v>
      </c>
      <c r="P17" s="74">
        <v>28</v>
      </c>
      <c r="Q17" s="74">
        <v>26</v>
      </c>
      <c r="R17" s="74">
        <v>30</v>
      </c>
      <c r="S17" s="74">
        <v>30</v>
      </c>
      <c r="T17" s="74">
        <v>28</v>
      </c>
      <c r="U17" s="74">
        <v>28</v>
      </c>
      <c r="V17" s="74">
        <v>28</v>
      </c>
      <c r="W17" s="74">
        <v>28</v>
      </c>
      <c r="X17" s="74">
        <v>28</v>
      </c>
      <c r="Y17" s="108">
        <v>27</v>
      </c>
      <c r="Z17" s="74">
        <v>27</v>
      </c>
      <c r="AA17" s="74">
        <v>25</v>
      </c>
      <c r="AB17" s="74">
        <v>30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3238</v>
      </c>
      <c r="E18" s="71">
        <v>4711</v>
      </c>
      <c r="F18" s="71">
        <v>2444</v>
      </c>
      <c r="G18" s="71">
        <v>2938</v>
      </c>
      <c r="H18" s="71">
        <v>3725</v>
      </c>
      <c r="I18" s="71">
        <v>118</v>
      </c>
      <c r="J18" s="71">
        <v>1660</v>
      </c>
      <c r="K18" s="71">
        <v>1786</v>
      </c>
      <c r="L18" s="71">
        <v>5638</v>
      </c>
      <c r="M18" s="71">
        <v>2512</v>
      </c>
      <c r="N18" s="71">
        <v>1287</v>
      </c>
      <c r="O18" s="71">
        <v>6082</v>
      </c>
      <c r="P18" s="71">
        <v>7157</v>
      </c>
      <c r="Q18" s="71">
        <v>0</v>
      </c>
      <c r="R18" s="71">
        <v>3511</v>
      </c>
      <c r="S18" s="71">
        <v>6918</v>
      </c>
      <c r="T18" s="71">
        <v>3438</v>
      </c>
      <c r="U18" s="71">
        <v>2362</v>
      </c>
      <c r="V18" s="71">
        <v>-548</v>
      </c>
      <c r="W18" s="71">
        <v>-368</v>
      </c>
      <c r="X18" s="71">
        <v>27</v>
      </c>
      <c r="Y18" s="109">
        <v>-9905</v>
      </c>
      <c r="Z18" s="71">
        <v>0</v>
      </c>
      <c r="AA18" s="71">
        <v>0</v>
      </c>
      <c r="AB18" s="71">
        <v>2368</v>
      </c>
      <c r="AC18" s="71">
        <v>27</v>
      </c>
      <c r="AD18" s="71">
        <v>84.41</v>
      </c>
      <c r="AE18" s="71">
        <v>15.51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5" t="s" ph="1">
        <v>179</v>
      </c>
      <c r="D19" s="73" ph="1">
        <f>D18*7.0686*LOOKUP(D20,密度!$A$2:$A$50,密度!$L$2:$L$50)</f>
        <v>21423.286684800001</v>
      </c>
      <c r="E19" s="73" ph="1">
        <f>E18*7.0686*LOOKUP(E20,密度!$A$2:$A$50,密度!$L$2:$L$50)</f>
        <v>31202.2636002</v>
      </c>
      <c r="F19" s="73" ph="1">
        <f>F18*9.0746*LOOKUP(F20,密度!$A$2:$A$50,密度!$L$2:$L$50)</f>
        <v>20714.553121600002</v>
      </c>
      <c r="G19" s="73" ph="1">
        <f>G18*9.0746*LOOKUP(G20,密度!$A$2:$A$50,密度!$B$2:$B$50)</f>
        <v>20785.05187408</v>
      </c>
      <c r="H19" s="73" ph="1">
        <f>H18*9.0746*LOOKUP(H20,密度!$A$2:$A$50,密度!$L$2:$L$50)</f>
        <v>31673.303245000003</v>
      </c>
      <c r="I19" s="73" ph="1">
        <f>I18*9.0746*LOOKUP(I20,密度!$A$2:$A$50,密度!$U$2:$U$50)</f>
        <v>1097.5728699999997</v>
      </c>
      <c r="J19" s="73" ph="1">
        <f>J18*9.0746*LOOKUP(J20,密度!$A$2:$A$50,密度!$L$2:$L$50)</f>
        <v>14084.686660000001</v>
      </c>
      <c r="K19" s="73" ph="1">
        <f>K18*9.0746*LOOKUP(K20,密度!$A$2:$A$50,密度!$C$2:$C$50)</f>
        <v>17959.237768360003</v>
      </c>
      <c r="L19" s="73" ph="1">
        <f>L18*9.0746*LOOKUP(L20,密度!$A$2:$A$50,密度!$E$2:$E$50)</f>
        <v>39957.986538800003</v>
      </c>
      <c r="M19" s="73" ph="1">
        <f>M18*9.0746*LOOKUP(M20,密度!$A$2:$A$50,密度!$M$2:$M$50)</f>
        <v>19902.659549119999</v>
      </c>
      <c r="N19" s="73" ph="1">
        <f>N18*9.0746*LOOKUP(N20,密度!$A$2:$A$50,密度!$M$2:$M$50)</f>
        <v>10242.491945400001</v>
      </c>
      <c r="O19" s="73" ph="1">
        <f>O18*9.0746*LOOKUP(O20,密度!$A$2:$A$50,密度!$G$2:$G$50)</f>
        <v>52818.473360399999</v>
      </c>
      <c r="P19" s="73" ph="1">
        <f ca="1">P18*9.0746*LOOKUP(P20,密度!$A$2:$A$51,密度!$Q$2:$Q$50)</f>
        <v>61441.727348566004</v>
      </c>
      <c r="Q19" s="73" ph="1">
        <f>Q18*9.0746*LOOKUP(Q20,密度!$A$2:$A$50,密度!$Q$2:$Q$50)</f>
        <v>0</v>
      </c>
      <c r="R19" s="73" ph="1">
        <f>MAX(R18*9.0746*LOOKUP(R20,密度!$A$2:$A$50,密度!$B$2:$B$50),0)</f>
        <v>24755.935306200001</v>
      </c>
      <c r="S19" s="73" ph="1">
        <f>S18*9.0746*LOOKUP(S20,密度!$A$2:$A$50,密度!$Q$2:$Q$50)</f>
        <v>59434.522110072008</v>
      </c>
      <c r="T19" s="73" ph="1">
        <f>T18*9.0746*LOOKUP(T20,密度!$A$2:$A$50,密度!$O$2:$O$50)</f>
        <v>28889.787664800002</v>
      </c>
      <c r="U19" s="73" ph="1">
        <f>U18*9.0746*LOOKUP(U20,密度!$A$2:$A$50,密度!$H$2:$H$50)</f>
        <v>19605.867496439998</v>
      </c>
      <c r="V19" s="73" ph="1">
        <f>MAX(5600*LOOKUP(V20,密度!$A$2:$A$50,密度!$Q$2:$Q$50)+V18*9.0476*LOOKUP(V20,密度!$A$2:$A$50,密度!$Q$2:$Q$50),0)</f>
        <v>607.72679644800064</v>
      </c>
      <c r="W19" s="73" ph="1">
        <f>MAX(5600*LOOKUP(W20,密度!$A$2:$A$50,密度!$Q$2:$Q$50)+W18*9.0476*LOOKUP(W20,密度!$A$2:$A$50,密度!$Q$2:$Q$50),0)</f>
        <v>2147.9452216959999</v>
      </c>
      <c r="X19" s="73" ph="1">
        <f>MAX(5600*LOOKUP(X20,密度!$A$2:$A$50,密度!$I$2:$I$50)+X18*9.0476*LOOKUP(X20,密度!$A$2:$A$50,密度!$I$2:$I$50),0)</f>
        <v>6091.4984639599998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20070.401715200001</v>
      </c>
      <c r="AC19" s="73" ph="1">
        <f>AC18*9.0746*LOOKUP(AC20,密度!$A$2:$A$50,密度!$L$2:$L$50)</f>
        <v>230.0683338</v>
      </c>
      <c r="AD19" s="73" ph="1">
        <f>AD18*268.68*LOOKUP(AD20,密度!$A$2:$A$50,密度!B5:B53)+IF(AD18&lt;=0,0,1566*LOOKUP(AD20,密度!$A$2:$A$50,密度!B5:B53))</f>
        <v>18838.581627600001</v>
      </c>
      <c r="AE19" s="73" ph="1">
        <f>AE18*268.68*LOOKUP(AE20,密度!$A$2:$A$50,密度!B5:B53)+IF(AE18&lt;=0,0,1566*LOOKUP(AE20,密度!$A$2:$A$50,密度!B5:B53))</f>
        <v>4454.7172236000006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26</v>
      </c>
      <c r="E20" s="81">
        <v>25</v>
      </c>
      <c r="F20" s="81">
        <v>28</v>
      </c>
      <c r="G20" s="81">
        <v>25</v>
      </c>
      <c r="H20" s="81">
        <v>25</v>
      </c>
      <c r="I20" s="81">
        <v>25</v>
      </c>
      <c r="J20" s="81">
        <v>27</v>
      </c>
      <c r="K20" s="81">
        <v>26</v>
      </c>
      <c r="L20" s="81">
        <v>27</v>
      </c>
      <c r="M20" s="81">
        <v>27</v>
      </c>
      <c r="N20" s="81">
        <v>23</v>
      </c>
      <c r="O20" s="81">
        <v>28</v>
      </c>
      <c r="P20" s="81">
        <v>26</v>
      </c>
      <c r="Q20" s="81">
        <v>24</v>
      </c>
      <c r="R20" s="81">
        <v>28</v>
      </c>
      <c r="S20" s="81">
        <v>25</v>
      </c>
      <c r="T20" s="81">
        <v>25</v>
      </c>
      <c r="U20" s="81">
        <v>25</v>
      </c>
      <c r="V20" s="81">
        <v>25</v>
      </c>
      <c r="W20" s="81">
        <v>26</v>
      </c>
      <c r="X20" s="81">
        <v>25</v>
      </c>
      <c r="Y20" s="110">
        <v>26</v>
      </c>
      <c r="Z20" s="81">
        <v>25</v>
      </c>
      <c r="AA20" s="81">
        <v>24</v>
      </c>
      <c r="AB20" s="81">
        <v>28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647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5" t="s" ph="1">
        <v>178</v>
      </c>
      <c r="D24" s="71">
        <v>91.03</v>
      </c>
      <c r="E24" s="71">
        <v>95.72</v>
      </c>
      <c r="F24" s="71">
        <v>1888</v>
      </c>
      <c r="G24" s="71">
        <v>1786</v>
      </c>
      <c r="H24" s="71">
        <v>1846</v>
      </c>
      <c r="I24" s="71">
        <v>2360</v>
      </c>
      <c r="J24" s="71">
        <v>5412</v>
      </c>
      <c r="K24" s="71">
        <v>1171</v>
      </c>
      <c r="L24" s="71">
        <v>2354</v>
      </c>
      <c r="M24" s="71">
        <v>5265</v>
      </c>
      <c r="N24" s="71">
        <v>5337</v>
      </c>
      <c r="O24" s="71">
        <v>3696</v>
      </c>
      <c r="P24" s="71">
        <v>743</v>
      </c>
      <c r="Q24" s="90">
        <v>2938</v>
      </c>
      <c r="R24" s="71">
        <v>1745</v>
      </c>
      <c r="S24" s="71">
        <v>5393</v>
      </c>
      <c r="T24" s="71">
        <v>1765</v>
      </c>
      <c r="U24" s="71">
        <v>4321</v>
      </c>
      <c r="V24" s="71">
        <v>9649</v>
      </c>
      <c r="W24" s="71">
        <v>10763</v>
      </c>
      <c r="X24" s="71">
        <v>3052</v>
      </c>
      <c r="Y24" s="71">
        <v>3964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24637.905334296003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20824.774350079999</v>
      </c>
      <c r="G25" s="91" ph="1">
        <f>G24*18.322*LOOKUP(G26,密度!$A$2:$A$50,密度!$B$2:$B$50)</f>
        <v>25370.213227599997</v>
      </c>
      <c r="H25" s="91" ph="1">
        <f>H24*18.322*LOOKUP(H26,密度!$A$2:$A$50,密度!$B$2:$B$50)</f>
        <v>26192.075852799997</v>
      </c>
      <c r="I25" s="91" ph="1">
        <f>I24*18.322*LOOKUP(I26,密度!$A$2:$A$50,密度!$Q$2:$Q$50)</f>
        <v>40789.513733599997</v>
      </c>
      <c r="J25" s="91" ph="1">
        <f>J24*18.322*LOOKUP(J26,密度!$A$2:$A$50,密度!$Q$2:$Q$50)</f>
        <v>93539.34251111999</v>
      </c>
      <c r="K25" s="91" ph="1">
        <f>K24*18.322*LOOKUP(K26,密度!$A$2:$A$50,密度!$Q$2:$Q$50)</f>
        <v>20239.203636459999</v>
      </c>
      <c r="L25" s="91" ph="1">
        <f>L24*18.322*LOOKUP(L26,密度!$A$2:$A$50,密度!$Q$2:$Q$50)</f>
        <v>40711.689572839998</v>
      </c>
      <c r="M25" s="91" ph="1">
        <f>M24*18.322*LOOKUP(M26,密度!$A$2:$A$50,密度!$Q$2:$Q$50)</f>
        <v>90998.639748900008</v>
      </c>
      <c r="N25" s="91" ph="1">
        <f>N24*18.322*LOOKUP(N26,密度!$A$2:$A$50,密度!$Q$2:$Q$50)</f>
        <v>92301.736300019998</v>
      </c>
      <c r="O25" s="91" ph="1">
        <f>O24*18.322*LOOKUP(O26,密度!$A$2:$A$50,密度!$C$2:$C$50)</f>
        <v>74767.5674592</v>
      </c>
      <c r="P25" s="91" ph="1">
        <f>P24*11.702*LOOKUP(P26,密度!$A$2:$A$50,密度!$B$2:$B$50)</f>
        <v>6733.0873983999991</v>
      </c>
      <c r="Q25" s="92" ph="1">
        <f>Q24*18.322*LOOKUP(Q26,密度!$A$2:$A$50,密度!$B$2:$B$50)</f>
        <v>41734.426910800001</v>
      </c>
      <c r="R25" s="91" ph="1">
        <f>R24*35.891*LOOKUP(R26,密度!$A$2:$A$50,密度!$C$2:$C$50)</f>
        <v>69080.663885000002</v>
      </c>
      <c r="S25" s="91" ph="1">
        <f>S24*35.891*LOOKUP(S26,密度!$A$2:$A$50,密度!$B$2:$B$50)</f>
        <v>149892.9902272</v>
      </c>
      <c r="T25" s="91" ph="1">
        <f>T24*35.891*LOOKUP(T26,密度!$A$2:$A$50,密度!$Q$2:$Q$50)</f>
        <v>59710.194946699994</v>
      </c>
      <c r="U25" s="91" ph="1">
        <f>U24*35.891</f>
        <v>155085.011</v>
      </c>
      <c r="V25" s="91" ph="1">
        <f>V24*47.051*LOOKUP(V26,密度!$A$2:$A$50,密度!$B$2:$B$50)</f>
        <v>351165.20907650003</v>
      </c>
      <c r="W25" s="91" ph="1">
        <f>W24*47.051*LOOKUP(W26,密度!$A$2:$A$50,密度!$B$2:$B$50)</f>
        <v>392163.83662720001</v>
      </c>
      <c r="X25" s="91" ph="1">
        <f>X24*47.051*LOOKUP(X26,密度!$A$2:$A$50,密度!$I$2:$I$50)</f>
        <v>148855.3992632</v>
      </c>
      <c r="Y25" s="91" ph="1">
        <f>Y24*47.051*LOOKUP(Y26,密度!$A$2:$A$50,密度!$L$2:$L$50)</f>
        <v>173454.45252000002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31</v>
      </c>
      <c r="G26" s="74">
        <v>30</v>
      </c>
      <c r="H26" s="74">
        <v>31</v>
      </c>
      <c r="I26" s="74">
        <v>30</v>
      </c>
      <c r="J26" s="74">
        <v>30</v>
      </c>
      <c r="K26" s="74">
        <v>30</v>
      </c>
      <c r="L26" s="74">
        <v>29</v>
      </c>
      <c r="M26" s="74">
        <v>30</v>
      </c>
      <c r="N26" s="74">
        <v>29</v>
      </c>
      <c r="O26" s="74">
        <v>31</v>
      </c>
      <c r="P26" s="74">
        <v>31</v>
      </c>
      <c r="Q26" s="93">
        <v>30</v>
      </c>
      <c r="R26" s="74">
        <v>32</v>
      </c>
      <c r="S26" s="74">
        <v>31</v>
      </c>
      <c r="T26" s="74">
        <v>31</v>
      </c>
      <c r="U26" s="74">
        <v>30</v>
      </c>
      <c r="V26" s="74">
        <v>32</v>
      </c>
      <c r="W26" s="74">
        <v>31</v>
      </c>
      <c r="X26" s="74">
        <v>30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5" t="s" ph="1">
        <v>181</v>
      </c>
      <c r="D27" s="71">
        <v>4.91</v>
      </c>
      <c r="E27" s="71">
        <v>95.61</v>
      </c>
      <c r="F27" s="71">
        <v>3107</v>
      </c>
      <c r="G27" s="71">
        <v>1123</v>
      </c>
      <c r="H27" s="71">
        <v>2168</v>
      </c>
      <c r="I27" s="71">
        <v>2357</v>
      </c>
      <c r="J27" s="71">
        <v>5404</v>
      </c>
      <c r="K27" s="71">
        <v>2388</v>
      </c>
      <c r="L27" s="71">
        <v>3569</v>
      </c>
      <c r="M27" s="71">
        <v>5267</v>
      </c>
      <c r="N27" s="71">
        <v>5332</v>
      </c>
      <c r="O27" s="71">
        <v>3694</v>
      </c>
      <c r="P27" s="71">
        <v>1018</v>
      </c>
      <c r="Q27" s="90">
        <v>3461</v>
      </c>
      <c r="R27" s="71">
        <v>1744</v>
      </c>
      <c r="S27" s="71">
        <v>6010</v>
      </c>
      <c r="T27" s="71">
        <v>1764</v>
      </c>
      <c r="U27" s="71">
        <v>4137</v>
      </c>
      <c r="V27" s="71">
        <v>9639</v>
      </c>
      <c r="W27" s="71">
        <v>10755</v>
      </c>
      <c r="X27" s="71">
        <v>2679</v>
      </c>
      <c r="Y27" s="71">
        <v>2910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5" t="s" ph="1">
        <v>179</v>
      </c>
      <c r="D28" s="91" ph="1">
        <f>D27*268.68*LOOKUP(D29,密度!$A$2:$A$50,密度!$Q$2:$Q$50)+IF(D27&lt;=0,0,1566*LOOKUP(D29,密度!$A$2:$A$50,密度!$Q$2:$Q$50))</f>
        <v>2731.5520467120004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34297.699679620004</v>
      </c>
      <c r="G28" s="91" ph="1">
        <f>G27*18.322*LOOKUP(G29,密度!$A$2:$A$50,密度!$B$2:$B$50)</f>
        <v>15987.245862</v>
      </c>
      <c r="H28" s="91" ph="1">
        <f>H27*18.322*LOOKUP(H29,密度!$A$2:$A$50,密度!$B$2:$B$50)</f>
        <v>30832.290915199999</v>
      </c>
      <c r="I28" s="91" ph="1">
        <f>I27*18.322*LOOKUP(I29,密度!$A$2:$A$50,密度!$Q$2:$Q$50)</f>
        <v>40763.573629220002</v>
      </c>
      <c r="J28" s="91" ph="1">
        <f>J27*18.322*LOOKUP(J29,密度!$A$2:$A$50,密度!$Q$2:$Q$50)</f>
        <v>93528.798566559984</v>
      </c>
      <c r="K28" s="91" ph="1">
        <f>K27*18.322*LOOKUP(K29,密度!$A$2:$A$50,密度!$Q$2:$Q$50)</f>
        <v>41299.70887848</v>
      </c>
      <c r="L28" s="91" ph="1">
        <f>L27*18.322*LOOKUP(L29,密度!$A$2:$A$50,密度!$Q$2:$Q$50)</f>
        <v>61685.497675939994</v>
      </c>
      <c r="M28" s="91" ph="1">
        <f>M27*18.322*LOOKUP(M29,密度!$A$2:$A$50,密度!$Q$2:$Q$50)</f>
        <v>91091.108317820006</v>
      </c>
      <c r="N28" s="91" ph="1">
        <f>N27*18.322*LOOKUP(N29,密度!$A$2:$A$50,密度!$Q$2:$Q$50)</f>
        <v>92215.262872720006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9235.8666907999996</v>
      </c>
      <c r="Q28" s="92" ph="1">
        <f>Q27*18.322*LOOKUP(Q29,密度!$A$2:$A$50,密度!$B$2:$B$50)</f>
        <v>49220.737480399999</v>
      </c>
      <c r="R28" s="91" ph="1">
        <f>R27*35.891*LOOKUP(R29,密度!$A$2:$A$50,密度!$C$2:$C$50)</f>
        <v>69172.523310399993</v>
      </c>
      <c r="S28" s="91" ph="1">
        <f>S27*35.891*LOOKUP(S29,密度!$A$2:$A$50,密度!$B$2:$B$50)</f>
        <v>167041.882304</v>
      </c>
      <c r="T28" s="91" ph="1">
        <f>T27*35.891*LOOKUP(T29,密度!$A$2:$A$50,密度!$Q$2:$Q$50)</f>
        <v>59723.848600919999</v>
      </c>
      <c r="U28" s="91" ph="1">
        <f>U27*35.891</f>
        <v>148481.06699999998</v>
      </c>
      <c r="V28" s="91" ph="1">
        <f>V27*47.051*LOOKUP(V29,密度!$A$2:$A$50,密度!$B$2:$B$50)</f>
        <v>351617.61385170004</v>
      </c>
      <c r="W28" s="91" ph="1">
        <f>W27*47.051*LOOKUP(W29,密度!$A$2:$A$50,密度!$B$2:$B$50)</f>
        <v>392327.7764265</v>
      </c>
      <c r="X28" s="91" ph="1">
        <f>X27*47.051*LOOKUP(X29,密度!$A$2:$A$50,密度!$I$2:$I$50)</f>
        <v>130663.04542139999</v>
      </c>
      <c r="Y28" s="91" ph="1">
        <f>Y27*47.051*LOOKUP(Y29,密度!$A$2:$A$50,密度!$L$2:$L$50)</f>
        <v>127744.87653000001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5" t="s" ph="1">
        <v>180</v>
      </c>
      <c r="D29" s="74">
        <v>25</v>
      </c>
      <c r="E29" s="74">
        <v>25</v>
      </c>
      <c r="F29" s="74">
        <v>30</v>
      </c>
      <c r="G29" s="74">
        <v>28</v>
      </c>
      <c r="H29" s="74">
        <v>29</v>
      </c>
      <c r="I29" s="74">
        <v>29</v>
      </c>
      <c r="J29" s="74">
        <v>28</v>
      </c>
      <c r="K29" s="74">
        <v>29</v>
      </c>
      <c r="L29" s="74">
        <v>30</v>
      </c>
      <c r="M29" s="74">
        <v>29</v>
      </c>
      <c r="N29" s="74">
        <v>29</v>
      </c>
      <c r="O29" s="74">
        <v>30</v>
      </c>
      <c r="P29" s="74">
        <v>30</v>
      </c>
      <c r="Q29" s="93">
        <v>29</v>
      </c>
      <c r="R29" s="74">
        <v>30</v>
      </c>
      <c r="S29" s="74">
        <v>31</v>
      </c>
      <c r="T29" s="74">
        <v>30</v>
      </c>
      <c r="U29" s="74">
        <v>32</v>
      </c>
      <c r="V29" s="74">
        <v>30</v>
      </c>
      <c r="W29" s="74">
        <v>30</v>
      </c>
      <c r="X29" s="74">
        <v>30</v>
      </c>
      <c r="Y29" s="74">
        <v>29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103141.4739044</v>
      </c>
      <c r="E33" s="205" ph="1">
        <f>M10+I10</f>
        <v>199726.28787920001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31" ph="1">
        <v>0</v>
      </c>
      <c r="H33" s="205" ph="1">
        <f>N19</f>
        <v>10242.491945400001</v>
      </c>
      <c r="I33" s="209" ph="1">
        <v>0</v>
      </c>
      <c r="J33" s="213" ph="1">
        <f>F10+O28</f>
        <v>337449.1259474</v>
      </c>
      <c r="K33" s="205" ph="1">
        <f>O10+K10+E28+R28</f>
        <v>102956.34233851999</v>
      </c>
      <c r="L33" s="215" ph="1">
        <f>BE27</f>
        <v>7100</v>
      </c>
      <c r="M33" s="213" ph="1">
        <f>G10+H10+W28+S28+V28+E10</f>
        <v>1444731.0344662</v>
      </c>
      <c r="N33" s="205" ph="1">
        <f>L10+P10++G28+H28</f>
        <v>265029.66247320001</v>
      </c>
      <c r="O33" s="209" ph="1">
        <f>BE17</f>
        <v>2270</v>
      </c>
      <c r="P33" s="213" ph="1">
        <f>L19</f>
        <v>39957.986538800003</v>
      </c>
      <c r="Q33" s="205" ph="1">
        <f>J10+N10</f>
        <v>101130.7509542</v>
      </c>
      <c r="R33" s="209" ph="1">
        <f>BE23</f>
        <v>890</v>
      </c>
      <c r="S33" s="213" ph="1">
        <f>E10+X28</f>
        <v>319778.82046439999</v>
      </c>
      <c r="T33" s="205" ph="1">
        <f>X19</f>
        <v>6091.4984639599998</v>
      </c>
      <c r="U33" s="194" ph="1">
        <f>BE21</f>
        <v>730</v>
      </c>
      <c r="V33" s="207" ph="1">
        <f ca="1">P19+Q19+S19+M28+N28+J28</f>
        <v>397711.41921573802</v>
      </c>
      <c r="W33" s="207" ph="1">
        <f>D28+F28+V19+T28</f>
        <v>97360.827123700001</v>
      </c>
      <c r="X33" s="209" ph="1">
        <f>BE29+BE31</f>
        <v>10200</v>
      </c>
      <c r="Y33" s="211" ph="1">
        <f>+Q10+R10+S10+T10+U10+V10+W10+X10+Y10</f>
        <v>125974.3767282</v>
      </c>
      <c r="Z33" s="192" ph="1">
        <f>D10+T19+U19+Y28+Z10</f>
        <v>471135.47214281996</v>
      </c>
      <c r="AA33" s="194" ph="1">
        <f>BE19</f>
        <v>1440</v>
      </c>
      <c r="AB33" s="196" ph="1">
        <f>I19</f>
        <v>1097.5728699999997</v>
      </c>
      <c r="AC33" s="198" ph="1">
        <f>AD10</f>
        <v>86477.541894399998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3" t="s" ph="1">
        <v>186</v>
      </c>
      <c r="AA36" s="163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345</v>
      </c>
      <c r="AI37" s="163" t="s" ph="1">
        <v>212</v>
      </c>
      <c r="AJ37" s="163" t="s" ph="1">
        <v>213</v>
      </c>
      <c r="AK37" s="163" t="s" ph="1">
        <v>214</v>
      </c>
      <c r="AM37" s="163" t="s" ph="1">
        <v>213</v>
      </c>
      <c r="AN37" s="163" t="s" ph="1">
        <v>214</v>
      </c>
      <c r="AO37" s="163" t="s" ph="1">
        <v>215</v>
      </c>
      <c r="AP37" s="163" t="s" ph="1">
        <v>213</v>
      </c>
      <c r="AQ37" s="163" t="s" ph="1">
        <v>214</v>
      </c>
      <c r="AR37" s="163" t="s" ph="1">
        <v>215</v>
      </c>
      <c r="AS37" s="163" t="s" ph="1">
        <v>213</v>
      </c>
      <c r="AT37" s="163" t="s" ph="1">
        <v>214</v>
      </c>
      <c r="AU37" s="163" t="s" ph="1">
        <v>215</v>
      </c>
      <c r="AV37" s="163" t="s" ph="1">
        <v>213</v>
      </c>
      <c r="AW37" s="163" t="s" ph="1">
        <v>214</v>
      </c>
      <c r="AX37" s="163" t="s" ph="1">
        <v>215</v>
      </c>
      <c r="AY37" s="163" t="s" ph="1">
        <v>214</v>
      </c>
      <c r="AZ37" s="163" t="s" ph="1">
        <v>216</v>
      </c>
      <c r="BD37" s="163" t="s" ph="1">
        <v>308</v>
      </c>
      <c r="BE37" s="16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23" priority="97">
      <formula>ABS(D$7-D$10)&gt;=1000</formula>
    </cfRule>
  </conditionalFormatting>
  <conditionalFormatting sqref="E4 E6:E11">
    <cfRule type="expression" dxfId="1522" priority="96">
      <formula>ABS(E$7-E$10)&gt;=1000</formula>
    </cfRule>
  </conditionalFormatting>
  <conditionalFormatting sqref="F4:F11">
    <cfRule type="expression" dxfId="1521" priority="95">
      <formula>ABS(F$7-F$10)&gt;=1000</formula>
    </cfRule>
  </conditionalFormatting>
  <conditionalFormatting sqref="G4:G11">
    <cfRule type="expression" dxfId="1520" priority="94">
      <formula>ABS(G$7-G$10)&gt;=1000</formula>
    </cfRule>
  </conditionalFormatting>
  <conditionalFormatting sqref="H4:H11">
    <cfRule type="expression" dxfId="1519" priority="93">
      <formula>ABS(H$7-H$10)&gt;=1000</formula>
    </cfRule>
  </conditionalFormatting>
  <conditionalFormatting sqref="I4:I11">
    <cfRule type="expression" dxfId="1518" priority="92">
      <formula>ABS(I$7-I$10)&gt;=1000</formula>
    </cfRule>
  </conditionalFormatting>
  <conditionalFormatting sqref="J4:J11">
    <cfRule type="expression" dxfId="1517" priority="91">
      <formula>ABS(J$7-J$10)&gt;=1000</formula>
    </cfRule>
  </conditionalFormatting>
  <conditionalFormatting sqref="K4:K11">
    <cfRule type="expression" dxfId="1516" priority="90">
      <formula>ABS(K$7-K$10)&gt;=1000</formula>
    </cfRule>
  </conditionalFormatting>
  <conditionalFormatting sqref="L4:L11">
    <cfRule type="expression" dxfId="1515" priority="89">
      <formula>ABS(L$7-L$10)&gt;=1000</formula>
    </cfRule>
  </conditionalFormatting>
  <conditionalFormatting sqref="M4 M6:M11">
    <cfRule type="expression" dxfId="1514" priority="88">
      <formula>ABS(M$7-M$10)&gt;=1000</formula>
    </cfRule>
  </conditionalFormatting>
  <conditionalFormatting sqref="N4 N6:N11">
    <cfRule type="expression" dxfId="1513" priority="87">
      <formula>ABS(N$7-N$10)&gt;=1000</formula>
    </cfRule>
  </conditionalFormatting>
  <conditionalFormatting sqref="O4 O6:O11">
    <cfRule type="expression" dxfId="1512" priority="86">
      <formula>ABS(O$7-O$10)&gt;=1000</formula>
    </cfRule>
  </conditionalFormatting>
  <conditionalFormatting sqref="P4 P6:P11">
    <cfRule type="expression" dxfId="1511" priority="85">
      <formula>ABS(P$7-P$10)&gt;=1000</formula>
    </cfRule>
  </conditionalFormatting>
  <conditionalFormatting sqref="Q4:Q11">
    <cfRule type="expression" dxfId="1510" priority="84">
      <formula>ABS(Q$7-Q$10)&gt;=1000</formula>
    </cfRule>
  </conditionalFormatting>
  <conditionalFormatting sqref="R4:R11">
    <cfRule type="expression" dxfId="1509" priority="83">
      <formula>ABS(R$7-R$10)&gt;=1000</formula>
    </cfRule>
  </conditionalFormatting>
  <conditionalFormatting sqref="S4:S11">
    <cfRule type="expression" dxfId="1508" priority="82">
      <formula>ABS(S$7-S$10)&gt;=1000</formula>
    </cfRule>
  </conditionalFormatting>
  <conditionalFormatting sqref="T4:T9 T11">
    <cfRule type="expression" dxfId="1507" priority="81">
      <formula>ABS(T$7-T$10)&gt;=1000</formula>
    </cfRule>
  </conditionalFormatting>
  <conditionalFormatting sqref="U4:U9 U11">
    <cfRule type="expression" dxfId="1506" priority="80">
      <formula>ABS(U$7-U$10)&gt;=1000</formula>
    </cfRule>
  </conditionalFormatting>
  <conditionalFormatting sqref="V4:V9 V11">
    <cfRule type="expression" dxfId="1505" priority="79">
      <formula>ABS(V$7-V$10)&gt;=1000</formula>
    </cfRule>
  </conditionalFormatting>
  <conditionalFormatting sqref="W4:W9 W11">
    <cfRule type="expression" dxfId="1504" priority="78">
      <formula>ABS(W$7-W$10)&gt;=1000</formula>
    </cfRule>
  </conditionalFormatting>
  <conditionalFormatting sqref="X4:X9 X11">
    <cfRule type="expression" dxfId="1503" priority="77">
      <formula>ABS(X$7-X$10)&gt;=1000</formula>
    </cfRule>
  </conditionalFormatting>
  <conditionalFormatting sqref="Y4:Y9 Y11">
    <cfRule type="expression" dxfId="1502" priority="76">
      <formula>ABS(Y$7-Y$10)&gt;=1000</formula>
    </cfRule>
  </conditionalFormatting>
  <conditionalFormatting sqref="Z4:Z11">
    <cfRule type="expression" dxfId="1501" priority="75">
      <formula>ABS(Z$7-Z$10)&gt;=1000</formula>
    </cfRule>
  </conditionalFormatting>
  <conditionalFormatting sqref="AA4:AA11">
    <cfRule type="expression" dxfId="1500" priority="74">
      <formula>ABS(AA$7-AA$10)&gt;=1000</formula>
    </cfRule>
  </conditionalFormatting>
  <conditionalFormatting sqref="AB4:AB11">
    <cfRule type="expression" dxfId="1499" priority="73">
      <formula>ABS(AB$7-AB$10)&gt;=1000</formula>
    </cfRule>
  </conditionalFormatting>
  <conditionalFormatting sqref="AC4 AC6:AC11">
    <cfRule type="expression" dxfId="1498" priority="72">
      <formula>ABS(AC$7-AC$10)&gt;=1000</formula>
    </cfRule>
  </conditionalFormatting>
  <conditionalFormatting sqref="AD4:AD11">
    <cfRule type="expression" dxfId="1497" priority="71">
      <formula>ABS(AD$7-AD$10)&gt;=1000</formula>
    </cfRule>
  </conditionalFormatting>
  <conditionalFormatting sqref="AE4:AE11">
    <cfRule type="expression" dxfId="1496" priority="70">
      <formula>ABS(AE$7-AE$10)&gt;=1000</formula>
    </cfRule>
  </conditionalFormatting>
  <conditionalFormatting sqref="D13:D20">
    <cfRule type="expression" dxfId="1495" priority="69">
      <formula>ABS(D$16-D$19)&gt;=1000</formula>
    </cfRule>
  </conditionalFormatting>
  <conditionalFormatting sqref="E13:E20">
    <cfRule type="expression" dxfId="1494" priority="68">
      <formula>ABS(E$16-E$19)&gt;=1000</formula>
    </cfRule>
  </conditionalFormatting>
  <conditionalFormatting sqref="F13 F15:F20">
    <cfRule type="expression" dxfId="1493" priority="67">
      <formula>ABS(F$16-F$19)&gt;=1000</formula>
    </cfRule>
  </conditionalFormatting>
  <conditionalFormatting sqref="G13:G20">
    <cfRule type="expression" dxfId="1492" priority="66">
      <formula>ABS(G$16-G$19)&gt;=1000</formula>
    </cfRule>
  </conditionalFormatting>
  <conditionalFormatting sqref="H13:H20">
    <cfRule type="expression" dxfId="1491" priority="65">
      <formula>ABS(H$16-H$19)&gt;=1000</formula>
    </cfRule>
  </conditionalFormatting>
  <conditionalFormatting sqref="I13:I20">
    <cfRule type="expression" dxfId="1490" priority="64">
      <formula>ABS(I$16-I$19)&gt;=1000</formula>
    </cfRule>
  </conditionalFormatting>
  <conditionalFormatting sqref="J13:J20">
    <cfRule type="expression" dxfId="1489" priority="63">
      <formula>ABS(J$16-J$19)&gt;=1000</formula>
    </cfRule>
  </conditionalFormatting>
  <conditionalFormatting sqref="L13:L20">
    <cfRule type="expression" dxfId="1488" priority="62">
      <formula>ABS(L$16-L$19)&gt;=1000</formula>
    </cfRule>
  </conditionalFormatting>
  <conditionalFormatting sqref="M13 M15 M17:M18 M20">
    <cfRule type="expression" dxfId="1487" priority="61">
      <formula>ABS(M$16-M$19)&gt;=1000</formula>
    </cfRule>
  </conditionalFormatting>
  <conditionalFormatting sqref="N13:N20">
    <cfRule type="expression" dxfId="1486" priority="60">
      <formula>ABS(N$16-N$19)&gt;=1000</formula>
    </cfRule>
  </conditionalFormatting>
  <conditionalFormatting sqref="O13:O20">
    <cfRule type="expression" dxfId="1485" priority="59">
      <formula>ABS(O$16-O$19)&gt;=1000</formula>
    </cfRule>
  </conditionalFormatting>
  <conditionalFormatting sqref="P13:P20">
    <cfRule type="expression" dxfId="1484" priority="58">
      <formula>ABS(P$16-P$19)&gt;=1000</formula>
    </cfRule>
  </conditionalFormatting>
  <conditionalFormatting sqref="Q13 Q15:Q20">
    <cfRule type="expression" dxfId="1483" priority="57">
      <formula>ABS(Q$16-Q$19)&gt;=1000</formula>
    </cfRule>
  </conditionalFormatting>
  <conditionalFormatting sqref="R13:R20">
    <cfRule type="expression" dxfId="1482" priority="56">
      <formula>ABS(R$16-R$19)&gt;=1000</formula>
    </cfRule>
  </conditionalFormatting>
  <conditionalFormatting sqref="S13:S20">
    <cfRule type="expression" dxfId="1481" priority="55">
      <formula>ABS(S$16-S$19)&gt;=1000</formula>
    </cfRule>
  </conditionalFormatting>
  <conditionalFormatting sqref="T13:T20">
    <cfRule type="expression" dxfId="1480" priority="54">
      <formula>ABS(T$16-T$19)&gt;=1000</formula>
    </cfRule>
  </conditionalFormatting>
  <conditionalFormatting sqref="U13:U20">
    <cfRule type="expression" dxfId="1479" priority="53">
      <formula>ABS(U$16-U$19)&gt;=1000</formula>
    </cfRule>
  </conditionalFormatting>
  <conditionalFormatting sqref="V13:V20">
    <cfRule type="expression" dxfId="1478" priority="52">
      <formula>ABS(V$16-V$19)&gt;=1000</formula>
    </cfRule>
  </conditionalFormatting>
  <conditionalFormatting sqref="W13 W20 W15:W18">
    <cfRule type="expression" dxfId="1477" priority="51">
      <formula>ABS(W$16-W$19)&gt;=1000</formula>
    </cfRule>
  </conditionalFormatting>
  <conditionalFormatting sqref="X13 X15:X20 Y19">
    <cfRule type="expression" dxfId="1476" priority="50">
      <formula>ABS(X$16-X$19)&gt;=1000</formula>
    </cfRule>
  </conditionalFormatting>
  <conditionalFormatting sqref="Y13 Y15:Y18 Y20">
    <cfRule type="expression" dxfId="1475" priority="49">
      <formula>ABS(Y$16-Y$19)&gt;=1000</formula>
    </cfRule>
  </conditionalFormatting>
  <conditionalFormatting sqref="Z13:Z20">
    <cfRule type="expression" dxfId="1474" priority="48">
      <formula>ABS(Z$16-Z$19)&gt;=1000</formula>
    </cfRule>
  </conditionalFormatting>
  <conditionalFormatting sqref="AA13:AA20">
    <cfRule type="expression" dxfId="1473" priority="47">
      <formula>ABS(AA$16-AA$19)&gt;=1000</formula>
    </cfRule>
  </conditionalFormatting>
  <conditionalFormatting sqref="AB13 AB15:AB20">
    <cfRule type="expression" dxfId="1472" priority="46">
      <formula>ABS(AB$16-AB$19)&gt;=1000</formula>
    </cfRule>
  </conditionalFormatting>
  <conditionalFormatting sqref="AC13 AC15:AC20">
    <cfRule type="expression" dxfId="1471" priority="45">
      <formula>ABS(AC$16-AC$19)&gt;=1000</formula>
    </cfRule>
  </conditionalFormatting>
  <conditionalFormatting sqref="AD13:AD20">
    <cfRule type="expression" dxfId="1470" priority="44">
      <formula>ABS(AD$16-AD$19)&gt;=1000</formula>
    </cfRule>
  </conditionalFormatting>
  <conditionalFormatting sqref="AE13:AE20">
    <cfRule type="expression" dxfId="1469" priority="43">
      <formula>ABS(AE$16-AE$19)&gt;=1000</formula>
    </cfRule>
  </conditionalFormatting>
  <conditionalFormatting sqref="D22:D29">
    <cfRule type="expression" dxfId="1468" priority="42">
      <formula>ABS(D$25-D$28)&gt;=1000</formula>
    </cfRule>
  </conditionalFormatting>
  <conditionalFormatting sqref="E22:E29">
    <cfRule type="expression" dxfId="1467" priority="41">
      <formula>ABS(E$25-E$28)&gt;=1000</formula>
    </cfRule>
  </conditionalFormatting>
  <conditionalFormatting sqref="F22:F29">
    <cfRule type="expression" dxfId="1466" priority="40">
      <formula>ABS(F$25-F$28)&gt;=1000</formula>
    </cfRule>
  </conditionalFormatting>
  <conditionalFormatting sqref="G22:G29">
    <cfRule type="expression" dxfId="1465" priority="39">
      <formula>ABS(G$25-G$28)&gt;=1000</formula>
    </cfRule>
  </conditionalFormatting>
  <conditionalFormatting sqref="H22:H29">
    <cfRule type="expression" dxfId="1464" priority="38">
      <formula>ABS(H$25-H$28)&gt;=1000</formula>
    </cfRule>
  </conditionalFormatting>
  <conditionalFormatting sqref="I22 I24:I29">
    <cfRule type="expression" dxfId="1463" priority="37">
      <formula>ABS(I$25-I$28)&gt;=1000</formula>
    </cfRule>
  </conditionalFormatting>
  <conditionalFormatting sqref="J22:J29 K22">
    <cfRule type="expression" dxfId="1462" priority="36">
      <formula>ABS(J$25-J$28)&gt;=1000</formula>
    </cfRule>
  </conditionalFormatting>
  <conditionalFormatting sqref="K23:K29 L25 L28">
    <cfRule type="expression" dxfId="1461" priority="35">
      <formula>ABS(K$25-K$28)&gt;=1000</formula>
    </cfRule>
  </conditionalFormatting>
  <conditionalFormatting sqref="L22 L26:L27 L29 L24">
    <cfRule type="expression" dxfId="1460" priority="34">
      <formula>ABS(L$25-L$28)&gt;=1000</formula>
    </cfRule>
  </conditionalFormatting>
  <conditionalFormatting sqref="M22:M29">
    <cfRule type="expression" dxfId="1459" priority="33">
      <formula>ABS(M$25-M$28)&gt;=1000</formula>
    </cfRule>
  </conditionalFormatting>
  <conditionalFormatting sqref="N22:N29">
    <cfRule type="expression" dxfId="1458" priority="32">
      <formula>ABS(N$25-N$28)&gt;=1000</formula>
    </cfRule>
  </conditionalFormatting>
  <conditionalFormatting sqref="O22:O29">
    <cfRule type="expression" dxfId="1457" priority="31">
      <formula>ABS(O$25-O$28)&gt;=1000</formula>
    </cfRule>
  </conditionalFormatting>
  <conditionalFormatting sqref="P22:P29">
    <cfRule type="expression" dxfId="1456" priority="30">
      <formula>ABS(P$25-P$28)&gt;=1000</formula>
    </cfRule>
  </conditionalFormatting>
  <conditionalFormatting sqref="Q22:Q29">
    <cfRule type="expression" dxfId="1455" priority="29">
      <formula>ABS(Q$25-Q$28)&gt;=1000</formula>
    </cfRule>
  </conditionalFormatting>
  <conditionalFormatting sqref="R22:R29">
    <cfRule type="expression" dxfId="1454" priority="28">
      <formula>ABS(R$25-R$28)&gt;=1000</formula>
    </cfRule>
  </conditionalFormatting>
  <conditionalFormatting sqref="S22:S29">
    <cfRule type="expression" dxfId="1453" priority="27">
      <formula>ABS(S$25-S$28)&gt;=1000</formula>
    </cfRule>
  </conditionalFormatting>
  <conditionalFormatting sqref="T22:T29">
    <cfRule type="expression" dxfId="1452" priority="26">
      <formula>ABS(T$25-T$28)&gt;=1000</formula>
    </cfRule>
  </conditionalFormatting>
  <conditionalFormatting sqref="U22:U29">
    <cfRule type="expression" dxfId="1451" priority="25">
      <formula>ABS(U$25-U$28)&gt;=1000</formula>
    </cfRule>
  </conditionalFormatting>
  <conditionalFormatting sqref="V22:V29">
    <cfRule type="expression" dxfId="1450" priority="24">
      <formula>ABS(V$25-V$28)&gt;=1000</formula>
    </cfRule>
  </conditionalFormatting>
  <conditionalFormatting sqref="W22:W29">
    <cfRule type="expression" dxfId="1449" priority="23">
      <formula>ABS(W$25-W$28)&gt;=1000</formula>
    </cfRule>
  </conditionalFormatting>
  <conditionalFormatting sqref="X22:X29">
    <cfRule type="expression" dxfId="1448" priority="22">
      <formula>ABS(X$25-X$28)&gt;=1000</formula>
    </cfRule>
  </conditionalFormatting>
  <conditionalFormatting sqref="Y22:Y29">
    <cfRule type="expression" dxfId="1447" priority="21">
      <formula>ABS(Y$25-Y$28)&gt;=1000</formula>
    </cfRule>
  </conditionalFormatting>
  <conditionalFormatting sqref="I23">
    <cfRule type="expression" dxfId="1446" priority="20">
      <formula>ABS(I$25-I$28)&gt;=1000</formula>
    </cfRule>
  </conditionalFormatting>
  <conditionalFormatting sqref="F14">
    <cfRule type="expression" dxfId="1445" priority="19">
      <formula>ABS(F$16-F$19)&gt;=1000</formula>
    </cfRule>
  </conditionalFormatting>
  <conditionalFormatting sqref="Q14">
    <cfRule type="expression" dxfId="1444" priority="18">
      <formula>ABS(Q$16-Q$19)&gt;=1000</formula>
    </cfRule>
  </conditionalFormatting>
  <conditionalFormatting sqref="W14">
    <cfRule type="expression" dxfId="1443" priority="17">
      <formula>ABS(W$16-W$19)&gt;=1000</formula>
    </cfRule>
  </conditionalFormatting>
  <conditionalFormatting sqref="Y14">
    <cfRule type="expression" dxfId="1442" priority="16">
      <formula>ABS(Y$16-Y$19)&gt;=1000</formula>
    </cfRule>
  </conditionalFormatting>
  <conditionalFormatting sqref="X14">
    <cfRule type="expression" dxfId="1441" priority="15">
      <formula>ABS(X$16-X$19)&gt;=1000</formula>
    </cfRule>
  </conditionalFormatting>
  <conditionalFormatting sqref="T10:Y10">
    <cfRule type="expression" dxfId="1440" priority="14">
      <formula>ABS(T$7-T$10)&gt;=1000</formula>
    </cfRule>
  </conditionalFormatting>
  <conditionalFormatting sqref="W19">
    <cfRule type="expression" dxfId="1439" priority="13">
      <formula>ABS(W$16-W$19)&gt;=1000</formula>
    </cfRule>
  </conditionalFormatting>
  <conditionalFormatting sqref="AC5">
    <cfRule type="expression" dxfId="1438" priority="12">
      <formula>ABS(AC$7-AC$10)&gt;=1000</formula>
    </cfRule>
  </conditionalFormatting>
  <conditionalFormatting sqref="M14">
    <cfRule type="expression" dxfId="1437" priority="11">
      <formula>ABS(M$16-M$19)&gt;=1000</formula>
    </cfRule>
  </conditionalFormatting>
  <conditionalFormatting sqref="M16">
    <cfRule type="expression" dxfId="1436" priority="10">
      <formula>ABS(M$16-M$19)&gt;=1000</formula>
    </cfRule>
  </conditionalFormatting>
  <conditionalFormatting sqref="M19">
    <cfRule type="expression" dxfId="1435" priority="9">
      <formula>ABS(M$16-M$19)&gt;=1000</formula>
    </cfRule>
  </conditionalFormatting>
  <conditionalFormatting sqref="K13:K20">
    <cfRule type="expression" dxfId="1434" priority="8">
      <formula>ABS(K$16-K$19)&gt;=1000</formula>
    </cfRule>
  </conditionalFormatting>
  <conditionalFormatting sqref="E5">
    <cfRule type="expression" dxfId="1433" priority="7">
      <formula>ABS(E$7-E$10)&gt;=1000</formula>
    </cfRule>
  </conditionalFormatting>
  <conditionalFormatting sqref="AB14:AC14">
    <cfRule type="expression" dxfId="1432" priority="6">
      <formula>ABS(AB$16-AB$19)&gt;=1000</formula>
    </cfRule>
  </conditionalFormatting>
  <conditionalFormatting sqref="M5">
    <cfRule type="expression" dxfId="1431" priority="5">
      <formula>ABS(M$7-M$10)&gt;=1000</formula>
    </cfRule>
  </conditionalFormatting>
  <conditionalFormatting sqref="N5">
    <cfRule type="expression" dxfId="1430" priority="4">
      <formula>ABS(N$7-N$10)&gt;=1000</formula>
    </cfRule>
  </conditionalFormatting>
  <conditionalFormatting sqref="O5">
    <cfRule type="expression" dxfId="1429" priority="3">
      <formula>ABS(O$7-O$10)&gt;=1000</formula>
    </cfRule>
  </conditionalFormatting>
  <conditionalFormatting sqref="P5">
    <cfRule type="expression" dxfId="1428" priority="2">
      <formula>ABS(P$7-P$10)&gt;=1000</formula>
    </cfRule>
  </conditionalFormatting>
  <conditionalFormatting sqref="L23">
    <cfRule type="expression" dxfId="142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72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59">
    <pageSetUpPr fitToPage="1"/>
  </sheetPr>
  <dimension ref="A1:CU223"/>
  <sheetViews>
    <sheetView view="pageBreakPreview" zoomScale="80" zoomScaleNormal="100" zoomScaleSheetLayoutView="80" workbookViewId="0">
      <selection activeCell="V18" sqref="V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45824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6" t="s" ph="1">
        <v>178</v>
      </c>
      <c r="D6" s="71">
        <v>5124</v>
      </c>
      <c r="E6" s="71">
        <v>5148</v>
      </c>
      <c r="F6" s="71">
        <v>7138</v>
      </c>
      <c r="G6" s="71">
        <v>5503</v>
      </c>
      <c r="H6" s="71">
        <v>2636</v>
      </c>
      <c r="I6" s="71">
        <v>63.31</v>
      </c>
      <c r="J6" s="71">
        <v>7.82</v>
      </c>
      <c r="K6" s="71">
        <v>7.71</v>
      </c>
      <c r="L6" s="71">
        <v>61.62</v>
      </c>
      <c r="M6" s="71">
        <v>5316</v>
      </c>
      <c r="N6" s="71">
        <v>3841</v>
      </c>
      <c r="O6" s="71">
        <v>47</v>
      </c>
      <c r="P6" s="71">
        <v>4442</v>
      </c>
      <c r="Q6" s="71">
        <v>0</v>
      </c>
      <c r="R6" s="71">
        <v>0</v>
      </c>
      <c r="S6" s="71">
        <v>4880</v>
      </c>
      <c r="T6" s="71">
        <v>7193</v>
      </c>
      <c r="U6" s="71">
        <v>4884</v>
      </c>
      <c r="V6" s="71">
        <v>2281</v>
      </c>
      <c r="W6" s="71">
        <v>0</v>
      </c>
      <c r="X6" s="71">
        <v>0</v>
      </c>
      <c r="Y6" s="71">
        <v>0</v>
      </c>
      <c r="Z6" s="71">
        <v>6486</v>
      </c>
      <c r="AA6" s="71">
        <v>556</v>
      </c>
      <c r="AB6" s="71">
        <v>3995</v>
      </c>
      <c r="AC6" s="71">
        <v>4141</v>
      </c>
      <c r="AD6" s="71">
        <v>4406</v>
      </c>
      <c r="AE6" s="71">
        <v>3010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160613.44765704</v>
      </c>
      <c r="E7" s="73" ph="1">
        <f>E6*51.53*LOOKUP(E8,密度!$A$2:$A$50,密度!$B$2:$B$50)</f>
        <v>206358.54267600001</v>
      </c>
      <c r="F7" s="73" ph="1">
        <f>F6*33.183*LOOKUP(F8,密度!$A$2:$A$50,密度!$C$2:$C$50)</f>
        <v>262654.33566059999</v>
      </c>
      <c r="G7" s="73" ph="1">
        <f xml:space="preserve"> (G6+2)*51.53*LOOKUP(G8,密度!$A$2:$A$50,密度!$B$2:$B$50)</f>
        <v>220668.95443500002</v>
      </c>
      <c r="H7" s="73" ph="1">
        <f>(H6)*51.53*LOOKUP(H8,密度!$A$2:$A$50,密度!$B$2:$B$50)</f>
        <v>106017.71894000001</v>
      </c>
      <c r="I7" s="73" ph="1">
        <f>I6*290.8*1.0267</f>
        <v>18902.1096316</v>
      </c>
      <c r="J7" s="73" ph="1">
        <f>J6*290.8*0.7892</f>
        <v>1794.6849952</v>
      </c>
      <c r="K7" s="73" ph="1">
        <f>K6*290.8*1.1126</f>
        <v>2494.5248568000002</v>
      </c>
      <c r="L7" s="73" ph="1">
        <f>L6*290.8*0.777</f>
        <v>13923.137592000001</v>
      </c>
      <c r="M7" s="73" ph="1">
        <f>M6*33.183*LOOKUP(M8,密度!$A$2:$A$50,密度!$D$2:$D$50)</f>
        <v>181110.73010759999</v>
      </c>
      <c r="N7" s="73" ph="1">
        <f>N6*33.183*LOOKUP(N8,密度!$A$2:$A$50,密度!$E$2:$E$50)</f>
        <v>99543.060243000014</v>
      </c>
      <c r="O7" s="73" ph="1">
        <f>O6*20.428*LOOKUP(O8,密度!$A$2:$A$50,密度!$C$2:$C$50)</f>
        <v>1062.4643656000001</v>
      </c>
      <c r="P7" s="73" ph="1">
        <f>P6*51.53*LOOKUP(P8,密度!$A$2:$A$50,密度!$B$2:$B$50)</f>
        <v>178447.52429599999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32390.587151999996</v>
      </c>
      <c r="T7" s="73" ph="1">
        <f>T6*1.5*1.5*3.1416*LOOKUP(T8,密度!$A$2:$A$50,密度!$L$2:$L$50)</f>
        <v>47742.928972199996</v>
      </c>
      <c r="U7" s="73" ph="1">
        <f>U6*1.5*1.5*3.1416*LOOKUP(U8,密度!$A$2:$A$50,密度!$L$2:$L$50)</f>
        <v>32313.567686400002</v>
      </c>
      <c r="V7" s="73" ph="1">
        <f>V6*1.5*1.5*3.1416*LOOKUP(V8,密度!$A$2:$A$50,密度!$L$2:$L$50)</f>
        <v>15059.3271444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201880.99184399997</v>
      </c>
      <c r="AA7" s="73" ph="1">
        <f>AA6*33.183*LOOKUP(AA8,密度!$A$2:$A$50,密度!$D$2:$D$50)</f>
        <v>18942.356271599998</v>
      </c>
      <c r="AB7" s="73" ph="1">
        <f>AB6*20.428*LOOKUP(AB8,密度!$A$2:$A$50,密度!$D$2:$D$50)</f>
        <v>84098.960729999992</v>
      </c>
      <c r="AC7" s="73" ph="1">
        <f>AC6*51.53*LOOKUP(AC8,密度!$A$2:$A$50,密度!$Q$2:$Q$50)</f>
        <v>202020.80602020002</v>
      </c>
      <c r="AD7" s="73" ph="1">
        <f>AD6*20.428*LOOKUP(AD8,密度!$A$2:$A$50,密度!$V$2:$V$50)</f>
        <v>86477.541894399998</v>
      </c>
      <c r="AE7" s="73" ph="1">
        <f>AE6*20.428</f>
        <v>61488.280000000006</v>
      </c>
    </row>
    <row r="8" spans="1:99" ph="1">
      <c r="B8" s="256" ph="1"/>
      <c r="C8" s="68" t="s" ph="1">
        <v>180</v>
      </c>
      <c r="D8" s="74">
        <v>28</v>
      </c>
      <c r="E8" s="74">
        <v>27</v>
      </c>
      <c r="F8" s="74">
        <v>25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28</v>
      </c>
      <c r="P8" s="74">
        <v>25</v>
      </c>
      <c r="Q8" s="74">
        <v>25</v>
      </c>
      <c r="R8" s="74">
        <v>30</v>
      </c>
      <c r="S8" s="74">
        <v>23</v>
      </c>
      <c r="T8" s="74">
        <v>23</v>
      </c>
      <c r="U8" s="74">
        <v>26</v>
      </c>
      <c r="V8" s="74">
        <v>28</v>
      </c>
      <c r="W8" s="74">
        <v>25</v>
      </c>
      <c r="X8" s="74">
        <v>26</v>
      </c>
      <c r="Y8" s="74">
        <v>24</v>
      </c>
      <c r="Z8" s="74">
        <v>24</v>
      </c>
      <c r="AA8" s="74">
        <v>25</v>
      </c>
      <c r="AB8" s="74">
        <v>21</v>
      </c>
      <c r="AC8" s="74">
        <v>25</v>
      </c>
      <c r="AD8" s="74">
        <v>25</v>
      </c>
      <c r="AE8" s="74">
        <v>28</v>
      </c>
    </row>
    <row r="9" spans="1:99" ht="26.4" ph="1">
      <c r="B9" s="256" ph="1">
        <v>0.66666666666666663</v>
      </c>
      <c r="C9" s="166" t="s" ph="1">
        <v>181</v>
      </c>
      <c r="D9" s="71">
        <v>5124</v>
      </c>
      <c r="E9" s="71">
        <v>5145</v>
      </c>
      <c r="F9" s="71">
        <v>7131</v>
      </c>
      <c r="G9" s="71">
        <v>5747</v>
      </c>
      <c r="H9" s="71">
        <v>4829</v>
      </c>
      <c r="I9" s="71">
        <v>63.21</v>
      </c>
      <c r="J9" s="71">
        <v>7.82</v>
      </c>
      <c r="K9" s="71">
        <v>7.62</v>
      </c>
      <c r="L9" s="71">
        <v>88.11</v>
      </c>
      <c r="M9" s="71">
        <v>5313</v>
      </c>
      <c r="N9" s="71">
        <v>3796</v>
      </c>
      <c r="O9" s="71">
        <v>44</v>
      </c>
      <c r="P9" s="71">
        <v>3885</v>
      </c>
      <c r="Q9" s="71">
        <v>0</v>
      </c>
      <c r="R9" s="71">
        <v>0</v>
      </c>
      <c r="S9" s="71">
        <v>930</v>
      </c>
      <c r="T9" s="71">
        <v>7195</v>
      </c>
      <c r="U9" s="71">
        <v>7075</v>
      </c>
      <c r="V9" s="71">
        <v>4844</v>
      </c>
      <c r="W9" s="71">
        <v>1782</v>
      </c>
      <c r="X9" s="71">
        <v>0</v>
      </c>
      <c r="Y9" s="71">
        <v>0</v>
      </c>
      <c r="Z9" s="71">
        <v>4194</v>
      </c>
      <c r="AA9" s="71">
        <v>555</v>
      </c>
      <c r="AB9" s="71">
        <v>3916</v>
      </c>
      <c r="AC9" s="71">
        <v>4143</v>
      </c>
      <c r="AD9" s="71">
        <v>4407</v>
      </c>
      <c r="AE9" s="71">
        <v>2818</v>
      </c>
    </row>
    <row r="10" spans="1:99" s="72" customFormat="1" ht="22.2" ph="1">
      <c r="B10" s="256" ph="1"/>
      <c r="C10" s="166" t="s" ph="1">
        <v>179</v>
      </c>
      <c r="D10" s="73" ph="1">
        <f>D9*33.183*LOOKUP(D11,密度!$A$2:$A$50,密度!$Q$2:$Q$50)</f>
        <v>160150.96689479999</v>
      </c>
      <c r="E10" s="73" ph="1">
        <f>E9*51.53*LOOKUP(E11,密度!$A$2:$A$50,密度!$B$2:$B$50)</f>
        <v>205071.75097500003</v>
      </c>
      <c r="F10" s="73" ph="1">
        <f>F9*33.183*LOOKUP(F11,密度!$A$2:$A$50,密度!$C$2:$C$50)</f>
        <v>261260.94498930001</v>
      </c>
      <c r="G10" s="73" ph="1">
        <f xml:space="preserve"> (G9+2)*51.53*LOOKUP(G11,密度!$A$2:$A$50,密度!$B$2:$B$50)</f>
        <v>229679.50054100002</v>
      </c>
      <c r="H10" s="73" ph="1">
        <f>(H9)*51.53*LOOKUP(H11,密度!$A$2:$A$50,密度!$B$2:$B$50)</f>
        <v>193347.41349000001</v>
      </c>
      <c r="I10" s="73" ph="1">
        <f>I9*290.8*1.0267</f>
        <v>18872.253195599998</v>
      </c>
      <c r="J10" s="73" ph="1">
        <f>J9*290.8*0.7892</f>
        <v>1794.6849952</v>
      </c>
      <c r="K10" s="73" ph="1">
        <f>K9*290.8*1.1126</f>
        <v>2465.4058896000001</v>
      </c>
      <c r="L10" s="73" ph="1">
        <f>L9*290.8*0.777</f>
        <v>19908.595476000002</v>
      </c>
      <c r="M10" s="73" ph="1">
        <f>M9*33.183*LOOKUP(M11,密度!$A$2:$A$50,密度!$D$2:$D$50)</f>
        <v>178469.7847317</v>
      </c>
      <c r="N10" s="73" ph="1">
        <f>N9*33.183*LOOKUP(N11,密度!$A$2:$A$50,密度!$E$2:$E$50)</f>
        <v>97661.375753760003</v>
      </c>
      <c r="O10" s="73" ph="1">
        <f>O9*20.428*LOOKUP(O11,密度!$A$2:$A$50,密度!$C$2:$C$50)</f>
        <v>981.07512799999995</v>
      </c>
      <c r="P10" s="73" ph="1">
        <f>P9*51.53*LOOKUP(P11,密度!$A$2:$A$50,密度!$B$2:$B$50)</f>
        <v>155030.27232000002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6153.074928</v>
      </c>
      <c r="T10" s="73" ph="1">
        <f>T9*1.5*1.5*3.1416*LOOKUP(T11,密度!$A$2:$A$50,密度!$L$2:$L$50)</f>
        <v>47654.486648999999</v>
      </c>
      <c r="U10" s="73" ph="1">
        <f>U9*1.5*1.5*3.1416*LOOKUP(U11,密度!$A$2:$A$50,密度!$L$2:$L$50)</f>
        <v>46709.662230000002</v>
      </c>
      <c r="V10" s="73" ph="1">
        <f>V9*1.5*1.5*3.1416*LOOKUP(V11,密度!$A$2:$A$50,密度!$L$2:$L$50)</f>
        <v>31980.438705600001</v>
      </c>
      <c r="W10" s="73" ph="1">
        <f>W9*1.5*1.5*3.1416*LOOKUP(W11,密度!$A$2:$A$50,密度!$L$2:$L$50)</f>
        <v>11790.085507199999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129010.12835400001</v>
      </c>
      <c r="AA10" s="73" ph="1">
        <f>AA9*33.183*LOOKUP(AA11,密度!$A$2:$A$50,密度!$D$2:$D$50)</f>
        <v>18514.909457099995</v>
      </c>
      <c r="AB10" s="73" ph="1">
        <f>AB9*20.428*LOOKUP(AB11,密度!$A$2:$A$50,密度!$D$2:$D$50)</f>
        <v>82203.938924800023</v>
      </c>
      <c r="AC10" s="73" ph="1">
        <f>AC9*51.53*LOOKUP(AC11,密度!$A$2:$A$50,密度!$Q$2:$Q$50)</f>
        <v>201230.26367819999</v>
      </c>
      <c r="AD10" s="73" ph="1">
        <f>AD9*20.428*LOOKUP(AD11,密度!$A$2:$A$50,密度!$V$2:$V$50)</f>
        <v>86209.085289600014</v>
      </c>
      <c r="AE10" s="73" ph="1">
        <f>AE9*20.428</f>
        <v>57566.103999999999</v>
      </c>
    </row>
    <row r="11" spans="1:99" ph="1">
      <c r="A11" s="64" t="s" ph="1">
        <v>163</v>
      </c>
      <c r="B11" s="256" ph="1"/>
      <c r="C11" s="166" t="s" ph="1">
        <v>180</v>
      </c>
      <c r="D11" s="74">
        <v>32</v>
      </c>
      <c r="E11" s="74">
        <v>32</v>
      </c>
      <c r="F11" s="74">
        <v>31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41</v>
      </c>
      <c r="N11" s="74">
        <v>32</v>
      </c>
      <c r="O11" s="74">
        <v>43</v>
      </c>
      <c r="P11" s="74">
        <v>31</v>
      </c>
      <c r="Q11" s="74">
        <v>39</v>
      </c>
      <c r="R11" s="74">
        <v>41</v>
      </c>
      <c r="S11" s="74">
        <v>26</v>
      </c>
      <c r="T11" s="74">
        <v>25</v>
      </c>
      <c r="U11" s="74">
        <v>28</v>
      </c>
      <c r="V11" s="74">
        <v>28</v>
      </c>
      <c r="W11" s="74">
        <v>26</v>
      </c>
      <c r="X11" s="74">
        <v>25</v>
      </c>
      <c r="Y11" s="74">
        <v>32</v>
      </c>
      <c r="Z11" s="74">
        <v>35</v>
      </c>
      <c r="AA11" s="74">
        <v>50</v>
      </c>
      <c r="AB11" s="74">
        <v>24</v>
      </c>
      <c r="AC11" s="74">
        <v>31</v>
      </c>
      <c r="AD11" s="74">
        <v>33</v>
      </c>
      <c r="AE11" s="74">
        <v>31</v>
      </c>
    </row>
    <row r="12" spans="1:99" ht="9.9" customHeight="1" ph="1"/>
    <row r="13" spans="1:99" s="72" customFormat="1" ht="29.25" customHeight="1" ph="1">
      <c r="B13" s="233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6" t="s" ph="1">
        <v>178</v>
      </c>
      <c r="D15" s="78">
        <v>4788</v>
      </c>
      <c r="E15" s="78">
        <v>4717</v>
      </c>
      <c r="F15" s="78">
        <v>2438</v>
      </c>
      <c r="G15" s="78">
        <v>814</v>
      </c>
      <c r="H15" s="78">
        <v>3726</v>
      </c>
      <c r="I15" s="78">
        <v>118</v>
      </c>
      <c r="J15" s="78">
        <v>1687</v>
      </c>
      <c r="K15" s="78">
        <v>1786</v>
      </c>
      <c r="L15" s="78">
        <v>5646</v>
      </c>
      <c r="M15" s="78">
        <v>2514</v>
      </c>
      <c r="N15" s="78">
        <v>2326</v>
      </c>
      <c r="O15" s="78">
        <v>6086</v>
      </c>
      <c r="P15" s="78">
        <v>7164</v>
      </c>
      <c r="Q15" s="78">
        <v>0</v>
      </c>
      <c r="R15" s="78">
        <v>3513</v>
      </c>
      <c r="S15" s="78">
        <v>6925</v>
      </c>
      <c r="T15" s="78">
        <v>3439</v>
      </c>
      <c r="U15" s="78">
        <v>2362</v>
      </c>
      <c r="V15" s="78">
        <v>-547</v>
      </c>
      <c r="W15" s="71">
        <v>-370</v>
      </c>
      <c r="X15" s="78">
        <v>27</v>
      </c>
      <c r="Y15" s="106">
        <v>-9908</v>
      </c>
      <c r="Z15" s="78">
        <v>0</v>
      </c>
      <c r="AA15" s="78">
        <v>0</v>
      </c>
      <c r="AB15" s="78" ph="1">
        <v>2369</v>
      </c>
      <c r="AC15" s="78" ph="1">
        <v>22</v>
      </c>
      <c r="AD15" s="78">
        <v>42.31</v>
      </c>
      <c r="AE15" s="78">
        <v>84.11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6" t="s" ph="1">
        <v>179</v>
      </c>
      <c r="D16" s="73" ph="1">
        <f>D15*7.0686*LOOKUP(D17,密度!$A$2:$A$50,密度!$L$2:$L$50)</f>
        <v>31610.722651200002</v>
      </c>
      <c r="E16" s="73" ph="1">
        <f>E15*7.0686*LOOKUP(E17,密度!$A$2:$A$50,密度!$L$2:$L$50)</f>
        <v>31175.318096999999</v>
      </c>
      <c r="F16" s="73" ph="1">
        <f>F15*9.0746*LOOKUP(F17,密度!$A$2:$A$50,密度!$L$2:$L$50)</f>
        <v>20685.822938000001</v>
      </c>
      <c r="G16" s="73" ph="1">
        <f>G15*9.0746*LOOKUP(G17,密度!$A$2:$A$50,密度!$B$2:$B$50)</f>
        <v>5765.3383942</v>
      </c>
      <c r="H16" s="73" ph="1">
        <f>H15*9.0746*LOOKUP(H17,密度!$A$2:$A$50,密度!$L$2:$L$50)</f>
        <v>31681.806145200004</v>
      </c>
      <c r="I16" s="73" ph="1">
        <f>I15*9.0746*LOOKUP(I17,密度!$A$2:$A$50,密度!$U$2:$U$50)</f>
        <v>1097.5728699999997</v>
      </c>
      <c r="J16" s="73" ph="1">
        <f>J15*9.0746*LOOKUP(J17,密度!$A$2:$A$50,密度!$L$2:$L$50)</f>
        <v>14313.774937000002</v>
      </c>
      <c r="K16" s="73" ph="1">
        <f>K15*9.0746*LOOKUP(K17,密度!$A$2:$A$50,密度!$C$2:$C$50)</f>
        <v>17959.237768360003</v>
      </c>
      <c r="L16" s="73" ph="1">
        <f>L15*9.0746*LOOKUP(L17,密度!$A$2:$A$50,密度!$E$2:$E$50)</f>
        <v>40014.684639599996</v>
      </c>
      <c r="M16" s="73" ph="1">
        <f>M15*9.0746*LOOKUP(M17,密度!$A$2:$A$50,密度!$M$2:$M$50)</f>
        <v>19893.410716799997</v>
      </c>
      <c r="N16" s="73" ph="1">
        <f>N15*9.0746*LOOKUP(N17,密度!$A$2:$A$50,密度!$M$2:$M$50)</f>
        <v>18471.190401960001</v>
      </c>
      <c r="O16" s="73" ph="1">
        <f>O15*9.0746*LOOKUP(O17,密度!$A$2:$A$50,密度!$G$2:$G$50)</f>
        <v>52853.210929199995</v>
      </c>
      <c r="P16" s="73" ph="1">
        <f ca="1">P15*9.0746*LOOKUP(P17,密度!$A$2:$A$51,密度!$Q$2:$Q$50)</f>
        <v>61455.663847008</v>
      </c>
      <c r="Q16" s="73" ph="1">
        <f>Q15*9.0746*LOOKUP(Q17,密度!$A$2:$A$50,密度!$Q$2:$Q$50)</f>
        <v>0</v>
      </c>
      <c r="R16" s="73" ph="1">
        <f>MAX(R15*9.0746*LOOKUP(R17,密度!$A$2:$A$50,密度!$B$2:$B$50),0)</f>
        <v>24770.0372346</v>
      </c>
      <c r="S16" s="73" ph="1">
        <f>S15*9.0746*LOOKUP(S17,密度!$A$2:$A$50,密度!$Q$2:$Q$50)</f>
        <v>59361.436915100006</v>
      </c>
      <c r="T16" s="73" ph="1">
        <f>T15*9.0746*LOOKUP(T17,密度!$A$2:$A$50,密度!$O$2:$O$50)</f>
        <v>28898.190744400003</v>
      </c>
      <c r="U16" s="73" ph="1">
        <f>U15*9.0746*LOOKUP(U17,密度!$A$2:$A$50,密度!$H$2:$H$50)</f>
        <v>19567.28592708</v>
      </c>
      <c r="V16" s="73" ph="1">
        <f>MAX(5600*LOOKUP(V17,密度!$A$2:$A$50,密度!$Q$2:$Q$50)+V15*9.0476*LOOKUP(V17,密度!$A$2:$A$50,密度!$Q$2:$Q$50),0)</f>
        <v>615.83033768400037</v>
      </c>
      <c r="W16" s="73" ph="1">
        <f>MAX(5600*LOOKUP(W17,密度!$A$2:$A$50,密度!$Q$2:$Q$50)+W15*9.0476*LOOKUP(W17,密度!$A$2:$A$50,密度!$Q$2:$Q$50),0)</f>
        <v>2129.2274241600007</v>
      </c>
      <c r="X16" s="73" ph="1">
        <f>MAX(5600*LOOKUP(X17,密度!$A$2:$A$50,密度!$I$2:$I$50)+X15*9.0476*LOOKUP(X17,密度!$A$2:$A$50,密度!$I$2:$I$50),0)</f>
        <v>6078.0566079999999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20057.379664200002</v>
      </c>
      <c r="AC16" s="73" ph="1">
        <f>AC15*9.0746*LOOKUP(AC17,密度!$A$2:$A$50,密度!$L$2:$L$50)</f>
        <v>187.46308679999999</v>
      </c>
      <c r="AD16" s="73" ph="1">
        <f>AD15*268.68*LOOKUP(AD17,密度!$A$2:$A$50,密度!B2:B50)+IF(AD15&lt;=0,0,1566*LOOKUP(AD17,密度!$A$2:$A$50,密度!B2:B50))</f>
        <v>10083.23008368</v>
      </c>
      <c r="AE16" s="73" ph="1">
        <f>AE15*268.68*LOOKUP(AE17,密度!$A$2:$A$50,密度!B2:B50)+IF(AE15&lt;=0,0,1566*LOOKUP(AE17,密度!$A$2:$A$50,密度!B2:B50))</f>
        <v>18838.780474079998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27</v>
      </c>
      <c r="F17" s="74">
        <v>27</v>
      </c>
      <c r="G17" s="74">
        <v>24</v>
      </c>
      <c r="H17" s="74">
        <v>25</v>
      </c>
      <c r="I17" s="74">
        <v>25</v>
      </c>
      <c r="J17" s="74">
        <v>27</v>
      </c>
      <c r="K17" s="74">
        <v>26</v>
      </c>
      <c r="L17" s="74">
        <v>27</v>
      </c>
      <c r="M17" s="74">
        <v>28</v>
      </c>
      <c r="N17" s="74">
        <v>25</v>
      </c>
      <c r="O17" s="74">
        <v>28</v>
      </c>
      <c r="P17" s="74">
        <v>27</v>
      </c>
      <c r="Q17" s="74">
        <v>25</v>
      </c>
      <c r="R17" s="74">
        <v>28</v>
      </c>
      <c r="S17" s="74">
        <v>28</v>
      </c>
      <c r="T17" s="74">
        <v>25</v>
      </c>
      <c r="U17" s="74">
        <v>27</v>
      </c>
      <c r="V17" s="74">
        <v>26</v>
      </c>
      <c r="W17" s="74">
        <v>27</v>
      </c>
      <c r="X17" s="74">
        <v>27</v>
      </c>
      <c r="Y17" s="108">
        <v>27</v>
      </c>
      <c r="Z17" s="74">
        <v>25</v>
      </c>
      <c r="AA17" s="74">
        <v>23</v>
      </c>
      <c r="AB17" s="74">
        <v>29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3388</v>
      </c>
      <c r="E18" s="71">
        <v>4718</v>
      </c>
      <c r="F18" s="71">
        <v>2439</v>
      </c>
      <c r="G18" s="71">
        <v>904</v>
      </c>
      <c r="H18" s="71">
        <v>3726</v>
      </c>
      <c r="I18" s="71">
        <v>116</v>
      </c>
      <c r="J18" s="71">
        <v>1686</v>
      </c>
      <c r="K18" s="71">
        <v>1785</v>
      </c>
      <c r="L18" s="71">
        <v>5647</v>
      </c>
      <c r="M18" s="71">
        <v>3628</v>
      </c>
      <c r="N18" s="71">
        <v>3495</v>
      </c>
      <c r="O18" s="71">
        <v>6087</v>
      </c>
      <c r="P18" s="71">
        <v>7166</v>
      </c>
      <c r="Q18" s="71">
        <v>0</v>
      </c>
      <c r="R18" s="71">
        <v>3514</v>
      </c>
      <c r="S18" s="71">
        <v>6927</v>
      </c>
      <c r="T18" s="71">
        <v>2880</v>
      </c>
      <c r="U18" s="71">
        <v>2360</v>
      </c>
      <c r="V18" s="71">
        <v>-470</v>
      </c>
      <c r="W18" s="71">
        <v>-371</v>
      </c>
      <c r="X18" s="71">
        <v>26</v>
      </c>
      <c r="Y18" s="109">
        <v>-9908</v>
      </c>
      <c r="Z18" s="71">
        <v>0</v>
      </c>
      <c r="AA18" s="71">
        <v>0</v>
      </c>
      <c r="AB18" s="71">
        <v>2369</v>
      </c>
      <c r="AC18" s="71">
        <v>-42</v>
      </c>
      <c r="AD18" s="71">
        <v>70.510000000000005</v>
      </c>
      <c r="AE18" s="71">
        <v>0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6" t="s" ph="1">
        <v>179</v>
      </c>
      <c r="D19" s="73" ph="1">
        <f>D18*7.0686*LOOKUP(D20,密度!$A$2:$A$50,密度!$L$2:$L$50)</f>
        <v>22248.0792072</v>
      </c>
      <c r="E19" s="73" ph="1">
        <f>E18*7.0686*LOOKUP(E20,密度!$A$2:$A$50,密度!$L$2:$L$50)</f>
        <v>31015.178963999999</v>
      </c>
      <c r="F19" s="73" ph="1">
        <f>F18*9.0746*LOOKUP(F20,密度!$A$2:$A$50,密度!$L$2:$L$50)</f>
        <v>20716.440638400003</v>
      </c>
      <c r="G19" s="73" ph="1">
        <f>G18*9.0746*LOOKUP(G20,密度!$A$2:$A$50,密度!$B$2:$B$50)</f>
        <v>6352.7426969600001</v>
      </c>
      <c r="H19" s="73" ph="1">
        <f>H18*9.0746*LOOKUP(H20,密度!$A$2:$A$50,密度!$L$2:$L$50)</f>
        <v>31580.370266400005</v>
      </c>
      <c r="I19" s="73" ph="1">
        <f>I18*9.0746*LOOKUP(I20,密度!$A$2:$A$50,密度!$U$2:$U$50)</f>
        <v>1064.2327895999999</v>
      </c>
      <c r="J19" s="73" ph="1">
        <f>J18*9.0746*LOOKUP(J20,密度!$A$2:$A$50,密度!$L$2:$L$50)</f>
        <v>14213.491532400001</v>
      </c>
      <c r="K19" s="73" ph="1">
        <f>K18*9.0746*LOOKUP(K20,密度!$A$2:$A$50,密度!$C$2:$C$50)</f>
        <v>17866.571583000001</v>
      </c>
      <c r="L19" s="73" ph="1">
        <f>L18*9.0746*LOOKUP(L20,密度!$A$2:$A$50,密度!$E$2:$E$50)</f>
        <v>39847.541397119996</v>
      </c>
      <c r="M19" s="73" ph="1">
        <f>M18*9.0746*LOOKUP(M20,密度!$A$2:$A$50,密度!$M$2:$M$50)</f>
        <v>28570.933081616004</v>
      </c>
      <c r="N19" s="73" ph="1">
        <f>N18*9.0746*LOOKUP(N20,密度!$A$2:$A$50,密度!$M$2:$M$50)</f>
        <v>27656.113944000001</v>
      </c>
      <c r="O19" s="73" ph="1">
        <f>O18*9.0746*LOOKUP(O20,密度!$A$2:$A$50,密度!$G$2:$G$50)</f>
        <v>52734.850013939998</v>
      </c>
      <c r="P19" s="73" ph="1">
        <f ca="1">P18*9.0746*LOOKUP(P20,密度!$A$2:$A$51,密度!$Q$2:$Q$50)</f>
        <v>61343.413767387996</v>
      </c>
      <c r="Q19" s="73" ph="1">
        <f>Q18*9.0746*LOOKUP(Q20,密度!$A$2:$A$50,密度!$Q$2:$Q$50)</f>
        <v>0</v>
      </c>
      <c r="R19" s="73" ph="1">
        <f>MAX(R18*9.0746*LOOKUP(R20,密度!$A$2:$A$50,密度!$B$2:$B$50),0)</f>
        <v>24722.87835332</v>
      </c>
      <c r="S19" s="73" ph="1">
        <f>S18*9.0746*LOOKUP(S20,密度!$A$2:$A$50,密度!$Q$2:$Q$50)</f>
        <v>59250.347113836004</v>
      </c>
      <c r="T19" s="73" ph="1">
        <f>T18*9.0746*LOOKUP(T20,密度!$A$2:$A$50,密度!$O$2:$O$50)</f>
        <v>24096.329856000004</v>
      </c>
      <c r="U19" s="73" ph="1">
        <f>U18*9.0746*LOOKUP(U20,密度!$A$2:$A$50,密度!$H$2:$H$50)</f>
        <v>19488.610960000002</v>
      </c>
      <c r="V19" s="73" ph="1">
        <f>MAX(5600*LOOKUP(V20,密度!$A$2:$A$50,密度!$Q$2:$Q$50)+V18*9.0476*LOOKUP(V20,密度!$A$2:$A$50,密度!$Q$2:$Q$50),0)</f>
        <v>1272.9963613600007</v>
      </c>
      <c r="W19" s="73" ph="1">
        <f>MAX(5600*LOOKUP(W20,密度!$A$2:$A$50,密度!$Q$2:$Q$50)+W18*9.0476*LOOKUP(W20,密度!$A$2:$A$50,密度!$Q$2:$Q$50),0)</f>
        <v>2111.5441515000002</v>
      </c>
      <c r="X19" s="73" ph="1">
        <f>MAX(5600*LOOKUP(X20,密度!$A$2:$A$50,密度!$I$2:$I$50)+X18*9.0476*LOOKUP(X20,密度!$A$2:$A$50,密度!$I$2:$I$50),0)</f>
        <v>6029.4926597040003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20035.8819368</v>
      </c>
      <c r="AC19" s="73" ph="1">
        <f>AC18*9.0746*LOOKUP(AC20,密度!$A$2:$A$50,密度!$L$2:$L$50)</f>
        <v>-354.45387599999998</v>
      </c>
      <c r="AD19" s="73" ph="1">
        <f>AD18*268.68*LOOKUP(AD20,密度!$A$2:$A$50,密度!B5:B53)+IF(AD18&lt;=0,0,1566*LOOKUP(AD20,密度!$A$2:$A$50,密度!B5:B53))</f>
        <v>15936.757023600001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33</v>
      </c>
      <c r="E20" s="81">
        <v>32</v>
      </c>
      <c r="F20" s="81">
        <v>26</v>
      </c>
      <c r="G20" s="81">
        <v>31</v>
      </c>
      <c r="H20" s="81">
        <v>28</v>
      </c>
      <c r="I20" s="81">
        <v>40</v>
      </c>
      <c r="J20" s="81">
        <v>33</v>
      </c>
      <c r="K20" s="81">
        <v>32</v>
      </c>
      <c r="L20" s="81">
        <v>30</v>
      </c>
      <c r="M20" s="81">
        <v>32</v>
      </c>
      <c r="N20" s="81">
        <v>28</v>
      </c>
      <c r="O20" s="81">
        <v>30</v>
      </c>
      <c r="P20" s="81">
        <v>30</v>
      </c>
      <c r="Q20" s="81">
        <v>33</v>
      </c>
      <c r="R20" s="81">
        <v>30</v>
      </c>
      <c r="S20" s="81">
        <v>31</v>
      </c>
      <c r="T20" s="81">
        <v>30</v>
      </c>
      <c r="U20" s="81">
        <v>30</v>
      </c>
      <c r="V20" s="81">
        <v>28</v>
      </c>
      <c r="W20" s="81">
        <v>33</v>
      </c>
      <c r="X20" s="81">
        <v>33</v>
      </c>
      <c r="Y20" s="110">
        <v>33</v>
      </c>
      <c r="Z20" s="81">
        <v>34</v>
      </c>
      <c r="AA20" s="81">
        <v>32</v>
      </c>
      <c r="AB20" s="81">
        <v>30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6" t="s" ph="1">
        <v>178</v>
      </c>
      <c r="D24" s="71">
        <v>4.12</v>
      </c>
      <c r="E24" s="71">
        <v>95.72</v>
      </c>
      <c r="F24" s="71">
        <v>183</v>
      </c>
      <c r="G24" s="71">
        <v>1055</v>
      </c>
      <c r="H24" s="71">
        <v>1849</v>
      </c>
      <c r="I24" s="71">
        <v>2357</v>
      </c>
      <c r="J24" s="71">
        <v>2547</v>
      </c>
      <c r="K24" s="71">
        <v>2388</v>
      </c>
      <c r="L24" s="71">
        <v>3571</v>
      </c>
      <c r="M24" s="71">
        <v>5262</v>
      </c>
      <c r="N24" s="71">
        <v>5333</v>
      </c>
      <c r="O24" s="71">
        <v>3694</v>
      </c>
      <c r="P24" s="71">
        <v>1021</v>
      </c>
      <c r="Q24" s="90">
        <v>916</v>
      </c>
      <c r="R24" s="71">
        <v>1745</v>
      </c>
      <c r="S24" s="71">
        <v>6632</v>
      </c>
      <c r="T24" s="71">
        <v>1764</v>
      </c>
      <c r="U24" s="71">
        <v>4103</v>
      </c>
      <c r="V24" s="71">
        <v>9635</v>
      </c>
      <c r="W24" s="71">
        <v>10751</v>
      </c>
      <c r="X24" s="71">
        <v>2679</v>
      </c>
      <c r="Y24" s="71">
        <v>3109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2530.5996651840001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2020.1091217799999</v>
      </c>
      <c r="G25" s="91" ph="1">
        <f>G24*18.322*LOOKUP(G26,密度!$A$2:$A$50,密度!$B$2:$B$50)</f>
        <v>15019.184670000001</v>
      </c>
      <c r="H25" s="91" ph="1">
        <f>H24*18.322*LOOKUP(H26,密度!$A$2:$A$50,密度!$B$2:$B$50)</f>
        <v>26295.620803599999</v>
      </c>
      <c r="I25" s="91" ph="1">
        <f>I24*18.322*LOOKUP(I26,密度!$A$2:$A$50,密度!$Q$2:$Q$50)</f>
        <v>40763.573629220002</v>
      </c>
      <c r="J25" s="91" ph="1">
        <f>J24*18.322*LOOKUP(J26,密度!$A$2:$A$50,密度!$Q$2:$Q$50)</f>
        <v>44114.429792880001</v>
      </c>
      <c r="K25" s="91" ph="1">
        <f>K24*18.322*LOOKUP(K26,密度!$A$2:$A$50,密度!$Q$2:$Q$50)</f>
        <v>41273.457116880003</v>
      </c>
      <c r="L25" s="91" ph="1">
        <f>L24*18.322*LOOKUP(L26,密度!$A$2:$A$50,密度!$Q$2:$Q$50)</f>
        <v>61759.321777659999</v>
      </c>
      <c r="M25" s="91" ph="1">
        <f>M24*18.322*LOOKUP(M26,密度!$A$2:$A$50,密度!$Q$2:$Q$50)</f>
        <v>91004.634890519999</v>
      </c>
      <c r="N25" s="91" ph="1">
        <f>N24*18.322*LOOKUP(N26,密度!$A$2:$A$50,密度!$Q$2:$Q$50)</f>
        <v>92232.557558179993</v>
      </c>
      <c r="O25" s="91" ph="1">
        <f>O24*18.322*LOOKUP(O26,密度!$A$2:$A$50,密度!$C$2:$C$50)</f>
        <v>74794.790286799995</v>
      </c>
      <c r="P25" s="91" ph="1">
        <f>P24*11.702*LOOKUP(P26,密度!$A$2:$A$50,密度!$B$2:$B$50)</f>
        <v>9263.0843726000003</v>
      </c>
      <c r="Q25" s="92" ph="1">
        <f>Q24*18.322*LOOKUP(Q26,密度!$A$2:$A$50,密度!$B$2:$B$50)</f>
        <v>13026.927342399998</v>
      </c>
      <c r="R25" s="91" ph="1">
        <f>R24*35.891*LOOKUP(R26,密度!$A$2:$A$50,密度!$C$2:$C$50)</f>
        <v>69212.186454499999</v>
      </c>
      <c r="S25" s="91" ph="1">
        <f>S24*35.891*LOOKUP(S26,密度!$A$2:$A$50,密度!$B$2:$B$50)</f>
        <v>184329.74433279998</v>
      </c>
      <c r="T25" s="91" ph="1">
        <f>T24*35.891*LOOKUP(T26,密度!$A$2:$A$50,密度!$Q$2:$Q$50)</f>
        <v>59723.848600919999</v>
      </c>
      <c r="U25" s="91" ph="1">
        <f>U24*35.891</f>
        <v>147260.77299999999</v>
      </c>
      <c r="V25" s="91" ph="1">
        <f>V24*47.051*LOOKUP(V26,密度!$A$2:$A$50,密度!$B$2:$B$50)</f>
        <v>351471.69929050002</v>
      </c>
      <c r="W25" s="91" ph="1">
        <f>W24*47.051*LOOKUP(W26,密度!$A$2:$A$50,密度!$B$2:$B$50)</f>
        <v>391726.60109440004</v>
      </c>
      <c r="X25" s="91" ph="1">
        <f>X24*47.051*LOOKUP(X26,密度!$A$2:$A$50,密度!$I$2:$I$50)</f>
        <v>130952.95956809999</v>
      </c>
      <c r="Y25" s="91" ph="1">
        <f>Y24*47.051*LOOKUP(Y26,密度!$A$2:$A$50,密度!$L$2:$L$50)</f>
        <v>136334.41298800003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29</v>
      </c>
      <c r="I26" s="74">
        <v>29</v>
      </c>
      <c r="J26" s="74">
        <v>27</v>
      </c>
      <c r="K26" s="74">
        <v>30</v>
      </c>
      <c r="L26" s="74">
        <v>29</v>
      </c>
      <c r="M26" s="74">
        <v>29</v>
      </c>
      <c r="N26" s="74">
        <v>29</v>
      </c>
      <c r="O26" s="74">
        <v>30</v>
      </c>
      <c r="P26" s="74">
        <v>30</v>
      </c>
      <c r="Q26" s="93">
        <v>29</v>
      </c>
      <c r="R26" s="74">
        <v>30</v>
      </c>
      <c r="S26" s="74">
        <v>31</v>
      </c>
      <c r="T26" s="74">
        <v>30</v>
      </c>
      <c r="U26" s="74">
        <v>30</v>
      </c>
      <c r="V26" s="74">
        <v>30</v>
      </c>
      <c r="W26" s="74">
        <v>31</v>
      </c>
      <c r="X26" s="74">
        <v>28</v>
      </c>
      <c r="Y26" s="74">
        <v>30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6" t="s" ph="1">
        <v>181</v>
      </c>
      <c r="D27" s="71">
        <v>4.1100000000000003</v>
      </c>
      <c r="E27" s="71">
        <v>95.61</v>
      </c>
      <c r="F27" s="71">
        <v>178</v>
      </c>
      <c r="G27" s="71">
        <v>943</v>
      </c>
      <c r="H27" s="71">
        <v>1340</v>
      </c>
      <c r="I27" s="71">
        <v>2353</v>
      </c>
      <c r="J27" s="71">
        <v>2004</v>
      </c>
      <c r="K27" s="71">
        <v>2384</v>
      </c>
      <c r="L27" s="71">
        <v>3564</v>
      </c>
      <c r="M27" s="71">
        <v>5258</v>
      </c>
      <c r="N27" s="71">
        <v>5328</v>
      </c>
      <c r="O27" s="71">
        <v>3688</v>
      </c>
      <c r="P27" s="71">
        <v>3053</v>
      </c>
      <c r="Q27" s="90">
        <v>949</v>
      </c>
      <c r="R27" s="71">
        <v>1738</v>
      </c>
      <c r="S27" s="71">
        <v>6626</v>
      </c>
      <c r="T27" s="71">
        <v>1760</v>
      </c>
      <c r="U27" s="71">
        <v>3977</v>
      </c>
      <c r="V27" s="71">
        <v>9632</v>
      </c>
      <c r="W27" s="71">
        <v>10749</v>
      </c>
      <c r="X27" s="71">
        <v>2766</v>
      </c>
      <c r="Y27" s="71">
        <v>3709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6" t="s" ph="1">
        <v>179</v>
      </c>
      <c r="D28" s="91" ph="1">
        <f>D27*268.68*LOOKUP(D29,密度!$A$2:$A$50,密度!$Q$2:$Q$50)+IF(D27&lt;=0,0,1566*LOOKUP(D29,密度!$A$2:$A$50,密度!$Q$2:$Q$50))</f>
        <v>2528.0559641520003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1963.3526664800002</v>
      </c>
      <c r="G28" s="91" ph="1">
        <f>G27*18.322*LOOKUP(G29,密度!$A$2:$A$50,密度!$B$2:$B$50)</f>
        <v>13410.9088252</v>
      </c>
      <c r="H28" s="91" ph="1">
        <f>H27*18.322*LOOKUP(H29,密度!$A$2:$A$50,密度!$B$2:$B$50)</f>
        <v>19034.762444</v>
      </c>
      <c r="I28" s="91" ph="1">
        <f>I27*18.322*LOOKUP(I29,密度!$A$2:$A$50,密度!$Q$2:$Q$50)</f>
        <v>40636.19413828</v>
      </c>
      <c r="J28" s="91" ph="1">
        <f>J27*18.322*LOOKUP(J29,密度!$A$2:$A$50,密度!$Q$2:$Q$50)</f>
        <v>34636.519289039999</v>
      </c>
      <c r="K28" s="91" ph="1">
        <f>K27*18.322*LOOKUP(K29,密度!$A$2:$A$50,密度!$Q$2:$Q$50)</f>
        <v>41171.562611840003</v>
      </c>
      <c r="L28" s="91" ph="1">
        <f>L27*18.322*LOOKUP(L29,密度!$A$2:$A$50,密度!$Q$2:$Q$50)</f>
        <v>61638.258979440005</v>
      </c>
      <c r="M28" s="91" ph="1">
        <f>M27*18.322*LOOKUP(M29,密度!$A$2:$A$50,密度!$Q$2:$Q$50)</f>
        <v>91069.364684320011</v>
      </c>
      <c r="N28" s="91" ph="1">
        <f>N27*18.322*LOOKUP(N29,密度!$A$2:$A$50,密度!$Q$2:$Q$50)</f>
        <v>92213.441665919992</v>
      </c>
      <c r="O28" s="91" ph="1">
        <f>O27*18.322*LOOKUP(O29,密度!$A$2:$A$50,密度!$C$2:$C$50)</f>
        <v>74774.661737599992</v>
      </c>
      <c r="P28" s="91" ph="1">
        <f>P27*11.702*LOOKUP(P29,密度!$A$2:$A$50,密度!$B$2:$B$50)</f>
        <v>27698.527511799999</v>
      </c>
      <c r="Q28" s="92" ph="1">
        <f>Q27*18.322*LOOKUP(Q29,密度!$A$2:$A$50,密度!$B$2:$B$50)</f>
        <v>13464.940403199998</v>
      </c>
      <c r="R28" s="91" ph="1">
        <f>R27*35.891*LOOKUP(R29,密度!$A$2:$A$50,密度!$C$2:$C$50)</f>
        <v>68934.544445799998</v>
      </c>
      <c r="S28" s="91" ph="1">
        <f>S27*35.891*LOOKUP(S29,密度!$A$2:$A$50,密度!$B$2:$B$50)</f>
        <v>184162.98039039999</v>
      </c>
      <c r="T28" s="91" ph="1">
        <f>T27*35.891*LOOKUP(T29,密度!$A$2:$A$50,密度!$Q$2:$Q$50)</f>
        <v>59588.420372799999</v>
      </c>
      <c r="U28" s="91" ph="1">
        <f>U27*35.891</f>
        <v>142738.50699999998</v>
      </c>
      <c r="V28" s="91" ph="1">
        <f>V27*47.051*LOOKUP(V29,密度!$A$2:$A$50,密度!$B$2:$B$50)</f>
        <v>350954.38766080001</v>
      </c>
      <c r="W28" s="91" ph="1">
        <f>W27*47.051*LOOKUP(W29,密度!$A$2:$A$50,密度!$B$2:$B$50)</f>
        <v>392108.90458470001</v>
      </c>
      <c r="X28" s="91" ph="1">
        <f>X27*47.051*LOOKUP(X29,密度!$A$2:$A$50,密度!$I$2:$I$50)</f>
        <v>134906.30221560001</v>
      </c>
      <c r="Y28" s="91" ph="1">
        <f>Y27*47.051*LOOKUP(Y29,密度!$A$2:$A$50,密度!$L$2:$L$50)</f>
        <v>162470.82002900002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6" t="s" ph="1">
        <v>180</v>
      </c>
      <c r="D29" s="74">
        <v>25</v>
      </c>
      <c r="E29" s="74">
        <v>25</v>
      </c>
      <c r="F29" s="74">
        <v>31</v>
      </c>
      <c r="G29" s="74">
        <v>29</v>
      </c>
      <c r="H29" s="74">
        <v>30</v>
      </c>
      <c r="I29" s="74">
        <v>31</v>
      </c>
      <c r="J29" s="74">
        <v>30</v>
      </c>
      <c r="K29" s="74">
        <v>31</v>
      </c>
      <c r="L29" s="74">
        <v>29</v>
      </c>
      <c r="M29" s="74">
        <v>27</v>
      </c>
      <c r="N29" s="74">
        <v>28</v>
      </c>
      <c r="O29" s="74">
        <v>28</v>
      </c>
      <c r="P29" s="74">
        <v>30</v>
      </c>
      <c r="Q29" s="93">
        <v>31</v>
      </c>
      <c r="R29" s="74">
        <v>30</v>
      </c>
      <c r="S29" s="74">
        <v>31</v>
      </c>
      <c r="T29" s="74">
        <v>30</v>
      </c>
      <c r="U29" s="74">
        <v>31</v>
      </c>
      <c r="V29" s="74">
        <v>31</v>
      </c>
      <c r="W29" s="74">
        <v>30</v>
      </c>
      <c r="X29" s="74">
        <v>30</v>
      </c>
      <c r="Y29" s="74">
        <v>31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100718.84838190002</v>
      </c>
      <c r="E33" s="205" ph="1">
        <f>M10+I10</f>
        <v>197342.0379273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31" ph="1">
        <v>0</v>
      </c>
      <c r="H33" s="205" ph="1">
        <f>N19</f>
        <v>27656.113944000001</v>
      </c>
      <c r="I33" s="209" ph="1">
        <v>0</v>
      </c>
      <c r="J33" s="213" ph="1">
        <f>F10+O28</f>
        <v>336035.60672689998</v>
      </c>
      <c r="K33" s="205" ph="1">
        <f>O10+K10+E28+R28</f>
        <v>102603.53474711999</v>
      </c>
      <c r="L33" s="215" ph="1">
        <f>BE27</f>
        <v>7100</v>
      </c>
      <c r="M33" s="213" ph="1">
        <f>G10+H10+W28+S28+V28+E10</f>
        <v>1555324.9376419</v>
      </c>
      <c r="N33" s="205" ph="1">
        <f>L10+P10++G28+H28</f>
        <v>207384.53906520002</v>
      </c>
      <c r="O33" s="209" ph="1">
        <f>BE17</f>
        <v>2270</v>
      </c>
      <c r="P33" s="213" ph="1">
        <f>L19</f>
        <v>39847.541397119996</v>
      </c>
      <c r="Q33" s="205" ph="1">
        <f>J10+N10</f>
        <v>99456.060748960008</v>
      </c>
      <c r="R33" s="209" ph="1">
        <f>BE23</f>
        <v>890</v>
      </c>
      <c r="S33" s="213" ph="1">
        <f>E10+X28</f>
        <v>339978.05319060001</v>
      </c>
      <c r="T33" s="205" ph="1">
        <f>X19</f>
        <v>6029.4926597040003</v>
      </c>
      <c r="U33" s="194" ph="1">
        <f>BE21</f>
        <v>730</v>
      </c>
      <c r="V33" s="207" ph="1">
        <f ca="1">P19+Q19+S19+M28+N28+J28</f>
        <v>338513.08652050397</v>
      </c>
      <c r="W33" s="207" ph="1">
        <f>D28+F28+V19+T28</f>
        <v>65352.825364791999</v>
      </c>
      <c r="X33" s="209" ph="1">
        <f>BE29+BE31</f>
        <v>10200</v>
      </c>
      <c r="Y33" s="211" ph="1">
        <f>+Q10+R10+S10+T10+U10+V10+W10+X10+Y10</f>
        <v>144287.74801980003</v>
      </c>
      <c r="Z33" s="192" ph="1">
        <f>D10+T19+U19+Y28+Z10</f>
        <v>495216.85609380004</v>
      </c>
      <c r="AA33" s="194" ph="1">
        <f>BE19</f>
        <v>1440</v>
      </c>
      <c r="AB33" s="196" ph="1">
        <f>I19</f>
        <v>1064.2327895999999</v>
      </c>
      <c r="AC33" s="198" ph="1">
        <f>AD10</f>
        <v>86209.085289600014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8" t="s" ph="1">
        <v>186</v>
      </c>
      <c r="AA36" s="168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96" priority="97">
      <formula>ABS(D$7-D$10)&gt;=1000</formula>
    </cfRule>
  </conditionalFormatting>
  <conditionalFormatting sqref="E4 E6:E11">
    <cfRule type="expression" dxfId="1395" priority="96">
      <formula>ABS(E$7-E$10)&gt;=1000</formula>
    </cfRule>
  </conditionalFormatting>
  <conditionalFormatting sqref="F4:F11">
    <cfRule type="expression" dxfId="1394" priority="95">
      <formula>ABS(F$7-F$10)&gt;=1000</formula>
    </cfRule>
  </conditionalFormatting>
  <conditionalFormatting sqref="G4:G11">
    <cfRule type="expression" dxfId="1393" priority="94">
      <formula>ABS(G$7-G$10)&gt;=1000</formula>
    </cfRule>
  </conditionalFormatting>
  <conditionalFormatting sqref="H4:H11">
    <cfRule type="expression" dxfId="1392" priority="93">
      <formula>ABS(H$7-H$10)&gt;=1000</formula>
    </cfRule>
  </conditionalFormatting>
  <conditionalFormatting sqref="I4:I11">
    <cfRule type="expression" dxfId="1391" priority="92">
      <formula>ABS(I$7-I$10)&gt;=1000</formula>
    </cfRule>
  </conditionalFormatting>
  <conditionalFormatting sqref="J4:J11">
    <cfRule type="expression" dxfId="1390" priority="91">
      <formula>ABS(J$7-J$10)&gt;=1000</formula>
    </cfRule>
  </conditionalFormatting>
  <conditionalFormatting sqref="K4:K11">
    <cfRule type="expression" dxfId="1389" priority="90">
      <formula>ABS(K$7-K$10)&gt;=1000</formula>
    </cfRule>
  </conditionalFormatting>
  <conditionalFormatting sqref="L4:L11">
    <cfRule type="expression" dxfId="1388" priority="89">
      <formula>ABS(L$7-L$10)&gt;=1000</formula>
    </cfRule>
  </conditionalFormatting>
  <conditionalFormatting sqref="M4 M6:M11">
    <cfRule type="expression" dxfId="1387" priority="88">
      <formula>ABS(M$7-M$10)&gt;=1000</formula>
    </cfRule>
  </conditionalFormatting>
  <conditionalFormatting sqref="N4 N6:N11">
    <cfRule type="expression" dxfId="1386" priority="87">
      <formula>ABS(N$7-N$10)&gt;=1000</formula>
    </cfRule>
  </conditionalFormatting>
  <conditionalFormatting sqref="O4 O6:O11">
    <cfRule type="expression" dxfId="1385" priority="86">
      <formula>ABS(O$7-O$10)&gt;=1000</formula>
    </cfRule>
  </conditionalFormatting>
  <conditionalFormatting sqref="P4 P6:P11">
    <cfRule type="expression" dxfId="1384" priority="85">
      <formula>ABS(P$7-P$10)&gt;=1000</formula>
    </cfRule>
  </conditionalFormatting>
  <conditionalFormatting sqref="Q4:Q11">
    <cfRule type="expression" dxfId="1383" priority="84">
      <formula>ABS(Q$7-Q$10)&gt;=1000</formula>
    </cfRule>
  </conditionalFormatting>
  <conditionalFormatting sqref="R4:R11">
    <cfRule type="expression" dxfId="1382" priority="83">
      <formula>ABS(R$7-R$10)&gt;=1000</formula>
    </cfRule>
  </conditionalFormatting>
  <conditionalFormatting sqref="S4:S11">
    <cfRule type="expression" dxfId="1381" priority="82">
      <formula>ABS(S$7-S$10)&gt;=1000</formula>
    </cfRule>
  </conditionalFormatting>
  <conditionalFormatting sqref="T4:T9 T11">
    <cfRule type="expression" dxfId="1380" priority="81">
      <formula>ABS(T$7-T$10)&gt;=1000</formula>
    </cfRule>
  </conditionalFormatting>
  <conditionalFormatting sqref="U4:U9 U11">
    <cfRule type="expression" dxfId="1379" priority="80">
      <formula>ABS(U$7-U$10)&gt;=1000</formula>
    </cfRule>
  </conditionalFormatting>
  <conditionalFormatting sqref="V4:V9 V11">
    <cfRule type="expression" dxfId="1378" priority="79">
      <formula>ABS(V$7-V$10)&gt;=1000</formula>
    </cfRule>
  </conditionalFormatting>
  <conditionalFormatting sqref="W4:W9 W11">
    <cfRule type="expression" dxfId="1377" priority="78">
      <formula>ABS(W$7-W$10)&gt;=1000</formula>
    </cfRule>
  </conditionalFormatting>
  <conditionalFormatting sqref="X4:X9 X11">
    <cfRule type="expression" dxfId="1376" priority="77">
      <formula>ABS(X$7-X$10)&gt;=1000</formula>
    </cfRule>
  </conditionalFormatting>
  <conditionalFormatting sqref="Y4:Y9 Y11">
    <cfRule type="expression" dxfId="1375" priority="76">
      <formula>ABS(Y$7-Y$10)&gt;=1000</formula>
    </cfRule>
  </conditionalFormatting>
  <conditionalFormatting sqref="Z4:Z11">
    <cfRule type="expression" dxfId="1374" priority="75">
      <formula>ABS(Z$7-Z$10)&gt;=1000</formula>
    </cfRule>
  </conditionalFormatting>
  <conditionalFormatting sqref="AA4:AA11">
    <cfRule type="expression" dxfId="1373" priority="74">
      <formula>ABS(AA$7-AA$10)&gt;=1000</formula>
    </cfRule>
  </conditionalFormatting>
  <conditionalFormatting sqref="AB4:AB11">
    <cfRule type="expression" dxfId="1372" priority="73">
      <formula>ABS(AB$7-AB$10)&gt;=1000</formula>
    </cfRule>
  </conditionalFormatting>
  <conditionalFormatting sqref="AC4 AC6:AC11">
    <cfRule type="expression" dxfId="1371" priority="72">
      <formula>ABS(AC$7-AC$10)&gt;=1000</formula>
    </cfRule>
  </conditionalFormatting>
  <conditionalFormatting sqref="AD4:AD11">
    <cfRule type="expression" dxfId="1370" priority="71">
      <formula>ABS(AD$7-AD$10)&gt;=1000</formula>
    </cfRule>
  </conditionalFormatting>
  <conditionalFormatting sqref="AE4:AE11">
    <cfRule type="expression" dxfId="1369" priority="70">
      <formula>ABS(AE$7-AE$10)&gt;=1000</formula>
    </cfRule>
  </conditionalFormatting>
  <conditionalFormatting sqref="D13:D20">
    <cfRule type="expression" dxfId="1368" priority="69">
      <formula>ABS(D$16-D$19)&gt;=1000</formula>
    </cfRule>
  </conditionalFormatting>
  <conditionalFormatting sqref="E13:E20">
    <cfRule type="expression" dxfId="1367" priority="68">
      <formula>ABS(E$16-E$19)&gt;=1000</formula>
    </cfRule>
  </conditionalFormatting>
  <conditionalFormatting sqref="F13 F15:F20">
    <cfRule type="expression" dxfId="1366" priority="67">
      <formula>ABS(F$16-F$19)&gt;=1000</formula>
    </cfRule>
  </conditionalFormatting>
  <conditionalFormatting sqref="G13:G20">
    <cfRule type="expression" dxfId="1365" priority="66">
      <formula>ABS(G$16-G$19)&gt;=1000</formula>
    </cfRule>
  </conditionalFormatting>
  <conditionalFormatting sqref="H13:H20">
    <cfRule type="expression" dxfId="1364" priority="65">
      <formula>ABS(H$16-H$19)&gt;=1000</formula>
    </cfRule>
  </conditionalFormatting>
  <conditionalFormatting sqref="I13:I20">
    <cfRule type="expression" dxfId="1363" priority="64">
      <formula>ABS(I$16-I$19)&gt;=1000</formula>
    </cfRule>
  </conditionalFormatting>
  <conditionalFormatting sqref="J13:J20">
    <cfRule type="expression" dxfId="1362" priority="63">
      <formula>ABS(J$16-J$19)&gt;=1000</formula>
    </cfRule>
  </conditionalFormatting>
  <conditionalFormatting sqref="L13:L20">
    <cfRule type="expression" dxfId="1361" priority="62">
      <formula>ABS(L$16-L$19)&gt;=1000</formula>
    </cfRule>
  </conditionalFormatting>
  <conditionalFormatting sqref="M13 M15 M17:M18 M20">
    <cfRule type="expression" dxfId="1360" priority="61">
      <formula>ABS(M$16-M$19)&gt;=1000</formula>
    </cfRule>
  </conditionalFormatting>
  <conditionalFormatting sqref="N13:N20">
    <cfRule type="expression" dxfId="1359" priority="60">
      <formula>ABS(N$16-N$19)&gt;=1000</formula>
    </cfRule>
  </conditionalFormatting>
  <conditionalFormatting sqref="O13:O20">
    <cfRule type="expression" dxfId="1358" priority="59">
      <formula>ABS(O$16-O$19)&gt;=1000</formula>
    </cfRule>
  </conditionalFormatting>
  <conditionalFormatting sqref="P13:P20">
    <cfRule type="expression" dxfId="1357" priority="58">
      <formula>ABS(P$16-P$19)&gt;=1000</formula>
    </cfRule>
  </conditionalFormatting>
  <conditionalFormatting sqref="Q13 Q15:Q20">
    <cfRule type="expression" dxfId="1356" priority="57">
      <formula>ABS(Q$16-Q$19)&gt;=1000</formula>
    </cfRule>
  </conditionalFormatting>
  <conditionalFormatting sqref="R13:R20">
    <cfRule type="expression" dxfId="1355" priority="56">
      <formula>ABS(R$16-R$19)&gt;=1000</formula>
    </cfRule>
  </conditionalFormatting>
  <conditionalFormatting sqref="S13:S20">
    <cfRule type="expression" dxfId="1354" priority="55">
      <formula>ABS(S$16-S$19)&gt;=1000</formula>
    </cfRule>
  </conditionalFormatting>
  <conditionalFormatting sqref="T13:T20">
    <cfRule type="expression" dxfId="1353" priority="54">
      <formula>ABS(T$16-T$19)&gt;=1000</formula>
    </cfRule>
  </conditionalFormatting>
  <conditionalFormatting sqref="U13:U20">
    <cfRule type="expression" dxfId="1352" priority="53">
      <formula>ABS(U$16-U$19)&gt;=1000</formula>
    </cfRule>
  </conditionalFormatting>
  <conditionalFormatting sqref="V13:V20">
    <cfRule type="expression" dxfId="1351" priority="52">
      <formula>ABS(V$16-V$19)&gt;=1000</formula>
    </cfRule>
  </conditionalFormatting>
  <conditionalFormatting sqref="W13 W20 W15:W18">
    <cfRule type="expression" dxfId="1350" priority="51">
      <formula>ABS(W$16-W$19)&gt;=1000</formula>
    </cfRule>
  </conditionalFormatting>
  <conditionalFormatting sqref="X13 X15:X20 Y19">
    <cfRule type="expression" dxfId="1349" priority="50">
      <formula>ABS(X$16-X$19)&gt;=1000</formula>
    </cfRule>
  </conditionalFormatting>
  <conditionalFormatting sqref="Y13 Y15:Y18 Y20">
    <cfRule type="expression" dxfId="1348" priority="49">
      <formula>ABS(Y$16-Y$19)&gt;=1000</formula>
    </cfRule>
  </conditionalFormatting>
  <conditionalFormatting sqref="Z13:Z20">
    <cfRule type="expression" dxfId="1347" priority="48">
      <formula>ABS(Z$16-Z$19)&gt;=1000</formula>
    </cfRule>
  </conditionalFormatting>
  <conditionalFormatting sqref="AA13:AA20">
    <cfRule type="expression" dxfId="1346" priority="47">
      <formula>ABS(AA$16-AA$19)&gt;=1000</formula>
    </cfRule>
  </conditionalFormatting>
  <conditionalFormatting sqref="AB13 AB15:AB20">
    <cfRule type="expression" dxfId="1345" priority="46">
      <formula>ABS(AB$16-AB$19)&gt;=1000</formula>
    </cfRule>
  </conditionalFormatting>
  <conditionalFormatting sqref="AC13 AC15:AC20">
    <cfRule type="expression" dxfId="1344" priority="45">
      <formula>ABS(AC$16-AC$19)&gt;=1000</formula>
    </cfRule>
  </conditionalFormatting>
  <conditionalFormatting sqref="AD13:AD20">
    <cfRule type="expression" dxfId="1343" priority="44">
      <formula>ABS(AD$16-AD$19)&gt;=1000</formula>
    </cfRule>
  </conditionalFormatting>
  <conditionalFormatting sqref="AE13:AE20">
    <cfRule type="expression" dxfId="1342" priority="43">
      <formula>ABS(AE$16-AE$19)&gt;=1000</formula>
    </cfRule>
  </conditionalFormatting>
  <conditionalFormatting sqref="D22:D29">
    <cfRule type="expression" dxfId="1341" priority="42">
      <formula>ABS(D$25-D$28)&gt;=1000</formula>
    </cfRule>
  </conditionalFormatting>
  <conditionalFormatting sqref="E22:E29">
    <cfRule type="expression" dxfId="1340" priority="41">
      <formula>ABS(E$25-E$28)&gt;=1000</formula>
    </cfRule>
  </conditionalFormatting>
  <conditionalFormatting sqref="F22:F29">
    <cfRule type="expression" dxfId="1339" priority="40">
      <formula>ABS(F$25-F$28)&gt;=1000</formula>
    </cfRule>
  </conditionalFormatting>
  <conditionalFormatting sqref="G22:G29">
    <cfRule type="expression" dxfId="1338" priority="39">
      <formula>ABS(G$25-G$28)&gt;=1000</formula>
    </cfRule>
  </conditionalFormatting>
  <conditionalFormatting sqref="H22:H29">
    <cfRule type="expression" dxfId="1337" priority="38">
      <formula>ABS(H$25-H$28)&gt;=1000</formula>
    </cfRule>
  </conditionalFormatting>
  <conditionalFormatting sqref="I22 I24:I29">
    <cfRule type="expression" dxfId="1336" priority="37">
      <formula>ABS(I$25-I$28)&gt;=1000</formula>
    </cfRule>
  </conditionalFormatting>
  <conditionalFormatting sqref="J22:J29 K22">
    <cfRule type="expression" dxfId="1335" priority="36">
      <formula>ABS(J$25-J$28)&gt;=1000</formula>
    </cfRule>
  </conditionalFormatting>
  <conditionalFormatting sqref="K23:K29 L25 L28">
    <cfRule type="expression" dxfId="1334" priority="35">
      <formula>ABS(K$25-K$28)&gt;=1000</formula>
    </cfRule>
  </conditionalFormatting>
  <conditionalFormatting sqref="L22 L26:L27 L29 L24">
    <cfRule type="expression" dxfId="1333" priority="34">
      <formula>ABS(L$25-L$28)&gt;=1000</formula>
    </cfRule>
  </conditionalFormatting>
  <conditionalFormatting sqref="M22:M29">
    <cfRule type="expression" dxfId="1332" priority="33">
      <formula>ABS(M$25-M$28)&gt;=1000</formula>
    </cfRule>
  </conditionalFormatting>
  <conditionalFormatting sqref="N22:N29">
    <cfRule type="expression" dxfId="1331" priority="32">
      <formula>ABS(N$25-N$28)&gt;=1000</formula>
    </cfRule>
  </conditionalFormatting>
  <conditionalFormatting sqref="O22:O29">
    <cfRule type="expression" dxfId="1330" priority="31">
      <formula>ABS(O$25-O$28)&gt;=1000</formula>
    </cfRule>
  </conditionalFormatting>
  <conditionalFormatting sqref="P22:P29">
    <cfRule type="expression" dxfId="1329" priority="30">
      <formula>ABS(P$25-P$28)&gt;=1000</formula>
    </cfRule>
  </conditionalFormatting>
  <conditionalFormatting sqref="Q22:Q29">
    <cfRule type="expression" dxfId="1328" priority="29">
      <formula>ABS(Q$25-Q$28)&gt;=1000</formula>
    </cfRule>
  </conditionalFormatting>
  <conditionalFormatting sqref="R22:R29">
    <cfRule type="expression" dxfId="1327" priority="28">
      <formula>ABS(R$25-R$28)&gt;=1000</formula>
    </cfRule>
  </conditionalFormatting>
  <conditionalFormatting sqref="S22:S29">
    <cfRule type="expression" dxfId="1326" priority="27">
      <formula>ABS(S$25-S$28)&gt;=1000</formula>
    </cfRule>
  </conditionalFormatting>
  <conditionalFormatting sqref="T22:T29">
    <cfRule type="expression" dxfId="1325" priority="26">
      <formula>ABS(T$25-T$28)&gt;=1000</formula>
    </cfRule>
  </conditionalFormatting>
  <conditionalFormatting sqref="U22:U29">
    <cfRule type="expression" dxfId="1324" priority="25">
      <formula>ABS(U$25-U$28)&gt;=1000</formula>
    </cfRule>
  </conditionalFormatting>
  <conditionalFormatting sqref="V22:V29">
    <cfRule type="expression" dxfId="1323" priority="24">
      <formula>ABS(V$25-V$28)&gt;=1000</formula>
    </cfRule>
  </conditionalFormatting>
  <conditionalFormatting sqref="W22:W29">
    <cfRule type="expression" dxfId="1322" priority="23">
      <formula>ABS(W$25-W$28)&gt;=1000</formula>
    </cfRule>
  </conditionalFormatting>
  <conditionalFormatting sqref="X22:X29">
    <cfRule type="expression" dxfId="1321" priority="22">
      <formula>ABS(X$25-X$28)&gt;=1000</formula>
    </cfRule>
  </conditionalFormatting>
  <conditionalFormatting sqref="Y22:Y29">
    <cfRule type="expression" dxfId="1320" priority="21">
      <formula>ABS(Y$25-Y$28)&gt;=1000</formula>
    </cfRule>
  </conditionalFormatting>
  <conditionalFormatting sqref="I23">
    <cfRule type="expression" dxfId="1319" priority="20">
      <formula>ABS(I$25-I$28)&gt;=1000</formula>
    </cfRule>
  </conditionalFormatting>
  <conditionalFormatting sqref="F14">
    <cfRule type="expression" dxfId="1318" priority="19">
      <formula>ABS(F$16-F$19)&gt;=1000</formula>
    </cfRule>
  </conditionalFormatting>
  <conditionalFormatting sqref="Q14">
    <cfRule type="expression" dxfId="1317" priority="18">
      <formula>ABS(Q$16-Q$19)&gt;=1000</formula>
    </cfRule>
  </conditionalFormatting>
  <conditionalFormatting sqref="W14">
    <cfRule type="expression" dxfId="1316" priority="17">
      <formula>ABS(W$16-W$19)&gt;=1000</formula>
    </cfRule>
  </conditionalFormatting>
  <conditionalFormatting sqref="Y14">
    <cfRule type="expression" dxfId="1315" priority="16">
      <formula>ABS(Y$16-Y$19)&gt;=1000</formula>
    </cfRule>
  </conditionalFormatting>
  <conditionalFormatting sqref="X14">
    <cfRule type="expression" dxfId="1314" priority="15">
      <formula>ABS(X$16-X$19)&gt;=1000</formula>
    </cfRule>
  </conditionalFormatting>
  <conditionalFormatting sqref="T10:Y10">
    <cfRule type="expression" dxfId="1313" priority="14">
      <formula>ABS(T$7-T$10)&gt;=1000</formula>
    </cfRule>
  </conditionalFormatting>
  <conditionalFormatting sqref="W19">
    <cfRule type="expression" dxfId="1312" priority="13">
      <formula>ABS(W$16-W$19)&gt;=1000</formula>
    </cfRule>
  </conditionalFormatting>
  <conditionalFormatting sqref="AC5">
    <cfRule type="expression" dxfId="1311" priority="12">
      <formula>ABS(AC$7-AC$10)&gt;=1000</formula>
    </cfRule>
  </conditionalFormatting>
  <conditionalFormatting sqref="M14">
    <cfRule type="expression" dxfId="1310" priority="11">
      <formula>ABS(M$16-M$19)&gt;=1000</formula>
    </cfRule>
  </conditionalFormatting>
  <conditionalFormatting sqref="M16">
    <cfRule type="expression" dxfId="1309" priority="10">
      <formula>ABS(M$16-M$19)&gt;=1000</formula>
    </cfRule>
  </conditionalFormatting>
  <conditionalFormatting sqref="M19">
    <cfRule type="expression" dxfId="1308" priority="9">
      <formula>ABS(M$16-M$19)&gt;=1000</formula>
    </cfRule>
  </conditionalFormatting>
  <conditionalFormatting sqref="K13:K20">
    <cfRule type="expression" dxfId="1307" priority="8">
      <formula>ABS(K$16-K$19)&gt;=1000</formula>
    </cfRule>
  </conditionalFormatting>
  <conditionalFormatting sqref="E5">
    <cfRule type="expression" dxfId="1306" priority="7">
      <formula>ABS(E$7-E$10)&gt;=1000</formula>
    </cfRule>
  </conditionalFormatting>
  <conditionalFormatting sqref="AB14:AC14">
    <cfRule type="expression" dxfId="1305" priority="6">
      <formula>ABS(AB$16-AB$19)&gt;=1000</formula>
    </cfRule>
  </conditionalFormatting>
  <conditionalFormatting sqref="M5">
    <cfRule type="expression" dxfId="1304" priority="5">
      <formula>ABS(M$7-M$10)&gt;=1000</formula>
    </cfRule>
  </conditionalFormatting>
  <conditionalFormatting sqref="N5">
    <cfRule type="expression" dxfId="1303" priority="4">
      <formula>ABS(N$7-N$10)&gt;=1000</formula>
    </cfRule>
  </conditionalFormatting>
  <conditionalFormatting sqref="O5">
    <cfRule type="expression" dxfId="1302" priority="3">
      <formula>ABS(O$7-O$10)&gt;=1000</formula>
    </cfRule>
  </conditionalFormatting>
  <conditionalFormatting sqref="P5">
    <cfRule type="expression" dxfId="1301" priority="2">
      <formula>ABS(P$7-P$10)&gt;=1000</formula>
    </cfRule>
  </conditionalFormatting>
  <conditionalFormatting sqref="L23">
    <cfRule type="expression" dxfId="130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9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0">
    <pageSetUpPr fitToPage="1"/>
  </sheetPr>
  <dimension ref="A1:CU223"/>
  <sheetViews>
    <sheetView view="pageBreakPreview" zoomScale="80" zoomScaleNormal="100" zoomScaleSheetLayoutView="80" workbookViewId="0">
      <selection activeCell="V18" sqref="V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45825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6" t="s" ph="1">
        <v>178</v>
      </c>
      <c r="D6" s="71">
        <v>5124</v>
      </c>
      <c r="E6" s="71">
        <v>5146</v>
      </c>
      <c r="F6" s="71">
        <v>7009</v>
      </c>
      <c r="G6" s="71">
        <v>5166</v>
      </c>
      <c r="H6" s="71">
        <v>4835</v>
      </c>
      <c r="I6" s="71">
        <v>63.31</v>
      </c>
      <c r="J6" s="71">
        <v>7.73</v>
      </c>
      <c r="K6" s="71">
        <v>12.03</v>
      </c>
      <c r="L6" s="71">
        <v>46.41</v>
      </c>
      <c r="M6" s="71">
        <v>5314</v>
      </c>
      <c r="N6" s="71">
        <v>3794</v>
      </c>
      <c r="O6" s="71">
        <v>47</v>
      </c>
      <c r="P6" s="71">
        <v>3821</v>
      </c>
      <c r="Q6" s="71">
        <v>0</v>
      </c>
      <c r="R6" s="71">
        <v>0</v>
      </c>
      <c r="S6" s="71">
        <v>0</v>
      </c>
      <c r="T6" s="71">
        <v>7187</v>
      </c>
      <c r="U6" s="71">
        <v>7075</v>
      </c>
      <c r="V6" s="71">
        <v>4845</v>
      </c>
      <c r="W6" s="71">
        <v>1785</v>
      </c>
      <c r="X6" s="71">
        <v>0</v>
      </c>
      <c r="Y6" s="71">
        <v>0</v>
      </c>
      <c r="Z6" s="71">
        <v>4196</v>
      </c>
      <c r="AA6" s="71">
        <v>558</v>
      </c>
      <c r="AB6" s="71">
        <v>3916</v>
      </c>
      <c r="AC6" s="71">
        <v>4145</v>
      </c>
      <c r="AD6" s="71">
        <v>4404</v>
      </c>
      <c r="AE6" s="71">
        <v>2987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160613.44765704</v>
      </c>
      <c r="E7" s="73" ph="1">
        <f>E6*51.53*LOOKUP(E8,密度!$A$2:$A$50,密度!$B$2:$B$50)</f>
        <v>205827.577556</v>
      </c>
      <c r="F7" s="73" ph="1">
        <f>F6*33.183*LOOKUP(F8,密度!$A$2:$A$50,密度!$C$2:$C$50)</f>
        <v>257558.70108779997</v>
      </c>
      <c r="G7" s="73" ph="1">
        <f xml:space="preserve"> (G6+2)*51.53*LOOKUP(G8,密度!$A$2:$A$50,密度!$B$2:$B$50)</f>
        <v>206920.57007999998</v>
      </c>
      <c r="H7" s="73" ph="1">
        <f>(H6)*51.53*LOOKUP(H8,密度!$A$2:$A$50,密度!$B$2:$B$50)</f>
        <v>194235.42998000002</v>
      </c>
      <c r="I7" s="73" ph="1">
        <f>I6*290.8*1.0267</f>
        <v>18902.1096316</v>
      </c>
      <c r="J7" s="73" ph="1">
        <f>J6*290.8*0.7892</f>
        <v>1774.0300528</v>
      </c>
      <c r="K7" s="73" ph="1">
        <f>K6*290.8*1.1126</f>
        <v>3892.2352824000004</v>
      </c>
      <c r="L7" s="73" ph="1">
        <f>L6*290.8*0.777</f>
        <v>10486.413756</v>
      </c>
      <c r="M7" s="73" ph="1">
        <f>M6*33.183*LOOKUP(M8,密度!$A$2:$A$50,密度!$D$2:$D$50)</f>
        <v>180548.85564180001</v>
      </c>
      <c r="N7" s="73" ph="1">
        <f>N6*33.183*LOOKUP(N8,密度!$A$2:$A$50,密度!$E$2:$E$50)</f>
        <v>98035.450367399986</v>
      </c>
      <c r="O7" s="73" ph="1">
        <f>O6*20.428*LOOKUP(O8,密度!$A$2:$A$50,密度!$C$2:$C$50)</f>
        <v>1061.7922844</v>
      </c>
      <c r="P7" s="73" ph="1">
        <f>P6*51.53*LOOKUP(P8,密度!$A$2:$A$50,密度!$B$2:$B$50)</f>
        <v>153165.49952700001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47652.3024516</v>
      </c>
      <c r="U7" s="73" ph="1">
        <f>U6*1.5*1.5*3.1416*LOOKUP(U8,密度!$A$2:$A$50,密度!$L$2:$L$50)</f>
        <v>46759.672575000004</v>
      </c>
      <c r="V7" s="73" ph="1">
        <f>V6*1.5*1.5*3.1416*LOOKUP(V8,密度!$A$2:$A$50,密度!$L$2:$L$50)</f>
        <v>31987.040777999999</v>
      </c>
      <c r="W7" s="73" ph="1">
        <f>W6*1.5*1.5*3.1416*LOOKUP(W8,密度!$A$2:$A$50,密度!$L$2:$L$50)</f>
        <v>11809.934136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130464.00831599999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82435.927464000008</v>
      </c>
      <c r="AC7" s="73" ph="1">
        <f>AC6*51.53*LOOKUP(AC8,密度!$A$2:$A$50,密度!$Q$2:$Q$50)</f>
        <v>201912.64764200003</v>
      </c>
      <c r="AD7" s="73" ph="1">
        <f>AD6*20.428*LOOKUP(AD8,密度!$A$2:$A$50,密度!$V$2:$V$50)</f>
        <v>86150.399731199999</v>
      </c>
      <c r="AE7" s="73" ph="1">
        <f>AE6*20.428</f>
        <v>61018.436000000002</v>
      </c>
    </row>
    <row r="8" spans="1:99" ph="1">
      <c r="B8" s="256" ph="1"/>
      <c r="C8" s="68" t="s" ph="1">
        <v>180</v>
      </c>
      <c r="D8" s="74">
        <v>28</v>
      </c>
      <c r="E8" s="74">
        <v>29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29</v>
      </c>
      <c r="P8" s="74">
        <v>27</v>
      </c>
      <c r="Q8" s="74">
        <v>27</v>
      </c>
      <c r="R8" s="74">
        <v>32</v>
      </c>
      <c r="S8" s="74">
        <v>23</v>
      </c>
      <c r="T8" s="74">
        <v>24</v>
      </c>
      <c r="U8" s="74">
        <v>27</v>
      </c>
      <c r="V8" s="74">
        <v>28</v>
      </c>
      <c r="W8" s="74">
        <v>26</v>
      </c>
      <c r="X8" s="74">
        <v>21</v>
      </c>
      <c r="Y8" s="74">
        <v>26</v>
      </c>
      <c r="Z8" s="74">
        <v>25</v>
      </c>
      <c r="AA8" s="74">
        <v>27</v>
      </c>
      <c r="AB8" s="74">
        <v>21</v>
      </c>
      <c r="AC8" s="74">
        <v>27</v>
      </c>
      <c r="AD8" s="74">
        <v>26</v>
      </c>
      <c r="AE8" s="74">
        <v>32</v>
      </c>
    </row>
    <row r="9" spans="1:99" ht="26.4" ph="1">
      <c r="B9" s="256" ph="1">
        <v>0.66666666666666663</v>
      </c>
      <c r="C9" s="166" t="s" ph="1">
        <v>181</v>
      </c>
      <c r="D9" s="71">
        <v>5127</v>
      </c>
      <c r="E9" s="71">
        <v>5583</v>
      </c>
      <c r="F9" s="71">
        <v>6775</v>
      </c>
      <c r="G9" s="71">
        <v>5697</v>
      </c>
      <c r="H9" s="71">
        <v>5720</v>
      </c>
      <c r="I9" s="71">
        <v>63.31</v>
      </c>
      <c r="J9" s="71">
        <v>7.82</v>
      </c>
      <c r="K9" s="71">
        <v>38.61</v>
      </c>
      <c r="L9" s="71">
        <v>14.81</v>
      </c>
      <c r="M9" s="71">
        <v>5315</v>
      </c>
      <c r="N9" s="71">
        <v>3796</v>
      </c>
      <c r="O9" s="71">
        <v>46</v>
      </c>
      <c r="P9" s="71">
        <v>3732</v>
      </c>
      <c r="Q9" s="71">
        <v>0</v>
      </c>
      <c r="R9" s="71">
        <v>0</v>
      </c>
      <c r="S9" s="71">
        <v>0</v>
      </c>
      <c r="T9" s="71">
        <v>6806</v>
      </c>
      <c r="U9" s="71">
        <v>7079</v>
      </c>
      <c r="V9" s="71">
        <v>4850</v>
      </c>
      <c r="W9" s="71">
        <v>7017</v>
      </c>
      <c r="X9" s="71">
        <v>2667</v>
      </c>
      <c r="Y9" s="71">
        <v>0</v>
      </c>
      <c r="Z9" s="71">
        <v>1924</v>
      </c>
      <c r="AA9" s="71">
        <v>558</v>
      </c>
      <c r="AB9" s="71">
        <v>3918</v>
      </c>
      <c r="AC9" s="71">
        <v>4494</v>
      </c>
      <c r="AD9" s="71">
        <v>4408</v>
      </c>
      <c r="AE9" s="71">
        <v>3040</v>
      </c>
    </row>
    <row r="10" spans="1:99" s="72" customFormat="1" ht="22.2" ph="1">
      <c r="B10" s="256" ph="1"/>
      <c r="C10" s="166" t="s" ph="1">
        <v>179</v>
      </c>
      <c r="D10" s="73" ph="1">
        <f>D9*33.183*LOOKUP(D11,密度!$A$2:$A$50,密度!$Q$2:$Q$50)</f>
        <v>160488.01691253</v>
      </c>
      <c r="E10" s="73" ph="1">
        <f>E9*51.53*LOOKUP(E11,密度!$A$2:$A$50,密度!$B$2:$B$50)</f>
        <v>223047.59984699998</v>
      </c>
      <c r="F10" s="73" ph="1">
        <f>F9*33.183*LOOKUP(F11,密度!$A$2:$A$50,密度!$C$2:$C$50)</f>
        <v>248780.08534500003</v>
      </c>
      <c r="G10" s="73" ph="1">
        <f xml:space="preserve"> (G9+2)*51.53*LOOKUP(G11,密度!$A$2:$A$50,密度!$B$2:$B$50)</f>
        <v>227946.24261400002</v>
      </c>
      <c r="H10" s="73" ph="1">
        <f>(H9)*51.53*LOOKUP(H11,密度!$A$2:$A$50,密度!$B$2:$B$50)</f>
        <v>229287.26964000004</v>
      </c>
      <c r="I10" s="73" ph="1">
        <f>I9*290.8*1.0267</f>
        <v>18902.1096316</v>
      </c>
      <c r="J10" s="73" ph="1">
        <f>J9*290.8*0.7892</f>
        <v>1794.6849952</v>
      </c>
      <c r="K10" s="73" ph="1">
        <f>K9*290.8*1.1126</f>
        <v>12492.0369288</v>
      </c>
      <c r="L10" s="73" ph="1">
        <f>L9*290.8*0.777</f>
        <v>3346.3431960000007</v>
      </c>
      <c r="M10" s="73" ph="1">
        <f>M9*33.183*LOOKUP(M11,密度!$A$2:$A$50,密度!$D$2:$D$50)</f>
        <v>179789.17731299999</v>
      </c>
      <c r="N10" s="73" ph="1">
        <f>N9*33.183*LOOKUP(N11,密度!$A$2:$A$50,密度!$E$2:$E$50)</f>
        <v>97948.570636799996</v>
      </c>
      <c r="O10" s="73" ph="1">
        <f>O9*20.428*LOOKUP(O11,密度!$A$2:$A$50,密度!$C$2:$C$50)</f>
        <v>1032.5291743999999</v>
      </c>
      <c r="P10" s="73" ph="1">
        <f>P9*51.53*LOOKUP(P11,密度!$A$2:$A$50,密度!$B$2:$B$50)</f>
        <v>149097.91198799998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45078.031429200004</v>
      </c>
      <c r="U10" s="73" ph="1">
        <f>U9*1.5*1.5*3.1416*LOOKUP(U11,密度!$A$2:$A$50,密度!$L$2:$L$50)</f>
        <v>46736.070519599998</v>
      </c>
      <c r="V10" s="73" ph="1">
        <f>V9*1.5*1.5*3.1416*LOOKUP(V11,密度!$A$2:$A$50,密度!$L$2:$L$50)</f>
        <v>32054.333850000003</v>
      </c>
      <c r="W10" s="73" ph="1">
        <f>W9*1.5*1.5*3.1416*LOOKUP(W11,密度!$A$2:$A$50,密度!$L$2:$L$50)</f>
        <v>46376.342397</v>
      </c>
      <c r="X10" s="73" ph="1">
        <f>X9*1.5*1.5*3.1416*LOOKUP(X11,密度!$A$2:$A$50,密度!$L$2:$L$50)</f>
        <v>17570.023178400003</v>
      </c>
      <c r="Y10" s="73" ph="1">
        <f>Y9*1.5*1.5*3.1416*LOOKUP(Y11,密度!$A$2:$A$50,密度!$L$2:$L$50)</f>
        <v>0</v>
      </c>
      <c r="Z10" s="73" ph="1">
        <f>Z9*33.183*LOOKUP(Z11,密度!$A$2:$A$50,密度!$L$2:$L$50)</f>
        <v>59630.381928000003</v>
      </c>
      <c r="AA10" s="73" ph="1">
        <f>AA9*33.183*LOOKUP(AA11,密度!$A$2:$A$50,密度!$D$2:$D$50)</f>
        <v>18841.997606400004</v>
      </c>
      <c r="AB10" s="73" ph="1">
        <f>AB9*20.428*LOOKUP(AB11,密度!$A$2:$A$50,密度!$D$2:$D$50)</f>
        <v>82325.959454400014</v>
      </c>
      <c r="AC10" s="73" ph="1">
        <f>AC9*51.53*LOOKUP(AC11,密度!$A$2:$A$50,密度!$Q$2:$Q$50)</f>
        <v>218452.41828060002</v>
      </c>
      <c r="AD10" s="73" ph="1">
        <f>AD9*20.428*LOOKUP(AD11,密度!$A$2:$A$50,密度!$V$2:$V$50)</f>
        <v>86228.647142400005</v>
      </c>
      <c r="AE10" s="73" ph="1">
        <f>AE9*20.428</f>
        <v>62101.120000000003</v>
      </c>
    </row>
    <row r="11" spans="1:99" ph="1">
      <c r="A11" s="64" t="s" ph="1">
        <v>163</v>
      </c>
      <c r="B11" s="256" ph="1"/>
      <c r="C11" s="166" t="s" ph="1">
        <v>180</v>
      </c>
      <c r="D11" s="74">
        <v>30</v>
      </c>
      <c r="E11" s="74">
        <v>30</v>
      </c>
      <c r="F11" s="74">
        <v>28</v>
      </c>
      <c r="G11" s="74">
        <v>29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30</v>
      </c>
      <c r="O11" s="74">
        <v>36</v>
      </c>
      <c r="P11" s="74">
        <v>30</v>
      </c>
      <c r="Q11" s="74">
        <v>31</v>
      </c>
      <c r="R11" s="74">
        <v>37</v>
      </c>
      <c r="S11" s="74">
        <v>26</v>
      </c>
      <c r="T11" s="74">
        <v>25</v>
      </c>
      <c r="U11" s="74">
        <v>28</v>
      </c>
      <c r="V11" s="74">
        <v>27</v>
      </c>
      <c r="W11" s="74">
        <v>27</v>
      </c>
      <c r="X11" s="74">
        <v>30</v>
      </c>
      <c r="Y11" s="74">
        <v>31</v>
      </c>
      <c r="Z11" s="74">
        <v>28</v>
      </c>
      <c r="AA11" s="74">
        <v>35</v>
      </c>
      <c r="AB11" s="74">
        <v>23</v>
      </c>
      <c r="AC11" s="74">
        <v>30</v>
      </c>
      <c r="AD11" s="74">
        <v>28</v>
      </c>
      <c r="AE11" s="74">
        <v>36</v>
      </c>
    </row>
    <row r="12" spans="1:99" ht="9.9" customHeight="1" ph="1"/>
    <row r="13" spans="1:99" s="72" customFormat="1" ht="29.25" customHeight="1" ph="1">
      <c r="B13" s="233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6" t="s" ph="1">
        <v>178</v>
      </c>
      <c r="D15" s="78">
        <v>3386</v>
      </c>
      <c r="E15" s="78">
        <v>4717</v>
      </c>
      <c r="F15" s="78">
        <v>2438</v>
      </c>
      <c r="G15" s="78">
        <v>973</v>
      </c>
      <c r="H15" s="78">
        <v>3725</v>
      </c>
      <c r="I15" s="78">
        <v>118</v>
      </c>
      <c r="J15" s="78">
        <v>1693</v>
      </c>
      <c r="K15" s="78">
        <v>1992</v>
      </c>
      <c r="L15" s="78">
        <v>5642</v>
      </c>
      <c r="M15" s="78">
        <v>6395</v>
      </c>
      <c r="N15" s="78">
        <v>1219</v>
      </c>
      <c r="O15" s="78">
        <v>6084</v>
      </c>
      <c r="P15" s="78">
        <v>7164</v>
      </c>
      <c r="Q15" s="78">
        <v>0</v>
      </c>
      <c r="R15" s="78">
        <v>3512</v>
      </c>
      <c r="S15" s="78">
        <v>6924</v>
      </c>
      <c r="T15" s="78">
        <v>2882</v>
      </c>
      <c r="U15" s="78">
        <v>2350</v>
      </c>
      <c r="V15" s="78">
        <v>-469</v>
      </c>
      <c r="W15" s="71">
        <v>-370</v>
      </c>
      <c r="X15" s="78">
        <v>26</v>
      </c>
      <c r="Y15" s="106">
        <v>-9907</v>
      </c>
      <c r="Z15" s="78">
        <v>0</v>
      </c>
      <c r="AA15" s="78">
        <v>0</v>
      </c>
      <c r="AB15" s="78" ph="1">
        <v>2368</v>
      </c>
      <c r="AC15" s="78" ph="1">
        <v>0</v>
      </c>
      <c r="AD15" s="78">
        <v>81.52</v>
      </c>
      <c r="AE15" s="78">
        <v>44.91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6" t="s" ph="1">
        <v>179</v>
      </c>
      <c r="D16" s="73" ph="1">
        <f>D15*7.0686*LOOKUP(D17,密度!$A$2:$A$50,密度!$L$2:$L$50)</f>
        <v>22354.617146400004</v>
      </c>
      <c r="E16" s="73" ph="1">
        <f>E15*7.0686*LOOKUP(E17,密度!$A$2:$A$50,密度!$L$2:$L$50)</f>
        <v>31141.975510799999</v>
      </c>
      <c r="F16" s="73" ph="1">
        <f>F15*9.0746*LOOKUP(F17,密度!$A$2:$A$50,密度!$L$2:$L$50)</f>
        <v>20619.451313600002</v>
      </c>
      <c r="G16" s="73" ph="1">
        <f>G15*9.0746*LOOKUP(G17,密度!$A$2:$A$50,密度!$B$2:$B$50)</f>
        <v>6875.5984624600005</v>
      </c>
      <c r="H16" s="73" ph="1">
        <f>H15*9.0746*LOOKUP(H17,密度!$A$2:$A$50,密度!$L$2:$L$50)</f>
        <v>31639.500360000005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14349.320145200001</v>
      </c>
      <c r="K16" s="73" ph="1">
        <f>K15*9.0746*LOOKUP(K17,密度!$A$2:$A$50,密度!$C$2:$C$50)</f>
        <v>20003.569101120003</v>
      </c>
      <c r="L16" s="73" ph="1">
        <f>L15*9.0746*LOOKUP(L17,密度!$A$2:$A$50,密度!$E$2:$E$50)</f>
        <v>39868.578134839998</v>
      </c>
      <c r="M16" s="73" ph="1">
        <f>M15*9.0746*LOOKUP(M17,密度!$A$2:$A$50,密度!$M$2:$M$50)</f>
        <v>50545.930357000005</v>
      </c>
      <c r="N16" s="73" ph="1">
        <f>N15*9.0746*LOOKUP(N17,密度!$A$2:$A$50,密度!$M$2:$M$50)</f>
        <v>9669.2394813400006</v>
      </c>
      <c r="O16" s="73" ph="1">
        <f>O15*9.0746*LOOKUP(O17,密度!$A$2:$A$50,密度!$G$2:$G$50)</f>
        <v>52775.111291759997</v>
      </c>
      <c r="P16" s="73" ph="1">
        <f ca="1">P15*9.0746*LOOKUP(P17,密度!$A$2:$A$51,密度!$Q$2:$Q$50)</f>
        <v>61410.156542928002</v>
      </c>
      <c r="Q16" s="73" ph="1">
        <f>Q15*9.0746*LOOKUP(Q17,密度!$A$2:$A$50,密度!$Q$2:$Q$50)</f>
        <v>0</v>
      </c>
      <c r="R16" s="73" ph="1">
        <f>MAX(R15*9.0746*LOOKUP(R17,密度!$A$2:$A$50,密度!$B$2:$B$50),0)</f>
        <v>24708.807278560002</v>
      </c>
      <c r="S16" s="73" ph="1">
        <f>S15*9.0746*LOOKUP(S17,密度!$A$2:$A$50,密度!$Q$2:$Q$50)</f>
        <v>59271.810902232006</v>
      </c>
      <c r="T16" s="73" ph="1">
        <f>T15*9.0746*LOOKUP(T17,密度!$A$2:$A$50,密度!$O$2:$O$50)</f>
        <v>24217.675407200004</v>
      </c>
      <c r="U16" s="73" ph="1">
        <f>U15*9.0746*LOOKUP(U17,密度!$A$2:$A$50,密度!$H$2:$H$50)</f>
        <v>19448.682720000001</v>
      </c>
      <c r="V16" s="73" ph="1">
        <f>MAX(5600*LOOKUP(V17,密度!$A$2:$A$50,密度!$Q$2:$Q$50)+V15*9.0476*LOOKUP(V17,密度!$A$2:$A$50,密度!$Q$2:$Q$50),0)</f>
        <v>1281.5429052720006</v>
      </c>
      <c r="W16" s="73" ph="1">
        <f>MAX(5600*LOOKUP(W17,密度!$A$2:$A$50,密度!$Q$2:$Q$50)+W15*9.0476*LOOKUP(W17,密度!$A$2:$A$50,密度!$Q$2:$Q$50),0)</f>
        <v>2126.0966048400001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20048.913062400003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18296.271490559997</v>
      </c>
      <c r="AE16" s="73" ph="1">
        <f>AE15*268.68*LOOKUP(AE17,密度!$A$2:$A$50,密度!B2:B50)+IF(AE15&lt;=0,0,1566*LOOKUP(AE17,密度!$A$2:$A$50,密度!B2:B50))</f>
        <v>10627.83369648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28</v>
      </c>
      <c r="F17" s="74">
        <v>30</v>
      </c>
      <c r="G17" s="74">
        <v>26</v>
      </c>
      <c r="H17" s="74">
        <v>26</v>
      </c>
      <c r="I17" s="74">
        <v>26</v>
      </c>
      <c r="J17" s="74">
        <v>28</v>
      </c>
      <c r="K17" s="74">
        <v>28</v>
      </c>
      <c r="L17" s="74">
        <v>29</v>
      </c>
      <c r="M17" s="74">
        <v>29</v>
      </c>
      <c r="N17" s="74">
        <v>26</v>
      </c>
      <c r="O17" s="74">
        <v>29</v>
      </c>
      <c r="P17" s="74">
        <v>28</v>
      </c>
      <c r="Q17" s="74">
        <v>28</v>
      </c>
      <c r="R17" s="74">
        <v>30</v>
      </c>
      <c r="S17" s="74">
        <v>30</v>
      </c>
      <c r="T17" s="74">
        <v>27</v>
      </c>
      <c r="U17" s="74">
        <v>28</v>
      </c>
      <c r="V17" s="74">
        <v>28</v>
      </c>
      <c r="W17" s="74">
        <v>29</v>
      </c>
      <c r="X17" s="74">
        <v>27</v>
      </c>
      <c r="Y17" s="108">
        <v>28</v>
      </c>
      <c r="Z17" s="74">
        <v>27</v>
      </c>
      <c r="AA17" s="74">
        <v>26</v>
      </c>
      <c r="AB17" s="74">
        <v>29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2386</v>
      </c>
      <c r="E18" s="71">
        <v>4715</v>
      </c>
      <c r="F18" s="71">
        <v>2438</v>
      </c>
      <c r="G18" s="71">
        <v>1004</v>
      </c>
      <c r="H18" s="71">
        <v>3726</v>
      </c>
      <c r="I18" s="71">
        <v>117</v>
      </c>
      <c r="J18" s="71">
        <v>1694</v>
      </c>
      <c r="K18" s="71">
        <v>2011</v>
      </c>
      <c r="L18" s="71">
        <v>5651</v>
      </c>
      <c r="M18" s="71">
        <v>3442</v>
      </c>
      <c r="N18" s="71">
        <v>2171</v>
      </c>
      <c r="O18" s="71">
        <v>6089</v>
      </c>
      <c r="P18" s="71">
        <v>7168</v>
      </c>
      <c r="Q18" s="71">
        <v>0</v>
      </c>
      <c r="R18" s="71">
        <v>3514</v>
      </c>
      <c r="S18" s="71">
        <v>6930</v>
      </c>
      <c r="T18" s="71">
        <v>2194</v>
      </c>
      <c r="U18" s="71">
        <v>2351</v>
      </c>
      <c r="V18" s="71">
        <v>-429</v>
      </c>
      <c r="W18" s="71">
        <v>-372</v>
      </c>
      <c r="X18" s="71">
        <v>26</v>
      </c>
      <c r="Y18" s="109">
        <v>-9907</v>
      </c>
      <c r="Z18" s="71">
        <v>0</v>
      </c>
      <c r="AA18" s="71">
        <v>0</v>
      </c>
      <c r="AB18" s="71">
        <v>2370</v>
      </c>
      <c r="AC18" s="71">
        <v>0</v>
      </c>
      <c r="AD18" s="71">
        <v>80.41</v>
      </c>
      <c r="AE18" s="71">
        <v>6.81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6" t="s" ph="1">
        <v>179</v>
      </c>
      <c r="D19" s="73" ph="1">
        <f>D18*7.0686*LOOKUP(D20,密度!$A$2:$A$50,密度!$L$2:$L$50)</f>
        <v>15701.9477076</v>
      </c>
      <c r="E19" s="73" ph="1">
        <f>E18*7.0686*LOOKUP(E20,密度!$A$2:$A$50,密度!$L$2:$L$50)</f>
        <v>31062.114468000003</v>
      </c>
      <c r="F19" s="73" ph="1">
        <f>F18*9.0746*LOOKUP(F20,密度!$A$2:$A$50,密度!$L$2:$L$50)</f>
        <v>20508.831939600001</v>
      </c>
      <c r="G19" s="73" ph="1">
        <f>G18*9.0746*LOOKUP(G20,密度!$A$2:$A$50,密度!$B$2:$B$50)</f>
        <v>7063.67952952</v>
      </c>
      <c r="H19" s="73" ph="1">
        <f>H18*9.0746*LOOKUP(H20,密度!$A$2:$A$50,密度!$L$2:$L$50)</f>
        <v>31614.182226000004</v>
      </c>
      <c r="I19" s="73" ph="1">
        <f>I18*9.0746*LOOKUP(I20,密度!$A$2:$A$50,密度!$U$2:$U$50)</f>
        <v>1076.8047404399999</v>
      </c>
      <c r="J19" s="73" ph="1">
        <f>J18*9.0746*LOOKUP(J20,密度!$A$2:$A$50,密度!$L$2:$L$50)</f>
        <v>14296.306332</v>
      </c>
      <c r="K19" s="73" ph="1">
        <f>K18*9.0746*LOOKUP(K20,密度!$A$2:$A$50,密度!$C$2:$C$50)</f>
        <v>20148.743644460003</v>
      </c>
      <c r="L19" s="73" ph="1">
        <f>L18*9.0746*LOOKUP(L20,密度!$A$2:$A$50,密度!$E$2:$E$50)</f>
        <v>39875.767032959993</v>
      </c>
      <c r="M19" s="73" ph="1">
        <f>M18*9.0746*LOOKUP(M20,密度!$A$2:$A$50,密度!$M$2:$M$50)</f>
        <v>27106.160878424002</v>
      </c>
      <c r="N19" s="73" ph="1">
        <f>N18*9.0746*LOOKUP(N20,密度!$A$2:$A$50,密度!$M$2:$M$50)</f>
        <v>17179.2341552</v>
      </c>
      <c r="O19" s="73" ph="1">
        <f>O18*9.0746*LOOKUP(O20,密度!$A$2:$A$50,密度!$G$2:$G$50)</f>
        <v>52752.17705518</v>
      </c>
      <c r="P19" s="73" ph="1">
        <f ca="1">P18*9.0746*LOOKUP(P20,密度!$A$2:$A$51,密度!$Q$2:$Q$50)</f>
        <v>61360.534452223998</v>
      </c>
      <c r="Q19" s="73" ph="1">
        <f>Q18*9.0746*LOOKUP(Q20,密度!$A$2:$A$50,密度!$Q$2:$Q$50)</f>
        <v>0</v>
      </c>
      <c r="R19" s="73" ph="1">
        <f>MAX(R18*9.0746*LOOKUP(R20,密度!$A$2:$A$50,密度!$B$2:$B$50),0)</f>
        <v>24722.87835332</v>
      </c>
      <c r="S19" s="73" ph="1">
        <f>S18*9.0746*LOOKUP(S20,密度!$A$2:$A$50,密度!$Q$2:$Q$50)</f>
        <v>59276.00772324</v>
      </c>
      <c r="T19" s="73" ph="1">
        <f>T18*9.0746*LOOKUP(T20,密度!$A$2:$A$50,密度!$O$2:$O$50)</f>
        <v>18356.717952800002</v>
      </c>
      <c r="U19" s="73" ph="1">
        <f>U18*9.0746*LOOKUP(U20,密度!$A$2:$A$50,密度!$H$2:$H$50)</f>
        <v>19435.624370600002</v>
      </c>
      <c r="V19" s="73" ph="1">
        <f>MAX(5600*LOOKUP(V20,密度!$A$2:$A$50,密度!$Q$2:$Q$50)+V18*9.0476*LOOKUP(V20,密度!$A$2:$A$50,密度!$Q$2:$Q$50),0)</f>
        <v>1617.6130485000003</v>
      </c>
      <c r="W19" s="73" ph="1">
        <f>MAX(5600*LOOKUP(W20,密度!$A$2:$A$50,密度!$Q$2:$Q$50)+W18*9.0476*LOOKUP(W20,密度!$A$2:$A$50,密度!$Q$2:$Q$50),0)</f>
        <v>2104.4803883199997</v>
      </c>
      <c r="X19" s="73" ph="1">
        <f>MAX(5600*LOOKUP(X20,密度!$A$2:$A$50,密度!$I$2:$I$50)+X18*9.0476*LOOKUP(X20,密度!$A$2:$A$50,密度!$I$2:$I$50),0)</f>
        <v>6035.9697734400006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20044.339464000001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18003.5241876</v>
      </c>
      <c r="AE19" s="73" ph="1">
        <f>AE18*268.68*LOOKUP(AE20,密度!$A$2:$A$50,密度!B5:B53)+IF(AE18&lt;=0,0,1566*LOOKUP(AE20,密度!$A$2:$A$50,密度!B5:B53))</f>
        <v>2638.4672916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31</v>
      </c>
      <c r="E20" s="81">
        <v>30</v>
      </c>
      <c r="F20" s="81">
        <v>35</v>
      </c>
      <c r="G20" s="81">
        <v>30</v>
      </c>
      <c r="H20" s="81">
        <v>27</v>
      </c>
      <c r="I20" s="81">
        <v>36</v>
      </c>
      <c r="J20" s="81">
        <v>32</v>
      </c>
      <c r="K20" s="81">
        <v>31</v>
      </c>
      <c r="L20" s="81">
        <v>30</v>
      </c>
      <c r="M20" s="81">
        <v>32</v>
      </c>
      <c r="N20" s="81">
        <v>28</v>
      </c>
      <c r="O20" s="81">
        <v>30</v>
      </c>
      <c r="P20" s="81">
        <v>30</v>
      </c>
      <c r="Q20" s="81">
        <v>33</v>
      </c>
      <c r="R20" s="81">
        <v>30</v>
      </c>
      <c r="S20" s="81">
        <v>31</v>
      </c>
      <c r="T20" s="81">
        <v>30</v>
      </c>
      <c r="U20" s="81">
        <v>29</v>
      </c>
      <c r="V20" s="81">
        <v>33</v>
      </c>
      <c r="W20" s="81">
        <v>32</v>
      </c>
      <c r="X20" s="81">
        <v>32</v>
      </c>
      <c r="Y20" s="110">
        <v>32</v>
      </c>
      <c r="Z20" s="81">
        <v>33</v>
      </c>
      <c r="AA20" s="81">
        <v>31</v>
      </c>
      <c r="AB20" s="81">
        <v>30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6" t="s" ph="1">
        <v>178</v>
      </c>
      <c r="D24" s="71">
        <v>4.1100000000000003</v>
      </c>
      <c r="E24" s="71">
        <v>95.62</v>
      </c>
      <c r="F24" s="71">
        <v>182</v>
      </c>
      <c r="G24" s="71">
        <v>498</v>
      </c>
      <c r="H24" s="71">
        <v>1343</v>
      </c>
      <c r="I24" s="71">
        <v>2356</v>
      </c>
      <c r="J24" s="71">
        <v>841</v>
      </c>
      <c r="K24" s="71">
        <v>2387</v>
      </c>
      <c r="L24" s="71">
        <v>3570</v>
      </c>
      <c r="M24" s="71">
        <v>5260</v>
      </c>
      <c r="N24" s="71">
        <v>5332</v>
      </c>
      <c r="O24" s="71">
        <v>3693</v>
      </c>
      <c r="P24" s="71">
        <v>3053</v>
      </c>
      <c r="Q24" s="90">
        <v>1081</v>
      </c>
      <c r="R24" s="71">
        <v>1743</v>
      </c>
      <c r="S24" s="71">
        <v>6631</v>
      </c>
      <c r="T24" s="71">
        <v>1764</v>
      </c>
      <c r="U24" s="71">
        <v>4482</v>
      </c>
      <c r="V24" s="71">
        <v>9633</v>
      </c>
      <c r="W24" s="71">
        <v>10752</v>
      </c>
      <c r="X24" s="71">
        <v>2796</v>
      </c>
      <c r="Y24" s="71">
        <v>3912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2528.0559641520003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2009.07027412</v>
      </c>
      <c r="G25" s="91" ph="1">
        <f>G24*18.322*LOOKUP(G26,密度!$A$2:$A$50,密度!$B$2:$B$50)</f>
        <v>7089.6246119999996</v>
      </c>
      <c r="H25" s="91" ph="1">
        <f>H24*18.322*LOOKUP(H26,密度!$A$2:$A$50,密度!$B$2:$B$50)</f>
        <v>19099.523385199998</v>
      </c>
      <c r="I25" s="91" ph="1">
        <f>I24*18.322*LOOKUP(I26,密度!$A$2:$A$50,密度!$Q$2:$Q$50)</f>
        <v>40688.003990559999</v>
      </c>
      <c r="J25" s="91" ph="1">
        <f>J24*18.322*LOOKUP(J26,密度!$A$2:$A$50,密度!$Q$2:$Q$50)</f>
        <v>14524.02858916</v>
      </c>
      <c r="K25" s="91" ph="1">
        <f>K24*18.322*LOOKUP(K26,密度!$A$2:$A$50,密度!$Q$2:$Q$50)</f>
        <v>41223.372464120002</v>
      </c>
      <c r="L25" s="91" ph="1">
        <f>L24*18.322*LOOKUP(L26,密度!$A$2:$A$50,密度!$Q$2:$Q$50)</f>
        <v>61702.781368199991</v>
      </c>
      <c r="M25" s="91" ph="1">
        <f>M24*18.322*LOOKUP(M26,密度!$A$2:$A$50,密度!$Q$2:$Q$50)</f>
        <v>90970.045519600011</v>
      </c>
      <c r="N25" s="91" ph="1">
        <f>N24*18.322*LOOKUP(N26,密度!$A$2:$A$50,密度!$Q$2:$Q$50)</f>
        <v>92156.647130319994</v>
      </c>
      <c r="O25" s="91" ph="1">
        <f>O24*18.322*LOOKUP(O26,密度!$A$2:$A$50,密度!$C$2:$C$50)</f>
        <v>74774.542644599991</v>
      </c>
      <c r="P25" s="91" ph="1">
        <f>P24*11.702*LOOKUP(P26,密度!$A$2:$A$50,密度!$B$2:$B$50)</f>
        <v>27666.3739264</v>
      </c>
      <c r="Q25" s="92" ph="1">
        <f>Q24*18.322*LOOKUP(Q26,密度!$A$2:$A$50,密度!$B$2:$B$50)</f>
        <v>15337.829900799998</v>
      </c>
      <c r="R25" s="91" ph="1">
        <f>R24*35.891*LOOKUP(R26,密度!$A$2:$A$50,密度!$C$2:$C$50)</f>
        <v>69001.488339000003</v>
      </c>
      <c r="S25" s="91" ph="1">
        <f>S24*35.891*LOOKUP(S26,密度!$A$2:$A$50,密度!$B$2:$B$50)</f>
        <v>184516.1442413</v>
      </c>
      <c r="T25" s="91" ph="1">
        <f>T24*35.891*LOOKUP(T26,密度!$A$2:$A$50,密度!$Q$2:$Q$50)</f>
        <v>59676.364807919992</v>
      </c>
      <c r="U25" s="91" ph="1">
        <f>U24*35.891</f>
        <v>160863.462</v>
      </c>
      <c r="V25" s="91" ph="1">
        <f>V24*47.051*LOOKUP(V26,密度!$A$2:$A$50,密度!$B$2:$B$50)</f>
        <v>351398.74200989999</v>
      </c>
      <c r="W25" s="91" ph="1">
        <f>W24*47.051*LOOKUP(W26,密度!$A$2:$A$50,密度!$B$2:$B$50)</f>
        <v>392673.64362240001</v>
      </c>
      <c r="X25" s="91" ph="1">
        <f>X24*47.051*LOOKUP(X26,密度!$A$2:$A$50,密度!$I$2:$I$50)</f>
        <v>136369.4942136</v>
      </c>
      <c r="Y25" s="91" ph="1">
        <f>Y24*47.051*LOOKUP(Y26,密度!$A$2:$A$50,密度!$L$2:$L$50)</f>
        <v>171363.12967200004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29</v>
      </c>
      <c r="I26" s="74">
        <v>31</v>
      </c>
      <c r="J26" s="74">
        <v>31</v>
      </c>
      <c r="K26" s="74">
        <v>31</v>
      </c>
      <c r="L26" s="74">
        <v>30</v>
      </c>
      <c r="M26" s="74">
        <v>29</v>
      </c>
      <c r="N26" s="74">
        <v>30</v>
      </c>
      <c r="O26" s="74">
        <v>30</v>
      </c>
      <c r="P26" s="74">
        <v>31</v>
      </c>
      <c r="Q26" s="93">
        <v>31</v>
      </c>
      <c r="R26" s="74">
        <v>32</v>
      </c>
      <c r="S26" s="74">
        <v>30</v>
      </c>
      <c r="T26" s="74">
        <v>31</v>
      </c>
      <c r="U26" s="74">
        <v>31</v>
      </c>
      <c r="V26" s="74">
        <v>30</v>
      </c>
      <c r="W26" s="74">
        <v>29</v>
      </c>
      <c r="X26" s="74">
        <v>30</v>
      </c>
      <c r="Y26" s="74">
        <v>31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6" t="s" ph="1">
        <v>181</v>
      </c>
      <c r="D27" s="71">
        <v>4.1100000000000003</v>
      </c>
      <c r="E27" s="71">
        <v>95.81</v>
      </c>
      <c r="F27" s="71">
        <v>178</v>
      </c>
      <c r="G27" s="71">
        <v>456</v>
      </c>
      <c r="H27" s="71">
        <v>1300</v>
      </c>
      <c r="I27" s="71">
        <v>1450</v>
      </c>
      <c r="J27" s="71">
        <v>281</v>
      </c>
      <c r="K27" s="71">
        <v>2387</v>
      </c>
      <c r="L27" s="71">
        <v>3568</v>
      </c>
      <c r="M27" s="71">
        <v>5261</v>
      </c>
      <c r="N27" s="71">
        <v>5331</v>
      </c>
      <c r="O27" s="71">
        <v>3691</v>
      </c>
      <c r="P27" s="71">
        <v>2492</v>
      </c>
      <c r="Q27" s="90">
        <v>2655</v>
      </c>
      <c r="R27" s="71">
        <v>1741</v>
      </c>
      <c r="S27" s="71">
        <v>6628</v>
      </c>
      <c r="T27" s="71">
        <v>1762</v>
      </c>
      <c r="U27" s="71">
        <v>3878</v>
      </c>
      <c r="V27" s="71">
        <v>9636</v>
      </c>
      <c r="W27" s="71">
        <v>10751</v>
      </c>
      <c r="X27" s="71">
        <v>2851</v>
      </c>
      <c r="Y27" s="71">
        <v>3911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6" t="s" ph="1">
        <v>179</v>
      </c>
      <c r="D28" s="91" ph="1">
        <f>D27*268.68*LOOKUP(D29,密度!$A$2:$A$50,密度!$Q$2:$Q$50)+IF(D27&lt;=0,0,1566*LOOKUP(D29,密度!$A$2:$A$50,密度!$Q$2:$Q$50))</f>
        <v>2528.0559641520003</v>
      </c>
      <c r="E28" s="91" ph="1">
        <f>E27*268.68*LOOKUP(E29,密度!$A$2:$A$50,密度!$C$2:$C$50)+IF(E27&lt;=0,0,1566*LOOKUP(E29,密度!$A$2:$A$50,密度!$C$2:$C$50))</f>
        <v>30282.097134120002</v>
      </c>
      <c r="F28" s="91" ph="1">
        <f>F27*11.702*LOOKUP(F29,密度!$A$2:$A$50,密度!$Q$2:$Q$50)</f>
        <v>1961.9362564</v>
      </c>
      <c r="G28" s="91" ph="1">
        <f>G27*18.322*LOOKUP(G29,密度!$A$2:$A$50,密度!$B$2:$B$50)</f>
        <v>6477.5012495999999</v>
      </c>
      <c r="H28" s="91" ph="1">
        <f>H27*18.322*LOOKUP(H29,密度!$A$2:$A$50,密度!$B$2:$B$50)</f>
        <v>18445.123839999997</v>
      </c>
      <c r="I28" s="91" ph="1">
        <f>I27*18.322*LOOKUP(I29,密度!$A$2:$A$50,密度!$Q$2:$Q$50)</f>
        <v>25006.094624999998</v>
      </c>
      <c r="J28" s="91" ph="1">
        <f>J27*18.322*LOOKUP(J29,密度!$A$2:$A$50,密度!$Q$2:$Q$50)</f>
        <v>4839.2641710799999</v>
      </c>
      <c r="K28" s="91" ph="1">
        <f>K27*18.322*LOOKUP(K29,密度!$A$2:$A$50,密度!$Q$2:$Q$50)</f>
        <v>41107.913083159998</v>
      </c>
      <c r="L28" s="91" ph="1">
        <f>L27*18.322*LOOKUP(L29,密度!$A$2:$A$50,密度!$Q$2:$Q$50)</f>
        <v>61532.238360000003</v>
      </c>
      <c r="M28" s="91" ph="1">
        <f>M27*18.322*LOOKUP(M29,密度!$A$2:$A$50,密度!$Q$2:$Q$50)</f>
        <v>91053.850714040003</v>
      </c>
      <c r="N28" s="91" ph="1">
        <f>N27*18.322*LOOKUP(N29,密度!$A$2:$A$50,密度!$Q$2:$Q$50)</f>
        <v>92197.968187260005</v>
      </c>
      <c r="O28" s="91" ph="1">
        <f>O27*18.322*LOOKUP(O29,密度!$A$2:$A$50,密度!$C$2:$C$50)</f>
        <v>74524.405203999995</v>
      </c>
      <c r="P28" s="91" ph="1">
        <f>P27*11.702*LOOKUP(P29,密度!$A$2:$A$50,密度!$B$2:$B$50)</f>
        <v>22608.821015199999</v>
      </c>
      <c r="Q28" s="92" ph="1">
        <f>Q27*18.322*LOOKUP(Q29,密度!$A$2:$A$50,密度!$B$2:$B$50)</f>
        <v>37626.837884999994</v>
      </c>
      <c r="R28" s="91" ph="1">
        <f>R27*35.891*LOOKUP(R29,密度!$A$2:$A$50,密度!$C$2:$C$50)</f>
        <v>68859.826562000002</v>
      </c>
      <c r="S28" s="91" ph="1">
        <f>S27*35.891*LOOKUP(S29,密度!$A$2:$A$50,密度!$B$2:$B$50)</f>
        <v>184004.47137799999</v>
      </c>
      <c r="T28" s="91" ph="1">
        <f>T27*35.891*LOOKUP(T29,密度!$A$2:$A$50,密度!$Q$2:$Q$50)</f>
        <v>59608.704530359995</v>
      </c>
      <c r="U28" s="91" ph="1">
        <f>U27*35.891</f>
        <v>139185.29799999998</v>
      </c>
      <c r="V28" s="91" ph="1">
        <f>V27*47.051*LOOKUP(V29,密度!$A$2:$A$50,密度!$B$2:$B$50)</f>
        <v>350692.08774600003</v>
      </c>
      <c r="W28" s="91" ph="1">
        <f>W27*47.051*LOOKUP(W29,密度!$A$2:$A$50,密度!$B$2:$B$50)</f>
        <v>390866.66408270004</v>
      </c>
      <c r="X28" s="91" ph="1">
        <f>X27*47.051*LOOKUP(X29,密度!$A$2:$A$50,密度!$I$2:$I$50)</f>
        <v>138905.79765950999</v>
      </c>
      <c r="Y28" s="91" ph="1">
        <f>Y27*47.051*LOOKUP(Y29,密度!$A$2:$A$50,密度!$L$2:$L$50)</f>
        <v>171135.30873000002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6" t="s" ph="1">
        <v>180</v>
      </c>
      <c r="D29" s="74">
        <v>25</v>
      </c>
      <c r="E29" s="74">
        <v>25</v>
      </c>
      <c r="F29" s="74">
        <v>32</v>
      </c>
      <c r="G29" s="74">
        <v>30</v>
      </c>
      <c r="H29" s="74">
        <v>31</v>
      </c>
      <c r="I29" s="74">
        <v>33</v>
      </c>
      <c r="J29" s="74">
        <v>35</v>
      </c>
      <c r="K29" s="74">
        <v>35</v>
      </c>
      <c r="L29" s="74">
        <v>33</v>
      </c>
      <c r="M29" s="74">
        <v>28</v>
      </c>
      <c r="N29" s="74">
        <v>29</v>
      </c>
      <c r="O29" s="74">
        <v>33</v>
      </c>
      <c r="P29" s="74">
        <v>30</v>
      </c>
      <c r="Q29" s="93">
        <v>32</v>
      </c>
      <c r="R29" s="74">
        <v>33</v>
      </c>
      <c r="S29" s="74">
        <v>32</v>
      </c>
      <c r="T29" s="74">
        <v>31</v>
      </c>
      <c r="U29" s="74">
        <v>30</v>
      </c>
      <c r="V29" s="74">
        <v>32</v>
      </c>
      <c r="W29" s="74">
        <v>33</v>
      </c>
      <c r="X29" s="74">
        <v>31</v>
      </c>
      <c r="Y29" s="74">
        <v>32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101167.95706080002</v>
      </c>
      <c r="E33" s="205" ph="1">
        <f>M10+I10</f>
        <v>198691.2869446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31" ph="1">
        <v>0</v>
      </c>
      <c r="H33" s="205" ph="1">
        <f>N19</f>
        <v>17179.2341552</v>
      </c>
      <c r="I33" s="209" ph="1">
        <v>0</v>
      </c>
      <c r="J33" s="213" ph="1">
        <f>F10+O28</f>
        <v>323304.49054900004</v>
      </c>
      <c r="K33" s="205" ph="1">
        <f>O10+K10+E28+R28</f>
        <v>112666.48979932</v>
      </c>
      <c r="L33" s="215" ph="1">
        <f>BE27</f>
        <v>7100</v>
      </c>
      <c r="M33" s="213" ph="1">
        <f>G10+H10+W28+S28+V28+E10</f>
        <v>1605844.3353077001</v>
      </c>
      <c r="N33" s="205" ph="1">
        <f>L10+P10++G28+H28</f>
        <v>177366.88027359996</v>
      </c>
      <c r="O33" s="209" ph="1">
        <f>BE17</f>
        <v>2270</v>
      </c>
      <c r="P33" s="213" ph="1">
        <f>L19</f>
        <v>39875.767032959993</v>
      </c>
      <c r="Q33" s="205" ph="1">
        <f>J10+N10</f>
        <v>99743.255632</v>
      </c>
      <c r="R33" s="209" ph="1">
        <f>BE23</f>
        <v>890</v>
      </c>
      <c r="S33" s="213" ph="1">
        <f>E10+X28</f>
        <v>361953.39750650997</v>
      </c>
      <c r="T33" s="205" ph="1">
        <f>X19</f>
        <v>6035.9697734400006</v>
      </c>
      <c r="U33" s="194" ph="1">
        <f>BE21</f>
        <v>730</v>
      </c>
      <c r="V33" s="207" ph="1">
        <f ca="1">P19+Q19+S19+M28+N28+J28</f>
        <v>308727.62524784403</v>
      </c>
      <c r="W33" s="207" ph="1">
        <f>D28+F28+V19+T28</f>
        <v>65716.309799412003</v>
      </c>
      <c r="X33" s="209" ph="1">
        <f>BE29+BE31</f>
        <v>10200</v>
      </c>
      <c r="Y33" s="211" ph="1">
        <f>+Q10+R10+S10+T10+U10+V10+W10+X10+Y10</f>
        <v>187814.8013742</v>
      </c>
      <c r="Z33" s="192" ph="1">
        <f>D10+T19+U19+Y28+Z10</f>
        <v>429046.04989393009</v>
      </c>
      <c r="AA33" s="194" ph="1">
        <f>BE19</f>
        <v>1440</v>
      </c>
      <c r="AB33" s="196" ph="1">
        <f>I19</f>
        <v>1076.8047404399999</v>
      </c>
      <c r="AC33" s="198" ph="1">
        <f>AD10</f>
        <v>86228.647142400005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8" t="s" ph="1">
        <v>186</v>
      </c>
      <c r="AA36" s="168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69" priority="97">
      <formula>ABS(D$7-D$10)&gt;=1000</formula>
    </cfRule>
  </conditionalFormatting>
  <conditionalFormatting sqref="E4 E6:E11">
    <cfRule type="expression" dxfId="1268" priority="96">
      <formula>ABS(E$7-E$10)&gt;=1000</formula>
    </cfRule>
  </conditionalFormatting>
  <conditionalFormatting sqref="F4:F11">
    <cfRule type="expression" dxfId="1267" priority="95">
      <formula>ABS(F$7-F$10)&gt;=1000</formula>
    </cfRule>
  </conditionalFormatting>
  <conditionalFormatting sqref="G4:G11">
    <cfRule type="expression" dxfId="1266" priority="94">
      <formula>ABS(G$7-G$10)&gt;=1000</formula>
    </cfRule>
  </conditionalFormatting>
  <conditionalFormatting sqref="H4:H11">
    <cfRule type="expression" dxfId="1265" priority="93">
      <formula>ABS(H$7-H$10)&gt;=1000</formula>
    </cfRule>
  </conditionalFormatting>
  <conditionalFormatting sqref="I4:I11">
    <cfRule type="expression" dxfId="1264" priority="92">
      <formula>ABS(I$7-I$10)&gt;=1000</formula>
    </cfRule>
  </conditionalFormatting>
  <conditionalFormatting sqref="J4:J11">
    <cfRule type="expression" dxfId="1263" priority="91">
      <formula>ABS(J$7-J$10)&gt;=1000</formula>
    </cfRule>
  </conditionalFormatting>
  <conditionalFormatting sqref="K4:K11">
    <cfRule type="expression" dxfId="1262" priority="90">
      <formula>ABS(K$7-K$10)&gt;=1000</formula>
    </cfRule>
  </conditionalFormatting>
  <conditionalFormatting sqref="L4:L11">
    <cfRule type="expression" dxfId="1261" priority="89">
      <formula>ABS(L$7-L$10)&gt;=1000</formula>
    </cfRule>
  </conditionalFormatting>
  <conditionalFormatting sqref="M4 M6:M11">
    <cfRule type="expression" dxfId="1260" priority="88">
      <formula>ABS(M$7-M$10)&gt;=1000</formula>
    </cfRule>
  </conditionalFormatting>
  <conditionalFormatting sqref="N4 N6:N11">
    <cfRule type="expression" dxfId="1259" priority="87">
      <formula>ABS(N$7-N$10)&gt;=1000</formula>
    </cfRule>
  </conditionalFormatting>
  <conditionalFormatting sqref="O4 O6:O11">
    <cfRule type="expression" dxfId="1258" priority="86">
      <formula>ABS(O$7-O$10)&gt;=1000</formula>
    </cfRule>
  </conditionalFormatting>
  <conditionalFormatting sqref="P4 P6:P11">
    <cfRule type="expression" dxfId="1257" priority="85">
      <formula>ABS(P$7-P$10)&gt;=1000</formula>
    </cfRule>
  </conditionalFormatting>
  <conditionalFormatting sqref="Q4:Q11">
    <cfRule type="expression" dxfId="1256" priority="84">
      <formula>ABS(Q$7-Q$10)&gt;=1000</formula>
    </cfRule>
  </conditionalFormatting>
  <conditionalFormatting sqref="R4:R11">
    <cfRule type="expression" dxfId="1255" priority="83">
      <formula>ABS(R$7-R$10)&gt;=1000</formula>
    </cfRule>
  </conditionalFormatting>
  <conditionalFormatting sqref="S4:S11">
    <cfRule type="expression" dxfId="1254" priority="82">
      <formula>ABS(S$7-S$10)&gt;=1000</formula>
    </cfRule>
  </conditionalFormatting>
  <conditionalFormatting sqref="T4:T9 T11">
    <cfRule type="expression" dxfId="1253" priority="81">
      <formula>ABS(T$7-T$10)&gt;=1000</formula>
    </cfRule>
  </conditionalFormatting>
  <conditionalFormatting sqref="U4:U9 U11">
    <cfRule type="expression" dxfId="1252" priority="80">
      <formula>ABS(U$7-U$10)&gt;=1000</formula>
    </cfRule>
  </conditionalFormatting>
  <conditionalFormatting sqref="V4:V9 V11">
    <cfRule type="expression" dxfId="1251" priority="79">
      <formula>ABS(V$7-V$10)&gt;=1000</formula>
    </cfRule>
  </conditionalFormatting>
  <conditionalFormatting sqref="W4:W9 W11">
    <cfRule type="expression" dxfId="1250" priority="78">
      <formula>ABS(W$7-W$10)&gt;=1000</formula>
    </cfRule>
  </conditionalFormatting>
  <conditionalFormatting sqref="X4:X9 X11">
    <cfRule type="expression" dxfId="1249" priority="77">
      <formula>ABS(X$7-X$10)&gt;=1000</formula>
    </cfRule>
  </conditionalFormatting>
  <conditionalFormatting sqref="Y4:Y9 Y11">
    <cfRule type="expression" dxfId="1248" priority="76">
      <formula>ABS(Y$7-Y$10)&gt;=1000</formula>
    </cfRule>
  </conditionalFormatting>
  <conditionalFormatting sqref="Z4:Z11">
    <cfRule type="expression" dxfId="1247" priority="75">
      <formula>ABS(Z$7-Z$10)&gt;=1000</formula>
    </cfRule>
  </conditionalFormatting>
  <conditionalFormatting sqref="AA4:AA11">
    <cfRule type="expression" dxfId="1246" priority="74">
      <formula>ABS(AA$7-AA$10)&gt;=1000</formula>
    </cfRule>
  </conditionalFormatting>
  <conditionalFormatting sqref="AB4:AB11">
    <cfRule type="expression" dxfId="1245" priority="73">
      <formula>ABS(AB$7-AB$10)&gt;=1000</formula>
    </cfRule>
  </conditionalFormatting>
  <conditionalFormatting sqref="AC4 AC6:AC11">
    <cfRule type="expression" dxfId="1244" priority="72">
      <formula>ABS(AC$7-AC$10)&gt;=1000</formula>
    </cfRule>
  </conditionalFormatting>
  <conditionalFormatting sqref="AD4:AD11">
    <cfRule type="expression" dxfId="1243" priority="71">
      <formula>ABS(AD$7-AD$10)&gt;=1000</formula>
    </cfRule>
  </conditionalFormatting>
  <conditionalFormatting sqref="AE4:AE11">
    <cfRule type="expression" dxfId="1242" priority="70">
      <formula>ABS(AE$7-AE$10)&gt;=1000</formula>
    </cfRule>
  </conditionalFormatting>
  <conditionalFormatting sqref="D13:D20">
    <cfRule type="expression" dxfId="1241" priority="69">
      <formula>ABS(D$16-D$19)&gt;=1000</formula>
    </cfRule>
  </conditionalFormatting>
  <conditionalFormatting sqref="E13:E20">
    <cfRule type="expression" dxfId="1240" priority="68">
      <formula>ABS(E$16-E$19)&gt;=1000</formula>
    </cfRule>
  </conditionalFormatting>
  <conditionalFormatting sqref="F13 F15:F20">
    <cfRule type="expression" dxfId="1239" priority="67">
      <formula>ABS(F$16-F$19)&gt;=1000</formula>
    </cfRule>
  </conditionalFormatting>
  <conditionalFormatting sqref="G13:G20">
    <cfRule type="expression" dxfId="1238" priority="66">
      <formula>ABS(G$16-G$19)&gt;=1000</formula>
    </cfRule>
  </conditionalFormatting>
  <conditionalFormatting sqref="H13:H20">
    <cfRule type="expression" dxfId="1237" priority="65">
      <formula>ABS(H$16-H$19)&gt;=1000</formula>
    </cfRule>
  </conditionalFormatting>
  <conditionalFormatting sqref="I13:I20">
    <cfRule type="expression" dxfId="1236" priority="64">
      <formula>ABS(I$16-I$19)&gt;=1000</formula>
    </cfRule>
  </conditionalFormatting>
  <conditionalFormatting sqref="J13:J20">
    <cfRule type="expression" dxfId="1235" priority="63">
      <formula>ABS(J$16-J$19)&gt;=1000</formula>
    </cfRule>
  </conditionalFormatting>
  <conditionalFormatting sqref="L13:L20">
    <cfRule type="expression" dxfId="1234" priority="62">
      <formula>ABS(L$16-L$19)&gt;=1000</formula>
    </cfRule>
  </conditionalFormatting>
  <conditionalFormatting sqref="M13 M15 M17:M18 M20">
    <cfRule type="expression" dxfId="1233" priority="61">
      <formula>ABS(M$16-M$19)&gt;=1000</formula>
    </cfRule>
  </conditionalFormatting>
  <conditionalFormatting sqref="N13:N20">
    <cfRule type="expression" dxfId="1232" priority="60">
      <formula>ABS(N$16-N$19)&gt;=1000</formula>
    </cfRule>
  </conditionalFormatting>
  <conditionalFormatting sqref="O13:O20">
    <cfRule type="expression" dxfId="1231" priority="59">
      <formula>ABS(O$16-O$19)&gt;=1000</formula>
    </cfRule>
  </conditionalFormatting>
  <conditionalFormatting sqref="P13:P20">
    <cfRule type="expression" dxfId="1230" priority="58">
      <formula>ABS(P$16-P$19)&gt;=1000</formula>
    </cfRule>
  </conditionalFormatting>
  <conditionalFormatting sqref="Q13 Q15:Q20">
    <cfRule type="expression" dxfId="1229" priority="57">
      <formula>ABS(Q$16-Q$19)&gt;=1000</formula>
    </cfRule>
  </conditionalFormatting>
  <conditionalFormatting sqref="R13:R20">
    <cfRule type="expression" dxfId="1228" priority="56">
      <formula>ABS(R$16-R$19)&gt;=1000</formula>
    </cfRule>
  </conditionalFormatting>
  <conditionalFormatting sqref="S13:S20">
    <cfRule type="expression" dxfId="1227" priority="55">
      <formula>ABS(S$16-S$19)&gt;=1000</formula>
    </cfRule>
  </conditionalFormatting>
  <conditionalFormatting sqref="T13:T20">
    <cfRule type="expression" dxfId="1226" priority="54">
      <formula>ABS(T$16-T$19)&gt;=1000</formula>
    </cfRule>
  </conditionalFormatting>
  <conditionalFormatting sqref="U13:U20">
    <cfRule type="expression" dxfId="1225" priority="53">
      <formula>ABS(U$16-U$19)&gt;=1000</formula>
    </cfRule>
  </conditionalFormatting>
  <conditionalFormatting sqref="V13:V20">
    <cfRule type="expression" dxfId="1224" priority="52">
      <formula>ABS(V$16-V$19)&gt;=1000</formula>
    </cfRule>
  </conditionalFormatting>
  <conditionalFormatting sqref="W13 W20 W15:W18">
    <cfRule type="expression" dxfId="1223" priority="51">
      <formula>ABS(W$16-W$19)&gt;=1000</formula>
    </cfRule>
  </conditionalFormatting>
  <conditionalFormatting sqref="X13 X15:X20 Y19">
    <cfRule type="expression" dxfId="1222" priority="50">
      <formula>ABS(X$16-X$19)&gt;=1000</formula>
    </cfRule>
  </conditionalFormatting>
  <conditionalFormatting sqref="Y13 Y15:Y18 Y20">
    <cfRule type="expression" dxfId="1221" priority="49">
      <formula>ABS(Y$16-Y$19)&gt;=1000</formula>
    </cfRule>
  </conditionalFormatting>
  <conditionalFormatting sqref="Z13:Z20">
    <cfRule type="expression" dxfId="1220" priority="48">
      <formula>ABS(Z$16-Z$19)&gt;=1000</formula>
    </cfRule>
  </conditionalFormatting>
  <conditionalFormatting sqref="AA13:AA20">
    <cfRule type="expression" dxfId="1219" priority="47">
      <formula>ABS(AA$16-AA$19)&gt;=1000</formula>
    </cfRule>
  </conditionalFormatting>
  <conditionalFormatting sqref="AB13 AB15:AB20">
    <cfRule type="expression" dxfId="1218" priority="46">
      <formula>ABS(AB$16-AB$19)&gt;=1000</formula>
    </cfRule>
  </conditionalFormatting>
  <conditionalFormatting sqref="AC13 AC15:AC20">
    <cfRule type="expression" dxfId="1217" priority="45">
      <formula>ABS(AC$16-AC$19)&gt;=1000</formula>
    </cfRule>
  </conditionalFormatting>
  <conditionalFormatting sqref="AD13:AD20">
    <cfRule type="expression" dxfId="1216" priority="44">
      <formula>ABS(AD$16-AD$19)&gt;=1000</formula>
    </cfRule>
  </conditionalFormatting>
  <conditionalFormatting sqref="AE13:AE20">
    <cfRule type="expression" dxfId="1215" priority="43">
      <formula>ABS(AE$16-AE$19)&gt;=1000</formula>
    </cfRule>
  </conditionalFormatting>
  <conditionalFormatting sqref="D22:D29">
    <cfRule type="expression" dxfId="1214" priority="42">
      <formula>ABS(D$25-D$28)&gt;=1000</formula>
    </cfRule>
  </conditionalFormatting>
  <conditionalFormatting sqref="E22:E29">
    <cfRule type="expression" dxfId="1213" priority="41">
      <formula>ABS(E$25-E$28)&gt;=1000</formula>
    </cfRule>
  </conditionalFormatting>
  <conditionalFormatting sqref="F22:F29">
    <cfRule type="expression" dxfId="1212" priority="40">
      <formula>ABS(F$25-F$28)&gt;=1000</formula>
    </cfRule>
  </conditionalFormatting>
  <conditionalFormatting sqref="G22:G29">
    <cfRule type="expression" dxfId="1211" priority="39">
      <formula>ABS(G$25-G$28)&gt;=1000</formula>
    </cfRule>
  </conditionalFormatting>
  <conditionalFormatting sqref="H22:H29">
    <cfRule type="expression" dxfId="1210" priority="38">
      <formula>ABS(H$25-H$28)&gt;=1000</formula>
    </cfRule>
  </conditionalFormatting>
  <conditionalFormatting sqref="I22 I24:I29">
    <cfRule type="expression" dxfId="1209" priority="37">
      <formula>ABS(I$25-I$28)&gt;=1000</formula>
    </cfRule>
  </conditionalFormatting>
  <conditionalFormatting sqref="J22:J29 K22">
    <cfRule type="expression" dxfId="1208" priority="36">
      <formula>ABS(J$25-J$28)&gt;=1000</formula>
    </cfRule>
  </conditionalFormatting>
  <conditionalFormatting sqref="K23:K29 L25 L28">
    <cfRule type="expression" dxfId="1207" priority="35">
      <formula>ABS(K$25-K$28)&gt;=1000</formula>
    </cfRule>
  </conditionalFormatting>
  <conditionalFormatting sqref="L22 L26:L27 L29 L24">
    <cfRule type="expression" dxfId="1206" priority="34">
      <formula>ABS(L$25-L$28)&gt;=1000</formula>
    </cfRule>
  </conditionalFormatting>
  <conditionalFormatting sqref="M22:M29">
    <cfRule type="expression" dxfId="1205" priority="33">
      <formula>ABS(M$25-M$28)&gt;=1000</formula>
    </cfRule>
  </conditionalFormatting>
  <conditionalFormatting sqref="N22:N29">
    <cfRule type="expression" dxfId="1204" priority="32">
      <formula>ABS(N$25-N$28)&gt;=1000</formula>
    </cfRule>
  </conditionalFormatting>
  <conditionalFormatting sqref="O22:O29">
    <cfRule type="expression" dxfId="1203" priority="31">
      <formula>ABS(O$25-O$28)&gt;=1000</formula>
    </cfRule>
  </conditionalFormatting>
  <conditionalFormatting sqref="P22:P29">
    <cfRule type="expression" dxfId="1202" priority="30">
      <formula>ABS(P$25-P$28)&gt;=1000</formula>
    </cfRule>
  </conditionalFormatting>
  <conditionalFormatting sqref="Q22:Q29">
    <cfRule type="expression" dxfId="1201" priority="29">
      <formula>ABS(Q$25-Q$28)&gt;=1000</formula>
    </cfRule>
  </conditionalFormatting>
  <conditionalFormatting sqref="R22:R29">
    <cfRule type="expression" dxfId="1200" priority="28">
      <formula>ABS(R$25-R$28)&gt;=1000</formula>
    </cfRule>
  </conditionalFormatting>
  <conditionalFormatting sqref="S22:S29">
    <cfRule type="expression" dxfId="1199" priority="27">
      <formula>ABS(S$25-S$28)&gt;=1000</formula>
    </cfRule>
  </conditionalFormatting>
  <conditionalFormatting sqref="T22:T29">
    <cfRule type="expression" dxfId="1198" priority="26">
      <formula>ABS(T$25-T$28)&gt;=1000</formula>
    </cfRule>
  </conditionalFormatting>
  <conditionalFormatting sqref="U22:U29">
    <cfRule type="expression" dxfId="1197" priority="25">
      <formula>ABS(U$25-U$28)&gt;=1000</formula>
    </cfRule>
  </conditionalFormatting>
  <conditionalFormatting sqref="V22:V29">
    <cfRule type="expression" dxfId="1196" priority="24">
      <formula>ABS(V$25-V$28)&gt;=1000</formula>
    </cfRule>
  </conditionalFormatting>
  <conditionalFormatting sqref="W22:W29">
    <cfRule type="expression" dxfId="1195" priority="23">
      <formula>ABS(W$25-W$28)&gt;=1000</formula>
    </cfRule>
  </conditionalFormatting>
  <conditionalFormatting sqref="X22:X29">
    <cfRule type="expression" dxfId="1194" priority="22">
      <formula>ABS(X$25-X$28)&gt;=1000</formula>
    </cfRule>
  </conditionalFormatting>
  <conditionalFormatting sqref="Y22:Y29">
    <cfRule type="expression" dxfId="1193" priority="21">
      <formula>ABS(Y$25-Y$28)&gt;=1000</formula>
    </cfRule>
  </conditionalFormatting>
  <conditionalFormatting sqref="I23">
    <cfRule type="expression" dxfId="1192" priority="20">
      <formula>ABS(I$25-I$28)&gt;=1000</formula>
    </cfRule>
  </conditionalFormatting>
  <conditionalFormatting sqref="F14">
    <cfRule type="expression" dxfId="1191" priority="19">
      <formula>ABS(F$16-F$19)&gt;=1000</formula>
    </cfRule>
  </conditionalFormatting>
  <conditionalFormatting sqref="Q14">
    <cfRule type="expression" dxfId="1190" priority="18">
      <formula>ABS(Q$16-Q$19)&gt;=1000</formula>
    </cfRule>
  </conditionalFormatting>
  <conditionalFormatting sqref="W14">
    <cfRule type="expression" dxfId="1189" priority="17">
      <formula>ABS(W$16-W$19)&gt;=1000</formula>
    </cfRule>
  </conditionalFormatting>
  <conditionalFormatting sqref="Y14">
    <cfRule type="expression" dxfId="1188" priority="16">
      <formula>ABS(Y$16-Y$19)&gt;=1000</formula>
    </cfRule>
  </conditionalFormatting>
  <conditionalFormatting sqref="X14">
    <cfRule type="expression" dxfId="1187" priority="15">
      <formula>ABS(X$16-X$19)&gt;=1000</formula>
    </cfRule>
  </conditionalFormatting>
  <conditionalFormatting sqref="T10:Y10">
    <cfRule type="expression" dxfId="1186" priority="14">
      <formula>ABS(T$7-T$10)&gt;=1000</formula>
    </cfRule>
  </conditionalFormatting>
  <conditionalFormatting sqref="W19">
    <cfRule type="expression" dxfId="1185" priority="13">
      <formula>ABS(W$16-W$19)&gt;=1000</formula>
    </cfRule>
  </conditionalFormatting>
  <conditionalFormatting sqref="AC5">
    <cfRule type="expression" dxfId="1184" priority="12">
      <formula>ABS(AC$7-AC$10)&gt;=1000</formula>
    </cfRule>
  </conditionalFormatting>
  <conditionalFormatting sqref="M14">
    <cfRule type="expression" dxfId="1183" priority="11">
      <formula>ABS(M$16-M$19)&gt;=1000</formula>
    </cfRule>
  </conditionalFormatting>
  <conditionalFormatting sqref="M16">
    <cfRule type="expression" dxfId="1182" priority="10">
      <formula>ABS(M$16-M$19)&gt;=1000</formula>
    </cfRule>
  </conditionalFormatting>
  <conditionalFormatting sqref="M19">
    <cfRule type="expression" dxfId="1181" priority="9">
      <formula>ABS(M$16-M$19)&gt;=1000</formula>
    </cfRule>
  </conditionalFormatting>
  <conditionalFormatting sqref="K13:K20">
    <cfRule type="expression" dxfId="1180" priority="8">
      <formula>ABS(K$16-K$19)&gt;=1000</formula>
    </cfRule>
  </conditionalFormatting>
  <conditionalFormatting sqref="E5">
    <cfRule type="expression" dxfId="1179" priority="7">
      <formula>ABS(E$7-E$10)&gt;=1000</formula>
    </cfRule>
  </conditionalFormatting>
  <conditionalFormatting sqref="AB14:AC14">
    <cfRule type="expression" dxfId="1178" priority="6">
      <formula>ABS(AB$16-AB$19)&gt;=1000</formula>
    </cfRule>
  </conditionalFormatting>
  <conditionalFormatting sqref="M5">
    <cfRule type="expression" dxfId="1177" priority="5">
      <formula>ABS(M$7-M$10)&gt;=1000</formula>
    </cfRule>
  </conditionalFormatting>
  <conditionalFormatting sqref="N5">
    <cfRule type="expression" dxfId="1176" priority="4">
      <formula>ABS(N$7-N$10)&gt;=1000</formula>
    </cfRule>
  </conditionalFormatting>
  <conditionalFormatting sqref="O5">
    <cfRule type="expression" dxfId="1175" priority="3">
      <formula>ABS(O$7-O$10)&gt;=1000</formula>
    </cfRule>
  </conditionalFormatting>
  <conditionalFormatting sqref="P5">
    <cfRule type="expression" dxfId="1174" priority="2">
      <formula>ABS(P$7-P$10)&gt;=1000</formula>
    </cfRule>
  </conditionalFormatting>
  <conditionalFormatting sqref="L23">
    <cfRule type="expression" dxfId="1173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03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1">
    <pageSetUpPr fitToPage="1"/>
  </sheetPr>
  <dimension ref="A1:CU223"/>
  <sheetViews>
    <sheetView view="pageBreakPreview" topLeftCell="D13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6" t="s" ph="1">
        <v>178</v>
      </c>
      <c r="D6" s="71">
        <v>5124</v>
      </c>
      <c r="E6" s="71">
        <v>5583</v>
      </c>
      <c r="F6" s="71">
        <v>6225</v>
      </c>
      <c r="G6" s="71">
        <v>5226</v>
      </c>
      <c r="H6" s="71">
        <v>5717</v>
      </c>
      <c r="I6" s="71">
        <v>63.31</v>
      </c>
      <c r="J6" s="71">
        <v>7.81</v>
      </c>
      <c r="K6" s="71">
        <v>52.41</v>
      </c>
      <c r="L6" s="71">
        <v>52.13</v>
      </c>
      <c r="M6" s="71">
        <v>5314</v>
      </c>
      <c r="N6" s="71">
        <v>3794</v>
      </c>
      <c r="O6" s="71">
        <v>750</v>
      </c>
      <c r="P6" s="71">
        <v>3720</v>
      </c>
      <c r="Q6" s="71">
        <v>0</v>
      </c>
      <c r="R6" s="71">
        <v>0</v>
      </c>
      <c r="S6" s="71">
        <v>0</v>
      </c>
      <c r="T6" s="71">
        <v>2443</v>
      </c>
      <c r="U6" s="71">
        <v>7076</v>
      </c>
      <c r="V6" s="71">
        <v>4848</v>
      </c>
      <c r="W6" s="71">
        <v>7018</v>
      </c>
      <c r="X6" s="71">
        <v>2668</v>
      </c>
      <c r="Y6" s="71">
        <v>0</v>
      </c>
      <c r="Z6" s="71">
        <v>2659</v>
      </c>
      <c r="AA6" s="71">
        <v>556</v>
      </c>
      <c r="AB6" s="71">
        <v>3916</v>
      </c>
      <c r="AC6" s="71">
        <v>4493</v>
      </c>
      <c r="AD6" s="71">
        <v>4404</v>
      </c>
      <c r="AE6" s="71">
        <v>3220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160496.12716956003</v>
      </c>
      <c r="E7" s="73" ph="1">
        <f>E6*51.53*LOOKUP(E8,密度!$A$2:$A$50,密度!$B$2:$B$50)</f>
        <v>223536.67623000001</v>
      </c>
      <c r="F7" s="73" ph="1">
        <f>F6*33.183*LOOKUP(F8,密度!$A$2:$A$50,密度!$C$2:$C$50)</f>
        <v>228749.16739499997</v>
      </c>
      <c r="G7" s="73" ph="1">
        <f xml:space="preserve"> (G6+2)*51.53*LOOKUP(G8,密度!$A$2:$A$50,密度!$B$2:$B$50)</f>
        <v>209322.89868000001</v>
      </c>
      <c r="H7" s="73" ph="1">
        <f>(H6)*51.53*LOOKUP(H8,密度!$A$2:$A$50,密度!$B$2:$B$50)</f>
        <v>229932.96630500001</v>
      </c>
      <c r="I7" s="73" ph="1">
        <f>I6*290.8*1.0267</f>
        <v>18902.1096316</v>
      </c>
      <c r="J7" s="73" ph="1">
        <f>J6*290.8*0.7892</f>
        <v>1792.3900016000002</v>
      </c>
      <c r="K7" s="73" ph="1">
        <f>K6*290.8*1.1126</f>
        <v>16956.945232800001</v>
      </c>
      <c r="L7" s="73" ph="1">
        <f>L6*290.8*0.777</f>
        <v>11778.856908000002</v>
      </c>
      <c r="M7" s="73" ph="1">
        <f>M6*33.183*LOOKUP(M8,密度!$A$2:$A$50,密度!$D$2:$D$50)</f>
        <v>180372.52117979998</v>
      </c>
      <c r="N7" s="73" ph="1">
        <f>N6*33.183*LOOKUP(N8,密度!$A$2:$A$50,密度!$E$2:$E$50)</f>
        <v>98035.450367399986</v>
      </c>
      <c r="O7" s="73" ph="1">
        <f>O6*20.428*LOOKUP(O8,密度!$A$2:$A$50,密度!$C$2:$C$50)</f>
        <v>16931.237099999998</v>
      </c>
      <c r="P7" s="73" ph="1">
        <f>P6*51.53*LOOKUP(P8,密度!$A$2:$A$50,密度!$B$2:$B$50)</f>
        <v>149116.89564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16180.6686426</v>
      </c>
      <c r="U7" s="73" ph="1">
        <f>U6*1.5*1.5*3.1416*LOOKUP(U8,密度!$A$2:$A$50,密度!$L$2:$L$50)</f>
        <v>46766.281716000005</v>
      </c>
      <c r="V7" s="73" ph="1">
        <f>V6*1.5*1.5*3.1416*LOOKUP(V8,密度!$A$2:$A$50,密度!$L$2:$L$50)</f>
        <v>32006.846995200005</v>
      </c>
      <c r="W7" s="73" ph="1">
        <f>W6*1.5*1.5*3.1416*LOOKUP(W8,密度!$A$2:$A$50,密度!$L$2:$L$50)</f>
        <v>46382.951538000008</v>
      </c>
      <c r="X7" s="73" ph="1">
        <f>X6*1.5*1.5*3.1416*LOOKUP(X8,密度!$A$2:$A$50,密度!$L$2:$L$50)</f>
        <v>17727.483311999997</v>
      </c>
      <c r="Y7" s="73" ph="1">
        <f>Y6*1.5*1.5*3.1416*LOOKUP(Y8,密度!$A$2:$A$50,密度!$L$2:$L$50)</f>
        <v>0</v>
      </c>
      <c r="Z7" s="73" ph="1">
        <f>Z6*33.183*LOOKUP(Z8,密度!$A$2:$A$50,密度!$L$2:$L$50)</f>
        <v>82586.646792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82435.927464000008</v>
      </c>
      <c r="AC7" s="73" ph="1">
        <f>AC6*51.53*LOOKUP(AC8,密度!$A$2:$A$50,密度!$Q$2:$Q$50)</f>
        <v>218702.4748198</v>
      </c>
      <c r="AD7" s="73" ph="1">
        <f>AD6*20.428*LOOKUP(AD8,密度!$A$2:$A$50,密度!$V$2:$V$50)</f>
        <v>86150.399731199999</v>
      </c>
      <c r="AE7" s="73" ph="1">
        <f>AE6*20.428</f>
        <v>65778.16</v>
      </c>
    </row>
    <row r="8" spans="1:99" ph="1">
      <c r="B8" s="256" ph="1"/>
      <c r="C8" s="68" t="s" ph="1">
        <v>180</v>
      </c>
      <c r="D8" s="74">
        <v>29</v>
      </c>
      <c r="E8" s="74">
        <v>28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30</v>
      </c>
      <c r="P8" s="74">
        <v>27</v>
      </c>
      <c r="Q8" s="74">
        <v>26</v>
      </c>
      <c r="R8" s="74">
        <v>32</v>
      </c>
      <c r="S8" s="74">
        <v>23</v>
      </c>
      <c r="T8" s="74">
        <v>25</v>
      </c>
      <c r="U8" s="74">
        <v>27</v>
      </c>
      <c r="V8" s="74">
        <v>28</v>
      </c>
      <c r="W8" s="74">
        <v>27</v>
      </c>
      <c r="X8" s="74">
        <v>22</v>
      </c>
      <c r="Y8" s="74">
        <v>26</v>
      </c>
      <c r="Z8" s="74">
        <v>26</v>
      </c>
      <c r="AA8" s="74">
        <v>27</v>
      </c>
      <c r="AB8" s="74">
        <v>21</v>
      </c>
      <c r="AC8" s="74">
        <v>28</v>
      </c>
      <c r="AD8" s="74">
        <v>26</v>
      </c>
      <c r="AE8" s="74">
        <v>33</v>
      </c>
    </row>
    <row r="9" spans="1:99" ht="26.4" ph="1">
      <c r="B9" s="256" ph="1">
        <v>0.66666666666666663</v>
      </c>
      <c r="C9" s="166" t="s" ph="1">
        <v>181</v>
      </c>
      <c r="D9" s="71">
        <v>5125</v>
      </c>
      <c r="E9" s="71">
        <v>5859</v>
      </c>
      <c r="F9" s="71">
        <v>5969</v>
      </c>
      <c r="G9" s="71">
        <v>4963</v>
      </c>
      <c r="H9" s="71">
        <v>5720</v>
      </c>
      <c r="I9" s="71">
        <v>63.22</v>
      </c>
      <c r="J9" s="71">
        <v>7.81</v>
      </c>
      <c r="K9" s="71">
        <v>20.21</v>
      </c>
      <c r="L9" s="71">
        <v>15.31</v>
      </c>
      <c r="M9" s="71">
        <v>5315</v>
      </c>
      <c r="N9" s="71">
        <v>3797</v>
      </c>
      <c r="O9" s="71">
        <v>1642</v>
      </c>
      <c r="P9" s="71">
        <v>3539</v>
      </c>
      <c r="Q9" s="71">
        <v>0</v>
      </c>
      <c r="R9" s="71">
        <v>0</v>
      </c>
      <c r="S9" s="71">
        <v>0</v>
      </c>
      <c r="T9" s="71">
        <v>0</v>
      </c>
      <c r="U9" s="71">
        <v>6009</v>
      </c>
      <c r="V9" s="71">
        <v>4854</v>
      </c>
      <c r="W9" s="71">
        <v>7028</v>
      </c>
      <c r="X9" s="71">
        <v>5185</v>
      </c>
      <c r="Y9" s="71">
        <v>2004</v>
      </c>
      <c r="Z9" s="71">
        <v>3483</v>
      </c>
      <c r="AA9" s="71">
        <v>556</v>
      </c>
      <c r="AB9" s="71">
        <v>3857</v>
      </c>
      <c r="AC9" s="71">
        <v>4917</v>
      </c>
      <c r="AD9" s="71">
        <v>4411</v>
      </c>
      <c r="AE9" s="71">
        <v>2615</v>
      </c>
    </row>
    <row r="10" spans="1:99" s="72" customFormat="1" ht="22.2" ph="1">
      <c r="B10" s="256" ph="1"/>
      <c r="C10" s="166" t="s" ph="1">
        <v>179</v>
      </c>
      <c r="D10" s="73" ph="1">
        <f>D9*33.183*LOOKUP(D11,密度!$A$2:$A$50,密度!$Q$2:$Q$50)</f>
        <v>160182.22196249999</v>
      </c>
      <c r="E10" s="73" ph="1">
        <f>E9*51.53*LOOKUP(E11,密度!$A$2:$A$50,密度!$B$2:$B$50)</f>
        <v>233802.410688</v>
      </c>
      <c r="F10" s="73" ph="1">
        <f>F9*33.183*LOOKUP(F11,密度!$A$2:$A$50,密度!$C$2:$C$50)</f>
        <v>218886.41326769997</v>
      </c>
      <c r="G10" s="73" ph="1">
        <f xml:space="preserve"> (G9+2)*51.53*LOOKUP(G11,密度!$A$2:$A$50,密度!$B$2:$B$50)</f>
        <v>198127.49088</v>
      </c>
      <c r="H10" s="73" ph="1">
        <f>(H9)*51.53*LOOKUP(H11,密度!$A$2:$A$50,密度!$B$2:$B$50)</f>
        <v>228786.19192000004</v>
      </c>
      <c r="I10" s="73" ph="1">
        <f>I9*290.8*1.0267</f>
        <v>18875.238839199999</v>
      </c>
      <c r="J10" s="73" ph="1">
        <f>J9*290.8*0.7892</f>
        <v>1792.3900016000002</v>
      </c>
      <c r="K10" s="73" ph="1">
        <f>K9*290.8*1.1126</f>
        <v>6538.8258568000001</v>
      </c>
      <c r="L10" s="73" ph="1">
        <f>L9*290.8*0.777</f>
        <v>3459.3189960000004</v>
      </c>
      <c r="M10" s="73" ph="1">
        <f>M9*33.183*LOOKUP(M11,密度!$A$2:$A$50,密度!$D$2:$D$50)</f>
        <v>178695.69791400002</v>
      </c>
      <c r="N10" s="73" ph="1">
        <f>N9*33.183*LOOKUP(N11,密度!$A$2:$A$50,密度!$E$2:$E$50)</f>
        <v>97687.103197320001</v>
      </c>
      <c r="O10" s="73" ph="1">
        <f>O9*20.428*LOOKUP(O11,密度!$A$2:$A$50,密度!$C$2:$C$50)</f>
        <v>36823.259492800003</v>
      </c>
      <c r="P10" s="73" ph="1">
        <f>P9*51.53*LOOKUP(P11,密度!$A$2:$A$50,密度!$B$2:$B$50)</f>
        <v>141223.20044800002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39629.377834200001</v>
      </c>
      <c r="V10" s="73" ph="1">
        <f>V9*1.5*1.5*3.1416*LOOKUP(V11,密度!$A$2:$A$50,密度!$L$2:$L$50)</f>
        <v>32046.459429600003</v>
      </c>
      <c r="W10" s="73" ph="1">
        <f>W9*1.5*1.5*3.1416*LOOKUP(W11,密度!$A$2:$A$50,密度!$L$2:$L$50)</f>
        <v>46349.686706399996</v>
      </c>
      <c r="X10" s="73" ph="1">
        <f>X9*1.5*1.5*3.1416*LOOKUP(X11,密度!$A$2:$A$50,密度!$L$2:$L$50)</f>
        <v>34378.348157999993</v>
      </c>
      <c r="Y10" s="73" ph="1">
        <f>Y9*1.5*1.5*3.1416*LOOKUP(Y11,密度!$A$2:$A$50,密度!$L$2:$L$50)</f>
        <v>13258.8840384</v>
      </c>
      <c r="Z10" s="73" ph="1">
        <f>Z9*33.183*LOOKUP(Z11,密度!$A$2:$A$50,密度!$L$2:$L$50)</f>
        <v>107139.312603</v>
      </c>
      <c r="AA10" s="73" ph="1">
        <f>AA9*33.183*LOOKUP(AA11,密度!$A$2:$A$50,密度!$D$2:$D$50)</f>
        <v>18580.372215839998</v>
      </c>
      <c r="AB10" s="73" ph="1">
        <f>AB9*20.428*LOOKUP(AB11,密度!$A$2:$A$50,密度!$D$2:$D$50)</f>
        <v>80894.510253200002</v>
      </c>
      <c r="AC10" s="73" ph="1">
        <f>AC9*51.53*LOOKUP(AC11,密度!$A$2:$A$50,密度!$Q$2:$Q$50)</f>
        <v>239014.3615233</v>
      </c>
      <c r="AD10" s="73" ph="1">
        <f>AD9*20.428*LOOKUP(AD11,密度!$A$2:$A$50,密度!$V$2:$V$50)</f>
        <v>86287.332700800005</v>
      </c>
      <c r="AE10" s="73" ph="1">
        <f>AE9*20.428</f>
        <v>53419.22</v>
      </c>
    </row>
    <row r="11" spans="1:99" ph="1">
      <c r="A11" s="64" t="s" ph="1">
        <v>163</v>
      </c>
      <c r="B11" s="256" ph="1"/>
      <c r="C11" s="166" t="s" ph="1">
        <v>180</v>
      </c>
      <c r="D11" s="74">
        <v>32</v>
      </c>
      <c r="E11" s="74">
        <v>31</v>
      </c>
      <c r="F11" s="74">
        <v>30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37</v>
      </c>
      <c r="P11" s="74">
        <v>31</v>
      </c>
      <c r="Q11" s="74">
        <v>41</v>
      </c>
      <c r="R11" s="74">
        <v>40</v>
      </c>
      <c r="S11" s="74">
        <v>28</v>
      </c>
      <c r="T11" s="74">
        <v>38</v>
      </c>
      <c r="U11" s="74">
        <v>29</v>
      </c>
      <c r="V11" s="74">
        <v>28</v>
      </c>
      <c r="W11" s="74">
        <v>29</v>
      </c>
      <c r="X11" s="74">
        <v>24</v>
      </c>
      <c r="Y11" s="74">
        <v>26</v>
      </c>
      <c r="Z11" s="74">
        <v>35</v>
      </c>
      <c r="AA11" s="74">
        <v>47</v>
      </c>
      <c r="AB11" s="74">
        <v>25</v>
      </c>
      <c r="AC11" s="74">
        <v>30</v>
      </c>
      <c r="AD11" s="74">
        <v>33</v>
      </c>
      <c r="AE11" s="74">
        <v>36</v>
      </c>
    </row>
    <row r="12" spans="1:99" ht="9.9" customHeight="1" ph="1"/>
    <row r="13" spans="1:99" s="72" customFormat="1" ht="29.25" customHeight="1" ph="1">
      <c r="B13" s="233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6" t="s" ph="1">
        <v>178</v>
      </c>
      <c r="D15" s="78">
        <v>2299</v>
      </c>
      <c r="E15" s="78">
        <v>4711</v>
      </c>
      <c r="F15" s="78">
        <v>2438</v>
      </c>
      <c r="G15" s="78">
        <v>1077</v>
      </c>
      <c r="H15" s="78">
        <v>3725</v>
      </c>
      <c r="I15" s="78">
        <v>118</v>
      </c>
      <c r="J15" s="78">
        <v>1699</v>
      </c>
      <c r="K15" s="78">
        <v>2011</v>
      </c>
      <c r="L15" s="78">
        <v>5645</v>
      </c>
      <c r="M15" s="78">
        <v>3438</v>
      </c>
      <c r="N15" s="78">
        <v>2172</v>
      </c>
      <c r="O15" s="78">
        <v>6086</v>
      </c>
      <c r="P15" s="78">
        <v>7165</v>
      </c>
      <c r="Q15" s="78">
        <v>0</v>
      </c>
      <c r="R15" s="78">
        <v>3512</v>
      </c>
      <c r="S15" s="78">
        <v>6925</v>
      </c>
      <c r="T15" s="78">
        <v>1497</v>
      </c>
      <c r="U15" s="78">
        <v>2351</v>
      </c>
      <c r="V15" s="78">
        <v>-428</v>
      </c>
      <c r="W15" s="71">
        <v>-371</v>
      </c>
      <c r="X15" s="78">
        <v>26</v>
      </c>
      <c r="Y15" s="106">
        <v>-9908</v>
      </c>
      <c r="Z15" s="78">
        <v>0</v>
      </c>
      <c r="AA15" s="78">
        <v>0</v>
      </c>
      <c r="AB15" s="78" ph="1">
        <v>2368</v>
      </c>
      <c r="AC15" s="78" ph="1">
        <v>0</v>
      </c>
      <c r="AD15" s="78">
        <v>0</v>
      </c>
      <c r="AE15" s="78">
        <v>37.31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6" t="s" ph="1">
        <v>179</v>
      </c>
      <c r="D16" s="73" ph="1">
        <f>D15*7.0686*LOOKUP(D17,密度!$A$2:$A$50,密度!$L$2:$L$50)</f>
        <v>15161.9137362</v>
      </c>
      <c r="E16" s="73" ph="1">
        <f>E15*7.0686*LOOKUP(E17,密度!$A$2:$A$50,密度!$L$2:$L$50)</f>
        <v>31069.0629018</v>
      </c>
      <c r="F16" s="73" ph="1">
        <f>F15*9.0746*LOOKUP(F17,密度!$A$2:$A$50,密度!$L$2:$L$50)</f>
        <v>20619.451313600002</v>
      </c>
      <c r="G16" s="73" ph="1">
        <f>G15*9.0746*LOOKUP(G17,密度!$A$2:$A$50,密度!$B$2:$B$50)</f>
        <v>7610.5031285399991</v>
      </c>
      <c r="H16" s="73" ph="1">
        <f>H15*9.0746*LOOKUP(H17,密度!$A$2:$A$50,密度!$L$2:$L$50)</f>
        <v>31673.303245000003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14400.174203600001</v>
      </c>
      <c r="K16" s="73" ph="1">
        <f>K15*9.0746*LOOKUP(K17,密度!$A$2:$A$50,密度!$C$2:$C$50)</f>
        <v>20194.366195959999</v>
      </c>
      <c r="L16" s="73" ph="1">
        <f>L15*9.0746*LOOKUP(L17,密度!$A$2:$A$50,密度!$E$2:$E$50)</f>
        <v>39889.777307899996</v>
      </c>
      <c r="M16" s="73" ph="1">
        <f>M15*9.0746*LOOKUP(M17,密度!$A$2:$A$50,密度!$M$2:$M$50)</f>
        <v>27173.871550799999</v>
      </c>
      <c r="N16" s="73" ph="1">
        <f>N15*9.0746*LOOKUP(N17,密度!$A$2:$A$50,密度!$M$2:$M$50)</f>
        <v>17248.248303120003</v>
      </c>
      <c r="O16" s="73" ph="1">
        <f>O15*9.0746*LOOKUP(O17,密度!$A$2:$A$50,密度!$G$2:$G$50)</f>
        <v>52853.210929199995</v>
      </c>
      <c r="P16" s="73" ph="1">
        <f ca="1">P15*9.0746*LOOKUP(P17,密度!$A$2:$A$51,密度!$Q$2:$Q$50)</f>
        <v>61418.728591580002</v>
      </c>
      <c r="Q16" s="73" ph="1">
        <f>Q15*9.0746*LOOKUP(Q17,密度!$A$2:$A$50,密度!$Q$2:$Q$50)</f>
        <v>0</v>
      </c>
      <c r="R16" s="73" ph="1">
        <f>MAX(R15*9.0746*LOOKUP(R17,密度!$A$2:$A$50,密度!$B$2:$B$50),0)</f>
        <v>24708.807278560002</v>
      </c>
      <c r="S16" s="73" ph="1">
        <f>S15*9.0746*LOOKUP(S17,密度!$A$2:$A$50,密度!$Q$2:$Q$50)</f>
        <v>59280.371244650007</v>
      </c>
      <c r="T16" s="73" ph="1">
        <f>T15*9.0746*LOOKUP(T17,密度!$A$2:$A$50,密度!$O$2:$O$50)</f>
        <v>12579.410161200001</v>
      </c>
      <c r="U16" s="73" ph="1">
        <f>U15*9.0746*LOOKUP(U17,密度!$A$2:$A$50,密度!$H$2:$H$50)</f>
        <v>19456.958755200001</v>
      </c>
      <c r="V16" s="73" ph="1">
        <f>MAX(5600*LOOKUP(V17,密度!$A$2:$A$50,密度!$Q$2:$Q$50)+V15*9.0476*LOOKUP(V17,密度!$A$2:$A$50,密度!$Q$2:$Q$50),0)</f>
        <v>1631.9512056640006</v>
      </c>
      <c r="W16" s="73" ph="1">
        <f>MAX(5600*LOOKUP(W17,密度!$A$2:$A$50,密度!$Q$2:$Q$50)+W15*9.0476*LOOKUP(W17,密度!$A$2:$A$50,密度!$Q$2:$Q$50),0)</f>
        <v>2119.1042086480006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20048.913062400003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9035.91544368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29</v>
      </c>
      <c r="F17" s="74">
        <v>30</v>
      </c>
      <c r="G17" s="74">
        <v>26</v>
      </c>
      <c r="H17" s="74">
        <v>25</v>
      </c>
      <c r="I17" s="74">
        <v>26</v>
      </c>
      <c r="J17" s="74">
        <v>28</v>
      </c>
      <c r="K17" s="74">
        <v>28</v>
      </c>
      <c r="L17" s="74">
        <v>29</v>
      </c>
      <c r="M17" s="74">
        <v>29</v>
      </c>
      <c r="N17" s="74">
        <v>25</v>
      </c>
      <c r="O17" s="74">
        <v>28</v>
      </c>
      <c r="P17" s="74">
        <v>28</v>
      </c>
      <c r="Q17" s="74">
        <v>27</v>
      </c>
      <c r="R17" s="74">
        <v>30</v>
      </c>
      <c r="S17" s="74">
        <v>30</v>
      </c>
      <c r="T17" s="74">
        <v>28</v>
      </c>
      <c r="U17" s="74">
        <v>28</v>
      </c>
      <c r="V17" s="74">
        <v>28</v>
      </c>
      <c r="W17" s="74">
        <v>28</v>
      </c>
      <c r="X17" s="74">
        <v>27</v>
      </c>
      <c r="Y17" s="108">
        <v>28</v>
      </c>
      <c r="Z17" s="74">
        <v>27</v>
      </c>
      <c r="AA17" s="74">
        <v>26</v>
      </c>
      <c r="AB17" s="74">
        <v>29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6</v>
      </c>
      <c r="E18" s="71">
        <v>4262</v>
      </c>
      <c r="F18" s="71">
        <v>2453</v>
      </c>
      <c r="G18" s="71">
        <v>1109</v>
      </c>
      <c r="H18" s="71">
        <v>3728</v>
      </c>
      <c r="I18" s="71">
        <v>117</v>
      </c>
      <c r="J18" s="71">
        <v>1700</v>
      </c>
      <c r="K18" s="71">
        <v>2015</v>
      </c>
      <c r="L18" s="71">
        <v>3296</v>
      </c>
      <c r="M18" s="71">
        <v>3444</v>
      </c>
      <c r="N18" s="71">
        <v>2174</v>
      </c>
      <c r="O18" s="71">
        <v>6093</v>
      </c>
      <c r="P18" s="71">
        <v>7173</v>
      </c>
      <c r="Q18" s="71">
        <v>0</v>
      </c>
      <c r="R18" s="71">
        <v>3517</v>
      </c>
      <c r="S18" s="71">
        <v>6933</v>
      </c>
      <c r="T18" s="71">
        <v>1497</v>
      </c>
      <c r="U18" s="71">
        <v>2352</v>
      </c>
      <c r="V18" s="71">
        <v>-339</v>
      </c>
      <c r="W18" s="71">
        <v>-372</v>
      </c>
      <c r="X18" s="71">
        <v>24</v>
      </c>
      <c r="Y18" s="109">
        <v>-9907</v>
      </c>
      <c r="Z18" s="71">
        <v>0</v>
      </c>
      <c r="AA18" s="71">
        <v>0</v>
      </c>
      <c r="AB18" s="71">
        <v>2370</v>
      </c>
      <c r="AC18" s="71">
        <v>0</v>
      </c>
      <c r="AD18" s="71">
        <v>0</v>
      </c>
      <c r="AE18" s="71">
        <v>68.709999999999994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6" t="s" ph="1">
        <v>179</v>
      </c>
      <c r="D19" s="73" ph="1">
        <f>D18*7.0686*LOOKUP(D20,密度!$A$2:$A$50,密度!$L$2:$L$50)</f>
        <v>39.442788</v>
      </c>
      <c r="E19" s="73" ph="1">
        <f>E18*7.0686*LOOKUP(E20,密度!$A$2:$A$50,密度!$L$2:$L$50)</f>
        <v>27987.400702800001</v>
      </c>
      <c r="F19" s="73" ph="1">
        <f>F18*9.0746*LOOKUP(F20,密度!$A$2:$A$50,密度!$L$2:$L$50)</f>
        <v>20657.2742464</v>
      </c>
      <c r="G19" s="73" ph="1">
        <f>G18*9.0746*LOOKUP(G20,密度!$A$2:$A$50,密度!$B$2:$B$50)</f>
        <v>7776.2452527800006</v>
      </c>
      <c r="H19" s="73" ph="1">
        <f>H18*9.0746*LOOKUP(H20,密度!$A$2:$A$50,密度!$L$2:$L$50)</f>
        <v>31631.151728000004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14331.51578</v>
      </c>
      <c r="K19" s="73" ph="1">
        <f>K18*9.0746*LOOKUP(K20,密度!$A$2:$A$50,密度!$C$2:$C$50)</f>
        <v>20168.706856999997</v>
      </c>
      <c r="L19" s="73" ph="1">
        <f>L18*9.0746*LOOKUP(L20,密度!$A$2:$A$50,密度!$E$2:$E$50)</f>
        <v>23189.729402112</v>
      </c>
      <c r="M19" s="73" ph="1">
        <f>M18*9.0746*LOOKUP(M20,密度!$A$2:$A$50,密度!$M$2:$M$50)</f>
        <v>27056.279980128002</v>
      </c>
      <c r="N19" s="73" ph="1">
        <f>N18*9.0746*LOOKUP(N20,密度!$A$2:$A$50,密度!$M$2:$M$50)</f>
        <v>17183.245128400002</v>
      </c>
      <c r="O19" s="73" ph="1">
        <f>O18*9.0746*LOOKUP(O20,密度!$A$2:$A$50,密度!$G$2:$G$50)</f>
        <v>52672.930569791999</v>
      </c>
      <c r="P19" s="73" ph="1">
        <f ca="1">P18*9.0746*LOOKUP(P20,密度!$A$2:$A$51,密度!$Q$2:$Q$50)</f>
        <v>61403.336164314002</v>
      </c>
      <c r="Q19" s="73" ph="1">
        <f>Q18*9.0746*LOOKUP(Q20,密度!$A$2:$A$50,密度!$Q$2:$Q$50)</f>
        <v>0</v>
      </c>
      <c r="R19" s="73" ph="1">
        <f>MAX(R18*9.0746*LOOKUP(R20,密度!$A$2:$A$50,密度!$B$2:$B$50),0)</f>
        <v>24686.537302699999</v>
      </c>
      <c r="S19" s="73" ph="1">
        <f>S18*9.0746*LOOKUP(S20,密度!$A$2:$A$50,密度!$Q$2:$Q$50)</f>
        <v>59301.668332644003</v>
      </c>
      <c r="T19" s="73" ph="1">
        <f>T18*9.0746*LOOKUP(T20,密度!$A$2:$A$50,密度!$O$2:$O$50)</f>
        <v>12535.93919736</v>
      </c>
      <c r="U19" s="73" ph="1">
        <f>U18*9.0746*LOOKUP(U20,密度!$A$2:$A$50,密度!$H$2:$H$50)</f>
        <v>19422.547872000003</v>
      </c>
      <c r="V19" s="73" ph="1">
        <f>MAX(5600*LOOKUP(V20,密度!$A$2:$A$50,密度!$Q$2:$Q$50)+V18*9.0476*LOOKUP(V20,密度!$A$2:$A$50,密度!$Q$2:$Q$50),0)</f>
        <v>2374.3063386400004</v>
      </c>
      <c r="W19" s="73" ph="1">
        <f>MAX(5600*LOOKUP(W20,密度!$A$2:$A$50,密度!$Q$2:$Q$50)+W18*9.0476*LOOKUP(W20,密度!$A$2:$A$50,密度!$Q$2:$Q$50),0)</f>
        <v>2097.2189367199999</v>
      </c>
      <c r="X19" s="73" ph="1">
        <f>MAX(5600*LOOKUP(X20,密度!$A$2:$A$50,密度!$I$2:$I$50)+X18*9.0476*LOOKUP(X20,密度!$A$2:$A$50,密度!$I$2:$I$50),0)</f>
        <v>6017.2520985600004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20022.832662000001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15560.981175599998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33</v>
      </c>
      <c r="F20" s="81">
        <v>34</v>
      </c>
      <c r="G20" s="81">
        <v>33</v>
      </c>
      <c r="H20" s="81">
        <v>27</v>
      </c>
      <c r="I20" s="81">
        <v>35</v>
      </c>
      <c r="J20" s="81">
        <v>33</v>
      </c>
      <c r="K20" s="81">
        <v>32</v>
      </c>
      <c r="L20" s="81">
        <v>32</v>
      </c>
      <c r="M20" s="81">
        <v>34</v>
      </c>
      <c r="N20" s="81">
        <v>29</v>
      </c>
      <c r="O20" s="81">
        <v>32</v>
      </c>
      <c r="P20" s="81">
        <v>30</v>
      </c>
      <c r="Q20" s="81">
        <v>35</v>
      </c>
      <c r="R20" s="81">
        <v>32</v>
      </c>
      <c r="S20" s="81">
        <v>31</v>
      </c>
      <c r="T20" s="81">
        <v>31</v>
      </c>
      <c r="U20" s="81">
        <v>30</v>
      </c>
      <c r="V20" s="81">
        <v>39</v>
      </c>
      <c r="W20" s="81">
        <v>37</v>
      </c>
      <c r="X20" s="81">
        <v>32</v>
      </c>
      <c r="Y20" s="110">
        <v>33</v>
      </c>
      <c r="Z20" s="81">
        <v>35</v>
      </c>
      <c r="AA20" s="81">
        <v>32</v>
      </c>
      <c r="AB20" s="81">
        <v>31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6" t="s" ph="1">
        <v>178</v>
      </c>
      <c r="D24" s="71">
        <v>4.1100000000000003</v>
      </c>
      <c r="E24" s="71">
        <v>95.61</v>
      </c>
      <c r="F24" s="71">
        <v>182</v>
      </c>
      <c r="G24" s="71">
        <v>460</v>
      </c>
      <c r="H24" s="71">
        <v>253</v>
      </c>
      <c r="I24" s="71">
        <v>1449</v>
      </c>
      <c r="J24" s="71">
        <v>231</v>
      </c>
      <c r="K24" s="71">
        <v>1208</v>
      </c>
      <c r="L24" s="71">
        <v>3571</v>
      </c>
      <c r="M24" s="71">
        <v>5264</v>
      </c>
      <c r="N24" s="71">
        <v>5332</v>
      </c>
      <c r="O24" s="71">
        <v>3693</v>
      </c>
      <c r="P24" s="71">
        <v>839</v>
      </c>
      <c r="Q24" s="90">
        <v>5311</v>
      </c>
      <c r="R24" s="71">
        <v>1742</v>
      </c>
      <c r="S24" s="71">
        <v>6630</v>
      </c>
      <c r="T24" s="71">
        <v>1763</v>
      </c>
      <c r="U24" s="71">
        <v>3881</v>
      </c>
      <c r="V24" s="71">
        <v>9635</v>
      </c>
      <c r="W24" s="71">
        <v>10751</v>
      </c>
      <c r="X24" s="71">
        <v>3400</v>
      </c>
      <c r="Y24" s="71">
        <v>3911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2528.0559641520003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2009.07027412</v>
      </c>
      <c r="G25" s="91" ph="1">
        <f>G24*18.322*LOOKUP(G26,密度!$A$2:$A$50,密度!$B$2:$B$50)</f>
        <v>6548.6492399999997</v>
      </c>
      <c r="H25" s="91" ph="1">
        <f>H24*18.322*LOOKUP(H26,密度!$A$2:$A$50,密度!$B$2:$B$50)</f>
        <v>3598.0487091999994</v>
      </c>
      <c r="I25" s="91" ph="1">
        <f>I24*18.322*LOOKUP(I26,密度!$A$2:$A$50,密度!$Q$2:$Q$50)</f>
        <v>25044.070084739997</v>
      </c>
      <c r="J25" s="91" ph="1">
        <f>J24*18.322*LOOKUP(J26,密度!$A$2:$A$50,密度!$Q$2:$Q$50)</f>
        <v>3997.9926848399996</v>
      </c>
      <c r="K25" s="91" ph="1">
        <f>K24*18.322*LOOKUP(K26,密度!$A$2:$A$50,密度!$Q$2:$Q$50)</f>
        <v>20891.980035680001</v>
      </c>
      <c r="L25" s="91" ph="1">
        <f>L24*18.322*LOOKUP(L26,密度!$A$2:$A$50,密度!$Q$2:$Q$50)</f>
        <v>61720.065060459994</v>
      </c>
      <c r="M25" s="91" ph="1">
        <f>M24*18.322*LOOKUP(M26,密度!$A$2:$A$50,密度!$Q$2:$Q$50)</f>
        <v>91039.224261440002</v>
      </c>
      <c r="N25" s="91" ph="1">
        <f>N24*18.322*LOOKUP(N26,密度!$A$2:$A$50,密度!$Q$2:$Q$50)</f>
        <v>92156.647130319994</v>
      </c>
      <c r="O25" s="91" ph="1">
        <f>O24*18.322*LOOKUP(O26,密度!$A$2:$A$50,密度!$C$2:$C$50)</f>
        <v>74706.879498599999</v>
      </c>
      <c r="P25" s="91" ph="1">
        <f>P24*11.702*LOOKUP(P26,密度!$A$2:$A$50,密度!$B$2:$B$50)</f>
        <v>7620.7145235999997</v>
      </c>
      <c r="Q25" s="92" ph="1">
        <f>Q24*18.322*LOOKUP(Q26,密度!$A$2:$A$50,密度!$B$2:$B$50)</f>
        <v>75530.579820399988</v>
      </c>
      <c r="R25" s="91" ph="1">
        <f>R24*35.891*LOOKUP(R26,密度!$A$2:$A$50,密度!$C$2:$C$50)</f>
        <v>69093.197022199995</v>
      </c>
      <c r="S25" s="91" ph="1">
        <f>S24*35.891*LOOKUP(S26,密度!$A$2:$A$50,密度!$B$2:$B$50)</f>
        <v>184274.15635199999</v>
      </c>
      <c r="T25" s="91" ph="1">
        <f>T24*35.891*LOOKUP(T26,密度!$A$2:$A$50,密度!$Q$2:$Q$50)</f>
        <v>59642.534669139997</v>
      </c>
      <c r="U25" s="91" ph="1">
        <f>U24*35.891</f>
        <v>139292.97099999999</v>
      </c>
      <c r="V25" s="91" ph="1">
        <f>V24*47.051*LOOKUP(V26,密度!$A$2:$A$50,密度!$B$2:$B$50)</f>
        <v>351879.70203699998</v>
      </c>
      <c r="W25" s="91" ph="1">
        <f>W24*47.051*LOOKUP(W26,密度!$A$2:$A$50,密度!$B$2:$B$50)</f>
        <v>392637.12263620005</v>
      </c>
      <c r="X25" s="91" ph="1">
        <f>X24*47.051*LOOKUP(X26,密度!$A$2:$A$50,密度!$I$2:$I$50)</f>
        <v>165828.42643999998</v>
      </c>
      <c r="Y25" s="91" ph="1">
        <f>Y24*47.051*LOOKUP(Y26,密度!$A$2:$A$50,密度!$L$2:$L$50)</f>
        <v>171319.32519100001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29</v>
      </c>
      <c r="I26" s="74">
        <v>30</v>
      </c>
      <c r="J26" s="74">
        <v>28</v>
      </c>
      <c r="K26" s="74">
        <v>29</v>
      </c>
      <c r="L26" s="74">
        <v>30</v>
      </c>
      <c r="M26" s="74">
        <v>29</v>
      </c>
      <c r="N26" s="74">
        <v>30</v>
      </c>
      <c r="O26" s="74">
        <v>31</v>
      </c>
      <c r="P26" s="74">
        <v>29</v>
      </c>
      <c r="Q26" s="93">
        <v>29</v>
      </c>
      <c r="R26" s="74">
        <v>30</v>
      </c>
      <c r="S26" s="74">
        <v>31</v>
      </c>
      <c r="T26" s="74">
        <v>31</v>
      </c>
      <c r="U26" s="74">
        <v>30</v>
      </c>
      <c r="V26" s="74">
        <v>29</v>
      </c>
      <c r="W26" s="74">
        <v>29</v>
      </c>
      <c r="X26" s="74">
        <v>30</v>
      </c>
      <c r="Y26" s="74">
        <v>31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6" t="s" ph="1">
        <v>181</v>
      </c>
      <c r="D27" s="71">
        <v>4.01</v>
      </c>
      <c r="E27" s="71">
        <v>95.61</v>
      </c>
      <c r="F27" s="71">
        <v>178</v>
      </c>
      <c r="G27" s="71">
        <v>0.2</v>
      </c>
      <c r="H27" s="71">
        <v>0.1</v>
      </c>
      <c r="I27" s="71">
        <v>1447</v>
      </c>
      <c r="J27" s="71">
        <v>217</v>
      </c>
      <c r="K27" s="71">
        <v>669</v>
      </c>
      <c r="L27" s="71">
        <v>3566</v>
      </c>
      <c r="M27" s="71">
        <v>5265</v>
      </c>
      <c r="N27" s="71">
        <v>5330</v>
      </c>
      <c r="O27" s="71">
        <v>3689</v>
      </c>
      <c r="P27" s="71">
        <v>830</v>
      </c>
      <c r="Q27" s="90">
        <v>4176</v>
      </c>
      <c r="R27" s="71">
        <v>1687</v>
      </c>
      <c r="S27" s="71">
        <v>6628</v>
      </c>
      <c r="T27" s="71">
        <v>1760</v>
      </c>
      <c r="U27" s="71">
        <v>3875</v>
      </c>
      <c r="V27" s="71">
        <v>9636</v>
      </c>
      <c r="W27" s="71">
        <v>10752</v>
      </c>
      <c r="X27" s="71">
        <v>3977</v>
      </c>
      <c r="Y27" s="71">
        <v>2301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6" t="s" ph="1">
        <v>179</v>
      </c>
      <c r="D28" s="91" ph="1">
        <f>D27*268.68*LOOKUP(D29,密度!$A$2:$A$50,密度!$Q$2:$Q$50)+IF(D27&lt;=0,0,1566*LOOKUP(D29,密度!$A$2:$A$50,密度!$Q$2:$Q$50))</f>
        <v>2502.618953832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1959.2075840400003</v>
      </c>
      <c r="G28" s="91" ph="1">
        <f>G27*18.322*LOOKUP(G29,密度!$A$2:$A$50,密度!$B$2:$B$50)</f>
        <v>2.82488596</v>
      </c>
      <c r="H28" s="91" ph="1">
        <f>H27*18.322*LOOKUP(H29,密度!$A$2:$A$50,密度!$B$2:$B$50)</f>
        <v>1.41244298</v>
      </c>
      <c r="I28" s="91" ph="1">
        <f>I27*18.322*LOOKUP(I29,密度!$A$2:$A$50,密度!$Q$2:$Q$50)</f>
        <v>24954.357877499999</v>
      </c>
      <c r="J28" s="91" ph="1">
        <f>J27*18.322*LOOKUP(J29,密度!$A$2:$A$50,密度!$Q$2:$Q$50)</f>
        <v>3731.9541300999999</v>
      </c>
      <c r="K28" s="91" ph="1">
        <f>K27*18.322*LOOKUP(K29,密度!$A$2:$A$50,密度!$Q$2:$Q$50)</f>
        <v>11529.204796620001</v>
      </c>
      <c r="L28" s="91" ph="1">
        <f>L27*18.322*LOOKUP(L29,密度!$A$2:$A$50,密度!$Q$2:$Q$50)</f>
        <v>61540.215758799997</v>
      </c>
      <c r="M28" s="91" ph="1">
        <f>M27*18.322*LOOKUP(M29,密度!$A$2:$A$50,密度!$Q$2:$Q$50)</f>
        <v>90998.639748900008</v>
      </c>
      <c r="N28" s="91" ph="1">
        <f>N27*18.322*LOOKUP(N29,密度!$A$2:$A$50,密度!$Q$2:$Q$50)</f>
        <v>92122.079745800002</v>
      </c>
      <c r="O28" s="91" ph="1">
        <f>O27*18.322*LOOKUP(O29,密度!$A$2:$A$50,密度!$C$2:$C$50)</f>
        <v>74625.962217799999</v>
      </c>
      <c r="P28" s="91" ph="1">
        <f>P27*11.702*LOOKUP(P29,密度!$A$2:$A$50,密度!$B$2:$B$50)</f>
        <v>7496.2309880000003</v>
      </c>
      <c r="Q28" s="92" ph="1">
        <f>Q27*18.322*LOOKUP(Q29,密度!$A$2:$A$50,密度!$B$2:$B$50)</f>
        <v>59320.274601599995</v>
      </c>
      <c r="R28" s="91" ph="1">
        <f>R27*35.891*LOOKUP(R29,密度!$A$2:$A$50,密度!$C$2:$C$50)</f>
        <v>66851.175979699998</v>
      </c>
      <c r="S28" s="91" ph="1">
        <f>S27*35.891*LOOKUP(S29,密度!$A$2:$A$50,密度!$B$2:$B$50)</f>
        <v>184432.66536439999</v>
      </c>
      <c r="T28" s="91" ph="1">
        <f>T27*35.891*LOOKUP(T29,密度!$A$2:$A$50,密度!$Q$2:$Q$50)</f>
        <v>59541.044252799991</v>
      </c>
      <c r="U28" s="91" ph="1">
        <f>U27*35.891</f>
        <v>139077.625</v>
      </c>
      <c r="V28" s="91" ph="1">
        <f>V27*47.051*LOOKUP(V29,密度!$A$2:$A$50,密度!$B$2:$B$50)</f>
        <v>351508.17793080001</v>
      </c>
      <c r="W28" s="91" ph="1">
        <f>W27*47.051*LOOKUP(W29,密度!$A$2:$A$50,密度!$B$2:$B$50)</f>
        <v>391763.0373888</v>
      </c>
      <c r="X28" s="91" ph="1">
        <f>X27*47.051*LOOKUP(X29,密度!$A$2:$A$50,密度!$I$2:$I$50)</f>
        <v>193970.48586820002</v>
      </c>
      <c r="Y28" s="91" ph="1">
        <f>Y27*47.051*LOOKUP(Y29,密度!$A$2:$A$50,密度!$L$2:$L$50)</f>
        <v>100577.58207900001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6" t="s" ph="1">
        <v>180</v>
      </c>
      <c r="D29" s="74">
        <v>25</v>
      </c>
      <c r="E29" s="74">
        <v>25</v>
      </c>
      <c r="F29" s="74">
        <v>34</v>
      </c>
      <c r="G29" s="74">
        <v>35</v>
      </c>
      <c r="H29" s="74">
        <v>35</v>
      </c>
      <c r="I29" s="74">
        <v>33</v>
      </c>
      <c r="J29" s="74">
        <v>37</v>
      </c>
      <c r="K29" s="74">
        <v>34</v>
      </c>
      <c r="L29" s="74">
        <v>32</v>
      </c>
      <c r="M29" s="74">
        <v>30</v>
      </c>
      <c r="N29" s="74">
        <v>30</v>
      </c>
      <c r="O29" s="74">
        <v>31</v>
      </c>
      <c r="P29" s="74">
        <v>34</v>
      </c>
      <c r="Q29" s="93">
        <v>30</v>
      </c>
      <c r="R29" s="74">
        <v>31</v>
      </c>
      <c r="S29" s="74">
        <v>30</v>
      </c>
      <c r="T29" s="74">
        <v>31</v>
      </c>
      <c r="U29" s="74">
        <v>30</v>
      </c>
      <c r="V29" s="74">
        <v>30</v>
      </c>
      <c r="W29" s="74">
        <v>31</v>
      </c>
      <c r="X29" s="74">
        <v>30</v>
      </c>
      <c r="Y29" s="74">
        <v>33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99474.882469039992</v>
      </c>
      <c r="E33" s="205" ph="1">
        <f>M10+I10</f>
        <v>197570.93675320002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31" ph="1">
        <v>0</v>
      </c>
      <c r="H33" s="205" ph="1">
        <f>N19</f>
        <v>17183.245128400002</v>
      </c>
      <c r="I33" s="209" ph="1">
        <v>0</v>
      </c>
      <c r="J33" s="213" ph="1">
        <f>F10+O28</f>
        <v>293512.37548549997</v>
      </c>
      <c r="K33" s="205" ph="1">
        <f>O10+K10+E28+R28</f>
        <v>140435.77061301999</v>
      </c>
      <c r="L33" s="215" ph="1">
        <f>BE27</f>
        <v>7100</v>
      </c>
      <c r="M33" s="213" ph="1">
        <f>G10+H10+W28+S28+V28+E10</f>
        <v>1588419.9741720001</v>
      </c>
      <c r="N33" s="205" ph="1">
        <f>L10+P10++G28+H28</f>
        <v>144686.75677294002</v>
      </c>
      <c r="O33" s="209" ph="1">
        <f>BE17</f>
        <v>2270</v>
      </c>
      <c r="P33" s="213" ph="1">
        <f>L19</f>
        <v>23189.729402112</v>
      </c>
      <c r="Q33" s="205" ph="1">
        <f>J10+N10</f>
        <v>99479.493198919998</v>
      </c>
      <c r="R33" s="209" ph="1">
        <f>BE23</f>
        <v>890</v>
      </c>
      <c r="S33" s="213" ph="1">
        <f>E10+X28</f>
        <v>427772.89655619999</v>
      </c>
      <c r="T33" s="205" ph="1">
        <f>X19</f>
        <v>6017.2520985600004</v>
      </c>
      <c r="U33" s="194" ph="1">
        <f>BE21</f>
        <v>730</v>
      </c>
      <c r="V33" s="207" ph="1">
        <f ca="1">P19+Q19+S19+M28+N28+J28</f>
        <v>307557.67812175804</v>
      </c>
      <c r="W33" s="207" ph="1">
        <f>D28+F28+V19+T28</f>
        <v>66377.177129311996</v>
      </c>
      <c r="X33" s="209" ph="1">
        <f>BE29+BE31</f>
        <v>10200</v>
      </c>
      <c r="Y33" s="211" ph="1">
        <f>+Q10+R10+S10+T10+U10+V10+W10+X10+Y10</f>
        <v>165662.75616659998</v>
      </c>
      <c r="Z33" s="192" ph="1">
        <f>D10+T19+U19+Y28+Z10</f>
        <v>399857.60371385992</v>
      </c>
      <c r="AA33" s="194" ph="1">
        <f>BE19</f>
        <v>1440</v>
      </c>
      <c r="AB33" s="196" ph="1">
        <f>I19</f>
        <v>1077.6541229999998</v>
      </c>
      <c r="AC33" s="198" ph="1">
        <f>AD10</f>
        <v>86287.332700800005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8" t="s" ph="1">
        <v>186</v>
      </c>
      <c r="AA36" s="168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42" priority="97">
      <formula>ABS(D$7-D$10)&gt;=1000</formula>
    </cfRule>
  </conditionalFormatting>
  <conditionalFormatting sqref="E4 E6:E11">
    <cfRule type="expression" dxfId="1141" priority="96">
      <formula>ABS(E$7-E$10)&gt;=1000</formula>
    </cfRule>
  </conditionalFormatting>
  <conditionalFormatting sqref="F4:F11">
    <cfRule type="expression" dxfId="1140" priority="95">
      <formula>ABS(F$7-F$10)&gt;=1000</formula>
    </cfRule>
  </conditionalFormatting>
  <conditionalFormatting sqref="G4:G11">
    <cfRule type="expression" dxfId="1139" priority="94">
      <formula>ABS(G$7-G$10)&gt;=1000</formula>
    </cfRule>
  </conditionalFormatting>
  <conditionalFormatting sqref="H4:H11">
    <cfRule type="expression" dxfId="1138" priority="93">
      <formula>ABS(H$7-H$10)&gt;=1000</formula>
    </cfRule>
  </conditionalFormatting>
  <conditionalFormatting sqref="I4:I11">
    <cfRule type="expression" dxfId="1137" priority="92">
      <formula>ABS(I$7-I$10)&gt;=1000</formula>
    </cfRule>
  </conditionalFormatting>
  <conditionalFormatting sqref="J4:J11">
    <cfRule type="expression" dxfId="1136" priority="91">
      <formula>ABS(J$7-J$10)&gt;=1000</formula>
    </cfRule>
  </conditionalFormatting>
  <conditionalFormatting sqref="K4:K11">
    <cfRule type="expression" dxfId="1135" priority="90">
      <formula>ABS(K$7-K$10)&gt;=1000</formula>
    </cfRule>
  </conditionalFormatting>
  <conditionalFormatting sqref="L4:L11">
    <cfRule type="expression" dxfId="1134" priority="89">
      <formula>ABS(L$7-L$10)&gt;=1000</formula>
    </cfRule>
  </conditionalFormatting>
  <conditionalFormatting sqref="M4 M6:M11">
    <cfRule type="expression" dxfId="1133" priority="88">
      <formula>ABS(M$7-M$10)&gt;=1000</formula>
    </cfRule>
  </conditionalFormatting>
  <conditionalFormatting sqref="N4 N6:N11">
    <cfRule type="expression" dxfId="1132" priority="87">
      <formula>ABS(N$7-N$10)&gt;=1000</formula>
    </cfRule>
  </conditionalFormatting>
  <conditionalFormatting sqref="O4 O6:O11">
    <cfRule type="expression" dxfId="1131" priority="86">
      <formula>ABS(O$7-O$10)&gt;=1000</formula>
    </cfRule>
  </conditionalFormatting>
  <conditionalFormatting sqref="P4 P6:P11">
    <cfRule type="expression" dxfId="1130" priority="85">
      <formula>ABS(P$7-P$10)&gt;=1000</formula>
    </cfRule>
  </conditionalFormatting>
  <conditionalFormatting sqref="Q4:Q11">
    <cfRule type="expression" dxfId="1129" priority="84">
      <formula>ABS(Q$7-Q$10)&gt;=1000</formula>
    </cfRule>
  </conditionalFormatting>
  <conditionalFormatting sqref="R4:R11">
    <cfRule type="expression" dxfId="1128" priority="83">
      <formula>ABS(R$7-R$10)&gt;=1000</formula>
    </cfRule>
  </conditionalFormatting>
  <conditionalFormatting sqref="S4:S11">
    <cfRule type="expression" dxfId="1127" priority="82">
      <formula>ABS(S$7-S$10)&gt;=1000</formula>
    </cfRule>
  </conditionalFormatting>
  <conditionalFormatting sqref="T4:T9 T11">
    <cfRule type="expression" dxfId="1126" priority="81">
      <formula>ABS(T$7-T$10)&gt;=1000</formula>
    </cfRule>
  </conditionalFormatting>
  <conditionalFormatting sqref="U4:U9 U11">
    <cfRule type="expression" dxfId="1125" priority="80">
      <formula>ABS(U$7-U$10)&gt;=1000</formula>
    </cfRule>
  </conditionalFormatting>
  <conditionalFormatting sqref="V4:V9 V11">
    <cfRule type="expression" dxfId="1124" priority="79">
      <formula>ABS(V$7-V$10)&gt;=1000</formula>
    </cfRule>
  </conditionalFormatting>
  <conditionalFormatting sqref="W4:W9 W11">
    <cfRule type="expression" dxfId="1123" priority="78">
      <formula>ABS(W$7-W$10)&gt;=1000</formula>
    </cfRule>
  </conditionalFormatting>
  <conditionalFormatting sqref="X4:X9 X11">
    <cfRule type="expression" dxfId="1122" priority="77">
      <formula>ABS(X$7-X$10)&gt;=1000</formula>
    </cfRule>
  </conditionalFormatting>
  <conditionalFormatting sqref="Y4:Y9 Y11">
    <cfRule type="expression" dxfId="1121" priority="76">
      <formula>ABS(Y$7-Y$10)&gt;=1000</formula>
    </cfRule>
  </conditionalFormatting>
  <conditionalFormatting sqref="Z4:Z11">
    <cfRule type="expression" dxfId="1120" priority="75">
      <formula>ABS(Z$7-Z$10)&gt;=1000</formula>
    </cfRule>
  </conditionalFormatting>
  <conditionalFormatting sqref="AA4:AA11">
    <cfRule type="expression" dxfId="1119" priority="74">
      <formula>ABS(AA$7-AA$10)&gt;=1000</formula>
    </cfRule>
  </conditionalFormatting>
  <conditionalFormatting sqref="AB4:AB11">
    <cfRule type="expression" dxfId="1118" priority="73">
      <formula>ABS(AB$7-AB$10)&gt;=1000</formula>
    </cfRule>
  </conditionalFormatting>
  <conditionalFormatting sqref="AC4 AC6:AC11">
    <cfRule type="expression" dxfId="1117" priority="72">
      <formula>ABS(AC$7-AC$10)&gt;=1000</formula>
    </cfRule>
  </conditionalFormatting>
  <conditionalFormatting sqref="AD4:AD11">
    <cfRule type="expression" dxfId="1116" priority="71">
      <formula>ABS(AD$7-AD$10)&gt;=1000</formula>
    </cfRule>
  </conditionalFormatting>
  <conditionalFormatting sqref="AE4:AE11">
    <cfRule type="expression" dxfId="1115" priority="70">
      <formula>ABS(AE$7-AE$10)&gt;=1000</formula>
    </cfRule>
  </conditionalFormatting>
  <conditionalFormatting sqref="D13:D20">
    <cfRule type="expression" dxfId="1114" priority="69">
      <formula>ABS(D$16-D$19)&gt;=1000</formula>
    </cfRule>
  </conditionalFormatting>
  <conditionalFormatting sqref="E13:E20">
    <cfRule type="expression" dxfId="1113" priority="68">
      <formula>ABS(E$16-E$19)&gt;=1000</formula>
    </cfRule>
  </conditionalFormatting>
  <conditionalFormatting sqref="F13 F15:F20">
    <cfRule type="expression" dxfId="1112" priority="67">
      <formula>ABS(F$16-F$19)&gt;=1000</formula>
    </cfRule>
  </conditionalFormatting>
  <conditionalFormatting sqref="G13:G20">
    <cfRule type="expression" dxfId="1111" priority="66">
      <formula>ABS(G$16-G$19)&gt;=1000</formula>
    </cfRule>
  </conditionalFormatting>
  <conditionalFormatting sqref="H13:H20">
    <cfRule type="expression" dxfId="1110" priority="65">
      <formula>ABS(H$16-H$19)&gt;=1000</formula>
    </cfRule>
  </conditionalFormatting>
  <conditionalFormatting sqref="I13:I20">
    <cfRule type="expression" dxfId="1109" priority="64">
      <formula>ABS(I$16-I$19)&gt;=1000</formula>
    </cfRule>
  </conditionalFormatting>
  <conditionalFormatting sqref="J13:J20">
    <cfRule type="expression" dxfId="1108" priority="63">
      <formula>ABS(J$16-J$19)&gt;=1000</formula>
    </cfRule>
  </conditionalFormatting>
  <conditionalFormatting sqref="L13:L20">
    <cfRule type="expression" dxfId="1107" priority="62">
      <formula>ABS(L$16-L$19)&gt;=1000</formula>
    </cfRule>
  </conditionalFormatting>
  <conditionalFormatting sqref="M13 M15 M17:M18 M20">
    <cfRule type="expression" dxfId="1106" priority="61">
      <formula>ABS(M$16-M$19)&gt;=1000</formula>
    </cfRule>
  </conditionalFormatting>
  <conditionalFormatting sqref="N13:N20">
    <cfRule type="expression" dxfId="1105" priority="60">
      <formula>ABS(N$16-N$19)&gt;=1000</formula>
    </cfRule>
  </conditionalFormatting>
  <conditionalFormatting sqref="O13:O20">
    <cfRule type="expression" dxfId="1104" priority="59">
      <formula>ABS(O$16-O$19)&gt;=1000</formula>
    </cfRule>
  </conditionalFormatting>
  <conditionalFormatting sqref="P13:P20">
    <cfRule type="expression" dxfId="1103" priority="58">
      <formula>ABS(P$16-P$19)&gt;=1000</formula>
    </cfRule>
  </conditionalFormatting>
  <conditionalFormatting sqref="Q13 Q15:Q20">
    <cfRule type="expression" dxfId="1102" priority="57">
      <formula>ABS(Q$16-Q$19)&gt;=1000</formula>
    </cfRule>
  </conditionalFormatting>
  <conditionalFormatting sqref="R13:R20">
    <cfRule type="expression" dxfId="1101" priority="56">
      <formula>ABS(R$16-R$19)&gt;=1000</formula>
    </cfRule>
  </conditionalFormatting>
  <conditionalFormatting sqref="S13:S20">
    <cfRule type="expression" dxfId="1100" priority="55">
      <formula>ABS(S$16-S$19)&gt;=1000</formula>
    </cfRule>
  </conditionalFormatting>
  <conditionalFormatting sqref="T13:T20">
    <cfRule type="expression" dxfId="1099" priority="54">
      <formula>ABS(T$16-T$19)&gt;=1000</formula>
    </cfRule>
  </conditionalFormatting>
  <conditionalFormatting sqref="U13:U20">
    <cfRule type="expression" dxfId="1098" priority="53">
      <formula>ABS(U$16-U$19)&gt;=1000</formula>
    </cfRule>
  </conditionalFormatting>
  <conditionalFormatting sqref="V13:V20">
    <cfRule type="expression" dxfId="1097" priority="52">
      <formula>ABS(V$16-V$19)&gt;=1000</formula>
    </cfRule>
  </conditionalFormatting>
  <conditionalFormatting sqref="W13 W20 W15:W18">
    <cfRule type="expression" dxfId="1096" priority="51">
      <formula>ABS(W$16-W$19)&gt;=1000</formula>
    </cfRule>
  </conditionalFormatting>
  <conditionalFormatting sqref="X13 X15:X20 Y19">
    <cfRule type="expression" dxfId="1095" priority="50">
      <formula>ABS(X$16-X$19)&gt;=1000</formula>
    </cfRule>
  </conditionalFormatting>
  <conditionalFormatting sqref="Y13 Y15:Y18 Y20">
    <cfRule type="expression" dxfId="1094" priority="49">
      <formula>ABS(Y$16-Y$19)&gt;=1000</formula>
    </cfRule>
  </conditionalFormatting>
  <conditionalFormatting sqref="Z13:Z20">
    <cfRule type="expression" dxfId="1093" priority="48">
      <formula>ABS(Z$16-Z$19)&gt;=1000</formula>
    </cfRule>
  </conditionalFormatting>
  <conditionalFormatting sqref="AA13:AA20">
    <cfRule type="expression" dxfId="1092" priority="47">
      <formula>ABS(AA$16-AA$19)&gt;=1000</formula>
    </cfRule>
  </conditionalFormatting>
  <conditionalFormatting sqref="AB13 AB15:AB20">
    <cfRule type="expression" dxfId="1091" priority="46">
      <formula>ABS(AB$16-AB$19)&gt;=1000</formula>
    </cfRule>
  </conditionalFormatting>
  <conditionalFormatting sqref="AC13 AC15:AC20">
    <cfRule type="expression" dxfId="1090" priority="45">
      <formula>ABS(AC$16-AC$19)&gt;=1000</formula>
    </cfRule>
  </conditionalFormatting>
  <conditionalFormatting sqref="AD13:AD20">
    <cfRule type="expression" dxfId="1089" priority="44">
      <formula>ABS(AD$16-AD$19)&gt;=1000</formula>
    </cfRule>
  </conditionalFormatting>
  <conditionalFormatting sqref="AE13:AE20">
    <cfRule type="expression" dxfId="1088" priority="43">
      <formula>ABS(AE$16-AE$19)&gt;=1000</formula>
    </cfRule>
  </conditionalFormatting>
  <conditionalFormatting sqref="D22:D29">
    <cfRule type="expression" dxfId="1087" priority="42">
      <formula>ABS(D$25-D$28)&gt;=1000</formula>
    </cfRule>
  </conditionalFormatting>
  <conditionalFormatting sqref="E22:E29">
    <cfRule type="expression" dxfId="1086" priority="41">
      <formula>ABS(E$25-E$28)&gt;=1000</formula>
    </cfRule>
  </conditionalFormatting>
  <conditionalFormatting sqref="F22:F29">
    <cfRule type="expression" dxfId="1085" priority="40">
      <formula>ABS(F$25-F$28)&gt;=1000</formula>
    </cfRule>
  </conditionalFormatting>
  <conditionalFormatting sqref="G22:G29">
    <cfRule type="expression" dxfId="1084" priority="39">
      <formula>ABS(G$25-G$28)&gt;=1000</formula>
    </cfRule>
  </conditionalFormatting>
  <conditionalFormatting sqref="H22:H29">
    <cfRule type="expression" dxfId="1083" priority="38">
      <formula>ABS(H$25-H$28)&gt;=1000</formula>
    </cfRule>
  </conditionalFormatting>
  <conditionalFormatting sqref="I22 I24:I29">
    <cfRule type="expression" dxfId="1082" priority="37">
      <formula>ABS(I$25-I$28)&gt;=1000</formula>
    </cfRule>
  </conditionalFormatting>
  <conditionalFormatting sqref="J22:J29 K22">
    <cfRule type="expression" dxfId="1081" priority="36">
      <formula>ABS(J$25-J$28)&gt;=1000</formula>
    </cfRule>
  </conditionalFormatting>
  <conditionalFormatting sqref="K23:K29 L25 L28">
    <cfRule type="expression" dxfId="1080" priority="35">
      <formula>ABS(K$25-K$28)&gt;=1000</formula>
    </cfRule>
  </conditionalFormatting>
  <conditionalFormatting sqref="L22 L26:L27 L29 L24">
    <cfRule type="expression" dxfId="1079" priority="34">
      <formula>ABS(L$25-L$28)&gt;=1000</formula>
    </cfRule>
  </conditionalFormatting>
  <conditionalFormatting sqref="M22:M29">
    <cfRule type="expression" dxfId="1078" priority="33">
      <formula>ABS(M$25-M$28)&gt;=1000</formula>
    </cfRule>
  </conditionalFormatting>
  <conditionalFormatting sqref="N22:N29">
    <cfRule type="expression" dxfId="1077" priority="32">
      <formula>ABS(N$25-N$28)&gt;=1000</formula>
    </cfRule>
  </conditionalFormatting>
  <conditionalFormatting sqref="O22:O29">
    <cfRule type="expression" dxfId="1076" priority="31">
      <formula>ABS(O$25-O$28)&gt;=1000</formula>
    </cfRule>
  </conditionalFormatting>
  <conditionalFormatting sqref="P22:P29">
    <cfRule type="expression" dxfId="1075" priority="30">
      <formula>ABS(P$25-P$28)&gt;=1000</formula>
    </cfRule>
  </conditionalFormatting>
  <conditionalFormatting sqref="Q22:Q29">
    <cfRule type="expression" dxfId="1074" priority="29">
      <formula>ABS(Q$25-Q$28)&gt;=1000</formula>
    </cfRule>
  </conditionalFormatting>
  <conditionalFormatting sqref="R22:R29">
    <cfRule type="expression" dxfId="1073" priority="28">
      <formula>ABS(R$25-R$28)&gt;=1000</formula>
    </cfRule>
  </conditionalFormatting>
  <conditionalFormatting sqref="S22:S29">
    <cfRule type="expression" dxfId="1072" priority="27">
      <formula>ABS(S$25-S$28)&gt;=1000</formula>
    </cfRule>
  </conditionalFormatting>
  <conditionalFormatting sqref="T22:T29">
    <cfRule type="expression" dxfId="1071" priority="26">
      <formula>ABS(T$25-T$28)&gt;=1000</formula>
    </cfRule>
  </conditionalFormatting>
  <conditionalFormatting sqref="U22:U29">
    <cfRule type="expression" dxfId="1070" priority="25">
      <formula>ABS(U$25-U$28)&gt;=1000</formula>
    </cfRule>
  </conditionalFormatting>
  <conditionalFormatting sqref="V22:V29">
    <cfRule type="expression" dxfId="1069" priority="24">
      <formula>ABS(V$25-V$28)&gt;=1000</formula>
    </cfRule>
  </conditionalFormatting>
  <conditionalFormatting sqref="W22:W29">
    <cfRule type="expression" dxfId="1068" priority="23">
      <formula>ABS(W$25-W$28)&gt;=1000</formula>
    </cfRule>
  </conditionalFormatting>
  <conditionalFormatting sqref="X22:X29">
    <cfRule type="expression" dxfId="1067" priority="22">
      <formula>ABS(X$25-X$28)&gt;=1000</formula>
    </cfRule>
  </conditionalFormatting>
  <conditionalFormatting sqref="Y22:Y29">
    <cfRule type="expression" dxfId="1066" priority="21">
      <formula>ABS(Y$25-Y$28)&gt;=1000</formula>
    </cfRule>
  </conditionalFormatting>
  <conditionalFormatting sqref="I23">
    <cfRule type="expression" dxfId="1065" priority="20">
      <formula>ABS(I$25-I$28)&gt;=1000</formula>
    </cfRule>
  </conditionalFormatting>
  <conditionalFormatting sqref="F14">
    <cfRule type="expression" dxfId="1064" priority="19">
      <formula>ABS(F$16-F$19)&gt;=1000</formula>
    </cfRule>
  </conditionalFormatting>
  <conditionalFormatting sqref="Q14">
    <cfRule type="expression" dxfId="1063" priority="18">
      <formula>ABS(Q$16-Q$19)&gt;=1000</formula>
    </cfRule>
  </conditionalFormatting>
  <conditionalFormatting sqref="W14">
    <cfRule type="expression" dxfId="1062" priority="17">
      <formula>ABS(W$16-W$19)&gt;=1000</formula>
    </cfRule>
  </conditionalFormatting>
  <conditionalFormatting sqref="Y14">
    <cfRule type="expression" dxfId="1061" priority="16">
      <formula>ABS(Y$16-Y$19)&gt;=1000</formula>
    </cfRule>
  </conditionalFormatting>
  <conditionalFormatting sqref="X14">
    <cfRule type="expression" dxfId="1060" priority="15">
      <formula>ABS(X$16-X$19)&gt;=1000</formula>
    </cfRule>
  </conditionalFormatting>
  <conditionalFormatting sqref="T10:Y10">
    <cfRule type="expression" dxfId="1059" priority="14">
      <formula>ABS(T$7-T$10)&gt;=1000</formula>
    </cfRule>
  </conditionalFormatting>
  <conditionalFormatting sqref="W19">
    <cfRule type="expression" dxfId="1058" priority="13">
      <formula>ABS(W$16-W$19)&gt;=1000</formula>
    </cfRule>
  </conditionalFormatting>
  <conditionalFormatting sqref="AC5">
    <cfRule type="expression" dxfId="1057" priority="12">
      <formula>ABS(AC$7-AC$10)&gt;=1000</formula>
    </cfRule>
  </conditionalFormatting>
  <conditionalFormatting sqref="M14">
    <cfRule type="expression" dxfId="1056" priority="11">
      <formula>ABS(M$16-M$19)&gt;=1000</formula>
    </cfRule>
  </conditionalFormatting>
  <conditionalFormatting sqref="M16">
    <cfRule type="expression" dxfId="1055" priority="10">
      <formula>ABS(M$16-M$19)&gt;=1000</formula>
    </cfRule>
  </conditionalFormatting>
  <conditionalFormatting sqref="M19">
    <cfRule type="expression" dxfId="1054" priority="9">
      <formula>ABS(M$16-M$19)&gt;=1000</formula>
    </cfRule>
  </conditionalFormatting>
  <conditionalFormatting sqref="K13:K20">
    <cfRule type="expression" dxfId="1053" priority="8">
      <formula>ABS(K$16-K$19)&gt;=1000</formula>
    </cfRule>
  </conditionalFormatting>
  <conditionalFormatting sqref="E5">
    <cfRule type="expression" dxfId="1052" priority="7">
      <formula>ABS(E$7-E$10)&gt;=1000</formula>
    </cfRule>
  </conditionalFormatting>
  <conditionalFormatting sqref="AB14:AC14">
    <cfRule type="expression" dxfId="1051" priority="6">
      <formula>ABS(AB$16-AB$19)&gt;=1000</formula>
    </cfRule>
  </conditionalFormatting>
  <conditionalFormatting sqref="M5">
    <cfRule type="expression" dxfId="1050" priority="5">
      <formula>ABS(M$7-M$10)&gt;=1000</formula>
    </cfRule>
  </conditionalFormatting>
  <conditionalFormatting sqref="N5">
    <cfRule type="expression" dxfId="1049" priority="4">
      <formula>ABS(N$7-N$10)&gt;=1000</formula>
    </cfRule>
  </conditionalFormatting>
  <conditionalFormatting sqref="O5">
    <cfRule type="expression" dxfId="1048" priority="3">
      <formula>ABS(O$7-O$10)&gt;=1000</formula>
    </cfRule>
  </conditionalFormatting>
  <conditionalFormatting sqref="P5">
    <cfRule type="expression" dxfId="1047" priority="2">
      <formula>ABS(P$7-P$10)&gt;=1000</formula>
    </cfRule>
  </conditionalFormatting>
  <conditionalFormatting sqref="L23">
    <cfRule type="expression" dxfId="1046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1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2">
    <pageSetUpPr fitToPage="1"/>
  </sheetPr>
  <dimension ref="A1:CU223"/>
  <sheetViews>
    <sheetView view="pageBreakPreview" topLeftCell="D13" zoomScale="80" zoomScaleNormal="100" zoomScaleSheetLayoutView="80" workbookViewId="0">
      <selection activeCell="J20" sqref="J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45827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6" t="s" ph="1">
        <v>178</v>
      </c>
      <c r="D6" s="71">
        <v>5124</v>
      </c>
      <c r="E6" s="71">
        <v>6013</v>
      </c>
      <c r="F6" s="71">
        <v>5410</v>
      </c>
      <c r="G6" s="71">
        <v>4362</v>
      </c>
      <c r="H6" s="71">
        <v>5715</v>
      </c>
      <c r="I6" s="71">
        <v>63.21</v>
      </c>
      <c r="J6" s="71">
        <v>7.71</v>
      </c>
      <c r="K6" s="71">
        <v>53.61</v>
      </c>
      <c r="L6" s="71">
        <v>35.31</v>
      </c>
      <c r="M6" s="71">
        <v>5315</v>
      </c>
      <c r="N6" s="71">
        <v>3568</v>
      </c>
      <c r="O6" s="71">
        <v>2087</v>
      </c>
      <c r="P6" s="71">
        <v>3695</v>
      </c>
      <c r="Q6" s="71">
        <v>0</v>
      </c>
      <c r="R6" s="71">
        <v>0</v>
      </c>
      <c r="S6" s="71">
        <v>0</v>
      </c>
      <c r="T6" s="71">
        <v>0</v>
      </c>
      <c r="U6" s="71">
        <v>2149</v>
      </c>
      <c r="V6" s="71">
        <v>4850</v>
      </c>
      <c r="W6" s="71">
        <v>7025</v>
      </c>
      <c r="X6" s="71">
        <v>5186</v>
      </c>
      <c r="Y6" s="71">
        <v>4352</v>
      </c>
      <c r="Z6" s="71">
        <v>4230</v>
      </c>
      <c r="AA6" s="71">
        <v>556</v>
      </c>
      <c r="AB6" s="71">
        <v>3854</v>
      </c>
      <c r="AC6" s="71">
        <v>4915</v>
      </c>
      <c r="AD6" s="71">
        <v>4404</v>
      </c>
      <c r="AE6" s="71">
        <v>2589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160613.44765704</v>
      </c>
      <c r="E7" s="73" ph="1">
        <f>E6*51.53*LOOKUP(E8,密度!$A$2:$A$50,密度!$B$2:$B$50)</f>
        <v>240753.36453000002</v>
      </c>
      <c r="F7" s="73" ph="1">
        <f>F6*33.183*LOOKUP(F8,密度!$A$2:$A$50,密度!$C$2:$C$50)</f>
        <v>198800.481222</v>
      </c>
      <c r="G7" s="73" ph="1">
        <f xml:space="preserve"> (G6+2)*51.53*LOOKUP(G8,密度!$A$2:$A$50,密度!$B$2:$B$50)</f>
        <v>174729.36684</v>
      </c>
      <c r="H7" s="73" ph="1">
        <f>(H6)*51.53*LOOKUP(H8,密度!$A$2:$A$50,密度!$B$2:$B$50)</f>
        <v>230117.57253</v>
      </c>
      <c r="I7" s="73" ph="1">
        <f>I6*290.8*1.0267</f>
        <v>18872.253195599998</v>
      </c>
      <c r="J7" s="73" ph="1">
        <f>J6*290.8*0.7892</f>
        <v>1769.4400656000003</v>
      </c>
      <c r="K7" s="73" ph="1">
        <f>K6*290.8*1.1126</f>
        <v>17345.198128800002</v>
      </c>
      <c r="L7" s="73" ph="1">
        <f>L6*290.8*0.777</f>
        <v>7978.350996000001</v>
      </c>
      <c r="M7" s="73" ph="1">
        <f>M6*33.183*LOOKUP(M8,密度!$A$2:$A$50,密度!$D$2:$D$50)</f>
        <v>180582.83171549998</v>
      </c>
      <c r="N7" s="73" ph="1">
        <f>N6*33.183*LOOKUP(N8,密度!$A$2:$A$50,密度!$E$2:$E$50)</f>
        <v>92195.7002928</v>
      </c>
      <c r="O7" s="73" ph="1">
        <f>O6*20.428*LOOKUP(O8,密度!$A$2:$A$50,密度!$C$2:$C$50)</f>
        <v>46981.826072000011</v>
      </c>
      <c r="P7" s="73" ph="1">
        <f>P6*51.53*LOOKUP(P8,密度!$A$2:$A$50,密度!$B$2:$B$50)</f>
        <v>148114.765965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14187.853587600001</v>
      </c>
      <c r="V7" s="73" ph="1">
        <f>V6*1.5*1.5*3.1416*LOOKUP(V8,密度!$A$2:$A$50,密度!$L$2:$L$50)</f>
        <v>32054.333850000003</v>
      </c>
      <c r="W7" s="73" ph="1">
        <f>W6*1.5*1.5*3.1416*LOOKUP(W8,密度!$A$2:$A$50,密度!$L$2:$L$50)</f>
        <v>46379.55861</v>
      </c>
      <c r="X7" s="73" ph="1">
        <f>X6*1.5*1.5*3.1416*LOOKUP(X8,密度!$A$2:$A$50,密度!$L$2:$L$50)</f>
        <v>34458.294023999995</v>
      </c>
      <c r="Y7" s="73" ph="1">
        <f>Y6*1.5*1.5*3.1416*LOOKUP(Y8,密度!$A$2:$A$50,密度!$L$2:$L$50)</f>
        <v>28793.744179200003</v>
      </c>
      <c r="Z7" s="73" ph="1">
        <f>Z6*33.183*LOOKUP(Z8,密度!$A$2:$A$50,密度!$L$2:$L$50)</f>
        <v>131100.06006000002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81130.762115999998</v>
      </c>
      <c r="AC7" s="73" ph="1">
        <f>AC6*51.53*LOOKUP(AC8,密度!$A$2:$A$50,密度!$Q$2:$Q$50)</f>
        <v>239421.14913400004</v>
      </c>
      <c r="AD7" s="73" ph="1">
        <f>AD6*20.428*LOOKUP(AD8,密度!$A$2:$A$50,密度!$V$2:$V$50)</f>
        <v>86150.399731199999</v>
      </c>
      <c r="AE7" s="73" ph="1">
        <f>AE6*20.428</f>
        <v>52888.092000000004</v>
      </c>
    </row>
    <row r="8" spans="1:99" ph="1">
      <c r="B8" s="256" ph="1"/>
      <c r="C8" s="68" t="s" ph="1">
        <v>180</v>
      </c>
      <c r="D8" s="74">
        <v>28</v>
      </c>
      <c r="E8" s="74">
        <v>28</v>
      </c>
      <c r="F8" s="74">
        <v>27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33</v>
      </c>
      <c r="P8" s="74">
        <v>27</v>
      </c>
      <c r="Q8" s="74">
        <v>26</v>
      </c>
      <c r="R8" s="74">
        <v>33</v>
      </c>
      <c r="S8" s="74">
        <v>24</v>
      </c>
      <c r="T8" s="74">
        <v>23</v>
      </c>
      <c r="U8" s="74">
        <v>28</v>
      </c>
      <c r="V8" s="74">
        <v>27</v>
      </c>
      <c r="W8" s="74">
        <v>28</v>
      </c>
      <c r="X8" s="74">
        <v>22</v>
      </c>
      <c r="Y8" s="74">
        <v>26</v>
      </c>
      <c r="Z8" s="74">
        <v>28</v>
      </c>
      <c r="AA8" s="74">
        <v>27</v>
      </c>
      <c r="AB8" s="74">
        <v>21</v>
      </c>
      <c r="AC8" s="74">
        <v>27</v>
      </c>
      <c r="AD8" s="74">
        <v>26</v>
      </c>
      <c r="AE8" s="74">
        <v>32</v>
      </c>
    </row>
    <row r="9" spans="1:99" ht="26.4" ph="1">
      <c r="B9" s="256" ph="1">
        <v>0.66666666666666663</v>
      </c>
      <c r="C9" s="166" t="s" ph="1">
        <v>181</v>
      </c>
      <c r="D9" s="71">
        <v>5127</v>
      </c>
      <c r="E9" s="71">
        <v>6431</v>
      </c>
      <c r="F9" s="71">
        <v>5134</v>
      </c>
      <c r="G9" s="71">
        <v>4065</v>
      </c>
      <c r="H9" s="71">
        <v>5719</v>
      </c>
      <c r="I9" s="71">
        <v>63.32</v>
      </c>
      <c r="J9" s="71">
        <v>7.82</v>
      </c>
      <c r="K9" s="71">
        <v>19.62</v>
      </c>
      <c r="L9" s="71">
        <v>13.71</v>
      </c>
      <c r="M9" s="71">
        <v>5313</v>
      </c>
      <c r="N9" s="71">
        <v>3571</v>
      </c>
      <c r="O9" s="71">
        <v>3016</v>
      </c>
      <c r="P9" s="71">
        <v>3250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3041</v>
      </c>
      <c r="W9" s="71">
        <v>7035</v>
      </c>
      <c r="X9" s="71">
        <v>7259</v>
      </c>
      <c r="Y9" s="71">
        <v>4618</v>
      </c>
      <c r="Z9" s="71">
        <v>5086</v>
      </c>
      <c r="AA9" s="71">
        <v>556</v>
      </c>
      <c r="AB9" s="71">
        <v>3801</v>
      </c>
      <c r="AC9" s="71">
        <v>4925</v>
      </c>
      <c r="AD9" s="71">
        <v>4410</v>
      </c>
      <c r="AE9" s="71">
        <v>2541</v>
      </c>
    </row>
    <row r="10" spans="1:99" s="72" customFormat="1" ht="22.2" ph="1">
      <c r="B10" s="256" ph="1"/>
      <c r="C10" s="166" t="s" ph="1">
        <v>179</v>
      </c>
      <c r="D10" s="73" ph="1">
        <f>D9*33.183*LOOKUP(D11,密度!$A$2:$A$50,密度!$Q$2:$Q$50)</f>
        <v>160360.41998178</v>
      </c>
      <c r="E10" s="73" ph="1">
        <f>E9*51.53*LOOKUP(E11,密度!$A$2:$A$50,密度!$B$2:$B$50)</f>
        <v>256329.72410499997</v>
      </c>
      <c r="F10" s="73" ph="1">
        <f>F9*33.183*LOOKUP(F11,密度!$A$2:$A$50,密度!$C$2:$C$50)</f>
        <v>188402.8071798</v>
      </c>
      <c r="G10" s="73" ph="1">
        <f xml:space="preserve"> (G9+2)*51.53*LOOKUP(G11,密度!$A$2:$A$50,密度!$B$2:$B$50)</f>
        <v>162481.567003</v>
      </c>
      <c r="H10" s="73" ph="1">
        <f>(H9)*51.53*LOOKUP(H11,密度!$A$2:$A$50,密度!$B$2:$B$50)</f>
        <v>228981.95439</v>
      </c>
      <c r="I10" s="73" ph="1">
        <f>I9*290.8*1.0267</f>
        <v>18905.095275200001</v>
      </c>
      <c r="J10" s="73" ph="1">
        <f>J9*290.8*0.7892</f>
        <v>1794.6849952</v>
      </c>
      <c r="K10" s="73" ph="1">
        <f>K9*290.8*1.1126</f>
        <v>6347.9348496000002</v>
      </c>
      <c r="L10" s="73" ph="1">
        <f>L9*290.8*0.777</f>
        <v>3097.7964360000005</v>
      </c>
      <c r="M10" s="73" ph="1">
        <f>M9*33.183*LOOKUP(M11,密度!$A$2:$A$50,密度!$D$2:$D$50)</f>
        <v>178945.79818499999</v>
      </c>
      <c r="N10" s="73" ph="1">
        <f>N9*33.183*LOOKUP(N11,密度!$A$2:$A$50,密度!$E$2:$E$50)</f>
        <v>91872.700952760002</v>
      </c>
      <c r="O10" s="73" ph="1">
        <f>O9*20.428*LOOKUP(O11,密度!$A$2:$A$50,密度!$C$2:$C$50)</f>
        <v>67636.38893440002</v>
      </c>
      <c r="P10" s="73" ph="1">
        <f>P9*51.53*LOOKUP(P11,密度!$A$2:$A$50,密度!$B$2:$B$50)</f>
        <v>129841.42925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20076.9021684</v>
      </c>
      <c r="W10" s="73" ph="1">
        <f>W9*1.5*1.5*3.1416*LOOKUP(W11,密度!$A$2:$A$50,密度!$L$2:$L$50)</f>
        <v>46346.124132000004</v>
      </c>
      <c r="X10" s="73" ph="1">
        <f>X9*1.5*1.5*3.1416*LOOKUP(X11,密度!$A$2:$A$50,密度!$L$2:$L$50)</f>
        <v>48129.687421199997</v>
      </c>
      <c r="Y10" s="73" ph="1">
        <f>Y9*1.5*1.5*3.1416*LOOKUP(Y11,密度!$A$2:$A$50,密度!$L$2:$L$50)</f>
        <v>30521.013138000002</v>
      </c>
      <c r="Z10" s="73" ph="1">
        <f>Z9*33.183*LOOKUP(Z11,密度!$A$2:$A$50,密度!$L$2:$L$50)</f>
        <v>156617.38886400001</v>
      </c>
      <c r="AA10" s="73" ph="1">
        <f>AA9*33.183*LOOKUP(AA11,密度!$A$2:$A$50,密度!$D$2:$D$50)</f>
        <v>18645.315328799999</v>
      </c>
      <c r="AB10" s="73" ph="1">
        <f>AB9*20.428*LOOKUP(AB11,密度!$A$2:$A$50,密度!$D$2:$D$50)</f>
        <v>79719.998307600006</v>
      </c>
      <c r="AC10" s="73" ph="1">
        <f>AC9*51.53*LOOKUP(AC11,密度!$A$2:$A$50,密度!$Q$2:$Q$50)</f>
        <v>239403.2398825</v>
      </c>
      <c r="AD10" s="73" ph="1">
        <f>AD9*20.428*LOOKUP(AD11,密度!$A$2:$A$50,密度!$V$2:$V$50)</f>
        <v>86267.770848000015</v>
      </c>
      <c r="AE10" s="73" ph="1">
        <f>AE9*20.428</f>
        <v>51907.548000000003</v>
      </c>
    </row>
    <row r="11" spans="1:99" ph="1">
      <c r="A11" s="64" t="s" ph="1">
        <v>163</v>
      </c>
      <c r="B11" s="256" ph="1"/>
      <c r="C11" s="166" t="s" ph="1">
        <v>180</v>
      </c>
      <c r="D11" s="74">
        <v>31</v>
      </c>
      <c r="E11" s="74">
        <v>32</v>
      </c>
      <c r="F11" s="74">
        <v>29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32</v>
      </c>
      <c r="O11" s="74">
        <v>37</v>
      </c>
      <c r="P11" s="74">
        <v>30</v>
      </c>
      <c r="Q11" s="74">
        <v>40</v>
      </c>
      <c r="R11" s="74">
        <v>39</v>
      </c>
      <c r="S11" s="74">
        <v>28</v>
      </c>
      <c r="T11" s="74">
        <v>37</v>
      </c>
      <c r="U11" s="74">
        <v>33</v>
      </c>
      <c r="V11" s="74">
        <v>28</v>
      </c>
      <c r="W11" s="74">
        <v>30</v>
      </c>
      <c r="X11" s="74">
        <v>24</v>
      </c>
      <c r="Y11" s="74">
        <v>27</v>
      </c>
      <c r="Z11" s="74">
        <v>34</v>
      </c>
      <c r="AA11" s="74">
        <v>43</v>
      </c>
      <c r="AB11" s="74">
        <v>25</v>
      </c>
      <c r="AC11" s="74">
        <v>30</v>
      </c>
      <c r="AD11" s="74">
        <v>32</v>
      </c>
      <c r="AE11" s="74">
        <v>34</v>
      </c>
    </row>
    <row r="12" spans="1:99" ht="9.9" customHeight="1" ph="1"/>
    <row r="13" spans="1:99" s="72" customFormat="1" ht="29.25" customHeight="1" ph="1">
      <c r="B13" s="233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6" t="s" ph="1">
        <v>178</v>
      </c>
      <c r="D15" s="78">
        <v>7</v>
      </c>
      <c r="E15" s="78">
        <v>4130</v>
      </c>
      <c r="F15" s="78">
        <v>2461</v>
      </c>
      <c r="G15" s="78">
        <v>1160</v>
      </c>
      <c r="H15" s="78">
        <v>3725</v>
      </c>
      <c r="I15" s="78">
        <v>117</v>
      </c>
      <c r="J15" s="78">
        <v>1699</v>
      </c>
      <c r="K15" s="78">
        <v>2016</v>
      </c>
      <c r="L15" s="78">
        <v>3278</v>
      </c>
      <c r="M15" s="78">
        <v>3437</v>
      </c>
      <c r="N15" s="78">
        <v>2172</v>
      </c>
      <c r="O15" s="78">
        <v>6087</v>
      </c>
      <c r="P15" s="78">
        <v>7166</v>
      </c>
      <c r="Q15" s="78">
        <v>0</v>
      </c>
      <c r="R15" s="78">
        <v>3513</v>
      </c>
      <c r="S15" s="78">
        <v>6926</v>
      </c>
      <c r="T15" s="78">
        <v>1495</v>
      </c>
      <c r="U15" s="78">
        <v>2350</v>
      </c>
      <c r="V15" s="78">
        <v>-338</v>
      </c>
      <c r="W15" s="71">
        <v>-371</v>
      </c>
      <c r="X15" s="78">
        <v>26</v>
      </c>
      <c r="Y15" s="106">
        <v>-9911</v>
      </c>
      <c r="Z15" s="78">
        <v>0</v>
      </c>
      <c r="AA15" s="78">
        <v>0</v>
      </c>
      <c r="AB15" s="78" ph="1">
        <v>2368</v>
      </c>
      <c r="AC15" s="78" ph="1">
        <v>0</v>
      </c>
      <c r="AD15" s="78">
        <v>31.02</v>
      </c>
      <c r="AE15" s="78">
        <v>5.51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6" t="s" ph="1">
        <v>179</v>
      </c>
      <c r="D16" s="73" ph="1">
        <f>D15*7.0686*LOOKUP(D17,密度!$A$2:$A$50,密度!$L$2:$L$50)</f>
        <v>46.214506800000002</v>
      </c>
      <c r="E16" s="73" ph="1">
        <f>E15*7.0686*LOOKUP(E17,密度!$A$2:$A$50,密度!$L$2:$L$50)</f>
        <v>27295.752329999999</v>
      </c>
      <c r="F16" s="73" ph="1">
        <f>F15*9.0746*LOOKUP(F17,密度!$A$2:$A$50,密度!$L$2:$L$50)</f>
        <v>20769.309258000001</v>
      </c>
      <c r="G16" s="73" ph="1">
        <f>G15*9.0746*LOOKUP(G17,密度!$A$2:$A$50,密度!$B$2:$B$50)</f>
        <v>8206.4874655999993</v>
      </c>
      <c r="H16" s="73" ph="1">
        <f>H15*9.0746*LOOKUP(H17,密度!$A$2:$A$50,密度!$L$2:$L$50)</f>
        <v>31673.303245000003</v>
      </c>
      <c r="I16" s="73" ph="1">
        <f>I15*9.0746*LOOKUP(I17,密度!$A$2:$A$50,密度!$U$2:$U$50)</f>
        <v>1084.0244921999999</v>
      </c>
      <c r="J16" s="73" ph="1">
        <f>J15*9.0746*LOOKUP(J17,密度!$A$2:$A$50,密度!$L$2:$L$50)</f>
        <v>14400.174203600001</v>
      </c>
      <c r="K16" s="73" ph="1">
        <f>K15*9.0746*LOOKUP(K17,密度!$A$2:$A$50,密度!$C$2:$C$50)</f>
        <v>20259.21147264</v>
      </c>
      <c r="L16" s="73" ph="1">
        <f>L15*9.0746*LOOKUP(L17,密度!$A$2:$A$50,密度!$E$2:$E$50)</f>
        <v>23130.908570880001</v>
      </c>
      <c r="M16" s="73" ph="1">
        <f>M15*9.0746*LOOKUP(M17,密度!$A$2:$A$50,密度!$M$2:$M$50)</f>
        <v>27131.659233980001</v>
      </c>
      <c r="N16" s="73" ph="1">
        <f>N15*9.0746*LOOKUP(N17,密度!$A$2:$A$50,密度!$M$2:$M$50)</f>
        <v>17228.538271920002</v>
      </c>
      <c r="O16" s="73" ph="1">
        <f>O15*9.0746*LOOKUP(O17,密度!$A$2:$A$50,密度!$G$2:$G$50)</f>
        <v>52861.895321399999</v>
      </c>
      <c r="P16" s="73" ph="1">
        <f ca="1">P15*9.0746*LOOKUP(P17,密度!$A$2:$A$51,密度!$Q$2:$Q$50)</f>
        <v>61427.300640232002</v>
      </c>
      <c r="Q16" s="73" ph="1">
        <f>Q15*9.0746*LOOKUP(Q17,密度!$A$2:$A$50,密度!$Q$2:$Q$50)</f>
        <v>0</v>
      </c>
      <c r="R16" s="73" ph="1">
        <f>MAX(R15*9.0746*LOOKUP(R17,密度!$A$2:$A$50,密度!$B$2:$B$50),0)</f>
        <v>24715.842815939999</v>
      </c>
      <c r="S16" s="73" ph="1">
        <f>S15*9.0746*LOOKUP(S17,密度!$A$2:$A$50,密度!$Q$2:$Q$50)</f>
        <v>59326.641994828009</v>
      </c>
      <c r="T16" s="73" ph="1">
        <f>T15*9.0746*LOOKUP(T17,密度!$A$2:$A$50,密度!$O$2:$O$50)</f>
        <v>12562.604002</v>
      </c>
      <c r="U16" s="73" ph="1">
        <f>U15*9.0746*LOOKUP(U17,密度!$A$2:$A$50,密度!$H$2:$H$50)</f>
        <v>19448.682720000001</v>
      </c>
      <c r="V16" s="73" ph="1">
        <f>MAX(5600*LOOKUP(V17,密度!$A$2:$A$50,密度!$Q$2:$Q$50)+V15*9.0476*LOOKUP(V17,密度!$A$2:$A$50,密度!$Q$2:$Q$50),0)</f>
        <v>2394.22615928</v>
      </c>
      <c r="W16" s="73" ph="1">
        <f>MAX(5600*LOOKUP(W17,密度!$A$2:$A$50,密度!$Q$2:$Q$50)+W15*9.0476*LOOKUP(W17,密度!$A$2:$A$50,密度!$Q$2:$Q$50),0)</f>
        <v>2117.5563037720003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20027.4244096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7718.3936265600005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27</v>
      </c>
      <c r="F17" s="74">
        <v>32</v>
      </c>
      <c r="G17" s="74">
        <v>25</v>
      </c>
      <c r="H17" s="74">
        <v>25</v>
      </c>
      <c r="I17" s="74">
        <v>29</v>
      </c>
      <c r="J17" s="74">
        <v>28</v>
      </c>
      <c r="K17" s="74">
        <v>27</v>
      </c>
      <c r="L17" s="74">
        <v>30</v>
      </c>
      <c r="M17" s="74">
        <v>30</v>
      </c>
      <c r="N17" s="74">
        <v>26</v>
      </c>
      <c r="O17" s="74">
        <v>28</v>
      </c>
      <c r="P17" s="74">
        <v>28</v>
      </c>
      <c r="Q17" s="74">
        <v>27</v>
      </c>
      <c r="R17" s="74">
        <v>30</v>
      </c>
      <c r="S17" s="74">
        <v>29</v>
      </c>
      <c r="T17" s="74">
        <v>28</v>
      </c>
      <c r="U17" s="74">
        <v>28</v>
      </c>
      <c r="V17" s="74">
        <v>32</v>
      </c>
      <c r="W17" s="74">
        <v>29</v>
      </c>
      <c r="X17" s="74">
        <v>27</v>
      </c>
      <c r="Y17" s="108">
        <v>27</v>
      </c>
      <c r="Z17" s="74">
        <v>27</v>
      </c>
      <c r="AA17" s="74">
        <v>27</v>
      </c>
      <c r="AB17" s="74">
        <v>30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7</v>
      </c>
      <c r="E18" s="71">
        <v>4136</v>
      </c>
      <c r="F18" s="71">
        <v>2520</v>
      </c>
      <c r="G18" s="71">
        <v>1186</v>
      </c>
      <c r="H18" s="71">
        <v>3729</v>
      </c>
      <c r="I18" s="71">
        <v>118</v>
      </c>
      <c r="J18" s="71">
        <v>1701</v>
      </c>
      <c r="K18" s="71">
        <v>2017</v>
      </c>
      <c r="L18" s="71">
        <v>937</v>
      </c>
      <c r="M18" s="71">
        <v>3446</v>
      </c>
      <c r="N18" s="71">
        <v>3636</v>
      </c>
      <c r="O18" s="71">
        <v>6095</v>
      </c>
      <c r="P18" s="71">
        <v>7173</v>
      </c>
      <c r="Q18" s="71">
        <v>0</v>
      </c>
      <c r="R18" s="71">
        <v>3518</v>
      </c>
      <c r="S18" s="71">
        <v>6935</v>
      </c>
      <c r="T18" s="71">
        <v>4510</v>
      </c>
      <c r="U18" s="71">
        <v>203</v>
      </c>
      <c r="V18" s="71">
        <v>-339</v>
      </c>
      <c r="W18" s="71">
        <v>-372</v>
      </c>
      <c r="X18" s="71">
        <v>25</v>
      </c>
      <c r="Y18" s="109">
        <v>-9907</v>
      </c>
      <c r="Z18" s="71">
        <v>0</v>
      </c>
      <c r="AA18" s="71">
        <v>0</v>
      </c>
      <c r="AB18" s="71">
        <v>2372</v>
      </c>
      <c r="AC18" s="71">
        <v>0</v>
      </c>
      <c r="AD18" s="71">
        <v>72.14</v>
      </c>
      <c r="AE18" s="71">
        <v>5.51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6" t="s" ph="1">
        <v>179</v>
      </c>
      <c r="D19" s="73" ph="1">
        <f>D18*7.0686*LOOKUP(D20,密度!$A$2:$A$50,密度!$L$2:$L$50)</f>
        <v>46.016585999999997</v>
      </c>
      <c r="E19" s="73" ph="1">
        <f>E18*7.0686*LOOKUP(E20,密度!$A$2:$A$50,密度!$L$2:$L$50)</f>
        <v>27218.464257600001</v>
      </c>
      <c r="F19" s="73" ph="1">
        <f>F18*9.0746*LOOKUP(F20,密度!$A$2:$A$50,密度!$L$2:$L$50)</f>
        <v>21244.364568000005</v>
      </c>
      <c r="G19" s="73" ph="1">
        <f>G18*9.0746*LOOKUP(G20,密度!$A$2:$A$50,密度!$B$2:$B$50)</f>
        <v>8324.7748765999986</v>
      </c>
      <c r="H19" s="73" ph="1">
        <f>H18*9.0746*LOOKUP(H20,密度!$A$2:$A$50,密度!$L$2:$L$50)</f>
        <v>31605.797295600005</v>
      </c>
      <c r="I19" s="73" ph="1">
        <f>I18*9.0746*LOOKUP(I20,密度!$A$2:$A$50,密度!$U$2:$U$50)</f>
        <v>1087.9356447999999</v>
      </c>
      <c r="J19" s="73" ph="1">
        <f>J18*9.0746*LOOKUP(J20,密度!$A$2:$A$50,密度!$L$2:$L$50)</f>
        <v>14339.9460834</v>
      </c>
      <c r="K19" s="73" ph="1">
        <f>K18*9.0746*LOOKUP(K20,密度!$A$2:$A$50,密度!$C$2:$C$50)</f>
        <v>20188.725424599997</v>
      </c>
      <c r="L19" s="73" ph="1">
        <f>L18*9.0746*LOOKUP(L20,密度!$A$2:$A$50,密度!$E$2:$E$50)</f>
        <v>6511.5209731600007</v>
      </c>
      <c r="M19" s="73" ph="1">
        <f>M18*9.0746*LOOKUP(M20,密度!$A$2:$A$50,密度!$M$2:$M$50)</f>
        <v>27071.992105552003</v>
      </c>
      <c r="N19" s="73" ph="1">
        <f>N18*9.0746*LOOKUP(N20,密度!$A$2:$A$50,密度!$M$2:$M$50)</f>
        <v>28771.854163200001</v>
      </c>
      <c r="O19" s="73" ph="1">
        <f>O18*9.0746*LOOKUP(O20,密度!$A$2:$A$50,密度!$G$2:$G$50)</f>
        <v>52690.22022368</v>
      </c>
      <c r="P19" s="73" ph="1">
        <f ca="1">P18*9.0746*LOOKUP(P20,密度!$A$2:$A$51,密度!$Q$2:$Q$50)</f>
        <v>61403.336164314002</v>
      </c>
      <c r="Q19" s="73" ph="1">
        <f>Q18*9.0746*LOOKUP(Q20,密度!$A$2:$A$50,密度!$Q$2:$Q$50)</f>
        <v>0</v>
      </c>
      <c r="R19" s="73" ph="1">
        <f>MAX(R18*9.0746*LOOKUP(R20,密度!$A$2:$A$50,密度!$B$2:$B$50),0)</f>
        <v>24693.556505799999</v>
      </c>
      <c r="S19" s="73" ph="1">
        <f>S18*9.0746*LOOKUP(S20,密度!$A$2:$A$50,密度!$Q$2:$Q$50)</f>
        <v>59318.775405580003</v>
      </c>
      <c r="T19" s="73" ph="1">
        <f>T18*9.0746*LOOKUP(T20,密度!$A$2:$A$50,密度!$O$2:$O$50)</f>
        <v>37897.888996000009</v>
      </c>
      <c r="U19" s="73" ph="1">
        <f>U18*9.0746*LOOKUP(U20,密度!$A$2:$A$50,密度!$H$2:$H$50)</f>
        <v>1672.8139419040001</v>
      </c>
      <c r="V19" s="73" ph="1">
        <f>MAX(5600*LOOKUP(V20,密度!$A$2:$A$50,密度!$Q$2:$Q$50)+V18*9.0476*LOOKUP(V20,密度!$A$2:$A$50,密度!$Q$2:$Q$50),0)</f>
        <v>2375.8767140719997</v>
      </c>
      <c r="W19" s="73" ph="1">
        <f>MAX(5600*LOOKUP(W20,密度!$A$2:$A$50,密度!$Q$2:$Q$50)+W18*9.0476*LOOKUP(W20,密度!$A$2:$A$50,密度!$Q$2:$Q$50),0)</f>
        <v>2098.6712270399998</v>
      </c>
      <c r="X19" s="73" ph="1">
        <f>MAX(5600*LOOKUP(X20,密度!$A$2:$A$50,密度!$I$2:$I$50)+X18*9.0476*LOOKUP(X20,密度!$A$2:$A$50,密度!$I$2:$I$50),0)</f>
        <v>6013.6767942000006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20039.7295672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16277.042930399999</v>
      </c>
      <c r="AE19" s="73" ph="1">
        <f>AE18*268.68*LOOKUP(AE20,密度!$A$2:$A$50,密度!B5:B53)+IF(AE18&lt;=0,0,1566*LOOKUP(AE20,密度!$A$2:$A$50,密度!B5:B53))</f>
        <v>2367.0736236000002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31</v>
      </c>
      <c r="F20" s="81">
        <v>33</v>
      </c>
      <c r="G20" s="81">
        <v>32</v>
      </c>
      <c r="H20" s="81">
        <v>28</v>
      </c>
      <c r="I20" s="81">
        <v>34</v>
      </c>
      <c r="J20" s="81">
        <v>33</v>
      </c>
      <c r="K20" s="81">
        <v>32</v>
      </c>
      <c r="L20" s="81">
        <v>40</v>
      </c>
      <c r="M20" s="81">
        <v>34</v>
      </c>
      <c r="N20" s="81">
        <v>28</v>
      </c>
      <c r="O20" s="81">
        <v>32</v>
      </c>
      <c r="P20" s="81">
        <v>30</v>
      </c>
      <c r="Q20" s="81">
        <v>33</v>
      </c>
      <c r="R20" s="81">
        <v>32</v>
      </c>
      <c r="S20" s="81">
        <v>31</v>
      </c>
      <c r="T20" s="81">
        <v>29</v>
      </c>
      <c r="U20" s="81">
        <v>32</v>
      </c>
      <c r="V20" s="81">
        <v>38</v>
      </c>
      <c r="W20" s="81">
        <v>36</v>
      </c>
      <c r="X20" s="81">
        <v>34</v>
      </c>
      <c r="Y20" s="110">
        <v>33</v>
      </c>
      <c r="Z20" s="81">
        <v>34</v>
      </c>
      <c r="AA20" s="81">
        <v>32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649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6" t="s" ph="1">
        <v>178</v>
      </c>
      <c r="D24" s="71">
        <v>4.1100000000000003</v>
      </c>
      <c r="E24" s="71">
        <v>95.62</v>
      </c>
      <c r="F24" s="71">
        <v>182</v>
      </c>
      <c r="G24" s="71">
        <v>1109</v>
      </c>
      <c r="H24" s="71">
        <v>0</v>
      </c>
      <c r="I24" s="71">
        <v>1449</v>
      </c>
      <c r="J24" s="71">
        <v>223</v>
      </c>
      <c r="K24" s="71">
        <v>1445</v>
      </c>
      <c r="L24" s="71">
        <v>3571</v>
      </c>
      <c r="M24" s="71">
        <v>3217</v>
      </c>
      <c r="N24" s="71">
        <v>5332</v>
      </c>
      <c r="O24" s="71">
        <v>3693</v>
      </c>
      <c r="P24" s="71">
        <v>1253</v>
      </c>
      <c r="Q24" s="90">
        <v>3000</v>
      </c>
      <c r="R24" s="71">
        <v>1318</v>
      </c>
      <c r="S24" s="71">
        <v>6629</v>
      </c>
      <c r="T24" s="71">
        <v>1763</v>
      </c>
      <c r="U24" s="71">
        <v>3888</v>
      </c>
      <c r="V24" s="71">
        <v>9633</v>
      </c>
      <c r="W24" s="71">
        <v>10753</v>
      </c>
      <c r="X24" s="71">
        <v>4001</v>
      </c>
      <c r="Y24" s="71">
        <v>2300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2528.0559641520003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2007.4729511200001</v>
      </c>
      <c r="G25" s="91" ph="1">
        <f>G24*18.322*LOOKUP(G26,密度!$A$2:$A$50,密度!$B$2:$B$50)</f>
        <v>15771.683867599999</v>
      </c>
      <c r="H25" s="91" ph="1">
        <f>H24*18.322*LOOKUP(H26,密度!$A$2:$A$50,密度!$B$2:$B$50)</f>
        <v>0</v>
      </c>
      <c r="I25" s="91" ph="1">
        <f>I24*18.322*LOOKUP(I26,密度!$A$2:$A$50,密度!$Q$2:$Q$50)</f>
        <v>25078.317750359998</v>
      </c>
      <c r="J25" s="91" ph="1">
        <f>J24*18.322*LOOKUP(J26,密度!$A$2:$A$50,密度!$Q$2:$Q$50)</f>
        <v>3862.3941279200003</v>
      </c>
      <c r="K25" s="91" ph="1">
        <f>K24*18.322*LOOKUP(K26,密度!$A$2:$A$50,密度!$Q$2:$Q$50)</f>
        <v>24990.8204897</v>
      </c>
      <c r="L25" s="91" ph="1">
        <f>L24*18.322*LOOKUP(L26,密度!$A$2:$A$50,密度!$Q$2:$Q$50)</f>
        <v>61720.065060459994</v>
      </c>
      <c r="M25" s="91" ph="1">
        <f>M24*18.322*LOOKUP(M26,密度!$A$2:$A$50,密度!$Q$2:$Q$50)</f>
        <v>55601.638000419996</v>
      </c>
      <c r="N25" s="91" ph="1">
        <f>N24*18.322*LOOKUP(N26,密度!$A$2:$A$50,密度!$Q$2:$Q$50)</f>
        <v>92156.647130319994</v>
      </c>
      <c r="O25" s="91" ph="1">
        <f>O24*18.322*LOOKUP(O26,密度!$A$2:$A$50,密度!$C$2:$C$50)</f>
        <v>74876.0373636</v>
      </c>
      <c r="P25" s="91" ph="1">
        <f>P24*11.702*LOOKUP(P26,密度!$A$2:$A$50,密度!$B$2:$B$50)</f>
        <v>11392.844862</v>
      </c>
      <c r="Q25" s="92" ph="1">
        <f>Q24*18.322*LOOKUP(Q26,密度!$A$2:$A$50,密度!$B$2:$B$50)</f>
        <v>42664.609199999999</v>
      </c>
      <c r="R25" s="91" ph="1">
        <f>R24*35.891*LOOKUP(R26,密度!$A$2:$A$50,密度!$C$2:$C$50)</f>
        <v>52276.023923799992</v>
      </c>
      <c r="S25" s="91" ph="1">
        <f>S24*35.891*LOOKUP(S26,密度!$A$2:$A$50,密度!$B$2:$B$50)</f>
        <v>184674.6209518</v>
      </c>
      <c r="T25" s="91" ph="1">
        <f>T24*35.891*LOOKUP(T26,密度!$A$2:$A$50,密度!$Q$2:$Q$50)</f>
        <v>59689.991543889999</v>
      </c>
      <c r="U25" s="91" ph="1">
        <f>U24*35.891</f>
        <v>139544.20799999998</v>
      </c>
      <c r="V25" s="91" ph="1">
        <f>V24*47.051*LOOKUP(V26,密度!$A$2:$A$50,密度!$B$2:$B$50)</f>
        <v>351806.6600646</v>
      </c>
      <c r="W25" s="91" ph="1">
        <f>W24*47.051*LOOKUP(W26,密度!$A$2:$A$50,密度!$B$2:$B$50)</f>
        <v>392254.81914590002</v>
      </c>
      <c r="X25" s="91" ph="1">
        <f>X24*47.051*LOOKUP(X26,密度!$A$2:$A$50,密度!$I$2:$I$50)</f>
        <v>195348.11562270002</v>
      </c>
      <c r="Y25" s="91" ph="1">
        <f>Y24*47.051*LOOKUP(Y26,密度!$A$2:$A$50,密度!$L$2:$L$50)</f>
        <v>100750.30630000001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31</v>
      </c>
      <c r="G26" s="74">
        <v>29</v>
      </c>
      <c r="H26" s="74">
        <v>30</v>
      </c>
      <c r="I26" s="74">
        <v>28</v>
      </c>
      <c r="J26" s="74">
        <v>27</v>
      </c>
      <c r="K26" s="74">
        <v>29</v>
      </c>
      <c r="L26" s="74">
        <v>30</v>
      </c>
      <c r="M26" s="74">
        <v>30</v>
      </c>
      <c r="N26" s="74">
        <v>30</v>
      </c>
      <c r="O26" s="74">
        <v>28</v>
      </c>
      <c r="P26" s="74">
        <v>28</v>
      </c>
      <c r="Q26" s="93">
        <v>29</v>
      </c>
      <c r="R26" s="74">
        <v>30</v>
      </c>
      <c r="S26" s="74">
        <v>29</v>
      </c>
      <c r="T26" s="74">
        <v>30</v>
      </c>
      <c r="U26" s="74">
        <v>29</v>
      </c>
      <c r="V26" s="74">
        <v>29</v>
      </c>
      <c r="W26" s="74">
        <v>30</v>
      </c>
      <c r="X26" s="74">
        <v>29</v>
      </c>
      <c r="Y26" s="74">
        <v>31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6" t="s" ph="1">
        <v>181</v>
      </c>
      <c r="D27" s="71">
        <v>4.0199999999999996</v>
      </c>
      <c r="E27" s="71">
        <v>95.71</v>
      </c>
      <c r="F27" s="71">
        <v>178</v>
      </c>
      <c r="G27" s="71">
        <v>970</v>
      </c>
      <c r="H27" s="71">
        <v>0</v>
      </c>
      <c r="I27" s="71">
        <v>1448</v>
      </c>
      <c r="J27" s="71">
        <v>217</v>
      </c>
      <c r="K27" s="71">
        <v>1472</v>
      </c>
      <c r="L27" s="71">
        <v>3567</v>
      </c>
      <c r="M27" s="71">
        <v>2652</v>
      </c>
      <c r="N27" s="71">
        <v>5332</v>
      </c>
      <c r="O27" s="71">
        <v>3690</v>
      </c>
      <c r="P27" s="71">
        <v>1251</v>
      </c>
      <c r="Q27" s="90">
        <v>2776</v>
      </c>
      <c r="R27" s="71">
        <v>1314</v>
      </c>
      <c r="S27" s="71">
        <v>6629</v>
      </c>
      <c r="T27" s="71">
        <v>1761</v>
      </c>
      <c r="U27" s="71">
        <v>3731</v>
      </c>
      <c r="V27" s="71">
        <v>9636</v>
      </c>
      <c r="W27" s="71">
        <v>10754</v>
      </c>
      <c r="X27" s="71">
        <v>4288</v>
      </c>
      <c r="Y27" s="71">
        <v>704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6" t="s" ph="1">
        <v>179</v>
      </c>
      <c r="D28" s="91" ph="1">
        <f>D27*268.68*LOOKUP(D29,密度!$A$2:$A$50,密度!$Q$2:$Q$50)+IF(D27&lt;=0,0,1566*LOOKUP(D29,密度!$A$2:$A$50,密度!$Q$2:$Q$50))</f>
        <v>2505.1626548639997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1959.2075840400003</v>
      </c>
      <c r="G28" s="91" ph="1">
        <f>G27*18.322*LOOKUP(G29,密度!$A$2:$A$50,密度!$B$2:$B$50)</f>
        <v>13778.895202</v>
      </c>
      <c r="H28" s="91" ph="1">
        <f>H27*18.322*LOOKUP(H29,密度!$A$2:$A$50,密度!$B$2:$B$50)</f>
        <v>0</v>
      </c>
      <c r="I28" s="91" ph="1">
        <f>I27*18.322*LOOKUP(I29,密度!$A$2:$A$50,密度!$Q$2:$Q$50)</f>
        <v>24971.603459999998</v>
      </c>
      <c r="J28" s="91" ph="1">
        <f>J27*18.322*LOOKUP(J29,密度!$A$2:$A$50,密度!$Q$2:$Q$50)</f>
        <v>3731.9541300999999</v>
      </c>
      <c r="K28" s="91" ph="1">
        <f>K27*18.322*LOOKUP(K29,密度!$A$2:$A$50,密度!$Q$2:$Q$50)</f>
        <v>25403.027929600001</v>
      </c>
      <c r="L28" s="91" ph="1">
        <f>L27*18.322*LOOKUP(L29,密度!$A$2:$A$50,密度!$Q$2:$Q$50)</f>
        <v>61601.914360919996</v>
      </c>
      <c r="M28" s="91" ph="1">
        <f>M27*18.322*LOOKUP(M29,密度!$A$2:$A$50,密度!$Q$2:$Q$50)</f>
        <v>45836.351873519998</v>
      </c>
      <c r="N28" s="91" ph="1">
        <f>N27*18.322*LOOKUP(N29,密度!$A$2:$A$50,密度!$Q$2:$Q$50)</f>
        <v>92083.377452319997</v>
      </c>
      <c r="O28" s="91" ph="1">
        <f>O27*18.322*LOOKUP(O29,密度!$A$2:$A$50,密度!$C$2:$C$50)</f>
        <v>74713.799717999995</v>
      </c>
      <c r="P28" s="91" ph="1">
        <f>P27*11.702*LOOKUP(P29,密度!$A$2:$A$50,密度!$B$2:$B$50)</f>
        <v>11311.7113854</v>
      </c>
      <c r="Q28" s="92" ph="1">
        <f>Q27*18.322*LOOKUP(Q29,密度!$A$2:$A$50,密度!$B$2:$B$50)</f>
        <v>39341.657991999993</v>
      </c>
      <c r="R28" s="91" ph="1">
        <f>R27*35.891*LOOKUP(R29,密度!$A$2:$A$50,密度!$C$2:$C$50)</f>
        <v>51971.172947999999</v>
      </c>
      <c r="S28" s="91" ph="1">
        <f>S27*35.891*LOOKUP(S29,密度!$A$2:$A$50,密度!$B$2:$B$50)</f>
        <v>184246.36236159998</v>
      </c>
      <c r="T28" s="91" ph="1">
        <f>T27*35.891*LOOKUP(T29,密度!$A$2:$A$50,密度!$Q$2:$Q$50)</f>
        <v>59449.098330090004</v>
      </c>
      <c r="U28" s="91" ph="1">
        <f>U27*35.891</f>
        <v>133909.321</v>
      </c>
      <c r="V28" s="91" ph="1">
        <f>V27*47.051*LOOKUP(V29,密度!$A$2:$A$50,密度!$B$2:$B$50)</f>
        <v>351508.17793080001</v>
      </c>
      <c r="W28" s="91" ph="1">
        <f>W27*47.051*LOOKUP(W29,密度!$A$2:$A$50,密度!$B$2:$B$50)</f>
        <v>392291.29778620001</v>
      </c>
      <c r="X28" s="91" ph="1">
        <f>X27*47.051*LOOKUP(X29,密度!$A$2:$A$50,密度!$I$2:$I$50)</f>
        <v>209138.90958079998</v>
      </c>
      <c r="Y28" s="91" ph="1">
        <f>Y27*47.051*LOOKUP(Y29,密度!$A$2:$A$50,密度!$L$2:$L$50)</f>
        <v>30705.859008000003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6" t="s" ph="1">
        <v>180</v>
      </c>
      <c r="D29" s="74">
        <v>25</v>
      </c>
      <c r="E29" s="74">
        <v>25</v>
      </c>
      <c r="F29" s="74">
        <v>34</v>
      </c>
      <c r="G29" s="74">
        <v>30</v>
      </c>
      <c r="H29" s="74">
        <v>35</v>
      </c>
      <c r="I29" s="74">
        <v>33</v>
      </c>
      <c r="J29" s="74">
        <v>37</v>
      </c>
      <c r="K29" s="74">
        <v>32</v>
      </c>
      <c r="L29" s="74">
        <v>31</v>
      </c>
      <c r="M29" s="74">
        <v>30</v>
      </c>
      <c r="N29" s="74">
        <v>31</v>
      </c>
      <c r="O29" s="74">
        <v>30</v>
      </c>
      <c r="P29" s="74">
        <v>33</v>
      </c>
      <c r="Q29" s="93">
        <v>32</v>
      </c>
      <c r="R29" s="74">
        <v>33</v>
      </c>
      <c r="S29" s="74">
        <v>31</v>
      </c>
      <c r="T29" s="74">
        <v>34</v>
      </c>
      <c r="U29" s="74">
        <v>31</v>
      </c>
      <c r="V29" s="74">
        <v>30</v>
      </c>
      <c r="W29" s="74">
        <v>30</v>
      </c>
      <c r="X29" s="74">
        <v>30</v>
      </c>
      <c r="Y29" s="74">
        <v>35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98365.313636400009</v>
      </c>
      <c r="E33" s="205" ph="1">
        <f>M10+I10</f>
        <v>197850.89346019999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31" ph="1">
        <v>0</v>
      </c>
      <c r="H33" s="205" ph="1">
        <f>N19</f>
        <v>28771.854163200001</v>
      </c>
      <c r="I33" s="209" ph="1">
        <v>0</v>
      </c>
      <c r="J33" s="213" ph="1">
        <f>F10+O28</f>
        <v>263116.6068978</v>
      </c>
      <c r="K33" s="205" ph="1">
        <f>O10+K10+E28+R28</f>
        <v>156207.79994092003</v>
      </c>
      <c r="L33" s="215" ph="1">
        <f>BE27</f>
        <v>7100</v>
      </c>
      <c r="M33" s="213" ph="1">
        <f>G10+H10+W28+S28+V28+E10</f>
        <v>1575839.0835766001</v>
      </c>
      <c r="N33" s="205" ph="1">
        <f>L10+P10++G28+H28</f>
        <v>146718.120888</v>
      </c>
      <c r="O33" s="209" ph="1">
        <f>BE17</f>
        <v>2270</v>
      </c>
      <c r="P33" s="213" ph="1">
        <f>L19</f>
        <v>6511.5209731600007</v>
      </c>
      <c r="Q33" s="205" ph="1">
        <f>J10+N10</f>
        <v>93667.385947960007</v>
      </c>
      <c r="R33" s="209" ph="1">
        <f>BE23</f>
        <v>890</v>
      </c>
      <c r="S33" s="213" ph="1">
        <f>E10+X28</f>
        <v>465468.63368579996</v>
      </c>
      <c r="T33" s="205" ph="1">
        <f>X19</f>
        <v>6013.6767942000006</v>
      </c>
      <c r="U33" s="194" ph="1">
        <f>BE21</f>
        <v>730</v>
      </c>
      <c r="V33" s="207" ph="1">
        <f ca="1">P19+Q19+S19+M28+N28+J28</f>
        <v>262373.79502583406</v>
      </c>
      <c r="W33" s="207" ph="1">
        <f>D28+F28+V19+T28</f>
        <v>66289.34528306601</v>
      </c>
      <c r="X33" s="209" ph="1">
        <f>BE29+BE31</f>
        <v>10200</v>
      </c>
      <c r="Y33" s="211" ph="1">
        <f>+Q10+R10+S10+T10+U10+V10+W10+X10+Y10</f>
        <v>145073.72685959999</v>
      </c>
      <c r="Z33" s="192" ph="1">
        <f>D10+T19+U19+Y28+Z10</f>
        <v>387254.37079168402</v>
      </c>
      <c r="AA33" s="194" ph="1">
        <f>BE19</f>
        <v>1440</v>
      </c>
      <c r="AB33" s="196" ph="1">
        <f>I19</f>
        <v>1087.9356447999999</v>
      </c>
      <c r="AC33" s="198" ph="1">
        <f>AD10</f>
        <v>86267.770848000015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8" t="s" ph="1">
        <v>186</v>
      </c>
      <c r="AA36" s="168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15" priority="97">
      <formula>ABS(D$7-D$10)&gt;=1000</formula>
    </cfRule>
  </conditionalFormatting>
  <conditionalFormatting sqref="E4 E6:E11">
    <cfRule type="expression" dxfId="1014" priority="96">
      <formula>ABS(E$7-E$10)&gt;=1000</formula>
    </cfRule>
  </conditionalFormatting>
  <conditionalFormatting sqref="F4:F11">
    <cfRule type="expression" dxfId="1013" priority="95">
      <formula>ABS(F$7-F$10)&gt;=1000</formula>
    </cfRule>
  </conditionalFormatting>
  <conditionalFormatting sqref="G4:G11">
    <cfRule type="expression" dxfId="1012" priority="94">
      <formula>ABS(G$7-G$10)&gt;=1000</formula>
    </cfRule>
  </conditionalFormatting>
  <conditionalFormatting sqref="H4:H11">
    <cfRule type="expression" dxfId="1011" priority="93">
      <formula>ABS(H$7-H$10)&gt;=1000</formula>
    </cfRule>
  </conditionalFormatting>
  <conditionalFormatting sqref="I4:I11">
    <cfRule type="expression" dxfId="1010" priority="92">
      <formula>ABS(I$7-I$10)&gt;=1000</formula>
    </cfRule>
  </conditionalFormatting>
  <conditionalFormatting sqref="J4:J11">
    <cfRule type="expression" dxfId="1009" priority="91">
      <formula>ABS(J$7-J$10)&gt;=1000</formula>
    </cfRule>
  </conditionalFormatting>
  <conditionalFormatting sqref="K4:K11">
    <cfRule type="expression" dxfId="1008" priority="90">
      <formula>ABS(K$7-K$10)&gt;=1000</formula>
    </cfRule>
  </conditionalFormatting>
  <conditionalFormatting sqref="L4:L11">
    <cfRule type="expression" dxfId="1007" priority="89">
      <formula>ABS(L$7-L$10)&gt;=1000</formula>
    </cfRule>
  </conditionalFormatting>
  <conditionalFormatting sqref="M4 M6:M11">
    <cfRule type="expression" dxfId="1006" priority="88">
      <formula>ABS(M$7-M$10)&gt;=1000</formula>
    </cfRule>
  </conditionalFormatting>
  <conditionalFormatting sqref="N4 N6:N11">
    <cfRule type="expression" dxfId="1005" priority="87">
      <formula>ABS(N$7-N$10)&gt;=1000</formula>
    </cfRule>
  </conditionalFormatting>
  <conditionalFormatting sqref="O4 O6:O11">
    <cfRule type="expression" dxfId="1004" priority="86">
      <formula>ABS(O$7-O$10)&gt;=1000</formula>
    </cfRule>
  </conditionalFormatting>
  <conditionalFormatting sqref="P4 P6:P11">
    <cfRule type="expression" dxfId="1003" priority="85">
      <formula>ABS(P$7-P$10)&gt;=1000</formula>
    </cfRule>
  </conditionalFormatting>
  <conditionalFormatting sqref="Q4:Q11">
    <cfRule type="expression" dxfId="1002" priority="84">
      <formula>ABS(Q$7-Q$10)&gt;=1000</formula>
    </cfRule>
  </conditionalFormatting>
  <conditionalFormatting sqref="R4:R11">
    <cfRule type="expression" dxfId="1001" priority="83">
      <formula>ABS(R$7-R$10)&gt;=1000</formula>
    </cfRule>
  </conditionalFormatting>
  <conditionalFormatting sqref="S4:S11">
    <cfRule type="expression" dxfId="1000" priority="82">
      <formula>ABS(S$7-S$10)&gt;=1000</formula>
    </cfRule>
  </conditionalFormatting>
  <conditionalFormatting sqref="T4:T9 T11">
    <cfRule type="expression" dxfId="999" priority="81">
      <formula>ABS(T$7-T$10)&gt;=1000</formula>
    </cfRule>
  </conditionalFormatting>
  <conditionalFormatting sqref="U4:U9 U11">
    <cfRule type="expression" dxfId="998" priority="80">
      <formula>ABS(U$7-U$10)&gt;=1000</formula>
    </cfRule>
  </conditionalFormatting>
  <conditionalFormatting sqref="V4:V9 V11">
    <cfRule type="expression" dxfId="997" priority="79">
      <formula>ABS(V$7-V$10)&gt;=1000</formula>
    </cfRule>
  </conditionalFormatting>
  <conditionalFormatting sqref="W4:W9 W11">
    <cfRule type="expression" dxfId="996" priority="78">
      <formula>ABS(W$7-W$10)&gt;=1000</formula>
    </cfRule>
  </conditionalFormatting>
  <conditionalFormatting sqref="X4:X9 X11">
    <cfRule type="expression" dxfId="995" priority="77">
      <formula>ABS(X$7-X$10)&gt;=1000</formula>
    </cfRule>
  </conditionalFormatting>
  <conditionalFormatting sqref="Y4:Y9 Y11">
    <cfRule type="expression" dxfId="994" priority="76">
      <formula>ABS(Y$7-Y$10)&gt;=1000</formula>
    </cfRule>
  </conditionalFormatting>
  <conditionalFormatting sqref="Z4:Z11">
    <cfRule type="expression" dxfId="993" priority="75">
      <formula>ABS(Z$7-Z$10)&gt;=1000</formula>
    </cfRule>
  </conditionalFormatting>
  <conditionalFormatting sqref="AA4:AA11">
    <cfRule type="expression" dxfId="992" priority="74">
      <formula>ABS(AA$7-AA$10)&gt;=1000</formula>
    </cfRule>
  </conditionalFormatting>
  <conditionalFormatting sqref="AB4:AB11">
    <cfRule type="expression" dxfId="991" priority="73">
      <formula>ABS(AB$7-AB$10)&gt;=1000</formula>
    </cfRule>
  </conditionalFormatting>
  <conditionalFormatting sqref="AC4 AC6:AC11">
    <cfRule type="expression" dxfId="990" priority="72">
      <formula>ABS(AC$7-AC$10)&gt;=1000</formula>
    </cfRule>
  </conditionalFormatting>
  <conditionalFormatting sqref="AD4:AD11">
    <cfRule type="expression" dxfId="989" priority="71">
      <formula>ABS(AD$7-AD$10)&gt;=1000</formula>
    </cfRule>
  </conditionalFormatting>
  <conditionalFormatting sqref="AE4:AE11">
    <cfRule type="expression" dxfId="988" priority="70">
      <formula>ABS(AE$7-AE$10)&gt;=1000</formula>
    </cfRule>
  </conditionalFormatting>
  <conditionalFormatting sqref="D13:D20">
    <cfRule type="expression" dxfId="987" priority="69">
      <formula>ABS(D$16-D$19)&gt;=1000</formula>
    </cfRule>
  </conditionalFormatting>
  <conditionalFormatting sqref="E13:E20">
    <cfRule type="expression" dxfId="986" priority="68">
      <formula>ABS(E$16-E$19)&gt;=1000</formula>
    </cfRule>
  </conditionalFormatting>
  <conditionalFormatting sqref="F13 F15:F20">
    <cfRule type="expression" dxfId="985" priority="67">
      <formula>ABS(F$16-F$19)&gt;=1000</formula>
    </cfRule>
  </conditionalFormatting>
  <conditionalFormatting sqref="G13:G20">
    <cfRule type="expression" dxfId="984" priority="66">
      <formula>ABS(G$16-G$19)&gt;=1000</formula>
    </cfRule>
  </conditionalFormatting>
  <conditionalFormatting sqref="H13:H20">
    <cfRule type="expression" dxfId="983" priority="65">
      <formula>ABS(H$16-H$19)&gt;=1000</formula>
    </cfRule>
  </conditionalFormatting>
  <conditionalFormatting sqref="I13:I20">
    <cfRule type="expression" dxfId="982" priority="64">
      <formula>ABS(I$16-I$19)&gt;=1000</formula>
    </cfRule>
  </conditionalFormatting>
  <conditionalFormatting sqref="J13:J20">
    <cfRule type="expression" dxfId="981" priority="63">
      <formula>ABS(J$16-J$19)&gt;=1000</formula>
    </cfRule>
  </conditionalFormatting>
  <conditionalFormatting sqref="L13:L20">
    <cfRule type="expression" dxfId="980" priority="62">
      <formula>ABS(L$16-L$19)&gt;=1000</formula>
    </cfRule>
  </conditionalFormatting>
  <conditionalFormatting sqref="M13 M15 M17:M18 M20">
    <cfRule type="expression" dxfId="979" priority="61">
      <formula>ABS(M$16-M$19)&gt;=1000</formula>
    </cfRule>
  </conditionalFormatting>
  <conditionalFormatting sqref="N13:N20">
    <cfRule type="expression" dxfId="978" priority="60">
      <formula>ABS(N$16-N$19)&gt;=1000</formula>
    </cfRule>
  </conditionalFormatting>
  <conditionalFormatting sqref="O13:O20">
    <cfRule type="expression" dxfId="977" priority="59">
      <formula>ABS(O$16-O$19)&gt;=1000</formula>
    </cfRule>
  </conditionalFormatting>
  <conditionalFormatting sqref="P13:P20">
    <cfRule type="expression" dxfId="976" priority="58">
      <formula>ABS(P$16-P$19)&gt;=1000</formula>
    </cfRule>
  </conditionalFormatting>
  <conditionalFormatting sqref="Q13 Q15:Q20">
    <cfRule type="expression" dxfId="975" priority="57">
      <formula>ABS(Q$16-Q$19)&gt;=1000</formula>
    </cfRule>
  </conditionalFormatting>
  <conditionalFormatting sqref="R13:R20">
    <cfRule type="expression" dxfId="974" priority="56">
      <formula>ABS(R$16-R$19)&gt;=1000</formula>
    </cfRule>
  </conditionalFormatting>
  <conditionalFormatting sqref="S13:S20">
    <cfRule type="expression" dxfId="973" priority="55">
      <formula>ABS(S$16-S$19)&gt;=1000</formula>
    </cfRule>
  </conditionalFormatting>
  <conditionalFormatting sqref="T13:T20">
    <cfRule type="expression" dxfId="972" priority="54">
      <formula>ABS(T$16-T$19)&gt;=1000</formula>
    </cfRule>
  </conditionalFormatting>
  <conditionalFormatting sqref="U13:U20">
    <cfRule type="expression" dxfId="971" priority="53">
      <formula>ABS(U$16-U$19)&gt;=1000</formula>
    </cfRule>
  </conditionalFormatting>
  <conditionalFormatting sqref="V13:V20">
    <cfRule type="expression" dxfId="970" priority="52">
      <formula>ABS(V$16-V$19)&gt;=1000</formula>
    </cfRule>
  </conditionalFormatting>
  <conditionalFormatting sqref="W13 W20 W15:W18">
    <cfRule type="expression" dxfId="969" priority="51">
      <formula>ABS(W$16-W$19)&gt;=1000</formula>
    </cfRule>
  </conditionalFormatting>
  <conditionalFormatting sqref="X13 X15:X20 Y19">
    <cfRule type="expression" dxfId="968" priority="50">
      <formula>ABS(X$16-X$19)&gt;=1000</formula>
    </cfRule>
  </conditionalFormatting>
  <conditionalFormatting sqref="Y13 Y15:Y18 Y20">
    <cfRule type="expression" dxfId="967" priority="49">
      <formula>ABS(Y$16-Y$19)&gt;=1000</formula>
    </cfRule>
  </conditionalFormatting>
  <conditionalFormatting sqref="Z13:Z20">
    <cfRule type="expression" dxfId="966" priority="48">
      <formula>ABS(Z$16-Z$19)&gt;=1000</formula>
    </cfRule>
  </conditionalFormatting>
  <conditionalFormatting sqref="AA13:AA20">
    <cfRule type="expression" dxfId="965" priority="47">
      <formula>ABS(AA$16-AA$19)&gt;=1000</formula>
    </cfRule>
  </conditionalFormatting>
  <conditionalFormatting sqref="AB13 AB15:AB20">
    <cfRule type="expression" dxfId="964" priority="46">
      <formula>ABS(AB$16-AB$19)&gt;=1000</formula>
    </cfRule>
  </conditionalFormatting>
  <conditionalFormatting sqref="AC13 AC15:AC20">
    <cfRule type="expression" dxfId="963" priority="45">
      <formula>ABS(AC$16-AC$19)&gt;=1000</formula>
    </cfRule>
  </conditionalFormatting>
  <conditionalFormatting sqref="AD13:AD20">
    <cfRule type="expression" dxfId="962" priority="44">
      <formula>ABS(AD$16-AD$19)&gt;=1000</formula>
    </cfRule>
  </conditionalFormatting>
  <conditionalFormatting sqref="AE13:AE20">
    <cfRule type="expression" dxfId="961" priority="43">
      <formula>ABS(AE$16-AE$19)&gt;=1000</formula>
    </cfRule>
  </conditionalFormatting>
  <conditionalFormatting sqref="D22:D29">
    <cfRule type="expression" dxfId="960" priority="42">
      <formula>ABS(D$25-D$28)&gt;=1000</formula>
    </cfRule>
  </conditionalFormatting>
  <conditionalFormatting sqref="E22:E29">
    <cfRule type="expression" dxfId="959" priority="41">
      <formula>ABS(E$25-E$28)&gt;=1000</formula>
    </cfRule>
  </conditionalFormatting>
  <conditionalFormatting sqref="F22:F29">
    <cfRule type="expression" dxfId="958" priority="40">
      <formula>ABS(F$25-F$28)&gt;=1000</formula>
    </cfRule>
  </conditionalFormatting>
  <conditionalFormatting sqref="G22:G29">
    <cfRule type="expression" dxfId="957" priority="39">
      <formula>ABS(G$25-G$28)&gt;=1000</formula>
    </cfRule>
  </conditionalFormatting>
  <conditionalFormatting sqref="H22:H29">
    <cfRule type="expression" dxfId="956" priority="38">
      <formula>ABS(H$25-H$28)&gt;=1000</formula>
    </cfRule>
  </conditionalFormatting>
  <conditionalFormatting sqref="I22 I24:I29">
    <cfRule type="expression" dxfId="955" priority="37">
      <formula>ABS(I$25-I$28)&gt;=1000</formula>
    </cfRule>
  </conditionalFormatting>
  <conditionalFormatting sqref="J22:J29 K22">
    <cfRule type="expression" dxfId="954" priority="36">
      <formula>ABS(J$25-J$28)&gt;=1000</formula>
    </cfRule>
  </conditionalFormatting>
  <conditionalFormatting sqref="K23:K29 L25 L28">
    <cfRule type="expression" dxfId="953" priority="35">
      <formula>ABS(K$25-K$28)&gt;=1000</formula>
    </cfRule>
  </conditionalFormatting>
  <conditionalFormatting sqref="L22 L26:L27 L29 L24">
    <cfRule type="expression" dxfId="952" priority="34">
      <formula>ABS(L$25-L$28)&gt;=1000</formula>
    </cfRule>
  </conditionalFormatting>
  <conditionalFormatting sqref="M22:M29">
    <cfRule type="expression" dxfId="951" priority="33">
      <formula>ABS(M$25-M$28)&gt;=1000</formula>
    </cfRule>
  </conditionalFormatting>
  <conditionalFormatting sqref="N22:N29">
    <cfRule type="expression" dxfId="950" priority="32">
      <formula>ABS(N$25-N$28)&gt;=1000</formula>
    </cfRule>
  </conditionalFormatting>
  <conditionalFormatting sqref="O22:O29">
    <cfRule type="expression" dxfId="949" priority="31">
      <formula>ABS(O$25-O$28)&gt;=1000</formula>
    </cfRule>
  </conditionalFormatting>
  <conditionalFormatting sqref="P22:P29">
    <cfRule type="expression" dxfId="948" priority="30">
      <formula>ABS(P$25-P$28)&gt;=1000</formula>
    </cfRule>
  </conditionalFormatting>
  <conditionalFormatting sqref="Q22:Q29">
    <cfRule type="expression" dxfId="947" priority="29">
      <formula>ABS(Q$25-Q$28)&gt;=1000</formula>
    </cfRule>
  </conditionalFormatting>
  <conditionalFormatting sqref="R22:R29">
    <cfRule type="expression" dxfId="946" priority="28">
      <formula>ABS(R$25-R$28)&gt;=1000</formula>
    </cfRule>
  </conditionalFormatting>
  <conditionalFormatting sqref="S22:S29">
    <cfRule type="expression" dxfId="945" priority="27">
      <formula>ABS(S$25-S$28)&gt;=1000</formula>
    </cfRule>
  </conditionalFormatting>
  <conditionalFormatting sqref="T22:T29">
    <cfRule type="expression" dxfId="944" priority="26">
      <formula>ABS(T$25-T$28)&gt;=1000</formula>
    </cfRule>
  </conditionalFormatting>
  <conditionalFormatting sqref="U22:U29">
    <cfRule type="expression" dxfId="943" priority="25">
      <formula>ABS(U$25-U$28)&gt;=1000</formula>
    </cfRule>
  </conditionalFormatting>
  <conditionalFormatting sqref="V22:V29">
    <cfRule type="expression" dxfId="942" priority="24">
      <formula>ABS(V$25-V$28)&gt;=1000</formula>
    </cfRule>
  </conditionalFormatting>
  <conditionalFormatting sqref="W22:W29">
    <cfRule type="expression" dxfId="941" priority="23">
      <formula>ABS(W$25-W$28)&gt;=1000</formula>
    </cfRule>
  </conditionalFormatting>
  <conditionalFormatting sqref="X22:X29">
    <cfRule type="expression" dxfId="940" priority="22">
      <formula>ABS(X$25-X$28)&gt;=1000</formula>
    </cfRule>
  </conditionalFormatting>
  <conditionalFormatting sqref="Y22:Y29">
    <cfRule type="expression" dxfId="939" priority="21">
      <formula>ABS(Y$25-Y$28)&gt;=1000</formula>
    </cfRule>
  </conditionalFormatting>
  <conditionalFormatting sqref="I23">
    <cfRule type="expression" dxfId="938" priority="20">
      <formula>ABS(I$25-I$28)&gt;=1000</formula>
    </cfRule>
  </conditionalFormatting>
  <conditionalFormatting sqref="F14">
    <cfRule type="expression" dxfId="937" priority="19">
      <formula>ABS(F$16-F$19)&gt;=1000</formula>
    </cfRule>
  </conditionalFormatting>
  <conditionalFormatting sqref="Q14">
    <cfRule type="expression" dxfId="936" priority="18">
      <formula>ABS(Q$16-Q$19)&gt;=1000</formula>
    </cfRule>
  </conditionalFormatting>
  <conditionalFormatting sqref="W14">
    <cfRule type="expression" dxfId="935" priority="17">
      <formula>ABS(W$16-W$19)&gt;=1000</formula>
    </cfRule>
  </conditionalFormatting>
  <conditionalFormatting sqref="Y14">
    <cfRule type="expression" dxfId="934" priority="16">
      <formula>ABS(Y$16-Y$19)&gt;=1000</formula>
    </cfRule>
  </conditionalFormatting>
  <conditionalFormatting sqref="X14">
    <cfRule type="expression" dxfId="933" priority="15">
      <formula>ABS(X$16-X$19)&gt;=1000</formula>
    </cfRule>
  </conditionalFormatting>
  <conditionalFormatting sqref="T10:Y10">
    <cfRule type="expression" dxfId="932" priority="14">
      <formula>ABS(T$7-T$10)&gt;=1000</formula>
    </cfRule>
  </conditionalFormatting>
  <conditionalFormatting sqref="W19">
    <cfRule type="expression" dxfId="931" priority="13">
      <formula>ABS(W$16-W$19)&gt;=1000</formula>
    </cfRule>
  </conditionalFormatting>
  <conditionalFormatting sqref="AC5">
    <cfRule type="expression" dxfId="930" priority="12">
      <formula>ABS(AC$7-AC$10)&gt;=1000</formula>
    </cfRule>
  </conditionalFormatting>
  <conditionalFormatting sqref="M14">
    <cfRule type="expression" dxfId="929" priority="11">
      <formula>ABS(M$16-M$19)&gt;=1000</formula>
    </cfRule>
  </conditionalFormatting>
  <conditionalFormatting sqref="M16">
    <cfRule type="expression" dxfId="928" priority="10">
      <formula>ABS(M$16-M$19)&gt;=1000</formula>
    </cfRule>
  </conditionalFormatting>
  <conditionalFormatting sqref="M19">
    <cfRule type="expression" dxfId="927" priority="9">
      <formula>ABS(M$16-M$19)&gt;=1000</formula>
    </cfRule>
  </conditionalFormatting>
  <conditionalFormatting sqref="K13:K20">
    <cfRule type="expression" dxfId="926" priority="8">
      <formula>ABS(K$16-K$19)&gt;=1000</formula>
    </cfRule>
  </conditionalFormatting>
  <conditionalFormatting sqref="E5">
    <cfRule type="expression" dxfId="925" priority="7">
      <formula>ABS(E$7-E$10)&gt;=1000</formula>
    </cfRule>
  </conditionalFormatting>
  <conditionalFormatting sqref="AB14:AC14">
    <cfRule type="expression" dxfId="924" priority="6">
      <formula>ABS(AB$16-AB$19)&gt;=1000</formula>
    </cfRule>
  </conditionalFormatting>
  <conditionalFormatting sqref="M5">
    <cfRule type="expression" dxfId="923" priority="5">
      <formula>ABS(M$7-M$10)&gt;=1000</formula>
    </cfRule>
  </conditionalFormatting>
  <conditionalFormatting sqref="N5">
    <cfRule type="expression" dxfId="922" priority="4">
      <formula>ABS(N$7-N$10)&gt;=1000</formula>
    </cfRule>
  </conditionalFormatting>
  <conditionalFormatting sqref="O5">
    <cfRule type="expression" dxfId="921" priority="3">
      <formula>ABS(O$7-O$10)&gt;=1000</formula>
    </cfRule>
  </conditionalFormatting>
  <conditionalFormatting sqref="P5">
    <cfRule type="expression" dxfId="920" priority="2">
      <formula>ABS(P$7-P$10)&gt;=1000</formula>
    </cfRule>
  </conditionalFormatting>
  <conditionalFormatting sqref="L23">
    <cfRule type="expression" dxfId="919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23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3">
    <pageSetUpPr fitToPage="1"/>
  </sheetPr>
  <dimension ref="A1:CU223"/>
  <sheetViews>
    <sheetView view="pageBreakPreview" topLeftCell="A10" zoomScale="80" zoomScaleNormal="100" zoomScaleSheetLayoutView="80" workbookViewId="0">
      <selection activeCell="Q27" sqref="Q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45828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66" t="s" ph="1">
        <v>178</v>
      </c>
      <c r="D6" s="71">
        <v>5127</v>
      </c>
      <c r="E6" s="71">
        <v>6734</v>
      </c>
      <c r="F6" s="71">
        <v>4563</v>
      </c>
      <c r="G6" s="71">
        <v>3456</v>
      </c>
      <c r="H6" s="71">
        <v>5715</v>
      </c>
      <c r="I6" s="71">
        <v>63.32</v>
      </c>
      <c r="J6" s="71">
        <v>7.71</v>
      </c>
      <c r="K6" s="71">
        <v>45.72</v>
      </c>
      <c r="L6" s="71">
        <v>23.41</v>
      </c>
      <c r="M6" s="71">
        <v>5314</v>
      </c>
      <c r="N6" s="71">
        <v>3570</v>
      </c>
      <c r="O6" s="71">
        <v>3546</v>
      </c>
      <c r="P6" s="71">
        <v>3053</v>
      </c>
      <c r="Q6" s="71">
        <v>62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5965</v>
      </c>
      <c r="X6" s="71">
        <v>7260</v>
      </c>
      <c r="Y6" s="71">
        <v>4616</v>
      </c>
      <c r="Z6" s="71">
        <v>5831</v>
      </c>
      <c r="AA6" s="71">
        <v>556</v>
      </c>
      <c r="AB6" s="71">
        <v>3800</v>
      </c>
      <c r="AC6" s="71">
        <v>4925</v>
      </c>
      <c r="AD6" s="71">
        <v>4406</v>
      </c>
      <c r="AE6" s="71">
        <v>2534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160590.09445713001</v>
      </c>
      <c r="E7" s="73" ph="1">
        <f>E6*51.53*LOOKUP(E8,密度!$A$2:$A$50,密度!$B$2:$B$50)</f>
        <v>269621.34654</v>
      </c>
      <c r="F7" s="73" ph="1">
        <f>F6*33.183*LOOKUP(F8,密度!$A$2:$A$50,密度!$C$2:$C$50)</f>
        <v>167675.89571459999</v>
      </c>
      <c r="G7" s="73" ph="1">
        <f xml:space="preserve"> (G6+2)*51.53*LOOKUP(G8,密度!$A$2:$A$50,密度!$B$2:$B$50)</f>
        <v>138454.20498000001</v>
      </c>
      <c r="H7" s="73" ph="1">
        <f>(H6)*51.53*LOOKUP(H8,密度!$A$2:$A$50,密度!$B$2:$B$50)</f>
        <v>229852.527975</v>
      </c>
      <c r="I7" s="73" ph="1">
        <f>I6*290.8*1.0267</f>
        <v>18905.095275200001</v>
      </c>
      <c r="J7" s="73" ph="1">
        <f>J6*290.8*0.7892</f>
        <v>1769.4400656000003</v>
      </c>
      <c r="K7" s="73" ph="1">
        <f>K6*290.8*1.1126</f>
        <v>14792.4353376</v>
      </c>
      <c r="L7" s="73" ph="1">
        <f>L6*290.8*0.777</f>
        <v>5289.5269560000006</v>
      </c>
      <c r="M7" s="73" ph="1">
        <f>M6*33.183*LOOKUP(M8,密度!$A$2:$A$50,密度!$D$2:$D$50)</f>
        <v>180372.52117979998</v>
      </c>
      <c r="N7" s="73" ph="1">
        <f>N6*33.183*LOOKUP(N8,密度!$A$2:$A$50,密度!$E$2:$E$50)</f>
        <v>92247.379496999987</v>
      </c>
      <c r="O7" s="73" ph="1">
        <f>O6*20.428*LOOKUP(O8,密度!$A$2:$A$50,密度!$C$2:$C$50)</f>
        <v>79826.332176000011</v>
      </c>
      <c r="P7" s="73" ph="1">
        <f>P6*51.53*LOOKUP(P8,密度!$A$2:$A$50,密度!$B$2:$B$50)</f>
        <v>122380.07591100001</v>
      </c>
      <c r="Q7" s="73" ph="1">
        <f>Q6*1.5*1.5*3.1416*LOOKUP(W8,密度!$A$2:$A$50,密度!$L$2:$L$50)</f>
        <v>408.89023560000004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39339.197667</v>
      </c>
      <c r="X7" s="73" ph="1">
        <f>X6*1.5*1.5*3.1416*LOOKUP(X8,密度!$A$2:$A$50,密度!$L$2:$L$50)</f>
        <v>48238.953839999995</v>
      </c>
      <c r="Y7" s="73" ph="1">
        <f>Y6*1.5*1.5*3.1416*LOOKUP(Y8,密度!$A$2:$A$50,密度!$L$2:$L$50)</f>
        <v>30507.794856</v>
      </c>
      <c r="Z7" s="73" ph="1">
        <f>Z6*33.183*LOOKUP(Z8,密度!$A$2:$A$50,密度!$L$2:$L$50)</f>
        <v>180913.21825500001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79916.37880000002</v>
      </c>
      <c r="AC7" s="73" ph="1">
        <f>AC6*51.53*LOOKUP(AC8,密度!$A$2:$A$50,密度!$Q$2:$Q$50)</f>
        <v>240088.46005750002</v>
      </c>
      <c r="AD7" s="73" ph="1">
        <f>AD6*20.428*LOOKUP(AD8,密度!$A$2:$A$50,密度!$V$2:$V$50)</f>
        <v>86189.523436799995</v>
      </c>
      <c r="AE7" s="73" ph="1">
        <f>AE6*20.428</f>
        <v>51764.552000000003</v>
      </c>
    </row>
    <row r="8" spans="1:99" ph="1">
      <c r="B8" s="256" ph="1"/>
      <c r="C8" s="68" t="s" ph="1">
        <v>180</v>
      </c>
      <c r="D8" s="74">
        <v>29</v>
      </c>
      <c r="E8" s="74">
        <v>28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33</v>
      </c>
      <c r="P8" s="74">
        <v>27</v>
      </c>
      <c r="Q8" s="74">
        <v>27</v>
      </c>
      <c r="R8" s="74">
        <v>32</v>
      </c>
      <c r="S8" s="74">
        <v>23</v>
      </c>
      <c r="T8" s="74">
        <v>24</v>
      </c>
      <c r="U8" s="74">
        <v>27</v>
      </c>
      <c r="V8" s="74">
        <v>28</v>
      </c>
      <c r="W8" s="74">
        <v>29</v>
      </c>
      <c r="X8" s="74">
        <v>22</v>
      </c>
      <c r="Y8" s="74">
        <v>27</v>
      </c>
      <c r="Z8" s="74">
        <v>27</v>
      </c>
      <c r="AA8" s="74">
        <v>28</v>
      </c>
      <c r="AB8" s="74">
        <v>22</v>
      </c>
      <c r="AC8" s="74">
        <v>26</v>
      </c>
      <c r="AD8" s="74">
        <v>27</v>
      </c>
      <c r="AE8" s="74">
        <v>32</v>
      </c>
    </row>
    <row r="9" spans="1:99" ht="26.4" ph="1">
      <c r="B9" s="256" ph="1">
        <v>0.66666666666666663</v>
      </c>
      <c r="C9" s="166" t="s" ph="1">
        <v>181</v>
      </c>
      <c r="D9" s="71">
        <v>5128</v>
      </c>
      <c r="E9" s="71">
        <v>7264</v>
      </c>
      <c r="F9" s="71">
        <v>4303</v>
      </c>
      <c r="G9" s="71">
        <v>4084</v>
      </c>
      <c r="H9" s="71">
        <v>6156</v>
      </c>
      <c r="I9" s="71">
        <v>63.32</v>
      </c>
      <c r="J9" s="71">
        <v>7.82</v>
      </c>
      <c r="K9" s="71">
        <v>13.42</v>
      </c>
      <c r="L9" s="71">
        <v>26.44</v>
      </c>
      <c r="M9" s="71">
        <v>5315</v>
      </c>
      <c r="N9" s="71">
        <v>3572</v>
      </c>
      <c r="O9" s="71">
        <v>3318</v>
      </c>
      <c r="P9" s="71">
        <v>2791</v>
      </c>
      <c r="Q9" s="71">
        <v>7189</v>
      </c>
      <c r="R9" s="71">
        <v>2164</v>
      </c>
      <c r="S9" s="71">
        <v>0</v>
      </c>
      <c r="T9" s="71">
        <v>0</v>
      </c>
      <c r="U9" s="71">
        <v>0</v>
      </c>
      <c r="V9" s="71">
        <v>0</v>
      </c>
      <c r="W9" s="71">
        <v>2730</v>
      </c>
      <c r="X9" s="71">
        <v>7270</v>
      </c>
      <c r="Y9" s="71">
        <v>4625</v>
      </c>
      <c r="Z9" s="71">
        <v>4306</v>
      </c>
      <c r="AA9" s="71">
        <v>556</v>
      </c>
      <c r="AB9" s="71">
        <v>3763</v>
      </c>
      <c r="AC9" s="71">
        <v>5311</v>
      </c>
      <c r="AD9" s="71">
        <v>4413</v>
      </c>
      <c r="AE9" s="71">
        <v>2464</v>
      </c>
    </row>
    <row r="10" spans="1:99" s="72" customFormat="1" ht="22.2" ph="1">
      <c r="B10" s="256" ph="1"/>
      <c r="C10" s="166" t="s" ph="1">
        <v>179</v>
      </c>
      <c r="D10" s="73" ph="1">
        <f>D9*33.183*LOOKUP(D11,密度!$A$2:$A$50,密度!$Q$2:$Q$50)</f>
        <v>160165.38159</v>
      </c>
      <c r="E10" s="73" ph="1">
        <f>E9*51.53*LOOKUP(E11,密度!$A$2:$A$50,密度!$B$2:$B$50)</f>
        <v>289531.81711999996</v>
      </c>
      <c r="F10" s="73" ph="1">
        <f>F9*33.183*LOOKUP(F11,密度!$A$2:$A$50,密度!$C$2:$C$50)</f>
        <v>157493.453247</v>
      </c>
      <c r="G10" s="73" ph="1">
        <f xml:space="preserve"> (G9+2)*51.53*LOOKUP(G11,密度!$A$2:$A$50,密度!$B$2:$B$50)</f>
        <v>163051.14355199999</v>
      </c>
      <c r="H10" s="73" ph="1">
        <f>(H9)*51.53*LOOKUP(H11,密度!$A$2:$A$50,密度!$B$2:$B$50)</f>
        <v>245939.64260399999</v>
      </c>
      <c r="I10" s="73" ph="1">
        <f>I9*290.8*1.0267</f>
        <v>18905.095275200001</v>
      </c>
      <c r="J10" s="73" ph="1">
        <f>J9*290.8*0.7892</f>
        <v>1794.6849952</v>
      </c>
      <c r="K10" s="73" ph="1">
        <f>K9*290.8*1.1126</f>
        <v>4341.9615536000001</v>
      </c>
      <c r="L10" s="73" ph="1">
        <f>L9*290.8*0.777</f>
        <v>5974.1603040000009</v>
      </c>
      <c r="M10" s="73" ph="1">
        <f>M9*33.183*LOOKUP(M11,密度!$A$2:$A$50,密度!$D$2:$D$50)</f>
        <v>178378.23615300001</v>
      </c>
      <c r="N10" s="73" ph="1">
        <f>N9*33.183*LOOKUP(N11,密度!$A$2:$A$50,密度!$E$2:$E$50)</f>
        <v>91764.489862439994</v>
      </c>
      <c r="O10" s="73" ph="1">
        <f>O9*20.428*LOOKUP(O11,密度!$A$2:$A$50,密度!$C$2:$C$50)</f>
        <v>74408.998171200015</v>
      </c>
      <c r="P10" s="73" ph="1">
        <f>P9*51.53*LOOKUP(P11,密度!$A$2:$A$50,密度!$B$2:$B$50)</f>
        <v>111244.94790500001</v>
      </c>
      <c r="Q10" s="73" ph="1">
        <f>Q9*1.5*1.5*3.1416*LOOKUP(W11,密度!$A$2:$A$50,密度!$L$2:$L$50)</f>
        <v>47309.849987399997</v>
      </c>
      <c r="R10" s="73" ph="1">
        <f>R9*1.5*1.5*3.1416*LOOKUP(R11,密度!$A$2:$A$50,密度!$L$2:$L$50)</f>
        <v>14179.809520800001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17965.765818</v>
      </c>
      <c r="X10" s="73" ph="1">
        <f>X9*1.5*1.5*3.1416*LOOKUP(X11,密度!$A$2:$A$50,密度!$L$2:$L$50)</f>
        <v>48202.621235999999</v>
      </c>
      <c r="Y10" s="73" ph="1">
        <f>Y9*1.5*1.5*3.1416*LOOKUP(Y11,密度!$A$2:$A$50,密度!$L$2:$L$50)</f>
        <v>30501.892574999998</v>
      </c>
      <c r="Z10" s="73" ph="1">
        <f>Z9*33.183*LOOKUP(Z11,密度!$A$2:$A$50,密度!$L$2:$L$50)</f>
        <v>132026.662152</v>
      </c>
      <c r="AA10" s="73" ph="1">
        <f>AA9*33.183*LOOKUP(AA11,密度!$A$2:$A$50,密度!$D$2:$D$50)</f>
        <v>18548.269654319996</v>
      </c>
      <c r="AB10" s="73" ph="1">
        <f>AB9*20.428*LOOKUP(AB11,密度!$A$2:$A$50,密度!$D$2:$D$50)</f>
        <v>78853.824551199999</v>
      </c>
      <c r="AC10" s="73" ph="1">
        <f>AC9*51.53*LOOKUP(AC11,密度!$A$2:$A$50,密度!$Q$2:$Q$50)</f>
        <v>257775.26427700001</v>
      </c>
      <c r="AD10" s="73" ph="1">
        <f>AD9*20.428*LOOKUP(AD11,密度!$A$2:$A$50,密度!$V$2:$V$50)</f>
        <v>86326.456406400015</v>
      </c>
      <c r="AE10" s="73" ph="1">
        <f>AE9*20.428</f>
        <v>50334.592000000004</v>
      </c>
    </row>
    <row r="11" spans="1:99" ph="1">
      <c r="A11" s="64" t="s" ph="1">
        <v>163</v>
      </c>
      <c r="B11" s="256" ph="1"/>
      <c r="C11" s="166" t="s" ph="1">
        <v>180</v>
      </c>
      <c r="D11" s="74">
        <v>33</v>
      </c>
      <c r="E11" s="74">
        <v>32</v>
      </c>
      <c r="F11" s="74">
        <v>32</v>
      </c>
      <c r="G11" s="74">
        <v>31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33</v>
      </c>
      <c r="O11" s="74">
        <v>37</v>
      </c>
      <c r="P11" s="74">
        <v>32</v>
      </c>
      <c r="Q11" s="74">
        <v>30</v>
      </c>
      <c r="R11" s="74">
        <v>35</v>
      </c>
      <c r="S11" s="74">
        <v>30</v>
      </c>
      <c r="T11" s="74">
        <v>35</v>
      </c>
      <c r="U11" s="74">
        <v>35</v>
      </c>
      <c r="V11" s="74">
        <v>28</v>
      </c>
      <c r="W11" s="74">
        <v>31</v>
      </c>
      <c r="X11" s="74">
        <v>24</v>
      </c>
      <c r="Y11" s="74">
        <v>29</v>
      </c>
      <c r="Z11" s="74">
        <v>38</v>
      </c>
      <c r="AA11" s="74">
        <v>50</v>
      </c>
      <c r="AB11" s="74">
        <v>26</v>
      </c>
      <c r="AC11" s="74">
        <v>32</v>
      </c>
      <c r="AD11" s="74">
        <v>34</v>
      </c>
      <c r="AE11" s="74">
        <v>35</v>
      </c>
    </row>
    <row r="12" spans="1:99" ht="9.9" customHeight="1" ph="1"/>
    <row r="13" spans="1:99" s="72" customFormat="1" ht="29.25" customHeight="1" ph="1">
      <c r="B13" s="233" t="s" ph="1">
        <v>37</v>
      </c>
      <c r="C13" s="16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66" t="s" ph="1">
        <v>178</v>
      </c>
      <c r="D15" s="78">
        <v>8</v>
      </c>
      <c r="E15" s="78">
        <v>4133</v>
      </c>
      <c r="F15" s="78">
        <v>2523</v>
      </c>
      <c r="G15" s="78">
        <v>1249</v>
      </c>
      <c r="H15" s="78">
        <v>3728</v>
      </c>
      <c r="I15" s="78">
        <v>118</v>
      </c>
      <c r="J15" s="78">
        <v>1713</v>
      </c>
      <c r="K15" s="78">
        <v>2022</v>
      </c>
      <c r="L15" s="78">
        <v>930</v>
      </c>
      <c r="M15" s="78">
        <v>3441</v>
      </c>
      <c r="N15" s="78">
        <v>3641</v>
      </c>
      <c r="O15" s="78">
        <v>6091</v>
      </c>
      <c r="P15" s="78">
        <v>7170</v>
      </c>
      <c r="Q15" s="78">
        <v>0</v>
      </c>
      <c r="R15" s="78">
        <v>3515</v>
      </c>
      <c r="S15" s="78">
        <v>6931</v>
      </c>
      <c r="T15" s="78">
        <v>4522</v>
      </c>
      <c r="U15" s="78">
        <v>205</v>
      </c>
      <c r="V15" s="78">
        <v>896</v>
      </c>
      <c r="W15" s="71">
        <v>-370</v>
      </c>
      <c r="X15" s="78">
        <v>26</v>
      </c>
      <c r="Y15" s="106">
        <v>-9907</v>
      </c>
      <c r="Z15" s="78">
        <v>0</v>
      </c>
      <c r="AA15" s="78">
        <v>0</v>
      </c>
      <c r="AB15" s="78" ph="1">
        <v>2370</v>
      </c>
      <c r="AC15" s="78" ph="1">
        <v>0</v>
      </c>
      <c r="AD15" s="78">
        <v>5.42</v>
      </c>
      <c r="AE15" s="78">
        <v>82.71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66" t="s" ph="1">
        <v>179</v>
      </c>
      <c r="D16" s="73" ph="1">
        <f>D15*7.0686*LOOKUP(D17,密度!$A$2:$A$50,密度!$L$2:$L$50)</f>
        <v>52.760030400000005</v>
      </c>
      <c r="E16" s="73" ph="1">
        <f>E15*7.0686*LOOKUP(E17,密度!$A$2:$A$50,密度!$L$2:$L$50)</f>
        <v>27286.365229200001</v>
      </c>
      <c r="F16" s="73" ph="1">
        <f>F15*9.0746*LOOKUP(F17,密度!$A$2:$A$50,密度!$L$2:$L$50)</f>
        <v>21338.341125600004</v>
      </c>
      <c r="G16" s="73" ph="1">
        <f>G15*9.0746*LOOKUP(G17,密度!$A$2:$A$50,密度!$B$2:$B$50)</f>
        <v>8825.9223839799997</v>
      </c>
      <c r="H16" s="73" ph="1">
        <f>H15*9.0746*LOOKUP(H17,密度!$A$2:$A$50,密度!$L$2:$L$50)</f>
        <v>31698.811945600002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14503.2888834</v>
      </c>
      <c r="K16" s="73" ph="1">
        <f>K15*9.0746*LOOKUP(K17,密度!$A$2:$A$50,密度!$C$2:$C$50)</f>
        <v>20304.82767192</v>
      </c>
      <c r="L16" s="73" ph="1">
        <f>L15*9.0746*LOOKUP(L17,密度!$A$2:$A$50,密度!$E$2:$E$50)</f>
        <v>6591.1542180000006</v>
      </c>
      <c r="M16" s="73" ph="1">
        <f>M15*9.0746*LOOKUP(M17,密度!$A$2:$A$50,密度!$M$2:$M$50)</f>
        <v>27163.23521214</v>
      </c>
      <c r="N16" s="73" ph="1">
        <f>N15*9.0746*LOOKUP(N17,密度!$A$2:$A$50,密度!$M$2:$M$50)</f>
        <v>28880.804718260002</v>
      </c>
      <c r="O16" s="73" ph="1">
        <f>O15*9.0746*LOOKUP(O17,密度!$A$2:$A$50,密度!$G$2:$G$50)</f>
        <v>52769.504096420002</v>
      </c>
      <c r="P16" s="73" ph="1">
        <f ca="1">P15*9.0746*LOOKUP(P17,密度!$A$2:$A$51,密度!$Q$2:$Q$50)</f>
        <v>61416.69406626001</v>
      </c>
      <c r="Q16" s="73" ph="1">
        <f>Q15*9.0746*LOOKUP(Q17,密度!$A$2:$A$50,密度!$Q$2:$Q$50)</f>
        <v>0</v>
      </c>
      <c r="R16" s="73" ph="1">
        <f>MAX(R15*9.0746*LOOKUP(R17,密度!$A$2:$A$50,密度!$B$2:$B$50),0)</f>
        <v>24729.913890700002</v>
      </c>
      <c r="S16" s="73" ph="1">
        <f>S15*9.0746*LOOKUP(S17,密度!$A$2:$A$50,密度!$Q$2:$Q$50)</f>
        <v>59331.733299158004</v>
      </c>
      <c r="T16" s="73" ph="1">
        <f>T15*9.0746*LOOKUP(T17,密度!$A$2:$A$50,密度!$O$2:$O$50)</f>
        <v>37998.725951200002</v>
      </c>
      <c r="U16" s="73" ph="1">
        <f>U15*9.0746*LOOKUP(U17,密度!$A$2:$A$50,密度!$H$2:$H$50)</f>
        <v>1700.1217727000003</v>
      </c>
      <c r="V16" s="73" ph="1">
        <f>MAX(5600*LOOKUP(V17,密度!$A$2:$A$50,密度!$Q$2:$Q$50)+V15*9.0476*LOOKUP(V17,密度!$A$2:$A$50,密度!$Q$2:$Q$50),0)</f>
        <v>12929.893767168</v>
      </c>
      <c r="W16" s="73" ph="1">
        <f>MAX(5600*LOOKUP(W17,密度!$A$2:$A$50,密度!$Q$2:$Q$50)+W15*9.0476*LOOKUP(W17,密度!$A$2:$A$50,密度!$Q$2:$Q$50),0)</f>
        <v>2126.0966048400001</v>
      </c>
      <c r="X16" s="73" ph="1">
        <f>MAX(5600*LOOKUP(X17,密度!$A$2:$A$50,密度!$I$2:$I$50)+X15*9.0476*LOOKUP(X17,密度!$A$2:$A$50,密度!$I$2:$I$50),0)</f>
        <v>6068.6471039999997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20044.339464000001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2356.14266976</v>
      </c>
      <c r="AE16" s="73" ph="1">
        <f>AE15*268.68*LOOKUP(AE17,密度!$A$2:$A$50,密度!B2:B50)+IF(AE15&lt;=0,0,1566*LOOKUP(AE17,密度!$A$2:$A$50,密度!B2:B50))</f>
        <v>18545.532374879996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28</v>
      </c>
      <c r="F17" s="74">
        <v>30</v>
      </c>
      <c r="G17" s="74">
        <v>26</v>
      </c>
      <c r="H17" s="74">
        <v>25</v>
      </c>
      <c r="I17" s="74">
        <v>26</v>
      </c>
      <c r="J17" s="74">
        <v>29</v>
      </c>
      <c r="K17" s="74">
        <v>28</v>
      </c>
      <c r="L17" s="74">
        <v>27</v>
      </c>
      <c r="M17" s="74">
        <v>30</v>
      </c>
      <c r="N17" s="74">
        <v>26</v>
      </c>
      <c r="O17" s="74">
        <v>30</v>
      </c>
      <c r="P17" s="74">
        <v>29</v>
      </c>
      <c r="Q17" s="74">
        <v>27</v>
      </c>
      <c r="R17" s="74">
        <v>30</v>
      </c>
      <c r="S17" s="74">
        <v>30</v>
      </c>
      <c r="T17" s="74">
        <v>27</v>
      </c>
      <c r="U17" s="74">
        <v>26</v>
      </c>
      <c r="V17" s="74">
        <v>30</v>
      </c>
      <c r="W17" s="74">
        <v>29</v>
      </c>
      <c r="X17" s="74">
        <v>27</v>
      </c>
      <c r="Y17" s="108">
        <v>28</v>
      </c>
      <c r="Z17" s="74">
        <v>27</v>
      </c>
      <c r="AA17" s="74">
        <v>26</v>
      </c>
      <c r="AB17" s="74">
        <v>30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1493</v>
      </c>
      <c r="E18" s="71">
        <v>672</v>
      </c>
      <c r="F18" s="71">
        <v>2564</v>
      </c>
      <c r="G18" s="71">
        <v>1278</v>
      </c>
      <c r="H18" s="71">
        <v>3731</v>
      </c>
      <c r="I18" s="71">
        <v>117</v>
      </c>
      <c r="J18" s="71">
        <v>1715</v>
      </c>
      <c r="K18" s="71">
        <v>2035</v>
      </c>
      <c r="L18" s="71">
        <v>930</v>
      </c>
      <c r="M18" s="71">
        <v>485</v>
      </c>
      <c r="N18" s="71">
        <v>5730</v>
      </c>
      <c r="O18" s="71">
        <v>6099</v>
      </c>
      <c r="P18" s="71">
        <v>7177</v>
      </c>
      <c r="Q18" s="71">
        <v>0</v>
      </c>
      <c r="R18" s="71">
        <v>3518</v>
      </c>
      <c r="S18" s="71">
        <v>6938</v>
      </c>
      <c r="T18" s="71">
        <v>3836</v>
      </c>
      <c r="U18" s="71">
        <v>138</v>
      </c>
      <c r="V18" s="71">
        <v>2310</v>
      </c>
      <c r="W18" s="71">
        <v>-372</v>
      </c>
      <c r="X18" s="71">
        <v>24</v>
      </c>
      <c r="Y18" s="109">
        <v>-9908</v>
      </c>
      <c r="Z18" s="71">
        <v>0</v>
      </c>
      <c r="AA18" s="71">
        <v>0</v>
      </c>
      <c r="AB18" s="71">
        <v>2373</v>
      </c>
      <c r="AC18" s="71">
        <v>0</v>
      </c>
      <c r="AD18" s="71">
        <v>46.71</v>
      </c>
      <c r="AE18" s="71">
        <v>83.92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66" t="s" ph="1">
        <v>179</v>
      </c>
      <c r="D19" s="73" ph="1">
        <f>D18*7.0686*LOOKUP(D20,密度!$A$2:$A$50,密度!$L$2:$L$50)</f>
        <v>9814.6804140000004</v>
      </c>
      <c r="E19" s="73" ph="1">
        <f>E18*7.0686*LOOKUP(E20,密度!$A$2:$A$50,密度!$L$2:$L$50)</f>
        <v>4408.0920575999999</v>
      </c>
      <c r="F19" s="73" ph="1">
        <f>F18*9.0746*LOOKUP(F20,密度!$A$2:$A$50,密度!$L$2:$L$50)</f>
        <v>21522.228820000004</v>
      </c>
      <c r="G19" s="73" ph="1">
        <f>G18*9.0746*LOOKUP(G20,密度!$A$2:$A$50,密度!$B$2:$B$50)</f>
        <v>8950.8260858400008</v>
      </c>
      <c r="H19" s="73" ph="1">
        <f>H18*9.0746*LOOKUP(H20,密度!$A$2:$A$50,密度!$L$2:$L$50)</f>
        <v>31284.175322400002</v>
      </c>
      <c r="I19" s="73" ph="1">
        <f>I18*9.0746*LOOKUP(I20,密度!$A$2:$A$50,密度!$U$2:$U$50)</f>
        <v>1070.85906252</v>
      </c>
      <c r="J19" s="73" ph="1">
        <f>J18*9.0746*LOOKUP(J20,密度!$A$2:$A$50,密度!$L$2:$L$50)</f>
        <v>14426.844453000002</v>
      </c>
      <c r="K19" s="73" ph="1">
        <f>K18*9.0746*LOOKUP(K20,密度!$A$2:$A$50,密度!$C$2:$C$50)</f>
        <v>20330.112229900002</v>
      </c>
      <c r="L19" s="73" ph="1">
        <f>L18*9.0746*LOOKUP(L20,密度!$A$2:$A$50,密度!$E$2:$E$50)</f>
        <v>6413.9272800000008</v>
      </c>
      <c r="M19" s="73" ph="1">
        <f>M18*9.0746*LOOKUP(M20,密度!$A$2:$A$50,密度!$M$2:$M$50)</f>
        <v>3757.2882197000004</v>
      </c>
      <c r="N19" s="73" ph="1">
        <f>N18*9.0746*LOOKUP(N20,密度!$A$2:$A$50,密度!$M$2:$M$50)</f>
        <v>45179.031332459999</v>
      </c>
      <c r="O19" s="73" ph="1">
        <f>O18*9.0746*LOOKUP(O20,密度!$A$2:$A$50,密度!$G$2:$G$50)</f>
        <v>52724.799531456003</v>
      </c>
      <c r="P19" s="73" ph="1">
        <f ca="1">P18*9.0746*LOOKUP(P20,密度!$A$2:$A$51,密度!$Q$2:$Q$50)</f>
        <v>61344.443915980002</v>
      </c>
      <c r="Q19" s="73" ph="1">
        <f>Q18*9.0746*LOOKUP(Q20,密度!$A$2:$A$50,密度!$Q$2:$Q$50)</f>
        <v>0</v>
      </c>
      <c r="R19" s="73" ph="1">
        <f>MAX(R18*9.0746*LOOKUP(R20,密度!$A$2:$A$50,密度!$B$2:$B$50),0)</f>
        <v>24668.016951560003</v>
      </c>
      <c r="S19" s="73" ph="1">
        <f>S18*9.0746*LOOKUP(S20,密度!$A$2:$A$50,密度!$Q$2:$Q$50)</f>
        <v>59301.623504119998</v>
      </c>
      <c r="T19" s="73" ph="1">
        <f>T18*9.0746*LOOKUP(T20,密度!$A$2:$A$50,密度!$O$2:$O$50)</f>
        <v>32094.972683200001</v>
      </c>
      <c r="U19" s="73" ph="1">
        <f>U18*9.0746*LOOKUP(U20,密度!$A$2:$A$50,密度!$H$2:$H$50)</f>
        <v>1137.183861984</v>
      </c>
      <c r="V19" s="73" ph="1">
        <f>MAX(5600*LOOKUP(V20,密度!$A$2:$A$50,密度!$Q$2:$Q$50)+V18*9.0476*LOOKUP(V20,密度!$A$2:$A$50,密度!$Q$2:$Q$50),0)</f>
        <v>24825.688779919998</v>
      </c>
      <c r="W19" s="73" ph="1">
        <f>MAX(5600*LOOKUP(W20,密度!$A$2:$A$50,密度!$Q$2:$Q$50)+W18*9.0476*LOOKUP(W20,密度!$A$2:$A$50,密度!$Q$2:$Q$50),0)</f>
        <v>2097.2189367199999</v>
      </c>
      <c r="X19" s="73" ph="1">
        <f>MAX(5600*LOOKUP(X20,密度!$A$2:$A$50,密度!$I$2:$I$50)+X18*9.0476*LOOKUP(X20,密度!$A$2:$A$50,密度!$I$2:$I$50),0)</f>
        <v>5997.8810143679993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20048.178019800001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10968.165255600001</v>
      </c>
      <c r="AE19" s="73" ph="1">
        <f>AE18*268.68*LOOKUP(AE20,密度!$A$2:$A$50,密度!B5:B53)+IF(AE18&lt;=0,0,1566*LOOKUP(AE20,密度!$A$2:$A$50,密度!B5:B53))</f>
        <v>18736.2870912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32</v>
      </c>
      <c r="E20" s="81">
        <v>34</v>
      </c>
      <c r="F20" s="81">
        <v>37</v>
      </c>
      <c r="G20" s="81">
        <v>34</v>
      </c>
      <c r="H20" s="81">
        <v>38</v>
      </c>
      <c r="I20" s="81">
        <v>42</v>
      </c>
      <c r="J20" s="81">
        <v>35</v>
      </c>
      <c r="K20" s="81">
        <v>34</v>
      </c>
      <c r="L20" s="81">
        <v>45</v>
      </c>
      <c r="M20" s="81">
        <v>46</v>
      </c>
      <c r="N20" s="81">
        <v>31</v>
      </c>
      <c r="O20" s="81">
        <v>32</v>
      </c>
      <c r="P20" s="81">
        <v>32</v>
      </c>
      <c r="Q20" s="81">
        <v>36</v>
      </c>
      <c r="R20" s="81">
        <v>33</v>
      </c>
      <c r="S20" s="81">
        <v>32</v>
      </c>
      <c r="T20" s="81">
        <v>32</v>
      </c>
      <c r="U20" s="81">
        <v>32</v>
      </c>
      <c r="V20" s="81">
        <v>40</v>
      </c>
      <c r="W20" s="81">
        <v>37</v>
      </c>
      <c r="X20" s="81">
        <v>35</v>
      </c>
      <c r="Y20" s="110">
        <v>36</v>
      </c>
      <c r="Z20" s="81">
        <v>37</v>
      </c>
      <c r="AA20" s="81">
        <v>35</v>
      </c>
      <c r="AB20" s="81">
        <v>31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66" t="s" ph="1">
        <v>178</v>
      </c>
      <c r="D24" s="71">
        <v>4.0199999999999996</v>
      </c>
      <c r="E24" s="71">
        <v>95.71</v>
      </c>
      <c r="F24" s="71">
        <v>182</v>
      </c>
      <c r="G24" s="71">
        <v>973</v>
      </c>
      <c r="H24" s="71">
        <v>1110</v>
      </c>
      <c r="I24" s="71">
        <v>1450</v>
      </c>
      <c r="J24" s="71">
        <v>215</v>
      </c>
      <c r="K24" s="71">
        <v>1476</v>
      </c>
      <c r="L24" s="71">
        <v>3572</v>
      </c>
      <c r="M24" s="71">
        <v>1310</v>
      </c>
      <c r="N24" s="71">
        <v>5335</v>
      </c>
      <c r="O24" s="71">
        <v>3695</v>
      </c>
      <c r="P24" s="71">
        <v>1255</v>
      </c>
      <c r="Q24" s="90">
        <v>1937</v>
      </c>
      <c r="R24" s="71">
        <v>1319</v>
      </c>
      <c r="S24" s="71">
        <v>6633</v>
      </c>
      <c r="T24" s="71">
        <v>1764</v>
      </c>
      <c r="U24" s="71">
        <v>4053</v>
      </c>
      <c r="V24" s="71">
        <v>9636</v>
      </c>
      <c r="W24" s="71">
        <v>10758</v>
      </c>
      <c r="X24" s="71">
        <v>4603</v>
      </c>
      <c r="Y24" s="71">
        <v>705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2505.1626548639997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2006.0247116</v>
      </c>
      <c r="G25" s="91" ph="1">
        <f>G24*18.322*LOOKUP(G26,密度!$A$2:$A$50,密度!$B$2:$B$50)</f>
        <v>13837.554917200001</v>
      </c>
      <c r="H25" s="91" ph="1">
        <f>H24*18.322*LOOKUP(H26,密度!$A$2:$A$50,密度!$B$2:$B$50)</f>
        <v>15785.905403999999</v>
      </c>
      <c r="I25" s="91" ph="1">
        <f>I24*18.322*LOOKUP(I26,密度!$A$2:$A$50,密度!$Q$2:$Q$50)</f>
        <v>25077.293916999999</v>
      </c>
      <c r="J25" s="91" ph="1">
        <f>J24*18.322*LOOKUP(J26,密度!$A$2:$A$50,密度!$Q$2:$Q$50)</f>
        <v>3723.8329036</v>
      </c>
      <c r="K25" s="91" ph="1">
        <f>K24*18.322*LOOKUP(K26,密度!$A$2:$A$50,密度!$Q$2:$Q$50)</f>
        <v>25526.955738959998</v>
      </c>
      <c r="L25" s="91" ph="1">
        <f>L24*18.322*LOOKUP(L26,密度!$A$2:$A$50,密度!$Q$2:$Q$50)</f>
        <v>61737.348752719998</v>
      </c>
      <c r="M25" s="91" ph="1">
        <f>M24*18.322*LOOKUP(M26,密度!$A$2:$A$50,密度!$Q$2:$Q$50)</f>
        <v>22641.6368606</v>
      </c>
      <c r="N25" s="91" ph="1">
        <f>N24*18.322*LOOKUP(N26,密度!$A$2:$A$50,密度!$Q$2:$Q$50)</f>
        <v>92208.498207099998</v>
      </c>
      <c r="O25" s="91" ph="1">
        <f>O24*18.322*LOOKUP(O26,密度!$A$2:$A$50,密度!$C$2:$C$50)</f>
        <v>74747.338139</v>
      </c>
      <c r="P25" s="91" ph="1">
        <f>P24*11.702*LOOKUP(P26,密度!$A$2:$A$50,密度!$B$2:$B$50)</f>
        <v>11372.846143999999</v>
      </c>
      <c r="Q25" s="92" ph="1">
        <f>Q24*18.322*LOOKUP(Q26,密度!$A$2:$A$50,密度!$B$2:$B$50)</f>
        <v>27515.175264199999</v>
      </c>
      <c r="R25" s="91" ph="1">
        <f>R24*35.891*LOOKUP(R26,密度!$A$2:$A$50,密度!$C$2:$C$50)</f>
        <v>52315.687067899999</v>
      </c>
      <c r="S25" s="91" ph="1">
        <f>S24*35.891*LOOKUP(S26,密度!$A$2:$A$50,密度!$B$2:$B$50)</f>
        <v>184571.7968259</v>
      </c>
      <c r="T25" s="91" ph="1">
        <f>T24*35.891*LOOKUP(T26,密度!$A$2:$A$50,密度!$Q$2:$Q$50)</f>
        <v>59676.364807919992</v>
      </c>
      <c r="U25" s="91" ph="1">
        <f>U24*35.891</f>
        <v>145466.223</v>
      </c>
      <c r="V25" s="91" ph="1">
        <f>V24*47.051*LOOKUP(V26,密度!$A$2:$A$50,密度!$B$2:$B$50)</f>
        <v>351916.22302320006</v>
      </c>
      <c r="W25" s="91" ph="1">
        <f>W24*47.051*LOOKUP(W26,密度!$A$2:$A$50,密度!$B$2:$B$50)</f>
        <v>392892.76953960001</v>
      </c>
      <c r="X25" s="91" ph="1">
        <f>X24*47.051*LOOKUP(X26,密度!$A$2:$A$50,密度!$I$2:$I$50)</f>
        <v>224502.4255598</v>
      </c>
      <c r="Y25" s="91" ph="1">
        <f>Y24*47.051*LOOKUP(Y26,密度!$A$2:$A$50,密度!$L$2:$L$50)</f>
        <v>30848.988150000005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32</v>
      </c>
      <c r="G26" s="74">
        <v>29</v>
      </c>
      <c r="H26" s="74">
        <v>29</v>
      </c>
      <c r="I26" s="74">
        <v>29</v>
      </c>
      <c r="J26" s="74">
        <v>27</v>
      </c>
      <c r="K26" s="74">
        <v>29</v>
      </c>
      <c r="L26" s="74">
        <v>30</v>
      </c>
      <c r="M26" s="74">
        <v>30</v>
      </c>
      <c r="N26" s="74">
        <v>30</v>
      </c>
      <c r="O26" s="74">
        <v>31</v>
      </c>
      <c r="P26" s="74">
        <v>31</v>
      </c>
      <c r="Q26" s="93">
        <v>30</v>
      </c>
      <c r="R26" s="74">
        <v>30</v>
      </c>
      <c r="S26" s="74">
        <v>30</v>
      </c>
      <c r="T26" s="74">
        <v>31</v>
      </c>
      <c r="U26" s="74">
        <v>30</v>
      </c>
      <c r="V26" s="74">
        <v>29</v>
      </c>
      <c r="W26" s="74">
        <v>29</v>
      </c>
      <c r="X26" s="74">
        <v>30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66" t="s" ph="1">
        <v>181</v>
      </c>
      <c r="D27" s="71">
        <v>3.82</v>
      </c>
      <c r="E27" s="71">
        <v>95.71</v>
      </c>
      <c r="F27" s="71">
        <v>178</v>
      </c>
      <c r="G27" s="71">
        <v>966</v>
      </c>
      <c r="H27" s="71">
        <v>1100</v>
      </c>
      <c r="I27" s="71">
        <v>541</v>
      </c>
      <c r="J27" s="71">
        <v>200</v>
      </c>
      <c r="K27" s="71">
        <v>1474</v>
      </c>
      <c r="L27" s="71">
        <v>3569</v>
      </c>
      <c r="M27" s="71">
        <v>606</v>
      </c>
      <c r="N27" s="71">
        <v>5335</v>
      </c>
      <c r="O27" s="71">
        <v>3691</v>
      </c>
      <c r="P27" s="71">
        <v>1253</v>
      </c>
      <c r="Q27" s="90">
        <v>774</v>
      </c>
      <c r="R27" s="71">
        <v>1314</v>
      </c>
      <c r="S27" s="71">
        <v>6499</v>
      </c>
      <c r="T27" s="71">
        <v>1762</v>
      </c>
      <c r="U27" s="71">
        <v>3941</v>
      </c>
      <c r="V27" s="71">
        <v>9638</v>
      </c>
      <c r="W27" s="71">
        <v>10759</v>
      </c>
      <c r="X27" s="71">
        <v>4567</v>
      </c>
      <c r="Y27" s="71">
        <v>1172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66" t="s" ph="1">
        <v>179</v>
      </c>
      <c r="D28" s="91" ph="1">
        <f>D27*268.68*LOOKUP(D29,密度!$A$2:$A$50,密度!$Q$2:$Q$50)+IF(D27&lt;=0,0,1566*LOOKUP(D29,密度!$A$2:$A$50,密度!$Q$2:$Q$50))</f>
        <v>2454.2886342239999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1957.85366264</v>
      </c>
      <c r="G28" s="91" ph="1">
        <f>G27*18.322*LOOKUP(G29,密度!$A$2:$A$50,密度!$B$2:$B$50)</f>
        <v>13722.075015599999</v>
      </c>
      <c r="H28" s="91" ph="1">
        <f>H27*18.322*LOOKUP(H29,密度!$A$2:$A$50,密度!$B$2:$B$50)</f>
        <v>15607.412480000001</v>
      </c>
      <c r="I28" s="91" ph="1">
        <f>I27*18.322*LOOKUP(I29,密度!$A$2:$A$50,密度!$Q$2:$Q$50)</f>
        <v>9343.0433611599983</v>
      </c>
      <c r="J28" s="91" ph="1">
        <f>J27*18.322*LOOKUP(J29,密度!$A$2:$A$50,密度!$Q$2:$Q$50)</f>
        <v>3432.8832079999997</v>
      </c>
      <c r="K28" s="91" ph="1">
        <f>K27*18.322*LOOKUP(K29,密度!$A$2:$A$50,密度!$Q$2:$Q$50)</f>
        <v>25419.988604999999</v>
      </c>
      <c r="L28" s="91" ph="1">
        <f>L27*18.322*LOOKUP(L29,密度!$A$2:$A$50,密度!$Q$2:$Q$50)</f>
        <v>61506.325738619998</v>
      </c>
      <c r="M28" s="91" ph="1">
        <f>M27*18.322*LOOKUP(M29,密度!$A$2:$A$50,密度!$Q$2:$Q$50)</f>
        <v>10450.822995</v>
      </c>
      <c r="N28" s="91" ph="1">
        <f>N27*18.322*LOOKUP(N29,密度!$A$2:$A$50,密度!$Q$2:$Q$50)</f>
        <v>92068.718752999994</v>
      </c>
      <c r="O28" s="91" ph="1">
        <f>O27*18.322*LOOKUP(O29,密度!$A$2:$A$50,密度!$C$2:$C$50)</f>
        <v>74524.405203999995</v>
      </c>
      <c r="P28" s="91" ph="1">
        <f>P27*11.702*LOOKUP(P29,密度!$A$2:$A$50,密度!$B$2:$B$50)</f>
        <v>11303.402965400001</v>
      </c>
      <c r="Q28" s="92" ph="1">
        <f>Q27*18.322*LOOKUP(Q29,密度!$A$2:$A$50,密度!$B$2:$B$50)</f>
        <v>10932.3086652</v>
      </c>
      <c r="R28" s="91" ph="1">
        <f>R27*35.891*LOOKUP(R29,密度!$A$2:$A$50,密度!$C$2:$C$50)</f>
        <v>51919.296096599996</v>
      </c>
      <c r="S28" s="91" ph="1">
        <f>S27*35.891*LOOKUP(S29,密度!$A$2:$A$50,密度!$B$2:$B$50)</f>
        <v>180423.21356149999</v>
      </c>
      <c r="T28" s="91" ph="1">
        <f>T27*35.891*LOOKUP(T29,密度!$A$2:$A$50,密度!$Q$2:$Q$50)</f>
        <v>59524.595407499997</v>
      </c>
      <c r="U28" s="91" ph="1">
        <f>U27*35.891</f>
        <v>141446.43099999998</v>
      </c>
      <c r="V28" s="91" ph="1">
        <f>V27*47.051*LOOKUP(V29,密度!$A$2:$A$50,密度!$B$2:$B$50)</f>
        <v>350764.87564300001</v>
      </c>
      <c r="W28" s="91" ph="1">
        <f>W27*47.051*LOOKUP(W29,密度!$A$2:$A$50,密度!$B$2:$B$50)</f>
        <v>391157.51454430004</v>
      </c>
      <c r="X28" s="91" ph="1">
        <f>X27*47.051*LOOKUP(X29,密度!$A$2:$A$50,密度!$I$2:$I$50)</f>
        <v>222512.37387267</v>
      </c>
      <c r="Y28" s="91" ph="1">
        <f>Y27*47.051*LOOKUP(Y29,密度!$A$2:$A$50,密度!$L$2:$L$50)</f>
        <v>51173.420416000008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66" t="s" ph="1">
        <v>180</v>
      </c>
      <c r="D29" s="74">
        <v>25</v>
      </c>
      <c r="E29" s="74">
        <v>25</v>
      </c>
      <c r="F29" s="74">
        <v>35</v>
      </c>
      <c r="G29" s="74">
        <v>30</v>
      </c>
      <c r="H29" s="74">
        <v>31</v>
      </c>
      <c r="I29" s="74">
        <v>31</v>
      </c>
      <c r="J29" s="74">
        <v>40</v>
      </c>
      <c r="K29" s="74">
        <v>33</v>
      </c>
      <c r="L29" s="74">
        <v>34</v>
      </c>
      <c r="M29" s="74">
        <v>33</v>
      </c>
      <c r="N29" s="74">
        <v>32</v>
      </c>
      <c r="O29" s="74">
        <v>33</v>
      </c>
      <c r="P29" s="74">
        <v>35</v>
      </c>
      <c r="Q29" s="93">
        <v>35</v>
      </c>
      <c r="R29" s="74">
        <v>34</v>
      </c>
      <c r="S29" s="74">
        <v>32</v>
      </c>
      <c r="T29" s="74">
        <v>33</v>
      </c>
      <c r="U29" s="74">
        <v>32</v>
      </c>
      <c r="V29" s="74">
        <v>32</v>
      </c>
      <c r="W29" s="74">
        <v>33</v>
      </c>
      <c r="X29" s="74">
        <v>31</v>
      </c>
      <c r="Y29" s="74">
        <v>34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97402.094205519999</v>
      </c>
      <c r="E33" s="205" ph="1">
        <f>M10+I10</f>
        <v>197283.33142820001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31" ph="1">
        <v>0</v>
      </c>
      <c r="H33" s="205" ph="1">
        <f>N19</f>
        <v>45179.031332459999</v>
      </c>
      <c r="I33" s="209" ph="1">
        <v>0</v>
      </c>
      <c r="J33" s="213" ph="1">
        <f>F10+O28</f>
        <v>232017.85845100001</v>
      </c>
      <c r="K33" s="205" ph="1">
        <f>O10+K10+E28+R28</f>
        <v>160922.55903032003</v>
      </c>
      <c r="L33" s="215" ph="1">
        <f>BE27</f>
        <v>7100</v>
      </c>
      <c r="M33" s="213" ph="1">
        <f>G10+H10+W28+S28+V28+E10</f>
        <v>1620868.2070247999</v>
      </c>
      <c r="N33" s="205" ph="1">
        <f>L10+P10++G28+H28</f>
        <v>146548.59570460001</v>
      </c>
      <c r="O33" s="209" ph="1">
        <f>BE17</f>
        <v>2270</v>
      </c>
      <c r="P33" s="213" ph="1">
        <f>L19</f>
        <v>6413.9272800000008</v>
      </c>
      <c r="Q33" s="205" ph="1">
        <f>J10+N10</f>
        <v>93559.174857639999</v>
      </c>
      <c r="R33" s="209" ph="1">
        <f>BE23</f>
        <v>890</v>
      </c>
      <c r="S33" s="213" ph="1">
        <f>E10+X28</f>
        <v>512044.19099266996</v>
      </c>
      <c r="T33" s="205" ph="1">
        <f>X19</f>
        <v>5997.8810143679993</v>
      </c>
      <c r="U33" s="194" ph="1">
        <f>BE21</f>
        <v>730</v>
      </c>
      <c r="V33" s="207" ph="1">
        <f ca="1">P19+Q19+S19+M28+N28+J28</f>
        <v>226598.49237610001</v>
      </c>
      <c r="W33" s="207" ph="1">
        <f>D28+F28+V19+T28</f>
        <v>88762.426484283991</v>
      </c>
      <c r="X33" s="209" ph="1">
        <f>BE29+BE31</f>
        <v>10200</v>
      </c>
      <c r="Y33" s="211" ph="1">
        <f>+Q10+R10+S10+T10+U10+V10+W10+X10+Y10</f>
        <v>158159.93913720001</v>
      </c>
      <c r="Z33" s="192" ph="1">
        <f>D10+T19+U19+Y28+Z10</f>
        <v>376597.62070318405</v>
      </c>
      <c r="AA33" s="194" ph="1">
        <f>BE19</f>
        <v>1440</v>
      </c>
      <c r="AB33" s="196" ph="1">
        <f>I19</f>
        <v>1070.85906252</v>
      </c>
      <c r="AC33" s="198" ph="1">
        <f>AD10</f>
        <v>86326.456406400015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8" t="s" ph="1">
        <v>186</v>
      </c>
      <c r="AA36" s="168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88" priority="97">
      <formula>ABS(D$7-D$10)&gt;=1000</formula>
    </cfRule>
  </conditionalFormatting>
  <conditionalFormatting sqref="E4 E6:E11">
    <cfRule type="expression" dxfId="887" priority="96">
      <formula>ABS(E$7-E$10)&gt;=1000</formula>
    </cfRule>
  </conditionalFormatting>
  <conditionalFormatting sqref="F4:F11">
    <cfRule type="expression" dxfId="886" priority="95">
      <formula>ABS(F$7-F$10)&gt;=1000</formula>
    </cfRule>
  </conditionalFormatting>
  <conditionalFormatting sqref="G4:G11">
    <cfRule type="expression" dxfId="885" priority="94">
      <formula>ABS(G$7-G$10)&gt;=1000</formula>
    </cfRule>
  </conditionalFormatting>
  <conditionalFormatting sqref="H4:H11">
    <cfRule type="expression" dxfId="884" priority="93">
      <formula>ABS(H$7-H$10)&gt;=1000</formula>
    </cfRule>
  </conditionalFormatting>
  <conditionalFormatting sqref="I4:I11">
    <cfRule type="expression" dxfId="883" priority="92">
      <formula>ABS(I$7-I$10)&gt;=1000</formula>
    </cfRule>
  </conditionalFormatting>
  <conditionalFormatting sqref="J4:J11">
    <cfRule type="expression" dxfId="882" priority="91">
      <formula>ABS(J$7-J$10)&gt;=1000</formula>
    </cfRule>
  </conditionalFormatting>
  <conditionalFormatting sqref="K4:K11">
    <cfRule type="expression" dxfId="881" priority="90">
      <formula>ABS(K$7-K$10)&gt;=1000</formula>
    </cfRule>
  </conditionalFormatting>
  <conditionalFormatting sqref="L4:L11">
    <cfRule type="expression" dxfId="880" priority="89">
      <formula>ABS(L$7-L$10)&gt;=1000</formula>
    </cfRule>
  </conditionalFormatting>
  <conditionalFormatting sqref="M4 M6:M11">
    <cfRule type="expression" dxfId="879" priority="88">
      <formula>ABS(M$7-M$10)&gt;=1000</formula>
    </cfRule>
  </conditionalFormatting>
  <conditionalFormatting sqref="N4 N6:N11">
    <cfRule type="expression" dxfId="878" priority="87">
      <formula>ABS(N$7-N$10)&gt;=1000</formula>
    </cfRule>
  </conditionalFormatting>
  <conditionalFormatting sqref="O4 O6:O11">
    <cfRule type="expression" dxfId="877" priority="86">
      <formula>ABS(O$7-O$10)&gt;=1000</formula>
    </cfRule>
  </conditionalFormatting>
  <conditionalFormatting sqref="P4 P6:P11">
    <cfRule type="expression" dxfId="876" priority="85">
      <formula>ABS(P$7-P$10)&gt;=1000</formula>
    </cfRule>
  </conditionalFormatting>
  <conditionalFormatting sqref="Q4:Q11">
    <cfRule type="expression" dxfId="875" priority="84">
      <formula>ABS(Q$7-Q$10)&gt;=1000</formula>
    </cfRule>
  </conditionalFormatting>
  <conditionalFormatting sqref="R4:R11">
    <cfRule type="expression" dxfId="874" priority="83">
      <formula>ABS(R$7-R$10)&gt;=1000</formula>
    </cfRule>
  </conditionalFormatting>
  <conditionalFormatting sqref="S4:S11">
    <cfRule type="expression" dxfId="873" priority="82">
      <formula>ABS(S$7-S$10)&gt;=1000</formula>
    </cfRule>
  </conditionalFormatting>
  <conditionalFormatting sqref="T4:T9 T11">
    <cfRule type="expression" dxfId="872" priority="81">
      <formula>ABS(T$7-T$10)&gt;=1000</formula>
    </cfRule>
  </conditionalFormatting>
  <conditionalFormatting sqref="U4:U9 U11">
    <cfRule type="expression" dxfId="871" priority="80">
      <formula>ABS(U$7-U$10)&gt;=1000</formula>
    </cfRule>
  </conditionalFormatting>
  <conditionalFormatting sqref="V4:V9 V11">
    <cfRule type="expression" dxfId="870" priority="79">
      <formula>ABS(V$7-V$10)&gt;=1000</formula>
    </cfRule>
  </conditionalFormatting>
  <conditionalFormatting sqref="W4:W9 W11">
    <cfRule type="expression" dxfId="869" priority="78">
      <formula>ABS(W$7-W$10)&gt;=1000</formula>
    </cfRule>
  </conditionalFormatting>
  <conditionalFormatting sqref="X4:X9 X11">
    <cfRule type="expression" dxfId="868" priority="77">
      <formula>ABS(X$7-X$10)&gt;=1000</formula>
    </cfRule>
  </conditionalFormatting>
  <conditionalFormatting sqref="Y4:Y9 Y11">
    <cfRule type="expression" dxfId="867" priority="76">
      <formula>ABS(Y$7-Y$10)&gt;=1000</formula>
    </cfRule>
  </conditionalFormatting>
  <conditionalFormatting sqref="Z4:Z11">
    <cfRule type="expression" dxfId="866" priority="75">
      <formula>ABS(Z$7-Z$10)&gt;=1000</formula>
    </cfRule>
  </conditionalFormatting>
  <conditionalFormatting sqref="AA4:AA11">
    <cfRule type="expression" dxfId="865" priority="74">
      <formula>ABS(AA$7-AA$10)&gt;=1000</formula>
    </cfRule>
  </conditionalFormatting>
  <conditionalFormatting sqref="AB4:AB11">
    <cfRule type="expression" dxfId="864" priority="73">
      <formula>ABS(AB$7-AB$10)&gt;=1000</formula>
    </cfRule>
  </conditionalFormatting>
  <conditionalFormatting sqref="AC4 AC6:AC11">
    <cfRule type="expression" dxfId="863" priority="72">
      <formula>ABS(AC$7-AC$10)&gt;=1000</formula>
    </cfRule>
  </conditionalFormatting>
  <conditionalFormatting sqref="AD4:AD11">
    <cfRule type="expression" dxfId="862" priority="71">
      <formula>ABS(AD$7-AD$10)&gt;=1000</formula>
    </cfRule>
  </conditionalFormatting>
  <conditionalFormatting sqref="AE4:AE11">
    <cfRule type="expression" dxfId="861" priority="70">
      <formula>ABS(AE$7-AE$10)&gt;=1000</formula>
    </cfRule>
  </conditionalFormatting>
  <conditionalFormatting sqref="D13:D20">
    <cfRule type="expression" dxfId="860" priority="69">
      <formula>ABS(D$16-D$19)&gt;=1000</formula>
    </cfRule>
  </conditionalFormatting>
  <conditionalFormatting sqref="E13:E20">
    <cfRule type="expression" dxfId="859" priority="68">
      <formula>ABS(E$16-E$19)&gt;=1000</formula>
    </cfRule>
  </conditionalFormatting>
  <conditionalFormatting sqref="F13 F15:F20">
    <cfRule type="expression" dxfId="858" priority="67">
      <formula>ABS(F$16-F$19)&gt;=1000</formula>
    </cfRule>
  </conditionalFormatting>
  <conditionalFormatting sqref="G13:G20">
    <cfRule type="expression" dxfId="857" priority="66">
      <formula>ABS(G$16-G$19)&gt;=1000</formula>
    </cfRule>
  </conditionalFormatting>
  <conditionalFormatting sqref="H13:H20">
    <cfRule type="expression" dxfId="856" priority="65">
      <formula>ABS(H$16-H$19)&gt;=1000</formula>
    </cfRule>
  </conditionalFormatting>
  <conditionalFormatting sqref="I13:I20">
    <cfRule type="expression" dxfId="855" priority="64">
      <formula>ABS(I$16-I$19)&gt;=1000</formula>
    </cfRule>
  </conditionalFormatting>
  <conditionalFormatting sqref="J13:J20">
    <cfRule type="expression" dxfId="854" priority="63">
      <formula>ABS(J$16-J$19)&gt;=1000</formula>
    </cfRule>
  </conditionalFormatting>
  <conditionalFormatting sqref="L13:L20">
    <cfRule type="expression" dxfId="853" priority="62">
      <formula>ABS(L$16-L$19)&gt;=1000</formula>
    </cfRule>
  </conditionalFormatting>
  <conditionalFormatting sqref="M13 M15 M17:M18 M20">
    <cfRule type="expression" dxfId="852" priority="61">
      <formula>ABS(M$16-M$19)&gt;=1000</formula>
    </cfRule>
  </conditionalFormatting>
  <conditionalFormatting sqref="N13:N20">
    <cfRule type="expression" dxfId="851" priority="60">
      <formula>ABS(N$16-N$19)&gt;=1000</formula>
    </cfRule>
  </conditionalFormatting>
  <conditionalFormatting sqref="O13:O20">
    <cfRule type="expression" dxfId="850" priority="59">
      <formula>ABS(O$16-O$19)&gt;=1000</formula>
    </cfRule>
  </conditionalFormatting>
  <conditionalFormatting sqref="P13:P20">
    <cfRule type="expression" dxfId="849" priority="58">
      <formula>ABS(P$16-P$19)&gt;=1000</formula>
    </cfRule>
  </conditionalFormatting>
  <conditionalFormatting sqref="Q13 Q15:Q20">
    <cfRule type="expression" dxfId="848" priority="57">
      <formula>ABS(Q$16-Q$19)&gt;=1000</formula>
    </cfRule>
  </conditionalFormatting>
  <conditionalFormatting sqref="R13:R20">
    <cfRule type="expression" dxfId="847" priority="56">
      <formula>ABS(R$16-R$19)&gt;=1000</formula>
    </cfRule>
  </conditionalFormatting>
  <conditionalFormatting sqref="S13:S20">
    <cfRule type="expression" dxfId="846" priority="55">
      <formula>ABS(S$16-S$19)&gt;=1000</formula>
    </cfRule>
  </conditionalFormatting>
  <conditionalFormatting sqref="T13:T20">
    <cfRule type="expression" dxfId="845" priority="54">
      <formula>ABS(T$16-T$19)&gt;=1000</formula>
    </cfRule>
  </conditionalFormatting>
  <conditionalFormatting sqref="U13:U20">
    <cfRule type="expression" dxfId="844" priority="53">
      <formula>ABS(U$16-U$19)&gt;=1000</formula>
    </cfRule>
  </conditionalFormatting>
  <conditionalFormatting sqref="V13:V20">
    <cfRule type="expression" dxfId="843" priority="52">
      <formula>ABS(V$16-V$19)&gt;=1000</formula>
    </cfRule>
  </conditionalFormatting>
  <conditionalFormatting sqref="W13 W20 W15:W18">
    <cfRule type="expression" dxfId="842" priority="51">
      <formula>ABS(W$16-W$19)&gt;=1000</formula>
    </cfRule>
  </conditionalFormatting>
  <conditionalFormatting sqref="X13 X15:X20 Y19">
    <cfRule type="expression" dxfId="841" priority="50">
      <formula>ABS(X$16-X$19)&gt;=1000</formula>
    </cfRule>
  </conditionalFormatting>
  <conditionalFormatting sqref="Y13 Y15:Y18 Y20">
    <cfRule type="expression" dxfId="840" priority="49">
      <formula>ABS(Y$16-Y$19)&gt;=1000</formula>
    </cfRule>
  </conditionalFormatting>
  <conditionalFormatting sqref="Z13:Z20">
    <cfRule type="expression" dxfId="839" priority="48">
      <formula>ABS(Z$16-Z$19)&gt;=1000</formula>
    </cfRule>
  </conditionalFormatting>
  <conditionalFormatting sqref="AA13:AA20">
    <cfRule type="expression" dxfId="838" priority="47">
      <formula>ABS(AA$16-AA$19)&gt;=1000</formula>
    </cfRule>
  </conditionalFormatting>
  <conditionalFormatting sqref="AB13 AB15:AB20">
    <cfRule type="expression" dxfId="837" priority="46">
      <formula>ABS(AB$16-AB$19)&gt;=1000</formula>
    </cfRule>
  </conditionalFormatting>
  <conditionalFormatting sqref="AC13 AC15:AC20">
    <cfRule type="expression" dxfId="836" priority="45">
      <formula>ABS(AC$16-AC$19)&gt;=1000</formula>
    </cfRule>
  </conditionalFormatting>
  <conditionalFormatting sqref="AD13:AD20">
    <cfRule type="expression" dxfId="835" priority="44">
      <formula>ABS(AD$16-AD$19)&gt;=1000</formula>
    </cfRule>
  </conditionalFormatting>
  <conditionalFormatting sqref="AE13:AE20">
    <cfRule type="expression" dxfId="834" priority="43">
      <formula>ABS(AE$16-AE$19)&gt;=1000</formula>
    </cfRule>
  </conditionalFormatting>
  <conditionalFormatting sqref="D22:D29">
    <cfRule type="expression" dxfId="833" priority="42">
      <formula>ABS(D$25-D$28)&gt;=1000</formula>
    </cfRule>
  </conditionalFormatting>
  <conditionalFormatting sqref="E22:E29">
    <cfRule type="expression" dxfId="832" priority="41">
      <formula>ABS(E$25-E$28)&gt;=1000</formula>
    </cfRule>
  </conditionalFormatting>
  <conditionalFormatting sqref="F22:F29">
    <cfRule type="expression" dxfId="831" priority="40">
      <formula>ABS(F$25-F$28)&gt;=1000</formula>
    </cfRule>
  </conditionalFormatting>
  <conditionalFormatting sqref="G22:G29">
    <cfRule type="expression" dxfId="830" priority="39">
      <formula>ABS(G$25-G$28)&gt;=1000</formula>
    </cfRule>
  </conditionalFormatting>
  <conditionalFormatting sqref="H22:H29">
    <cfRule type="expression" dxfId="829" priority="38">
      <formula>ABS(H$25-H$28)&gt;=1000</formula>
    </cfRule>
  </conditionalFormatting>
  <conditionalFormatting sqref="I22 I24:I29">
    <cfRule type="expression" dxfId="828" priority="37">
      <formula>ABS(I$25-I$28)&gt;=1000</formula>
    </cfRule>
  </conditionalFormatting>
  <conditionalFormatting sqref="J22:J29 K22">
    <cfRule type="expression" dxfId="827" priority="36">
      <formula>ABS(J$25-J$28)&gt;=1000</formula>
    </cfRule>
  </conditionalFormatting>
  <conditionalFormatting sqref="K23:K29 L25 L28">
    <cfRule type="expression" dxfId="826" priority="35">
      <formula>ABS(K$25-K$28)&gt;=1000</formula>
    </cfRule>
  </conditionalFormatting>
  <conditionalFormatting sqref="L22 L26:L27 L29 L24">
    <cfRule type="expression" dxfId="825" priority="34">
      <formula>ABS(L$25-L$28)&gt;=1000</formula>
    </cfRule>
  </conditionalFormatting>
  <conditionalFormatting sqref="M22:M29">
    <cfRule type="expression" dxfId="824" priority="33">
      <formula>ABS(M$25-M$28)&gt;=1000</formula>
    </cfRule>
  </conditionalFormatting>
  <conditionalFormatting sqref="N22:N29">
    <cfRule type="expression" dxfId="823" priority="32">
      <formula>ABS(N$25-N$28)&gt;=1000</formula>
    </cfRule>
  </conditionalFormatting>
  <conditionalFormatting sqref="O22:O29">
    <cfRule type="expression" dxfId="822" priority="31">
      <formula>ABS(O$25-O$28)&gt;=1000</formula>
    </cfRule>
  </conditionalFormatting>
  <conditionalFormatting sqref="P22:P29">
    <cfRule type="expression" dxfId="821" priority="30">
      <formula>ABS(P$25-P$28)&gt;=1000</formula>
    </cfRule>
  </conditionalFormatting>
  <conditionalFormatting sqref="Q22:Q29">
    <cfRule type="expression" dxfId="820" priority="29">
      <formula>ABS(Q$25-Q$28)&gt;=1000</formula>
    </cfRule>
  </conditionalFormatting>
  <conditionalFormatting sqref="R22:R29">
    <cfRule type="expression" dxfId="819" priority="28">
      <formula>ABS(R$25-R$28)&gt;=1000</formula>
    </cfRule>
  </conditionalFormatting>
  <conditionalFormatting sqref="S22:S29">
    <cfRule type="expression" dxfId="818" priority="27">
      <formula>ABS(S$25-S$28)&gt;=1000</formula>
    </cfRule>
  </conditionalFormatting>
  <conditionalFormatting sqref="T22:T29">
    <cfRule type="expression" dxfId="817" priority="26">
      <formula>ABS(T$25-T$28)&gt;=1000</formula>
    </cfRule>
  </conditionalFormatting>
  <conditionalFormatting sqref="U22:U29">
    <cfRule type="expression" dxfId="816" priority="25">
      <formula>ABS(U$25-U$28)&gt;=1000</formula>
    </cfRule>
  </conditionalFormatting>
  <conditionalFormatting sqref="V22:V29">
    <cfRule type="expression" dxfId="815" priority="24">
      <formula>ABS(V$25-V$28)&gt;=1000</formula>
    </cfRule>
  </conditionalFormatting>
  <conditionalFormatting sqref="W22:W29">
    <cfRule type="expression" dxfId="814" priority="23">
      <formula>ABS(W$25-W$28)&gt;=1000</formula>
    </cfRule>
  </conditionalFormatting>
  <conditionalFormatting sqref="X22:X29">
    <cfRule type="expression" dxfId="813" priority="22">
      <formula>ABS(X$25-X$28)&gt;=1000</formula>
    </cfRule>
  </conditionalFormatting>
  <conditionalFormatting sqref="Y22:Y29">
    <cfRule type="expression" dxfId="812" priority="21">
      <formula>ABS(Y$25-Y$28)&gt;=1000</formula>
    </cfRule>
  </conditionalFormatting>
  <conditionalFormatting sqref="I23">
    <cfRule type="expression" dxfId="811" priority="20">
      <formula>ABS(I$25-I$28)&gt;=1000</formula>
    </cfRule>
  </conditionalFormatting>
  <conditionalFormatting sqref="F14">
    <cfRule type="expression" dxfId="810" priority="19">
      <formula>ABS(F$16-F$19)&gt;=1000</formula>
    </cfRule>
  </conditionalFormatting>
  <conditionalFormatting sqref="Q14">
    <cfRule type="expression" dxfId="809" priority="18">
      <formula>ABS(Q$16-Q$19)&gt;=1000</formula>
    </cfRule>
  </conditionalFormatting>
  <conditionalFormatting sqref="W14">
    <cfRule type="expression" dxfId="808" priority="17">
      <formula>ABS(W$16-W$19)&gt;=1000</formula>
    </cfRule>
  </conditionalFormatting>
  <conditionalFormatting sqref="Y14">
    <cfRule type="expression" dxfId="807" priority="16">
      <formula>ABS(Y$16-Y$19)&gt;=1000</formula>
    </cfRule>
  </conditionalFormatting>
  <conditionalFormatting sqref="X14">
    <cfRule type="expression" dxfId="806" priority="15">
      <formula>ABS(X$16-X$19)&gt;=1000</formula>
    </cfRule>
  </conditionalFormatting>
  <conditionalFormatting sqref="T10:Y10">
    <cfRule type="expression" dxfId="805" priority="14">
      <formula>ABS(T$7-T$10)&gt;=1000</formula>
    </cfRule>
  </conditionalFormatting>
  <conditionalFormatting sqref="W19">
    <cfRule type="expression" dxfId="804" priority="13">
      <formula>ABS(W$16-W$19)&gt;=1000</formula>
    </cfRule>
  </conditionalFormatting>
  <conditionalFormatting sqref="AC5">
    <cfRule type="expression" dxfId="803" priority="12">
      <formula>ABS(AC$7-AC$10)&gt;=1000</formula>
    </cfRule>
  </conditionalFormatting>
  <conditionalFormatting sqref="M14">
    <cfRule type="expression" dxfId="802" priority="11">
      <formula>ABS(M$16-M$19)&gt;=1000</formula>
    </cfRule>
  </conditionalFormatting>
  <conditionalFormatting sqref="M16">
    <cfRule type="expression" dxfId="801" priority="10">
      <formula>ABS(M$16-M$19)&gt;=1000</formula>
    </cfRule>
  </conditionalFormatting>
  <conditionalFormatting sqref="M19">
    <cfRule type="expression" dxfId="800" priority="9">
      <formula>ABS(M$16-M$19)&gt;=1000</formula>
    </cfRule>
  </conditionalFormatting>
  <conditionalFormatting sqref="K13:K20">
    <cfRule type="expression" dxfId="799" priority="8">
      <formula>ABS(K$16-K$19)&gt;=1000</formula>
    </cfRule>
  </conditionalFormatting>
  <conditionalFormatting sqref="E5">
    <cfRule type="expression" dxfId="798" priority="7">
      <formula>ABS(E$7-E$10)&gt;=1000</formula>
    </cfRule>
  </conditionalFormatting>
  <conditionalFormatting sqref="AB14:AC14">
    <cfRule type="expression" dxfId="797" priority="6">
      <formula>ABS(AB$16-AB$19)&gt;=1000</formula>
    </cfRule>
  </conditionalFormatting>
  <conditionalFormatting sqref="M5">
    <cfRule type="expression" dxfId="796" priority="5">
      <formula>ABS(M$7-M$10)&gt;=1000</formula>
    </cfRule>
  </conditionalFormatting>
  <conditionalFormatting sqref="N5">
    <cfRule type="expression" dxfId="795" priority="4">
      <formula>ABS(N$7-N$10)&gt;=1000</formula>
    </cfRule>
  </conditionalFormatting>
  <conditionalFormatting sqref="O5">
    <cfRule type="expression" dxfId="794" priority="3">
      <formula>ABS(O$7-O$10)&gt;=1000</formula>
    </cfRule>
  </conditionalFormatting>
  <conditionalFormatting sqref="P5">
    <cfRule type="expression" dxfId="793" priority="2">
      <formula>ABS(P$7-P$10)&gt;=1000</formula>
    </cfRule>
  </conditionalFormatting>
  <conditionalFormatting sqref="L23">
    <cfRule type="expression" dxfId="792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33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4">
    <pageSetUpPr fitToPage="1"/>
  </sheetPr>
  <dimension ref="A1:CU223"/>
  <sheetViews>
    <sheetView view="pageBreakPreview" zoomScale="80" zoomScaleNormal="100" zoomScaleSheetLayoutView="80" workbookViewId="0">
      <selection activeCell="X26" sqref="X2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45831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1" t="s" ph="1">
        <v>178</v>
      </c>
      <c r="D6" s="71">
        <v>5131</v>
      </c>
      <c r="E6" s="71">
        <v>7293</v>
      </c>
      <c r="F6" s="71">
        <v>2092</v>
      </c>
      <c r="G6" s="71">
        <v>2492</v>
      </c>
      <c r="H6" s="71">
        <v>6597</v>
      </c>
      <c r="I6" s="71">
        <v>63.32</v>
      </c>
      <c r="J6" s="71">
        <v>7.72</v>
      </c>
      <c r="K6" s="71">
        <v>66.010000000000005</v>
      </c>
      <c r="L6" s="71">
        <v>39.020000000000003</v>
      </c>
      <c r="M6" s="71">
        <v>5317</v>
      </c>
      <c r="N6" s="71">
        <v>3474</v>
      </c>
      <c r="O6" s="71">
        <v>5356</v>
      </c>
      <c r="P6" s="71">
        <v>2173</v>
      </c>
      <c r="Q6" s="71">
        <v>7211</v>
      </c>
      <c r="R6" s="71">
        <v>7109</v>
      </c>
      <c r="S6" s="71">
        <v>2518</v>
      </c>
      <c r="T6" s="71">
        <v>1895</v>
      </c>
      <c r="U6" s="71">
        <v>0</v>
      </c>
      <c r="V6" s="71">
        <v>0</v>
      </c>
      <c r="W6" s="71">
        <v>0</v>
      </c>
      <c r="X6" s="71">
        <v>0</v>
      </c>
      <c r="Y6" s="71">
        <v>4351</v>
      </c>
      <c r="Z6" s="71">
        <v>4295</v>
      </c>
      <c r="AA6" s="71">
        <v>556</v>
      </c>
      <c r="AB6" s="71">
        <v>3765</v>
      </c>
      <c r="AC6" s="71">
        <v>5337</v>
      </c>
      <c r="AD6" s="71">
        <v>4408</v>
      </c>
      <c r="AE6" s="71">
        <v>2262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160613.22699008998</v>
      </c>
      <c r="E7" s="73" ph="1">
        <f>E6*51.53*LOOKUP(E8,密度!$A$2:$A$50,密度!$B$2:$B$50)</f>
        <v>291702.39469800005</v>
      </c>
      <c r="F7" s="73" ph="1">
        <f>F6*33.183*LOOKUP(F8,密度!$A$2:$A$50,密度!$C$2:$C$50)</f>
        <v>76874.418986399993</v>
      </c>
      <c r="G7" s="73" ph="1">
        <f xml:space="preserve"> (G6+2)*51.53*LOOKUP(G8,密度!$A$2:$A$50,密度!$B$2:$B$50)</f>
        <v>99856.792140000005</v>
      </c>
      <c r="H7" s="73" ph="1">
        <f>(H6)*51.53*LOOKUP(H8,密度!$A$2:$A$50,密度!$B$2:$B$50)</f>
        <v>265019.88243599999</v>
      </c>
      <c r="I7" s="73" ph="1">
        <f>I6*290.8*1.0267</f>
        <v>18905.095275200001</v>
      </c>
      <c r="J7" s="73" ph="1">
        <f>J6*290.8*0.7892</f>
        <v>1771.7350592</v>
      </c>
      <c r="K7" s="73" ph="1">
        <f>K6*290.8*1.1126</f>
        <v>21357.144720800003</v>
      </c>
      <c r="L7" s="73" ph="1">
        <f>L6*290.8*0.777</f>
        <v>8816.631432000002</v>
      </c>
      <c r="M7" s="73" ph="1">
        <f>M6*33.183*LOOKUP(M8,密度!$A$2:$A$50,密度!$D$2:$D$50)</f>
        <v>180315.55924199999</v>
      </c>
      <c r="N7" s="73" ph="1">
        <f>N6*33.183*LOOKUP(N8,密度!$A$2:$A$50,密度!$E$2:$E$50)</f>
        <v>89639.972179199991</v>
      </c>
      <c r="O7" s="73" ph="1">
        <f>O6*20.428*LOOKUP(O8,密度!$A$2:$A$50,密度!$C$2:$C$50)</f>
        <v>120572.42953600001</v>
      </c>
      <c r="P7" s="73" ph="1">
        <f>P6*51.53*LOOKUP(P8,密度!$A$2:$A$50,密度!$B$2:$B$50)</f>
        <v>87004.334130000003</v>
      </c>
      <c r="Q7" s="73" ph="1">
        <f>Q6*1.5*1.5*3.1416*LOOKUP(W8,密度!$A$2:$A$50,密度!$L$2:$L$50)</f>
        <v>47658.515750999999</v>
      </c>
      <c r="R7" s="73" ph="1">
        <f>R6*1.5*1.5*3.1416*LOOKUP(R8,密度!$A$2:$A$50,密度!$L$2:$L$50)</f>
        <v>46682.879304600006</v>
      </c>
      <c r="S7" s="73" ph="1">
        <f>S6*1.5*1.5*3.1416*LOOKUP(S8,密度!$A$2:$A$50,密度!$L$2:$L$50)</f>
        <v>16695.213242399997</v>
      </c>
      <c r="T7" s="73" ph="1">
        <f>T6*1.5*1.5*3.1416*LOOKUP(T8,密度!$A$2:$A$50,密度!$L$2:$L$50)</f>
        <v>12564.507185999999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28694.861533800002</v>
      </c>
      <c r="Z7" s="73" ph="1">
        <f>Z6*33.183*LOOKUP(Z8,密度!$A$2:$A$50,密度!$L$2:$L$50)</f>
        <v>133257.120975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79111.086611999999</v>
      </c>
      <c r="AC7" s="73" ph="1">
        <f>AC6*51.53*LOOKUP(AC8,密度!$A$2:$A$50,密度!$Q$2:$Q$50)</f>
        <v>259785.24551819998</v>
      </c>
      <c r="AD7" s="73" ph="1">
        <f>AD6*20.428*LOOKUP(AD8,密度!$A$2:$A$50,密度!$V$2:$V$50)</f>
        <v>86228.647142400005</v>
      </c>
      <c r="AE7" s="73" ph="1">
        <f>AE6*20.428</f>
        <v>46208.135999999999</v>
      </c>
    </row>
    <row r="8" spans="1:99" ph="1">
      <c r="B8" s="256" ph="1"/>
      <c r="C8" s="68" t="s" ph="1">
        <v>180</v>
      </c>
      <c r="D8" s="74">
        <v>30</v>
      </c>
      <c r="E8" s="74">
        <v>29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28</v>
      </c>
      <c r="Q8" s="74">
        <v>30</v>
      </c>
      <c r="R8" s="74">
        <v>33</v>
      </c>
      <c r="S8" s="74">
        <v>24</v>
      </c>
      <c r="T8" s="74">
        <v>24</v>
      </c>
      <c r="U8" s="74">
        <v>27</v>
      </c>
      <c r="V8" s="74">
        <v>28</v>
      </c>
      <c r="W8" s="74">
        <v>27</v>
      </c>
      <c r="X8" s="74">
        <v>20</v>
      </c>
      <c r="Y8" s="74">
        <v>29</v>
      </c>
      <c r="Z8" s="74">
        <v>27</v>
      </c>
      <c r="AA8" s="74">
        <v>28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56" ph="1">
        <v>0.66666666666666663</v>
      </c>
      <c r="C9" s="171" t="s" ph="1">
        <v>181</v>
      </c>
      <c r="D9" s="71">
        <v>5134</v>
      </c>
      <c r="E9" s="71">
        <v>7293</v>
      </c>
      <c r="F9" s="71">
        <v>2643</v>
      </c>
      <c r="G9" s="71">
        <v>3498</v>
      </c>
      <c r="H9" s="71">
        <v>7039</v>
      </c>
      <c r="I9" s="71">
        <v>63.31</v>
      </c>
      <c r="J9" s="71">
        <v>7.81</v>
      </c>
      <c r="K9" s="71">
        <v>40.21</v>
      </c>
      <c r="L9" s="71">
        <v>25.41</v>
      </c>
      <c r="M9" s="71">
        <v>5318</v>
      </c>
      <c r="N9" s="71">
        <v>3477</v>
      </c>
      <c r="O9" s="71">
        <v>5354</v>
      </c>
      <c r="P9" s="71">
        <v>1822</v>
      </c>
      <c r="Q9" s="71">
        <v>7210</v>
      </c>
      <c r="R9" s="71">
        <v>7118</v>
      </c>
      <c r="S9" s="71">
        <v>5335</v>
      </c>
      <c r="T9" s="71">
        <v>7021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2026</v>
      </c>
      <c r="AA9" s="71">
        <v>556</v>
      </c>
      <c r="AB9" s="71">
        <v>3766</v>
      </c>
      <c r="AC9" s="71">
        <v>5508</v>
      </c>
      <c r="AD9" s="71">
        <v>4417</v>
      </c>
      <c r="AE9" s="71">
        <v>2020</v>
      </c>
    </row>
    <row r="10" spans="1:99" s="72" customFormat="1" ht="22.2" ph="1">
      <c r="B10" s="256" ph="1"/>
      <c r="C10" s="171" t="s" ph="1">
        <v>179</v>
      </c>
      <c r="D10" s="73" ph="1">
        <f>D9*33.183*LOOKUP(D11,密度!$A$2:$A$50,密度!$Q$2:$Q$50)</f>
        <v>160352.78258249999</v>
      </c>
      <c r="E10" s="73" ph="1">
        <f>E9*51.53*LOOKUP(E11,密度!$A$2:$A$50,密度!$B$2:$B$50)</f>
        <v>290687.71231500001</v>
      </c>
      <c r="F10" s="73" ph="1">
        <f>F9*33.183*LOOKUP(F11,密度!$A$2:$A$50,密度!$C$2:$C$50)</f>
        <v>96648.341238000008</v>
      </c>
      <c r="G10" s="73" ph="1">
        <f xml:space="preserve"> (G9+2)*51.53*LOOKUP(G11,密度!$A$2:$A$50,密度!$B$2:$B$50)</f>
        <v>139666.91199999998</v>
      </c>
      <c r="H10" s="73" ph="1">
        <f>(H9)*51.53*LOOKUP(H11,密度!$A$2:$A$50,密度!$B$2:$B$50)</f>
        <v>281216.56015099998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13009.707456800003</v>
      </c>
      <c r="L10" s="73" ph="1">
        <f>L9*290.8*0.777</f>
        <v>5741.4301560000004</v>
      </c>
      <c r="M10" s="73" ph="1">
        <f>M9*33.183*LOOKUP(M11,密度!$A$2:$A$50,密度!$D$2:$D$50)</f>
        <v>178478.92001160001</v>
      </c>
      <c r="N10" s="73" ph="1">
        <f>N9*33.183*LOOKUP(N11,密度!$A$2:$A$50,密度!$E$2:$E$50)</f>
        <v>89323.944919290007</v>
      </c>
      <c r="O10" s="73" ph="1">
        <f>O9*20.428*LOOKUP(O11,密度!$A$2:$A$50,密度!$C$2:$C$50)</f>
        <v>120068.04587360001</v>
      </c>
      <c r="P10" s="73" ph="1">
        <f>P9*51.53*LOOKUP(P11,密度!$A$2:$A$50,密度!$B$2:$B$50)</f>
        <v>72622.105009999999</v>
      </c>
      <c r="Q10" s="73" ph="1">
        <f>Q9*1.5*1.5*3.1416*LOOKUP(W11,密度!$A$2:$A$50,密度!$L$2:$L$50)</f>
        <v>46887.437519999999</v>
      </c>
      <c r="R10" s="73" ph="1">
        <f>R9*1.5*1.5*3.1416*LOOKUP(R11,密度!$A$2:$A$50,密度!$L$2:$L$50)</f>
        <v>46591.036984799997</v>
      </c>
      <c r="S10" s="73" ph="1">
        <f>S9*1.5*1.5*3.1416*LOOKUP(S11,密度!$A$2:$A$50,密度!$L$2:$L$50)</f>
        <v>35222.056254000003</v>
      </c>
      <c r="T10" s="73" ph="1">
        <f>T9*1.5*1.5*3.1416*LOOKUP(T11,密度!$A$2:$A$50,密度!$L$2:$L$50)</f>
        <v>46402.778961000004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62186.601150000002</v>
      </c>
      <c r="AA10" s="73" ph="1">
        <f>AA9*33.183*LOOKUP(AA11,密度!$A$2:$A$50,密度!$D$2:$D$50)</f>
        <v>18548.269654319996</v>
      </c>
      <c r="AB10" s="73" ph="1">
        <f>AB9*20.428*LOOKUP(AB11,密度!$A$2:$A$50,密度!$D$2:$D$50)</f>
        <v>78839.757830399991</v>
      </c>
      <c r="AC10" s="73" ph="1">
        <f>AC9*51.53*LOOKUP(AC11,密度!$A$2:$A$50,密度!$Q$2:$Q$50)</f>
        <v>267152.38965000003</v>
      </c>
      <c r="AD10" s="73" ph="1">
        <f>AD9*20.428*LOOKUP(AD11,密度!$A$2:$A$50,密度!$V$2:$V$50)</f>
        <v>86404.703817600006</v>
      </c>
      <c r="AE10" s="73" ph="1">
        <f>AE9*20.428</f>
        <v>41264.560000000005</v>
      </c>
    </row>
    <row r="11" spans="1:99" ph="1">
      <c r="A11" s="64" t="s" ph="1">
        <v>163</v>
      </c>
      <c r="B11" s="256" ph="1"/>
      <c r="C11" s="171" t="s" ph="1">
        <v>180</v>
      </c>
      <c r="D11" s="74">
        <v>33</v>
      </c>
      <c r="E11" s="74">
        <v>32</v>
      </c>
      <c r="F11" s="74">
        <v>33</v>
      </c>
      <c r="G11" s="74">
        <v>31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33</v>
      </c>
      <c r="O11" s="74">
        <v>37</v>
      </c>
      <c r="P11" s="74">
        <v>32</v>
      </c>
      <c r="Q11" s="74">
        <v>32</v>
      </c>
      <c r="R11" s="74">
        <v>36</v>
      </c>
      <c r="S11" s="74">
        <v>28</v>
      </c>
      <c r="T11" s="74">
        <v>27</v>
      </c>
      <c r="U11" s="74">
        <v>32</v>
      </c>
      <c r="V11" s="74">
        <v>28</v>
      </c>
      <c r="W11" s="74">
        <v>42</v>
      </c>
      <c r="X11" s="74">
        <v>26</v>
      </c>
      <c r="Y11" s="74">
        <v>32</v>
      </c>
      <c r="Z11" s="74">
        <v>37</v>
      </c>
      <c r="AA11" s="74">
        <v>51</v>
      </c>
      <c r="AB11" s="74">
        <v>27</v>
      </c>
      <c r="AC11" s="74">
        <v>33</v>
      </c>
      <c r="AD11" s="74">
        <v>33</v>
      </c>
      <c r="AE11" s="74">
        <v>33</v>
      </c>
    </row>
    <row r="12" spans="1:99" ht="9.9" customHeight="1" ph="1"/>
    <row r="13" spans="1:99" s="72" customFormat="1" ht="29.25" customHeight="1" ph="1">
      <c r="B13" s="233" t="s" ph="1">
        <v>37</v>
      </c>
      <c r="C13" s="17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1" t="s" ph="1">
        <v>178</v>
      </c>
      <c r="D15" s="78">
        <v>1495</v>
      </c>
      <c r="E15" s="78">
        <v>623</v>
      </c>
      <c r="F15" s="78">
        <v>2702</v>
      </c>
      <c r="G15" s="78">
        <v>1512</v>
      </c>
      <c r="H15" s="78">
        <v>3731</v>
      </c>
      <c r="I15" s="78">
        <v>117</v>
      </c>
      <c r="J15" s="78">
        <v>1744</v>
      </c>
      <c r="K15" s="78">
        <v>2082</v>
      </c>
      <c r="L15" s="78">
        <v>918</v>
      </c>
      <c r="M15" s="78">
        <v>6410</v>
      </c>
      <c r="N15" s="78">
        <v>2261</v>
      </c>
      <c r="O15" s="78">
        <v>6096</v>
      </c>
      <c r="P15" s="78">
        <v>7175</v>
      </c>
      <c r="Q15" s="78">
        <v>0</v>
      </c>
      <c r="R15" s="78">
        <v>3517</v>
      </c>
      <c r="S15" s="78">
        <v>6935</v>
      </c>
      <c r="T15" s="78">
        <v>3144</v>
      </c>
      <c r="U15" s="78">
        <v>1934</v>
      </c>
      <c r="V15" s="78">
        <v>3205</v>
      </c>
      <c r="W15" s="71">
        <v>-372</v>
      </c>
      <c r="X15" s="78">
        <v>26</v>
      </c>
      <c r="Y15" s="106">
        <v>-9909</v>
      </c>
      <c r="Z15" s="78">
        <v>0</v>
      </c>
      <c r="AA15" s="78">
        <v>0</v>
      </c>
      <c r="AB15" s="78" ph="1">
        <v>2373</v>
      </c>
      <c r="AC15" s="78" ph="1">
        <v>0</v>
      </c>
      <c r="AD15" s="78">
        <v>75.209999999999994</v>
      </c>
      <c r="AE15" s="78">
        <v>5.71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1" t="s" ph="1">
        <v>179</v>
      </c>
      <c r="D16" s="73" ph="1">
        <f>D15*7.0686*LOOKUP(D17,密度!$A$2:$A$50,密度!$L$2:$L$50)</f>
        <v>9859.530681000002</v>
      </c>
      <c r="E16" s="73" ph="1">
        <f>E15*7.0686*LOOKUP(E17,密度!$A$2:$A$50,密度!$L$2:$L$50)</f>
        <v>4113.0911052000001</v>
      </c>
      <c r="F16" s="73" ph="1">
        <f>F15*9.0746*LOOKUP(F17,密度!$A$2:$A$50,密度!$L$2:$L$50)</f>
        <v>22827.718925200003</v>
      </c>
      <c r="G16" s="73" ph="1">
        <f>G15*9.0746*LOOKUP(G17,密度!$A$2:$A$50,密度!$B$2:$B$50)</f>
        <v>10661.0578704</v>
      </c>
      <c r="H16" s="73" ph="1">
        <f>H15*9.0746*LOOKUP(H17,密度!$A$2:$A$50,密度!$L$2:$L$50)</f>
        <v>31690.463313600005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14749.927436800001</v>
      </c>
      <c r="K16" s="73" ph="1">
        <f>K15*9.0746*LOOKUP(K17,密度!$A$2:$A$50,密度!$C$2:$C$50)</f>
        <v>20894.119491480003</v>
      </c>
      <c r="L16" s="73" ph="1">
        <f>L15*9.0746*LOOKUP(L17,密度!$A$2:$A$50,密度!$E$2:$E$50)</f>
        <v>6496.1104874399998</v>
      </c>
      <c r="M16" s="73" ph="1">
        <f>M15*9.0746*LOOKUP(M17,密度!$A$2:$A$50,密度!$M$2:$M$50)</f>
        <v>50540.591769820006</v>
      </c>
      <c r="N16" s="73" ph="1">
        <f>N15*9.0746*LOOKUP(N17,密度!$A$2:$A$50,密度!$M$2:$M$50)</f>
        <v>17934.49587146</v>
      </c>
      <c r="O16" s="73" ph="1">
        <f>O15*9.0746*LOOKUP(O17,密度!$A$2:$A$50,密度!$G$2:$G$50)</f>
        <v>52812.821699519998</v>
      </c>
      <c r="P16" s="73" ph="1">
        <f ca="1">P15*9.0746*LOOKUP(P17,密度!$A$2:$A$51,密度!$Q$2:$Q$50)</f>
        <v>61420.456849150003</v>
      </c>
      <c r="Q16" s="73" ph="1">
        <f>Q15*9.0746*LOOKUP(Q17,密度!$A$2:$A$50,密度!$Q$2:$Q$50)</f>
        <v>0</v>
      </c>
      <c r="R16" s="73" ph="1">
        <f>MAX(R15*9.0746*LOOKUP(R17,密度!$A$2:$A$50,密度!$B$2:$B$50),0)</f>
        <v>24743.98496546</v>
      </c>
      <c r="S16" s="73" ph="1">
        <f>S15*9.0746*LOOKUP(S17,密度!$A$2:$A$50,密度!$Q$2:$Q$50)</f>
        <v>59403.734079430003</v>
      </c>
      <c r="T16" s="73" ph="1">
        <f>T15*9.0746*LOOKUP(T17,密度!$A$2:$A$50,密度!$O$2:$O$50)</f>
        <v>26419.282262400004</v>
      </c>
      <c r="U16" s="73" ph="1">
        <f>U15*9.0746*LOOKUP(U17,密度!$A$2:$A$50,密度!$H$2:$H$50)</f>
        <v>16005.8520768</v>
      </c>
      <c r="V16" s="73" ph="1">
        <f>MAX(5600*LOOKUP(V17,密度!$A$2:$A$50,密度!$Q$2:$Q$50)+V15*9.0476*LOOKUP(V17,密度!$A$2:$A$50,密度!$Q$2:$Q$50),0)</f>
        <v>32564.951467499999</v>
      </c>
      <c r="W16" s="73" ph="1">
        <f>MAX(5600*LOOKUP(W17,密度!$A$2:$A$50,密度!$Q$2:$Q$50)+W15*9.0476*LOOKUP(W17,密度!$A$2:$A$50,密度!$Q$2:$Q$50),0)</f>
        <v>2109.0160027039997</v>
      </c>
      <c r="X16" s="73" ph="1">
        <f>MAX(5600*LOOKUP(X17,密度!$A$2:$A$50,密度!$I$2:$I$50)+X15*9.0476*LOOKUP(X17,密度!$A$2:$A$50,密度!$I$2:$I$50),0)</f>
        <v>6062.228342639999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20048.178019800001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16974.560414879998</v>
      </c>
      <c r="AE16" s="73" ph="1">
        <f>AE15*268.68*LOOKUP(AE17,密度!$A$2:$A$50,密度!B2:B50)+IF(AE15&lt;=0,0,1566*LOOKUP(AE17,密度!$A$2:$A$50,密度!B2:B50))</f>
        <v>2416.8869188799999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28</v>
      </c>
      <c r="F17" s="74">
        <v>31</v>
      </c>
      <c r="G17" s="74">
        <v>28</v>
      </c>
      <c r="H17" s="74">
        <v>26</v>
      </c>
      <c r="I17" s="74">
        <v>27</v>
      </c>
      <c r="J17" s="74">
        <v>30</v>
      </c>
      <c r="K17" s="74">
        <v>29</v>
      </c>
      <c r="L17" s="74">
        <v>28</v>
      </c>
      <c r="M17" s="74">
        <v>31</v>
      </c>
      <c r="N17" s="74">
        <v>26</v>
      </c>
      <c r="O17" s="74">
        <v>30</v>
      </c>
      <c r="P17" s="74">
        <v>30</v>
      </c>
      <c r="Q17" s="74">
        <v>27</v>
      </c>
      <c r="R17" s="74">
        <v>30</v>
      </c>
      <c r="S17" s="74">
        <v>29</v>
      </c>
      <c r="T17" s="74">
        <v>28</v>
      </c>
      <c r="U17" s="74">
        <v>28</v>
      </c>
      <c r="V17" s="74">
        <v>33</v>
      </c>
      <c r="W17" s="74">
        <v>29</v>
      </c>
      <c r="X17" s="74">
        <v>28</v>
      </c>
      <c r="Y17" s="108">
        <v>28</v>
      </c>
      <c r="Z17" s="74">
        <v>28</v>
      </c>
      <c r="AA17" s="74">
        <v>26</v>
      </c>
      <c r="AB17" s="74">
        <v>31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2385</v>
      </c>
      <c r="E18" s="71">
        <v>74</v>
      </c>
      <c r="F18" s="71">
        <v>2765</v>
      </c>
      <c r="G18" s="71">
        <v>1554</v>
      </c>
      <c r="H18" s="71">
        <v>1852</v>
      </c>
      <c r="I18" s="71">
        <v>117</v>
      </c>
      <c r="J18" s="71">
        <v>1778</v>
      </c>
      <c r="K18" s="71">
        <v>2082</v>
      </c>
      <c r="L18" s="71">
        <v>925</v>
      </c>
      <c r="M18" s="71">
        <v>5468</v>
      </c>
      <c r="N18" s="71">
        <v>262</v>
      </c>
      <c r="O18" s="71">
        <v>6102</v>
      </c>
      <c r="P18" s="71">
        <v>7180</v>
      </c>
      <c r="Q18" s="71">
        <v>0</v>
      </c>
      <c r="R18" s="71">
        <v>3522</v>
      </c>
      <c r="S18" s="71">
        <v>5716</v>
      </c>
      <c r="T18" s="71">
        <v>2637</v>
      </c>
      <c r="U18" s="71">
        <v>3725</v>
      </c>
      <c r="V18" s="71">
        <v>3205</v>
      </c>
      <c r="W18" s="71">
        <v>-373</v>
      </c>
      <c r="X18" s="71">
        <v>30</v>
      </c>
      <c r="Y18" s="109">
        <v>-9907</v>
      </c>
      <c r="Z18" s="71">
        <v>0</v>
      </c>
      <c r="AA18" s="71">
        <v>0</v>
      </c>
      <c r="AB18" s="71">
        <v>2376</v>
      </c>
      <c r="AC18" s="71">
        <v>0</v>
      </c>
      <c r="AD18" s="71">
        <v>84.01</v>
      </c>
      <c r="AE18" s="71">
        <v>39.21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1" t="s" ph="1">
        <v>179</v>
      </c>
      <c r="D19" s="73" ph="1">
        <f>D18*7.0686*LOOKUP(D20,密度!$A$2:$A$50,密度!$L$2:$L$50)</f>
        <v>15661.649619000002</v>
      </c>
      <c r="E19" s="73" ph="1">
        <f>E18*7.0686*LOOKUP(E20,密度!$A$2:$A$50,密度!$L$2:$L$50)</f>
        <v>485.41489920000004</v>
      </c>
      <c r="F19" s="73" ph="1">
        <f>F18*9.0746*LOOKUP(F20,密度!$A$2:$A$50,密度!$L$2:$L$50)</f>
        <v>23184.332556000001</v>
      </c>
      <c r="G19" s="73" ph="1">
        <f>G18*9.0746*LOOKUP(G20,密度!$A$2:$A$50,密度!$B$2:$B$50)</f>
        <v>10933.225088520001</v>
      </c>
      <c r="H19" s="73" ph="1">
        <f>H18*9.0746*LOOKUP(H20,密度!$A$2:$A$50,密度!$L$2:$L$50)</f>
        <v>15663.340374400002</v>
      </c>
      <c r="I19" s="73" ph="1">
        <f>I18*9.0746*LOOKUP(I20,密度!$A$2:$A$50,密度!$U$2:$U$50)</f>
        <v>1070.85906252</v>
      </c>
      <c r="J19" s="73" ph="1">
        <f>J18*9.0746*LOOKUP(J20,密度!$A$2:$A$50,密度!$L$2:$L$50)</f>
        <v>14956.810167600001</v>
      </c>
      <c r="K19" s="73" ph="1">
        <f>K18*9.0746*LOOKUP(K20,密度!$A$2:$A$50,密度!$C$2:$C$50)</f>
        <v>20799.652905480001</v>
      </c>
      <c r="L19" s="73" ph="1">
        <f>L18*9.0746*LOOKUP(L20,密度!$A$2:$A$50,密度!$E$2:$E$50)</f>
        <v>6408.8228175000004</v>
      </c>
      <c r="M19" s="73" ph="1">
        <f>M18*9.0746*LOOKUP(M20,密度!$A$2:$A$50,密度!$M$2:$M$50)</f>
        <v>42956.950909216001</v>
      </c>
      <c r="N19" s="73" ph="1">
        <f>N18*9.0746*LOOKUP(N20,密度!$A$2:$A$50,密度!$M$2:$M$50)</f>
        <v>2065.7776979240002</v>
      </c>
      <c r="O19" s="73" ph="1">
        <f>O18*9.0746*LOOKUP(O20,密度!$A$2:$A$50,密度!$G$2:$G$50)</f>
        <v>52691.484678444009</v>
      </c>
      <c r="P19" s="73" ph="1">
        <f ca="1">P18*9.0746*LOOKUP(P20,密度!$A$2:$A$51,密度!$Q$2:$Q$50)</f>
        <v>61370.086013200002</v>
      </c>
      <c r="Q19" s="73" ph="1">
        <f>Q18*9.0746*LOOKUP(Q20,密度!$A$2:$A$50,密度!$Q$2:$Q$50)</f>
        <v>0</v>
      </c>
      <c r="R19" s="73" ph="1">
        <f>MAX(R18*9.0746*LOOKUP(R20,密度!$A$2:$A$50,密度!$B$2:$B$50),0)</f>
        <v>24721.633318199998</v>
      </c>
      <c r="S19" s="73" ph="1">
        <f>S18*9.0746*LOOKUP(S20,密度!$A$2:$A$50,密度!$Q$2:$Q$50)</f>
        <v>48823.026801</v>
      </c>
      <c r="T19" s="73" ph="1">
        <f>T18*9.0746*LOOKUP(T20,密度!$A$2:$A$50,密度!$O$2:$O$50)</f>
        <v>22063.202024400001</v>
      </c>
      <c r="U19" s="73" ph="1">
        <f>U18*9.0746*LOOKUP(U20,密度!$A$2:$A$50,密度!$H$2:$H$50)</f>
        <v>30828.231120000004</v>
      </c>
      <c r="V19" s="73" ph="1">
        <f>MAX(5600*LOOKUP(V20,密度!$A$2:$A$50,密度!$Q$2:$Q$50)+V18*9.0476*LOOKUP(V20,密度!$A$2:$A$50,密度!$Q$2:$Q$50),0)</f>
        <v>32453.201355159996</v>
      </c>
      <c r="W19" s="73" ph="1">
        <f>MAX(5600*LOOKUP(W20,密度!$A$2:$A$50,密度!$Q$2:$Q$50)+W18*9.0476*LOOKUP(W20,密度!$A$2:$A$50,密度!$Q$2:$Q$50),0)</f>
        <v>2093.043382668</v>
      </c>
      <c r="X19" s="73" ph="1">
        <f>MAX(5600*LOOKUP(X20,密度!$A$2:$A$50,密度!$I$2:$I$50)+X18*9.0476*LOOKUP(X20,密度!$A$2:$A$50,密度!$I$2:$I$50),0)</f>
        <v>6066.8878381200002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20051.962127999999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18755.075883600002</v>
      </c>
      <c r="AE19" s="73" ph="1">
        <f>AE18*268.68*LOOKUP(AE20,密度!$A$2:$A$50,密度!B5:B53)+IF(AE18&lt;=0,0,1566*LOOKUP(AE20,密度!$A$2:$A$50,密度!B5:B53))</f>
        <v>9402.4325556000003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33</v>
      </c>
      <c r="E20" s="81">
        <v>34</v>
      </c>
      <c r="F20" s="81">
        <v>38</v>
      </c>
      <c r="G20" s="81">
        <v>30</v>
      </c>
      <c r="H20" s="81">
        <v>30</v>
      </c>
      <c r="I20" s="81">
        <v>42</v>
      </c>
      <c r="J20" s="81">
        <v>35</v>
      </c>
      <c r="K20" s="81">
        <v>34</v>
      </c>
      <c r="L20" s="81">
        <v>42</v>
      </c>
      <c r="M20" s="81">
        <v>34</v>
      </c>
      <c r="N20" s="81">
        <v>31</v>
      </c>
      <c r="O20" s="81">
        <v>33</v>
      </c>
      <c r="P20" s="81">
        <v>32</v>
      </c>
      <c r="Q20" s="81">
        <v>32</v>
      </c>
      <c r="R20" s="81">
        <v>32</v>
      </c>
      <c r="S20" s="81">
        <v>33</v>
      </c>
      <c r="T20" s="81">
        <v>32</v>
      </c>
      <c r="U20" s="81">
        <v>28</v>
      </c>
      <c r="V20" s="81">
        <v>38</v>
      </c>
      <c r="W20" s="81">
        <v>34</v>
      </c>
      <c r="X20" s="81">
        <v>33</v>
      </c>
      <c r="Y20" s="110">
        <v>34</v>
      </c>
      <c r="Z20" s="81">
        <v>35</v>
      </c>
      <c r="AA20" s="81">
        <v>32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1" t="s" ph="1">
        <v>178</v>
      </c>
      <c r="D24" s="71">
        <v>4.13</v>
      </c>
      <c r="E24" s="71">
        <v>95.71</v>
      </c>
      <c r="F24" s="71">
        <v>182</v>
      </c>
      <c r="G24" s="71">
        <v>2602</v>
      </c>
      <c r="H24" s="71">
        <v>2098</v>
      </c>
      <c r="I24" s="71">
        <v>542</v>
      </c>
      <c r="J24" s="71">
        <v>196</v>
      </c>
      <c r="K24" s="71">
        <v>1477</v>
      </c>
      <c r="L24" s="71">
        <v>3576</v>
      </c>
      <c r="M24" s="71">
        <v>259</v>
      </c>
      <c r="N24" s="71">
        <v>270</v>
      </c>
      <c r="O24" s="71">
        <v>3697</v>
      </c>
      <c r="P24" s="71">
        <v>1255</v>
      </c>
      <c r="Q24" s="90">
        <v>2149</v>
      </c>
      <c r="R24" s="71">
        <v>1321</v>
      </c>
      <c r="S24" s="71">
        <v>6502</v>
      </c>
      <c r="T24" s="71">
        <v>1765</v>
      </c>
      <c r="U24" s="71">
        <v>4879</v>
      </c>
      <c r="V24" s="71">
        <v>9630</v>
      </c>
      <c r="W24" s="71">
        <v>10764</v>
      </c>
      <c r="X24" s="71">
        <v>4604</v>
      </c>
      <c r="Y24" s="71">
        <v>2753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2533.1433662159998</v>
      </c>
      <c r="E25" s="91" ph="1">
        <f>E24*268.68*LOOKUP(E26,密度!$A$2:$A$50,密度!$C$2:$C$50)+IF(E24&lt;=0,0,1566*LOOKUP(E26,密度!$A$2:$A$50,密度!$C$2:$C$50))</f>
        <v>30252.303208919999</v>
      </c>
      <c r="F25" s="91" ph="1">
        <f>F24*11.702*LOOKUP(F26,密度!$A$2:$A$50,密度!$Q$2:$Q$50)</f>
        <v>2007.4729511200001</v>
      </c>
      <c r="G25" s="91" ph="1">
        <f>G24*18.322*LOOKUP(G26,密度!$A$2:$A$50,密度!$B$2:$B$50)</f>
        <v>36918.6247936</v>
      </c>
      <c r="H25" s="91" ph="1">
        <f>H24*18.322*LOOKUP(H26,密度!$A$2:$A$50,密度!$B$2:$B$50)</f>
        <v>29802.187766799998</v>
      </c>
      <c r="I25" s="91" ph="1">
        <f>I24*18.322*LOOKUP(I26,密度!$A$2:$A$50,密度!$Q$2:$Q$50)</f>
        <v>9367.7612049199997</v>
      </c>
      <c r="J25" s="91" ph="1">
        <f>J24*18.322*LOOKUP(J26,密度!$A$2:$A$50,密度!$Q$2:$Q$50)</f>
        <v>3392.2362174399996</v>
      </c>
      <c r="K25" s="91" ph="1">
        <f>K24*18.322*LOOKUP(K26,密度!$A$2:$A$50,密度!$Q$2:$Q$50)</f>
        <v>25544.250424419999</v>
      </c>
      <c r="L25" s="91" ph="1">
        <f>L24*18.322*LOOKUP(L26,密度!$A$2:$A$50,密度!$Q$2:$Q$50)</f>
        <v>61845.795204959999</v>
      </c>
      <c r="M25" s="91" ph="1">
        <f>M24*18.322*LOOKUP(M26,密度!$A$2:$A$50,密度!$Q$2:$Q$50)</f>
        <v>4485.9196373600007</v>
      </c>
      <c r="N25" s="91" ph="1">
        <f>N24*18.322*LOOKUP(N26,密度!$A$2:$A$50,密度!$Q$2:$Q$50)</f>
        <v>4676.4413207999996</v>
      </c>
      <c r="O25" s="91" ph="1">
        <f>O24*18.322*LOOKUP(O26,密度!$A$2:$A$50,密度!$C$2:$C$50)</f>
        <v>74855.533213399991</v>
      </c>
      <c r="P25" s="91" ph="1">
        <f>P24*11.702*LOOKUP(P26,密度!$A$2:$A$50,密度!$B$2:$B$50)</f>
        <v>11386.063553</v>
      </c>
      <c r="Q25" s="92" ph="1">
        <f>Q24*18.322*LOOKUP(Q26,密度!$A$2:$A$50,密度!$B$2:$B$50)</f>
        <v>30629.017486199999</v>
      </c>
      <c r="R25" s="91" ph="1">
        <f>R24*35.891*LOOKUP(R26,密度!$A$2:$A$50,密度!$C$2:$C$50)</f>
        <v>52466.131372600001</v>
      </c>
      <c r="S25" s="91" ph="1">
        <f>S24*35.891*LOOKUP(S26,密度!$A$2:$A$50,密度!$B$2:$B$50)</f>
        <v>181323.27011399998</v>
      </c>
      <c r="T25" s="91" ph="1">
        <f>T24*35.891*LOOKUP(T26,密度!$A$2:$A$50,密度!$Q$2:$Q$50)</f>
        <v>59883.7674118</v>
      </c>
      <c r="U25" s="91" ph="1">
        <f>U24*35.891</f>
        <v>175112.18899999998</v>
      </c>
      <c r="V25" s="91" ph="1">
        <f>V24*47.051*LOOKUP(V26,密度!$A$2:$A$50,密度!$B$2:$B$50)</f>
        <v>352467.36902700004</v>
      </c>
      <c r="W25" s="91" ph="1">
        <f>W24*47.051*LOOKUP(W26,密度!$A$2:$A$50,密度!$B$2:$B$50)</f>
        <v>393972.87229560007</v>
      </c>
      <c r="X25" s="91" ph="1">
        <f>X24*47.051*LOOKUP(X26,密度!$A$2:$A$50,密度!$I$2:$I$50)</f>
        <v>225049.43107559998</v>
      </c>
      <c r="Y25" s="91" ph="1">
        <f>Y24*47.051*LOOKUP(Y26,密度!$A$2:$A$50,密度!$L$2:$L$50)</f>
        <v>120723.26759600001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31</v>
      </c>
      <c r="G26" s="74">
        <v>31</v>
      </c>
      <c r="H26" s="74">
        <v>30</v>
      </c>
      <c r="I26" s="74">
        <v>30</v>
      </c>
      <c r="J26" s="74">
        <v>28</v>
      </c>
      <c r="K26" s="74">
        <v>29</v>
      </c>
      <c r="L26" s="74">
        <v>29</v>
      </c>
      <c r="M26" s="74">
        <v>27</v>
      </c>
      <c r="N26" s="74">
        <v>27</v>
      </c>
      <c r="O26" s="74">
        <v>30</v>
      </c>
      <c r="P26" s="74">
        <v>30</v>
      </c>
      <c r="Q26" s="93">
        <v>27</v>
      </c>
      <c r="R26" s="74">
        <v>28</v>
      </c>
      <c r="S26" s="74">
        <v>28</v>
      </c>
      <c r="T26" s="74">
        <v>27</v>
      </c>
      <c r="U26" s="74">
        <v>28</v>
      </c>
      <c r="V26" s="74">
        <v>27</v>
      </c>
      <c r="W26" s="74">
        <v>27</v>
      </c>
      <c r="X26" s="74">
        <v>28</v>
      </c>
      <c r="Y26" s="74">
        <v>30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1" t="s" ph="1">
        <v>181</v>
      </c>
      <c r="D27" s="71">
        <v>22.31</v>
      </c>
      <c r="E27" s="71">
        <v>95.61</v>
      </c>
      <c r="F27" s="71">
        <v>178</v>
      </c>
      <c r="G27" s="71">
        <v>2356</v>
      </c>
      <c r="H27" s="71">
        <v>1475</v>
      </c>
      <c r="I27" s="71">
        <v>540</v>
      </c>
      <c r="J27" s="71">
        <v>1311</v>
      </c>
      <c r="K27" s="71">
        <v>1475</v>
      </c>
      <c r="L27" s="71">
        <v>3572</v>
      </c>
      <c r="M27" s="71">
        <v>254</v>
      </c>
      <c r="N27" s="71">
        <v>225</v>
      </c>
      <c r="O27" s="71">
        <v>3694</v>
      </c>
      <c r="P27" s="71">
        <v>1252</v>
      </c>
      <c r="Q27" s="90">
        <v>2698</v>
      </c>
      <c r="R27" s="71">
        <v>1317</v>
      </c>
      <c r="S27" s="71">
        <v>6500</v>
      </c>
      <c r="T27" s="71">
        <v>1764</v>
      </c>
      <c r="U27" s="71">
        <v>5216</v>
      </c>
      <c r="V27" s="71">
        <v>9633</v>
      </c>
      <c r="W27" s="71">
        <v>10764</v>
      </c>
      <c r="X27" s="71">
        <v>4131</v>
      </c>
      <c r="Y27" s="71">
        <v>3429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1" t="s" ph="1">
        <v>179</v>
      </c>
      <c r="D28" s="91" ph="1">
        <f>D27*268.68*LOOKUP(D29,密度!$A$2:$A$50,密度!$Q$2:$Q$50)+IF(D27&lt;=0,0,1566*LOOKUP(D29,密度!$A$2:$A$50,密度!$Q$2:$Q$50))</f>
        <v>7157.5918423919993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1959.2075840400003</v>
      </c>
      <c r="G28" s="91" ph="1">
        <f>G27*18.322*LOOKUP(G29,密度!$A$2:$A$50,密度!$B$2:$B$50)</f>
        <v>33389.389852</v>
      </c>
      <c r="H28" s="91" ph="1">
        <f>H27*18.322*LOOKUP(H29,密度!$A$2:$A$50,密度!$B$2:$B$50)</f>
        <v>20882.178864999998</v>
      </c>
      <c r="I28" s="91" ph="1">
        <f>I27*18.322*LOOKUP(I29,密度!$A$2:$A$50,密度!$Q$2:$Q$50)</f>
        <v>9306.0845891999998</v>
      </c>
      <c r="J28" s="91" ph="1">
        <f>J27*18.322*LOOKUP(J29,密度!$A$2:$A$50,密度!$Q$2:$Q$50)</f>
        <v>22640.90544636</v>
      </c>
      <c r="K28" s="91" ph="1">
        <f>K27*18.322*LOOKUP(K29,密度!$A$2:$A$50,密度!$Q$2:$Q$50)</f>
        <v>25437.234187499998</v>
      </c>
      <c r="L28" s="91" ph="1">
        <f>L27*18.322*LOOKUP(L29,密度!$A$2:$A$50,密度!$Q$2:$Q$50)</f>
        <v>61643.760709599992</v>
      </c>
      <c r="M28" s="91" ph="1">
        <f>M27*18.322*LOOKUP(M29,密度!$A$2:$A$50,密度!$Q$2:$Q$50)</f>
        <v>4368.2781061999995</v>
      </c>
      <c r="N28" s="91" ph="1">
        <f>N27*18.322*LOOKUP(N29,密度!$A$2:$A$50,密度!$Q$2:$Q$50)</f>
        <v>3872.2172849999997</v>
      </c>
      <c r="O28" s="91" ph="1">
        <f>O27*18.322*LOOKUP(O29,密度!$A$2:$A$50,密度!$C$2:$C$50)</f>
        <v>74652.659203999996</v>
      </c>
      <c r="P28" s="91" ph="1">
        <f>P27*11.702*LOOKUP(P29,密度!$A$2:$A$50,密度!$B$2:$B$50)</f>
        <v>11320.753520800001</v>
      </c>
      <c r="Q28" s="92" ph="1">
        <f>Q27*18.322*LOOKUP(Q29,密度!$A$2:$A$50,密度!$B$2:$B$50)</f>
        <v>38236.236766000002</v>
      </c>
      <c r="R28" s="91" ph="1">
        <f>R27*35.891*LOOKUP(R29,密度!$A$2:$A$50,密度!$C$2:$C$50)</f>
        <v>52089.828594000006</v>
      </c>
      <c r="S28" s="91" ph="1">
        <f>S27*35.891*LOOKUP(S29,密度!$A$2:$A$50,密度!$B$2:$B$50)</f>
        <v>180660.9376</v>
      </c>
      <c r="T28" s="91" ph="1">
        <f>T27*35.891*LOOKUP(T29,密度!$A$2:$A$50,密度!$Q$2:$Q$50)</f>
        <v>59633.312835599994</v>
      </c>
      <c r="U28" s="91" ph="1">
        <f>U27*35.891</f>
        <v>187207.45599999998</v>
      </c>
      <c r="V28" s="91" ph="1">
        <f>V27*47.051*LOOKUP(V29,密度!$A$2:$A$50,密度!$B$2:$B$50)</f>
        <v>350990.82395519997</v>
      </c>
      <c r="W28" s="91" ph="1">
        <f>W27*47.051*LOOKUP(W29,密度!$A$2:$A$50,密度!$B$2:$B$50)</f>
        <v>392200.27292160003</v>
      </c>
      <c r="X28" s="91" ph="1">
        <f>X27*47.051*LOOKUP(X29,密度!$A$2:$A$50,密度!$I$2:$I$50)</f>
        <v>201269.67735231001</v>
      </c>
      <c r="Y28" s="91" ph="1">
        <f>Y27*47.051*LOOKUP(Y29,密度!$A$2:$A$50,密度!$L$2:$L$50)</f>
        <v>150044.22747000001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1" t="s" ph="1">
        <v>180</v>
      </c>
      <c r="D29" s="74">
        <v>25</v>
      </c>
      <c r="E29" s="74">
        <v>25</v>
      </c>
      <c r="F29" s="74">
        <v>34</v>
      </c>
      <c r="G29" s="74">
        <v>32</v>
      </c>
      <c r="H29" s="74">
        <v>33</v>
      </c>
      <c r="I29" s="74">
        <v>34</v>
      </c>
      <c r="J29" s="74">
        <v>31</v>
      </c>
      <c r="K29" s="74">
        <v>33</v>
      </c>
      <c r="L29" s="74">
        <v>32</v>
      </c>
      <c r="M29" s="74">
        <v>37</v>
      </c>
      <c r="N29" s="74">
        <v>36</v>
      </c>
      <c r="O29" s="74">
        <v>32</v>
      </c>
      <c r="P29" s="74">
        <v>33</v>
      </c>
      <c r="Q29" s="93">
        <v>32</v>
      </c>
      <c r="R29" s="74">
        <v>33</v>
      </c>
      <c r="S29" s="74">
        <v>31</v>
      </c>
      <c r="T29" s="74">
        <v>32</v>
      </c>
      <c r="U29" s="74">
        <v>31</v>
      </c>
      <c r="V29" s="74">
        <v>31</v>
      </c>
      <c r="W29" s="74">
        <v>31</v>
      </c>
      <c r="X29" s="74">
        <v>31</v>
      </c>
      <c r="Y29" s="74">
        <v>32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1" t="s" ph="1">
        <v>5</v>
      </c>
      <c r="F32" s="170" t="s" ph="1">
        <v>43</v>
      </c>
      <c r="G32" s="97" t="s" ph="1">
        <v>4</v>
      </c>
      <c r="H32" s="171" t="s" ph="1">
        <v>5</v>
      </c>
      <c r="I32" s="170" t="s" ph="1">
        <v>43</v>
      </c>
      <c r="J32" s="97" t="s" ph="1">
        <v>4</v>
      </c>
      <c r="K32" s="171" t="s" ph="1">
        <v>5</v>
      </c>
      <c r="L32" s="170" t="s" ph="1">
        <v>43</v>
      </c>
      <c r="M32" s="97" t="s" ph="1">
        <v>4</v>
      </c>
      <c r="N32" s="171" t="s" ph="1">
        <v>5</v>
      </c>
      <c r="O32" s="17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1" t="s" ph="1">
        <v>5</v>
      </c>
      <c r="U32" s="99" t="s" ph="1">
        <v>43</v>
      </c>
      <c r="V32" s="97" t="s" ph="1">
        <v>4</v>
      </c>
      <c r="W32" s="171" t="s" ph="1">
        <v>5</v>
      </c>
      <c r="X32" s="99" t="s" ph="1">
        <v>43</v>
      </c>
      <c r="Y32" s="100" t="s" ph="1">
        <v>4</v>
      </c>
      <c r="Z32" s="171" t="s" ph="1">
        <v>5</v>
      </c>
      <c r="AA32" s="170" t="s" ph="1">
        <v>43</v>
      </c>
      <c r="AB32" s="97" t="s" ph="1">
        <v>85</v>
      </c>
      <c r="AC32" s="171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97388.027484719991</v>
      </c>
      <c r="E33" s="205" ph="1">
        <f>M10+I10</f>
        <v>197381.02964320002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31" ph="1">
        <v>0</v>
      </c>
      <c r="H33" s="205" ph="1">
        <f>N19</f>
        <v>2065.7776979240002</v>
      </c>
      <c r="I33" s="209" ph="1">
        <v>0</v>
      </c>
      <c r="J33" s="213" ph="1">
        <f>F10+O28</f>
        <v>171301.00044199999</v>
      </c>
      <c r="K33" s="205" ph="1">
        <f>O10+K10+E28+R28</f>
        <v>215390.09120811999</v>
      </c>
      <c r="L33" s="215" ph="1">
        <f>BE27</f>
        <v>7100</v>
      </c>
      <c r="M33" s="213" ph="1">
        <f>G10+H10+W28+S28+V28+E10</f>
        <v>1635423.2189428001</v>
      </c>
      <c r="N33" s="205" ph="1">
        <f>L10+P10++G28+H28</f>
        <v>132635.103883</v>
      </c>
      <c r="O33" s="209" ph="1">
        <f>BE17</f>
        <v>2270</v>
      </c>
      <c r="P33" s="213" ph="1">
        <f>L19</f>
        <v>6408.8228175000004</v>
      </c>
      <c r="Q33" s="205" ph="1">
        <f>J10+N10</f>
        <v>91116.334920890004</v>
      </c>
      <c r="R33" s="209" ph="1">
        <f>BE23</f>
        <v>890</v>
      </c>
      <c r="S33" s="213" ph="1">
        <f>E10+X28</f>
        <v>491957.38966731005</v>
      </c>
      <c r="T33" s="205" ph="1">
        <f>X19</f>
        <v>6066.8878381200002</v>
      </c>
      <c r="U33" s="194" ph="1">
        <f>BE21</f>
        <v>730</v>
      </c>
      <c r="V33" s="207" ph="1">
        <f ca="1">P19+Q19+S19+M28+N28+J28</f>
        <v>141074.51365176</v>
      </c>
      <c r="W33" s="207" ph="1">
        <f>D28+F28+V19+T28</f>
        <v>101203.31361719199</v>
      </c>
      <c r="X33" s="209" ph="1">
        <f>BE29+BE31</f>
        <v>10200</v>
      </c>
      <c r="Y33" s="211" ph="1">
        <f>+Q10+R10+S10+T10+U10+V10+W10+X10+Y10</f>
        <v>175103.30971979999</v>
      </c>
      <c r="Z33" s="192" ph="1">
        <f>D10+T19+U19+Y28+Z10</f>
        <v>425475.04434690002</v>
      </c>
      <c r="AA33" s="194" ph="1">
        <f>BE19</f>
        <v>1440</v>
      </c>
      <c r="AB33" s="196" ph="1">
        <f>I19</f>
        <v>1070.85906252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69" t="s" ph="1">
        <v>186</v>
      </c>
      <c r="AA36" s="169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6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9" t="s" ph="1">
        <v>345</v>
      </c>
      <c r="AI37" s="169" t="s" ph="1">
        <v>212</v>
      </c>
      <c r="AJ37" s="169" t="s" ph="1">
        <v>213</v>
      </c>
      <c r="AK37" s="169" t="s" ph="1">
        <v>214</v>
      </c>
      <c r="AM37" s="169" t="s" ph="1">
        <v>213</v>
      </c>
      <c r="AN37" s="169" t="s" ph="1">
        <v>214</v>
      </c>
      <c r="AO37" s="169" t="s" ph="1">
        <v>215</v>
      </c>
      <c r="AP37" s="169" t="s" ph="1">
        <v>213</v>
      </c>
      <c r="AQ37" s="169" t="s" ph="1">
        <v>214</v>
      </c>
      <c r="AR37" s="169" t="s" ph="1">
        <v>215</v>
      </c>
      <c r="AS37" s="169" t="s" ph="1">
        <v>213</v>
      </c>
      <c r="AT37" s="169" t="s" ph="1">
        <v>214</v>
      </c>
      <c r="AU37" s="169" t="s" ph="1">
        <v>215</v>
      </c>
      <c r="AV37" s="169" t="s" ph="1">
        <v>213</v>
      </c>
      <c r="AW37" s="169" t="s" ph="1">
        <v>214</v>
      </c>
      <c r="AX37" s="169" t="s" ph="1">
        <v>215</v>
      </c>
      <c r="AY37" s="169" t="s" ph="1">
        <v>214</v>
      </c>
      <c r="AZ37" s="169" t="s" ph="1">
        <v>216</v>
      </c>
      <c r="BD37" s="169" t="s" ph="1">
        <v>308</v>
      </c>
      <c r="BE37" s="16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61" priority="97">
      <formula>ABS(D$7-D$10)&gt;=1000</formula>
    </cfRule>
  </conditionalFormatting>
  <conditionalFormatting sqref="E4 E6:E11">
    <cfRule type="expression" dxfId="760" priority="96">
      <formula>ABS(E$7-E$10)&gt;=1000</formula>
    </cfRule>
  </conditionalFormatting>
  <conditionalFormatting sqref="F4:F11">
    <cfRule type="expression" dxfId="759" priority="95">
      <formula>ABS(F$7-F$10)&gt;=1000</formula>
    </cfRule>
  </conditionalFormatting>
  <conditionalFormatting sqref="G4:G11">
    <cfRule type="expression" dxfId="758" priority="94">
      <formula>ABS(G$7-G$10)&gt;=1000</formula>
    </cfRule>
  </conditionalFormatting>
  <conditionalFormatting sqref="H4:H11">
    <cfRule type="expression" dxfId="757" priority="93">
      <formula>ABS(H$7-H$10)&gt;=1000</formula>
    </cfRule>
  </conditionalFormatting>
  <conditionalFormatting sqref="I4:I11">
    <cfRule type="expression" dxfId="756" priority="92">
      <formula>ABS(I$7-I$10)&gt;=1000</formula>
    </cfRule>
  </conditionalFormatting>
  <conditionalFormatting sqref="J4:J11">
    <cfRule type="expression" dxfId="755" priority="91">
      <formula>ABS(J$7-J$10)&gt;=1000</formula>
    </cfRule>
  </conditionalFormatting>
  <conditionalFormatting sqref="K4:K11">
    <cfRule type="expression" dxfId="754" priority="90">
      <formula>ABS(K$7-K$10)&gt;=1000</formula>
    </cfRule>
  </conditionalFormatting>
  <conditionalFormatting sqref="L4:L11">
    <cfRule type="expression" dxfId="753" priority="89">
      <formula>ABS(L$7-L$10)&gt;=1000</formula>
    </cfRule>
  </conditionalFormatting>
  <conditionalFormatting sqref="M4 M6:M11">
    <cfRule type="expression" dxfId="752" priority="88">
      <formula>ABS(M$7-M$10)&gt;=1000</formula>
    </cfRule>
  </conditionalFormatting>
  <conditionalFormatting sqref="N4 N6:N11">
    <cfRule type="expression" dxfId="751" priority="87">
      <formula>ABS(N$7-N$10)&gt;=1000</formula>
    </cfRule>
  </conditionalFormatting>
  <conditionalFormatting sqref="O4 O6:O11">
    <cfRule type="expression" dxfId="750" priority="86">
      <formula>ABS(O$7-O$10)&gt;=1000</formula>
    </cfRule>
  </conditionalFormatting>
  <conditionalFormatting sqref="P4 P6:P11">
    <cfRule type="expression" dxfId="749" priority="85">
      <formula>ABS(P$7-P$10)&gt;=1000</formula>
    </cfRule>
  </conditionalFormatting>
  <conditionalFormatting sqref="Q4:Q11">
    <cfRule type="expression" dxfId="748" priority="84">
      <formula>ABS(Q$7-Q$10)&gt;=1000</formula>
    </cfRule>
  </conditionalFormatting>
  <conditionalFormatting sqref="R4:R11">
    <cfRule type="expression" dxfId="747" priority="83">
      <formula>ABS(R$7-R$10)&gt;=1000</formula>
    </cfRule>
  </conditionalFormatting>
  <conditionalFormatting sqref="S4:S11">
    <cfRule type="expression" dxfId="746" priority="82">
      <formula>ABS(S$7-S$10)&gt;=1000</formula>
    </cfRule>
  </conditionalFormatting>
  <conditionalFormatting sqref="T4:T9 T11">
    <cfRule type="expression" dxfId="745" priority="81">
      <formula>ABS(T$7-T$10)&gt;=1000</formula>
    </cfRule>
  </conditionalFormatting>
  <conditionalFormatting sqref="U4:U9 U11">
    <cfRule type="expression" dxfId="744" priority="80">
      <formula>ABS(U$7-U$10)&gt;=1000</formula>
    </cfRule>
  </conditionalFormatting>
  <conditionalFormatting sqref="V4:V9 V11">
    <cfRule type="expression" dxfId="743" priority="79">
      <formula>ABS(V$7-V$10)&gt;=1000</formula>
    </cfRule>
  </conditionalFormatting>
  <conditionalFormatting sqref="W4:W9 W11">
    <cfRule type="expression" dxfId="742" priority="78">
      <formula>ABS(W$7-W$10)&gt;=1000</formula>
    </cfRule>
  </conditionalFormatting>
  <conditionalFormatting sqref="X4:X9 X11">
    <cfRule type="expression" dxfId="741" priority="77">
      <formula>ABS(X$7-X$10)&gt;=1000</formula>
    </cfRule>
  </conditionalFormatting>
  <conditionalFormatting sqref="Y4:Y9 Y11">
    <cfRule type="expression" dxfId="740" priority="76">
      <formula>ABS(Y$7-Y$10)&gt;=1000</formula>
    </cfRule>
  </conditionalFormatting>
  <conditionalFormatting sqref="Z4:Z11">
    <cfRule type="expression" dxfId="739" priority="75">
      <formula>ABS(Z$7-Z$10)&gt;=1000</formula>
    </cfRule>
  </conditionalFormatting>
  <conditionalFormatting sqref="AA4:AA11">
    <cfRule type="expression" dxfId="738" priority="74">
      <formula>ABS(AA$7-AA$10)&gt;=1000</formula>
    </cfRule>
  </conditionalFormatting>
  <conditionalFormatting sqref="AB4:AB11">
    <cfRule type="expression" dxfId="737" priority="73">
      <formula>ABS(AB$7-AB$10)&gt;=1000</formula>
    </cfRule>
  </conditionalFormatting>
  <conditionalFormatting sqref="AC4 AC6:AC11">
    <cfRule type="expression" dxfId="736" priority="72">
      <formula>ABS(AC$7-AC$10)&gt;=1000</formula>
    </cfRule>
  </conditionalFormatting>
  <conditionalFormatting sqref="AD4:AD11">
    <cfRule type="expression" dxfId="735" priority="71">
      <formula>ABS(AD$7-AD$10)&gt;=1000</formula>
    </cfRule>
  </conditionalFormatting>
  <conditionalFormatting sqref="AE4:AE11">
    <cfRule type="expression" dxfId="734" priority="70">
      <formula>ABS(AE$7-AE$10)&gt;=1000</formula>
    </cfRule>
  </conditionalFormatting>
  <conditionalFormatting sqref="D13:D20">
    <cfRule type="expression" dxfId="733" priority="69">
      <formula>ABS(D$16-D$19)&gt;=1000</formula>
    </cfRule>
  </conditionalFormatting>
  <conditionalFormatting sqref="E13:E20">
    <cfRule type="expression" dxfId="732" priority="68">
      <formula>ABS(E$16-E$19)&gt;=1000</formula>
    </cfRule>
  </conditionalFormatting>
  <conditionalFormatting sqref="F13 F15:F20">
    <cfRule type="expression" dxfId="731" priority="67">
      <formula>ABS(F$16-F$19)&gt;=1000</formula>
    </cfRule>
  </conditionalFormatting>
  <conditionalFormatting sqref="G13:G20">
    <cfRule type="expression" dxfId="730" priority="66">
      <formula>ABS(G$16-G$19)&gt;=1000</formula>
    </cfRule>
  </conditionalFormatting>
  <conditionalFormatting sqref="H13:H20">
    <cfRule type="expression" dxfId="729" priority="65">
      <formula>ABS(H$16-H$19)&gt;=1000</formula>
    </cfRule>
  </conditionalFormatting>
  <conditionalFormatting sqref="I13:I20">
    <cfRule type="expression" dxfId="728" priority="64">
      <formula>ABS(I$16-I$19)&gt;=1000</formula>
    </cfRule>
  </conditionalFormatting>
  <conditionalFormatting sqref="J13:J20">
    <cfRule type="expression" dxfId="727" priority="63">
      <formula>ABS(J$16-J$19)&gt;=1000</formula>
    </cfRule>
  </conditionalFormatting>
  <conditionalFormatting sqref="L13:L20">
    <cfRule type="expression" dxfId="726" priority="62">
      <formula>ABS(L$16-L$19)&gt;=1000</formula>
    </cfRule>
  </conditionalFormatting>
  <conditionalFormatting sqref="M13 M15 M17:M18 M20">
    <cfRule type="expression" dxfId="725" priority="61">
      <formula>ABS(M$16-M$19)&gt;=1000</formula>
    </cfRule>
  </conditionalFormatting>
  <conditionalFormatting sqref="N13:N20">
    <cfRule type="expression" dxfId="724" priority="60">
      <formula>ABS(N$16-N$19)&gt;=1000</formula>
    </cfRule>
  </conditionalFormatting>
  <conditionalFormatting sqref="O13:O20">
    <cfRule type="expression" dxfId="723" priority="59">
      <formula>ABS(O$16-O$19)&gt;=1000</formula>
    </cfRule>
  </conditionalFormatting>
  <conditionalFormatting sqref="P13:P20">
    <cfRule type="expression" dxfId="722" priority="58">
      <formula>ABS(P$16-P$19)&gt;=1000</formula>
    </cfRule>
  </conditionalFormatting>
  <conditionalFormatting sqref="Q13 Q15:Q20">
    <cfRule type="expression" dxfId="721" priority="57">
      <formula>ABS(Q$16-Q$19)&gt;=1000</formula>
    </cfRule>
  </conditionalFormatting>
  <conditionalFormatting sqref="R13:R20">
    <cfRule type="expression" dxfId="720" priority="56">
      <formula>ABS(R$16-R$19)&gt;=1000</formula>
    </cfRule>
  </conditionalFormatting>
  <conditionalFormatting sqref="S13:S20">
    <cfRule type="expression" dxfId="719" priority="55">
      <formula>ABS(S$16-S$19)&gt;=1000</formula>
    </cfRule>
  </conditionalFormatting>
  <conditionalFormatting sqref="T13:T20">
    <cfRule type="expression" dxfId="718" priority="54">
      <formula>ABS(T$16-T$19)&gt;=1000</formula>
    </cfRule>
  </conditionalFormatting>
  <conditionalFormatting sqref="U13:U20">
    <cfRule type="expression" dxfId="717" priority="53">
      <formula>ABS(U$16-U$19)&gt;=1000</formula>
    </cfRule>
  </conditionalFormatting>
  <conditionalFormatting sqref="V13:V20">
    <cfRule type="expression" dxfId="716" priority="52">
      <formula>ABS(V$16-V$19)&gt;=1000</formula>
    </cfRule>
  </conditionalFormatting>
  <conditionalFormatting sqref="W13 W20 W15:W18">
    <cfRule type="expression" dxfId="715" priority="51">
      <formula>ABS(W$16-W$19)&gt;=1000</formula>
    </cfRule>
  </conditionalFormatting>
  <conditionalFormatting sqref="X13 X15:X20 Y19">
    <cfRule type="expression" dxfId="714" priority="50">
      <formula>ABS(X$16-X$19)&gt;=1000</formula>
    </cfRule>
  </conditionalFormatting>
  <conditionalFormatting sqref="Y13 Y15:Y18 Y20">
    <cfRule type="expression" dxfId="713" priority="49">
      <formula>ABS(Y$16-Y$19)&gt;=1000</formula>
    </cfRule>
  </conditionalFormatting>
  <conditionalFormatting sqref="Z13:Z20">
    <cfRule type="expression" dxfId="712" priority="48">
      <formula>ABS(Z$16-Z$19)&gt;=1000</formula>
    </cfRule>
  </conditionalFormatting>
  <conditionalFormatting sqref="AA13:AA20">
    <cfRule type="expression" dxfId="711" priority="47">
      <formula>ABS(AA$16-AA$19)&gt;=1000</formula>
    </cfRule>
  </conditionalFormatting>
  <conditionalFormatting sqref="AB13 AB15:AB20">
    <cfRule type="expression" dxfId="710" priority="46">
      <formula>ABS(AB$16-AB$19)&gt;=1000</formula>
    </cfRule>
  </conditionalFormatting>
  <conditionalFormatting sqref="AC13 AC15:AC20">
    <cfRule type="expression" dxfId="709" priority="45">
      <formula>ABS(AC$16-AC$19)&gt;=1000</formula>
    </cfRule>
  </conditionalFormatting>
  <conditionalFormatting sqref="AD13:AD20">
    <cfRule type="expression" dxfId="708" priority="44">
      <formula>ABS(AD$16-AD$19)&gt;=1000</formula>
    </cfRule>
  </conditionalFormatting>
  <conditionalFormatting sqref="AE13:AE20">
    <cfRule type="expression" dxfId="707" priority="43">
      <formula>ABS(AE$16-AE$19)&gt;=1000</formula>
    </cfRule>
  </conditionalFormatting>
  <conditionalFormatting sqref="D22:D29">
    <cfRule type="expression" dxfId="706" priority="42">
      <formula>ABS(D$25-D$28)&gt;=1000</formula>
    </cfRule>
  </conditionalFormatting>
  <conditionalFormatting sqref="E22:E29">
    <cfRule type="expression" dxfId="705" priority="41">
      <formula>ABS(E$25-E$28)&gt;=1000</formula>
    </cfRule>
  </conditionalFormatting>
  <conditionalFormatting sqref="F22:F29">
    <cfRule type="expression" dxfId="704" priority="40">
      <formula>ABS(F$25-F$28)&gt;=1000</formula>
    </cfRule>
  </conditionalFormatting>
  <conditionalFormatting sqref="G22:G29">
    <cfRule type="expression" dxfId="703" priority="39">
      <formula>ABS(G$25-G$28)&gt;=1000</formula>
    </cfRule>
  </conditionalFormatting>
  <conditionalFormatting sqref="H22:H29">
    <cfRule type="expression" dxfId="702" priority="38">
      <formula>ABS(H$25-H$28)&gt;=1000</formula>
    </cfRule>
  </conditionalFormatting>
  <conditionalFormatting sqref="I22 I24:I29">
    <cfRule type="expression" dxfId="701" priority="37">
      <formula>ABS(I$25-I$28)&gt;=1000</formula>
    </cfRule>
  </conditionalFormatting>
  <conditionalFormatting sqref="J22:J29 K22">
    <cfRule type="expression" dxfId="700" priority="36">
      <formula>ABS(J$25-J$28)&gt;=1000</formula>
    </cfRule>
  </conditionalFormatting>
  <conditionalFormatting sqref="K23:K29 L25 L28">
    <cfRule type="expression" dxfId="699" priority="35">
      <formula>ABS(K$25-K$28)&gt;=1000</formula>
    </cfRule>
  </conditionalFormatting>
  <conditionalFormatting sqref="L22 L26:L27 L29 L24">
    <cfRule type="expression" dxfId="698" priority="34">
      <formula>ABS(L$25-L$28)&gt;=1000</formula>
    </cfRule>
  </conditionalFormatting>
  <conditionalFormatting sqref="M22:M29">
    <cfRule type="expression" dxfId="697" priority="33">
      <formula>ABS(M$25-M$28)&gt;=1000</formula>
    </cfRule>
  </conditionalFormatting>
  <conditionalFormatting sqref="N22:N29">
    <cfRule type="expression" dxfId="696" priority="32">
      <formula>ABS(N$25-N$28)&gt;=1000</formula>
    </cfRule>
  </conditionalFormatting>
  <conditionalFormatting sqref="O22:O29">
    <cfRule type="expression" dxfId="695" priority="31">
      <formula>ABS(O$25-O$28)&gt;=1000</formula>
    </cfRule>
  </conditionalFormatting>
  <conditionalFormatting sqref="P22:P29">
    <cfRule type="expression" dxfId="694" priority="30">
      <formula>ABS(P$25-P$28)&gt;=1000</formula>
    </cfRule>
  </conditionalFormatting>
  <conditionalFormatting sqref="Q22:Q29">
    <cfRule type="expression" dxfId="693" priority="29">
      <formula>ABS(Q$25-Q$28)&gt;=1000</formula>
    </cfRule>
  </conditionalFormatting>
  <conditionalFormatting sqref="R22:R29">
    <cfRule type="expression" dxfId="692" priority="28">
      <formula>ABS(R$25-R$28)&gt;=1000</formula>
    </cfRule>
  </conditionalFormatting>
  <conditionalFormatting sqref="S22:S29">
    <cfRule type="expression" dxfId="691" priority="27">
      <formula>ABS(S$25-S$28)&gt;=1000</formula>
    </cfRule>
  </conditionalFormatting>
  <conditionalFormatting sqref="T22:T29">
    <cfRule type="expression" dxfId="690" priority="26">
      <formula>ABS(T$25-T$28)&gt;=1000</formula>
    </cfRule>
  </conditionalFormatting>
  <conditionalFormatting sqref="U22:U29">
    <cfRule type="expression" dxfId="689" priority="25">
      <formula>ABS(U$25-U$28)&gt;=1000</formula>
    </cfRule>
  </conditionalFormatting>
  <conditionalFormatting sqref="V22:V29">
    <cfRule type="expression" dxfId="688" priority="24">
      <formula>ABS(V$25-V$28)&gt;=1000</formula>
    </cfRule>
  </conditionalFormatting>
  <conditionalFormatting sqref="W22:W29">
    <cfRule type="expression" dxfId="687" priority="23">
      <formula>ABS(W$25-W$28)&gt;=1000</formula>
    </cfRule>
  </conditionalFormatting>
  <conditionalFormatting sqref="X22:X29">
    <cfRule type="expression" dxfId="686" priority="22">
      <formula>ABS(X$25-X$28)&gt;=1000</formula>
    </cfRule>
  </conditionalFormatting>
  <conditionalFormatting sqref="Y22:Y29">
    <cfRule type="expression" dxfId="685" priority="21">
      <formula>ABS(Y$25-Y$28)&gt;=1000</formula>
    </cfRule>
  </conditionalFormatting>
  <conditionalFormatting sqref="I23">
    <cfRule type="expression" dxfId="684" priority="20">
      <formula>ABS(I$25-I$28)&gt;=1000</formula>
    </cfRule>
  </conditionalFormatting>
  <conditionalFormatting sqref="F14">
    <cfRule type="expression" dxfId="683" priority="19">
      <formula>ABS(F$16-F$19)&gt;=1000</formula>
    </cfRule>
  </conditionalFormatting>
  <conditionalFormatting sqref="Q14">
    <cfRule type="expression" dxfId="682" priority="18">
      <formula>ABS(Q$16-Q$19)&gt;=1000</formula>
    </cfRule>
  </conditionalFormatting>
  <conditionalFormatting sqref="W14">
    <cfRule type="expression" dxfId="681" priority="17">
      <formula>ABS(W$16-W$19)&gt;=1000</formula>
    </cfRule>
  </conditionalFormatting>
  <conditionalFormatting sqref="Y14">
    <cfRule type="expression" dxfId="680" priority="16">
      <formula>ABS(Y$16-Y$19)&gt;=1000</formula>
    </cfRule>
  </conditionalFormatting>
  <conditionalFormatting sqref="X14">
    <cfRule type="expression" dxfId="679" priority="15">
      <formula>ABS(X$16-X$19)&gt;=1000</formula>
    </cfRule>
  </conditionalFormatting>
  <conditionalFormatting sqref="T10:Y10">
    <cfRule type="expression" dxfId="678" priority="14">
      <formula>ABS(T$7-T$10)&gt;=1000</formula>
    </cfRule>
  </conditionalFormatting>
  <conditionalFormatting sqref="W19">
    <cfRule type="expression" dxfId="677" priority="13">
      <formula>ABS(W$16-W$19)&gt;=1000</formula>
    </cfRule>
  </conditionalFormatting>
  <conditionalFormatting sqref="AC5">
    <cfRule type="expression" dxfId="676" priority="12">
      <formula>ABS(AC$7-AC$10)&gt;=1000</formula>
    </cfRule>
  </conditionalFormatting>
  <conditionalFormatting sqref="M14">
    <cfRule type="expression" dxfId="675" priority="11">
      <formula>ABS(M$16-M$19)&gt;=1000</formula>
    </cfRule>
  </conditionalFormatting>
  <conditionalFormatting sqref="M16">
    <cfRule type="expression" dxfId="674" priority="10">
      <formula>ABS(M$16-M$19)&gt;=1000</formula>
    </cfRule>
  </conditionalFormatting>
  <conditionalFormatting sqref="M19">
    <cfRule type="expression" dxfId="673" priority="9">
      <formula>ABS(M$16-M$19)&gt;=1000</formula>
    </cfRule>
  </conditionalFormatting>
  <conditionalFormatting sqref="K13:K20">
    <cfRule type="expression" dxfId="672" priority="8">
      <formula>ABS(K$16-K$19)&gt;=1000</formula>
    </cfRule>
  </conditionalFormatting>
  <conditionalFormatting sqref="E5">
    <cfRule type="expression" dxfId="671" priority="7">
      <formula>ABS(E$7-E$10)&gt;=1000</formula>
    </cfRule>
  </conditionalFormatting>
  <conditionalFormatting sqref="AB14:AC14">
    <cfRule type="expression" dxfId="670" priority="6">
      <formula>ABS(AB$16-AB$19)&gt;=1000</formula>
    </cfRule>
  </conditionalFormatting>
  <conditionalFormatting sqref="M5">
    <cfRule type="expression" dxfId="669" priority="5">
      <formula>ABS(M$7-M$10)&gt;=1000</formula>
    </cfRule>
  </conditionalFormatting>
  <conditionalFormatting sqref="N5">
    <cfRule type="expression" dxfId="668" priority="4">
      <formula>ABS(N$7-N$10)&gt;=1000</formula>
    </cfRule>
  </conditionalFormatting>
  <conditionalFormatting sqref="O5">
    <cfRule type="expression" dxfId="667" priority="3">
      <formula>ABS(O$7-O$10)&gt;=1000</formula>
    </cfRule>
  </conditionalFormatting>
  <conditionalFormatting sqref="P5">
    <cfRule type="expression" dxfId="666" priority="2">
      <formula>ABS(P$7-P$10)&gt;=1000</formula>
    </cfRule>
  </conditionalFormatting>
  <conditionalFormatting sqref="L23">
    <cfRule type="expression" dxfId="665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54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5">
    <pageSetUpPr fitToPage="1"/>
  </sheetPr>
  <dimension ref="A1:CU223"/>
  <sheetViews>
    <sheetView view="pageBreakPreview" topLeftCell="A4" zoomScale="80" zoomScaleNormal="100" zoomScaleSheetLayoutView="80" workbookViewId="0">
      <selection activeCell="P23" sqref="P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45832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2" t="s" ph="1">
        <v>178</v>
      </c>
      <c r="D6" s="71">
        <v>5132</v>
      </c>
      <c r="E6" s="71">
        <v>7294</v>
      </c>
      <c r="F6" s="71">
        <v>2318</v>
      </c>
      <c r="G6" s="71">
        <v>2905</v>
      </c>
      <c r="H6" s="71">
        <v>7036</v>
      </c>
      <c r="I6" s="71">
        <v>63.31</v>
      </c>
      <c r="J6" s="71">
        <v>7.71</v>
      </c>
      <c r="K6" s="71">
        <v>75.11</v>
      </c>
      <c r="L6" s="71">
        <v>60.21</v>
      </c>
      <c r="M6" s="71">
        <v>5318</v>
      </c>
      <c r="N6" s="71">
        <v>3474</v>
      </c>
      <c r="O6" s="71">
        <v>5348</v>
      </c>
      <c r="P6" s="71">
        <v>1308</v>
      </c>
      <c r="Q6" s="71">
        <v>3758</v>
      </c>
      <c r="R6" s="71">
        <v>7116</v>
      </c>
      <c r="S6" s="71">
        <v>5335</v>
      </c>
      <c r="T6" s="71">
        <v>7026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2454</v>
      </c>
      <c r="AA6" s="71">
        <v>558</v>
      </c>
      <c r="AB6" s="71">
        <v>3765</v>
      </c>
      <c r="AC6" s="71">
        <v>5505</v>
      </c>
      <c r="AD6" s="71">
        <v>4410</v>
      </c>
      <c r="AE6" s="71">
        <v>2003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160644.52950947999</v>
      </c>
      <c r="E7" s="73" ph="1">
        <f>E6*51.53*LOOKUP(E8,密度!$A$2:$A$50,密度!$B$2:$B$50)</f>
        <v>291404.11844599998</v>
      </c>
      <c r="F7" s="73" ph="1">
        <f>F6*33.183*LOOKUP(F8,密度!$A$2:$A$50,密度!$C$2:$C$50)</f>
        <v>85179.208035599993</v>
      </c>
      <c r="G7" s="73" ph="1">
        <f xml:space="preserve"> (G6+2)*51.53*LOOKUP(G8,密度!$A$2:$A$50,密度!$B$2:$B$50)</f>
        <v>116392.82067</v>
      </c>
      <c r="H7" s="73" ph="1">
        <f>(H6)*51.53*LOOKUP(H8,密度!$A$2:$A$50,密度!$B$2:$B$50)</f>
        <v>282655.73636799998</v>
      </c>
      <c r="I7" s="73" ph="1">
        <f>I6*290.8*1.0267</f>
        <v>18902.1096316</v>
      </c>
      <c r="J7" s="73" ph="1">
        <f>J6*290.8*0.7892</f>
        <v>1769.4400656000003</v>
      </c>
      <c r="K7" s="73" ph="1">
        <f>K6*290.8*1.1126</f>
        <v>24301.395848800003</v>
      </c>
      <c r="L7" s="73" ph="1">
        <f>L6*290.8*0.777</f>
        <v>13604.545835999999</v>
      </c>
      <c r="M7" s="73" ph="1">
        <f>M6*33.183*LOOKUP(M8,密度!$A$2:$A$50,密度!$D$2:$D$50)</f>
        <v>180349.47226799998</v>
      </c>
      <c r="N7" s="73" ph="1">
        <f>N6*33.183*LOOKUP(N8,密度!$A$2:$A$50,密度!$E$2:$E$50)</f>
        <v>89639.972179199991</v>
      </c>
      <c r="O7" s="73" ph="1">
        <f>O6*20.428*LOOKUP(O8,密度!$A$2:$A$50,密度!$C$2:$C$50)</f>
        <v>120272.1624496</v>
      </c>
      <c r="P7" s="73" ph="1">
        <f>P6*51.53*LOOKUP(P8,密度!$A$2:$A$50,密度!$B$2:$B$50)</f>
        <v>52431.424596000004</v>
      </c>
      <c r="Q7" s="73" ph="1">
        <f>Q6*1.5*1.5*3.1416*LOOKUP(W8,密度!$A$2:$A$50,密度!$L$2:$L$50)</f>
        <v>24810.588079200003</v>
      </c>
      <c r="R7" s="73" ph="1">
        <f>R6*1.5*1.5*3.1416*LOOKUP(R8,密度!$A$2:$A$50,密度!$L$2:$L$50)</f>
        <v>46678.546252799999</v>
      </c>
      <c r="S7" s="73" ph="1">
        <f>S6*1.5*1.5*3.1416*LOOKUP(S8,密度!$A$2:$A$50,密度!$L$2:$L$50)</f>
        <v>35372.900177999996</v>
      </c>
      <c r="T7" s="73" ph="1">
        <f>T6*1.5*1.5*3.1416*LOOKUP(T8,密度!$A$2:$A$50,密度!$L$2:$L$50)</f>
        <v>46584.816616799995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76138.061669999996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79034.17519200001</v>
      </c>
      <c r="AC7" s="73" ph="1">
        <f>AC6*51.53*LOOKUP(AC8,密度!$A$2:$A$50,密度!$Q$2:$Q$50)</f>
        <v>267767.12451450003</v>
      </c>
      <c r="AD7" s="73" ph="1">
        <f>AD6*20.428*LOOKUP(AD8,密度!$A$2:$A$50,密度!$V$2:$V$50)</f>
        <v>86267.770848000015</v>
      </c>
      <c r="AE7" s="73" ph="1">
        <f>AE6*20.428</f>
        <v>40917.284</v>
      </c>
    </row>
    <row r="8" spans="1:99" ph="1">
      <c r="B8" s="256" ph="1"/>
      <c r="C8" s="68" t="s" ph="1">
        <v>180</v>
      </c>
      <c r="D8" s="74">
        <v>30</v>
      </c>
      <c r="E8" s="74">
        <v>30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27</v>
      </c>
      <c r="Q8" s="74">
        <v>31</v>
      </c>
      <c r="R8" s="74">
        <v>34</v>
      </c>
      <c r="S8" s="74">
        <v>24</v>
      </c>
      <c r="T8" s="74">
        <v>24</v>
      </c>
      <c r="U8" s="74">
        <v>28</v>
      </c>
      <c r="V8" s="74">
        <v>28</v>
      </c>
      <c r="W8" s="74">
        <v>28</v>
      </c>
      <c r="X8" s="74">
        <v>22</v>
      </c>
      <c r="Y8" s="74">
        <v>27</v>
      </c>
      <c r="Z8" s="74">
        <v>27</v>
      </c>
      <c r="AA8" s="74">
        <v>28</v>
      </c>
      <c r="AB8" s="74">
        <v>24</v>
      </c>
      <c r="AC8" s="74">
        <v>29</v>
      </c>
      <c r="AD8" s="74">
        <v>27</v>
      </c>
      <c r="AE8" s="74">
        <v>29</v>
      </c>
    </row>
    <row r="9" spans="1:99" ht="26.4" ph="1">
      <c r="B9" s="256" ph="1">
        <v>0.66666666666666663</v>
      </c>
      <c r="C9" s="172" t="s" ph="1">
        <v>181</v>
      </c>
      <c r="D9" s="71">
        <v>5135</v>
      </c>
      <c r="E9" s="71">
        <v>7294</v>
      </c>
      <c r="F9" s="71">
        <v>3736</v>
      </c>
      <c r="G9" s="71">
        <v>2603</v>
      </c>
      <c r="H9" s="71">
        <v>7038</v>
      </c>
      <c r="I9" s="71">
        <v>63.31</v>
      </c>
      <c r="J9" s="71">
        <v>7.81</v>
      </c>
      <c r="K9" s="71">
        <v>36.409999999999997</v>
      </c>
      <c r="L9" s="71">
        <v>18.91</v>
      </c>
      <c r="M9" s="71">
        <v>5320</v>
      </c>
      <c r="N9" s="71">
        <v>3251</v>
      </c>
      <c r="O9" s="71">
        <v>5348</v>
      </c>
      <c r="P9" s="71">
        <v>988</v>
      </c>
      <c r="Q9" s="71">
        <v>175</v>
      </c>
      <c r="R9" s="71">
        <v>7124</v>
      </c>
      <c r="S9" s="71">
        <v>5343</v>
      </c>
      <c r="T9" s="71">
        <v>7035</v>
      </c>
      <c r="U9" s="71">
        <v>2587</v>
      </c>
      <c r="V9" s="71">
        <v>1802</v>
      </c>
      <c r="W9" s="71">
        <v>0</v>
      </c>
      <c r="X9" s="71">
        <v>0</v>
      </c>
      <c r="Y9" s="71">
        <v>0</v>
      </c>
      <c r="Z9" s="71">
        <v>3276</v>
      </c>
      <c r="AA9" s="71">
        <v>558</v>
      </c>
      <c r="AB9" s="71">
        <v>3768</v>
      </c>
      <c r="AC9" s="71">
        <v>5506</v>
      </c>
      <c r="AD9" s="71">
        <v>4417</v>
      </c>
      <c r="AE9" s="71">
        <v>1810</v>
      </c>
    </row>
    <row r="10" spans="1:99" s="72" customFormat="1" ht="22.2" ph="1">
      <c r="B10" s="256" ph="1"/>
      <c r="C10" s="172" t="s" ph="1">
        <v>179</v>
      </c>
      <c r="D10" s="73" ph="1">
        <f>D9*33.183*LOOKUP(D11,密度!$A$2:$A$50,密度!$Q$2:$Q$50)</f>
        <v>160384.01608124998</v>
      </c>
      <c r="E10" s="73" ph="1">
        <f>E9*51.53*LOOKUP(E11,密度!$A$2:$A$50,密度!$B$2:$B$50)</f>
        <v>290727.57076999999</v>
      </c>
      <c r="F10" s="73" ph="1">
        <f>F9*33.183*LOOKUP(F11,密度!$A$2:$A$50,密度!$C$2:$C$50)</f>
        <v>136616.80017600002</v>
      </c>
      <c r="G10" s="73" ph="1">
        <f xml:space="preserve"> (G9+2)*51.53*LOOKUP(G11,密度!$A$2:$A$50,密度!$B$2:$B$50)</f>
        <v>103952.08735999999</v>
      </c>
      <c r="H10" s="73" ph="1">
        <f>(H9)*51.53*LOOKUP(H11,密度!$A$2:$A$50,密度!$B$2:$B$50)</f>
        <v>281176.60894200002</v>
      </c>
      <c r="I10" s="73" ph="1">
        <f>I9*290.8*1.0267</f>
        <v>18902.1096316</v>
      </c>
      <c r="J10" s="73" ph="1">
        <f>J9*290.8*0.7892</f>
        <v>1792.3900016000002</v>
      </c>
      <c r="K10" s="73" ph="1">
        <f>K9*290.8*1.1126</f>
        <v>11780.239952800001</v>
      </c>
      <c r="L10" s="73" ph="1">
        <f>L9*290.8*0.777</f>
        <v>4272.7447560000001</v>
      </c>
      <c r="M10" s="73" ph="1">
        <f>M9*33.183*LOOKUP(M11,密度!$A$2:$A$50,密度!$D$2:$D$50)</f>
        <v>179181.56339999998</v>
      </c>
      <c r="N10" s="73" ph="1">
        <f>N9*33.183*LOOKUP(N11,密度!$A$2:$A$50,密度!$E$2:$E$50)</f>
        <v>83518.016949270008</v>
      </c>
      <c r="O10" s="73" ph="1">
        <f>O9*20.428*LOOKUP(O11,密度!$A$2:$A$50,密度!$C$2:$C$50)</f>
        <v>119933.49072320001</v>
      </c>
      <c r="P10" s="73" ph="1">
        <f>P9*51.53*LOOKUP(P11,密度!$A$2:$A$50,密度!$B$2:$B$50)</f>
        <v>39339.424228000003</v>
      </c>
      <c r="Q10" s="73" ph="1">
        <f>Q9*1.5*1.5*3.1416*LOOKUP(W11,密度!$A$2:$A$50,密度!$L$2:$L$50)</f>
        <v>1141.755615</v>
      </c>
      <c r="R10" s="73" ph="1">
        <f>R9*1.5*1.5*3.1416*LOOKUP(R11,密度!$A$2:$A$50,密度!$L$2:$L$50)</f>
        <v>46579.953420000005</v>
      </c>
      <c r="S10" s="73" ph="1">
        <f>S9*1.5*1.5*3.1416*LOOKUP(S11,密度!$A$2:$A$50,密度!$L$2:$L$50)</f>
        <v>35388.175422599998</v>
      </c>
      <c r="T10" s="73" ph="1">
        <f>T9*1.5*1.5*3.1416*LOOKUP(T11,密度!$A$2:$A$50,密度!$L$2:$L$50)</f>
        <v>46545.034536000006</v>
      </c>
      <c r="U10" s="73" ph="1">
        <f>U9*1.5*1.5*3.1416*LOOKUP(U11,密度!$A$2:$A$50,密度!$L$2:$L$50)</f>
        <v>17116.134235199999</v>
      </c>
      <c r="V10" s="73" ph="1">
        <f>V9*1.5*1.5*3.1416*LOOKUP(V11,密度!$A$2:$A$50,密度!$L$2:$L$50)</f>
        <v>11896.934464800001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100771.859916</v>
      </c>
      <c r="AA10" s="73" ph="1">
        <f>AA9*33.183*LOOKUP(AA11,密度!$A$2:$A$50,密度!$D$2:$D$50)</f>
        <v>18712.384808400002</v>
      </c>
      <c r="AB10" s="73" ph="1">
        <f>AB9*20.428*LOOKUP(AB11,密度!$A$2:$A$50,密度!$D$2:$D$50)</f>
        <v>78958.599763200007</v>
      </c>
      <c r="AC10" s="73" ph="1">
        <f>AC9*51.53*LOOKUP(AC11,密度!$A$2:$A$50,密度!$Q$2:$Q$50)</f>
        <v>267055.384425</v>
      </c>
      <c r="AD10" s="73" ph="1">
        <f>AD9*20.428*LOOKUP(AD11,密度!$A$2:$A$50,密度!$V$2:$V$50)</f>
        <v>86404.703817600006</v>
      </c>
      <c r="AE10" s="73" ph="1">
        <f>AE9*20.428</f>
        <v>36974.68</v>
      </c>
    </row>
    <row r="11" spans="1:99" ph="1">
      <c r="A11" s="64" t="s" ph="1">
        <v>163</v>
      </c>
      <c r="B11" s="256" ph="1"/>
      <c r="C11" s="172" t="s" ph="1">
        <v>180</v>
      </c>
      <c r="D11" s="74">
        <v>33</v>
      </c>
      <c r="E11" s="74">
        <v>32</v>
      </c>
      <c r="F11" s="74">
        <v>33</v>
      </c>
      <c r="G11" s="74">
        <v>31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33</v>
      </c>
      <c r="O11" s="74">
        <v>37</v>
      </c>
      <c r="P11" s="74">
        <v>33</v>
      </c>
      <c r="Q11" s="74">
        <v>37</v>
      </c>
      <c r="R11" s="74">
        <v>37</v>
      </c>
      <c r="S11" s="74">
        <v>25</v>
      </c>
      <c r="T11" s="74">
        <v>26</v>
      </c>
      <c r="U11" s="74">
        <v>26</v>
      </c>
      <c r="V11" s="74">
        <v>28</v>
      </c>
      <c r="W11" s="74">
        <v>39</v>
      </c>
      <c r="X11" s="74">
        <v>30</v>
      </c>
      <c r="Y11" s="74">
        <v>33</v>
      </c>
      <c r="Z11" s="74">
        <v>35</v>
      </c>
      <c r="AA11" s="74">
        <v>43</v>
      </c>
      <c r="AB11" s="74">
        <v>26</v>
      </c>
      <c r="AC11" s="74">
        <v>33</v>
      </c>
      <c r="AD11" s="74">
        <v>31</v>
      </c>
      <c r="AE11" s="74">
        <v>33</v>
      </c>
    </row>
    <row r="12" spans="1:99" ht="9.9" customHeight="1" ph="1"/>
    <row r="13" spans="1:99" s="72" customFormat="1" ht="29.25" customHeight="1" ph="1">
      <c r="B13" s="233" t="s" ph="1">
        <v>37</v>
      </c>
      <c r="C13" s="172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2" t="s" ph="1">
        <v>178</v>
      </c>
      <c r="D15" s="78">
        <v>2384</v>
      </c>
      <c r="E15" s="78">
        <v>75</v>
      </c>
      <c r="F15" s="78">
        <v>2759</v>
      </c>
      <c r="G15" s="78">
        <v>1606</v>
      </c>
      <c r="H15" s="78">
        <v>1849</v>
      </c>
      <c r="I15" s="78">
        <v>118</v>
      </c>
      <c r="J15" s="78">
        <v>1776</v>
      </c>
      <c r="K15" s="78">
        <v>2082</v>
      </c>
      <c r="L15" s="78">
        <v>5211</v>
      </c>
      <c r="M15" s="78">
        <v>5474</v>
      </c>
      <c r="N15" s="78">
        <v>231</v>
      </c>
      <c r="O15" s="78">
        <v>6095</v>
      </c>
      <c r="P15" s="78">
        <v>7174</v>
      </c>
      <c r="Q15" s="78">
        <v>0</v>
      </c>
      <c r="R15" s="78">
        <v>3516</v>
      </c>
      <c r="S15" s="78">
        <v>4219</v>
      </c>
      <c r="T15" s="78">
        <v>2634</v>
      </c>
      <c r="U15" s="78">
        <v>3722</v>
      </c>
      <c r="V15" s="78">
        <v>3203</v>
      </c>
      <c r="W15" s="71">
        <v>-372</v>
      </c>
      <c r="X15" s="78">
        <v>-87</v>
      </c>
      <c r="Y15" s="106">
        <v>-9907</v>
      </c>
      <c r="Z15" s="78">
        <v>0</v>
      </c>
      <c r="AA15" s="78">
        <v>0</v>
      </c>
      <c r="AB15" s="78" ph="1">
        <v>2372</v>
      </c>
      <c r="AC15" s="78" ph="1">
        <v>0</v>
      </c>
      <c r="AD15" s="78">
        <v>46.91</v>
      </c>
      <c r="AE15" s="78">
        <v>84.62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2" t="s" ph="1">
        <v>179</v>
      </c>
      <c r="D16" s="73" ph="1">
        <f>D15*7.0686*LOOKUP(D17,密度!$A$2:$A$50,密度!$L$2:$L$50)</f>
        <v>15705.6375168</v>
      </c>
      <c r="E16" s="73" ph="1">
        <f>E15*7.0686*LOOKUP(E17,密度!$A$2:$A$50,密度!$L$2:$L$50)</f>
        <v>493.56499500000001</v>
      </c>
      <c r="F16" s="73" ph="1">
        <f>F15*9.0746*LOOKUP(F17,密度!$A$2:$A$50,密度!$L$2:$L$50)</f>
        <v>23284.243902000002</v>
      </c>
      <c r="G16" s="73" ph="1">
        <f>G15*9.0746*LOOKUP(G17,密度!$A$2:$A$50,密度!$B$2:$B$50)</f>
        <v>11323.8485052</v>
      </c>
      <c r="H16" s="73" ph="1">
        <f>H15*9.0746*LOOKUP(H17,密度!$A$2:$A$50,密度!$L$2:$L$50)</f>
        <v>15705.083534400002</v>
      </c>
      <c r="I16" s="73" ph="1">
        <f>I15*9.0746*LOOKUP(I17,密度!$A$2:$A$50,密度!$U$2:$U$50)</f>
        <v>1094.3604616</v>
      </c>
      <c r="J16" s="73" ph="1">
        <f>J15*9.0746*LOOKUP(J17,密度!$A$2:$A$50,密度!$L$2:$L$50)</f>
        <v>15020.568307200001</v>
      </c>
      <c r="K16" s="73" ph="1">
        <f>K15*9.0746*LOOKUP(K17,密度!$A$2:$A$50,密度!$C$2:$C$50)</f>
        <v>20894.119491480003</v>
      </c>
      <c r="L16" s="73" ph="1">
        <f>L15*9.0746*LOOKUP(L17,密度!$A$2:$A$50,密度!$E$2:$E$50)</f>
        <v>36716.566188870005</v>
      </c>
      <c r="M16" s="73" ph="1">
        <f>M15*9.0746*LOOKUP(M17,密度!$A$2:$A$50,密度!$M$2:$M$50)</f>
        <v>43160.561520748</v>
      </c>
      <c r="N16" s="73" ph="1">
        <f>N15*9.0746*LOOKUP(N17,密度!$A$2:$A$50,密度!$M$2:$M$50)</f>
        <v>1834.4131482600003</v>
      </c>
      <c r="O16" s="73" ph="1">
        <f>O15*9.0746*LOOKUP(O17,密度!$A$2:$A$50,密度!$G$2:$G$50)</f>
        <v>52749.401588769993</v>
      </c>
      <c r="P16" s="73" ph="1">
        <f ca="1">P15*9.0746*LOOKUP(P17,密度!$A$2:$A$51,密度!$Q$2:$Q$50)</f>
        <v>61411.896506732002</v>
      </c>
      <c r="Q16" s="73" ph="1">
        <f>Q15*9.0746*LOOKUP(Q17,密度!$A$2:$A$50,密度!$Q$2:$Q$50)</f>
        <v>0</v>
      </c>
      <c r="R16" s="73" ph="1">
        <f>MAX(R15*9.0746*LOOKUP(R17,密度!$A$2:$A$50,密度!$B$2:$B$50),0)</f>
        <v>24736.949428079999</v>
      </c>
      <c r="S16" s="73" ph="1">
        <f>S15*9.0746*LOOKUP(S17,密度!$A$2:$A$50,密度!$Q$2:$Q$50)</f>
        <v>36116.084661542001</v>
      </c>
      <c r="T16" s="73" ph="1">
        <f>T15*9.0746*LOOKUP(T17,密度!$A$2:$A$50,密度!$O$2:$O$50)</f>
        <v>22133.711666400002</v>
      </c>
      <c r="U16" s="73" ph="1">
        <f>U15*9.0746*LOOKUP(U17,密度!$A$2:$A$50,密度!$H$2:$H$50)</f>
        <v>30769.627353200001</v>
      </c>
      <c r="V16" s="73" ph="1">
        <f>MAX(5600*LOOKUP(V17,密度!$A$2:$A$50,密度!$Q$2:$Q$50)+V15*9.0476*LOOKUP(V17,密度!$A$2:$A$50,密度!$Q$2:$Q$50),0)</f>
        <v>32593.910046023997</v>
      </c>
      <c r="W16" s="73" ph="1">
        <f>MAX(5600*LOOKUP(W17,密度!$A$2:$A$50,密度!$Q$2:$Q$50)+W15*9.0476*LOOKUP(W17,密度!$A$2:$A$50,密度!$Q$2:$Q$50),0)</f>
        <v>2107.6754270240003</v>
      </c>
      <c r="X16" s="73" ph="1">
        <f>MAX(5600*LOOKUP(X17,密度!$A$2:$A$50,密度!$I$2:$I$50)+X15*9.0476*LOOKUP(X17,密度!$A$2:$A$50,密度!$I$2:$I$50),0)</f>
        <v>4989.0094320799999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20039.7295672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11046.75955248</v>
      </c>
      <c r="AE16" s="73" ph="1">
        <f>AE15*268.68*LOOKUP(AE17,密度!$A$2:$A$50,密度!B2:B50)+IF(AE15&lt;=0,0,1566*LOOKUP(AE17,密度!$A$2:$A$50,密度!B2:B50))</f>
        <v>18945.606567359999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30</v>
      </c>
      <c r="E17" s="74">
        <v>31</v>
      </c>
      <c r="F17" s="74">
        <v>32</v>
      </c>
      <c r="G17" s="74">
        <v>28</v>
      </c>
      <c r="H17" s="74">
        <v>26</v>
      </c>
      <c r="I17" s="74">
        <v>28</v>
      </c>
      <c r="J17" s="74">
        <v>30</v>
      </c>
      <c r="K17" s="74">
        <v>29</v>
      </c>
      <c r="L17" s="74">
        <v>31</v>
      </c>
      <c r="M17" s="74">
        <v>31</v>
      </c>
      <c r="N17" s="74">
        <v>25</v>
      </c>
      <c r="O17" s="74">
        <v>31</v>
      </c>
      <c r="P17" s="74">
        <v>30</v>
      </c>
      <c r="Q17" s="74">
        <v>30</v>
      </c>
      <c r="R17" s="74">
        <v>30</v>
      </c>
      <c r="S17" s="74">
        <v>30</v>
      </c>
      <c r="T17" s="74">
        <v>29</v>
      </c>
      <c r="U17" s="74">
        <v>29</v>
      </c>
      <c r="V17" s="74">
        <v>31</v>
      </c>
      <c r="W17" s="74">
        <v>30</v>
      </c>
      <c r="X17" s="74">
        <v>30</v>
      </c>
      <c r="Y17" s="108">
        <v>30</v>
      </c>
      <c r="Z17" s="74">
        <v>28</v>
      </c>
      <c r="AA17" s="74">
        <v>27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2387</v>
      </c>
      <c r="E18" s="71">
        <v>75</v>
      </c>
      <c r="F18" s="71">
        <v>2763</v>
      </c>
      <c r="G18" s="71">
        <v>1632</v>
      </c>
      <c r="H18" s="71">
        <v>1850</v>
      </c>
      <c r="I18" s="71">
        <v>117</v>
      </c>
      <c r="J18" s="71">
        <v>1778</v>
      </c>
      <c r="K18" s="71">
        <v>2082</v>
      </c>
      <c r="L18" s="71">
        <v>5222</v>
      </c>
      <c r="M18" s="71">
        <v>2519</v>
      </c>
      <c r="N18" s="71">
        <v>3127</v>
      </c>
      <c r="O18" s="71">
        <v>6102</v>
      </c>
      <c r="P18" s="71">
        <v>5386</v>
      </c>
      <c r="Q18" s="71">
        <v>0</v>
      </c>
      <c r="R18" s="71">
        <v>3522</v>
      </c>
      <c r="S18" s="71">
        <v>2919</v>
      </c>
      <c r="T18" s="71">
        <v>2124</v>
      </c>
      <c r="U18" s="71">
        <v>3725</v>
      </c>
      <c r="V18" s="71">
        <v>3203</v>
      </c>
      <c r="W18" s="71">
        <v>-373</v>
      </c>
      <c r="X18" s="71">
        <v>-88</v>
      </c>
      <c r="Y18" s="109">
        <v>-9907</v>
      </c>
      <c r="Z18" s="71">
        <v>0</v>
      </c>
      <c r="AA18" s="71">
        <v>0</v>
      </c>
      <c r="AB18" s="71">
        <v>2376</v>
      </c>
      <c r="AC18" s="71">
        <v>0</v>
      </c>
      <c r="AD18" s="71">
        <v>84.51</v>
      </c>
      <c r="AE18" s="71">
        <v>10.51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2" t="s" ph="1">
        <v>179</v>
      </c>
      <c r="D19" s="73" ph="1">
        <f>D18*7.0686*LOOKUP(D20,密度!$A$2:$A$50,密度!$L$2:$L$50)</f>
        <v>15657.910329599999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23267.855174400003</v>
      </c>
      <c r="G19" s="73" ph="1">
        <f>G18*9.0746*LOOKUP(G20,密度!$A$2:$A$50,密度!$B$2:$B$50)</f>
        <v>11481.997004159999</v>
      </c>
      <c r="H19" s="73" ph="1">
        <f>H18*9.0746*LOOKUP(H20,密度!$A$2:$A$50,密度!$L$2:$L$50)</f>
        <v>15629.637310000002</v>
      </c>
      <c r="I19" s="73" ph="1">
        <f>I18*9.0746*LOOKUP(I20,密度!$A$2:$A$50,密度!$U$2:$U$50)</f>
        <v>1070.85906252</v>
      </c>
      <c r="J19" s="73" ph="1">
        <f>J18*9.0746*LOOKUP(J20,密度!$A$2:$A$50,密度!$L$2:$L$50)</f>
        <v>14956.810167600001</v>
      </c>
      <c r="K19" s="73" ph="1">
        <f>K18*9.0746*LOOKUP(K20,密度!$A$2:$A$50,密度!$C$2:$C$50)</f>
        <v>20820.435554400003</v>
      </c>
      <c r="L19" s="73" ph="1">
        <f>L18*9.0746*LOOKUP(L20,密度!$A$2:$A$50,密度!$E$2:$E$50)</f>
        <v>36686.976005428005</v>
      </c>
      <c r="M19" s="73" ph="1">
        <f>M18*9.0746*LOOKUP(M20,密度!$A$2:$A$50,密度!$M$2:$M$50)</f>
        <v>19789.421971528001</v>
      </c>
      <c r="N19" s="73" ph="1">
        <f>N18*9.0746*LOOKUP(N20,密度!$A$2:$A$50,密度!$M$2:$M$50)</f>
        <v>24684.52092658</v>
      </c>
      <c r="O19" s="73" ph="1">
        <f>O18*9.0746*LOOKUP(O20,密度!$A$2:$A$50,密度!$G$2:$G$50)</f>
        <v>52750.734012288005</v>
      </c>
      <c r="P19" s="73" ph="1">
        <f ca="1">P18*9.0746*LOOKUP(P20,密度!$A$2:$A$51,密度!$Q$2:$Q$50)</f>
        <v>46036.111875639996</v>
      </c>
      <c r="Q19" s="73" ph="1">
        <f>Q18*9.0746*LOOKUP(Q20,密度!$A$2:$A$50,密度!$Q$2:$Q$50)</f>
        <v>0</v>
      </c>
      <c r="R19" s="73" ph="1">
        <f>MAX(R18*9.0746*LOOKUP(R20,密度!$A$2:$A$50,密度!$B$2:$B$50),0)</f>
        <v>24696.064725240001</v>
      </c>
      <c r="S19" s="73" ph="1">
        <f>S18*9.0746*LOOKUP(S20,密度!$A$2:$A$50,密度!$Q$2:$Q$50)</f>
        <v>24932.542902750003</v>
      </c>
      <c r="T19" s="73" ph="1">
        <f>T18*9.0746*LOOKUP(T20,密度!$A$2:$A$50,密度!$O$2:$O$50)</f>
        <v>17740.204148160003</v>
      </c>
      <c r="U19" s="73" ph="1">
        <f>U18*9.0746*LOOKUP(U20,密度!$A$2:$A$50,密度!$H$2:$H$50)</f>
        <v>30662.935012350001</v>
      </c>
      <c r="V19" s="73" ph="1">
        <f>MAX(5600*LOOKUP(V20,密度!$A$2:$A$50,密度!$Q$2:$Q$50)+V18*9.0476*LOOKUP(V20,密度!$A$2:$A$50,密度!$Q$2:$Q$50),0)</f>
        <v>32480.489408039997</v>
      </c>
      <c r="W19" s="73" ph="1">
        <f>MAX(5600*LOOKUP(W20,密度!$A$2:$A$50,密度!$Q$2:$Q$50)+W18*9.0476*LOOKUP(W20,密度!$A$2:$A$50,密度!$Q$2:$Q$50),0)</f>
        <v>2091.5969732879998</v>
      </c>
      <c r="X19" s="73" ph="1">
        <f>MAX(5600*LOOKUP(X20,密度!$A$2:$A$50,密度!$I$2:$I$50)+X18*9.0476*LOOKUP(X20,密度!$A$2:$A$50,密度!$I$2:$I$50),0)</f>
        <v>4953.0656139839994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20051.962127999999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3410.8954236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34</v>
      </c>
      <c r="E20" s="81">
        <v>35</v>
      </c>
      <c r="F20" s="81">
        <v>34</v>
      </c>
      <c r="G20" s="81">
        <v>30</v>
      </c>
      <c r="H20" s="81">
        <v>31</v>
      </c>
      <c r="I20" s="81">
        <v>42</v>
      </c>
      <c r="J20" s="81">
        <v>35</v>
      </c>
      <c r="K20" s="81">
        <v>33</v>
      </c>
      <c r="L20" s="81">
        <v>33</v>
      </c>
      <c r="M20" s="81">
        <v>34</v>
      </c>
      <c r="N20" s="81">
        <v>30</v>
      </c>
      <c r="O20" s="81">
        <v>32</v>
      </c>
      <c r="P20" s="81">
        <v>32</v>
      </c>
      <c r="Q20" s="81">
        <v>34</v>
      </c>
      <c r="R20" s="81">
        <v>33</v>
      </c>
      <c r="S20" s="81">
        <v>33</v>
      </c>
      <c r="T20" s="81">
        <v>34</v>
      </c>
      <c r="U20" s="81">
        <v>33</v>
      </c>
      <c r="V20" s="81">
        <v>36</v>
      </c>
      <c r="W20" s="81">
        <v>35</v>
      </c>
      <c r="X20" s="81">
        <v>35</v>
      </c>
      <c r="Y20" s="110">
        <v>35</v>
      </c>
      <c r="Z20" s="81">
        <v>36</v>
      </c>
      <c r="AA20" s="81">
        <v>34</v>
      </c>
      <c r="AB20" s="81">
        <v>32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649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2" t="s" ph="1">
        <v>178</v>
      </c>
      <c r="D24" s="71">
        <v>3.51</v>
      </c>
      <c r="E24" s="71">
        <v>95.61</v>
      </c>
      <c r="F24" s="71">
        <v>2387</v>
      </c>
      <c r="G24" s="71">
        <v>2069</v>
      </c>
      <c r="H24" s="71">
        <v>2614</v>
      </c>
      <c r="I24" s="71">
        <v>542</v>
      </c>
      <c r="J24" s="71">
        <v>1319</v>
      </c>
      <c r="K24" s="71">
        <v>1477</v>
      </c>
      <c r="L24" s="71">
        <v>3576</v>
      </c>
      <c r="M24" s="71">
        <v>259</v>
      </c>
      <c r="N24" s="71">
        <v>230</v>
      </c>
      <c r="O24" s="71">
        <v>3697</v>
      </c>
      <c r="P24" s="71">
        <v>1254</v>
      </c>
      <c r="Q24" s="90">
        <v>2704</v>
      </c>
      <c r="R24" s="71">
        <v>1321</v>
      </c>
      <c r="S24" s="71">
        <v>6646</v>
      </c>
      <c r="T24" s="71">
        <v>1765</v>
      </c>
      <c r="U24" s="71">
        <v>5517</v>
      </c>
      <c r="V24" s="71">
        <v>9631</v>
      </c>
      <c r="W24" s="71">
        <v>10764</v>
      </c>
      <c r="X24" s="71">
        <v>4132</v>
      </c>
      <c r="Y24" s="71">
        <v>3429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2375.433902232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26328.779858919999</v>
      </c>
      <c r="G25" s="91" ph="1">
        <f>G24*18.322*LOOKUP(G26,密度!$A$2:$A$50,密度!$B$2:$B$50)</f>
        <v>29356.1240192</v>
      </c>
      <c r="H25" s="91" ph="1">
        <f>H24*18.322*LOOKUP(H26,密度!$A$2:$A$50,密度!$B$2:$B$50)</f>
        <v>37088.887475199997</v>
      </c>
      <c r="I25" s="91" ph="1">
        <f>I24*18.322*LOOKUP(I26,密度!$A$2:$A$50,密度!$Q$2:$Q$50)</f>
        <v>9367.7612049199997</v>
      </c>
      <c r="J25" s="91" ph="1">
        <f>J24*18.322*LOOKUP(J26,密度!$A$2:$A$50,密度!$Q$2:$Q$50)</f>
        <v>22779.065052439997</v>
      </c>
      <c r="K25" s="91" ph="1">
        <f>K24*18.322*LOOKUP(K26,密度!$A$2:$A$50,密度!$Q$2:$Q$50)</f>
        <v>25507.717272519996</v>
      </c>
      <c r="L25" s="91" ph="1">
        <f>L24*18.322*LOOKUP(L26,密度!$A$2:$A$50,密度!$Q$2:$Q$50)</f>
        <v>61757.343917759994</v>
      </c>
      <c r="M25" s="91" ph="1">
        <f>M24*18.322*LOOKUP(M26,密度!$A$2:$A$50,密度!$Q$2:$Q$50)</f>
        <v>4482.5978587600002</v>
      </c>
      <c r="N25" s="91" ph="1">
        <f>N24*18.322*LOOKUP(N26,密度!$A$2:$A$50,密度!$Q$2:$Q$50)</f>
        <v>3977.7776557999996</v>
      </c>
      <c r="O25" s="91" ph="1">
        <f>O24*18.322*LOOKUP(O26,密度!$A$2:$A$50,密度!$C$2:$C$50)</f>
        <v>74855.533213399991</v>
      </c>
      <c r="P25" s="91" ph="1">
        <f>P24*11.702*LOOKUP(P26,密度!$A$2:$A$50,密度!$B$2:$B$50)</f>
        <v>11363.784115199998</v>
      </c>
      <c r="Q25" s="92" ph="1">
        <f>Q24*18.322*LOOKUP(Q26,密度!$A$2:$A$50,密度!$B$2:$B$50)</f>
        <v>38410.446006399994</v>
      </c>
      <c r="R25" s="91" ph="1">
        <f>R24*35.891*LOOKUP(R26,密度!$A$2:$A$50,密度!$C$2:$C$50)</f>
        <v>52395.013356099997</v>
      </c>
      <c r="S25" s="91" ph="1">
        <f>S24*35.891*LOOKUP(S26,密度!$A$2:$A$50,密度!$B$2:$B$50)</f>
        <v>185148.21705319997</v>
      </c>
      <c r="T25" s="91" ph="1">
        <f>T24*35.891*LOOKUP(T26,密度!$A$2:$A$50,密度!$Q$2:$Q$50)</f>
        <v>59839.4240813</v>
      </c>
      <c r="U25" s="91" ph="1">
        <f>U24*35.891</f>
        <v>198010.647</v>
      </c>
      <c r="V25" s="91" ph="1">
        <f>V24*47.051*LOOKUP(V26,密度!$A$2:$A$50,密度!$B$2:$B$50)</f>
        <v>352503.96999990003</v>
      </c>
      <c r="W25" s="91" ph="1">
        <f>W24*47.051*LOOKUP(W26,密度!$A$2:$A$50,密度!$B$2:$B$50)</f>
        <v>393111.8954568</v>
      </c>
      <c r="X25" s="91" ph="1">
        <f>X24*47.051*LOOKUP(X26,密度!$A$2:$A$50,密度!$I$2:$I$50)</f>
        <v>201318.39913332</v>
      </c>
      <c r="Y25" s="91" ph="1">
        <f>Y24*47.051*LOOKUP(Y26,密度!$A$2:$A$50,密度!$L$2:$L$50)</f>
        <v>150044.22747000001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31</v>
      </c>
      <c r="G26" s="74">
        <v>31</v>
      </c>
      <c r="H26" s="74">
        <v>31</v>
      </c>
      <c r="I26" s="74">
        <v>30</v>
      </c>
      <c r="J26" s="74">
        <v>31</v>
      </c>
      <c r="K26" s="74">
        <v>31</v>
      </c>
      <c r="L26" s="74">
        <v>31</v>
      </c>
      <c r="M26" s="74">
        <v>28</v>
      </c>
      <c r="N26" s="74">
        <v>29</v>
      </c>
      <c r="O26" s="74">
        <v>30</v>
      </c>
      <c r="P26" s="74">
        <v>31</v>
      </c>
      <c r="Q26" s="93">
        <v>30</v>
      </c>
      <c r="R26" s="74">
        <v>30</v>
      </c>
      <c r="S26" s="74">
        <v>29</v>
      </c>
      <c r="T26" s="74">
        <v>28</v>
      </c>
      <c r="U26" s="74">
        <v>27</v>
      </c>
      <c r="V26" s="74">
        <v>27</v>
      </c>
      <c r="W26" s="74">
        <v>29</v>
      </c>
      <c r="X26" s="74">
        <v>31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2" t="s" ph="1">
        <v>181</v>
      </c>
      <c r="D27" s="71">
        <v>46.82</v>
      </c>
      <c r="E27" s="71">
        <v>95.62</v>
      </c>
      <c r="F27" s="71">
        <v>2392</v>
      </c>
      <c r="G27" s="71">
        <v>1304</v>
      </c>
      <c r="H27" s="71">
        <v>3732</v>
      </c>
      <c r="I27" s="71">
        <v>540</v>
      </c>
      <c r="J27" s="71">
        <v>3065</v>
      </c>
      <c r="K27" s="71">
        <v>1476</v>
      </c>
      <c r="L27" s="71">
        <v>3574</v>
      </c>
      <c r="M27" s="71">
        <v>255</v>
      </c>
      <c r="N27" s="71">
        <v>225</v>
      </c>
      <c r="O27" s="71">
        <v>3695</v>
      </c>
      <c r="P27" s="71">
        <v>1252</v>
      </c>
      <c r="Q27" s="90">
        <v>2893</v>
      </c>
      <c r="R27" s="71">
        <v>1318</v>
      </c>
      <c r="S27" s="71">
        <v>6644</v>
      </c>
      <c r="T27" s="71">
        <v>1764</v>
      </c>
      <c r="U27" s="71">
        <v>5614</v>
      </c>
      <c r="V27" s="71">
        <v>9631</v>
      </c>
      <c r="W27" s="71">
        <v>10765</v>
      </c>
      <c r="X27" s="71">
        <v>3875</v>
      </c>
      <c r="Y27" s="71">
        <v>2355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2" t="s" ph="1">
        <v>179</v>
      </c>
      <c r="D28" s="91" ph="1">
        <f>D27*268.68*LOOKUP(D29,密度!$A$2:$A$50,密度!$Q$2:$Q$50)+IF(D27&lt;=0,0,1566*LOOKUP(D29,密度!$A$2:$A$50,密度!$Q$2:$Q$50))</f>
        <v>13392.203071824</v>
      </c>
      <c r="E28" s="91" ph="1">
        <f>E27*268.68*LOOKUP(E29,密度!$A$2:$A$50,密度!$C$2:$C$50)+IF(E27&lt;=0,0,1566*LOOKUP(E29,密度!$A$2:$A$50,密度!$C$2:$C$50))</f>
        <v>30225.488676240006</v>
      </c>
      <c r="F28" s="91" ph="1">
        <f>F27*11.702*LOOKUP(F29,密度!$A$2:$A$50,密度!$Q$2:$Q$50)</f>
        <v>26310.033488960002</v>
      </c>
      <c r="G28" s="91" ph="1">
        <f>G27*18.322*LOOKUP(G29,密度!$A$2:$A$50,密度!$B$2:$B$50)</f>
        <v>18480.375367999997</v>
      </c>
      <c r="H28" s="91" ph="1">
        <f>H27*18.322*LOOKUP(H29,密度!$A$2:$A$50,密度!$B$2:$B$50)</f>
        <v>52890.154043999995</v>
      </c>
      <c r="I28" s="91" ph="1">
        <f>I27*18.322*LOOKUP(I29,密度!$A$2:$A$50,密度!$Q$2:$Q$50)</f>
        <v>9325.7734103999992</v>
      </c>
      <c r="J28" s="91" ph="1">
        <f>J27*18.322*LOOKUP(J29,密度!$A$2:$A$50,密度!$Q$2:$Q$50)</f>
        <v>52932.399079399998</v>
      </c>
      <c r="K28" s="91" ph="1">
        <f>K27*18.322*LOOKUP(K29,密度!$A$2:$A$50,密度!$Q$2:$Q$50)</f>
        <v>25454.479769999998</v>
      </c>
      <c r="L28" s="91" ph="1">
        <f>L27*18.322*LOOKUP(L29,密度!$A$2:$A$50,密度!$Q$2:$Q$50)</f>
        <v>61678.27569319999</v>
      </c>
      <c r="M28" s="91" ph="1">
        <f>M27*18.322*LOOKUP(M29,密度!$A$2:$A$50,密度!$Q$2:$Q$50)</f>
        <v>4394.5399448999997</v>
      </c>
      <c r="N28" s="91" ph="1">
        <f>N27*18.322*LOOKUP(N29,密度!$A$2:$A$50,密度!$Q$2:$Q$50)</f>
        <v>3877.5352455000002</v>
      </c>
      <c r="O28" s="91" ph="1">
        <f>O27*18.322*LOOKUP(O29,密度!$A$2:$A$50,密度!$C$2:$C$50)</f>
        <v>74747.338139</v>
      </c>
      <c r="P28" s="91" ph="1">
        <f>P27*11.702*LOOKUP(P29,密度!$A$2:$A$50,密度!$B$2:$B$50)</f>
        <v>11332.474243999999</v>
      </c>
      <c r="Q28" s="92" ph="1">
        <f>Q27*18.322*LOOKUP(Q29,密度!$A$2:$A$50,密度!$B$2:$B$50)</f>
        <v>40957.385394199999</v>
      </c>
      <c r="R28" s="91" ph="1">
        <f>R27*35.891*LOOKUP(R29,密度!$A$2:$A$50,密度!$C$2:$C$50)</f>
        <v>52129.380475999998</v>
      </c>
      <c r="S28" s="91" ph="1">
        <f>S27*35.891*LOOKUP(S29,密度!$A$2:$A$50,密度!$B$2:$B$50)</f>
        <v>184448.65839399997</v>
      </c>
      <c r="T28" s="91" ph="1">
        <f>T27*35.891*LOOKUP(T29,密度!$A$2:$A$50,密度!$Q$2:$Q$50)</f>
        <v>59592.160214999996</v>
      </c>
      <c r="U28" s="91" ph="1">
        <f>U27*35.891</f>
        <v>201492.07399999999</v>
      </c>
      <c r="V28" s="91" ph="1">
        <f>V27*47.051*LOOKUP(V29,密度!$A$2:$A$50,密度!$B$2:$B$50)</f>
        <v>350917.9513664</v>
      </c>
      <c r="W28" s="91" ph="1">
        <f>W27*47.051*LOOKUP(W29,密度!$A$2:$A$50,密度!$B$2:$B$50)</f>
        <v>392692.56282950001</v>
      </c>
      <c r="X28" s="91" ph="1">
        <f>X27*47.051*LOOKUP(X29,密度!$A$2:$A$50,密度!$I$2:$I$50)</f>
        <v>188594.5233</v>
      </c>
      <c r="Y28" s="91" ph="1">
        <f>Y27*47.051*LOOKUP(Y29,密度!$A$2:$A$50,密度!$L$2:$L$50)</f>
        <v>102827.13744000002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2" t="s" ph="1">
        <v>180</v>
      </c>
      <c r="D29" s="74">
        <v>25</v>
      </c>
      <c r="E29" s="74">
        <v>25</v>
      </c>
      <c r="F29" s="74">
        <v>35</v>
      </c>
      <c r="G29" s="74">
        <v>32</v>
      </c>
      <c r="H29" s="74">
        <v>32</v>
      </c>
      <c r="I29" s="74">
        <v>31</v>
      </c>
      <c r="J29" s="74">
        <v>31</v>
      </c>
      <c r="K29" s="74">
        <v>33</v>
      </c>
      <c r="L29" s="74">
        <v>32</v>
      </c>
      <c r="M29" s="74">
        <v>34</v>
      </c>
      <c r="N29" s="74">
        <v>34</v>
      </c>
      <c r="O29" s="74">
        <v>31</v>
      </c>
      <c r="P29" s="74">
        <v>32</v>
      </c>
      <c r="Q29" s="93">
        <v>33</v>
      </c>
      <c r="R29" s="74">
        <v>33</v>
      </c>
      <c r="S29" s="74">
        <v>32</v>
      </c>
      <c r="T29" s="74">
        <v>33</v>
      </c>
      <c r="U29" s="74">
        <v>32</v>
      </c>
      <c r="V29" s="74">
        <v>31</v>
      </c>
      <c r="W29" s="74">
        <v>30</v>
      </c>
      <c r="X29" s="74">
        <v>32</v>
      </c>
      <c r="Y29" s="74">
        <v>34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2" t="s" ph="1">
        <v>5</v>
      </c>
      <c r="F32" s="173" t="s" ph="1">
        <v>43</v>
      </c>
      <c r="G32" s="97" t="s" ph="1">
        <v>4</v>
      </c>
      <c r="H32" s="172" t="s" ph="1">
        <v>5</v>
      </c>
      <c r="I32" s="173" t="s" ph="1">
        <v>43</v>
      </c>
      <c r="J32" s="97" t="s" ph="1">
        <v>4</v>
      </c>
      <c r="K32" s="172" t="s" ph="1">
        <v>5</v>
      </c>
      <c r="L32" s="173" t="s" ph="1">
        <v>43</v>
      </c>
      <c r="M32" s="97" t="s" ph="1">
        <v>4</v>
      </c>
      <c r="N32" s="172" t="s" ph="1">
        <v>5</v>
      </c>
      <c r="O32" s="17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2" t="s" ph="1">
        <v>5</v>
      </c>
      <c r="U32" s="99" t="s" ph="1">
        <v>43</v>
      </c>
      <c r="V32" s="97" t="s" ph="1">
        <v>4</v>
      </c>
      <c r="W32" s="172" t="s" ph="1">
        <v>5</v>
      </c>
      <c r="X32" s="99" t="s" ph="1">
        <v>43</v>
      </c>
      <c r="Y32" s="100" t="s" ph="1">
        <v>4</v>
      </c>
      <c r="Z32" s="172" t="s" ph="1">
        <v>5</v>
      </c>
      <c r="AA32" s="173" t="s" ph="1">
        <v>43</v>
      </c>
      <c r="AB32" s="97" t="s" ph="1">
        <v>85</v>
      </c>
      <c r="AC32" s="172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97670.984571600013</v>
      </c>
      <c r="E33" s="205" ph="1">
        <f>M10+I10</f>
        <v>198083.67303159999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31" ph="1">
        <v>0</v>
      </c>
      <c r="H33" s="205" ph="1">
        <f>N19</f>
        <v>24684.52092658</v>
      </c>
      <c r="I33" s="209" ph="1">
        <v>0</v>
      </c>
      <c r="J33" s="213" ph="1">
        <f>F10+O28</f>
        <v>211364.13831500002</v>
      </c>
      <c r="K33" s="205" ph="1">
        <f>O10+K10+E28+R28</f>
        <v>214068.59982824</v>
      </c>
      <c r="L33" s="215" ph="1">
        <f>BE27</f>
        <v>7100</v>
      </c>
      <c r="M33" s="213" ph="1">
        <f>G10+H10+W28+S28+V28+E10</f>
        <v>1603915.4396619</v>
      </c>
      <c r="N33" s="205" ph="1">
        <f>L10+P10++G28+H28</f>
        <v>114982.69839599999</v>
      </c>
      <c r="O33" s="209" ph="1">
        <f>BE17</f>
        <v>2270</v>
      </c>
      <c r="P33" s="213" ph="1">
        <f>L19</f>
        <v>36686.976005428005</v>
      </c>
      <c r="Q33" s="205" ph="1">
        <f>J10+N10</f>
        <v>85310.406950870005</v>
      </c>
      <c r="R33" s="209" ph="1">
        <f>BE23</f>
        <v>890</v>
      </c>
      <c r="S33" s="213" ph="1">
        <f>E10+X28</f>
        <v>479322.09406999999</v>
      </c>
      <c r="T33" s="205" ph="1">
        <f>X19</f>
        <v>4953.0656139839994</v>
      </c>
      <c r="U33" s="194" ph="1">
        <f>BE21</f>
        <v>730</v>
      </c>
      <c r="V33" s="207" ph="1">
        <f ca="1">P19+Q19+S19+M28+N28+J28</f>
        <v>132173.12904818999</v>
      </c>
      <c r="W33" s="207" ph="1">
        <f>D28+F28+V19+T28</f>
        <v>131774.88618382398</v>
      </c>
      <c r="X33" s="209" ph="1">
        <f>BE29+BE31</f>
        <v>10200</v>
      </c>
      <c r="Y33" s="211" ph="1">
        <f>+Q10+R10+S10+T10+U10+V10+W10+X10+Y10</f>
        <v>158667.98769360001</v>
      </c>
      <c r="Z33" s="192" ph="1">
        <f>D10+T19+U19+Y28+Z10</f>
        <v>412386.15259776002</v>
      </c>
      <c r="AA33" s="194" ph="1">
        <f>BE19</f>
        <v>1440</v>
      </c>
      <c r="AB33" s="196" ph="1">
        <f>I19</f>
        <v>1070.85906252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74" t="s" ph="1">
        <v>186</v>
      </c>
      <c r="AA36" s="174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7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4" t="s" ph="1">
        <v>345</v>
      </c>
      <c r="AI37" s="174" t="s" ph="1">
        <v>212</v>
      </c>
      <c r="AJ37" s="174" t="s" ph="1">
        <v>213</v>
      </c>
      <c r="AK37" s="174" t="s" ph="1">
        <v>214</v>
      </c>
      <c r="AM37" s="174" t="s" ph="1">
        <v>213</v>
      </c>
      <c r="AN37" s="174" t="s" ph="1">
        <v>214</v>
      </c>
      <c r="AO37" s="174" t="s" ph="1">
        <v>215</v>
      </c>
      <c r="AP37" s="174" t="s" ph="1">
        <v>213</v>
      </c>
      <c r="AQ37" s="174" t="s" ph="1">
        <v>214</v>
      </c>
      <c r="AR37" s="174" t="s" ph="1">
        <v>215</v>
      </c>
      <c r="AS37" s="174" t="s" ph="1">
        <v>213</v>
      </c>
      <c r="AT37" s="174" t="s" ph="1">
        <v>214</v>
      </c>
      <c r="AU37" s="174" t="s" ph="1">
        <v>215</v>
      </c>
      <c r="AV37" s="174" t="s" ph="1">
        <v>213</v>
      </c>
      <c r="AW37" s="174" t="s" ph="1">
        <v>214</v>
      </c>
      <c r="AX37" s="174" t="s" ph="1">
        <v>215</v>
      </c>
      <c r="AY37" s="174" t="s" ph="1">
        <v>214</v>
      </c>
      <c r="AZ37" s="174" t="s" ph="1">
        <v>216</v>
      </c>
      <c r="BD37" s="174" t="s" ph="1">
        <v>308</v>
      </c>
      <c r="BE37" s="17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34" priority="97">
      <formula>ABS(D$7-D$10)&gt;=1000</formula>
    </cfRule>
  </conditionalFormatting>
  <conditionalFormatting sqref="E4 E6:E11">
    <cfRule type="expression" dxfId="633" priority="96">
      <formula>ABS(E$7-E$10)&gt;=1000</formula>
    </cfRule>
  </conditionalFormatting>
  <conditionalFormatting sqref="F4:F11">
    <cfRule type="expression" dxfId="632" priority="95">
      <formula>ABS(F$7-F$10)&gt;=1000</formula>
    </cfRule>
  </conditionalFormatting>
  <conditionalFormatting sqref="G4:G11">
    <cfRule type="expression" dxfId="631" priority="94">
      <formula>ABS(G$7-G$10)&gt;=1000</formula>
    </cfRule>
  </conditionalFormatting>
  <conditionalFormatting sqref="H4:H11">
    <cfRule type="expression" dxfId="630" priority="93">
      <formula>ABS(H$7-H$10)&gt;=1000</formula>
    </cfRule>
  </conditionalFormatting>
  <conditionalFormatting sqref="I4:I11">
    <cfRule type="expression" dxfId="629" priority="92">
      <formula>ABS(I$7-I$10)&gt;=1000</formula>
    </cfRule>
  </conditionalFormatting>
  <conditionalFormatting sqref="J4:J11">
    <cfRule type="expression" dxfId="628" priority="91">
      <formula>ABS(J$7-J$10)&gt;=1000</formula>
    </cfRule>
  </conditionalFormatting>
  <conditionalFormatting sqref="K4:K11">
    <cfRule type="expression" dxfId="627" priority="90">
      <formula>ABS(K$7-K$10)&gt;=1000</formula>
    </cfRule>
  </conditionalFormatting>
  <conditionalFormatting sqref="L4:L11">
    <cfRule type="expression" dxfId="626" priority="89">
      <formula>ABS(L$7-L$10)&gt;=1000</formula>
    </cfRule>
  </conditionalFormatting>
  <conditionalFormatting sqref="M4 M6:M11">
    <cfRule type="expression" dxfId="625" priority="88">
      <formula>ABS(M$7-M$10)&gt;=1000</formula>
    </cfRule>
  </conditionalFormatting>
  <conditionalFormatting sqref="N4 N6:N11">
    <cfRule type="expression" dxfId="624" priority="87">
      <formula>ABS(N$7-N$10)&gt;=1000</formula>
    </cfRule>
  </conditionalFormatting>
  <conditionalFormatting sqref="O4 O6:O11">
    <cfRule type="expression" dxfId="623" priority="86">
      <formula>ABS(O$7-O$10)&gt;=1000</formula>
    </cfRule>
  </conditionalFormatting>
  <conditionalFormatting sqref="P4 P6:P11">
    <cfRule type="expression" dxfId="622" priority="85">
      <formula>ABS(P$7-P$10)&gt;=1000</formula>
    </cfRule>
  </conditionalFormatting>
  <conditionalFormatting sqref="Q4:Q11">
    <cfRule type="expression" dxfId="621" priority="84">
      <formula>ABS(Q$7-Q$10)&gt;=1000</formula>
    </cfRule>
  </conditionalFormatting>
  <conditionalFormatting sqref="R4:R11">
    <cfRule type="expression" dxfId="620" priority="83">
      <formula>ABS(R$7-R$10)&gt;=1000</formula>
    </cfRule>
  </conditionalFormatting>
  <conditionalFormatting sqref="S4:S11">
    <cfRule type="expression" dxfId="619" priority="82">
      <formula>ABS(S$7-S$10)&gt;=1000</formula>
    </cfRule>
  </conditionalFormatting>
  <conditionalFormatting sqref="T4:T9 T11">
    <cfRule type="expression" dxfId="618" priority="81">
      <formula>ABS(T$7-T$10)&gt;=1000</formula>
    </cfRule>
  </conditionalFormatting>
  <conditionalFormatting sqref="U4:U9 U11">
    <cfRule type="expression" dxfId="617" priority="80">
      <formula>ABS(U$7-U$10)&gt;=1000</formula>
    </cfRule>
  </conditionalFormatting>
  <conditionalFormatting sqref="V4:V9 V11">
    <cfRule type="expression" dxfId="616" priority="79">
      <formula>ABS(V$7-V$10)&gt;=1000</formula>
    </cfRule>
  </conditionalFormatting>
  <conditionalFormatting sqref="W4:W9 W11">
    <cfRule type="expression" dxfId="615" priority="78">
      <formula>ABS(W$7-W$10)&gt;=1000</formula>
    </cfRule>
  </conditionalFormatting>
  <conditionalFormatting sqref="X4:X9 X11">
    <cfRule type="expression" dxfId="614" priority="77">
      <formula>ABS(X$7-X$10)&gt;=1000</formula>
    </cfRule>
  </conditionalFormatting>
  <conditionalFormatting sqref="Y4:Y9 Y11">
    <cfRule type="expression" dxfId="613" priority="76">
      <formula>ABS(Y$7-Y$10)&gt;=1000</formula>
    </cfRule>
  </conditionalFormatting>
  <conditionalFormatting sqref="Z4:Z11">
    <cfRule type="expression" dxfId="612" priority="75">
      <formula>ABS(Z$7-Z$10)&gt;=1000</formula>
    </cfRule>
  </conditionalFormatting>
  <conditionalFormatting sqref="AA4:AA11">
    <cfRule type="expression" dxfId="611" priority="74">
      <formula>ABS(AA$7-AA$10)&gt;=1000</formula>
    </cfRule>
  </conditionalFormatting>
  <conditionalFormatting sqref="AB4:AB11">
    <cfRule type="expression" dxfId="610" priority="73">
      <formula>ABS(AB$7-AB$10)&gt;=1000</formula>
    </cfRule>
  </conditionalFormatting>
  <conditionalFormatting sqref="AC4 AC6:AC11">
    <cfRule type="expression" dxfId="609" priority="72">
      <formula>ABS(AC$7-AC$10)&gt;=1000</formula>
    </cfRule>
  </conditionalFormatting>
  <conditionalFormatting sqref="AD4:AD11">
    <cfRule type="expression" dxfId="608" priority="71">
      <formula>ABS(AD$7-AD$10)&gt;=1000</formula>
    </cfRule>
  </conditionalFormatting>
  <conditionalFormatting sqref="AE4:AE11">
    <cfRule type="expression" dxfId="607" priority="70">
      <formula>ABS(AE$7-AE$10)&gt;=1000</formula>
    </cfRule>
  </conditionalFormatting>
  <conditionalFormatting sqref="D13:D20">
    <cfRule type="expression" dxfId="606" priority="69">
      <formula>ABS(D$16-D$19)&gt;=1000</formula>
    </cfRule>
  </conditionalFormatting>
  <conditionalFormatting sqref="E13:E20">
    <cfRule type="expression" dxfId="605" priority="68">
      <formula>ABS(E$16-E$19)&gt;=1000</formula>
    </cfRule>
  </conditionalFormatting>
  <conditionalFormatting sqref="F13 F15:F20">
    <cfRule type="expression" dxfId="604" priority="67">
      <formula>ABS(F$16-F$19)&gt;=1000</formula>
    </cfRule>
  </conditionalFormatting>
  <conditionalFormatting sqref="G13:G20">
    <cfRule type="expression" dxfId="603" priority="66">
      <formula>ABS(G$16-G$19)&gt;=1000</formula>
    </cfRule>
  </conditionalFormatting>
  <conditionalFormatting sqref="H13:H20">
    <cfRule type="expression" dxfId="602" priority="65">
      <formula>ABS(H$16-H$19)&gt;=1000</formula>
    </cfRule>
  </conditionalFormatting>
  <conditionalFormatting sqref="I13:I20">
    <cfRule type="expression" dxfId="601" priority="64">
      <formula>ABS(I$16-I$19)&gt;=1000</formula>
    </cfRule>
  </conditionalFormatting>
  <conditionalFormatting sqref="J13:J20">
    <cfRule type="expression" dxfId="600" priority="63">
      <formula>ABS(J$16-J$19)&gt;=1000</formula>
    </cfRule>
  </conditionalFormatting>
  <conditionalFormatting sqref="L13:L20">
    <cfRule type="expression" dxfId="599" priority="62">
      <formula>ABS(L$16-L$19)&gt;=1000</formula>
    </cfRule>
  </conditionalFormatting>
  <conditionalFormatting sqref="M13 M15 M17:M18 M20">
    <cfRule type="expression" dxfId="598" priority="61">
      <formula>ABS(M$16-M$19)&gt;=1000</formula>
    </cfRule>
  </conditionalFormatting>
  <conditionalFormatting sqref="N13:N20">
    <cfRule type="expression" dxfId="597" priority="60">
      <formula>ABS(N$16-N$19)&gt;=1000</formula>
    </cfRule>
  </conditionalFormatting>
  <conditionalFormatting sqref="O13:O20">
    <cfRule type="expression" dxfId="596" priority="59">
      <formula>ABS(O$16-O$19)&gt;=1000</formula>
    </cfRule>
  </conditionalFormatting>
  <conditionalFormatting sqref="P13:P20">
    <cfRule type="expression" dxfId="595" priority="58">
      <formula>ABS(P$16-P$19)&gt;=1000</formula>
    </cfRule>
  </conditionalFormatting>
  <conditionalFormatting sqref="Q13 Q15:Q20">
    <cfRule type="expression" dxfId="594" priority="57">
      <formula>ABS(Q$16-Q$19)&gt;=1000</formula>
    </cfRule>
  </conditionalFormatting>
  <conditionalFormatting sqref="R13:R20">
    <cfRule type="expression" dxfId="593" priority="56">
      <formula>ABS(R$16-R$19)&gt;=1000</formula>
    </cfRule>
  </conditionalFormatting>
  <conditionalFormatting sqref="S13:S20">
    <cfRule type="expression" dxfId="592" priority="55">
      <formula>ABS(S$16-S$19)&gt;=1000</formula>
    </cfRule>
  </conditionalFormatting>
  <conditionalFormatting sqref="T13:T20">
    <cfRule type="expression" dxfId="591" priority="54">
      <formula>ABS(T$16-T$19)&gt;=1000</formula>
    </cfRule>
  </conditionalFormatting>
  <conditionalFormatting sqref="U13:U20">
    <cfRule type="expression" dxfId="590" priority="53">
      <formula>ABS(U$16-U$19)&gt;=1000</formula>
    </cfRule>
  </conditionalFormatting>
  <conditionalFormatting sqref="V13:V20">
    <cfRule type="expression" dxfId="589" priority="52">
      <formula>ABS(V$16-V$19)&gt;=1000</formula>
    </cfRule>
  </conditionalFormatting>
  <conditionalFormatting sqref="W13 W20 W15:W18">
    <cfRule type="expression" dxfId="588" priority="51">
      <formula>ABS(W$16-W$19)&gt;=1000</formula>
    </cfRule>
  </conditionalFormatting>
  <conditionalFormatting sqref="X13 X15:X20 Y19">
    <cfRule type="expression" dxfId="587" priority="50">
      <formula>ABS(X$16-X$19)&gt;=1000</formula>
    </cfRule>
  </conditionalFormatting>
  <conditionalFormatting sqref="Y13 Y15:Y18 Y20">
    <cfRule type="expression" dxfId="586" priority="49">
      <formula>ABS(Y$16-Y$19)&gt;=1000</formula>
    </cfRule>
  </conditionalFormatting>
  <conditionalFormatting sqref="Z13:Z20">
    <cfRule type="expression" dxfId="585" priority="48">
      <formula>ABS(Z$16-Z$19)&gt;=1000</formula>
    </cfRule>
  </conditionalFormatting>
  <conditionalFormatting sqref="AA13:AA20">
    <cfRule type="expression" dxfId="584" priority="47">
      <formula>ABS(AA$16-AA$19)&gt;=1000</formula>
    </cfRule>
  </conditionalFormatting>
  <conditionalFormatting sqref="AB13 AB15:AB20">
    <cfRule type="expression" dxfId="583" priority="46">
      <formula>ABS(AB$16-AB$19)&gt;=1000</formula>
    </cfRule>
  </conditionalFormatting>
  <conditionalFormatting sqref="AC13 AC15:AC20">
    <cfRule type="expression" dxfId="582" priority="45">
      <formula>ABS(AC$16-AC$19)&gt;=1000</formula>
    </cfRule>
  </conditionalFormatting>
  <conditionalFormatting sqref="AD13:AD20">
    <cfRule type="expression" dxfId="581" priority="44">
      <formula>ABS(AD$16-AD$19)&gt;=1000</formula>
    </cfRule>
  </conditionalFormatting>
  <conditionalFormatting sqref="AE13:AE20">
    <cfRule type="expression" dxfId="580" priority="43">
      <formula>ABS(AE$16-AE$19)&gt;=1000</formula>
    </cfRule>
  </conditionalFormatting>
  <conditionalFormatting sqref="D22:D29">
    <cfRule type="expression" dxfId="579" priority="42">
      <formula>ABS(D$25-D$28)&gt;=1000</formula>
    </cfRule>
  </conditionalFormatting>
  <conditionalFormatting sqref="E22:E29">
    <cfRule type="expression" dxfId="578" priority="41">
      <formula>ABS(E$25-E$28)&gt;=1000</formula>
    </cfRule>
  </conditionalFormatting>
  <conditionalFormatting sqref="F22:F29">
    <cfRule type="expression" dxfId="577" priority="40">
      <formula>ABS(F$25-F$28)&gt;=1000</formula>
    </cfRule>
  </conditionalFormatting>
  <conditionalFormatting sqref="G22:G29">
    <cfRule type="expression" dxfId="576" priority="39">
      <formula>ABS(G$25-G$28)&gt;=1000</formula>
    </cfRule>
  </conditionalFormatting>
  <conditionalFormatting sqref="H22:H29">
    <cfRule type="expression" dxfId="575" priority="38">
      <formula>ABS(H$25-H$28)&gt;=1000</formula>
    </cfRule>
  </conditionalFormatting>
  <conditionalFormatting sqref="I22 I24:I29">
    <cfRule type="expression" dxfId="574" priority="37">
      <formula>ABS(I$25-I$28)&gt;=1000</formula>
    </cfRule>
  </conditionalFormatting>
  <conditionalFormatting sqref="J22:J29 K22">
    <cfRule type="expression" dxfId="573" priority="36">
      <formula>ABS(J$25-J$28)&gt;=1000</formula>
    </cfRule>
  </conditionalFormatting>
  <conditionalFormatting sqref="K23:K29 L25 L28">
    <cfRule type="expression" dxfId="572" priority="35">
      <formula>ABS(K$25-K$28)&gt;=1000</formula>
    </cfRule>
  </conditionalFormatting>
  <conditionalFormatting sqref="L22 L26:L27 L29 L24">
    <cfRule type="expression" dxfId="571" priority="34">
      <formula>ABS(L$25-L$28)&gt;=1000</formula>
    </cfRule>
  </conditionalFormatting>
  <conditionalFormatting sqref="M22:M29">
    <cfRule type="expression" dxfId="570" priority="33">
      <formula>ABS(M$25-M$28)&gt;=1000</formula>
    </cfRule>
  </conditionalFormatting>
  <conditionalFormatting sqref="N22:N29">
    <cfRule type="expression" dxfId="569" priority="32">
      <formula>ABS(N$25-N$28)&gt;=1000</formula>
    </cfRule>
  </conditionalFormatting>
  <conditionalFormatting sqref="O22:O29">
    <cfRule type="expression" dxfId="568" priority="31">
      <formula>ABS(O$25-O$28)&gt;=1000</formula>
    </cfRule>
  </conditionalFormatting>
  <conditionalFormatting sqref="P22:P29">
    <cfRule type="expression" dxfId="567" priority="30">
      <formula>ABS(P$25-P$28)&gt;=1000</formula>
    </cfRule>
  </conditionalFormatting>
  <conditionalFormatting sqref="Q22:Q29">
    <cfRule type="expression" dxfId="566" priority="29">
      <formula>ABS(Q$25-Q$28)&gt;=1000</formula>
    </cfRule>
  </conditionalFormatting>
  <conditionalFormatting sqref="R22:R29">
    <cfRule type="expression" dxfId="565" priority="28">
      <formula>ABS(R$25-R$28)&gt;=1000</formula>
    </cfRule>
  </conditionalFormatting>
  <conditionalFormatting sqref="S22:S29">
    <cfRule type="expression" dxfId="564" priority="27">
      <formula>ABS(S$25-S$28)&gt;=1000</formula>
    </cfRule>
  </conditionalFormatting>
  <conditionalFormatting sqref="T22:T29">
    <cfRule type="expression" dxfId="563" priority="26">
      <formula>ABS(T$25-T$28)&gt;=1000</formula>
    </cfRule>
  </conditionalFormatting>
  <conditionalFormatting sqref="U22:U29">
    <cfRule type="expression" dxfId="562" priority="25">
      <formula>ABS(U$25-U$28)&gt;=1000</formula>
    </cfRule>
  </conditionalFormatting>
  <conditionalFormatting sqref="V22:V29">
    <cfRule type="expression" dxfId="561" priority="24">
      <formula>ABS(V$25-V$28)&gt;=1000</formula>
    </cfRule>
  </conditionalFormatting>
  <conditionalFormatting sqref="W22:W29">
    <cfRule type="expression" dxfId="560" priority="23">
      <formula>ABS(W$25-W$28)&gt;=1000</formula>
    </cfRule>
  </conditionalFormatting>
  <conditionalFormatting sqref="X22:X29">
    <cfRule type="expression" dxfId="559" priority="22">
      <formula>ABS(X$25-X$28)&gt;=1000</formula>
    </cfRule>
  </conditionalFormatting>
  <conditionalFormatting sqref="Y22:Y29">
    <cfRule type="expression" dxfId="558" priority="21">
      <formula>ABS(Y$25-Y$28)&gt;=1000</formula>
    </cfRule>
  </conditionalFormatting>
  <conditionalFormatting sqref="I23">
    <cfRule type="expression" dxfId="557" priority="20">
      <formula>ABS(I$25-I$28)&gt;=1000</formula>
    </cfRule>
  </conditionalFormatting>
  <conditionalFormatting sqref="F14">
    <cfRule type="expression" dxfId="556" priority="19">
      <formula>ABS(F$16-F$19)&gt;=1000</formula>
    </cfRule>
  </conditionalFormatting>
  <conditionalFormatting sqref="Q14">
    <cfRule type="expression" dxfId="555" priority="18">
      <formula>ABS(Q$16-Q$19)&gt;=1000</formula>
    </cfRule>
  </conditionalFormatting>
  <conditionalFormatting sqref="W14">
    <cfRule type="expression" dxfId="554" priority="17">
      <formula>ABS(W$16-W$19)&gt;=1000</formula>
    </cfRule>
  </conditionalFormatting>
  <conditionalFormatting sqref="Y14">
    <cfRule type="expression" dxfId="553" priority="16">
      <formula>ABS(Y$16-Y$19)&gt;=1000</formula>
    </cfRule>
  </conditionalFormatting>
  <conditionalFormatting sqref="X14">
    <cfRule type="expression" dxfId="552" priority="15">
      <formula>ABS(X$16-X$19)&gt;=1000</formula>
    </cfRule>
  </conditionalFormatting>
  <conditionalFormatting sqref="T10:Y10">
    <cfRule type="expression" dxfId="551" priority="14">
      <formula>ABS(T$7-T$10)&gt;=1000</formula>
    </cfRule>
  </conditionalFormatting>
  <conditionalFormatting sqref="W19">
    <cfRule type="expression" dxfId="550" priority="13">
      <formula>ABS(W$16-W$19)&gt;=1000</formula>
    </cfRule>
  </conditionalFormatting>
  <conditionalFormatting sqref="AC5">
    <cfRule type="expression" dxfId="549" priority="12">
      <formula>ABS(AC$7-AC$10)&gt;=1000</formula>
    </cfRule>
  </conditionalFormatting>
  <conditionalFormatting sqref="M14">
    <cfRule type="expression" dxfId="548" priority="11">
      <formula>ABS(M$16-M$19)&gt;=1000</formula>
    </cfRule>
  </conditionalFormatting>
  <conditionalFormatting sqref="M16">
    <cfRule type="expression" dxfId="547" priority="10">
      <formula>ABS(M$16-M$19)&gt;=1000</formula>
    </cfRule>
  </conditionalFormatting>
  <conditionalFormatting sqref="M19">
    <cfRule type="expression" dxfId="546" priority="9">
      <formula>ABS(M$16-M$19)&gt;=1000</formula>
    </cfRule>
  </conditionalFormatting>
  <conditionalFormatting sqref="K13:K20">
    <cfRule type="expression" dxfId="545" priority="8">
      <formula>ABS(K$16-K$19)&gt;=1000</formula>
    </cfRule>
  </conditionalFormatting>
  <conditionalFormatting sqref="E5">
    <cfRule type="expression" dxfId="544" priority="7">
      <formula>ABS(E$7-E$10)&gt;=1000</formula>
    </cfRule>
  </conditionalFormatting>
  <conditionalFormatting sqref="AB14:AC14">
    <cfRule type="expression" dxfId="543" priority="6">
      <formula>ABS(AB$16-AB$19)&gt;=1000</formula>
    </cfRule>
  </conditionalFormatting>
  <conditionalFormatting sqref="M5">
    <cfRule type="expression" dxfId="542" priority="5">
      <formula>ABS(M$7-M$10)&gt;=1000</formula>
    </cfRule>
  </conditionalFormatting>
  <conditionalFormatting sqref="N5">
    <cfRule type="expression" dxfId="541" priority="4">
      <formula>ABS(N$7-N$10)&gt;=1000</formula>
    </cfRule>
  </conditionalFormatting>
  <conditionalFormatting sqref="O5">
    <cfRule type="expression" dxfId="540" priority="3">
      <formula>ABS(O$7-O$10)&gt;=1000</formula>
    </cfRule>
  </conditionalFormatting>
  <conditionalFormatting sqref="P5">
    <cfRule type="expression" dxfId="539" priority="2">
      <formula>ABS(P$7-P$10)&gt;=1000</formula>
    </cfRule>
  </conditionalFormatting>
  <conditionalFormatting sqref="L23">
    <cfRule type="expression" dxfId="538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74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6">
    <pageSetUpPr fitToPage="1"/>
  </sheetPr>
  <dimension ref="A1:CU223"/>
  <sheetViews>
    <sheetView view="pageBreakPreview" topLeftCell="A7" zoomScale="80" zoomScaleNormal="100" zoomScaleSheetLayoutView="80" workbookViewId="0">
      <selection activeCell="U24" sqref="U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45833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7" t="s" ph="1">
        <v>178</v>
      </c>
      <c r="D6" s="71">
        <v>5134</v>
      </c>
      <c r="E6" s="71">
        <v>7296</v>
      </c>
      <c r="F6" s="71">
        <v>3388</v>
      </c>
      <c r="G6" s="71">
        <v>1973</v>
      </c>
      <c r="H6" s="71">
        <v>7033</v>
      </c>
      <c r="I6" s="71">
        <v>63.31</v>
      </c>
      <c r="J6" s="71">
        <v>7.72</v>
      </c>
      <c r="K6" s="71">
        <v>87.63</v>
      </c>
      <c r="L6" s="71">
        <v>26.31</v>
      </c>
      <c r="M6" s="71">
        <v>5319</v>
      </c>
      <c r="N6" s="71">
        <v>3247</v>
      </c>
      <c r="O6" s="71">
        <v>5332</v>
      </c>
      <c r="P6" s="71">
        <v>973</v>
      </c>
      <c r="Q6" s="71">
        <v>0</v>
      </c>
      <c r="R6" s="71">
        <v>2531</v>
      </c>
      <c r="S6" s="71">
        <v>5342</v>
      </c>
      <c r="T6" s="71">
        <v>7037</v>
      </c>
      <c r="U6" s="71">
        <v>2590</v>
      </c>
      <c r="V6" s="71">
        <v>3908</v>
      </c>
      <c r="W6" s="71">
        <v>0</v>
      </c>
      <c r="X6" s="71">
        <v>0</v>
      </c>
      <c r="Y6" s="71">
        <v>0</v>
      </c>
      <c r="Z6" s="71">
        <v>4315</v>
      </c>
      <c r="AA6" s="71">
        <v>558</v>
      </c>
      <c r="AB6" s="71">
        <v>3765</v>
      </c>
      <c r="AC6" s="71">
        <v>5505</v>
      </c>
      <c r="AD6" s="71">
        <v>4410</v>
      </c>
      <c r="AE6" s="71">
        <v>1788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160579.36340676001</v>
      </c>
      <c r="E7" s="73" ph="1">
        <f>E6*51.53*LOOKUP(E8,密度!$A$2:$A$50,密度!$B$2:$B$50)</f>
        <v>291484.02086400002</v>
      </c>
      <c r="F7" s="73" ph="1">
        <f>F6*33.183*LOOKUP(F8,密度!$A$2:$A$50,密度!$C$2:$C$50)</f>
        <v>124329.70602360001</v>
      </c>
      <c r="G7" s="73" ph="1">
        <f xml:space="preserve"> (G6+2)*51.53*LOOKUP(G8,密度!$A$2:$A$50,密度!$B$2:$B$50)</f>
        <v>78995.232350000006</v>
      </c>
      <c r="H7" s="73" ph="1">
        <f>(H6)*51.53*LOOKUP(H8,密度!$A$2:$A$50,密度!$B$2:$B$50)</f>
        <v>282209.04856299999</v>
      </c>
      <c r="I7" s="73" ph="1">
        <f>I6*290.8*1.0267</f>
        <v>18902.1096316</v>
      </c>
      <c r="J7" s="73" ph="1">
        <f>J6*290.8*0.7892</f>
        <v>1771.7350592</v>
      </c>
      <c r="K7" s="73" ph="1">
        <f>K6*290.8*1.1126</f>
        <v>28352.1677304</v>
      </c>
      <c r="L7" s="73" ph="1">
        <f>L6*290.8*0.777</f>
        <v>5944.7865960000008</v>
      </c>
      <c r="M7" s="73" ph="1">
        <f>M6*33.183*LOOKUP(M8,密度!$A$2:$A$50,密度!$D$2:$D$50)</f>
        <v>180383.38529400001</v>
      </c>
      <c r="N7" s="73" ph="1">
        <f>N6*33.183*LOOKUP(N8,密度!$A$2:$A$50,密度!$E$2:$E$50)</f>
        <v>83782.668297600001</v>
      </c>
      <c r="O7" s="73" ph="1">
        <f>O6*20.428*LOOKUP(O8,密度!$A$2:$A$50,密度!$C$2:$C$50)</f>
        <v>120032.14979200001</v>
      </c>
      <c r="P7" s="73" ph="1">
        <f>P6*51.53*LOOKUP(P8,密度!$A$2:$A$50,密度!$B$2:$B$50)</f>
        <v>39002.886951</v>
      </c>
      <c r="Q7" s="73" ph="1">
        <f>Q6*1.5*1.5*3.1416*LOOKUP(W8,密度!$A$2:$A$50,密度!$L$2:$L$50)</f>
        <v>0</v>
      </c>
      <c r="R7" s="73" ph="1">
        <f>R6*1.5*1.5*3.1416*LOOKUP(R8,密度!$A$2:$A$50,密度!$L$2:$L$50)</f>
        <v>16602.501484799999</v>
      </c>
      <c r="S7" s="73" ph="1">
        <f>S6*1.5*1.5*3.1416*LOOKUP(S8,密度!$A$2:$A$50,密度!$L$2:$L$50)</f>
        <v>35381.552144399997</v>
      </c>
      <c r="T7" s="73" ph="1">
        <f>T6*1.5*1.5*3.1416*LOOKUP(T8,密度!$A$2:$A$50,密度!$L$2:$L$50)</f>
        <v>46657.750431599998</v>
      </c>
      <c r="U7" s="73" ph="1">
        <f>U6*1.5*1.5*3.1416*LOOKUP(U8,密度!$A$2:$A$50,密度!$L$2:$L$50)</f>
        <v>17135.982864000001</v>
      </c>
      <c r="V7" s="73" ph="1">
        <f>V6*1.5*1.5*3.1416*LOOKUP(V8,密度!$A$2:$A$50,密度!$L$2:$L$50)</f>
        <v>25828.523028000003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133591.273785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79111.086611999999</v>
      </c>
      <c r="AC7" s="73" ph="1">
        <f>AC6*51.53*LOOKUP(AC8,密度!$A$2:$A$50,密度!$Q$2:$Q$50)</f>
        <v>268161.42949800001</v>
      </c>
      <c r="AD7" s="73" ph="1">
        <f>AD6*20.428*LOOKUP(AD8,密度!$A$2:$A$50,密度!$V$2:$V$50)</f>
        <v>86267.770848000015</v>
      </c>
      <c r="AE7" s="73" ph="1">
        <f>AE6*20.428</f>
        <v>36525.264000000003</v>
      </c>
    </row>
    <row r="8" spans="1:99" ph="1">
      <c r="B8" s="256" ph="1"/>
      <c r="C8" s="68" t="s" ph="1">
        <v>180</v>
      </c>
      <c r="D8" s="74">
        <v>31</v>
      </c>
      <c r="E8" s="74">
        <v>30</v>
      </c>
      <c r="F8" s="74">
        <v>29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27</v>
      </c>
      <c r="R8" s="74">
        <v>34</v>
      </c>
      <c r="S8" s="74">
        <v>25</v>
      </c>
      <c r="T8" s="74">
        <v>24</v>
      </c>
      <c r="U8" s="74">
        <v>26</v>
      </c>
      <c r="V8" s="74">
        <v>27</v>
      </c>
      <c r="W8" s="74">
        <v>27</v>
      </c>
      <c r="X8" s="74">
        <v>24</v>
      </c>
      <c r="Y8" s="74">
        <v>27</v>
      </c>
      <c r="Z8" s="74">
        <v>29</v>
      </c>
      <c r="AA8" s="74">
        <v>28</v>
      </c>
      <c r="AB8" s="74">
        <v>23</v>
      </c>
      <c r="AC8" s="74">
        <v>27</v>
      </c>
      <c r="AD8" s="74">
        <v>27</v>
      </c>
      <c r="AE8" s="74">
        <v>29</v>
      </c>
    </row>
    <row r="9" spans="1:99" ht="26.4" ph="1">
      <c r="B9" s="256" ph="1">
        <v>0.66666666666666663</v>
      </c>
      <c r="C9" s="177" t="s" ph="1">
        <v>181</v>
      </c>
      <c r="D9" s="71">
        <v>5135</v>
      </c>
      <c r="E9" s="71">
        <v>7294</v>
      </c>
      <c r="F9" s="71">
        <v>5199</v>
      </c>
      <c r="G9" s="71">
        <v>1680</v>
      </c>
      <c r="H9" s="71">
        <v>7035</v>
      </c>
      <c r="I9" s="71">
        <v>53.41</v>
      </c>
      <c r="J9" s="71">
        <v>7.71</v>
      </c>
      <c r="K9" s="71">
        <v>87.82</v>
      </c>
      <c r="L9" s="71">
        <v>20.81</v>
      </c>
      <c r="M9" s="71">
        <v>5319</v>
      </c>
      <c r="N9" s="71">
        <v>3026</v>
      </c>
      <c r="O9" s="71">
        <v>4429</v>
      </c>
      <c r="P9" s="71">
        <v>553</v>
      </c>
      <c r="Q9" s="71">
        <v>0</v>
      </c>
      <c r="R9" s="71">
        <v>0</v>
      </c>
      <c r="S9" s="71">
        <v>2988</v>
      </c>
      <c r="T9" s="71">
        <v>7042</v>
      </c>
      <c r="U9" s="71">
        <v>4771</v>
      </c>
      <c r="V9" s="71">
        <v>4034</v>
      </c>
      <c r="W9" s="71">
        <v>0</v>
      </c>
      <c r="X9" s="71">
        <v>0</v>
      </c>
      <c r="Y9" s="71">
        <v>0</v>
      </c>
      <c r="Z9" s="71">
        <v>5293</v>
      </c>
      <c r="AA9" s="71">
        <v>558</v>
      </c>
      <c r="AB9" s="71">
        <v>3768</v>
      </c>
      <c r="AC9" s="71">
        <v>5506</v>
      </c>
      <c r="AD9" s="71">
        <v>4417</v>
      </c>
      <c r="AE9" s="71">
        <v>1740</v>
      </c>
    </row>
    <row r="10" spans="1:99" s="72" customFormat="1" ht="22.2" ph="1">
      <c r="B10" s="256" ph="1"/>
      <c r="C10" s="177" t="s" ph="1">
        <v>179</v>
      </c>
      <c r="D10" s="73" ph="1">
        <f>D9*33.183*LOOKUP(D11,密度!$A$2:$A$50,密度!$Q$2:$Q$50)</f>
        <v>160384.01608124998</v>
      </c>
      <c r="E10" s="73" ph="1">
        <f>E9*51.53*LOOKUP(E11,密度!$A$2:$A$50,密度!$B$2:$B$50)</f>
        <v>290426.88291400002</v>
      </c>
      <c r="F10" s="73" ph="1">
        <f>F9*33.183*LOOKUP(F11,密度!$A$2:$A$50,密度!$C$2:$C$50)</f>
        <v>190115.295534</v>
      </c>
      <c r="G10" s="73" ph="1">
        <f xml:space="preserve"> (G9+2)*51.53*LOOKUP(G11,密度!$A$2:$A$50,密度!$B$2:$B$50)</f>
        <v>67041.921310000005</v>
      </c>
      <c r="H10" s="73" ph="1">
        <f>(H9)*51.53*LOOKUP(H11,密度!$A$2:$A$50,密度!$B$2:$B$50)</f>
        <v>280730.49312</v>
      </c>
      <c r="I10" s="73" ph="1">
        <f>I9*290.8*1.0267</f>
        <v>15946.322467599997</v>
      </c>
      <c r="J10" s="73" ph="1">
        <f>J9*290.8*0.7892</f>
        <v>1769.4400656000003</v>
      </c>
      <c r="K10" s="73" ph="1">
        <f>K9*290.8*1.1126</f>
        <v>28413.6411056</v>
      </c>
      <c r="L10" s="73" ph="1">
        <f>L9*290.8*0.777</f>
        <v>4702.0527959999999</v>
      </c>
      <c r="M10" s="73" ph="1">
        <f>M9*33.183*LOOKUP(M11,密度!$A$2:$A$50,密度!$D$2:$D$50)</f>
        <v>178830.18197640002</v>
      </c>
      <c r="N10" s="73" ph="1">
        <f>N9*33.183*LOOKUP(N11,密度!$A$2:$A$50,密度!$E$2:$E$50)</f>
        <v>77737.778926020008</v>
      </c>
      <c r="O10" s="73" ph="1">
        <f>O9*20.428*LOOKUP(O11,密度!$A$2:$A$50,密度!$C$2:$C$50)</f>
        <v>99324.126853600013</v>
      </c>
      <c r="P10" s="73" ph="1">
        <f>P9*51.53*LOOKUP(P11,密度!$A$2:$A$50,密度!$B$2:$B$50)</f>
        <v>21993.282262000001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19769.234284800001</v>
      </c>
      <c r="T10" s="73" ph="1">
        <f>T9*1.5*1.5*3.1416*LOOKUP(T11,密度!$A$2:$A$50,密度!$L$2:$L$50)</f>
        <v>46541.570922000006</v>
      </c>
      <c r="U10" s="73" ph="1">
        <f>U9*1.5*1.5*3.1416*LOOKUP(U11,密度!$A$2:$A$50,密度!$L$2:$L$50)</f>
        <v>31498.487420400001</v>
      </c>
      <c r="V10" s="73" ph="1">
        <f>V9*1.5*1.5*3.1416*LOOKUP(V11,密度!$A$2:$A$50,密度!$L$2:$L$50)</f>
        <v>26632.760061600002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162816.07281300001</v>
      </c>
      <c r="AA10" s="73" ph="1">
        <f>AA9*33.183*LOOKUP(AA11,密度!$A$2:$A$50,密度!$D$2:$D$50)</f>
        <v>18679.055803200001</v>
      </c>
      <c r="AB10" s="73" ph="1">
        <f>AB9*20.428*LOOKUP(AB11,密度!$A$2:$A$50,密度!$D$2:$D$50)</f>
        <v>78958.599763200007</v>
      </c>
      <c r="AC10" s="73" ph="1">
        <f>AC9*51.53*LOOKUP(AC11,密度!$A$2:$A$50,密度!$Q$2:$Q$50)</f>
        <v>267055.384425</v>
      </c>
      <c r="AD10" s="73" ph="1">
        <f>AD9*20.428*LOOKUP(AD11,密度!$A$2:$A$50,密度!$V$2:$V$50)</f>
        <v>86404.703817600006</v>
      </c>
      <c r="AE10" s="73" ph="1">
        <f>AE9*20.428</f>
        <v>35544.720000000001</v>
      </c>
    </row>
    <row r="11" spans="1:99" ph="1">
      <c r="A11" s="64" t="s" ph="1">
        <v>163</v>
      </c>
      <c r="B11" s="256" ph="1"/>
      <c r="C11" s="177" t="s" ph="1">
        <v>180</v>
      </c>
      <c r="D11" s="74">
        <v>33</v>
      </c>
      <c r="E11" s="74">
        <v>33</v>
      </c>
      <c r="F11" s="74">
        <v>33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37</v>
      </c>
      <c r="P11" s="74">
        <v>34</v>
      </c>
      <c r="Q11" s="74">
        <v>39</v>
      </c>
      <c r="R11" s="74">
        <v>41</v>
      </c>
      <c r="S11" s="74">
        <v>26</v>
      </c>
      <c r="T11" s="74">
        <v>27</v>
      </c>
      <c r="U11" s="74">
        <v>28</v>
      </c>
      <c r="V11" s="74">
        <v>28</v>
      </c>
      <c r="W11" s="74">
        <v>42</v>
      </c>
      <c r="X11" s="74">
        <v>30</v>
      </c>
      <c r="Y11" s="74">
        <v>34</v>
      </c>
      <c r="Z11" s="74">
        <v>35</v>
      </c>
      <c r="AA11" s="74">
        <v>45</v>
      </c>
      <c r="AB11" s="74">
        <v>26</v>
      </c>
      <c r="AC11" s="74">
        <v>33</v>
      </c>
      <c r="AD11" s="74">
        <v>32</v>
      </c>
      <c r="AE11" s="74">
        <v>33</v>
      </c>
    </row>
    <row r="12" spans="1:99" ht="9.9" customHeight="1" ph="1"/>
    <row r="13" spans="1:99" s="72" customFormat="1" ht="29.25" customHeight="1" ph="1">
      <c r="B13" s="233" t="s" ph="1">
        <v>37</v>
      </c>
      <c r="C13" s="17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7" t="s" ph="1">
        <v>178</v>
      </c>
      <c r="D15" s="78">
        <v>2385</v>
      </c>
      <c r="E15" s="78">
        <v>75</v>
      </c>
      <c r="F15" s="78">
        <v>2761</v>
      </c>
      <c r="G15" s="78">
        <v>1692</v>
      </c>
      <c r="H15" s="78">
        <v>1849</v>
      </c>
      <c r="I15" s="78">
        <v>117</v>
      </c>
      <c r="J15" s="78">
        <v>1776</v>
      </c>
      <c r="K15" s="78">
        <v>1763</v>
      </c>
      <c r="L15" s="78">
        <v>5210</v>
      </c>
      <c r="M15" s="78">
        <v>5416</v>
      </c>
      <c r="N15" s="78">
        <v>218</v>
      </c>
      <c r="O15" s="78">
        <v>6098</v>
      </c>
      <c r="P15" s="78">
        <v>5380</v>
      </c>
      <c r="Q15" s="78">
        <v>0</v>
      </c>
      <c r="R15" s="78">
        <v>3519</v>
      </c>
      <c r="S15" s="78">
        <v>403</v>
      </c>
      <c r="T15" s="78">
        <v>2121</v>
      </c>
      <c r="U15" s="78">
        <v>3723</v>
      </c>
      <c r="V15" s="78">
        <v>3201</v>
      </c>
      <c r="W15" s="71">
        <v>-372</v>
      </c>
      <c r="X15" s="78">
        <v>-87</v>
      </c>
      <c r="Y15" s="106">
        <v>-9910</v>
      </c>
      <c r="Z15" s="78">
        <v>0</v>
      </c>
      <c r="AA15" s="78">
        <v>0</v>
      </c>
      <c r="AB15" s="78" ph="1">
        <v>2373</v>
      </c>
      <c r="AC15" s="78" ph="1">
        <v>0</v>
      </c>
      <c r="AD15" s="78">
        <v>18.91</v>
      </c>
      <c r="AE15" s="78">
        <v>84.62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7" t="s" ph="1">
        <v>179</v>
      </c>
      <c r="D16" s="73" ph="1">
        <f>D15*7.0686*LOOKUP(D17,密度!$A$2:$A$50,密度!$L$2:$L$50)</f>
        <v>15745.942674000002</v>
      </c>
      <c r="E16" s="73" ph="1">
        <f>E15*7.0686*LOOKUP(E17,密度!$A$2:$A$50,密度!$L$2:$L$50)</f>
        <v>494.09514000000001</v>
      </c>
      <c r="F16" s="73" ph="1">
        <f>F15*9.0746*LOOKUP(F17,密度!$A$2:$A$50,密度!$L$2:$L$50)</f>
        <v>23276.067687400002</v>
      </c>
      <c r="G16" s="73" ph="1">
        <f>G15*9.0746*LOOKUP(G17,密度!$A$2:$A$50,密度!$B$2:$B$50)</f>
        <v>11944.05022728</v>
      </c>
      <c r="H16" s="73" ph="1">
        <f>H15*9.0746*LOOKUP(H17,密度!$A$2:$A$50,密度!$L$2:$L$50)</f>
        <v>15688.304599000003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15020.568307200001</v>
      </c>
      <c r="K16" s="73" ph="1">
        <f>K15*9.0746*LOOKUP(K17,密度!$A$2:$A$50,密度!$C$2:$C$50)</f>
        <v>17692.76304682</v>
      </c>
      <c r="L16" s="73" ph="1">
        <f>L15*9.0746*LOOKUP(L17,密度!$A$2:$A$50,密度!$E$2:$E$50)</f>
        <v>36709.520215700002</v>
      </c>
      <c r="M16" s="73" ph="1">
        <f>M15*9.0746*LOOKUP(M17,密度!$A$2:$A$50,密度!$M$2:$M$50)</f>
        <v>42651.646518752001</v>
      </c>
      <c r="N16" s="73" ph="1">
        <f>N15*9.0746*LOOKUP(N17,密度!$A$2:$A$50,密度!$M$2:$M$50)</f>
        <v>1729.19951348</v>
      </c>
      <c r="O16" s="73" ph="1">
        <f>O15*9.0746*LOOKUP(O17,密度!$A$2:$A$50,密度!$G$2:$G$50)</f>
        <v>52896.553033719996</v>
      </c>
      <c r="P16" s="73" ph="1">
        <f ca="1">P15*9.0746*LOOKUP(P17,密度!$A$2:$A$51,密度!$Q$2:$Q$50)</f>
        <v>46054.64220884</v>
      </c>
      <c r="Q16" s="73" ph="1">
        <f>Q15*9.0746*LOOKUP(Q17,密度!$A$2:$A$50,密度!$Q$2:$Q$50)</f>
        <v>0</v>
      </c>
      <c r="R16" s="73" ph="1">
        <f>MAX(R15*9.0746*LOOKUP(R17,密度!$A$2:$A$50,密度!$B$2:$B$50),0)</f>
        <v>24758.056040219999</v>
      </c>
      <c r="S16" s="73" ph="1">
        <f>S15*9.0746*LOOKUP(S17,密度!$A$2:$A$50,密度!$Q$2:$Q$50)</f>
        <v>3454.5356067560001</v>
      </c>
      <c r="T16" s="73" ph="1">
        <f>T15*9.0746*LOOKUP(T17,密度!$A$2:$A$50,密度!$O$2:$O$50)</f>
        <v>17822.931831600003</v>
      </c>
      <c r="U16" s="73" ph="1">
        <f>U15*9.0746*LOOKUP(U17,密度!$A$2:$A$50,密度!$H$2:$H$50)</f>
        <v>30811.679049600003</v>
      </c>
      <c r="V16" s="73" ph="1">
        <f>MAX(5600*LOOKUP(V17,密度!$A$2:$A$50,密度!$Q$2:$Q$50)+V15*9.0476*LOOKUP(V17,密度!$A$2:$A$50,密度!$Q$2:$Q$50),0)</f>
        <v>32508.076750884</v>
      </c>
      <c r="W16" s="73" ph="1">
        <f>MAX(5600*LOOKUP(W17,密度!$A$2:$A$50,密度!$Q$2:$Q$50)+W15*9.0476*LOOKUP(W17,密度!$A$2:$A$50,密度!$Q$2:$Q$50),0)</f>
        <v>2107.6754270240003</v>
      </c>
      <c r="X16" s="73" ph="1">
        <f>MAX(5600*LOOKUP(X17,密度!$A$2:$A$50,密度!$I$2:$I$50)+X15*9.0476*LOOKUP(X17,密度!$A$2:$A$50,密度!$I$2:$I$50),0)</f>
        <v>4989.0094320799999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20048.178019800001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5181.7975684800003</v>
      </c>
      <c r="AE16" s="73" ph="1">
        <f>AE15*268.68*LOOKUP(AE17,密度!$A$2:$A$50,密度!B2:B50)+IF(AE15&lt;=0,0,1566*LOOKUP(AE17,密度!$A$2:$A$50,密度!B2:B50))</f>
        <v>18945.606567359999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30</v>
      </c>
      <c r="F17" s="74">
        <v>33</v>
      </c>
      <c r="G17" s="74">
        <v>27</v>
      </c>
      <c r="H17" s="74">
        <v>27</v>
      </c>
      <c r="I17" s="74">
        <v>27</v>
      </c>
      <c r="J17" s="74">
        <v>30</v>
      </c>
      <c r="K17" s="74">
        <v>29</v>
      </c>
      <c r="L17" s="74">
        <v>31</v>
      </c>
      <c r="M17" s="74">
        <v>32</v>
      </c>
      <c r="N17" s="74">
        <v>26</v>
      </c>
      <c r="O17" s="74">
        <v>29</v>
      </c>
      <c r="P17" s="74">
        <v>30</v>
      </c>
      <c r="Q17" s="74">
        <v>28</v>
      </c>
      <c r="R17" s="74">
        <v>30</v>
      </c>
      <c r="S17" s="74">
        <v>28</v>
      </c>
      <c r="T17" s="74">
        <v>29</v>
      </c>
      <c r="U17" s="74">
        <v>28</v>
      </c>
      <c r="V17" s="74">
        <v>34</v>
      </c>
      <c r="W17" s="74">
        <v>30</v>
      </c>
      <c r="X17" s="74">
        <v>30</v>
      </c>
      <c r="Y17" s="108">
        <v>29</v>
      </c>
      <c r="Z17" s="74">
        <v>27</v>
      </c>
      <c r="AA17" s="74">
        <v>27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2389</v>
      </c>
      <c r="E18" s="71">
        <v>75</v>
      </c>
      <c r="F18" s="71">
        <v>2772</v>
      </c>
      <c r="G18" s="71">
        <v>1718</v>
      </c>
      <c r="H18" s="71">
        <v>0</v>
      </c>
      <c r="I18" s="71">
        <v>117</v>
      </c>
      <c r="J18" s="71">
        <v>1778</v>
      </c>
      <c r="K18" s="71">
        <v>1721</v>
      </c>
      <c r="L18" s="71">
        <v>5051</v>
      </c>
      <c r="M18" s="71">
        <v>5425</v>
      </c>
      <c r="N18" s="71">
        <v>1052</v>
      </c>
      <c r="O18" s="71">
        <v>6103</v>
      </c>
      <c r="P18" s="71">
        <v>5175</v>
      </c>
      <c r="Q18" s="71">
        <v>0</v>
      </c>
      <c r="R18" s="71">
        <v>3522</v>
      </c>
      <c r="S18" s="71">
        <v>0</v>
      </c>
      <c r="T18" s="71">
        <v>1709</v>
      </c>
      <c r="U18" s="71">
        <v>5480</v>
      </c>
      <c r="V18" s="71">
        <v>3201</v>
      </c>
      <c r="W18" s="71">
        <v>-373</v>
      </c>
      <c r="X18" s="71">
        <v>-89</v>
      </c>
      <c r="Y18" s="109">
        <v>-9907</v>
      </c>
      <c r="Z18" s="71">
        <v>0</v>
      </c>
      <c r="AA18" s="71">
        <v>0</v>
      </c>
      <c r="AB18" s="71">
        <v>6</v>
      </c>
      <c r="AC18" s="71">
        <v>0</v>
      </c>
      <c r="AD18" s="71">
        <v>60.62</v>
      </c>
      <c r="AE18" s="71">
        <v>83.91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7" t="s" ph="1">
        <v>179</v>
      </c>
      <c r="D19" s="73" ph="1">
        <f>D18*7.0686*LOOKUP(D20,密度!$A$2:$A$50,密度!$L$2:$L$50)</f>
        <v>15671.0296512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23293.336651199999</v>
      </c>
      <c r="G19" s="73" ph="1">
        <f>G18*9.0746*LOOKUP(G20,密度!$A$2:$A$50,密度!$B$2:$B$50)</f>
        <v>12087.053218839999</v>
      </c>
      <c r="H19" s="73" ph="1">
        <f>H18*9.0746*LOOKUP(H20,密度!$A$2:$A$50,密度!$L$2:$L$50)</f>
        <v>0</v>
      </c>
      <c r="I19" s="73" ph="1">
        <f>I18*9.0746*LOOKUP(I20,密度!$A$2:$A$50,密度!$U$2:$U$50)</f>
        <v>1069.5849886800002</v>
      </c>
      <c r="J19" s="73" ph="1">
        <f>J18*9.0746*LOOKUP(J20,密度!$A$2:$A$50,密度!$L$2:$L$50)</f>
        <v>14940.675528800002</v>
      </c>
      <c r="K19" s="73" ph="1">
        <f>K18*9.0746*LOOKUP(K20,密度!$A$2:$A$50,密度!$C$2:$C$50)</f>
        <v>17111.970497619997</v>
      </c>
      <c r="L19" s="73" ph="1">
        <f>L18*9.0746*LOOKUP(L20,密度!$A$2:$A$50,密度!$E$2:$E$50)</f>
        <v>35485.621563274006</v>
      </c>
      <c r="M19" s="73" ph="1">
        <f>M18*9.0746*LOOKUP(M20,密度!$A$2:$A$50,密度!$M$2:$M$50)</f>
        <v>42567.449022350003</v>
      </c>
      <c r="N19" s="73" ph="1">
        <f>N18*9.0746*LOOKUP(N20,密度!$A$2:$A$50,密度!$M$2:$M$50)</f>
        <v>8254.5541698640009</v>
      </c>
      <c r="O19" s="73" ph="1">
        <f>O18*9.0746*LOOKUP(O20,密度!$A$2:$A$50,密度!$G$2:$G$50)</f>
        <v>52700.119795566003</v>
      </c>
      <c r="P19" s="73" ph="1">
        <f ca="1">P18*9.0746*LOOKUP(P20,密度!$A$2:$A$51,密度!$Q$2:$Q$50)</f>
        <v>44202.093018750005</v>
      </c>
      <c r="Q19" s="73" ph="1">
        <f>Q18*9.0746*LOOKUP(Q20,密度!$A$2:$A$50,密度!$Q$2:$Q$50)</f>
        <v>0</v>
      </c>
      <c r="R19" s="73" ph="1">
        <f>MAX(R18*9.0746*LOOKUP(R20,密度!$A$2:$A$50,密度!$B$2:$B$50),0)</f>
        <v>24667.300058160003</v>
      </c>
      <c r="S19" s="73" ph="1">
        <f>S18*9.0746*LOOKUP(S20,密度!$A$2:$A$50,密度!$Q$2:$Q$50)</f>
        <v>0</v>
      </c>
      <c r="T19" s="73" ph="1">
        <f>T18*9.0746*LOOKUP(T20,密度!$A$2:$A$50,密度!$O$2:$O$50)</f>
        <v>14298.829070800002</v>
      </c>
      <c r="U19" s="73" ph="1">
        <f>U18*9.0746*LOOKUP(U20,密度!$A$2:$A$50,密度!$H$2:$H$50)</f>
        <v>45109.499024880002</v>
      </c>
      <c r="V19" s="73" ph="1">
        <f>MAX(5600*LOOKUP(V20,密度!$A$2:$A$50,密度!$Q$2:$Q$50)+V18*9.0476*LOOKUP(V20,密度!$A$2:$A$50,密度!$Q$2:$Q$50),0)</f>
        <v>32441.027697739995</v>
      </c>
      <c r="W19" s="73" ph="1">
        <f>MAX(5600*LOOKUP(W20,密度!$A$2:$A$50,密度!$Q$2:$Q$50)+W18*9.0476*LOOKUP(W20,密度!$A$2:$A$50,密度!$Q$2:$Q$50),0)</f>
        <v>2091.5969732879998</v>
      </c>
      <c r="X19" s="73" ph="1">
        <f>MAX(5600*LOOKUP(X20,密度!$A$2:$A$50,密度!$I$2:$I$50)+X18*9.0476*LOOKUP(X20,密度!$A$2:$A$50,密度!$I$2:$I$50),0)</f>
        <v>4943.7369050519992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50.418477600000003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13872.0775032</v>
      </c>
      <c r="AE19" s="73" ph="1">
        <f>AE18*268.68*LOOKUP(AE20,密度!$A$2:$A$50,密度!B5:B53)+IF(AE18&lt;=0,0,1566*LOOKUP(AE20,密度!$A$2:$A$50,密度!B5:B53))</f>
        <v>18734.1994476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34</v>
      </c>
      <c r="E20" s="81">
        <v>35</v>
      </c>
      <c r="F20" s="81">
        <v>36</v>
      </c>
      <c r="G20" s="81">
        <v>30</v>
      </c>
      <c r="H20" s="81">
        <v>33</v>
      </c>
      <c r="I20" s="81">
        <v>43</v>
      </c>
      <c r="J20" s="81">
        <v>36</v>
      </c>
      <c r="K20" s="81">
        <v>39</v>
      </c>
      <c r="L20" s="81">
        <v>33</v>
      </c>
      <c r="M20" s="81">
        <v>35</v>
      </c>
      <c r="N20" s="81">
        <v>35</v>
      </c>
      <c r="O20" s="81">
        <v>33</v>
      </c>
      <c r="P20" s="81">
        <v>33</v>
      </c>
      <c r="Q20" s="81">
        <v>35</v>
      </c>
      <c r="R20" s="81">
        <v>34</v>
      </c>
      <c r="S20" s="81">
        <v>35</v>
      </c>
      <c r="T20" s="81">
        <v>32</v>
      </c>
      <c r="U20" s="81">
        <v>33</v>
      </c>
      <c r="V20" s="81">
        <v>37</v>
      </c>
      <c r="W20" s="81">
        <v>35</v>
      </c>
      <c r="X20" s="81">
        <v>35</v>
      </c>
      <c r="Y20" s="110">
        <v>36</v>
      </c>
      <c r="Z20" s="81">
        <v>37</v>
      </c>
      <c r="AA20" s="81">
        <v>35</v>
      </c>
      <c r="AB20" s="81">
        <v>36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649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7" t="s" ph="1">
        <v>178</v>
      </c>
      <c r="D24" s="71">
        <v>69.709999999999994</v>
      </c>
      <c r="E24" s="71">
        <v>95.72</v>
      </c>
      <c r="F24" s="71">
        <v>3853</v>
      </c>
      <c r="G24" s="71">
        <v>2490</v>
      </c>
      <c r="H24" s="71">
        <v>3731</v>
      </c>
      <c r="I24" s="71">
        <v>542</v>
      </c>
      <c r="J24" s="71">
        <v>4824</v>
      </c>
      <c r="K24" s="71">
        <v>1477</v>
      </c>
      <c r="L24" s="71">
        <v>3576</v>
      </c>
      <c r="M24" s="71">
        <v>259</v>
      </c>
      <c r="N24" s="71">
        <v>230</v>
      </c>
      <c r="O24" s="71">
        <v>3697</v>
      </c>
      <c r="P24" s="71">
        <v>1254</v>
      </c>
      <c r="Q24" s="90">
        <v>2899</v>
      </c>
      <c r="R24" s="71">
        <v>1320</v>
      </c>
      <c r="S24" s="71">
        <v>6647</v>
      </c>
      <c r="T24" s="71">
        <v>1765</v>
      </c>
      <c r="U24" s="71">
        <v>5775</v>
      </c>
      <c r="V24" s="71">
        <v>9629</v>
      </c>
      <c r="W24" s="71">
        <v>10765</v>
      </c>
      <c r="X24" s="71">
        <v>3877</v>
      </c>
      <c r="Y24" s="71">
        <v>2344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19214.734734072001</v>
      </c>
      <c r="E25" s="91" ph="1">
        <f>E24*268.68*LOOKUP(E26,密度!$A$2:$A$50,密度!$C$2:$C$50)+IF(E24&lt;=0,0,1566*LOOKUP(E26,密度!$A$2:$A$50,密度!$C$2:$C$50))</f>
        <v>30255.282601440002</v>
      </c>
      <c r="F25" s="91" ph="1">
        <f>F24*11.702*LOOKUP(F26,密度!$A$2:$A$50,密度!$Q$2:$Q$50)</f>
        <v>42532.680033979996</v>
      </c>
      <c r="G25" s="91" ph="1">
        <f>G24*18.322*LOOKUP(G26,密度!$A$2:$A$50,密度!$B$2:$B$50)</f>
        <v>35329.506431999995</v>
      </c>
      <c r="H25" s="91" ph="1">
        <f>H24*18.322*LOOKUP(H26,密度!$A$2:$A$50,密度!$B$2:$B$50)</f>
        <v>52999.028864599997</v>
      </c>
      <c r="I25" s="91" ph="1">
        <f>I24*18.322*LOOKUP(I26,密度!$A$2:$A$50,密度!$Q$2:$Q$50)</f>
        <v>9367.7612049199997</v>
      </c>
      <c r="J25" s="91" ph="1">
        <f>J24*18.322*LOOKUP(J26,密度!$A$2:$A$50,密度!$Q$2:$Q$50)</f>
        <v>83376.531462239989</v>
      </c>
      <c r="K25" s="91" ph="1">
        <f>K24*18.322*LOOKUP(K26,密度!$A$2:$A$50,密度!$Q$2:$Q$50)</f>
        <v>25544.250424419999</v>
      </c>
      <c r="L25" s="91" ph="1">
        <f>L24*18.322*LOOKUP(L26,密度!$A$2:$A$50,密度!$Q$2:$Q$50)</f>
        <v>61845.795204959999</v>
      </c>
      <c r="M25" s="91" ph="1">
        <f>M24*18.322*LOOKUP(M26,密度!$A$2:$A$50,密度!$Q$2:$Q$50)</f>
        <v>4482.5978587600002</v>
      </c>
      <c r="N25" s="91" ph="1">
        <f>N24*18.322*LOOKUP(N26,密度!$A$2:$A$50,密度!$Q$2:$Q$50)</f>
        <v>3975.2492197999995</v>
      </c>
      <c r="O25" s="91" ph="1">
        <f>O24*18.322*LOOKUP(O26,密度!$A$2:$A$50,密度!$C$2:$C$50)</f>
        <v>74957.137864399992</v>
      </c>
      <c r="P25" s="91" ph="1">
        <f>P24*11.702*LOOKUP(P26,密度!$A$2:$A$50,密度!$B$2:$B$50)</f>
        <v>11376.990992399999</v>
      </c>
      <c r="Q25" s="92" ph="1">
        <f>Q24*18.322*LOOKUP(Q26,密度!$A$2:$A$50,密度!$B$2:$B$50)</f>
        <v>41180.430093399998</v>
      </c>
      <c r="R25" s="91" ph="1">
        <f>R24*35.891*LOOKUP(R26,密度!$A$2:$A$50,密度!$C$2:$C$50)</f>
        <v>52355.35021199999</v>
      </c>
      <c r="S25" s="91" ph="1">
        <f>S24*35.891*LOOKUP(S26,密度!$A$2:$A$50,密度!$B$2:$B$50)</f>
        <v>185366.92962899999</v>
      </c>
      <c r="T25" s="91" ph="1">
        <f>T24*35.891*LOOKUP(T26,密度!$A$2:$A$50,密度!$Q$2:$Q$50)</f>
        <v>59757.705657949999</v>
      </c>
      <c r="U25" s="91" ph="1">
        <f>U24*35.891</f>
        <v>207270.52499999999</v>
      </c>
      <c r="V25" s="91" ph="1">
        <f>V24*47.051*LOOKUP(V26,密度!$A$2:$A$50,密度!$B$2:$B$50)</f>
        <v>352023.01938300004</v>
      </c>
      <c r="W25" s="91" ph="1">
        <f>W24*47.051*LOOKUP(W26,密度!$A$2:$A$50,密度!$B$2:$B$50)</f>
        <v>393148.41644300002</v>
      </c>
      <c r="X25" s="91" ph="1">
        <f>X24*47.051*LOOKUP(X26,密度!$A$2:$A$50,密度!$I$2:$I$50)</f>
        <v>189093.17920820002</v>
      </c>
      <c r="Y25" s="91" ph="1">
        <f>Y24*47.051*LOOKUP(Y26,密度!$A$2:$A$50,密度!$L$2:$L$50)</f>
        <v>102567.41592000001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30</v>
      </c>
      <c r="I26" s="74">
        <v>30</v>
      </c>
      <c r="J26" s="74">
        <v>30</v>
      </c>
      <c r="K26" s="74">
        <v>29</v>
      </c>
      <c r="L26" s="74">
        <v>29</v>
      </c>
      <c r="M26" s="74">
        <v>28</v>
      </c>
      <c r="N26" s="74">
        <v>30</v>
      </c>
      <c r="O26" s="74">
        <v>28</v>
      </c>
      <c r="P26" s="74">
        <v>30</v>
      </c>
      <c r="Q26" s="93">
        <v>30</v>
      </c>
      <c r="R26" s="74">
        <v>30</v>
      </c>
      <c r="S26" s="74">
        <v>28</v>
      </c>
      <c r="T26" s="74">
        <v>30</v>
      </c>
      <c r="U26" s="74">
        <v>29</v>
      </c>
      <c r="V26" s="74">
        <v>28</v>
      </c>
      <c r="W26" s="74">
        <v>29</v>
      </c>
      <c r="X26" s="74">
        <v>30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7" t="s" ph="1">
        <v>181</v>
      </c>
      <c r="D27" s="71">
        <v>86.21</v>
      </c>
      <c r="E27" s="71">
        <v>95.51</v>
      </c>
      <c r="F27" s="71">
        <v>3855</v>
      </c>
      <c r="G27" s="71">
        <v>2479</v>
      </c>
      <c r="H27" s="71">
        <v>3132</v>
      </c>
      <c r="I27" s="71">
        <v>540</v>
      </c>
      <c r="J27" s="71">
        <v>4826</v>
      </c>
      <c r="K27" s="71">
        <v>2695</v>
      </c>
      <c r="L27" s="71">
        <v>3572</v>
      </c>
      <c r="M27" s="71">
        <v>254</v>
      </c>
      <c r="N27" s="71">
        <v>225</v>
      </c>
      <c r="O27" s="71">
        <v>3694</v>
      </c>
      <c r="P27" s="71">
        <v>1252</v>
      </c>
      <c r="Q27" s="90">
        <v>3521</v>
      </c>
      <c r="R27" s="71">
        <v>1317</v>
      </c>
      <c r="S27" s="71">
        <v>6644</v>
      </c>
      <c r="T27" s="71">
        <v>1763</v>
      </c>
      <c r="U27" s="71">
        <v>5680</v>
      </c>
      <c r="V27" s="71">
        <v>9630</v>
      </c>
      <c r="W27" s="71">
        <v>10766</v>
      </c>
      <c r="X27" s="71">
        <v>3662</v>
      </c>
      <c r="Y27" s="71">
        <v>1283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7" t="s" ph="1">
        <v>179</v>
      </c>
      <c r="D28" s="91" ph="1">
        <f>D27*268.68*LOOKUP(D29,密度!$A$2:$A$50,密度!$Q$2:$Q$50)+IF(D27&lt;=0,0,1566*LOOKUP(D29,密度!$A$2:$A$50,密度!$Q$2:$Q$50))</f>
        <v>23411.841436872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42401.830727399996</v>
      </c>
      <c r="G28" s="91" ph="1">
        <f>G27*18.322*LOOKUP(G29,密度!$A$2:$A$50,密度!$B$2:$B$50)</f>
        <v>35132.554092999999</v>
      </c>
      <c r="H28" s="91" ph="1">
        <f>H27*18.322*LOOKUP(H29,密度!$A$2:$A$50,密度!$B$2:$B$50)</f>
        <v>44341.006240800001</v>
      </c>
      <c r="I28" s="91" ph="1">
        <f>I27*18.322*LOOKUP(I29,密度!$A$2:$A$50,密度!$Q$2:$Q$50)</f>
        <v>9319.0455719999991</v>
      </c>
      <c r="J28" s="91" ph="1">
        <f>J27*18.322*LOOKUP(J29,密度!$A$2:$A$50,密度!$Q$2:$Q$50)</f>
        <v>83344.782367759995</v>
      </c>
      <c r="K28" s="91" ph="1">
        <f>K27*18.322*LOOKUP(K29,密度!$A$2:$A$50,密度!$Q$2:$Q$50)</f>
        <v>46476.844837500001</v>
      </c>
      <c r="L28" s="91" ph="1">
        <f>L27*18.322*LOOKUP(L29,密度!$A$2:$A$50,密度!$Q$2:$Q$50)</f>
        <v>61558.026208559997</v>
      </c>
      <c r="M28" s="91" ph="1">
        <f>M27*18.322*LOOKUP(M29,密度!$A$2:$A$50,密度!$Q$2:$Q$50)</f>
        <v>4365.3462197599993</v>
      </c>
      <c r="N28" s="91" ph="1">
        <f>N27*18.322*LOOKUP(N29,密度!$A$2:$A$50,密度!$Q$2:$Q$50)</f>
        <v>3872.2172849999997</v>
      </c>
      <c r="O28" s="91" ph="1">
        <f>O27*18.322*LOOKUP(O29,密度!$A$2:$A$50,密度!$C$2:$C$50)</f>
        <v>74300.715570400003</v>
      </c>
      <c r="P28" s="91" ph="1">
        <f>P27*11.702*LOOKUP(P29,密度!$A$2:$A$50,密度!$B$2:$B$50)</f>
        <v>11294.381893600001</v>
      </c>
      <c r="Q28" s="92" ph="1">
        <f>Q27*18.322*LOOKUP(Q29,密度!$A$2:$A$50,密度!$B$2:$B$50)</f>
        <v>49790.177911599996</v>
      </c>
      <c r="R28" s="91" ph="1">
        <f>R27*35.891*LOOKUP(R29,密度!$A$2:$A$50,密度!$C$2:$C$50)</f>
        <v>51990.564855300006</v>
      </c>
      <c r="S28" s="91" ph="1">
        <f>S27*35.891*LOOKUP(S29,密度!$A$2:$A$50,密度!$B$2:$B$50)</f>
        <v>184257.89055079999</v>
      </c>
      <c r="T28" s="91" ph="1">
        <f>T27*35.891*LOOKUP(T29,密度!$A$2:$A$50,密度!$Q$2:$Q$50)</f>
        <v>59558.37781125</v>
      </c>
      <c r="U28" s="91" ph="1">
        <f>U27*35.891</f>
        <v>203860.87999999998</v>
      </c>
      <c r="V28" s="91" ph="1">
        <f>V27*47.051*LOOKUP(V29,密度!$A$2:$A$50,密度!$B$2:$B$50)</f>
        <v>349703.45213400002</v>
      </c>
      <c r="W28" s="91" ph="1">
        <f>W27*47.051*LOOKUP(W29,密度!$A$2:$A$50,密度!$B$2:$B$50)</f>
        <v>391817.24955100002</v>
      </c>
      <c r="X28" s="91" ph="1">
        <f>X27*47.051*LOOKUP(X29,密度!$A$2:$A$50,密度!$I$2:$I$50)</f>
        <v>177845.40052116005</v>
      </c>
      <c r="Y28" s="91" ph="1">
        <f>Y27*47.051*LOOKUP(Y29,密度!$A$2:$A$50,密度!$L$2:$L$50)</f>
        <v>55899.31695800001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7" t="s" ph="1">
        <v>180</v>
      </c>
      <c r="D29" s="74">
        <v>25</v>
      </c>
      <c r="E29" s="74">
        <v>25</v>
      </c>
      <c r="F29" s="74">
        <v>35</v>
      </c>
      <c r="G29" s="74">
        <v>32</v>
      </c>
      <c r="H29" s="74">
        <v>33</v>
      </c>
      <c r="I29" s="74">
        <v>32</v>
      </c>
      <c r="J29" s="74">
        <v>31</v>
      </c>
      <c r="K29" s="74">
        <v>33</v>
      </c>
      <c r="L29" s="74">
        <v>34</v>
      </c>
      <c r="M29" s="74">
        <v>38</v>
      </c>
      <c r="N29" s="74">
        <v>36</v>
      </c>
      <c r="O29" s="74">
        <v>37</v>
      </c>
      <c r="P29" s="74">
        <v>35</v>
      </c>
      <c r="Q29" s="93">
        <v>34</v>
      </c>
      <c r="R29" s="74">
        <v>35</v>
      </c>
      <c r="S29" s="74">
        <v>33</v>
      </c>
      <c r="T29" s="74">
        <v>33</v>
      </c>
      <c r="U29" s="74">
        <v>33</v>
      </c>
      <c r="V29" s="74">
        <v>34</v>
      </c>
      <c r="W29" s="74">
        <v>32</v>
      </c>
      <c r="X29" s="74">
        <v>34</v>
      </c>
      <c r="Y29" s="74">
        <v>36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7" t="s" ph="1">
        <v>5</v>
      </c>
      <c r="F32" s="176" t="s" ph="1">
        <v>43</v>
      </c>
      <c r="G32" s="97" t="s" ph="1">
        <v>4</v>
      </c>
      <c r="H32" s="177" t="s" ph="1">
        <v>5</v>
      </c>
      <c r="I32" s="176" t="s" ph="1">
        <v>43</v>
      </c>
      <c r="J32" s="97" t="s" ph="1">
        <v>4</v>
      </c>
      <c r="K32" s="177" t="s" ph="1">
        <v>5</v>
      </c>
      <c r="L32" s="176" t="s" ph="1">
        <v>43</v>
      </c>
      <c r="M32" s="97" t="s" ph="1">
        <v>4</v>
      </c>
      <c r="N32" s="177" t="s" ph="1">
        <v>5</v>
      </c>
      <c r="O32" s="17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7" t="s" ph="1">
        <v>5</v>
      </c>
      <c r="U32" s="99" t="s" ph="1">
        <v>43</v>
      </c>
      <c r="V32" s="97" t="s" ph="1">
        <v>4</v>
      </c>
      <c r="W32" s="177" t="s" ph="1">
        <v>5</v>
      </c>
      <c r="X32" s="99" t="s" ph="1">
        <v>43</v>
      </c>
      <c r="Y32" s="100" t="s" ph="1">
        <v>4</v>
      </c>
      <c r="Z32" s="177" t="s" ph="1">
        <v>5</v>
      </c>
      <c r="AA32" s="176" t="s" ph="1">
        <v>43</v>
      </c>
      <c r="AB32" s="97" t="s" ph="1">
        <v>85</v>
      </c>
      <c r="AC32" s="177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97637.655566400004</v>
      </c>
      <c r="E33" s="205" ph="1">
        <f>M10+I10</f>
        <v>194776.50444400002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31" ph="1">
        <v>0</v>
      </c>
      <c r="H33" s="205" ph="1">
        <f>N19</f>
        <v>8254.5541698640009</v>
      </c>
      <c r="I33" s="209" ph="1">
        <v>0</v>
      </c>
      <c r="J33" s="213" ph="1">
        <f>F10+O28</f>
        <v>264416.01110440004</v>
      </c>
      <c r="K33" s="205" ph="1">
        <f>O10+K10+E28+R28</f>
        <v>209921.04817302004</v>
      </c>
      <c r="L33" s="215" ph="1">
        <f>BE27</f>
        <v>7100</v>
      </c>
      <c r="M33" s="213" ph="1">
        <f>G10+H10+W28+S28+V28+E10</f>
        <v>1563977.8895798</v>
      </c>
      <c r="N33" s="205" ph="1">
        <f>L10+P10++G28+H28</f>
        <v>106168.8953918</v>
      </c>
      <c r="O33" s="209" ph="1">
        <f>BE17</f>
        <v>2270</v>
      </c>
      <c r="P33" s="213" ph="1">
        <f>L19</f>
        <v>35485.621563274006</v>
      </c>
      <c r="Q33" s="205" ph="1">
        <f>J10+N10</f>
        <v>79507.218991620015</v>
      </c>
      <c r="R33" s="209" ph="1">
        <f>BE23</f>
        <v>890</v>
      </c>
      <c r="S33" s="213" ph="1">
        <f>E10+X28</f>
        <v>468272.28343516006</v>
      </c>
      <c r="T33" s="205" ph="1">
        <f>X19</f>
        <v>4943.7369050519992</v>
      </c>
      <c r="U33" s="194" ph="1">
        <f>BE21</f>
        <v>730</v>
      </c>
      <c r="V33" s="207" ph="1">
        <f ca="1">P19+Q19+S19+M28+N28+J28</f>
        <v>135784.43889126999</v>
      </c>
      <c r="W33" s="207" ph="1">
        <f>D28+F28+V19+T28</f>
        <v>157813.07767326199</v>
      </c>
      <c r="X33" s="209" ph="1">
        <f>BE29+BE31</f>
        <v>10200</v>
      </c>
      <c r="Y33" s="211" ph="1">
        <f>+Q10+R10+S10+T10+U10+V10+W10+X10+Y10</f>
        <v>124442.05268880002</v>
      </c>
      <c r="Z33" s="192" ph="1">
        <f>D10+T19+U19+Y28+Z10</f>
        <v>438507.73394792998</v>
      </c>
      <c r="AA33" s="194" ph="1">
        <f>BE19</f>
        <v>1440</v>
      </c>
      <c r="AB33" s="196" ph="1">
        <f>I19</f>
        <v>1069.5849886800002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75" t="s" ph="1">
        <v>186</v>
      </c>
      <c r="AA36" s="175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7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5" t="s" ph="1">
        <v>345</v>
      </c>
      <c r="AI37" s="175" t="s" ph="1">
        <v>212</v>
      </c>
      <c r="AJ37" s="175" t="s" ph="1">
        <v>213</v>
      </c>
      <c r="AK37" s="175" t="s" ph="1">
        <v>214</v>
      </c>
      <c r="AM37" s="175" t="s" ph="1">
        <v>213</v>
      </c>
      <c r="AN37" s="175" t="s" ph="1">
        <v>214</v>
      </c>
      <c r="AO37" s="175" t="s" ph="1">
        <v>215</v>
      </c>
      <c r="AP37" s="175" t="s" ph="1">
        <v>213</v>
      </c>
      <c r="AQ37" s="175" t="s" ph="1">
        <v>214</v>
      </c>
      <c r="AR37" s="175" t="s" ph="1">
        <v>215</v>
      </c>
      <c r="AS37" s="175" t="s" ph="1">
        <v>213</v>
      </c>
      <c r="AT37" s="175" t="s" ph="1">
        <v>214</v>
      </c>
      <c r="AU37" s="175" t="s" ph="1">
        <v>215</v>
      </c>
      <c r="AV37" s="175" t="s" ph="1">
        <v>213</v>
      </c>
      <c r="AW37" s="175" t="s" ph="1">
        <v>214</v>
      </c>
      <c r="AX37" s="175" t="s" ph="1">
        <v>215</v>
      </c>
      <c r="AY37" s="175" t="s" ph="1">
        <v>214</v>
      </c>
      <c r="AZ37" s="175" t="s" ph="1">
        <v>216</v>
      </c>
      <c r="BD37" s="175" t="s" ph="1">
        <v>308</v>
      </c>
      <c r="BE37" s="17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7" priority="97">
      <formula>ABS(D$7-D$10)&gt;=1000</formula>
    </cfRule>
  </conditionalFormatting>
  <conditionalFormatting sqref="E4 E6:E11">
    <cfRule type="expression" dxfId="506" priority="96">
      <formula>ABS(E$7-E$10)&gt;=1000</formula>
    </cfRule>
  </conditionalFormatting>
  <conditionalFormatting sqref="F4:F11">
    <cfRule type="expression" dxfId="505" priority="95">
      <formula>ABS(F$7-F$10)&gt;=1000</formula>
    </cfRule>
  </conditionalFormatting>
  <conditionalFormatting sqref="G4:G11">
    <cfRule type="expression" dxfId="504" priority="94">
      <formula>ABS(G$7-G$10)&gt;=1000</formula>
    </cfRule>
  </conditionalFormatting>
  <conditionalFormatting sqref="H4:H11">
    <cfRule type="expression" dxfId="503" priority="93">
      <formula>ABS(H$7-H$10)&gt;=1000</formula>
    </cfRule>
  </conditionalFormatting>
  <conditionalFormatting sqref="I4:I11">
    <cfRule type="expression" dxfId="502" priority="92">
      <formula>ABS(I$7-I$10)&gt;=1000</formula>
    </cfRule>
  </conditionalFormatting>
  <conditionalFormatting sqref="J4:J11">
    <cfRule type="expression" dxfId="501" priority="91">
      <formula>ABS(J$7-J$10)&gt;=1000</formula>
    </cfRule>
  </conditionalFormatting>
  <conditionalFormatting sqref="K4:K11">
    <cfRule type="expression" dxfId="500" priority="90">
      <formula>ABS(K$7-K$10)&gt;=1000</formula>
    </cfRule>
  </conditionalFormatting>
  <conditionalFormatting sqref="L4:L11">
    <cfRule type="expression" dxfId="499" priority="89">
      <formula>ABS(L$7-L$10)&gt;=1000</formula>
    </cfRule>
  </conditionalFormatting>
  <conditionalFormatting sqref="M4 M6:M11">
    <cfRule type="expression" dxfId="498" priority="88">
      <formula>ABS(M$7-M$10)&gt;=1000</formula>
    </cfRule>
  </conditionalFormatting>
  <conditionalFormatting sqref="N4 N6:N11">
    <cfRule type="expression" dxfId="497" priority="87">
      <formula>ABS(N$7-N$10)&gt;=1000</formula>
    </cfRule>
  </conditionalFormatting>
  <conditionalFormatting sqref="O4 O6:O11">
    <cfRule type="expression" dxfId="496" priority="86">
      <formula>ABS(O$7-O$10)&gt;=1000</formula>
    </cfRule>
  </conditionalFormatting>
  <conditionalFormatting sqref="P4 P6:P11">
    <cfRule type="expression" dxfId="495" priority="85">
      <formula>ABS(P$7-P$10)&gt;=1000</formula>
    </cfRule>
  </conditionalFormatting>
  <conditionalFormatting sqref="Q4:Q11">
    <cfRule type="expression" dxfId="494" priority="84">
      <formula>ABS(Q$7-Q$10)&gt;=1000</formula>
    </cfRule>
  </conditionalFormatting>
  <conditionalFormatting sqref="R4:R11">
    <cfRule type="expression" dxfId="493" priority="83">
      <formula>ABS(R$7-R$10)&gt;=1000</formula>
    </cfRule>
  </conditionalFormatting>
  <conditionalFormatting sqref="S4:S11">
    <cfRule type="expression" dxfId="492" priority="82">
      <formula>ABS(S$7-S$10)&gt;=1000</formula>
    </cfRule>
  </conditionalFormatting>
  <conditionalFormatting sqref="T4:T9 T11">
    <cfRule type="expression" dxfId="491" priority="81">
      <formula>ABS(T$7-T$10)&gt;=1000</formula>
    </cfRule>
  </conditionalFormatting>
  <conditionalFormatting sqref="U4:U9 U11">
    <cfRule type="expression" dxfId="490" priority="80">
      <formula>ABS(U$7-U$10)&gt;=1000</formula>
    </cfRule>
  </conditionalFormatting>
  <conditionalFormatting sqref="V4:V9 V11">
    <cfRule type="expression" dxfId="489" priority="79">
      <formula>ABS(V$7-V$10)&gt;=1000</formula>
    </cfRule>
  </conditionalFormatting>
  <conditionalFormatting sqref="W4:W9 W11">
    <cfRule type="expression" dxfId="488" priority="78">
      <formula>ABS(W$7-W$10)&gt;=1000</formula>
    </cfRule>
  </conditionalFormatting>
  <conditionalFormatting sqref="X4:X9 X11">
    <cfRule type="expression" dxfId="487" priority="77">
      <formula>ABS(X$7-X$10)&gt;=1000</formula>
    </cfRule>
  </conditionalFormatting>
  <conditionalFormatting sqref="Y4:Y9 Y11">
    <cfRule type="expression" dxfId="486" priority="76">
      <formula>ABS(Y$7-Y$10)&gt;=1000</formula>
    </cfRule>
  </conditionalFormatting>
  <conditionalFormatting sqref="Z4:Z11">
    <cfRule type="expression" dxfId="485" priority="75">
      <formula>ABS(Z$7-Z$10)&gt;=1000</formula>
    </cfRule>
  </conditionalFormatting>
  <conditionalFormatting sqref="AA4:AA11">
    <cfRule type="expression" dxfId="484" priority="74">
      <formula>ABS(AA$7-AA$10)&gt;=1000</formula>
    </cfRule>
  </conditionalFormatting>
  <conditionalFormatting sqref="AB4:AB11">
    <cfRule type="expression" dxfId="483" priority="73">
      <formula>ABS(AB$7-AB$10)&gt;=1000</formula>
    </cfRule>
  </conditionalFormatting>
  <conditionalFormatting sqref="AC4 AC6:AC11">
    <cfRule type="expression" dxfId="482" priority="72">
      <formula>ABS(AC$7-AC$10)&gt;=1000</formula>
    </cfRule>
  </conditionalFormatting>
  <conditionalFormatting sqref="AD4:AD11">
    <cfRule type="expression" dxfId="481" priority="71">
      <formula>ABS(AD$7-AD$10)&gt;=1000</formula>
    </cfRule>
  </conditionalFormatting>
  <conditionalFormatting sqref="AE4:AE11">
    <cfRule type="expression" dxfId="480" priority="70">
      <formula>ABS(AE$7-AE$10)&gt;=1000</formula>
    </cfRule>
  </conditionalFormatting>
  <conditionalFormatting sqref="D13:D20">
    <cfRule type="expression" dxfId="479" priority="69">
      <formula>ABS(D$16-D$19)&gt;=1000</formula>
    </cfRule>
  </conditionalFormatting>
  <conditionalFormatting sqref="E13:E20">
    <cfRule type="expression" dxfId="478" priority="68">
      <formula>ABS(E$16-E$19)&gt;=1000</formula>
    </cfRule>
  </conditionalFormatting>
  <conditionalFormatting sqref="F13 F15:F20">
    <cfRule type="expression" dxfId="477" priority="67">
      <formula>ABS(F$16-F$19)&gt;=1000</formula>
    </cfRule>
  </conditionalFormatting>
  <conditionalFormatting sqref="G13:G20">
    <cfRule type="expression" dxfId="476" priority="66">
      <formula>ABS(G$16-G$19)&gt;=1000</formula>
    </cfRule>
  </conditionalFormatting>
  <conditionalFormatting sqref="H13:H20">
    <cfRule type="expression" dxfId="475" priority="65">
      <formula>ABS(H$16-H$19)&gt;=1000</formula>
    </cfRule>
  </conditionalFormatting>
  <conditionalFormatting sqref="I13:I20">
    <cfRule type="expression" dxfId="474" priority="64">
      <formula>ABS(I$16-I$19)&gt;=1000</formula>
    </cfRule>
  </conditionalFormatting>
  <conditionalFormatting sqref="J13:J20">
    <cfRule type="expression" dxfId="473" priority="63">
      <formula>ABS(J$16-J$19)&gt;=1000</formula>
    </cfRule>
  </conditionalFormatting>
  <conditionalFormatting sqref="L13:L20">
    <cfRule type="expression" dxfId="472" priority="62">
      <formula>ABS(L$16-L$19)&gt;=1000</formula>
    </cfRule>
  </conditionalFormatting>
  <conditionalFormatting sqref="M13 M15 M17:M18 M20">
    <cfRule type="expression" dxfId="471" priority="61">
      <formula>ABS(M$16-M$19)&gt;=1000</formula>
    </cfRule>
  </conditionalFormatting>
  <conditionalFormatting sqref="N13:N20">
    <cfRule type="expression" dxfId="470" priority="60">
      <formula>ABS(N$16-N$19)&gt;=1000</formula>
    </cfRule>
  </conditionalFormatting>
  <conditionalFormatting sqref="O13:O20">
    <cfRule type="expression" dxfId="469" priority="59">
      <formula>ABS(O$16-O$19)&gt;=1000</formula>
    </cfRule>
  </conditionalFormatting>
  <conditionalFormatting sqref="P13:P20">
    <cfRule type="expression" dxfId="468" priority="58">
      <formula>ABS(P$16-P$19)&gt;=1000</formula>
    </cfRule>
  </conditionalFormatting>
  <conditionalFormatting sqref="Q13 Q15:Q20">
    <cfRule type="expression" dxfId="467" priority="57">
      <formula>ABS(Q$16-Q$19)&gt;=1000</formula>
    </cfRule>
  </conditionalFormatting>
  <conditionalFormatting sqref="R13:R20">
    <cfRule type="expression" dxfId="466" priority="56">
      <formula>ABS(R$16-R$19)&gt;=1000</formula>
    </cfRule>
  </conditionalFormatting>
  <conditionalFormatting sqref="S13:S20">
    <cfRule type="expression" dxfId="465" priority="55">
      <formula>ABS(S$16-S$19)&gt;=1000</formula>
    </cfRule>
  </conditionalFormatting>
  <conditionalFormatting sqref="T13:T20">
    <cfRule type="expression" dxfId="464" priority="54">
      <formula>ABS(T$16-T$19)&gt;=1000</formula>
    </cfRule>
  </conditionalFormatting>
  <conditionalFormatting sqref="U13:U20">
    <cfRule type="expression" dxfId="463" priority="53">
      <formula>ABS(U$16-U$19)&gt;=1000</formula>
    </cfRule>
  </conditionalFormatting>
  <conditionalFormatting sqref="V13:V20">
    <cfRule type="expression" dxfId="462" priority="52">
      <formula>ABS(V$16-V$19)&gt;=1000</formula>
    </cfRule>
  </conditionalFormatting>
  <conditionalFormatting sqref="W13 W20 W15:W18">
    <cfRule type="expression" dxfId="461" priority="51">
      <formula>ABS(W$16-W$19)&gt;=1000</formula>
    </cfRule>
  </conditionalFormatting>
  <conditionalFormatting sqref="X13 X15:X20 Y19">
    <cfRule type="expression" dxfId="460" priority="50">
      <formula>ABS(X$16-X$19)&gt;=1000</formula>
    </cfRule>
  </conditionalFormatting>
  <conditionalFormatting sqref="Y13 Y15:Y18 Y20">
    <cfRule type="expression" dxfId="459" priority="49">
      <formula>ABS(Y$16-Y$19)&gt;=1000</formula>
    </cfRule>
  </conditionalFormatting>
  <conditionalFormatting sqref="Z13:Z20">
    <cfRule type="expression" dxfId="458" priority="48">
      <formula>ABS(Z$16-Z$19)&gt;=1000</formula>
    </cfRule>
  </conditionalFormatting>
  <conditionalFormatting sqref="AA13:AA20">
    <cfRule type="expression" dxfId="457" priority="47">
      <formula>ABS(AA$16-AA$19)&gt;=1000</formula>
    </cfRule>
  </conditionalFormatting>
  <conditionalFormatting sqref="AB13 AB15:AB20">
    <cfRule type="expression" dxfId="456" priority="46">
      <formula>ABS(AB$16-AB$19)&gt;=1000</formula>
    </cfRule>
  </conditionalFormatting>
  <conditionalFormatting sqref="AC13 AC15:AC20">
    <cfRule type="expression" dxfId="455" priority="45">
      <formula>ABS(AC$16-AC$19)&gt;=1000</formula>
    </cfRule>
  </conditionalFormatting>
  <conditionalFormatting sqref="AD13:AD20">
    <cfRule type="expression" dxfId="454" priority="44">
      <formula>ABS(AD$16-AD$19)&gt;=1000</formula>
    </cfRule>
  </conditionalFormatting>
  <conditionalFormatting sqref="AE13:AE20">
    <cfRule type="expression" dxfId="453" priority="43">
      <formula>ABS(AE$16-AE$19)&gt;=1000</formula>
    </cfRule>
  </conditionalFormatting>
  <conditionalFormatting sqref="D22:D29">
    <cfRule type="expression" dxfId="452" priority="42">
      <formula>ABS(D$25-D$28)&gt;=1000</formula>
    </cfRule>
  </conditionalFormatting>
  <conditionalFormatting sqref="E22:E29">
    <cfRule type="expression" dxfId="451" priority="41">
      <formula>ABS(E$25-E$28)&gt;=1000</formula>
    </cfRule>
  </conditionalFormatting>
  <conditionalFormatting sqref="F22:F29">
    <cfRule type="expression" dxfId="450" priority="40">
      <formula>ABS(F$25-F$28)&gt;=1000</formula>
    </cfRule>
  </conditionalFormatting>
  <conditionalFormatting sqref="G22:G29">
    <cfRule type="expression" dxfId="449" priority="39">
      <formula>ABS(G$25-G$28)&gt;=1000</formula>
    </cfRule>
  </conditionalFormatting>
  <conditionalFormatting sqref="H22:H29">
    <cfRule type="expression" dxfId="448" priority="38">
      <formula>ABS(H$25-H$28)&gt;=1000</formula>
    </cfRule>
  </conditionalFormatting>
  <conditionalFormatting sqref="I22 I24:I29">
    <cfRule type="expression" dxfId="447" priority="37">
      <formula>ABS(I$25-I$28)&gt;=1000</formula>
    </cfRule>
  </conditionalFormatting>
  <conditionalFormatting sqref="J22:J29 K22">
    <cfRule type="expression" dxfId="446" priority="36">
      <formula>ABS(J$25-J$28)&gt;=1000</formula>
    </cfRule>
  </conditionalFormatting>
  <conditionalFormatting sqref="K23:K29 L25 L28">
    <cfRule type="expression" dxfId="445" priority="35">
      <formula>ABS(K$25-K$28)&gt;=1000</formula>
    </cfRule>
  </conditionalFormatting>
  <conditionalFormatting sqref="L22 L26:L27 L29 L24">
    <cfRule type="expression" dxfId="444" priority="34">
      <formula>ABS(L$25-L$28)&gt;=1000</formula>
    </cfRule>
  </conditionalFormatting>
  <conditionalFormatting sqref="M22:M29">
    <cfRule type="expression" dxfId="443" priority="33">
      <formula>ABS(M$25-M$28)&gt;=1000</formula>
    </cfRule>
  </conditionalFormatting>
  <conditionalFormatting sqref="N22:N29">
    <cfRule type="expression" dxfId="442" priority="32">
      <formula>ABS(N$25-N$28)&gt;=1000</formula>
    </cfRule>
  </conditionalFormatting>
  <conditionalFormatting sqref="O22:O29">
    <cfRule type="expression" dxfId="441" priority="31">
      <formula>ABS(O$25-O$28)&gt;=1000</formula>
    </cfRule>
  </conditionalFormatting>
  <conditionalFormatting sqref="P22:P29">
    <cfRule type="expression" dxfId="440" priority="30">
      <formula>ABS(P$25-P$28)&gt;=1000</formula>
    </cfRule>
  </conditionalFormatting>
  <conditionalFormatting sqref="Q22:Q29">
    <cfRule type="expression" dxfId="439" priority="29">
      <formula>ABS(Q$25-Q$28)&gt;=1000</formula>
    </cfRule>
  </conditionalFormatting>
  <conditionalFormatting sqref="R22:R29">
    <cfRule type="expression" dxfId="438" priority="28">
      <formula>ABS(R$25-R$28)&gt;=1000</formula>
    </cfRule>
  </conditionalFormatting>
  <conditionalFormatting sqref="S22:S29">
    <cfRule type="expression" dxfId="437" priority="27">
      <formula>ABS(S$25-S$28)&gt;=1000</formula>
    </cfRule>
  </conditionalFormatting>
  <conditionalFormatting sqref="T22:T29">
    <cfRule type="expression" dxfId="436" priority="26">
      <formula>ABS(T$25-T$28)&gt;=1000</formula>
    </cfRule>
  </conditionalFormatting>
  <conditionalFormatting sqref="U22:U29">
    <cfRule type="expression" dxfId="435" priority="25">
      <formula>ABS(U$25-U$28)&gt;=1000</formula>
    </cfRule>
  </conditionalFormatting>
  <conditionalFormatting sqref="V22:V29">
    <cfRule type="expression" dxfId="434" priority="24">
      <formula>ABS(V$25-V$28)&gt;=1000</formula>
    </cfRule>
  </conditionalFormatting>
  <conditionalFormatting sqref="W22:W29">
    <cfRule type="expression" dxfId="433" priority="23">
      <formula>ABS(W$25-W$28)&gt;=1000</formula>
    </cfRule>
  </conditionalFormatting>
  <conditionalFormatting sqref="X22:X29">
    <cfRule type="expression" dxfId="432" priority="22">
      <formula>ABS(X$25-X$28)&gt;=1000</formula>
    </cfRule>
  </conditionalFormatting>
  <conditionalFormatting sqref="Y22:Y29">
    <cfRule type="expression" dxfId="431" priority="21">
      <formula>ABS(Y$25-Y$28)&gt;=1000</formula>
    </cfRule>
  </conditionalFormatting>
  <conditionalFormatting sqref="I23">
    <cfRule type="expression" dxfId="430" priority="20">
      <formula>ABS(I$25-I$28)&gt;=1000</formula>
    </cfRule>
  </conditionalFormatting>
  <conditionalFormatting sqref="F14">
    <cfRule type="expression" dxfId="429" priority="19">
      <formula>ABS(F$16-F$19)&gt;=1000</formula>
    </cfRule>
  </conditionalFormatting>
  <conditionalFormatting sqref="Q14">
    <cfRule type="expression" dxfId="428" priority="18">
      <formula>ABS(Q$16-Q$19)&gt;=1000</formula>
    </cfRule>
  </conditionalFormatting>
  <conditionalFormatting sqref="W14">
    <cfRule type="expression" dxfId="427" priority="17">
      <formula>ABS(W$16-W$19)&gt;=1000</formula>
    </cfRule>
  </conditionalFormatting>
  <conditionalFormatting sqref="Y14">
    <cfRule type="expression" dxfId="426" priority="16">
      <formula>ABS(Y$16-Y$19)&gt;=1000</formula>
    </cfRule>
  </conditionalFormatting>
  <conditionalFormatting sqref="X14">
    <cfRule type="expression" dxfId="425" priority="15">
      <formula>ABS(X$16-X$19)&gt;=1000</formula>
    </cfRule>
  </conditionalFormatting>
  <conditionalFormatting sqref="T10:Y10">
    <cfRule type="expression" dxfId="424" priority="14">
      <formula>ABS(T$7-T$10)&gt;=1000</formula>
    </cfRule>
  </conditionalFormatting>
  <conditionalFormatting sqref="W19">
    <cfRule type="expression" dxfId="423" priority="13">
      <formula>ABS(W$16-W$19)&gt;=1000</formula>
    </cfRule>
  </conditionalFormatting>
  <conditionalFormatting sqref="AC5">
    <cfRule type="expression" dxfId="422" priority="12">
      <formula>ABS(AC$7-AC$10)&gt;=1000</formula>
    </cfRule>
  </conditionalFormatting>
  <conditionalFormatting sqref="M14">
    <cfRule type="expression" dxfId="421" priority="11">
      <formula>ABS(M$16-M$19)&gt;=1000</formula>
    </cfRule>
  </conditionalFormatting>
  <conditionalFormatting sqref="M16">
    <cfRule type="expression" dxfId="420" priority="10">
      <formula>ABS(M$16-M$19)&gt;=1000</formula>
    </cfRule>
  </conditionalFormatting>
  <conditionalFormatting sqref="M19">
    <cfRule type="expression" dxfId="419" priority="9">
      <formula>ABS(M$16-M$19)&gt;=1000</formula>
    </cfRule>
  </conditionalFormatting>
  <conditionalFormatting sqref="K13:K20">
    <cfRule type="expression" dxfId="418" priority="8">
      <formula>ABS(K$16-K$19)&gt;=1000</formula>
    </cfRule>
  </conditionalFormatting>
  <conditionalFormatting sqref="E5">
    <cfRule type="expression" dxfId="417" priority="7">
      <formula>ABS(E$7-E$10)&gt;=1000</formula>
    </cfRule>
  </conditionalFormatting>
  <conditionalFormatting sqref="AB14:AC14">
    <cfRule type="expression" dxfId="416" priority="6">
      <formula>ABS(AB$16-AB$19)&gt;=1000</formula>
    </cfRule>
  </conditionalFormatting>
  <conditionalFormatting sqref="M5">
    <cfRule type="expression" dxfId="415" priority="5">
      <formula>ABS(M$7-M$10)&gt;=1000</formula>
    </cfRule>
  </conditionalFormatting>
  <conditionalFormatting sqref="N5">
    <cfRule type="expression" dxfId="414" priority="4">
      <formula>ABS(N$7-N$10)&gt;=1000</formula>
    </cfRule>
  </conditionalFormatting>
  <conditionalFormatting sqref="O5">
    <cfRule type="expression" dxfId="413" priority="3">
      <formula>ABS(O$7-O$10)&gt;=1000</formula>
    </cfRule>
  </conditionalFormatting>
  <conditionalFormatting sqref="P5">
    <cfRule type="expression" dxfId="412" priority="2">
      <formula>ABS(P$7-P$10)&gt;=1000</formula>
    </cfRule>
  </conditionalFormatting>
  <conditionalFormatting sqref="L23">
    <cfRule type="expression" dxfId="411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7">
    <pageSetUpPr fitToPage="1"/>
  </sheetPr>
  <dimension ref="A1:CU223"/>
  <sheetViews>
    <sheetView view="pageBreakPreview" zoomScale="80" zoomScaleNormal="100" zoomScaleSheetLayoutView="80" workbookViewId="0">
      <selection activeCell="U24" sqref="U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45834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8" t="s" ph="1">
        <v>178</v>
      </c>
      <c r="D6" s="71">
        <v>5134</v>
      </c>
      <c r="E6" s="71">
        <v>7298</v>
      </c>
      <c r="F6" s="71">
        <v>5196</v>
      </c>
      <c r="G6" s="71">
        <v>1070</v>
      </c>
      <c r="H6" s="71">
        <v>7029</v>
      </c>
      <c r="I6" s="71">
        <v>51.81</v>
      </c>
      <c r="J6" s="71">
        <v>7.73</v>
      </c>
      <c r="K6" s="71">
        <v>87.81</v>
      </c>
      <c r="L6" s="71">
        <v>29.61</v>
      </c>
      <c r="M6" s="71">
        <v>5320</v>
      </c>
      <c r="N6" s="71">
        <v>3024</v>
      </c>
      <c r="O6" s="71">
        <v>4428</v>
      </c>
      <c r="P6" s="71">
        <v>293</v>
      </c>
      <c r="Q6" s="71">
        <v>0</v>
      </c>
      <c r="R6" s="71">
        <v>8</v>
      </c>
      <c r="S6" s="71">
        <v>0</v>
      </c>
      <c r="T6" s="71">
        <v>5637</v>
      </c>
      <c r="U6" s="71">
        <v>4774</v>
      </c>
      <c r="V6" s="71">
        <v>5676</v>
      </c>
      <c r="W6" s="71">
        <v>0</v>
      </c>
      <c r="X6" s="71">
        <v>0</v>
      </c>
      <c r="Y6" s="71">
        <v>0</v>
      </c>
      <c r="Z6" s="71">
        <v>6100</v>
      </c>
      <c r="AA6" s="71">
        <v>556</v>
      </c>
      <c r="AB6" s="71">
        <v>3766</v>
      </c>
      <c r="AC6" s="71">
        <v>5505</v>
      </c>
      <c r="AD6" s="71">
        <v>4411</v>
      </c>
      <c r="AE6" s="71">
        <v>1890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160707.13454825999</v>
      </c>
      <c r="E7" s="73" ph="1">
        <f>E6*51.53*LOOKUP(E8,密度!$A$2:$A$50,密度!$B$2:$B$50)</f>
        <v>291563.923282</v>
      </c>
      <c r="F7" s="73" ph="1">
        <f>F6*33.183*LOOKUP(F8,密度!$A$2:$A$50,密度!$C$2:$C$50)</f>
        <v>190798.71932879998</v>
      </c>
      <c r="G7" s="73" ph="1">
        <f xml:space="preserve"> (G6+2)*51.53*LOOKUP(G8,密度!$A$2:$A$50,密度!$B$2:$B$50)</f>
        <v>42877.412192000003</v>
      </c>
      <c r="H7" s="73" ph="1">
        <f>(H6)*51.53*LOOKUP(H8,密度!$A$2:$A$50,密度!$B$2:$B$50)</f>
        <v>282048.54291899997</v>
      </c>
      <c r="I7" s="73" ph="1">
        <f>I6*290.8*1.0267</f>
        <v>15468.6194916</v>
      </c>
      <c r="J7" s="73" ph="1">
        <f>J6*290.8*0.7892</f>
        <v>1774.0300528</v>
      </c>
      <c r="K7" s="73" ph="1">
        <f>K6*290.8*1.1126</f>
        <v>28410.405664800001</v>
      </c>
      <c r="L7" s="73" ph="1">
        <f>L6*290.8*0.777</f>
        <v>6690.4268760000004</v>
      </c>
      <c r="M7" s="73" ph="1">
        <f>M6*33.183*LOOKUP(M8,密度!$A$2:$A$50,密度!$D$2:$D$50)</f>
        <v>180417.29832</v>
      </c>
      <c r="N7" s="73" ph="1">
        <f>N6*33.183*LOOKUP(N8,密度!$A$2:$A$50,密度!$E$2:$E$50)</f>
        <v>78028.576819199996</v>
      </c>
      <c r="O7" s="73" ph="1">
        <f>O6*20.428*LOOKUP(O8,密度!$A$2:$A$50,密度!$C$2:$C$50)</f>
        <v>99582.112065600013</v>
      </c>
      <c r="P7" s="73" ph="1">
        <f>P6*51.53*LOOKUP(P8,密度!$A$2:$A$50,密度!$B$2:$B$50)</f>
        <v>11744.959791000001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52.533835200000006</v>
      </c>
      <c r="S7" s="73" ph="1">
        <f>S6*1.5*1.5*3.1416*LOOKUP(S8,密度!$A$2:$A$50,密度!$L$2:$L$50)</f>
        <v>0</v>
      </c>
      <c r="T7" s="73" ph="1">
        <f>T6*1.5*1.5*3.1416*LOOKUP(T8,密度!$A$2:$A$50,密度!$L$2:$L$50)</f>
        <v>37335.419213400004</v>
      </c>
      <c r="U7" s="73" ph="1">
        <f>U6*1.5*1.5*3.1416*LOOKUP(U8,密度!$A$2:$A$50,密度!$L$2:$L$50)</f>
        <v>31518.2936376</v>
      </c>
      <c r="V7" s="73" ph="1">
        <f>V6*1.5*1.5*3.1416*LOOKUP(V8,密度!$A$2:$A$50,密度!$L$2:$L$50)</f>
        <v>37473.362942400003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188854.40789999999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79132.098852800002</v>
      </c>
      <c r="AC7" s="73" ph="1">
        <f>AC6*51.53*LOOKUP(AC8,密度!$A$2:$A$50,密度!$Q$2:$Q$50)</f>
        <v>267962.85864300001</v>
      </c>
      <c r="AD7" s="73" ph="1">
        <f>AD6*20.428*LOOKUP(AD8,密度!$A$2:$A$50,密度!$V$2:$V$50)</f>
        <v>86287.332700800005</v>
      </c>
      <c r="AE7" s="73" ph="1">
        <f>AE6*20.428</f>
        <v>38608.92</v>
      </c>
    </row>
    <row r="8" spans="1:99" ph="1">
      <c r="B8" s="256" ph="1"/>
      <c r="C8" s="68" t="s" ph="1">
        <v>180</v>
      </c>
      <c r="D8" s="74">
        <v>30</v>
      </c>
      <c r="E8" s="74">
        <v>30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27</v>
      </c>
      <c r="Q8" s="74">
        <v>28</v>
      </c>
      <c r="R8" s="74">
        <v>33</v>
      </c>
      <c r="S8" s="74">
        <v>24</v>
      </c>
      <c r="T8" s="74">
        <v>25</v>
      </c>
      <c r="U8" s="74">
        <v>28</v>
      </c>
      <c r="V8" s="74">
        <v>28</v>
      </c>
      <c r="W8" s="74">
        <v>27</v>
      </c>
      <c r="X8" s="74">
        <v>26</v>
      </c>
      <c r="Y8" s="74">
        <v>27</v>
      </c>
      <c r="Z8" s="74">
        <v>29</v>
      </c>
      <c r="AA8" s="74">
        <v>28</v>
      </c>
      <c r="AB8" s="74">
        <v>23</v>
      </c>
      <c r="AC8" s="74">
        <v>28</v>
      </c>
      <c r="AD8" s="74">
        <v>27</v>
      </c>
      <c r="AE8" s="74">
        <v>30</v>
      </c>
    </row>
    <row r="9" spans="1:99" ht="26.4" ph="1">
      <c r="B9" s="256" ph="1">
        <v>0.66666666666666663</v>
      </c>
      <c r="C9" s="178" t="s" ph="1">
        <v>181</v>
      </c>
      <c r="D9" s="71">
        <v>5136</v>
      </c>
      <c r="E9" s="71">
        <v>7280</v>
      </c>
      <c r="F9" s="71">
        <v>6838</v>
      </c>
      <c r="G9" s="71">
        <v>762</v>
      </c>
      <c r="H9" s="71">
        <v>7033</v>
      </c>
      <c r="I9" s="71">
        <v>51.81</v>
      </c>
      <c r="J9" s="71">
        <v>7.82</v>
      </c>
      <c r="K9" s="71">
        <v>87.91</v>
      </c>
      <c r="L9" s="71">
        <v>30.01</v>
      </c>
      <c r="M9" s="71">
        <v>5321</v>
      </c>
      <c r="N9" s="71">
        <v>3027</v>
      </c>
      <c r="O9" s="71">
        <v>3471</v>
      </c>
      <c r="P9" s="71">
        <v>26</v>
      </c>
      <c r="Q9" s="71">
        <v>0</v>
      </c>
      <c r="R9" s="71">
        <v>0</v>
      </c>
      <c r="S9" s="71">
        <v>0</v>
      </c>
      <c r="T9" s="71">
        <v>1304</v>
      </c>
      <c r="U9" s="71">
        <v>7009</v>
      </c>
      <c r="V9" s="71">
        <v>6056</v>
      </c>
      <c r="W9" s="71">
        <v>4648</v>
      </c>
      <c r="X9" s="71">
        <v>2782</v>
      </c>
      <c r="Y9" s="71">
        <v>0</v>
      </c>
      <c r="Z9" s="71">
        <v>6730</v>
      </c>
      <c r="AA9" s="71">
        <v>556</v>
      </c>
      <c r="AB9" s="71">
        <v>3616</v>
      </c>
      <c r="AC9" s="71">
        <v>5508</v>
      </c>
      <c r="AD9" s="71">
        <v>4417</v>
      </c>
      <c r="AE9" s="71">
        <v>2036</v>
      </c>
    </row>
    <row r="10" spans="1:99" s="72" customFormat="1" ht="22.2" ph="1">
      <c r="B10" s="256" ph="1"/>
      <c r="C10" s="178" t="s" ph="1">
        <v>179</v>
      </c>
      <c r="D10" s="73" ph="1">
        <f>D9*33.183*LOOKUP(D11,密度!$A$2:$A$50,密度!$Q$2:$Q$50)</f>
        <v>160415.24958</v>
      </c>
      <c r="E10" s="73" ph="1">
        <f>E9*51.53*LOOKUP(E11,密度!$A$2:$A$50,密度!$B$2:$B$50)</f>
        <v>289869.44168000005</v>
      </c>
      <c r="F10" s="73" ph="1">
        <f>F9*33.183*LOOKUP(F11,密度!$A$2:$A$50,密度!$C$2:$C$50)</f>
        <v>250049.70010800002</v>
      </c>
      <c r="G10" s="73" ph="1">
        <f xml:space="preserve"> (G9+2)*51.53*LOOKUP(G11,密度!$A$2:$A$50,密度!$B$2:$B$50)</f>
        <v>30384.932455999999</v>
      </c>
      <c r="H10" s="73" ph="1">
        <f>(H9)*51.53*LOOKUP(H11,密度!$A$2:$A$50,密度!$B$2:$B$50)</f>
        <v>280976.85289699998</v>
      </c>
      <c r="I10" s="73" ph="1">
        <f>I9*290.8*1.0267</f>
        <v>15468.6194916</v>
      </c>
      <c r="J10" s="73" ph="1">
        <f>J9*290.8*0.7892</f>
        <v>1794.6849952</v>
      </c>
      <c r="K10" s="73" ph="1">
        <f>K9*290.8*1.1126</f>
        <v>28442.7600728</v>
      </c>
      <c r="L10" s="73" ph="1">
        <f>L9*290.8*0.777</f>
        <v>6780.8075160000008</v>
      </c>
      <c r="M10" s="73" ph="1">
        <f>M9*33.183*LOOKUP(M11,密度!$A$2:$A$50,密度!$D$2:$D$50)</f>
        <v>178897.4240076</v>
      </c>
      <c r="N10" s="73" ph="1">
        <f>N9*33.183*LOOKUP(N11,密度!$A$2:$A$50,密度!$E$2:$E$50)</f>
        <v>77763.468872790007</v>
      </c>
      <c r="O10" s="73" ph="1">
        <f>O9*20.428*LOOKUP(O11,密度!$A$2:$A$50,密度!$C$2:$C$50)</f>
        <v>77762.158359599998</v>
      </c>
      <c r="P10" s="73" ph="1">
        <f>P9*51.53*LOOKUP(P11,密度!$A$2:$A$50,密度!$B$2:$B$50)</f>
        <v>1036.3198299999999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8599.8849552000011</v>
      </c>
      <c r="U10" s="73" ph="1">
        <f>U9*1.5*1.5*3.1416*LOOKUP(U11,密度!$A$2:$A$50,密度!$L$2:$L$50)</f>
        <v>46224.381634199999</v>
      </c>
      <c r="V10" s="73" ph="1">
        <f>V9*1.5*1.5*3.1416*LOOKUP(V11,密度!$A$2:$A$50,密度!$L$2:$L$50)</f>
        <v>39982.150454399998</v>
      </c>
      <c r="W10" s="73" ph="1">
        <f>W9*1.5*1.5*3.1416*LOOKUP(W11,密度!$A$2:$A$50,密度!$L$2:$L$50)</f>
        <v>30686.432515200002</v>
      </c>
      <c r="X10" s="73" ph="1">
        <f>X9*1.5*1.5*3.1416*LOOKUP(X11,密度!$A$2:$A$50,密度!$L$2:$L$50)</f>
        <v>18406.2951072</v>
      </c>
      <c r="Y10" s="73" ph="1">
        <f>Y9*1.5*1.5*3.1416*LOOKUP(Y11,密度!$A$2:$A$50,密度!$L$2:$L$50)</f>
        <v>0</v>
      </c>
      <c r="Z10" s="73" ph="1">
        <f>Z9*33.183*LOOKUP(Z11,密度!$A$2:$A$50,密度!$L$2:$L$50)</f>
        <v>207019.11393000002</v>
      </c>
      <c r="AA10" s="73" ph="1">
        <f>AA9*33.183*LOOKUP(AA11,密度!$A$2:$A$50,密度!$D$2:$D$50)</f>
        <v>18580.372215839998</v>
      </c>
      <c r="AB10" s="73" ph="1">
        <f>AB9*20.428*LOOKUP(AB11,密度!$A$2:$A$50,密度!$D$2:$D$50)</f>
        <v>75699.565670399999</v>
      </c>
      <c r="AC10" s="73" ph="1">
        <f>AC9*51.53*LOOKUP(AC11,密度!$A$2:$A$50,密度!$Q$2:$Q$50)</f>
        <v>267336.87735599995</v>
      </c>
      <c r="AD10" s="73" ph="1">
        <f>AD9*20.428*LOOKUP(AD11,密度!$A$2:$A$50,密度!$V$2:$V$50)</f>
        <v>86404.703817600006</v>
      </c>
      <c r="AE10" s="73" ph="1">
        <f>AE9*20.428</f>
        <v>41591.408000000003</v>
      </c>
    </row>
    <row r="11" spans="1:99" ph="1">
      <c r="A11" s="64" t="s" ph="1">
        <v>163</v>
      </c>
      <c r="B11" s="256" ph="1"/>
      <c r="C11" s="178" t="s" ph="1">
        <v>180</v>
      </c>
      <c r="D11" s="74">
        <v>33</v>
      </c>
      <c r="E11" s="74">
        <v>33</v>
      </c>
      <c r="F11" s="74">
        <v>33</v>
      </c>
      <c r="G11" s="74">
        <v>34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38</v>
      </c>
      <c r="P11" s="74">
        <v>32</v>
      </c>
      <c r="Q11" s="74">
        <v>40</v>
      </c>
      <c r="R11" s="74">
        <v>40</v>
      </c>
      <c r="S11" s="74">
        <v>33</v>
      </c>
      <c r="T11" s="74">
        <v>29</v>
      </c>
      <c r="U11" s="74">
        <v>29</v>
      </c>
      <c r="V11" s="74">
        <v>28</v>
      </c>
      <c r="W11" s="74">
        <v>28</v>
      </c>
      <c r="X11" s="74">
        <v>26</v>
      </c>
      <c r="Y11" s="74">
        <v>33</v>
      </c>
      <c r="Z11" s="74">
        <v>35</v>
      </c>
      <c r="AA11" s="74">
        <v>47</v>
      </c>
      <c r="AB11" s="74">
        <v>27</v>
      </c>
      <c r="AC11" s="74">
        <v>32</v>
      </c>
      <c r="AD11" s="74">
        <v>35</v>
      </c>
      <c r="AE11" s="74">
        <v>35</v>
      </c>
    </row>
    <row r="12" spans="1:99" ht="9.9" customHeight="1" ph="1"/>
    <row r="13" spans="1:99" s="72" customFormat="1" ht="29.25" customHeight="1" ph="1">
      <c r="B13" s="233" t="s" ph="1">
        <v>37</v>
      </c>
      <c r="C13" s="17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8" t="s" ph="1">
        <v>178</v>
      </c>
      <c r="D15" s="78">
        <v>2386</v>
      </c>
      <c r="E15" s="78">
        <v>75</v>
      </c>
      <c r="F15" s="78">
        <v>2837</v>
      </c>
      <c r="G15" s="78">
        <v>1770</v>
      </c>
      <c r="H15" s="78">
        <v>0</v>
      </c>
      <c r="I15" s="78">
        <v>117</v>
      </c>
      <c r="J15" s="78">
        <v>1777</v>
      </c>
      <c r="K15" s="78">
        <v>1881</v>
      </c>
      <c r="L15" s="78">
        <v>3345</v>
      </c>
      <c r="M15" s="78">
        <v>5418</v>
      </c>
      <c r="N15" s="78">
        <v>1052</v>
      </c>
      <c r="O15" s="78">
        <v>6099</v>
      </c>
      <c r="P15" s="78">
        <v>4368</v>
      </c>
      <c r="Q15" s="78">
        <v>0</v>
      </c>
      <c r="R15" s="78">
        <v>3519</v>
      </c>
      <c r="S15" s="78">
        <v>0</v>
      </c>
      <c r="T15" s="78">
        <v>2542</v>
      </c>
      <c r="U15" s="78">
        <v>5478</v>
      </c>
      <c r="V15" s="78">
        <v>3201</v>
      </c>
      <c r="W15" s="71">
        <v>-372</v>
      </c>
      <c r="X15" s="78">
        <v>-87</v>
      </c>
      <c r="Y15" s="106">
        <v>-9909</v>
      </c>
      <c r="Z15" s="78">
        <v>0</v>
      </c>
      <c r="AA15" s="78">
        <v>0</v>
      </c>
      <c r="AB15" s="78" ph="1">
        <v>8</v>
      </c>
      <c r="AC15" s="78" ph="1">
        <v>0</v>
      </c>
      <c r="AD15" s="78">
        <v>84.41</v>
      </c>
      <c r="AE15" s="78">
        <v>70.010000000000005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8" t="s" ph="1">
        <v>179</v>
      </c>
      <c r="D16" s="73" ph="1">
        <f>D15*7.0686*LOOKUP(D17,密度!$A$2:$A$50,密度!$L$2:$L$50)</f>
        <v>15735.679066800001</v>
      </c>
      <c r="E16" s="73" ph="1">
        <f>E15*7.0686*LOOKUP(E17,密度!$A$2:$A$50,密度!$L$2:$L$50)</f>
        <v>494.09514000000001</v>
      </c>
      <c r="F16" s="73" ph="1">
        <f>F15*9.0746*LOOKUP(F17,密度!$A$2:$A$50,密度!$L$2:$L$50)</f>
        <v>23916.770745800004</v>
      </c>
      <c r="G16" s="73" ph="1">
        <f>G15*9.0746*LOOKUP(G17,密度!$A$2:$A$50,密度!$B$2:$B$50)</f>
        <v>12480.206634000002</v>
      </c>
      <c r="H16" s="73" ph="1">
        <f>H15*9.0746*LOOKUP(H17,密度!$A$2:$A$50,密度!$L$2:$L$50)</f>
        <v>0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15029.025834400001</v>
      </c>
      <c r="K16" s="73" ph="1">
        <f>K15*9.0746*LOOKUP(K17,密度!$A$2:$A$50,密度!$C$2:$C$50)</f>
        <v>18827.462827799998</v>
      </c>
      <c r="L16" s="73" ph="1">
        <f>L15*9.0746*LOOKUP(L17,密度!$A$2:$A$50,密度!$E$2:$E$50)</f>
        <v>23568.780253649998</v>
      </c>
      <c r="M16" s="73" ph="1">
        <f>M15*9.0746*LOOKUP(M17,密度!$A$2:$A$50,密度!$M$2:$M$50)</f>
        <v>42667.396757496004</v>
      </c>
      <c r="N16" s="73" ph="1">
        <f>N15*9.0746*LOOKUP(N17,密度!$A$2:$A$50,密度!$M$2:$M$50)</f>
        <v>8354.1239479199994</v>
      </c>
      <c r="O16" s="73" ph="1">
        <f>O15*9.0746*LOOKUP(O17,密度!$A$2:$A$50,密度!$G$2:$G$50)</f>
        <v>52838.812261380001</v>
      </c>
      <c r="P16" s="73" ph="1">
        <f ca="1">P15*9.0746*LOOKUP(P17,密度!$A$2:$A$51,密度!$Q$2:$Q$50)</f>
        <v>37391.575681823997</v>
      </c>
      <c r="Q16" s="73" ph="1">
        <f>Q15*9.0746*LOOKUP(Q17,密度!$A$2:$A$50,密度!$Q$2:$Q$50)</f>
        <v>0</v>
      </c>
      <c r="R16" s="73" ph="1">
        <f>MAX(R15*9.0746*LOOKUP(R17,密度!$A$2:$A$50,密度!$B$2:$B$50),0)</f>
        <v>24700.5757089</v>
      </c>
      <c r="S16" s="73" ph="1">
        <f>S15*9.0746*LOOKUP(S17,密度!$A$2:$A$50,密度!$Q$2:$Q$50)</f>
        <v>0</v>
      </c>
      <c r="T16" s="73" ph="1">
        <f>T15*9.0746*LOOKUP(T17,密度!$A$2:$A$50,密度!$O$2:$O$50)</f>
        <v>21268.357810400001</v>
      </c>
      <c r="U16" s="73" ph="1">
        <f>U15*9.0746*LOOKUP(U17,密度!$A$2:$A$50,密度!$H$2:$H$50)</f>
        <v>45236.699508000005</v>
      </c>
      <c r="V16" s="73" ph="1">
        <f>MAX(5600*LOOKUP(V17,密度!$A$2:$A$50,密度!$Q$2:$Q$50)+V15*9.0476*LOOKUP(V17,密度!$A$2:$A$50,密度!$Q$2:$Q$50),0)</f>
        <v>32530.887253499997</v>
      </c>
      <c r="W16" s="73" ph="1">
        <f>MAX(5600*LOOKUP(W17,密度!$A$2:$A$50,密度!$Q$2:$Q$50)+W15*9.0476*LOOKUP(W17,密度!$A$2:$A$50,密度!$Q$2:$Q$50),0)</f>
        <v>2107.6754270240003</v>
      </c>
      <c r="X16" s="73" ph="1">
        <f>MAX(5600*LOOKUP(X17,密度!$A$2:$A$50,密度!$I$2:$I$50)+X15*9.0476*LOOKUP(X17,密度!$A$2:$A$50,密度!$I$2:$I$50),0)</f>
        <v>4989.0094320799999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67.805411200000009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18901.619352479996</v>
      </c>
      <c r="AE16" s="73" ph="1">
        <f>AE15*268.68*LOOKUP(AE17,密度!$A$2:$A$50,密度!B2:B50)+IF(AE15&lt;=0,0,1566*LOOKUP(AE17,密度!$A$2:$A$50,密度!B2:B50))</f>
        <v>15885.35318928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29</v>
      </c>
      <c r="E17" s="74">
        <v>30</v>
      </c>
      <c r="F17" s="74">
        <v>33</v>
      </c>
      <c r="G17" s="74">
        <v>28</v>
      </c>
      <c r="H17" s="74">
        <v>24</v>
      </c>
      <c r="I17" s="74">
        <v>27</v>
      </c>
      <c r="J17" s="74">
        <v>30</v>
      </c>
      <c r="K17" s="74">
        <v>32</v>
      </c>
      <c r="L17" s="74">
        <v>31</v>
      </c>
      <c r="M17" s="74">
        <v>32</v>
      </c>
      <c r="N17" s="74">
        <v>25</v>
      </c>
      <c r="O17" s="74">
        <v>30</v>
      </c>
      <c r="P17" s="74">
        <v>30</v>
      </c>
      <c r="Q17" s="74">
        <v>27</v>
      </c>
      <c r="R17" s="74">
        <v>32</v>
      </c>
      <c r="S17" s="74">
        <v>28</v>
      </c>
      <c r="T17" s="74">
        <v>30</v>
      </c>
      <c r="U17" s="74">
        <v>30</v>
      </c>
      <c r="V17" s="74">
        <v>33</v>
      </c>
      <c r="W17" s="74">
        <v>30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4032</v>
      </c>
      <c r="E18" s="71">
        <v>75</v>
      </c>
      <c r="F18" s="71">
        <v>2838</v>
      </c>
      <c r="G18" s="71">
        <v>1796</v>
      </c>
      <c r="H18" s="71">
        <v>0</v>
      </c>
      <c r="I18" s="71">
        <v>2557</v>
      </c>
      <c r="J18" s="71">
        <v>1793</v>
      </c>
      <c r="K18" s="71">
        <v>1881</v>
      </c>
      <c r="L18" s="71">
        <v>3353</v>
      </c>
      <c r="M18" s="71">
        <v>2463</v>
      </c>
      <c r="N18" s="71">
        <v>2122</v>
      </c>
      <c r="O18" s="71">
        <v>6107</v>
      </c>
      <c r="P18" s="71">
        <v>3275</v>
      </c>
      <c r="Q18" s="71">
        <v>0</v>
      </c>
      <c r="R18" s="71">
        <v>3523</v>
      </c>
      <c r="S18" s="71">
        <v>0</v>
      </c>
      <c r="T18" s="71">
        <v>6705</v>
      </c>
      <c r="U18" s="71">
        <v>1920</v>
      </c>
      <c r="V18" s="71">
        <v>3200</v>
      </c>
      <c r="W18" s="71">
        <v>-373</v>
      </c>
      <c r="X18" s="71">
        <v>-88</v>
      </c>
      <c r="Y18" s="109">
        <v>-9908</v>
      </c>
      <c r="Z18" s="71">
        <v>0</v>
      </c>
      <c r="AA18" s="71">
        <v>0</v>
      </c>
      <c r="AB18" s="71">
        <v>22</v>
      </c>
      <c r="AC18" s="71">
        <v>0</v>
      </c>
      <c r="AD18" s="71">
        <v>33.11</v>
      </c>
      <c r="AE18" s="71">
        <v>84.61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8" t="s" ph="1">
        <v>179</v>
      </c>
      <c r="D19" s="73" ph="1">
        <f>D18*7.0686*LOOKUP(D20,密度!$A$2:$A$50,密度!$L$2:$L$50)</f>
        <v>26448.552345600001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23899.447334400003</v>
      </c>
      <c r="G19" s="73" ph="1">
        <f>G18*9.0746*LOOKUP(G20,密度!$A$2:$A$50,密度!$B$2:$B$50)</f>
        <v>12635.825134480001</v>
      </c>
      <c r="H19" s="73" ph="1">
        <f>H18*9.0746*LOOKUP(H20,密度!$A$2:$A$50,密度!$L$2:$L$50)</f>
        <v>0</v>
      </c>
      <c r="I19" s="73" ph="1">
        <f>I18*9.0746*LOOKUP(I20,密度!$A$2:$A$50,密度!$U$2:$U$50)</f>
        <v>23533.245481239999</v>
      </c>
      <c r="J19" s="73" ph="1">
        <f>J18*9.0746*LOOKUP(J20,密度!$A$2:$A$50,密度!$L$2:$L$50)</f>
        <v>15082.992480600002</v>
      </c>
      <c r="K19" s="73" ph="1">
        <f>K18*9.0746*LOOKUP(K20,密度!$A$2:$A$50,密度!$C$2:$C$50)</f>
        <v>18755.771672880001</v>
      </c>
      <c r="L19" s="73" ph="1">
        <f>L18*9.0746*LOOKUP(L20,密度!$A$2:$A$50,密度!$E$2:$E$50)</f>
        <v>23556.382716622</v>
      </c>
      <c r="M19" s="73" ph="1">
        <f>M18*9.0746*LOOKUP(M20,密度!$A$2:$A$50,密度!$M$2:$M$50)</f>
        <v>19302.545906076</v>
      </c>
      <c r="N19" s="73" ph="1">
        <f>N18*9.0746*LOOKUP(N20,密度!$A$2:$A$50,密度!$M$2:$M$50)</f>
        <v>16772.238345200003</v>
      </c>
      <c r="O19" s="73" ph="1">
        <f>O18*9.0746*LOOKUP(O20,密度!$A$2:$A$50,密度!$G$2:$G$50)</f>
        <v>52734.660264054008</v>
      </c>
      <c r="P19" s="73" ph="1">
        <f ca="1">P18*9.0746*LOOKUP(P20,密度!$A$2:$A$51,密度!$Q$2:$Q$50)</f>
        <v>27992.6227985</v>
      </c>
      <c r="Q19" s="73" ph="1">
        <f>Q18*9.0746*LOOKUP(Q20,密度!$A$2:$A$50,密度!$Q$2:$Q$50)</f>
        <v>0</v>
      </c>
      <c r="R19" s="73" ph="1">
        <f>MAX(R18*9.0746*LOOKUP(R20,密度!$A$2:$A$50,密度!$B$2:$B$50),0)</f>
        <v>24703.076668660004</v>
      </c>
      <c r="S19" s="73" ph="1">
        <f>S18*9.0746*LOOKUP(S20,密度!$A$2:$A$50,密度!$Q$2:$Q$50)</f>
        <v>0</v>
      </c>
      <c r="T19" s="73" ph="1">
        <f>T18*9.0746*LOOKUP(T20,密度!$A$2:$A$50,密度!$O$2:$O$50)</f>
        <v>56050.591791600003</v>
      </c>
      <c r="U19" s="73" ph="1">
        <f>U18*9.0746*LOOKUP(U20,密度!$A$2:$A$50,密度!$H$2:$H$50)</f>
        <v>15787.887444479999</v>
      </c>
      <c r="V19" s="73" ph="1">
        <f>MAX(5600*LOOKUP(V20,密度!$A$2:$A$50,密度!$Q$2:$Q$50)+V18*9.0476*LOOKUP(V20,密度!$A$2:$A$50,密度!$Q$2:$Q$50),0)</f>
        <v>32389.344767999995</v>
      </c>
      <c r="W19" s="73" ph="1">
        <f>MAX(5600*LOOKUP(W20,密度!$A$2:$A$50,密度!$Q$2:$Q$50)+W18*9.0476*LOOKUP(W20,密度!$A$2:$A$50,密度!$Q$2:$Q$50),0)</f>
        <v>2087.3245025039996</v>
      </c>
      <c r="X19" s="73" ph="1">
        <f>MAX(5600*LOOKUP(X20,密度!$A$2:$A$50,密度!$I$2:$I$50)+X18*9.0476*LOOKUP(X20,密度!$A$2:$A$50,密度!$I$2:$I$50),0)</f>
        <v>4947.7333835520003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185.06739240000002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8128.9699596000009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34</v>
      </c>
      <c r="E20" s="81">
        <v>35</v>
      </c>
      <c r="F20" s="81">
        <v>34</v>
      </c>
      <c r="G20" s="81">
        <v>30</v>
      </c>
      <c r="H20" s="81">
        <v>33</v>
      </c>
      <c r="I20" s="81">
        <v>36</v>
      </c>
      <c r="J20" s="81">
        <v>35</v>
      </c>
      <c r="K20" s="81">
        <v>36</v>
      </c>
      <c r="L20" s="81">
        <v>33</v>
      </c>
      <c r="M20" s="81">
        <v>36</v>
      </c>
      <c r="N20" s="81">
        <v>29</v>
      </c>
      <c r="O20" s="81">
        <v>33</v>
      </c>
      <c r="P20" s="81">
        <v>32</v>
      </c>
      <c r="Q20" s="81">
        <v>35</v>
      </c>
      <c r="R20" s="81">
        <v>33</v>
      </c>
      <c r="S20" s="81">
        <v>35</v>
      </c>
      <c r="T20" s="81">
        <v>33</v>
      </c>
      <c r="U20" s="81">
        <v>34</v>
      </c>
      <c r="V20" s="81">
        <v>39</v>
      </c>
      <c r="W20" s="81">
        <v>38</v>
      </c>
      <c r="X20" s="81">
        <v>36</v>
      </c>
      <c r="Y20" s="110">
        <v>36</v>
      </c>
      <c r="Z20" s="81">
        <v>34</v>
      </c>
      <c r="AA20" s="81">
        <v>32</v>
      </c>
      <c r="AB20" s="81">
        <v>35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649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8" t="s" ph="1">
        <v>178</v>
      </c>
      <c r="D24" s="71">
        <v>86.13</v>
      </c>
      <c r="E24" s="71">
        <v>95.61</v>
      </c>
      <c r="F24" s="71">
        <v>3854</v>
      </c>
      <c r="G24" s="71">
        <v>3599</v>
      </c>
      <c r="H24" s="71">
        <v>2372</v>
      </c>
      <c r="I24" s="71">
        <v>958</v>
      </c>
      <c r="J24" s="71">
        <v>4828</v>
      </c>
      <c r="K24" s="71">
        <v>2697</v>
      </c>
      <c r="L24" s="71">
        <v>3577</v>
      </c>
      <c r="M24" s="71">
        <v>258</v>
      </c>
      <c r="N24" s="71">
        <v>230</v>
      </c>
      <c r="O24" s="71">
        <v>3698</v>
      </c>
      <c r="P24" s="71">
        <v>1255</v>
      </c>
      <c r="Q24" s="90">
        <v>3616</v>
      </c>
      <c r="R24" s="71">
        <v>1320</v>
      </c>
      <c r="S24" s="71">
        <v>6647</v>
      </c>
      <c r="T24" s="71">
        <v>1766</v>
      </c>
      <c r="U24" s="71">
        <v>5813</v>
      </c>
      <c r="V24" s="71">
        <v>9630</v>
      </c>
      <c r="W24" s="71">
        <v>10768</v>
      </c>
      <c r="X24" s="71">
        <v>3662</v>
      </c>
      <c r="Y24" s="71">
        <v>1260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23391.491828616003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42543.718881640001</v>
      </c>
      <c r="G25" s="91" ph="1">
        <f>G24*18.322*LOOKUP(G26,密度!$A$2:$A$50,密度!$B$2:$B$50)</f>
        <v>51064.615923199999</v>
      </c>
      <c r="H25" s="91" ph="1">
        <f>H24*18.322*LOOKUP(H26,密度!$A$2:$A$50,密度!$B$2:$B$50)</f>
        <v>33655.256729599998</v>
      </c>
      <c r="I25" s="91" ph="1">
        <f>I24*18.322*LOOKUP(I26,密度!$A$2:$A$50,密度!$Q$2:$Q$50)</f>
        <v>16557.777185079998</v>
      </c>
      <c r="J25" s="91" ph="1">
        <f>J24*18.322*LOOKUP(J26,密度!$A$2:$A$50,密度!$Q$2:$Q$50)</f>
        <v>83379.32226927999</v>
      </c>
      <c r="K25" s="91" ph="1">
        <f>K24*18.322*LOOKUP(K26,密度!$A$2:$A$50,密度!$Q$2:$Q$50)</f>
        <v>46577.057199720002</v>
      </c>
      <c r="L25" s="91" ph="1">
        <f>L24*18.322*LOOKUP(L26,密度!$A$2:$A$50,密度!$Q$2:$Q$50)</f>
        <v>61823.767214019994</v>
      </c>
      <c r="M25" s="91" ph="1">
        <f>M24*18.322*LOOKUP(M26,密度!$A$2:$A$50,密度!$Q$2:$Q$50)</f>
        <v>4465.2905311200002</v>
      </c>
      <c r="N25" s="91" ph="1">
        <f>N24*18.322*LOOKUP(N26,密度!$A$2:$A$50,密度!$Q$2:$Q$50)</f>
        <v>3980.6853571999995</v>
      </c>
      <c r="O25" s="91" ph="1">
        <f>O24*18.322*LOOKUP(O26,密度!$A$2:$A$50,密度!$C$2:$C$50)</f>
        <v>74977.412989599994</v>
      </c>
      <c r="P25" s="91" ph="1">
        <f>P24*11.702*LOOKUP(P26,密度!$A$2:$A$50,密度!$B$2:$B$50)</f>
        <v>11399.280962000001</v>
      </c>
      <c r="Q25" s="92" ph="1">
        <f>Q24*18.322*LOOKUP(Q26,密度!$A$2:$A$50,密度!$B$2:$B$50)</f>
        <v>51365.448505599998</v>
      </c>
      <c r="R25" s="91" ph="1">
        <f>R24*35.891*LOOKUP(R26,密度!$A$2:$A$50,密度!$C$2:$C$50)</f>
        <v>52255.860359999991</v>
      </c>
      <c r="S25" s="91" ph="1">
        <f>S24*35.891*LOOKUP(S26,密度!$A$2:$A$50,密度!$B$2:$B$50)</f>
        <v>184961.36491809998</v>
      </c>
      <c r="T25" s="91" ph="1">
        <f>T24*35.891*LOOKUP(T26,密度!$A$2:$A$50,密度!$Q$2:$Q$50)</f>
        <v>59829.59281858</v>
      </c>
      <c r="U25" s="91" ph="1">
        <f>U24*35.891</f>
        <v>208634.383</v>
      </c>
      <c r="V25" s="91" ph="1">
        <f>V24*47.051*LOOKUP(V26,密度!$A$2:$A$50,密度!$B$2:$B$50)</f>
        <v>351289.30608900002</v>
      </c>
      <c r="W25" s="91" ph="1">
        <f>W24*47.051*LOOKUP(W26,密度!$A$2:$A$50,密度!$B$2:$B$50)</f>
        <v>393257.97940160002</v>
      </c>
      <c r="X25" s="91" ph="1">
        <f>X24*47.051*LOOKUP(X26,密度!$A$2:$A$50,密度!$I$2:$I$50)</f>
        <v>178606.9698892</v>
      </c>
      <c r="Y25" s="91" ph="1">
        <f>Y24*47.051*LOOKUP(Y26,密度!$A$2:$A$50,密度!$L$2:$L$50)</f>
        <v>55252.930320000007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31</v>
      </c>
      <c r="K26" s="74">
        <v>31</v>
      </c>
      <c r="L26" s="74">
        <v>30</v>
      </c>
      <c r="M26" s="74">
        <v>28</v>
      </c>
      <c r="N26" s="74">
        <v>28</v>
      </c>
      <c r="O26" s="74">
        <v>28</v>
      </c>
      <c r="P26" s="74">
        <v>29</v>
      </c>
      <c r="Q26" s="93">
        <v>30</v>
      </c>
      <c r="R26" s="74">
        <v>32</v>
      </c>
      <c r="S26" s="74">
        <v>30</v>
      </c>
      <c r="T26" s="74">
        <v>29</v>
      </c>
      <c r="U26" s="74">
        <v>30</v>
      </c>
      <c r="V26" s="74">
        <v>30</v>
      </c>
      <c r="W26" s="74">
        <v>29</v>
      </c>
      <c r="X26" s="74">
        <v>30</v>
      </c>
      <c r="Y26" s="74">
        <v>30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8" t="s" ph="1">
        <v>181</v>
      </c>
      <c r="D27" s="71">
        <v>86.12</v>
      </c>
      <c r="E27" s="71">
        <v>95.51</v>
      </c>
      <c r="F27" s="71">
        <v>3856</v>
      </c>
      <c r="G27" s="71">
        <v>3014</v>
      </c>
      <c r="H27" s="71">
        <v>2955</v>
      </c>
      <c r="I27" s="71">
        <v>1411</v>
      </c>
      <c r="J27" s="71">
        <v>4828</v>
      </c>
      <c r="K27" s="71">
        <v>2695</v>
      </c>
      <c r="L27" s="71">
        <v>3572</v>
      </c>
      <c r="M27" s="71">
        <v>254</v>
      </c>
      <c r="N27" s="71">
        <v>225</v>
      </c>
      <c r="O27" s="71">
        <v>3693</v>
      </c>
      <c r="P27" s="71">
        <v>1252</v>
      </c>
      <c r="Q27" s="90">
        <v>4363</v>
      </c>
      <c r="R27" s="71">
        <v>1316</v>
      </c>
      <c r="S27" s="71">
        <v>6645</v>
      </c>
      <c r="T27" s="71">
        <v>1763</v>
      </c>
      <c r="U27" s="71">
        <v>6007</v>
      </c>
      <c r="V27" s="71">
        <v>9629</v>
      </c>
      <c r="W27" s="71">
        <v>10770</v>
      </c>
      <c r="X27" s="71">
        <v>3046</v>
      </c>
      <c r="Y27" s="71">
        <v>415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8" t="s" ph="1">
        <v>179</v>
      </c>
      <c r="D28" s="91" ph="1">
        <f>D27*268.68*LOOKUP(D29,密度!$A$2:$A$50,密度!$Q$2:$Q$50)+IF(D27&lt;=0,0,1566*LOOKUP(D29,密度!$A$2:$A$50,密度!$Q$2:$Q$50))</f>
        <v>23388.948127584004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42412.829905279999</v>
      </c>
      <c r="G28" s="91" ph="1">
        <f>G27*18.322*LOOKUP(G29,密度!$A$2:$A$50,密度!$B$2:$B$50)</f>
        <v>42714.609937999994</v>
      </c>
      <c r="H28" s="91" ph="1">
        <f>H27*18.322*LOOKUP(H29,密度!$A$2:$A$50,密度!$B$2:$B$50)</f>
        <v>41878.457984999994</v>
      </c>
      <c r="I28" s="91" ph="1">
        <f>I27*18.322*LOOKUP(I29,密度!$A$2:$A$50,密度!$Q$2:$Q$50)</f>
        <v>24333.516907500001</v>
      </c>
      <c r="J28" s="91" ph="1">
        <f>J27*18.322*LOOKUP(J29,密度!$A$2:$A$50,密度!$Q$2:$Q$50)</f>
        <v>83319.170410399995</v>
      </c>
      <c r="K28" s="91" ph="1">
        <f>K27*18.322*LOOKUP(K29,密度!$A$2:$A$50,密度!$Q$2:$Q$50)</f>
        <v>46476.844837500001</v>
      </c>
      <c r="L28" s="91" ph="1">
        <f>L27*18.322*LOOKUP(L29,密度!$A$2:$A$50,密度!$Q$2:$Q$50)</f>
        <v>61558.026208559997</v>
      </c>
      <c r="M28" s="91" ph="1">
        <f>M27*18.322*LOOKUP(M29,密度!$A$2:$A$50,密度!$Q$2:$Q$50)</f>
        <v>4362.4608711999999</v>
      </c>
      <c r="N28" s="91" ph="1">
        <f>N27*18.322*LOOKUP(N29,密度!$A$2:$A$50,密度!$Q$2:$Q$50)</f>
        <v>3866.9405489999995</v>
      </c>
      <c r="O28" s="91" ph="1">
        <f>O27*18.322*LOOKUP(O29,密度!$A$2:$A$50,密度!$C$2:$C$50)</f>
        <v>74422.694285399994</v>
      </c>
      <c r="P28" s="91" ph="1">
        <f>P27*11.702*LOOKUP(P29,密度!$A$2:$A$50,密度!$B$2:$B$50)</f>
        <v>11281.19608</v>
      </c>
      <c r="Q28" s="92" ph="1">
        <f>Q27*18.322*LOOKUP(Q29,密度!$A$2:$A$50,密度!$B$2:$B$50)</f>
        <v>61696.832214800001</v>
      </c>
      <c r="R28" s="91" ph="1">
        <f>R27*35.891*LOOKUP(R29,密度!$A$2:$A$50,密度!$C$2:$C$50)</f>
        <v>51899.132532799995</v>
      </c>
      <c r="S28" s="91" ph="1">
        <f>S27*35.891*LOOKUP(S29,密度!$A$2:$A$50,密度!$B$2:$B$50)</f>
        <v>184285.62352649999</v>
      </c>
      <c r="T28" s="91" ph="1">
        <f>T27*35.891*LOOKUP(T29,密度!$A$2:$A$50,密度!$Q$2:$Q$50)</f>
        <v>59475.486470019998</v>
      </c>
      <c r="U28" s="91" ph="1">
        <f>U27*35.891</f>
        <v>215597.23699999999</v>
      </c>
      <c r="V28" s="91" ph="1">
        <f>V27*47.051*LOOKUP(V29,密度!$A$2:$A$50,密度!$B$2:$B$50)</f>
        <v>350074.88684330002</v>
      </c>
      <c r="W28" s="91" ph="1">
        <f>W27*47.051*LOOKUP(W29,密度!$A$2:$A$50,密度!$B$2:$B$50)</f>
        <v>391557.43392900005</v>
      </c>
      <c r="X28" s="91" ph="1">
        <f>X27*47.051*LOOKUP(X29,密度!$A$2:$A$50,密度!$I$2:$I$50)</f>
        <v>147929.29819428004</v>
      </c>
      <c r="Y28" s="91" ph="1">
        <f>Y27*47.051*LOOKUP(Y29,密度!$A$2:$A$50,密度!$L$2:$L$50)</f>
        <v>18061.702625000002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8" t="s" ph="1">
        <v>180</v>
      </c>
      <c r="D29" s="74">
        <v>25</v>
      </c>
      <c r="E29" s="74">
        <v>25</v>
      </c>
      <c r="F29" s="74">
        <v>35</v>
      </c>
      <c r="G29" s="74">
        <v>32</v>
      </c>
      <c r="H29" s="74">
        <v>32</v>
      </c>
      <c r="I29" s="74">
        <v>33</v>
      </c>
      <c r="J29" s="74">
        <v>32</v>
      </c>
      <c r="K29" s="74">
        <v>33</v>
      </c>
      <c r="L29" s="74">
        <v>34</v>
      </c>
      <c r="M29" s="74">
        <v>39</v>
      </c>
      <c r="N29" s="74">
        <v>38</v>
      </c>
      <c r="O29" s="74">
        <v>35</v>
      </c>
      <c r="P29" s="74">
        <v>36</v>
      </c>
      <c r="Q29" s="93">
        <v>34</v>
      </c>
      <c r="R29" s="74">
        <v>36</v>
      </c>
      <c r="S29" s="74">
        <v>33</v>
      </c>
      <c r="T29" s="74">
        <v>35</v>
      </c>
      <c r="U29" s="74">
        <v>32</v>
      </c>
      <c r="V29" s="74">
        <v>33</v>
      </c>
      <c r="W29" s="74">
        <v>33</v>
      </c>
      <c r="X29" s="74">
        <v>34</v>
      </c>
      <c r="Y29" s="74">
        <v>37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8" t="s" ph="1">
        <v>5</v>
      </c>
      <c r="F32" s="179" t="s" ph="1">
        <v>43</v>
      </c>
      <c r="G32" s="97" t="s" ph="1">
        <v>4</v>
      </c>
      <c r="H32" s="178" t="s" ph="1">
        <v>5</v>
      </c>
      <c r="I32" s="179" t="s" ph="1">
        <v>43</v>
      </c>
      <c r="J32" s="97" t="s" ph="1">
        <v>4</v>
      </c>
      <c r="K32" s="178" t="s" ph="1">
        <v>5</v>
      </c>
      <c r="L32" s="179" t="s" ph="1">
        <v>43</v>
      </c>
      <c r="M32" s="97" t="s" ph="1">
        <v>4</v>
      </c>
      <c r="N32" s="178" t="s" ph="1">
        <v>5</v>
      </c>
      <c r="O32" s="17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8" t="s" ph="1">
        <v>5</v>
      </c>
      <c r="U32" s="99" t="s" ph="1">
        <v>43</v>
      </c>
      <c r="V32" s="97" t="s" ph="1">
        <v>4</v>
      </c>
      <c r="W32" s="178" t="s" ph="1">
        <v>5</v>
      </c>
      <c r="X32" s="99" t="s" ph="1">
        <v>43</v>
      </c>
      <c r="Y32" s="100" t="s" ph="1">
        <v>4</v>
      </c>
      <c r="Z32" s="178" t="s" ph="1">
        <v>5</v>
      </c>
      <c r="AA32" s="179" t="s" ph="1">
        <v>43</v>
      </c>
      <c r="AB32" s="97" t="s" ph="1">
        <v>85</v>
      </c>
      <c r="AC32" s="178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94279.93788623999</v>
      </c>
      <c r="E33" s="205" ph="1">
        <f>M10+I10</f>
        <v>194366.04349919999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31" ph="1">
        <v>0</v>
      </c>
      <c r="H33" s="205" ph="1">
        <f>N19</f>
        <v>16772.238345200003</v>
      </c>
      <c r="I33" s="209" ph="1">
        <v>0</v>
      </c>
      <c r="J33" s="213" ph="1">
        <f>F10+O28</f>
        <v>324472.3943934</v>
      </c>
      <c r="K33" s="205" ph="1">
        <f>O10+K10+E28+R28</f>
        <v>188296.76632371999</v>
      </c>
      <c r="L33" s="215" ph="1">
        <f>BE27</f>
        <v>7100</v>
      </c>
      <c r="M33" s="213" ph="1">
        <f>G10+H10+W28+S28+V28+E10</f>
        <v>1527149.1713318001</v>
      </c>
      <c r="N33" s="205" ph="1">
        <f>L10+P10++G28+H28</f>
        <v>92410.195268999989</v>
      </c>
      <c r="O33" s="209" ph="1">
        <f>BE17</f>
        <v>2270</v>
      </c>
      <c r="P33" s="213" ph="1">
        <f>L19</f>
        <v>23556.382716622</v>
      </c>
      <c r="Q33" s="205" ph="1">
        <f>J10+N10</f>
        <v>79558.153867990011</v>
      </c>
      <c r="R33" s="209" ph="1">
        <f>BE23</f>
        <v>890</v>
      </c>
      <c r="S33" s="213" ph="1">
        <f>E10+X28</f>
        <v>437798.73987428006</v>
      </c>
      <c r="T33" s="205" ph="1">
        <f>X19</f>
        <v>4947.7333835520003</v>
      </c>
      <c r="U33" s="194" ph="1">
        <f>BE21</f>
        <v>730</v>
      </c>
      <c r="V33" s="207" ph="1">
        <f ca="1">P19+Q19+S19+M28+N28+J28</f>
        <v>119541.19462910001</v>
      </c>
      <c r="W33" s="207" ph="1">
        <f>D28+F28+V19+T28</f>
        <v>157666.60927088402</v>
      </c>
      <c r="X33" s="209" ph="1">
        <f>BE29+BE31</f>
        <v>10200</v>
      </c>
      <c r="Y33" s="211" ph="1">
        <f>+Q10+R10+S10+T10+U10+V10+W10+X10+Y10</f>
        <v>143899.14466619998</v>
      </c>
      <c r="Z33" s="192" ph="1">
        <f>D10+T19+U19+Y28+Z10</f>
        <v>457334.54537108005</v>
      </c>
      <c r="AA33" s="194" ph="1">
        <f>BE19</f>
        <v>1440</v>
      </c>
      <c r="AB33" s="196" ph="1">
        <f>I19</f>
        <v>23533.245481239999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80" t="s" ph="1">
        <v>186</v>
      </c>
      <c r="AA36" s="180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8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0" t="s" ph="1">
        <v>345</v>
      </c>
      <c r="AI37" s="180" t="s" ph="1">
        <v>212</v>
      </c>
      <c r="AJ37" s="180" t="s" ph="1">
        <v>213</v>
      </c>
      <c r="AK37" s="180" t="s" ph="1">
        <v>214</v>
      </c>
      <c r="AM37" s="180" t="s" ph="1">
        <v>213</v>
      </c>
      <c r="AN37" s="180" t="s" ph="1">
        <v>214</v>
      </c>
      <c r="AO37" s="180" t="s" ph="1">
        <v>215</v>
      </c>
      <c r="AP37" s="180" t="s" ph="1">
        <v>213</v>
      </c>
      <c r="AQ37" s="180" t="s" ph="1">
        <v>214</v>
      </c>
      <c r="AR37" s="180" t="s" ph="1">
        <v>215</v>
      </c>
      <c r="AS37" s="180" t="s" ph="1">
        <v>213</v>
      </c>
      <c r="AT37" s="180" t="s" ph="1">
        <v>214</v>
      </c>
      <c r="AU37" s="180" t="s" ph="1">
        <v>215</v>
      </c>
      <c r="AV37" s="180" t="s" ph="1">
        <v>213</v>
      </c>
      <c r="AW37" s="180" t="s" ph="1">
        <v>214</v>
      </c>
      <c r="AX37" s="180" t="s" ph="1">
        <v>215</v>
      </c>
      <c r="AY37" s="180" t="s" ph="1">
        <v>214</v>
      </c>
      <c r="AZ37" s="180" t="s" ph="1">
        <v>216</v>
      </c>
      <c r="BD37" s="180" t="s" ph="1">
        <v>308</v>
      </c>
      <c r="BE37" s="18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0" priority="97">
      <formula>ABS(D$7-D$10)&gt;=1000</formula>
    </cfRule>
  </conditionalFormatting>
  <conditionalFormatting sqref="E4 E6:E11">
    <cfRule type="expression" dxfId="379" priority="96">
      <formula>ABS(E$7-E$10)&gt;=1000</formula>
    </cfRule>
  </conditionalFormatting>
  <conditionalFormatting sqref="F4:F11">
    <cfRule type="expression" dxfId="378" priority="95">
      <formula>ABS(F$7-F$10)&gt;=1000</formula>
    </cfRule>
  </conditionalFormatting>
  <conditionalFormatting sqref="G4:G11">
    <cfRule type="expression" dxfId="377" priority="94">
      <formula>ABS(G$7-G$10)&gt;=1000</formula>
    </cfRule>
  </conditionalFormatting>
  <conditionalFormatting sqref="H4:H11">
    <cfRule type="expression" dxfId="376" priority="93">
      <formula>ABS(H$7-H$10)&gt;=1000</formula>
    </cfRule>
  </conditionalFormatting>
  <conditionalFormatting sqref="I4:I11">
    <cfRule type="expression" dxfId="375" priority="92">
      <formula>ABS(I$7-I$10)&gt;=1000</formula>
    </cfRule>
  </conditionalFormatting>
  <conditionalFormatting sqref="J4:J11">
    <cfRule type="expression" dxfId="374" priority="91">
      <formula>ABS(J$7-J$10)&gt;=1000</formula>
    </cfRule>
  </conditionalFormatting>
  <conditionalFormatting sqref="K4:K11">
    <cfRule type="expression" dxfId="373" priority="90">
      <formula>ABS(K$7-K$10)&gt;=1000</formula>
    </cfRule>
  </conditionalFormatting>
  <conditionalFormatting sqref="L4:L11">
    <cfRule type="expression" dxfId="372" priority="89">
      <formula>ABS(L$7-L$10)&gt;=1000</formula>
    </cfRule>
  </conditionalFormatting>
  <conditionalFormatting sqref="M4 M6:M11">
    <cfRule type="expression" dxfId="371" priority="88">
      <formula>ABS(M$7-M$10)&gt;=1000</formula>
    </cfRule>
  </conditionalFormatting>
  <conditionalFormatting sqref="N4 N6:N11">
    <cfRule type="expression" dxfId="370" priority="87">
      <formula>ABS(N$7-N$10)&gt;=1000</formula>
    </cfRule>
  </conditionalFormatting>
  <conditionalFormatting sqref="O4 O6:O11">
    <cfRule type="expression" dxfId="369" priority="86">
      <formula>ABS(O$7-O$10)&gt;=1000</formula>
    </cfRule>
  </conditionalFormatting>
  <conditionalFormatting sqref="P4 P6:P11">
    <cfRule type="expression" dxfId="368" priority="85">
      <formula>ABS(P$7-P$10)&gt;=1000</formula>
    </cfRule>
  </conditionalFormatting>
  <conditionalFormatting sqref="Q4:Q11">
    <cfRule type="expression" dxfId="367" priority="84">
      <formula>ABS(Q$7-Q$10)&gt;=1000</formula>
    </cfRule>
  </conditionalFormatting>
  <conditionalFormatting sqref="R4:R11">
    <cfRule type="expression" dxfId="366" priority="83">
      <formula>ABS(R$7-R$10)&gt;=1000</formula>
    </cfRule>
  </conditionalFormatting>
  <conditionalFormatting sqref="S4:S11">
    <cfRule type="expression" dxfId="365" priority="82">
      <formula>ABS(S$7-S$10)&gt;=1000</formula>
    </cfRule>
  </conditionalFormatting>
  <conditionalFormatting sqref="T4:T9 T11">
    <cfRule type="expression" dxfId="364" priority="81">
      <formula>ABS(T$7-T$10)&gt;=1000</formula>
    </cfRule>
  </conditionalFormatting>
  <conditionalFormatting sqref="U4:U9 U11">
    <cfRule type="expression" dxfId="363" priority="80">
      <formula>ABS(U$7-U$10)&gt;=1000</formula>
    </cfRule>
  </conditionalFormatting>
  <conditionalFormatting sqref="V4:V9 V11">
    <cfRule type="expression" dxfId="362" priority="79">
      <formula>ABS(V$7-V$10)&gt;=1000</formula>
    </cfRule>
  </conditionalFormatting>
  <conditionalFormatting sqref="W4:W9 W11">
    <cfRule type="expression" dxfId="361" priority="78">
      <formula>ABS(W$7-W$10)&gt;=1000</formula>
    </cfRule>
  </conditionalFormatting>
  <conditionalFormatting sqref="X4:X9 X11">
    <cfRule type="expression" dxfId="360" priority="77">
      <formula>ABS(X$7-X$10)&gt;=1000</formula>
    </cfRule>
  </conditionalFormatting>
  <conditionalFormatting sqref="Y4:Y9 Y11">
    <cfRule type="expression" dxfId="359" priority="76">
      <formula>ABS(Y$7-Y$10)&gt;=1000</formula>
    </cfRule>
  </conditionalFormatting>
  <conditionalFormatting sqref="Z4:Z11">
    <cfRule type="expression" dxfId="358" priority="75">
      <formula>ABS(Z$7-Z$10)&gt;=1000</formula>
    </cfRule>
  </conditionalFormatting>
  <conditionalFormatting sqref="AA4:AA11">
    <cfRule type="expression" dxfId="357" priority="74">
      <formula>ABS(AA$7-AA$10)&gt;=1000</formula>
    </cfRule>
  </conditionalFormatting>
  <conditionalFormatting sqref="AB4:AB11">
    <cfRule type="expression" dxfId="356" priority="73">
      <formula>ABS(AB$7-AB$10)&gt;=1000</formula>
    </cfRule>
  </conditionalFormatting>
  <conditionalFormatting sqref="AC4 AC6:AC11">
    <cfRule type="expression" dxfId="355" priority="72">
      <formula>ABS(AC$7-AC$10)&gt;=1000</formula>
    </cfRule>
  </conditionalFormatting>
  <conditionalFormatting sqref="AD4:AD11">
    <cfRule type="expression" dxfId="354" priority="71">
      <formula>ABS(AD$7-AD$10)&gt;=1000</formula>
    </cfRule>
  </conditionalFormatting>
  <conditionalFormatting sqref="AE4:AE11">
    <cfRule type="expression" dxfId="353" priority="70">
      <formula>ABS(AE$7-AE$10)&gt;=1000</formula>
    </cfRule>
  </conditionalFormatting>
  <conditionalFormatting sqref="D13:D20">
    <cfRule type="expression" dxfId="352" priority="69">
      <formula>ABS(D$16-D$19)&gt;=1000</formula>
    </cfRule>
  </conditionalFormatting>
  <conditionalFormatting sqref="E13:E20">
    <cfRule type="expression" dxfId="351" priority="68">
      <formula>ABS(E$16-E$19)&gt;=1000</formula>
    </cfRule>
  </conditionalFormatting>
  <conditionalFormatting sqref="F13 F15:F20">
    <cfRule type="expression" dxfId="350" priority="67">
      <formula>ABS(F$16-F$19)&gt;=1000</formula>
    </cfRule>
  </conditionalFormatting>
  <conditionalFormatting sqref="G13:G20">
    <cfRule type="expression" dxfId="349" priority="66">
      <formula>ABS(G$16-G$19)&gt;=1000</formula>
    </cfRule>
  </conditionalFormatting>
  <conditionalFormatting sqref="H13:H20">
    <cfRule type="expression" dxfId="348" priority="65">
      <formula>ABS(H$16-H$19)&gt;=1000</formula>
    </cfRule>
  </conditionalFormatting>
  <conditionalFormatting sqref="I13:I20">
    <cfRule type="expression" dxfId="347" priority="64">
      <formula>ABS(I$16-I$19)&gt;=1000</formula>
    </cfRule>
  </conditionalFormatting>
  <conditionalFormatting sqref="J13:J20">
    <cfRule type="expression" dxfId="346" priority="63">
      <formula>ABS(J$16-J$19)&gt;=1000</formula>
    </cfRule>
  </conditionalFormatting>
  <conditionalFormatting sqref="L13:L20">
    <cfRule type="expression" dxfId="345" priority="62">
      <formula>ABS(L$16-L$19)&gt;=1000</formula>
    </cfRule>
  </conditionalFormatting>
  <conditionalFormatting sqref="M13 M15 M17:M18 M20">
    <cfRule type="expression" dxfId="344" priority="61">
      <formula>ABS(M$16-M$19)&gt;=1000</formula>
    </cfRule>
  </conditionalFormatting>
  <conditionalFormatting sqref="N13:N20">
    <cfRule type="expression" dxfId="343" priority="60">
      <formula>ABS(N$16-N$19)&gt;=1000</formula>
    </cfRule>
  </conditionalFormatting>
  <conditionalFormatting sqref="O13:O20">
    <cfRule type="expression" dxfId="342" priority="59">
      <formula>ABS(O$16-O$19)&gt;=1000</formula>
    </cfRule>
  </conditionalFormatting>
  <conditionalFormatting sqref="P13:P20">
    <cfRule type="expression" dxfId="341" priority="58">
      <formula>ABS(P$16-P$19)&gt;=1000</formula>
    </cfRule>
  </conditionalFormatting>
  <conditionalFormatting sqref="Q13 Q15:Q20">
    <cfRule type="expression" dxfId="340" priority="57">
      <formula>ABS(Q$16-Q$19)&gt;=1000</formula>
    </cfRule>
  </conditionalFormatting>
  <conditionalFormatting sqref="R13:R20">
    <cfRule type="expression" dxfId="339" priority="56">
      <formula>ABS(R$16-R$19)&gt;=1000</formula>
    </cfRule>
  </conditionalFormatting>
  <conditionalFormatting sqref="S13:S20">
    <cfRule type="expression" dxfId="338" priority="55">
      <formula>ABS(S$16-S$19)&gt;=1000</formula>
    </cfRule>
  </conditionalFormatting>
  <conditionalFormatting sqref="T13:T20">
    <cfRule type="expression" dxfId="337" priority="54">
      <formula>ABS(T$16-T$19)&gt;=1000</formula>
    </cfRule>
  </conditionalFormatting>
  <conditionalFormatting sqref="U13:U20">
    <cfRule type="expression" dxfId="336" priority="53">
      <formula>ABS(U$16-U$19)&gt;=1000</formula>
    </cfRule>
  </conditionalFormatting>
  <conditionalFormatting sqref="V13:V20">
    <cfRule type="expression" dxfId="335" priority="52">
      <formula>ABS(V$16-V$19)&gt;=1000</formula>
    </cfRule>
  </conditionalFormatting>
  <conditionalFormatting sqref="W13 W20 W15:W18">
    <cfRule type="expression" dxfId="334" priority="51">
      <formula>ABS(W$16-W$19)&gt;=1000</formula>
    </cfRule>
  </conditionalFormatting>
  <conditionalFormatting sqref="X13 X15:X20 Y19">
    <cfRule type="expression" dxfId="333" priority="50">
      <formula>ABS(X$16-X$19)&gt;=1000</formula>
    </cfRule>
  </conditionalFormatting>
  <conditionalFormatting sqref="Y13 Y15:Y18 Y20">
    <cfRule type="expression" dxfId="332" priority="49">
      <formula>ABS(Y$16-Y$19)&gt;=1000</formula>
    </cfRule>
  </conditionalFormatting>
  <conditionalFormatting sqref="Z13:Z20">
    <cfRule type="expression" dxfId="331" priority="48">
      <formula>ABS(Z$16-Z$19)&gt;=1000</formula>
    </cfRule>
  </conditionalFormatting>
  <conditionalFormatting sqref="AA13:AA20">
    <cfRule type="expression" dxfId="330" priority="47">
      <formula>ABS(AA$16-AA$19)&gt;=1000</formula>
    </cfRule>
  </conditionalFormatting>
  <conditionalFormatting sqref="AB13 AB15:AB20">
    <cfRule type="expression" dxfId="329" priority="46">
      <formula>ABS(AB$16-AB$19)&gt;=1000</formula>
    </cfRule>
  </conditionalFormatting>
  <conditionalFormatting sqref="AC13 AC15:AC20">
    <cfRule type="expression" dxfId="328" priority="45">
      <formula>ABS(AC$16-AC$19)&gt;=1000</formula>
    </cfRule>
  </conditionalFormatting>
  <conditionalFormatting sqref="AD13:AD20">
    <cfRule type="expression" dxfId="327" priority="44">
      <formula>ABS(AD$16-AD$19)&gt;=1000</formula>
    </cfRule>
  </conditionalFormatting>
  <conditionalFormatting sqref="AE13:AE20">
    <cfRule type="expression" dxfId="326" priority="43">
      <formula>ABS(AE$16-AE$19)&gt;=1000</formula>
    </cfRule>
  </conditionalFormatting>
  <conditionalFormatting sqref="D22:D29">
    <cfRule type="expression" dxfId="325" priority="42">
      <formula>ABS(D$25-D$28)&gt;=1000</formula>
    </cfRule>
  </conditionalFormatting>
  <conditionalFormatting sqref="E22:E29">
    <cfRule type="expression" dxfId="324" priority="41">
      <formula>ABS(E$25-E$28)&gt;=1000</formula>
    </cfRule>
  </conditionalFormatting>
  <conditionalFormatting sqref="F22:F29">
    <cfRule type="expression" dxfId="323" priority="40">
      <formula>ABS(F$25-F$28)&gt;=1000</formula>
    </cfRule>
  </conditionalFormatting>
  <conditionalFormatting sqref="G22:G29">
    <cfRule type="expression" dxfId="322" priority="39">
      <formula>ABS(G$25-G$28)&gt;=1000</formula>
    </cfRule>
  </conditionalFormatting>
  <conditionalFormatting sqref="H22:H29">
    <cfRule type="expression" dxfId="321" priority="38">
      <formula>ABS(H$25-H$28)&gt;=1000</formula>
    </cfRule>
  </conditionalFormatting>
  <conditionalFormatting sqref="I22 I24:I29">
    <cfRule type="expression" dxfId="320" priority="37">
      <formula>ABS(I$25-I$28)&gt;=1000</formula>
    </cfRule>
  </conditionalFormatting>
  <conditionalFormatting sqref="J22:J29 K22">
    <cfRule type="expression" dxfId="319" priority="36">
      <formula>ABS(J$25-J$28)&gt;=1000</formula>
    </cfRule>
  </conditionalFormatting>
  <conditionalFormatting sqref="K23:K29 L25 L28">
    <cfRule type="expression" dxfId="318" priority="35">
      <formula>ABS(K$25-K$28)&gt;=1000</formula>
    </cfRule>
  </conditionalFormatting>
  <conditionalFormatting sqref="L22 L26:L27 L29 L24">
    <cfRule type="expression" dxfId="317" priority="34">
      <formula>ABS(L$25-L$28)&gt;=1000</formula>
    </cfRule>
  </conditionalFormatting>
  <conditionalFormatting sqref="M22:M29">
    <cfRule type="expression" dxfId="316" priority="33">
      <formula>ABS(M$25-M$28)&gt;=1000</formula>
    </cfRule>
  </conditionalFormatting>
  <conditionalFormatting sqref="N22:N29">
    <cfRule type="expression" dxfId="315" priority="32">
      <formula>ABS(N$25-N$28)&gt;=1000</formula>
    </cfRule>
  </conditionalFormatting>
  <conditionalFormatting sqref="O22:O29">
    <cfRule type="expression" dxfId="314" priority="31">
      <formula>ABS(O$25-O$28)&gt;=1000</formula>
    </cfRule>
  </conditionalFormatting>
  <conditionalFormatting sqref="P22:P29">
    <cfRule type="expression" dxfId="313" priority="30">
      <formula>ABS(P$25-P$28)&gt;=1000</formula>
    </cfRule>
  </conditionalFormatting>
  <conditionalFormatting sqref="Q22:Q29">
    <cfRule type="expression" dxfId="312" priority="29">
      <formula>ABS(Q$25-Q$28)&gt;=1000</formula>
    </cfRule>
  </conditionalFormatting>
  <conditionalFormatting sqref="R22:R29">
    <cfRule type="expression" dxfId="311" priority="28">
      <formula>ABS(R$25-R$28)&gt;=1000</formula>
    </cfRule>
  </conditionalFormatting>
  <conditionalFormatting sqref="S22:S29">
    <cfRule type="expression" dxfId="310" priority="27">
      <formula>ABS(S$25-S$28)&gt;=1000</formula>
    </cfRule>
  </conditionalFormatting>
  <conditionalFormatting sqref="T22:T29">
    <cfRule type="expression" dxfId="309" priority="26">
      <formula>ABS(T$25-T$28)&gt;=1000</formula>
    </cfRule>
  </conditionalFormatting>
  <conditionalFormatting sqref="U22:U29">
    <cfRule type="expression" dxfId="308" priority="25">
      <formula>ABS(U$25-U$28)&gt;=1000</formula>
    </cfRule>
  </conditionalFormatting>
  <conditionalFormatting sqref="V22:V29">
    <cfRule type="expression" dxfId="307" priority="24">
      <formula>ABS(V$25-V$28)&gt;=1000</formula>
    </cfRule>
  </conditionalFormatting>
  <conditionalFormatting sqref="W22:W29">
    <cfRule type="expression" dxfId="306" priority="23">
      <formula>ABS(W$25-W$28)&gt;=1000</formula>
    </cfRule>
  </conditionalFormatting>
  <conditionalFormatting sqref="X22:X29">
    <cfRule type="expression" dxfId="305" priority="22">
      <formula>ABS(X$25-X$28)&gt;=1000</formula>
    </cfRule>
  </conditionalFormatting>
  <conditionalFormatting sqref="Y22:Y29">
    <cfRule type="expression" dxfId="304" priority="21">
      <formula>ABS(Y$25-Y$28)&gt;=1000</formula>
    </cfRule>
  </conditionalFormatting>
  <conditionalFormatting sqref="I23">
    <cfRule type="expression" dxfId="303" priority="20">
      <formula>ABS(I$25-I$28)&gt;=1000</formula>
    </cfRule>
  </conditionalFormatting>
  <conditionalFormatting sqref="F14">
    <cfRule type="expression" dxfId="302" priority="19">
      <formula>ABS(F$16-F$19)&gt;=1000</formula>
    </cfRule>
  </conditionalFormatting>
  <conditionalFormatting sqref="Q14">
    <cfRule type="expression" dxfId="301" priority="18">
      <formula>ABS(Q$16-Q$19)&gt;=1000</formula>
    </cfRule>
  </conditionalFormatting>
  <conditionalFormatting sqref="W14">
    <cfRule type="expression" dxfId="300" priority="17">
      <formula>ABS(W$16-W$19)&gt;=1000</formula>
    </cfRule>
  </conditionalFormatting>
  <conditionalFormatting sqref="Y14">
    <cfRule type="expression" dxfId="299" priority="16">
      <formula>ABS(Y$16-Y$19)&gt;=1000</formula>
    </cfRule>
  </conditionalFormatting>
  <conditionalFormatting sqref="X14">
    <cfRule type="expression" dxfId="298" priority="15">
      <formula>ABS(X$16-X$19)&gt;=1000</formula>
    </cfRule>
  </conditionalFormatting>
  <conditionalFormatting sqref="T10:Y10">
    <cfRule type="expression" dxfId="297" priority="14">
      <formula>ABS(T$7-T$10)&gt;=1000</formula>
    </cfRule>
  </conditionalFormatting>
  <conditionalFormatting sqref="W19">
    <cfRule type="expression" dxfId="296" priority="13">
      <formula>ABS(W$16-W$19)&gt;=1000</formula>
    </cfRule>
  </conditionalFormatting>
  <conditionalFormatting sqref="AC5">
    <cfRule type="expression" dxfId="295" priority="12">
      <formula>ABS(AC$7-AC$10)&gt;=1000</formula>
    </cfRule>
  </conditionalFormatting>
  <conditionalFormatting sqref="M14">
    <cfRule type="expression" dxfId="294" priority="11">
      <formula>ABS(M$16-M$19)&gt;=1000</formula>
    </cfRule>
  </conditionalFormatting>
  <conditionalFormatting sqref="M16">
    <cfRule type="expression" dxfId="293" priority="10">
      <formula>ABS(M$16-M$19)&gt;=1000</formula>
    </cfRule>
  </conditionalFormatting>
  <conditionalFormatting sqref="M19">
    <cfRule type="expression" dxfId="292" priority="9">
      <formula>ABS(M$16-M$19)&gt;=1000</formula>
    </cfRule>
  </conditionalFormatting>
  <conditionalFormatting sqref="K13:K20">
    <cfRule type="expression" dxfId="291" priority="8">
      <formula>ABS(K$16-K$19)&gt;=1000</formula>
    </cfRule>
  </conditionalFormatting>
  <conditionalFormatting sqref="E5">
    <cfRule type="expression" dxfId="290" priority="7">
      <formula>ABS(E$7-E$10)&gt;=1000</formula>
    </cfRule>
  </conditionalFormatting>
  <conditionalFormatting sqref="AB14:AC14">
    <cfRule type="expression" dxfId="289" priority="6">
      <formula>ABS(AB$16-AB$19)&gt;=1000</formula>
    </cfRule>
  </conditionalFormatting>
  <conditionalFormatting sqref="M5">
    <cfRule type="expression" dxfId="288" priority="5">
      <formula>ABS(M$7-M$10)&gt;=1000</formula>
    </cfRule>
  </conditionalFormatting>
  <conditionalFormatting sqref="N5">
    <cfRule type="expression" dxfId="287" priority="4">
      <formula>ABS(N$7-N$10)&gt;=1000</formula>
    </cfRule>
  </conditionalFormatting>
  <conditionalFormatting sqref="O5">
    <cfRule type="expression" dxfId="286" priority="3">
      <formula>ABS(O$7-O$10)&gt;=1000</formula>
    </cfRule>
  </conditionalFormatting>
  <conditionalFormatting sqref="P5">
    <cfRule type="expression" dxfId="285" priority="2">
      <formula>ABS(P$7-P$10)&gt;=1000</formula>
    </cfRule>
  </conditionalFormatting>
  <conditionalFormatting sqref="L23">
    <cfRule type="expression" dxfId="28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15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8">
    <pageSetUpPr fitToPage="1"/>
  </sheetPr>
  <dimension ref="A1:CU223"/>
  <sheetViews>
    <sheetView view="pageBreakPreview" topLeftCell="A4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45835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8" t="s" ph="1">
        <v>178</v>
      </c>
      <c r="D6" s="71">
        <v>5132</v>
      </c>
      <c r="E6" s="71">
        <v>7279</v>
      </c>
      <c r="F6" s="71">
        <v>6833</v>
      </c>
      <c r="G6" s="71">
        <v>163</v>
      </c>
      <c r="H6" s="71">
        <v>7021</v>
      </c>
      <c r="I6" s="71">
        <v>51.71</v>
      </c>
      <c r="J6" s="71">
        <v>7.72</v>
      </c>
      <c r="K6" s="71">
        <v>6.81</v>
      </c>
      <c r="L6" s="71">
        <v>52.31</v>
      </c>
      <c r="M6" s="71">
        <v>5319</v>
      </c>
      <c r="N6" s="71">
        <v>3023</v>
      </c>
      <c r="O6" s="71">
        <v>4630</v>
      </c>
      <c r="P6" s="71">
        <v>98</v>
      </c>
      <c r="Q6" s="71">
        <v>0</v>
      </c>
      <c r="R6" s="71">
        <v>0</v>
      </c>
      <c r="S6" s="71">
        <v>0</v>
      </c>
      <c r="T6" s="71">
        <v>0</v>
      </c>
      <c r="U6" s="71">
        <v>2934</v>
      </c>
      <c r="V6" s="71">
        <v>6050</v>
      </c>
      <c r="W6" s="71">
        <v>4647</v>
      </c>
      <c r="X6" s="71">
        <v>2781</v>
      </c>
      <c r="Y6" s="71">
        <v>0</v>
      </c>
      <c r="Z6" s="71">
        <v>6719</v>
      </c>
      <c r="AA6" s="71">
        <v>558</v>
      </c>
      <c r="AB6" s="71">
        <v>3614</v>
      </c>
      <c r="AC6" s="71">
        <v>5503</v>
      </c>
      <c r="AD6" s="71">
        <v>4410</v>
      </c>
      <c r="AE6" s="71">
        <v>2467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160644.52950947999</v>
      </c>
      <c r="E7" s="73" ph="1">
        <f>E6*51.53*LOOKUP(E8,密度!$A$2:$A$50,密度!$B$2:$B$50)</f>
        <v>291442.49799</v>
      </c>
      <c r="F7" s="73" ph="1">
        <f>F6*33.183*LOOKUP(F8,密度!$A$2:$A$50,密度!$C$2:$C$50)</f>
        <v>250909.86319740003</v>
      </c>
      <c r="G7" s="73" ph="1">
        <f xml:space="preserve"> (G6+2)*51.53*LOOKUP(G8,密度!$A$2:$A$50,密度!$B$2:$B$50)</f>
        <v>6614.0558550000005</v>
      </c>
      <c r="H7" s="73" ph="1">
        <f>(H6)*51.53*LOOKUP(H8,密度!$A$2:$A$50,密度!$B$2:$B$50)</f>
        <v>282053.14454800001</v>
      </c>
      <c r="I7" s="73" ph="1">
        <f>I6*290.8*1.0267</f>
        <v>15438.763055599999</v>
      </c>
      <c r="J7" s="73" ph="1">
        <f>J6*290.8*0.7892</f>
        <v>1771.7350592</v>
      </c>
      <c r="K7" s="73" ph="1">
        <f>K6*290.8*1.1126</f>
        <v>2203.3351848000002</v>
      </c>
      <c r="L7" s="73" ph="1">
        <f>L6*290.8*0.777</f>
        <v>11819.528196000001</v>
      </c>
      <c r="M7" s="73" ph="1">
        <f>M6*33.183*LOOKUP(M8,密度!$A$2:$A$50,密度!$D$2:$D$50)</f>
        <v>180542.23563330001</v>
      </c>
      <c r="N7" s="73" ph="1">
        <f>N6*33.183*LOOKUP(N8,密度!$A$2:$A$50,密度!$E$2:$E$50)</f>
        <v>78002.7737184</v>
      </c>
      <c r="O7" s="73" ph="1">
        <f>O6*20.428*LOOKUP(O8,密度!$A$2:$A$50,密度!$C$2:$C$50)</f>
        <v>104228.96728000001</v>
      </c>
      <c r="P7" s="73" ph="1">
        <f>P6*51.53*LOOKUP(P8,密度!$A$2:$A$50,密度!$B$2:$B$50)</f>
        <v>3936.9332240000003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19370.480421599997</v>
      </c>
      <c r="V7" s="73" ph="1">
        <f>V6*1.5*1.5*3.1416*LOOKUP(V8,密度!$A$2:$A$50,密度!$L$2:$L$50)</f>
        <v>39942.53802</v>
      </c>
      <c r="W7" s="73" ph="1">
        <f>W6*1.5*1.5*3.1416*LOOKUP(W8,密度!$A$2:$A$50,密度!$L$2:$L$50)</f>
        <v>30712.678227000004</v>
      </c>
      <c r="X7" s="73" ph="1">
        <f>X6*1.5*1.5*3.1416*LOOKUP(X8,密度!$A$2:$A$50,密度!$L$2:$L$50)</f>
        <v>18438.994450800001</v>
      </c>
      <c r="Y7" s="73" ph="1">
        <f>Y6*1.5*1.5*3.1416*LOOKUP(Y8,密度!$A$2:$A$50,密度!$L$2:$L$50)</f>
        <v>0</v>
      </c>
      <c r="Z7" s="73" ph="1">
        <f>Z6*33.183*LOOKUP(Z8,密度!$A$2:$A$50,密度!$L$2:$L$50)</f>
        <v>208241.44291800002</v>
      </c>
      <c r="AA7" s="73" ph="1">
        <f>AA6*33.183*LOOKUP(AA8,密度!$A$2:$A$50,密度!$D$2:$D$50)</f>
        <v>18993.829741200003</v>
      </c>
      <c r="AB7" s="73" ph="1">
        <f>AB6*20.428*LOOKUP(AB8,密度!$A$2:$A$50,密度!$D$2:$D$50)</f>
        <v>76004.682364000008</v>
      </c>
      <c r="AC7" s="73" ph="1">
        <f>AC6*51.53*LOOKUP(AC8,密度!$A$2:$A$50,密度!$Q$2:$Q$50)</f>
        <v>268466.67363660003</v>
      </c>
      <c r="AD7" s="73" ph="1">
        <f>AD6*20.428*LOOKUP(AD8,密度!$A$2:$A$50,密度!$V$2:$V$50)</f>
        <v>86267.770848000015</v>
      </c>
      <c r="AE7" s="73" ph="1">
        <f>AE6*20.428</f>
        <v>50395.876000000004</v>
      </c>
    </row>
    <row r="8" spans="1:99" ph="1">
      <c r="B8" s="256" ph="1"/>
      <c r="C8" s="68" t="s" ph="1">
        <v>180</v>
      </c>
      <c r="D8" s="74">
        <v>30</v>
      </c>
      <c r="E8" s="74">
        <v>28</v>
      </c>
      <c r="F8" s="74">
        <v>28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33</v>
      </c>
      <c r="P8" s="74">
        <v>25</v>
      </c>
      <c r="Q8" s="74">
        <v>26</v>
      </c>
      <c r="R8" s="74">
        <v>32</v>
      </c>
      <c r="S8" s="74">
        <v>25</v>
      </c>
      <c r="T8" s="74">
        <v>23</v>
      </c>
      <c r="U8" s="74">
        <v>28</v>
      </c>
      <c r="V8" s="74">
        <v>28</v>
      </c>
      <c r="W8" s="74">
        <v>27</v>
      </c>
      <c r="X8" s="74">
        <v>24</v>
      </c>
      <c r="Y8" s="74">
        <v>25</v>
      </c>
      <c r="Z8" s="74">
        <v>28</v>
      </c>
      <c r="AA8" s="74">
        <v>26</v>
      </c>
      <c r="AB8" s="74">
        <v>22</v>
      </c>
      <c r="AC8" s="74">
        <v>25</v>
      </c>
      <c r="AD8" s="74">
        <v>27</v>
      </c>
      <c r="AE8" s="74">
        <v>32</v>
      </c>
    </row>
    <row r="9" spans="1:99" ht="26.4" ph="1">
      <c r="B9" s="256" ph="1">
        <v>0.66666666666666663</v>
      </c>
      <c r="C9" s="178" t="s" ph="1">
        <v>181</v>
      </c>
      <c r="D9" s="71">
        <v>5132</v>
      </c>
      <c r="E9" s="71">
        <v>7709</v>
      </c>
      <c r="F9" s="71">
        <v>6837</v>
      </c>
      <c r="G9" s="71">
        <v>127</v>
      </c>
      <c r="H9" s="71">
        <v>6751</v>
      </c>
      <c r="I9" s="71">
        <v>51.72</v>
      </c>
      <c r="J9" s="71">
        <v>7.82</v>
      </c>
      <c r="K9" s="71">
        <v>7.01</v>
      </c>
      <c r="L9" s="71">
        <v>45.61</v>
      </c>
      <c r="M9" s="71">
        <v>4757</v>
      </c>
      <c r="N9" s="71">
        <v>3027</v>
      </c>
      <c r="O9" s="71">
        <v>3715</v>
      </c>
      <c r="P9" s="71">
        <v>12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3933</v>
      </c>
      <c r="W9" s="71">
        <v>4653</v>
      </c>
      <c r="X9" s="71">
        <v>5583</v>
      </c>
      <c r="Y9" s="71">
        <v>2313</v>
      </c>
      <c r="Z9" s="71">
        <v>5187</v>
      </c>
      <c r="AA9" s="71">
        <v>556</v>
      </c>
      <c r="AB9" s="71">
        <v>3106</v>
      </c>
      <c r="AC9" s="71">
        <v>5505</v>
      </c>
      <c r="AD9" s="71">
        <v>4417</v>
      </c>
      <c r="AE9" s="71">
        <v>2470</v>
      </c>
    </row>
    <row r="10" spans="1:99" s="72" customFormat="1" ht="22.2" ph="1">
      <c r="B10" s="256" ph="1"/>
      <c r="C10" s="178" t="s" ph="1">
        <v>179</v>
      </c>
      <c r="D10" s="73" ph="1">
        <f>D9*33.183*LOOKUP(D11,密度!$A$2:$A$50,密度!$Q$2:$Q$50)</f>
        <v>160290.315585</v>
      </c>
      <c r="E10" s="73" ph="1">
        <f>E9*51.53*LOOKUP(E11,密度!$A$2:$A$50,密度!$B$2:$B$50)</f>
        <v>306951.03377900005</v>
      </c>
      <c r="F10" s="73" ph="1">
        <f>F9*33.183*LOOKUP(F11,密度!$A$2:$A$50,密度!$C$2:$C$50)</f>
        <v>250013.13244200003</v>
      </c>
      <c r="G10" s="73" ph="1">
        <f xml:space="preserve"> (G9+2)*51.53*LOOKUP(G11,密度!$A$2:$A$50,密度!$B$2:$B$50)</f>
        <v>5124.4575329999998</v>
      </c>
      <c r="H10" s="73" ph="1">
        <f>(H9)*51.53*LOOKUP(H11,密度!$A$2:$A$50,密度!$B$2:$B$50)</f>
        <v>269397.52083200001</v>
      </c>
      <c r="I10" s="73" ph="1">
        <f>I9*290.8*1.0267</f>
        <v>15441.748699199999</v>
      </c>
      <c r="J10" s="73" ph="1">
        <f>J9*290.8*0.7892</f>
        <v>1794.6849952</v>
      </c>
      <c r="K10" s="73" ph="1">
        <f>K9*290.8*1.1126</f>
        <v>2268.0440008</v>
      </c>
      <c r="L10" s="73" ph="1">
        <f>L9*290.8*0.777</f>
        <v>10305.652476000001</v>
      </c>
      <c r="M10" s="73" ph="1">
        <f>M9*33.183*LOOKUP(M11,密度!$A$2:$A$50,密度!$D$2:$D$50)</f>
        <v>160219.30396499997</v>
      </c>
      <c r="N10" s="73" ph="1">
        <f>N9*33.183*LOOKUP(N11,密度!$A$2:$A$50,密度!$E$2:$E$50)</f>
        <v>77649.966089459995</v>
      </c>
      <c r="O10" s="73" ph="1">
        <f>O9*20.428*LOOKUP(O11,密度!$A$2:$A$50,密度!$C$2:$C$50)</f>
        <v>83312.063956000013</v>
      </c>
      <c r="P10" s="73" ph="1">
        <f>P9*51.53*LOOKUP(P11,密度!$A$2:$A$50,密度!$B$2:$B$50)</f>
        <v>478.30145999999996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25965.950749200001</v>
      </c>
      <c r="W10" s="73" ph="1">
        <f>W9*1.5*1.5*3.1416*LOOKUP(W11,密度!$A$2:$A$50,密度!$L$2:$L$50)</f>
        <v>30719.442877200003</v>
      </c>
      <c r="X10" s="73" ph="1">
        <f>X9*1.5*1.5*3.1416*LOOKUP(X11,密度!$A$2:$A$50,密度!$L$2:$L$50)</f>
        <v>36859.370209200002</v>
      </c>
      <c r="Y10" s="73" ph="1">
        <f>Y9*1.5*1.5*3.1416*LOOKUP(Y11,密度!$A$2:$A$50,密度!$L$2:$L$50)</f>
        <v>15270.5934612</v>
      </c>
      <c r="Z10" s="73" ph="1">
        <f>Z9*33.183*LOOKUP(Z11,密度!$A$2:$A$50,密度!$L$2:$L$50)</f>
        <v>159727.565088</v>
      </c>
      <c r="AA10" s="73" ph="1">
        <f>AA9*33.183*LOOKUP(AA11,密度!$A$2:$A$50,密度!$D$2:$D$50)</f>
        <v>18645.315328799999</v>
      </c>
      <c r="AB10" s="73" ph="1">
        <f>AB9*20.428*LOOKUP(AB11,密度!$A$2:$A$50,密度!$D$2:$D$50)</f>
        <v>65022.912326400001</v>
      </c>
      <c r="AC10" s="73" ph="1">
        <f>AC9*51.53*LOOKUP(AC11,密度!$A$2:$A$50,密度!$Q$2:$Q$50)</f>
        <v>267191.269035</v>
      </c>
      <c r="AD10" s="73" ph="1">
        <f>AD9*20.428*LOOKUP(AD11,密度!$A$2:$A$50,密度!$V$2:$V$50)</f>
        <v>86404.703817600006</v>
      </c>
      <c r="AE10" s="73" ph="1">
        <f>AE9*20.428</f>
        <v>50457.16</v>
      </c>
    </row>
    <row r="11" spans="1:99" ph="1">
      <c r="A11" s="64" t="s" ph="1">
        <v>163</v>
      </c>
      <c r="B11" s="256" ph="1"/>
      <c r="C11" s="178" t="s" ph="1">
        <v>180</v>
      </c>
      <c r="D11" s="74">
        <v>33</v>
      </c>
      <c r="E11" s="74">
        <v>33</v>
      </c>
      <c r="F11" s="74">
        <v>33</v>
      </c>
      <c r="G11" s="74">
        <v>35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34</v>
      </c>
      <c r="O11" s="74">
        <v>37</v>
      </c>
      <c r="P11" s="74">
        <v>32</v>
      </c>
      <c r="Q11" s="74">
        <v>37</v>
      </c>
      <c r="R11" s="74">
        <v>40</v>
      </c>
      <c r="S11" s="74">
        <v>28</v>
      </c>
      <c r="T11" s="74">
        <v>33</v>
      </c>
      <c r="U11" s="74">
        <v>33</v>
      </c>
      <c r="V11" s="74">
        <v>28</v>
      </c>
      <c r="W11" s="74">
        <v>28</v>
      </c>
      <c r="X11" s="74">
        <v>28</v>
      </c>
      <c r="Y11" s="74">
        <v>28</v>
      </c>
      <c r="Z11" s="74">
        <v>34</v>
      </c>
      <c r="AA11" s="74">
        <v>43</v>
      </c>
      <c r="AB11" s="74">
        <v>27</v>
      </c>
      <c r="AC11" s="74">
        <v>32</v>
      </c>
      <c r="AD11" s="74">
        <v>33</v>
      </c>
      <c r="AE11" s="74">
        <v>35</v>
      </c>
    </row>
    <row r="12" spans="1:99" ht="9.9" customHeight="1" ph="1"/>
    <row r="13" spans="1:99" s="72" customFormat="1" ht="29.25" customHeight="1" ph="1">
      <c r="B13" s="233" t="s" ph="1">
        <v>37</v>
      </c>
      <c r="C13" s="17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8" t="s" ph="1">
        <v>178</v>
      </c>
      <c r="D15" s="78">
        <v>4027</v>
      </c>
      <c r="E15" s="78">
        <v>75</v>
      </c>
      <c r="F15" s="78">
        <v>2835</v>
      </c>
      <c r="G15" s="78">
        <v>1860</v>
      </c>
      <c r="H15" s="78">
        <v>0</v>
      </c>
      <c r="I15" s="78">
        <v>2555</v>
      </c>
      <c r="J15" s="78">
        <v>1795</v>
      </c>
      <c r="K15" s="78">
        <v>1879</v>
      </c>
      <c r="L15" s="78">
        <v>3342</v>
      </c>
      <c r="M15" s="78">
        <v>2456</v>
      </c>
      <c r="N15" s="78">
        <v>2120</v>
      </c>
      <c r="O15" s="78">
        <v>6097</v>
      </c>
      <c r="P15" s="78">
        <v>1230</v>
      </c>
      <c r="Q15" s="78">
        <v>0</v>
      </c>
      <c r="R15" s="78">
        <v>3518</v>
      </c>
      <c r="S15" s="78">
        <v>0</v>
      </c>
      <c r="T15" s="78">
        <v>6713</v>
      </c>
      <c r="U15" s="78">
        <v>1921</v>
      </c>
      <c r="V15" s="78">
        <v>3199</v>
      </c>
      <c r="W15" s="71">
        <v>-372</v>
      </c>
      <c r="X15" s="78">
        <v>-88</v>
      </c>
      <c r="Y15" s="106">
        <v>-9909</v>
      </c>
      <c r="Z15" s="78">
        <v>0</v>
      </c>
      <c r="AA15" s="78">
        <v>0</v>
      </c>
      <c r="AB15" s="78" ph="1">
        <v>12</v>
      </c>
      <c r="AC15" s="78" ph="1">
        <v>0</v>
      </c>
      <c r="AD15" s="78">
        <v>84.71</v>
      </c>
      <c r="AE15" s="78">
        <v>41.92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8" t="s" ph="1">
        <v>179</v>
      </c>
      <c r="D16" s="73" ph="1">
        <f>D15*7.0686*LOOKUP(D17,密度!$A$2:$A$50,密度!$L$2:$L$50)</f>
        <v>26586.545554799999</v>
      </c>
      <c r="E16" s="73" ph="1">
        <f>E15*7.0686*LOOKUP(E17,密度!$A$2:$A$50,密度!$L$2:$L$50)</f>
        <v>494.62528500000002</v>
      </c>
      <c r="F16" s="73" ph="1">
        <f>F15*9.0746*LOOKUP(F17,密度!$A$2:$A$50,密度!$L$2:$L$50)</f>
        <v>23977.089612000003</v>
      </c>
      <c r="G16" s="73" ph="1">
        <f>G15*9.0746*LOOKUP(G17,密度!$A$2:$A$50,密度!$B$2:$B$50)</f>
        <v>13129.984292400002</v>
      </c>
      <c r="H16" s="73" ph="1">
        <f>H15*9.0746*LOOKUP(H17,密度!$A$2:$A$50,密度!$L$2:$L$50)</f>
        <v>0</v>
      </c>
      <c r="I16" s="73" ph="1">
        <f>I15*9.0746*LOOKUP(I17,密度!$A$2:$A$50,密度!$U$2:$U$50)</f>
        <v>23718.871868999999</v>
      </c>
      <c r="J16" s="73" ph="1">
        <f>J15*9.0746*LOOKUP(J17,密度!$A$2:$A$50,密度!$L$2:$L$50)</f>
        <v>15197.550231000001</v>
      </c>
      <c r="K16" s="73" ph="1">
        <f>K15*9.0746*LOOKUP(K17,密度!$A$2:$A$50,密度!$C$2:$C$50)</f>
        <v>18843.25172434</v>
      </c>
      <c r="L16" s="73" ph="1">
        <f>L15*9.0746*LOOKUP(L17,密度!$A$2:$A$50,密度!$E$2:$E$50)</f>
        <v>23582.518744319997</v>
      </c>
      <c r="M16" s="73" ph="1">
        <f>M15*9.0746*LOOKUP(M17,密度!$A$2:$A$50,密度!$M$2:$M$50)</f>
        <v>19364.694756112</v>
      </c>
      <c r="N16" s="73" ph="1">
        <f>N15*9.0746*LOOKUP(N17,密度!$A$2:$A$50,密度!$M$2:$M$50)</f>
        <v>16835.306815200001</v>
      </c>
      <c r="O16" s="73" ph="1">
        <f>O15*9.0746*LOOKUP(O17,密度!$A$2:$A$50,密度!$G$2:$G$50)</f>
        <v>52887.87862358</v>
      </c>
      <c r="P16" s="73" ph="1">
        <f ca="1">P15*9.0746*LOOKUP(P17,密度!$A$2:$A$51,密度!$Q$2:$Q$50)</f>
        <v>10543.61984196</v>
      </c>
      <c r="Q16" s="73" ph="1">
        <f>Q15*9.0746*LOOKUP(Q17,密度!$A$2:$A$50,密度!$Q$2:$Q$50)</f>
        <v>0</v>
      </c>
      <c r="R16" s="73" ph="1">
        <f>MAX(R15*9.0746*LOOKUP(R17,密度!$A$2:$A$50,密度!$B$2:$B$50),0)</f>
        <v>24751.020502840001</v>
      </c>
      <c r="S16" s="73" ph="1">
        <f>S15*9.0746*LOOKUP(S17,密度!$A$2:$A$50,密度!$Q$2:$Q$50)</f>
        <v>0</v>
      </c>
      <c r="T16" s="73" ph="1">
        <f>T15*9.0746*LOOKUP(T17,密度!$A$2:$A$50,密度!$O$2:$O$50)</f>
        <v>56409.873354800002</v>
      </c>
      <c r="U16" s="73" ph="1">
        <f>U15*9.0746*LOOKUP(U17,密度!$A$2:$A$50,密度!$H$2:$H$50)</f>
        <v>15898.263619200001</v>
      </c>
      <c r="V16" s="73" ph="1">
        <f>MAX(5600*LOOKUP(V17,密度!$A$2:$A$50,密度!$Q$2:$Q$50)+V15*9.0476*LOOKUP(V17,密度!$A$2:$A$50,密度!$Q$2:$Q$50),0)</f>
        <v>32491.056586716</v>
      </c>
      <c r="W16" s="73" ph="1">
        <f>MAX(5600*LOOKUP(W17,密度!$A$2:$A$50,密度!$Q$2:$Q$50)+W15*9.0476*LOOKUP(W17,密度!$A$2:$A$50,密度!$Q$2:$Q$50),0)</f>
        <v>2109.0160027039997</v>
      </c>
      <c r="X16" s="73" ph="1">
        <f>MAX(5600*LOOKUP(X17,密度!$A$2:$A$50,密度!$I$2:$I$50)+X15*9.0476*LOOKUP(X17,密度!$A$2:$A$50,密度!$I$2:$I$50),0)</f>
        <v>4990.6794556799996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101.81701200000001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18964.458230879998</v>
      </c>
      <c r="AE16" s="73" ph="1">
        <f>AE15*268.68*LOOKUP(AE17,密度!$A$2:$A$50,密度!B2:B50)+IF(AE15&lt;=0,0,1566*LOOKUP(AE17,密度!$A$2:$A$50,密度!B2:B50))</f>
        <v>10001.539541759999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28</v>
      </c>
      <c r="E17" s="74">
        <v>29</v>
      </c>
      <c r="F17" s="74">
        <v>30</v>
      </c>
      <c r="G17" s="74">
        <v>27</v>
      </c>
      <c r="H17" s="74">
        <v>23</v>
      </c>
      <c r="I17" s="74">
        <v>27</v>
      </c>
      <c r="J17" s="74">
        <v>29</v>
      </c>
      <c r="K17" s="74">
        <v>30</v>
      </c>
      <c r="L17" s="74">
        <v>30</v>
      </c>
      <c r="M17" s="74">
        <v>31</v>
      </c>
      <c r="N17" s="74">
        <v>25</v>
      </c>
      <c r="O17" s="74">
        <v>29</v>
      </c>
      <c r="P17" s="74">
        <v>28</v>
      </c>
      <c r="Q17" s="74">
        <v>26</v>
      </c>
      <c r="R17" s="74">
        <v>30</v>
      </c>
      <c r="S17" s="74">
        <v>27</v>
      </c>
      <c r="T17" s="74">
        <v>27</v>
      </c>
      <c r="U17" s="74">
        <v>28</v>
      </c>
      <c r="V17" s="74">
        <v>34</v>
      </c>
      <c r="W17" s="74">
        <v>29</v>
      </c>
      <c r="X17" s="74">
        <v>28</v>
      </c>
      <c r="Y17" s="108">
        <v>28</v>
      </c>
      <c r="Z17" s="74">
        <v>27</v>
      </c>
      <c r="AA17" s="74">
        <v>25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4032</v>
      </c>
      <c r="E18" s="71">
        <v>75</v>
      </c>
      <c r="F18" s="71">
        <v>693</v>
      </c>
      <c r="G18" s="71">
        <v>1886</v>
      </c>
      <c r="H18" s="71">
        <v>0</v>
      </c>
      <c r="I18" s="71">
        <v>5287</v>
      </c>
      <c r="J18" s="71">
        <v>1870</v>
      </c>
      <c r="K18" s="71">
        <v>1879</v>
      </c>
      <c r="L18" s="71">
        <v>3697</v>
      </c>
      <c r="M18" s="71">
        <v>3017</v>
      </c>
      <c r="N18" s="71">
        <v>1593</v>
      </c>
      <c r="O18" s="71">
        <v>6104</v>
      </c>
      <c r="P18" s="71">
        <v>264</v>
      </c>
      <c r="Q18" s="71">
        <v>0</v>
      </c>
      <c r="R18" s="71">
        <v>3521</v>
      </c>
      <c r="S18" s="71">
        <v>0</v>
      </c>
      <c r="T18" s="71">
        <v>5841</v>
      </c>
      <c r="U18" s="71">
        <v>1920</v>
      </c>
      <c r="V18" s="71">
        <v>3199</v>
      </c>
      <c r="W18" s="71">
        <v>-373</v>
      </c>
      <c r="X18" s="71">
        <v>-88</v>
      </c>
      <c r="Y18" s="109">
        <v>-9907</v>
      </c>
      <c r="Z18" s="71">
        <v>0</v>
      </c>
      <c r="AA18" s="71">
        <v>0</v>
      </c>
      <c r="AB18" s="71">
        <v>21</v>
      </c>
      <c r="AC18" s="71">
        <v>0</v>
      </c>
      <c r="AD18" s="71">
        <v>9.61</v>
      </c>
      <c r="AE18" s="71">
        <v>86.01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8" t="s" ph="1">
        <v>179</v>
      </c>
      <c r="D19" s="73" ph="1">
        <f>D18*7.0686*LOOKUP(D20,密度!$A$2:$A$50,密度!$L$2:$L$50)</f>
        <v>26420.051750400002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5829.6228606000004</v>
      </c>
      <c r="G19" s="73" ph="1">
        <f>G18*9.0746*LOOKUP(G20,密度!$A$2:$A$50,密度!$B$2:$B$50)</f>
        <v>13269.023498679999</v>
      </c>
      <c r="H19" s="73" ph="1">
        <f>H18*9.0746*LOOKUP(H20,密度!$A$2:$A$50,密度!$L$2:$L$50)</f>
        <v>0</v>
      </c>
      <c r="I19" s="73" ph="1">
        <f>I18*9.0746*LOOKUP(I20,密度!$A$2:$A$50,密度!$U$2:$U$50)</f>
        <v>48697.071352999992</v>
      </c>
      <c r="J19" s="73" ph="1">
        <f>J18*9.0746*LOOKUP(J20,密度!$A$2:$A$50,密度!$L$2:$L$50)</f>
        <v>15747.697856000001</v>
      </c>
      <c r="K19" s="73" ph="1">
        <f>K18*9.0746*LOOKUP(K20,密度!$A$2:$A$50,密度!$C$2:$C$50)</f>
        <v>18771.63679606</v>
      </c>
      <c r="L19" s="73" ph="1">
        <f>L18*9.0746*LOOKUP(L20,密度!$A$2:$A$50,密度!$E$2:$E$50)</f>
        <v>25973.142530078007</v>
      </c>
      <c r="M19" s="73" ph="1">
        <f>M18*9.0746*LOOKUP(M20,密度!$A$2:$A$50,密度!$M$2:$M$50)</f>
        <v>23672.994230494001</v>
      </c>
      <c r="N19" s="73" ph="1">
        <f>N18*9.0746*LOOKUP(N20,密度!$A$2:$A$50,密度!$M$2:$M$50)</f>
        <v>12575.133302220001</v>
      </c>
      <c r="O19" s="73" ph="1">
        <f>O18*9.0746*LOOKUP(O20,密度!$A$2:$A$50,密度!$G$2:$G$50)</f>
        <v>52708.754912688004</v>
      </c>
      <c r="P19" s="73" ph="1">
        <f ca="1">P18*9.0746*LOOKUP(P20,密度!$A$2:$A$51,密度!$Q$2:$Q$50)</f>
        <v>2253.366195696</v>
      </c>
      <c r="Q19" s="73" ph="1">
        <f>Q18*9.0746*LOOKUP(Q20,密度!$A$2:$A$50,密度!$Q$2:$Q$50)</f>
        <v>0</v>
      </c>
      <c r="R19" s="73" ph="1">
        <f>MAX(R18*9.0746*LOOKUP(R20,密度!$A$2:$A$50,密度!$B$2:$B$50),0)</f>
        <v>24631.539781940002</v>
      </c>
      <c r="S19" s="73" ph="1">
        <f>S18*9.0746*LOOKUP(S20,密度!$A$2:$A$50,密度!$Q$2:$Q$50)</f>
        <v>0</v>
      </c>
      <c r="T19" s="73" ph="1">
        <f>T18*9.0746*LOOKUP(T20,密度!$A$2:$A$50,密度!$O$2:$O$50)</f>
        <v>48827.965198320002</v>
      </c>
      <c r="U19" s="73" ph="1">
        <f>U18*9.0746*LOOKUP(U20,密度!$A$2:$A$50,密度!$H$2:$H$50)</f>
        <v>15804.787979519999</v>
      </c>
      <c r="V19" s="73" ph="1">
        <f>MAX(5600*LOOKUP(V20,密度!$A$2:$A$50,密度!$Q$2:$Q$50)+V18*9.0476*LOOKUP(V20,密度!$A$2:$A$50,密度!$Q$2:$Q$50),0)</f>
        <v>32424.042638259998</v>
      </c>
      <c r="W19" s="73" ph="1">
        <f>MAX(5600*LOOKUP(W20,密度!$A$2:$A$50,密度!$Q$2:$Q$50)+W18*9.0476*LOOKUP(W20,密度!$A$2:$A$50,密度!$Q$2:$Q$50),0)</f>
        <v>2088.7264069799999</v>
      </c>
      <c r="X19" s="73" ph="1">
        <f>MAX(5600*LOOKUP(X20,密度!$A$2:$A$50,密度!$I$2:$I$50)+X18*9.0476*LOOKUP(X20,密度!$A$2:$A$50,密度!$I$2:$I$50),0)</f>
        <v>4953.0656139839994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176.65523820000001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3223.0074995999998</v>
      </c>
      <c r="AE19" s="73" ph="1">
        <f>AE18*268.68*LOOKUP(AE20,密度!$A$2:$A$50,密度!B5:B53)+IF(AE18&lt;=0,0,1566*LOOKUP(AE20,密度!$A$2:$A$50,密度!B5:B53))</f>
        <v>19172.604603600001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35</v>
      </c>
      <c r="E20" s="81">
        <v>35</v>
      </c>
      <c r="F20" s="81">
        <v>35</v>
      </c>
      <c r="G20" s="81">
        <v>30</v>
      </c>
      <c r="H20" s="81">
        <v>34</v>
      </c>
      <c r="I20" s="81">
        <v>35</v>
      </c>
      <c r="J20" s="81">
        <v>34</v>
      </c>
      <c r="K20" s="81">
        <v>34</v>
      </c>
      <c r="L20" s="81">
        <v>33</v>
      </c>
      <c r="M20" s="81">
        <v>35</v>
      </c>
      <c r="N20" s="81">
        <v>30</v>
      </c>
      <c r="O20" s="81">
        <v>33</v>
      </c>
      <c r="P20" s="81">
        <v>34</v>
      </c>
      <c r="Q20" s="81">
        <v>35</v>
      </c>
      <c r="R20" s="81">
        <v>35</v>
      </c>
      <c r="S20" s="81">
        <v>35</v>
      </c>
      <c r="T20" s="81">
        <v>33</v>
      </c>
      <c r="U20" s="81">
        <v>33</v>
      </c>
      <c r="V20" s="81">
        <v>37</v>
      </c>
      <c r="W20" s="81">
        <v>37</v>
      </c>
      <c r="X20" s="81">
        <v>35</v>
      </c>
      <c r="Y20" s="110">
        <v>35</v>
      </c>
      <c r="Z20" s="81">
        <v>35</v>
      </c>
      <c r="AA20" s="81">
        <v>33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648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8" t="s" ph="1">
        <v>178</v>
      </c>
      <c r="D24" s="71">
        <v>85.91</v>
      </c>
      <c r="E24" s="71">
        <v>95.51</v>
      </c>
      <c r="F24" s="71">
        <v>3853</v>
      </c>
      <c r="G24" s="71">
        <v>3774</v>
      </c>
      <c r="H24" s="71">
        <v>2565</v>
      </c>
      <c r="I24" s="71">
        <v>2416</v>
      </c>
      <c r="J24" s="71">
        <v>4829</v>
      </c>
      <c r="K24" s="71">
        <v>2697</v>
      </c>
      <c r="L24" s="71">
        <v>3576</v>
      </c>
      <c r="M24" s="71">
        <v>259</v>
      </c>
      <c r="N24" s="71">
        <v>231</v>
      </c>
      <c r="O24" s="71">
        <v>3698</v>
      </c>
      <c r="P24" s="71">
        <v>1255</v>
      </c>
      <c r="Q24" s="90">
        <v>4805</v>
      </c>
      <c r="R24" s="71">
        <v>1320</v>
      </c>
      <c r="S24" s="71">
        <v>6647</v>
      </c>
      <c r="T24" s="71">
        <v>1765</v>
      </c>
      <c r="U24" s="71">
        <v>5883</v>
      </c>
      <c r="V24" s="71">
        <v>9622</v>
      </c>
      <c r="W24" s="71">
        <v>10769</v>
      </c>
      <c r="X24" s="71">
        <v>3037</v>
      </c>
      <c r="Y24" s="71">
        <v>1214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23335.530405912003</v>
      </c>
      <c r="E25" s="91" ph="1">
        <f>E24*268.68*LOOKUP(E26,密度!$A$2:$A$50,密度!$C$2:$C$50)+IF(E24&lt;=0,0,1566*LOOKUP(E26,密度!$A$2:$A$50,密度!$C$2:$C$50))</f>
        <v>30192.715358520003</v>
      </c>
      <c r="F25" s="91" ph="1">
        <f>F24*11.702*LOOKUP(F26,密度!$A$2:$A$50,密度!$Q$2:$Q$50)</f>
        <v>42532.680033979996</v>
      </c>
      <c r="G25" s="91" ph="1">
        <f>G24*18.322*LOOKUP(G26,密度!$A$2:$A$50,密度!$B$2:$B$50)</f>
        <v>53547.613363199998</v>
      </c>
      <c r="H25" s="91" ph="1">
        <f>H24*18.322*LOOKUP(H26,密度!$A$2:$A$50,密度!$B$2:$B$50)</f>
        <v>36393.648192000001</v>
      </c>
      <c r="I25" s="91" ph="1">
        <f>I24*18.322*LOOKUP(I26,密度!$A$2:$A$50,密度!$Q$2:$Q$50)</f>
        <v>41757.400500159994</v>
      </c>
      <c r="J25" s="91" ph="1">
        <f>J24*18.322*LOOKUP(J26,密度!$A$2:$A$50,密度!$Q$2:$Q$50)</f>
        <v>83396.592220039995</v>
      </c>
      <c r="K25" s="91" ph="1">
        <f>K24*18.322*LOOKUP(K26,密度!$A$2:$A$50,密度!$Q$2:$Q$50)</f>
        <v>46577.057199720002</v>
      </c>
      <c r="L25" s="91" ph="1">
        <f>L24*18.322*LOOKUP(L26,密度!$A$2:$A$50,密度!$Q$2:$Q$50)</f>
        <v>61806.483521759998</v>
      </c>
      <c r="M25" s="91" ph="1">
        <f>M24*18.322*LOOKUP(M26,密度!$A$2:$A$50,密度!$Q$2:$Q$50)</f>
        <v>4485.9196373600007</v>
      </c>
      <c r="N25" s="91" ph="1">
        <f>N24*18.322*LOOKUP(N26,密度!$A$2:$A$50,密度!$Q$2:$Q$50)</f>
        <v>3995.07234126</v>
      </c>
      <c r="O25" s="91" ph="1">
        <f>O24*18.322*LOOKUP(O26,密度!$A$2:$A$50,密度!$C$2:$C$50)</f>
        <v>74977.412989599994</v>
      </c>
      <c r="P25" s="91" ph="1">
        <f>P24*11.702*LOOKUP(P26,密度!$A$2:$A$50,密度!$B$2:$B$50)</f>
        <v>11372.846143999999</v>
      </c>
      <c r="Q25" s="92" ph="1">
        <f>Q24*18.322*LOOKUP(Q26,密度!$A$2:$A$50,密度!$B$2:$B$50)</f>
        <v>68255.248912999989</v>
      </c>
      <c r="R25" s="91" ph="1">
        <f>R24*35.891*LOOKUP(R26,密度!$A$2:$A$50,密度!$C$2:$C$50)</f>
        <v>52255.860359999991</v>
      </c>
      <c r="S25" s="91" ph="1">
        <f>S24*35.891*LOOKUP(S26,密度!$A$2:$A$50,密度!$B$2:$B$50)</f>
        <v>184961.36491809998</v>
      </c>
      <c r="T25" s="91" ph="1">
        <f>T24*35.891*LOOKUP(T26,密度!$A$2:$A$50,密度!$Q$2:$Q$50)</f>
        <v>59667.118568499995</v>
      </c>
      <c r="U25" s="91" ph="1">
        <f>U24*35.891</f>
        <v>211146.753</v>
      </c>
      <c r="V25" s="91" ph="1">
        <f>V24*47.051*LOOKUP(V26,密度!$A$2:$A$50,密度!$B$2:$B$50)</f>
        <v>350997.47696659999</v>
      </c>
      <c r="W25" s="91" ph="1">
        <f>W24*47.051*LOOKUP(W26,密度!$A$2:$A$50,密度!$B$2:$B$50)</f>
        <v>392838.47739070002</v>
      </c>
      <c r="X25" s="91" ph="1">
        <f>X24*47.051*LOOKUP(X26,密度!$A$2:$A$50,密度!$I$2:$I$50)</f>
        <v>148280.98653990004</v>
      </c>
      <c r="Y25" s="91" ph="1">
        <f>Y24*47.051*LOOKUP(Y26,密度!$A$2:$A$50,密度!$L$2:$L$50)</f>
        <v>53121.520020000004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30</v>
      </c>
      <c r="G26" s="74">
        <v>31</v>
      </c>
      <c r="H26" s="74">
        <v>31</v>
      </c>
      <c r="I26" s="74">
        <v>30</v>
      </c>
      <c r="J26" s="74">
        <v>31</v>
      </c>
      <c r="K26" s="74">
        <v>31</v>
      </c>
      <c r="L26" s="74">
        <v>30</v>
      </c>
      <c r="M26" s="74">
        <v>27</v>
      </c>
      <c r="N26" s="74">
        <v>29</v>
      </c>
      <c r="O26" s="74">
        <v>28</v>
      </c>
      <c r="P26" s="74">
        <v>31</v>
      </c>
      <c r="Q26" s="93">
        <v>30</v>
      </c>
      <c r="R26" s="74">
        <v>32</v>
      </c>
      <c r="S26" s="74">
        <v>30</v>
      </c>
      <c r="T26" s="74">
        <v>32</v>
      </c>
      <c r="U26" s="74">
        <v>30</v>
      </c>
      <c r="V26" s="74">
        <v>30</v>
      </c>
      <c r="W26" s="74">
        <v>30</v>
      </c>
      <c r="X26" s="74">
        <v>29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8" t="s" ph="1">
        <v>181</v>
      </c>
      <c r="D27" s="71">
        <v>86.01</v>
      </c>
      <c r="E27" s="71">
        <v>95.52</v>
      </c>
      <c r="F27" s="71">
        <v>3854</v>
      </c>
      <c r="G27" s="71">
        <v>3236</v>
      </c>
      <c r="H27" s="71">
        <v>3587</v>
      </c>
      <c r="I27" s="71">
        <v>2018</v>
      </c>
      <c r="J27" s="71">
        <v>4830</v>
      </c>
      <c r="K27" s="71">
        <v>2696</v>
      </c>
      <c r="L27" s="71">
        <v>3572</v>
      </c>
      <c r="M27" s="71">
        <v>254</v>
      </c>
      <c r="N27" s="71">
        <v>224</v>
      </c>
      <c r="O27" s="71">
        <v>5138</v>
      </c>
      <c r="P27" s="71">
        <v>1253</v>
      </c>
      <c r="Q27" s="90">
        <v>2696</v>
      </c>
      <c r="R27" s="71">
        <v>1316</v>
      </c>
      <c r="S27" s="71">
        <v>6645</v>
      </c>
      <c r="T27" s="71">
        <v>1764</v>
      </c>
      <c r="U27" s="71">
        <v>5735</v>
      </c>
      <c r="V27" s="71">
        <v>9623</v>
      </c>
      <c r="W27" s="71">
        <v>10766</v>
      </c>
      <c r="X27" s="71">
        <v>3035</v>
      </c>
      <c r="Y27" s="71">
        <v>1993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8" t="s" ph="1">
        <v>179</v>
      </c>
      <c r="D28" s="91" ph="1">
        <f>D27*268.68*LOOKUP(D29,密度!$A$2:$A$50,密度!$Q$2:$Q$50)+IF(D27&lt;=0,0,1566*LOOKUP(D29,密度!$A$2:$A$50,密度!$Q$2:$Q$50))</f>
        <v>23360.967416232004</v>
      </c>
      <c r="E28" s="91" ph="1">
        <f>E27*268.68*LOOKUP(E29,密度!$A$2:$A$50,密度!$C$2:$C$50)+IF(E27&lt;=0,0,1566*LOOKUP(E29,密度!$A$2:$A$50,密度!$C$2:$C$50))</f>
        <v>30195.694751040002</v>
      </c>
      <c r="F28" s="91" ph="1">
        <f>F27*11.702*LOOKUP(F29,密度!$A$2:$A$50,密度!$Q$2:$Q$50)</f>
        <v>42390.83154952</v>
      </c>
      <c r="G28" s="91" ph="1">
        <f>G27*18.322*LOOKUP(G29,密度!$A$2:$A$50,密度!$B$2:$B$50)</f>
        <v>45860.808811999996</v>
      </c>
      <c r="H28" s="91" ph="1">
        <f>H27*18.322*LOOKUP(H29,密度!$A$2:$A$50,密度!$B$2:$B$50)</f>
        <v>50835.204328999993</v>
      </c>
      <c r="I28" s="91" ph="1">
        <f>I27*18.322*LOOKUP(I29,密度!$A$2:$A$50,密度!$Q$2:$Q$50)</f>
        <v>34801.585484999996</v>
      </c>
      <c r="J28" s="91" ph="1">
        <f>J27*18.322*LOOKUP(J29,密度!$A$2:$A$50,密度!$Q$2:$Q$50)</f>
        <v>83413.862170799999</v>
      </c>
      <c r="K28" s="91" ph="1">
        <f>K27*18.322*LOOKUP(K29,密度!$A$2:$A$50,密度!$Q$2:$Q$50)</f>
        <v>46494.09042</v>
      </c>
      <c r="L28" s="91" ph="1">
        <f>L27*18.322*LOOKUP(L29,密度!$A$2:$A$50,密度!$Q$2:$Q$50)</f>
        <v>61643.760709599992</v>
      </c>
      <c r="M28" s="91" ph="1">
        <f>M27*18.322*LOOKUP(M29,密度!$A$2:$A$50,密度!$Q$2:$Q$50)</f>
        <v>4368.2781061999995</v>
      </c>
      <c r="N28" s="91" ph="1">
        <f>N27*18.322*LOOKUP(N29,密度!$A$2:$A$50,密度!$Q$2:$Q$50)</f>
        <v>3855.0074304</v>
      </c>
      <c r="O28" s="91" ph="1">
        <f>O27*18.322*LOOKUP(O29,密度!$A$2:$A$50,密度!$C$2:$C$50)</f>
        <v>103834.694908</v>
      </c>
      <c r="P28" s="91" ph="1">
        <f>P27*11.702*LOOKUP(P29,密度!$A$2:$A$50,密度!$B$2:$B$50)</f>
        <v>11329.7956562</v>
      </c>
      <c r="Q28" s="92" ph="1">
        <f>Q27*18.322*LOOKUP(Q29,密度!$A$2:$A$50,密度!$B$2:$B$50)</f>
        <v>38168.375742400007</v>
      </c>
      <c r="R28" s="91" ph="1">
        <f>R27*35.891*LOOKUP(R29,密度!$A$2:$A$50,密度!$C$2:$C$50)</f>
        <v>51998.320900399995</v>
      </c>
      <c r="S28" s="91" ph="1">
        <f>S27*35.891*LOOKUP(S29,密度!$A$2:$A$50,密度!$B$2:$B$50)</f>
        <v>184691.06620799997</v>
      </c>
      <c r="T28" s="91" ph="1">
        <f>T27*35.891*LOOKUP(T29,密度!$A$2:$A$50,密度!$Q$2:$Q$50)</f>
        <v>59550.374477159996</v>
      </c>
      <c r="U28" s="91" ph="1">
        <f>U27*35.891</f>
        <v>205834.88499999998</v>
      </c>
      <c r="V28" s="91" ph="1">
        <f>V27*47.051*LOOKUP(V29,密度!$A$2:$A$50,密度!$B$2:$B$50)</f>
        <v>350626.46101120004</v>
      </c>
      <c r="W28" s="91" ph="1">
        <f>W27*47.051*LOOKUP(W29,密度!$A$2:$A$50,密度!$B$2:$B$50)</f>
        <v>391817.24955100002</v>
      </c>
      <c r="X28" s="91" ph="1">
        <f>X27*47.051*LOOKUP(X29,密度!$A$2:$A$50,密度!$I$2:$I$50)</f>
        <v>147553.58984265002</v>
      </c>
      <c r="Y28" s="91" ph="1">
        <f>Y27*47.051*LOOKUP(Y29,密度!$A$2:$A$50,密度!$L$2:$L$50)</f>
        <v>86927.240061000019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8" t="s" ph="1">
        <v>180</v>
      </c>
      <c r="D29" s="74">
        <v>25</v>
      </c>
      <c r="E29" s="74">
        <v>25</v>
      </c>
      <c r="F29" s="74">
        <v>35</v>
      </c>
      <c r="G29" s="74">
        <v>32</v>
      </c>
      <c r="H29" s="74">
        <v>32</v>
      </c>
      <c r="I29" s="74">
        <v>33</v>
      </c>
      <c r="J29" s="74">
        <v>31</v>
      </c>
      <c r="K29" s="74">
        <v>33</v>
      </c>
      <c r="L29" s="74">
        <v>32</v>
      </c>
      <c r="M29" s="74">
        <v>37</v>
      </c>
      <c r="N29" s="74">
        <v>36</v>
      </c>
      <c r="O29" s="74">
        <v>32</v>
      </c>
      <c r="P29" s="74">
        <v>33</v>
      </c>
      <c r="Q29" s="93">
        <v>33</v>
      </c>
      <c r="R29" s="74">
        <v>34</v>
      </c>
      <c r="S29" s="74">
        <v>31</v>
      </c>
      <c r="T29" s="74">
        <v>34</v>
      </c>
      <c r="U29" s="74">
        <v>31</v>
      </c>
      <c r="V29" s="74">
        <v>31</v>
      </c>
      <c r="W29" s="74">
        <v>32</v>
      </c>
      <c r="X29" s="74">
        <v>33</v>
      </c>
      <c r="Y29" s="74">
        <v>35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8" t="s" ph="1">
        <v>5</v>
      </c>
      <c r="F32" s="179" t="s" ph="1">
        <v>43</v>
      </c>
      <c r="G32" s="97" t="s" ph="1">
        <v>4</v>
      </c>
      <c r="H32" s="178" t="s" ph="1">
        <v>5</v>
      </c>
      <c r="I32" s="179" t="s" ph="1">
        <v>43</v>
      </c>
      <c r="J32" s="97" t="s" ph="1">
        <v>4</v>
      </c>
      <c r="K32" s="178" t="s" ph="1">
        <v>5</v>
      </c>
      <c r="L32" s="179" t="s" ph="1">
        <v>43</v>
      </c>
      <c r="M32" s="97" t="s" ph="1">
        <v>4</v>
      </c>
      <c r="N32" s="178" t="s" ph="1">
        <v>5</v>
      </c>
      <c r="O32" s="17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8" t="s" ph="1">
        <v>5</v>
      </c>
      <c r="U32" s="99" t="s" ph="1">
        <v>43</v>
      </c>
      <c r="V32" s="97" t="s" ph="1">
        <v>4</v>
      </c>
      <c r="W32" s="178" t="s" ph="1">
        <v>5</v>
      </c>
      <c r="X32" s="99" t="s" ph="1">
        <v>43</v>
      </c>
      <c r="Y32" s="100" t="s" ph="1">
        <v>4</v>
      </c>
      <c r="Z32" s="178" t="s" ph="1">
        <v>5</v>
      </c>
      <c r="AA32" s="179" t="s" ph="1">
        <v>43</v>
      </c>
      <c r="AB32" s="97" t="s" ph="1">
        <v>85</v>
      </c>
      <c r="AC32" s="178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83668.227655199997</v>
      </c>
      <c r="E33" s="205" ph="1">
        <f>M10+I10</f>
        <v>175661.05266419996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31" ph="1">
        <v>0</v>
      </c>
      <c r="H33" s="205" ph="1">
        <f>N19</f>
        <v>12575.133302220001</v>
      </c>
      <c r="I33" s="209" ph="1">
        <v>0</v>
      </c>
      <c r="J33" s="213" ph="1">
        <f>F10+O28</f>
        <v>353847.82735000004</v>
      </c>
      <c r="K33" s="205" ph="1">
        <f>O10+K10+E28+R28</f>
        <v>167774.12360824001</v>
      </c>
      <c r="L33" s="215" ph="1">
        <f>BE27</f>
        <v>7100</v>
      </c>
      <c r="M33" s="213" ph="1">
        <f>G10+H10+W28+S28+V28+E10</f>
        <v>1508607.7889141999</v>
      </c>
      <c r="N33" s="205" ph="1">
        <f>L10+P10++G28+H28</f>
        <v>107479.96707699998</v>
      </c>
      <c r="O33" s="209" ph="1">
        <f>BE17</f>
        <v>2270</v>
      </c>
      <c r="P33" s="213" ph="1">
        <f>L19</f>
        <v>25973.142530078007</v>
      </c>
      <c r="Q33" s="205" ph="1">
        <f>J10+N10</f>
        <v>79444.651084659999</v>
      </c>
      <c r="R33" s="209" ph="1">
        <f>BE23</f>
        <v>890</v>
      </c>
      <c r="S33" s="213" ph="1">
        <f>E10+X28</f>
        <v>454504.62362165004</v>
      </c>
      <c r="T33" s="205" ph="1">
        <f>X19</f>
        <v>4953.0656139839994</v>
      </c>
      <c r="U33" s="194" ph="1">
        <f>BE21</f>
        <v>730</v>
      </c>
      <c r="V33" s="207" ph="1">
        <f ca="1">P19+Q19+S19+M28+N28+J28</f>
        <v>93890.513903095998</v>
      </c>
      <c r="W33" s="207" ph="1">
        <f>D28+F28+V19+T28</f>
        <v>157726.216081172</v>
      </c>
      <c r="X33" s="209" ph="1">
        <f>BE29+BE31</f>
        <v>10200</v>
      </c>
      <c r="Y33" s="211" ph="1">
        <f>+Q10+R10+S10+T10+U10+V10+W10+X10+Y10</f>
        <v>108815.35729680001</v>
      </c>
      <c r="Z33" s="192" ph="1">
        <f>D10+T19+U19+Y28+Z10</f>
        <v>471577.87391184003</v>
      </c>
      <c r="AA33" s="194" ph="1">
        <f>BE19</f>
        <v>1440</v>
      </c>
      <c r="AB33" s="196" ph="1">
        <f>I19</f>
        <v>48697.071352999992</v>
      </c>
      <c r="AC33" s="198" ph="1">
        <f>AD10</f>
        <v>86404.703817600006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80" t="s" ph="1">
        <v>186</v>
      </c>
      <c r="AA36" s="180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8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0" t="s" ph="1">
        <v>345</v>
      </c>
      <c r="AI37" s="180" t="s" ph="1">
        <v>212</v>
      </c>
      <c r="AJ37" s="180" t="s" ph="1">
        <v>213</v>
      </c>
      <c r="AK37" s="180" t="s" ph="1">
        <v>214</v>
      </c>
      <c r="AM37" s="180" t="s" ph="1">
        <v>213</v>
      </c>
      <c r="AN37" s="180" t="s" ph="1">
        <v>214</v>
      </c>
      <c r="AO37" s="180" t="s" ph="1">
        <v>215</v>
      </c>
      <c r="AP37" s="180" t="s" ph="1">
        <v>213</v>
      </c>
      <c r="AQ37" s="180" t="s" ph="1">
        <v>214</v>
      </c>
      <c r="AR37" s="180" t="s" ph="1">
        <v>215</v>
      </c>
      <c r="AS37" s="180" t="s" ph="1">
        <v>213</v>
      </c>
      <c r="AT37" s="180" t="s" ph="1">
        <v>214</v>
      </c>
      <c r="AU37" s="180" t="s" ph="1">
        <v>215</v>
      </c>
      <c r="AV37" s="180" t="s" ph="1">
        <v>213</v>
      </c>
      <c r="AW37" s="180" t="s" ph="1">
        <v>214</v>
      </c>
      <c r="AX37" s="180" t="s" ph="1">
        <v>215</v>
      </c>
      <c r="AY37" s="180" t="s" ph="1">
        <v>214</v>
      </c>
      <c r="AZ37" s="180" t="s" ph="1">
        <v>216</v>
      </c>
      <c r="BD37" s="180" t="s" ph="1">
        <v>308</v>
      </c>
      <c r="BE37" s="18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3" priority="97">
      <formula>ABS(D$7-D$10)&gt;=1000</formula>
    </cfRule>
  </conditionalFormatting>
  <conditionalFormatting sqref="E4 E6:E11">
    <cfRule type="expression" dxfId="252" priority="96">
      <formula>ABS(E$7-E$10)&gt;=1000</formula>
    </cfRule>
  </conditionalFormatting>
  <conditionalFormatting sqref="F4:F11">
    <cfRule type="expression" dxfId="251" priority="95">
      <formula>ABS(F$7-F$10)&gt;=1000</formula>
    </cfRule>
  </conditionalFormatting>
  <conditionalFormatting sqref="G4:G11">
    <cfRule type="expression" dxfId="250" priority="94">
      <formula>ABS(G$7-G$10)&gt;=1000</formula>
    </cfRule>
  </conditionalFormatting>
  <conditionalFormatting sqref="H4:H11">
    <cfRule type="expression" dxfId="249" priority="93">
      <formula>ABS(H$7-H$10)&gt;=1000</formula>
    </cfRule>
  </conditionalFormatting>
  <conditionalFormatting sqref="I4:I11">
    <cfRule type="expression" dxfId="248" priority="92">
      <formula>ABS(I$7-I$10)&gt;=1000</formula>
    </cfRule>
  </conditionalFormatting>
  <conditionalFormatting sqref="J4:J11">
    <cfRule type="expression" dxfId="247" priority="91">
      <formula>ABS(J$7-J$10)&gt;=1000</formula>
    </cfRule>
  </conditionalFormatting>
  <conditionalFormatting sqref="K4:K11">
    <cfRule type="expression" dxfId="246" priority="90">
      <formula>ABS(K$7-K$10)&gt;=1000</formula>
    </cfRule>
  </conditionalFormatting>
  <conditionalFormatting sqref="L4:L11">
    <cfRule type="expression" dxfId="245" priority="89">
      <formula>ABS(L$7-L$10)&gt;=1000</formula>
    </cfRule>
  </conditionalFormatting>
  <conditionalFormatting sqref="M4 M6:M11">
    <cfRule type="expression" dxfId="244" priority="88">
      <formula>ABS(M$7-M$10)&gt;=1000</formula>
    </cfRule>
  </conditionalFormatting>
  <conditionalFormatting sqref="N4 N6:N11">
    <cfRule type="expression" dxfId="243" priority="87">
      <formula>ABS(N$7-N$10)&gt;=1000</formula>
    </cfRule>
  </conditionalFormatting>
  <conditionalFormatting sqref="O4 O6:O11">
    <cfRule type="expression" dxfId="242" priority="86">
      <formula>ABS(O$7-O$10)&gt;=1000</formula>
    </cfRule>
  </conditionalFormatting>
  <conditionalFormatting sqref="P4 P6:P11">
    <cfRule type="expression" dxfId="241" priority="85">
      <formula>ABS(P$7-P$10)&gt;=1000</formula>
    </cfRule>
  </conditionalFormatting>
  <conditionalFormatting sqref="Q4:Q11">
    <cfRule type="expression" dxfId="240" priority="84">
      <formula>ABS(Q$7-Q$10)&gt;=1000</formula>
    </cfRule>
  </conditionalFormatting>
  <conditionalFormatting sqref="R4:R11">
    <cfRule type="expression" dxfId="239" priority="83">
      <formula>ABS(R$7-R$10)&gt;=1000</formula>
    </cfRule>
  </conditionalFormatting>
  <conditionalFormatting sqref="S4:S11">
    <cfRule type="expression" dxfId="238" priority="82">
      <formula>ABS(S$7-S$10)&gt;=1000</formula>
    </cfRule>
  </conditionalFormatting>
  <conditionalFormatting sqref="T4:T9 T11">
    <cfRule type="expression" dxfId="237" priority="81">
      <formula>ABS(T$7-T$10)&gt;=1000</formula>
    </cfRule>
  </conditionalFormatting>
  <conditionalFormatting sqref="U4:U9 U11">
    <cfRule type="expression" dxfId="236" priority="80">
      <formula>ABS(U$7-U$10)&gt;=1000</formula>
    </cfRule>
  </conditionalFormatting>
  <conditionalFormatting sqref="V4:V9 V11">
    <cfRule type="expression" dxfId="235" priority="79">
      <formula>ABS(V$7-V$10)&gt;=1000</formula>
    </cfRule>
  </conditionalFormatting>
  <conditionalFormatting sqref="W4:W9 W11">
    <cfRule type="expression" dxfId="234" priority="78">
      <formula>ABS(W$7-W$10)&gt;=1000</formula>
    </cfRule>
  </conditionalFormatting>
  <conditionalFormatting sqref="X4:X9 X11">
    <cfRule type="expression" dxfId="233" priority="77">
      <formula>ABS(X$7-X$10)&gt;=1000</formula>
    </cfRule>
  </conditionalFormatting>
  <conditionalFormatting sqref="Y4:Y9 Y11">
    <cfRule type="expression" dxfId="232" priority="76">
      <formula>ABS(Y$7-Y$10)&gt;=1000</formula>
    </cfRule>
  </conditionalFormatting>
  <conditionalFormatting sqref="Z4:Z11">
    <cfRule type="expression" dxfId="231" priority="75">
      <formula>ABS(Z$7-Z$10)&gt;=1000</formula>
    </cfRule>
  </conditionalFormatting>
  <conditionalFormatting sqref="AA4:AA11">
    <cfRule type="expression" dxfId="230" priority="74">
      <formula>ABS(AA$7-AA$10)&gt;=1000</formula>
    </cfRule>
  </conditionalFormatting>
  <conditionalFormatting sqref="AB4:AB11">
    <cfRule type="expression" dxfId="229" priority="73">
      <formula>ABS(AB$7-AB$10)&gt;=1000</formula>
    </cfRule>
  </conditionalFormatting>
  <conditionalFormatting sqref="AC4 AC6:AC11">
    <cfRule type="expression" dxfId="228" priority="72">
      <formula>ABS(AC$7-AC$10)&gt;=1000</formula>
    </cfRule>
  </conditionalFormatting>
  <conditionalFormatting sqref="AD4:AD11">
    <cfRule type="expression" dxfId="227" priority="71">
      <formula>ABS(AD$7-AD$10)&gt;=1000</formula>
    </cfRule>
  </conditionalFormatting>
  <conditionalFormatting sqref="AE4:AE11">
    <cfRule type="expression" dxfId="226" priority="70">
      <formula>ABS(AE$7-AE$10)&gt;=1000</formula>
    </cfRule>
  </conditionalFormatting>
  <conditionalFormatting sqref="D13:D20">
    <cfRule type="expression" dxfId="225" priority="69">
      <formula>ABS(D$16-D$19)&gt;=1000</formula>
    </cfRule>
  </conditionalFormatting>
  <conditionalFormatting sqref="E13:E20">
    <cfRule type="expression" dxfId="224" priority="68">
      <formula>ABS(E$16-E$19)&gt;=1000</formula>
    </cfRule>
  </conditionalFormatting>
  <conditionalFormatting sqref="F13 F15:F20">
    <cfRule type="expression" dxfId="223" priority="67">
      <formula>ABS(F$16-F$19)&gt;=1000</formula>
    </cfRule>
  </conditionalFormatting>
  <conditionalFormatting sqref="G13:G20">
    <cfRule type="expression" dxfId="222" priority="66">
      <formula>ABS(G$16-G$19)&gt;=1000</formula>
    </cfRule>
  </conditionalFormatting>
  <conditionalFormatting sqref="H13:H20">
    <cfRule type="expression" dxfId="221" priority="65">
      <formula>ABS(H$16-H$19)&gt;=1000</formula>
    </cfRule>
  </conditionalFormatting>
  <conditionalFormatting sqref="I13:I20">
    <cfRule type="expression" dxfId="220" priority="64">
      <formula>ABS(I$16-I$19)&gt;=1000</formula>
    </cfRule>
  </conditionalFormatting>
  <conditionalFormatting sqref="J13:J20">
    <cfRule type="expression" dxfId="219" priority="63">
      <formula>ABS(J$16-J$19)&gt;=1000</formula>
    </cfRule>
  </conditionalFormatting>
  <conditionalFormatting sqref="L13:L20">
    <cfRule type="expression" dxfId="218" priority="62">
      <formula>ABS(L$16-L$19)&gt;=1000</formula>
    </cfRule>
  </conditionalFormatting>
  <conditionalFormatting sqref="M13 M15 M17:M18 M20">
    <cfRule type="expression" dxfId="217" priority="61">
      <formula>ABS(M$16-M$19)&gt;=1000</formula>
    </cfRule>
  </conditionalFormatting>
  <conditionalFormatting sqref="N13:N20">
    <cfRule type="expression" dxfId="216" priority="60">
      <formula>ABS(N$16-N$19)&gt;=1000</formula>
    </cfRule>
  </conditionalFormatting>
  <conditionalFormatting sqref="O13:O20">
    <cfRule type="expression" dxfId="215" priority="59">
      <formula>ABS(O$16-O$19)&gt;=1000</formula>
    </cfRule>
  </conditionalFormatting>
  <conditionalFormatting sqref="P13:P20">
    <cfRule type="expression" dxfId="214" priority="58">
      <formula>ABS(P$16-P$19)&gt;=1000</formula>
    </cfRule>
  </conditionalFormatting>
  <conditionalFormatting sqref="Q13 Q15:Q20">
    <cfRule type="expression" dxfId="213" priority="57">
      <formula>ABS(Q$16-Q$19)&gt;=1000</formula>
    </cfRule>
  </conditionalFormatting>
  <conditionalFormatting sqref="R13:R20">
    <cfRule type="expression" dxfId="212" priority="56">
      <formula>ABS(R$16-R$19)&gt;=1000</formula>
    </cfRule>
  </conditionalFormatting>
  <conditionalFormatting sqref="S13:S20">
    <cfRule type="expression" dxfId="211" priority="55">
      <formula>ABS(S$16-S$19)&gt;=1000</formula>
    </cfRule>
  </conditionalFormatting>
  <conditionalFormatting sqref="T13:T20">
    <cfRule type="expression" dxfId="210" priority="54">
      <formula>ABS(T$16-T$19)&gt;=1000</formula>
    </cfRule>
  </conditionalFormatting>
  <conditionalFormatting sqref="U13:U20">
    <cfRule type="expression" dxfId="209" priority="53">
      <formula>ABS(U$16-U$19)&gt;=1000</formula>
    </cfRule>
  </conditionalFormatting>
  <conditionalFormatting sqref="V13:V20">
    <cfRule type="expression" dxfId="208" priority="52">
      <formula>ABS(V$16-V$19)&gt;=1000</formula>
    </cfRule>
  </conditionalFormatting>
  <conditionalFormatting sqref="W13 W20 W15:W18">
    <cfRule type="expression" dxfId="207" priority="51">
      <formula>ABS(W$16-W$19)&gt;=1000</formula>
    </cfRule>
  </conditionalFormatting>
  <conditionalFormatting sqref="X13 X15:X20 Y19">
    <cfRule type="expression" dxfId="206" priority="50">
      <formula>ABS(X$16-X$19)&gt;=1000</formula>
    </cfRule>
  </conditionalFormatting>
  <conditionalFormatting sqref="Y13 Y15:Y18 Y20">
    <cfRule type="expression" dxfId="205" priority="49">
      <formula>ABS(Y$16-Y$19)&gt;=1000</formula>
    </cfRule>
  </conditionalFormatting>
  <conditionalFormatting sqref="Z13:Z20">
    <cfRule type="expression" dxfId="204" priority="48">
      <formula>ABS(Z$16-Z$19)&gt;=1000</formula>
    </cfRule>
  </conditionalFormatting>
  <conditionalFormatting sqref="AA13:AA20">
    <cfRule type="expression" dxfId="203" priority="47">
      <formula>ABS(AA$16-AA$19)&gt;=1000</formula>
    </cfRule>
  </conditionalFormatting>
  <conditionalFormatting sqref="AB13 AB15:AB20">
    <cfRule type="expression" dxfId="202" priority="46">
      <formula>ABS(AB$16-AB$19)&gt;=1000</formula>
    </cfRule>
  </conditionalFormatting>
  <conditionalFormatting sqref="AC13 AC15:AC20">
    <cfRule type="expression" dxfId="201" priority="45">
      <formula>ABS(AC$16-AC$19)&gt;=1000</formula>
    </cfRule>
  </conditionalFormatting>
  <conditionalFormatting sqref="AD13:AD20">
    <cfRule type="expression" dxfId="200" priority="44">
      <formula>ABS(AD$16-AD$19)&gt;=1000</formula>
    </cfRule>
  </conditionalFormatting>
  <conditionalFormatting sqref="AE13:AE20">
    <cfRule type="expression" dxfId="199" priority="43">
      <formula>ABS(AE$16-AE$19)&gt;=1000</formula>
    </cfRule>
  </conditionalFormatting>
  <conditionalFormatting sqref="D22:D29">
    <cfRule type="expression" dxfId="198" priority="42">
      <formula>ABS(D$25-D$28)&gt;=1000</formula>
    </cfRule>
  </conditionalFormatting>
  <conditionalFormatting sqref="E22:E29">
    <cfRule type="expression" dxfId="197" priority="41">
      <formula>ABS(E$25-E$28)&gt;=1000</formula>
    </cfRule>
  </conditionalFormatting>
  <conditionalFormatting sqref="F22:F29">
    <cfRule type="expression" dxfId="196" priority="40">
      <formula>ABS(F$25-F$28)&gt;=1000</formula>
    </cfRule>
  </conditionalFormatting>
  <conditionalFormatting sqref="G22:G29">
    <cfRule type="expression" dxfId="195" priority="39">
      <formula>ABS(G$25-G$28)&gt;=1000</formula>
    </cfRule>
  </conditionalFormatting>
  <conditionalFormatting sqref="H22:H29">
    <cfRule type="expression" dxfId="194" priority="38">
      <formula>ABS(H$25-H$28)&gt;=1000</formula>
    </cfRule>
  </conditionalFormatting>
  <conditionalFormatting sqref="I22 I24:I29">
    <cfRule type="expression" dxfId="193" priority="37">
      <formula>ABS(I$25-I$28)&gt;=1000</formula>
    </cfRule>
  </conditionalFormatting>
  <conditionalFormatting sqref="J22:J29 K22">
    <cfRule type="expression" dxfId="192" priority="36">
      <formula>ABS(J$25-J$28)&gt;=1000</formula>
    </cfRule>
  </conditionalFormatting>
  <conditionalFormatting sqref="K23:K29 L25 L28">
    <cfRule type="expression" dxfId="191" priority="35">
      <formula>ABS(K$25-K$28)&gt;=1000</formula>
    </cfRule>
  </conditionalFormatting>
  <conditionalFormatting sqref="L22 L26:L27 L29 L24">
    <cfRule type="expression" dxfId="190" priority="34">
      <formula>ABS(L$25-L$28)&gt;=1000</formula>
    </cfRule>
  </conditionalFormatting>
  <conditionalFormatting sqref="M22:M29">
    <cfRule type="expression" dxfId="189" priority="33">
      <formula>ABS(M$25-M$28)&gt;=1000</formula>
    </cfRule>
  </conditionalFormatting>
  <conditionalFormatting sqref="N22:N29">
    <cfRule type="expression" dxfId="188" priority="32">
      <formula>ABS(N$25-N$28)&gt;=1000</formula>
    </cfRule>
  </conditionalFormatting>
  <conditionalFormatting sqref="O22:O29">
    <cfRule type="expression" dxfId="187" priority="31">
      <formula>ABS(O$25-O$28)&gt;=1000</formula>
    </cfRule>
  </conditionalFormatting>
  <conditionalFormatting sqref="P22:P29">
    <cfRule type="expression" dxfId="186" priority="30">
      <formula>ABS(P$25-P$28)&gt;=1000</formula>
    </cfRule>
  </conditionalFormatting>
  <conditionalFormatting sqref="Q22:Q29">
    <cfRule type="expression" dxfId="185" priority="29">
      <formula>ABS(Q$25-Q$28)&gt;=1000</formula>
    </cfRule>
  </conditionalFormatting>
  <conditionalFormatting sqref="R22:R29">
    <cfRule type="expression" dxfId="184" priority="28">
      <formula>ABS(R$25-R$28)&gt;=1000</formula>
    </cfRule>
  </conditionalFormatting>
  <conditionalFormatting sqref="S22:S29">
    <cfRule type="expression" dxfId="183" priority="27">
      <formula>ABS(S$25-S$28)&gt;=1000</formula>
    </cfRule>
  </conditionalFormatting>
  <conditionalFormatting sqref="T22:T29">
    <cfRule type="expression" dxfId="182" priority="26">
      <formula>ABS(T$25-T$28)&gt;=1000</formula>
    </cfRule>
  </conditionalFormatting>
  <conditionalFormatting sqref="U22:U29">
    <cfRule type="expression" dxfId="181" priority="25">
      <formula>ABS(U$25-U$28)&gt;=1000</formula>
    </cfRule>
  </conditionalFormatting>
  <conditionalFormatting sqref="V22:V29">
    <cfRule type="expression" dxfId="180" priority="24">
      <formula>ABS(V$25-V$28)&gt;=1000</formula>
    </cfRule>
  </conditionalFormatting>
  <conditionalFormatting sqref="W22:W29">
    <cfRule type="expression" dxfId="179" priority="23">
      <formula>ABS(W$25-W$28)&gt;=1000</formula>
    </cfRule>
  </conditionalFormatting>
  <conditionalFormatting sqref="X22:X29">
    <cfRule type="expression" dxfId="178" priority="22">
      <formula>ABS(X$25-X$28)&gt;=1000</formula>
    </cfRule>
  </conditionalFormatting>
  <conditionalFormatting sqref="Y22:Y29">
    <cfRule type="expression" dxfId="177" priority="21">
      <formula>ABS(Y$25-Y$28)&gt;=1000</formula>
    </cfRule>
  </conditionalFormatting>
  <conditionalFormatting sqref="I23">
    <cfRule type="expression" dxfId="176" priority="20">
      <formula>ABS(I$25-I$28)&gt;=1000</formula>
    </cfRule>
  </conditionalFormatting>
  <conditionalFormatting sqref="F14">
    <cfRule type="expression" dxfId="175" priority="19">
      <formula>ABS(F$16-F$19)&gt;=1000</formula>
    </cfRule>
  </conditionalFormatting>
  <conditionalFormatting sqref="Q14">
    <cfRule type="expression" dxfId="174" priority="18">
      <formula>ABS(Q$16-Q$19)&gt;=1000</formula>
    </cfRule>
  </conditionalFormatting>
  <conditionalFormatting sqref="W14">
    <cfRule type="expression" dxfId="173" priority="17">
      <formula>ABS(W$16-W$19)&gt;=1000</formula>
    </cfRule>
  </conditionalFormatting>
  <conditionalFormatting sqref="Y14">
    <cfRule type="expression" dxfId="172" priority="16">
      <formula>ABS(Y$16-Y$19)&gt;=1000</formula>
    </cfRule>
  </conditionalFormatting>
  <conditionalFormatting sqref="X14">
    <cfRule type="expression" dxfId="171" priority="15">
      <formula>ABS(X$16-X$19)&gt;=1000</formula>
    </cfRule>
  </conditionalFormatting>
  <conditionalFormatting sqref="T10:Y10">
    <cfRule type="expression" dxfId="170" priority="14">
      <formula>ABS(T$7-T$10)&gt;=1000</formula>
    </cfRule>
  </conditionalFormatting>
  <conditionalFormatting sqref="W19">
    <cfRule type="expression" dxfId="169" priority="13">
      <formula>ABS(W$16-W$19)&gt;=1000</formula>
    </cfRule>
  </conditionalFormatting>
  <conditionalFormatting sqref="AC5">
    <cfRule type="expression" dxfId="168" priority="12">
      <formula>ABS(AC$7-AC$10)&gt;=1000</formula>
    </cfRule>
  </conditionalFormatting>
  <conditionalFormatting sqref="M14">
    <cfRule type="expression" dxfId="167" priority="11">
      <formula>ABS(M$16-M$19)&gt;=1000</formula>
    </cfRule>
  </conditionalFormatting>
  <conditionalFormatting sqref="M16">
    <cfRule type="expression" dxfId="166" priority="10">
      <formula>ABS(M$16-M$19)&gt;=1000</formula>
    </cfRule>
  </conditionalFormatting>
  <conditionalFormatting sqref="M19">
    <cfRule type="expression" dxfId="165" priority="9">
      <formula>ABS(M$16-M$19)&gt;=1000</formula>
    </cfRule>
  </conditionalFormatting>
  <conditionalFormatting sqref="K13:K20">
    <cfRule type="expression" dxfId="164" priority="8">
      <formula>ABS(K$16-K$19)&gt;=1000</formula>
    </cfRule>
  </conditionalFormatting>
  <conditionalFormatting sqref="E5">
    <cfRule type="expression" dxfId="163" priority="7">
      <formula>ABS(E$7-E$10)&gt;=1000</formula>
    </cfRule>
  </conditionalFormatting>
  <conditionalFormatting sqref="AB14:AC14">
    <cfRule type="expression" dxfId="162" priority="6">
      <formula>ABS(AB$16-AB$19)&gt;=1000</formula>
    </cfRule>
  </conditionalFormatting>
  <conditionalFormatting sqref="M5">
    <cfRule type="expression" dxfId="161" priority="5">
      <formula>ABS(M$7-M$10)&gt;=1000</formula>
    </cfRule>
  </conditionalFormatting>
  <conditionalFormatting sqref="N5">
    <cfRule type="expression" dxfId="160" priority="4">
      <formula>ABS(N$7-N$10)&gt;=1000</formula>
    </cfRule>
  </conditionalFormatting>
  <conditionalFormatting sqref="O5">
    <cfRule type="expression" dxfId="159" priority="3">
      <formula>ABS(O$7-O$10)&gt;=1000</formula>
    </cfRule>
  </conditionalFormatting>
  <conditionalFormatting sqref="P5">
    <cfRule type="expression" dxfId="158" priority="2">
      <formula>ABS(P$7-P$10)&gt;=1000</formula>
    </cfRule>
  </conditionalFormatting>
  <conditionalFormatting sqref="L23">
    <cfRule type="expression" dxfId="15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25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9">
    <pageSetUpPr fitToPage="1"/>
  </sheetPr>
  <dimension ref="A1:CU223"/>
  <sheetViews>
    <sheetView tabSelected="1" view="pageBreakPreview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57" t="s" ph="1">
        <v>162</v>
      </c>
      <c r="C1" s="257" ph="1"/>
      <c r="D1" s="257" ph="1"/>
      <c r="E1" s="257" ph="1"/>
      <c r="F1" s="257" ph="1"/>
      <c r="G1" s="257" ph="1"/>
      <c r="H1" s="257" ph="1"/>
      <c r="I1" s="257" ph="1"/>
      <c r="J1" s="257" ph="1"/>
      <c r="K1" s="257" ph="1"/>
      <c r="L1" s="257" ph="1"/>
      <c r="M1" s="257" ph="1"/>
      <c r="N1" s="257" ph="1"/>
      <c r="O1" s="257" ph="1"/>
      <c r="P1" s="257" ph="1"/>
      <c r="Q1" s="257" ph="1"/>
      <c r="R1" s="257" ph="1"/>
      <c r="S1" s="257" ph="1"/>
      <c r="T1" s="257" ph="1"/>
      <c r="U1" s="257" ph="1"/>
      <c r="V1" s="257" ph="1"/>
      <c r="W1" s="257" ph="1"/>
      <c r="X1" s="257" ph="1"/>
      <c r="Y1" s="257" ph="1"/>
      <c r="Z1" s="257" ph="1"/>
      <c r="AA1" s="257" ph="1"/>
      <c r="AB1" s="257" ph="1"/>
      <c r="AC1" s="257" ph="1"/>
      <c r="AD1" s="257" ph="1"/>
      <c r="AE1" s="257" ph="1"/>
    </row>
    <row r="2" spans="1:99" s="66" customFormat="1" ht="24" customHeight="1" ph="1">
      <c r="B2" s="258" t="s" ph="1">
        <v>82</v>
      </c>
      <c r="C2" s="258" ph="1"/>
      <c r="D2" s="258" ph="1"/>
      <c r="E2" s="258" ph="1"/>
      <c r="F2" s="258" ph="1"/>
      <c r="G2" s="258" ph="1"/>
      <c r="H2" s="258" ph="1"/>
      <c r="I2" s="258" ph="1"/>
      <c r="J2" s="258" ph="1"/>
      <c r="K2" s="258" ph="1"/>
      <c r="L2" s="258" ph="1"/>
      <c r="M2" s="258" ph="1"/>
      <c r="N2" s="258" ph="1"/>
      <c r="O2" s="258" ph="1"/>
      <c r="P2" s="258" ph="1"/>
      <c r="Q2" s="258" ph="1"/>
      <c r="R2" s="258" ph="1"/>
      <c r="S2" s="258" ph="1"/>
      <c r="T2" s="258" ph="1"/>
      <c r="U2" s="258" ph="1"/>
      <c r="V2" s="258" ph="1"/>
      <c r="W2" s="258" ph="1"/>
      <c r="X2" s="258" ph="1"/>
      <c r="Y2" s="258" ph="1"/>
      <c r="Z2" s="258" ph="1"/>
      <c r="AA2" s="258" ph="1"/>
      <c r="AB2" s="258" ph="1"/>
      <c r="AC2" s="258" ph="1"/>
      <c r="AD2" s="258" ph="1"/>
      <c r="AE2" s="258" ph="1"/>
    </row>
    <row r="3" spans="1:99" ht="21" customHeight="1" ph="1">
      <c r="B3" s="259" ph="1">
        <v>45838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</row>
    <row r="4" spans="1:99" s="69" customFormat="1" ph="1">
      <c r="A4" s="65" ph="1"/>
      <c r="B4" s="238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38" ph="1"/>
      <c r="C5" s="67" t="s" ph="1">
        <v>36</v>
      </c>
      <c r="D5" s="70" t="s" ph="1">
        <v>161</v>
      </c>
      <c r="E5" s="70" t="s" ph="1">
        <v>641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56" ph="1">
        <v>0.33333333333333331</v>
      </c>
      <c r="C6" s="178" t="s" ph="1">
        <v>178</v>
      </c>
      <c r="D6" s="71">
        <v>115</v>
      </c>
      <c r="E6" s="71">
        <v>8138</v>
      </c>
      <c r="F6" s="71">
        <v>6831</v>
      </c>
      <c r="G6" s="71">
        <v>127</v>
      </c>
      <c r="H6" s="71">
        <v>4596</v>
      </c>
      <c r="I6" s="71">
        <v>51.72</v>
      </c>
      <c r="J6" s="71">
        <v>7.73</v>
      </c>
      <c r="K6" s="71">
        <v>7.01</v>
      </c>
      <c r="L6" s="71">
        <v>30.02</v>
      </c>
      <c r="M6" s="71">
        <v>4757</v>
      </c>
      <c r="N6" s="71">
        <v>3022</v>
      </c>
      <c r="O6" s="71">
        <v>3714</v>
      </c>
      <c r="P6" s="71">
        <v>498</v>
      </c>
      <c r="Q6" s="71">
        <v>5067</v>
      </c>
      <c r="R6" s="71">
        <v>2050</v>
      </c>
      <c r="S6" s="71">
        <v>0</v>
      </c>
      <c r="T6" s="71">
        <v>0</v>
      </c>
      <c r="U6" s="71">
        <v>0</v>
      </c>
      <c r="V6" s="71">
        <v>0</v>
      </c>
      <c r="W6" s="71">
        <v>7001</v>
      </c>
      <c r="X6" s="71">
        <v>7079</v>
      </c>
      <c r="Y6" s="71">
        <v>4722</v>
      </c>
      <c r="Z6" s="71">
        <v>5182</v>
      </c>
      <c r="AA6" s="71">
        <v>558</v>
      </c>
      <c r="AB6" s="71">
        <v>3105</v>
      </c>
      <c r="AC6" s="71">
        <v>5503</v>
      </c>
      <c r="AD6" s="71">
        <v>4414</v>
      </c>
      <c r="AE6" s="71">
        <v>2854</v>
      </c>
    </row>
    <row r="7" spans="1:99" s="72" customFormat="1" ht="22.2" ph="1">
      <c r="B7" s="256" ph="1"/>
      <c r="C7" s="68" t="s" ph="1">
        <v>179</v>
      </c>
      <c r="D7" s="73" ph="1">
        <f>D6*33.183*LOOKUP(D8,密度!$A$2:$A$50,密度!$Q$2:$Q$50)</f>
        <v>3604.7124279</v>
      </c>
      <c r="E7" s="73" ph="1">
        <f>E6*51.53*LOOKUP(E8,密度!$A$2:$A$50,密度!$B$2:$B$50)</f>
        <v>325122.93884200003</v>
      </c>
      <c r="F7" s="73" ph="1">
        <f>F6*33.183*LOOKUP(F8,密度!$A$2:$A$50,密度!$C$2:$C$50)</f>
        <v>250836.4225818</v>
      </c>
      <c r="G7" s="73" ph="1">
        <f xml:space="preserve"> (G6+2)*51.53*LOOKUP(G8,密度!$A$2:$A$50,密度!$B$2:$B$50)</f>
        <v>5170.9891230000003</v>
      </c>
      <c r="H7" s="73" ph="1">
        <f>(H6)*51.53*LOOKUP(H8,密度!$A$2:$A$50,密度!$B$2:$B$50)</f>
        <v>184634.13364799999</v>
      </c>
      <c r="I7" s="73" ph="1">
        <f>I6*290.8*1.0267</f>
        <v>15441.748699199999</v>
      </c>
      <c r="J7" s="73" ph="1">
        <f>J6*290.8*0.7892</f>
        <v>1774.0300528</v>
      </c>
      <c r="K7" s="73" ph="1">
        <f>K6*290.8*1.1126</f>
        <v>2268.0440008</v>
      </c>
      <c r="L7" s="73" ph="1">
        <f>L6*290.8*0.777</f>
        <v>6783.0670320000008</v>
      </c>
      <c r="M7" s="73" ph="1">
        <f>M6*33.183*LOOKUP(M8,密度!$A$2:$A$50,密度!$D$2:$D$50)</f>
        <v>161324.26468199998</v>
      </c>
      <c r="N7" s="73" ph="1">
        <f>N6*33.183*LOOKUP(N8,密度!$A$2:$A$50,密度!$E$2:$E$50)</f>
        <v>77976.970617599989</v>
      </c>
      <c r="O7" s="73" ph="1">
        <f>O6*20.428*LOOKUP(O8,密度!$A$2:$A$50,密度!$C$2:$C$50)</f>
        <v>83608.290384000007</v>
      </c>
      <c r="P7" s="73" ph="1">
        <f>P6*51.53*LOOKUP(P8,密度!$A$2:$A$50,密度!$B$2:$B$50)</f>
        <v>19962.423126000002</v>
      </c>
      <c r="Q7" s="73" ph="1">
        <f>Q6*1.5*1.5*3.1416*LOOKUP(W8,密度!$A$2:$A$50,密度!$L$2:$L$50)</f>
        <v>33381.067658400003</v>
      </c>
      <c r="R7" s="73" ph="1">
        <f>R6*1.5*1.5*3.1416*LOOKUP(R8,密度!$A$2:$A$50,密度!$L$2:$L$50)</f>
        <v>13461.795270000001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46122.134335199997</v>
      </c>
      <c r="X7" s="73" ph="1">
        <f>X6*1.5*1.5*3.1416*LOOKUP(X8,密度!$A$2:$A$50,密度!$L$2:$L$50)</f>
        <v>46886.186377799997</v>
      </c>
      <c r="Y7" s="73" ph="1">
        <f>Y6*1.5*1.5*3.1416*LOOKUP(Y8,密度!$A$2:$A$50,密度!$L$2:$L$50)</f>
        <v>31174.9858728</v>
      </c>
      <c r="Z7" s="73" ph="1">
        <f>Z6*33.183*LOOKUP(Z8,密度!$A$2:$A$50,密度!$L$2:$L$50)</f>
        <v>160605.32180400001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65243.007683999997</v>
      </c>
      <c r="AC7" s="73" ph="1">
        <f>AC6*51.53*LOOKUP(AC8,密度!$A$2:$A$50,密度!$Q$2:$Q$50)</f>
        <v>267865.50610580004</v>
      </c>
      <c r="AD7" s="73" ph="1">
        <f>AD6*20.428*LOOKUP(AD8,密度!$A$2:$A$50,密度!$V$2:$V$50)</f>
        <v>86346.018259200006</v>
      </c>
      <c r="AE7" s="73" ph="1">
        <f>AE6*20.428</f>
        <v>58301.512000000002</v>
      </c>
    </row>
    <row r="8" spans="1:99" ph="1">
      <c r="B8" s="256" ph="1"/>
      <c r="C8" s="68" t="s" ph="1">
        <v>180</v>
      </c>
      <c r="D8" s="74">
        <v>28</v>
      </c>
      <c r="E8" s="74">
        <v>30</v>
      </c>
      <c r="F8" s="74">
        <v>28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27</v>
      </c>
      <c r="R8" s="74">
        <v>33</v>
      </c>
      <c r="S8" s="74">
        <v>25</v>
      </c>
      <c r="T8" s="74">
        <v>24</v>
      </c>
      <c r="U8" s="74">
        <v>28</v>
      </c>
      <c r="V8" s="74">
        <v>27</v>
      </c>
      <c r="W8" s="74">
        <v>30</v>
      </c>
      <c r="X8" s="74">
        <v>25</v>
      </c>
      <c r="Y8" s="74">
        <v>28</v>
      </c>
      <c r="Z8" s="74">
        <v>28</v>
      </c>
      <c r="AA8" s="74">
        <v>27</v>
      </c>
      <c r="AB8" s="74">
        <v>23</v>
      </c>
      <c r="AC8" s="74">
        <v>28</v>
      </c>
      <c r="AD8" s="74">
        <v>28</v>
      </c>
      <c r="AE8" s="74">
        <v>35</v>
      </c>
    </row>
    <row r="9" spans="1:99" ht="26.4" ph="1">
      <c r="B9" s="256" ph="1">
        <v>0.66666666666666663</v>
      </c>
      <c r="C9" s="178" t="s" ph="1">
        <v>181</v>
      </c>
      <c r="D9" s="71">
        <v>155</v>
      </c>
      <c r="E9" s="71">
        <v>8138</v>
      </c>
      <c r="F9" s="71">
        <v>6834</v>
      </c>
      <c r="G9" s="71">
        <v>2750</v>
      </c>
      <c r="H9" s="71">
        <v>4291</v>
      </c>
      <c r="I9" s="71">
        <v>51.81</v>
      </c>
      <c r="J9" s="71">
        <v>7.82</v>
      </c>
      <c r="K9" s="71">
        <v>7.01</v>
      </c>
      <c r="L9" s="71">
        <v>13.81</v>
      </c>
      <c r="M9" s="71">
        <v>4757</v>
      </c>
      <c r="N9" s="71">
        <v>3025</v>
      </c>
      <c r="O9" s="71">
        <v>3714</v>
      </c>
      <c r="P9" s="71">
        <v>505</v>
      </c>
      <c r="Q9" s="71">
        <v>5073</v>
      </c>
      <c r="R9" s="71">
        <v>4443</v>
      </c>
      <c r="S9" s="71">
        <v>3747</v>
      </c>
      <c r="T9" s="71">
        <v>0</v>
      </c>
      <c r="U9" s="71">
        <v>0</v>
      </c>
      <c r="V9" s="71">
        <v>0</v>
      </c>
      <c r="W9" s="71">
        <v>7008</v>
      </c>
      <c r="X9" s="71">
        <v>7087</v>
      </c>
      <c r="Y9" s="71">
        <v>967</v>
      </c>
      <c r="Z9" s="71">
        <v>3649</v>
      </c>
      <c r="AA9" s="71">
        <v>556</v>
      </c>
      <c r="AB9" s="71">
        <v>3106</v>
      </c>
      <c r="AC9" s="71">
        <v>5056</v>
      </c>
      <c r="AD9" s="71">
        <v>4419</v>
      </c>
      <c r="AE9" s="71">
        <v>2767</v>
      </c>
    </row>
    <row r="10" spans="1:99" s="72" customFormat="1" ht="22.2" ph="1">
      <c r="B10" s="256" ph="1"/>
      <c r="C10" s="178" t="s" ph="1">
        <v>179</v>
      </c>
      <c r="D10" s="73" ph="1">
        <f>D9*33.183*LOOKUP(D11,密度!$A$2:$A$50,密度!$Q$2:$Q$50)</f>
        <v>4834.4544980999999</v>
      </c>
      <c r="E10" s="73" ph="1">
        <f>E9*51.53*LOOKUP(E11,密度!$A$2:$A$50,密度!$B$2:$B$50)</f>
        <v>323277.79382600001</v>
      </c>
      <c r="F10" s="73" ph="1">
        <f>F9*33.183*LOOKUP(F11,密度!$A$2:$A$50,密度!$C$2:$C$50)</f>
        <v>249903.42944400004</v>
      </c>
      <c r="G10" s="73" ph="1">
        <f xml:space="preserve"> (G9+2)*51.53*LOOKUP(G11,密度!$A$2:$A$50,密度!$B$2:$B$50)</f>
        <v>109945.727168</v>
      </c>
      <c r="H10" s="73" ph="1">
        <f>(H9)*51.53*LOOKUP(H11,密度!$A$2:$A$50,密度!$B$2:$B$50)</f>
        <v>171430.637819</v>
      </c>
      <c r="I10" s="73" ph="1">
        <f>I9*290.8*1.0267</f>
        <v>15468.6194916</v>
      </c>
      <c r="J10" s="73" ph="1">
        <f>J9*290.8*0.7892</f>
        <v>1794.6849952</v>
      </c>
      <c r="K10" s="73" ph="1">
        <f>K9*290.8*1.1126</f>
        <v>2268.0440008</v>
      </c>
      <c r="L10" s="73" ph="1">
        <f>L9*290.8*0.777</f>
        <v>3120.3915960000004</v>
      </c>
      <c r="M10" s="73" ph="1">
        <f>M9*33.183*LOOKUP(M11,密度!$A$2:$A$50,密度!$D$2:$D$50)</f>
        <v>159935.17120919999</v>
      </c>
      <c r="N10" s="73" ph="1">
        <f>N9*33.183*LOOKUP(N11,密度!$A$2:$A$50,密度!$E$2:$E$50)</f>
        <v>77712.088979250009</v>
      </c>
      <c r="O10" s="73" ph="1">
        <f>O9*20.428*LOOKUP(O11,密度!$A$2:$A$50,密度!$C$2:$C$50)</f>
        <v>83206.18154640001</v>
      </c>
      <c r="P10" s="73" ph="1">
        <f>P9*51.53*LOOKUP(P11,密度!$A$2:$A$50,密度!$B$2:$B$50)</f>
        <v>20060.860885000002</v>
      </c>
      <c r="Q10" s="73" ph="1">
        <f>Q9*1.5*1.5*3.1416*LOOKUP(W11,密度!$A$2:$A$50,密度!$L$2:$L$50)</f>
        <v>33384.736261800004</v>
      </c>
      <c r="R10" s="73" ph="1">
        <f>R9*1.5*1.5*3.1416*LOOKUP(R11,密度!$A$2:$A$50,密度!$L$2:$L$50)</f>
        <v>29144.572934399999</v>
      </c>
      <c r="S10" s="73" ph="1">
        <f>S9*1.5*1.5*3.1416*LOOKUP(S11,密度!$A$2:$A$50,密度!$L$2:$L$50)</f>
        <v>24843.9094596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46118.713132800003</v>
      </c>
      <c r="X10" s="73" ph="1">
        <f>X9*1.5*1.5*3.1416*LOOKUP(X11,密度!$A$2:$A$50,密度!$L$2:$L$50)</f>
        <v>46788.887098800005</v>
      </c>
      <c r="Y10" s="73" ph="1">
        <f>Y9*1.5*1.5*3.1416*LOOKUP(Y11,密度!$A$2:$A$50,密度!$L$2:$L$50)</f>
        <v>6356.862666</v>
      </c>
      <c r="Z10" s="73" ph="1">
        <f>Z9*33.183*LOOKUP(Z11,密度!$A$2:$A$50,密度!$L$2:$L$50)</f>
        <v>112366.663776</v>
      </c>
      <c r="AA10" s="73" ph="1">
        <f>AA9*33.183*LOOKUP(AA11,密度!$A$2:$A$50,密度!$D$2:$D$50)</f>
        <v>18596.423496599997</v>
      </c>
      <c r="AB10" s="73" ph="1">
        <f>AB9*20.428*LOOKUP(AB11,密度!$A$2:$A$50,密度!$D$2:$D$50)</f>
        <v>65086.361694400002</v>
      </c>
      <c r="AC10" s="73" ph="1">
        <f>AC9*51.53*LOOKUP(AC11,密度!$A$2:$A$50,密度!$Q$2:$Q$50)</f>
        <v>245575.72125439998</v>
      </c>
      <c r="AD10" s="73" ph="1">
        <f>AD9*20.428*LOOKUP(AD11,密度!$A$2:$A$50,密度!$V$2:$V$50)</f>
        <v>86443.827523200016</v>
      </c>
      <c r="AE10" s="73" ph="1">
        <f>AE9*20.428</f>
        <v>56524.276000000005</v>
      </c>
    </row>
    <row r="11" spans="1:99" ph="1">
      <c r="A11" s="64" t="s" ph="1">
        <v>163</v>
      </c>
      <c r="B11" s="256" ph="1"/>
      <c r="C11" s="178" t="s" ph="1">
        <v>180</v>
      </c>
      <c r="D11" s="74">
        <v>35</v>
      </c>
      <c r="E11" s="74">
        <v>35</v>
      </c>
      <c r="F11" s="74">
        <v>33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38</v>
      </c>
      <c r="P11" s="74">
        <v>35</v>
      </c>
      <c r="Q11" s="74">
        <v>31</v>
      </c>
      <c r="R11" s="74">
        <v>34</v>
      </c>
      <c r="S11" s="74">
        <v>24</v>
      </c>
      <c r="T11" s="74">
        <v>37</v>
      </c>
      <c r="U11" s="74">
        <v>33</v>
      </c>
      <c r="V11" s="74">
        <v>28</v>
      </c>
      <c r="W11" s="74">
        <v>31</v>
      </c>
      <c r="X11" s="74">
        <v>28</v>
      </c>
      <c r="Y11" s="74">
        <v>32</v>
      </c>
      <c r="Z11" s="74">
        <v>34</v>
      </c>
      <c r="AA11" s="74">
        <v>46</v>
      </c>
      <c r="AB11" s="74">
        <v>26</v>
      </c>
      <c r="AC11" s="74">
        <v>31</v>
      </c>
      <c r="AD11" s="74">
        <v>34</v>
      </c>
      <c r="AE11" s="74">
        <v>37</v>
      </c>
    </row>
    <row r="12" spans="1:99" ht="9.9" customHeight="1" ph="1"/>
    <row r="13" spans="1:99" s="72" customFormat="1" ht="29.25" customHeight="1" ph="1">
      <c r="B13" s="233" t="s" ph="1">
        <v>37</v>
      </c>
      <c r="C13" s="17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3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641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35" ph="1">
        <v>0.33333333333333331</v>
      </c>
      <c r="C15" s="178" t="s" ph="1">
        <v>178</v>
      </c>
      <c r="D15" s="78">
        <v>5614</v>
      </c>
      <c r="E15" s="78">
        <v>75</v>
      </c>
      <c r="F15" s="78">
        <v>690</v>
      </c>
      <c r="G15" s="78">
        <v>2510</v>
      </c>
      <c r="H15" s="78">
        <v>0</v>
      </c>
      <c r="I15" s="78">
        <v>5282</v>
      </c>
      <c r="J15" s="78">
        <v>2333</v>
      </c>
      <c r="K15" s="78">
        <v>1877</v>
      </c>
      <c r="L15" s="78">
        <v>6909</v>
      </c>
      <c r="M15" s="78">
        <v>4561</v>
      </c>
      <c r="N15" s="78">
        <v>2513</v>
      </c>
      <c r="O15" s="78">
        <v>575</v>
      </c>
      <c r="P15" s="78">
        <v>7050</v>
      </c>
      <c r="Q15" s="78">
        <v>6959</v>
      </c>
      <c r="R15" s="78">
        <v>3518</v>
      </c>
      <c r="S15" s="78">
        <v>0</v>
      </c>
      <c r="T15" s="78">
        <v>4971</v>
      </c>
      <c r="U15" s="78">
        <v>3716</v>
      </c>
      <c r="V15" s="78">
        <v>3199</v>
      </c>
      <c r="W15" s="71">
        <v>3311</v>
      </c>
      <c r="X15" s="78">
        <v>-89</v>
      </c>
      <c r="Y15" s="106">
        <v>-9909</v>
      </c>
      <c r="Z15" s="78">
        <v>0</v>
      </c>
      <c r="AA15" s="78">
        <v>0</v>
      </c>
      <c r="AB15" s="78" ph="1">
        <v>14</v>
      </c>
      <c r="AC15" s="78" ph="1">
        <v>0</v>
      </c>
      <c r="AD15" s="78">
        <v>44.32</v>
      </c>
      <c r="AE15" s="78">
        <v>84.81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36" ph="1"/>
      <c r="C16" s="178" t="s" ph="1">
        <v>179</v>
      </c>
      <c r="D16" s="73" ph="1">
        <f>D15*7.0686*LOOKUP(D17,密度!$A$2:$A$50,密度!$L$2:$L$50)</f>
        <v>36905.301972000001</v>
      </c>
      <c r="E16" s="73" ph="1">
        <f>E15*7.0686*LOOKUP(E17,密度!$A$2:$A$50,密度!$L$2:$L$50)</f>
        <v>492.504705</v>
      </c>
      <c r="F16" s="73" ph="1">
        <f>F15*9.0746*LOOKUP(F17,密度!$A$2:$A$50,密度!$L$2:$L$50)</f>
        <v>5816.9093460000004</v>
      </c>
      <c r="G16" s="73" ph="1">
        <f>G15*9.0746*LOOKUP(G17,密度!$A$2:$A$50,密度!$B$2:$B$50)</f>
        <v>17679.698345199999</v>
      </c>
      <c r="H16" s="73" ph="1">
        <f>H15*9.0746*LOOKUP(H17,密度!$A$2:$A$50,密度!$L$2:$L$50)</f>
        <v>0</v>
      </c>
      <c r="I16" s="73" ph="1">
        <f>I15*9.0746*LOOKUP(I17,密度!$A$2:$A$50,密度!$U$2:$U$50)</f>
        <v>48986.542018400003</v>
      </c>
      <c r="J16" s="73" ph="1">
        <f>J15*9.0746*LOOKUP(J17,密度!$A$2:$A$50,密度!$L$2:$L$50)</f>
        <v>19731.410957600001</v>
      </c>
      <c r="K16" s="73" ph="1">
        <f>K15*9.0746*LOOKUP(K17,密度!$A$2:$A$50,密度!$C$2:$C$50)</f>
        <v>18836.821462780001</v>
      </c>
      <c r="L16" s="73" ph="1">
        <f>L15*9.0746*LOOKUP(L17,密度!$A$2:$A$50,密度!$E$2:$E$50)</f>
        <v>48680.628631530002</v>
      </c>
      <c r="M16" s="73" ph="1">
        <f>M15*9.0746*LOOKUP(M17,密度!$A$2:$A$50,密度!$M$2:$M$50)</f>
        <v>35918.419455691997</v>
      </c>
      <c r="N16" s="73" ph="1">
        <f>N15*9.0746*LOOKUP(N17,密度!$A$2:$A$50,密度!$M$2:$M$50)</f>
        <v>19910.582582380001</v>
      </c>
      <c r="O16" s="73" ph="1">
        <f>O15*9.0746*LOOKUP(O17,密度!$A$2:$A$50,密度!$G$2:$G$50)</f>
        <v>4993.5255150000003</v>
      </c>
      <c r="P16" s="73" ph="1">
        <f ca="1">P15*9.0746*LOOKUP(P17,密度!$A$2:$A$51,密度!$Q$2:$Q$50)</f>
        <v>60175.1199987</v>
      </c>
      <c r="Q16" s="73" ph="1">
        <f>Q15*9.0746*LOOKUP(Q17,密度!$A$2:$A$50,密度!$Q$2:$Q$50)</f>
        <v>59440.070592750002</v>
      </c>
      <c r="R16" s="73" ph="1">
        <f>MAX(R15*9.0746*LOOKUP(R17,密度!$A$2:$A$50,密度!$B$2:$B$50),0)</f>
        <v>24693.556505799999</v>
      </c>
      <c r="S16" s="73" ph="1">
        <f>S15*9.0746*LOOKUP(S17,密度!$A$2:$A$50,密度!$Q$2:$Q$50)</f>
        <v>0</v>
      </c>
      <c r="T16" s="73" ph="1">
        <f>T15*9.0746*LOOKUP(T17,密度!$A$2:$A$50,密度!$O$2:$O$50)</f>
        <v>41771.708691600004</v>
      </c>
      <c r="U16" s="73" ph="1">
        <f>U15*9.0746*LOOKUP(U17,密度!$A$2:$A$50,密度!$H$2:$H$50)</f>
        <v>30784.095895440005</v>
      </c>
      <c r="V16" s="73" ph="1">
        <f>MAX(5600*LOOKUP(V17,密度!$A$2:$A$50,密度!$Q$2:$Q$50)+V15*9.0476*LOOKUP(V17,密度!$A$2:$A$50,密度!$Q$2:$Q$50),0)</f>
        <v>32446.495765319996</v>
      </c>
      <c r="W16" s="73" ph="1">
        <f>MAX(5600*LOOKUP(W17,密度!$A$2:$A$50,密度!$Q$2:$Q$50)+W15*9.0476*LOOKUP(W17,密度!$A$2:$A$50,密度!$Q$2:$Q$50),0)</f>
        <v>33467.653138499998</v>
      </c>
      <c r="X16" s="73" ph="1">
        <f>MAX(5600*LOOKUP(X17,密度!$A$2:$A$50,密度!$I$2:$I$50)+X15*9.0476*LOOKUP(X17,密度!$A$2:$A$50,密度!$I$2:$I$50),0)</f>
        <v>4970.2519477599999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118.65946960000001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10504.25056896</v>
      </c>
      <c r="AE16" s="73" ph="1">
        <f>AE15*268.68*LOOKUP(AE17,密度!$A$2:$A$50,密度!B2:B50)+IF(AE15&lt;=0,0,1566*LOOKUP(AE17,密度!$A$2:$A$50,密度!B2:B50))</f>
        <v>18985.404523679998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37" ph="1"/>
      <c r="C17" s="79" t="s" ph="1">
        <v>180</v>
      </c>
      <c r="D17" s="74">
        <v>32</v>
      </c>
      <c r="E17" s="74">
        <v>33</v>
      </c>
      <c r="F17" s="74">
        <v>33</v>
      </c>
      <c r="G17" s="74">
        <v>29</v>
      </c>
      <c r="H17" s="74">
        <v>25</v>
      </c>
      <c r="I17" s="74">
        <v>28</v>
      </c>
      <c r="J17" s="74">
        <v>30</v>
      </c>
      <c r="K17" s="74">
        <v>29</v>
      </c>
      <c r="L17" s="74">
        <v>31</v>
      </c>
      <c r="M17" s="74">
        <v>32</v>
      </c>
      <c r="N17" s="74">
        <v>27</v>
      </c>
      <c r="O17" s="74">
        <v>28</v>
      </c>
      <c r="P17" s="74">
        <v>34</v>
      </c>
      <c r="Q17" s="74">
        <v>33</v>
      </c>
      <c r="R17" s="74">
        <v>32</v>
      </c>
      <c r="S17" s="74">
        <v>28</v>
      </c>
      <c r="T17" s="74">
        <v>28</v>
      </c>
      <c r="U17" s="74">
        <v>27</v>
      </c>
      <c r="V17" s="74">
        <v>36</v>
      </c>
      <c r="W17" s="74">
        <v>33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35" ph="1">
        <v>0.66666666666666663</v>
      </c>
      <c r="C18" s="79" t="s" ph="1">
        <v>181</v>
      </c>
      <c r="D18" s="71">
        <v>5624</v>
      </c>
      <c r="E18" s="71">
        <v>75</v>
      </c>
      <c r="F18" s="71">
        <v>690</v>
      </c>
      <c r="G18" s="71">
        <v>3911</v>
      </c>
      <c r="H18" s="71">
        <v>0</v>
      </c>
      <c r="I18" s="71">
        <v>5286</v>
      </c>
      <c r="J18" s="71">
        <v>1622</v>
      </c>
      <c r="K18" s="71">
        <v>1877</v>
      </c>
      <c r="L18" s="71">
        <v>4826</v>
      </c>
      <c r="M18" s="71">
        <v>4571</v>
      </c>
      <c r="N18" s="71">
        <v>2517</v>
      </c>
      <c r="O18" s="71">
        <v>576</v>
      </c>
      <c r="P18" s="71">
        <v>7050</v>
      </c>
      <c r="Q18" s="71">
        <v>6965</v>
      </c>
      <c r="R18" s="71">
        <v>3522</v>
      </c>
      <c r="S18" s="71">
        <v>0</v>
      </c>
      <c r="T18" s="71">
        <v>4284</v>
      </c>
      <c r="U18" s="71">
        <v>3718</v>
      </c>
      <c r="V18" s="71">
        <v>3199</v>
      </c>
      <c r="W18" s="71">
        <v>3868</v>
      </c>
      <c r="X18" s="71">
        <v>-89</v>
      </c>
      <c r="Y18" s="109">
        <v>-9907</v>
      </c>
      <c r="Z18" s="71">
        <v>0</v>
      </c>
      <c r="AA18" s="71">
        <v>0</v>
      </c>
      <c r="AB18" s="71">
        <v>21</v>
      </c>
      <c r="AC18" s="71">
        <v>0</v>
      </c>
      <c r="AD18" s="71">
        <v>84.71</v>
      </c>
      <c r="AE18" s="71">
        <v>0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36" ph="1"/>
      <c r="C19" s="178" t="s" ph="1">
        <v>179</v>
      </c>
      <c r="D19" s="73" ph="1">
        <f>D18*7.0686*LOOKUP(D20,密度!$A$2:$A$50,密度!$L$2:$L$50)</f>
        <v>36851.778532800003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5804.3863980000006</v>
      </c>
      <c r="G19" s="73" ph="1">
        <f>G18*9.0746*LOOKUP(G20,密度!$A$2:$A$50,密度!$B$2:$B$50)</f>
        <v>27515.986693180002</v>
      </c>
      <c r="H19" s="73" ph="1">
        <f>H18*9.0746*LOOKUP(H20,密度!$A$2:$A$50,密度!$L$2:$L$50)</f>
        <v>0</v>
      </c>
      <c r="I19" s="73" ph="1">
        <f>I18*9.0746*LOOKUP(I20,密度!$A$2:$A$50,密度!$U$2:$U$50)</f>
        <v>48735.828969599999</v>
      </c>
      <c r="J19" s="73" ph="1">
        <f>J18*9.0746*LOOKUP(J20,密度!$A$2:$A$50,密度!$L$2:$L$50)</f>
        <v>13659.233113600001</v>
      </c>
      <c r="K19" s="73" ph="1">
        <f>K18*9.0746*LOOKUP(K20,密度!$A$2:$A$50,密度!$C$2:$C$50)</f>
        <v>18751.656341779999</v>
      </c>
      <c r="L19" s="73" ph="1">
        <f>L18*9.0746*LOOKUP(L20,密度!$A$2:$A$50,密度!$E$2:$E$50)</f>
        <v>33855.404791975998</v>
      </c>
      <c r="M19" s="73" ph="1">
        <f>M18*9.0746*LOOKUP(M20,密度!$A$2:$A$50,密度!$M$2:$M$50)</f>
        <v>35822.954663691999</v>
      </c>
      <c r="N19" s="73" ph="1">
        <f>N18*9.0746*LOOKUP(N20,密度!$A$2:$A$50,密度!$M$2:$M$50)</f>
        <v>19869.184257180001</v>
      </c>
      <c r="O19" s="73" ph="1">
        <f>O18*9.0746*LOOKUP(O20,密度!$A$2:$A$50,密度!$G$2:$G$50)</f>
        <v>4949.9402111999998</v>
      </c>
      <c r="P19" s="73" ph="1">
        <f ca="1">P18*9.0746*LOOKUP(P20,密度!$A$2:$A$51,密度!$Q$2:$Q$50)</f>
        <v>60133.535644199997</v>
      </c>
      <c r="Q19" s="73" ph="1">
        <f>Q18*9.0746*LOOKUP(Q20,密度!$A$2:$A$50,密度!$Q$2:$Q$50)</f>
        <v>59449.604367510001</v>
      </c>
      <c r="R19" s="73" ph="1">
        <f>MAX(R18*9.0746*LOOKUP(R20,密度!$A$2:$A$50,密度!$B$2:$B$50),0)</f>
        <v>24667.300058160003</v>
      </c>
      <c r="S19" s="73" ph="1">
        <f>S18*9.0746*LOOKUP(S20,密度!$A$2:$A$50,密度!$Q$2:$Q$50)</f>
        <v>0</v>
      </c>
      <c r="T19" s="73" ph="1">
        <f>T18*9.0746*LOOKUP(T20,密度!$A$2:$A$50,密度!$O$2:$O$50)</f>
        <v>35843.290660800005</v>
      </c>
      <c r="U19" s="73" ph="1">
        <f>U18*9.0746*LOOKUP(U20,密度!$A$2:$A$50,密度!$H$2:$H$50)</f>
        <v>30702.820148000003</v>
      </c>
      <c r="V19" s="73" ph="1">
        <f>MAX(5600*LOOKUP(V20,密度!$A$2:$A$50,密度!$Q$2:$Q$50)+V18*9.0476*LOOKUP(V20,密度!$A$2:$A$50,密度!$Q$2:$Q$50),0)</f>
        <v>32380.863547759996</v>
      </c>
      <c r="W19" s="73" ph="1">
        <f>MAX(5600*LOOKUP(W20,密度!$A$2:$A$50,密度!$Q$2:$Q$50)+W18*9.0476*LOOKUP(W20,密度!$A$2:$A$50,密度!$Q$2:$Q$50),0)</f>
        <v>38079.969480735992</v>
      </c>
      <c r="X19" s="73" ph="1">
        <f>MAX(5600*LOOKUP(X20,密度!$A$2:$A$50,密度!$I$2:$I$50)+X18*9.0476*LOOKUP(X20,密度!$A$2:$A$50,密度!$I$2:$I$50),0)</f>
        <v>4943.7369050519992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176.65523820000001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18901.2109356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36" ph="1"/>
      <c r="C20" s="80" t="s" ph="1">
        <v>180</v>
      </c>
      <c r="D20" s="81">
        <v>35</v>
      </c>
      <c r="E20" s="81">
        <v>35</v>
      </c>
      <c r="F20" s="81">
        <v>35</v>
      </c>
      <c r="G20" s="81">
        <v>30</v>
      </c>
      <c r="H20" s="81">
        <v>32</v>
      </c>
      <c r="I20" s="81">
        <v>34</v>
      </c>
      <c r="J20" s="81">
        <v>34</v>
      </c>
      <c r="K20" s="81">
        <v>34</v>
      </c>
      <c r="L20" s="81">
        <v>34</v>
      </c>
      <c r="M20" s="81">
        <v>36</v>
      </c>
      <c r="N20" s="81">
        <v>30</v>
      </c>
      <c r="O20" s="81">
        <v>37</v>
      </c>
      <c r="P20" s="81">
        <v>35</v>
      </c>
      <c r="Q20" s="81">
        <v>34</v>
      </c>
      <c r="R20" s="81">
        <v>34</v>
      </c>
      <c r="S20" s="81">
        <v>35</v>
      </c>
      <c r="T20" s="81">
        <v>32</v>
      </c>
      <c r="U20" s="81">
        <v>30</v>
      </c>
      <c r="V20" s="81">
        <v>39</v>
      </c>
      <c r="W20" s="81">
        <v>38</v>
      </c>
      <c r="X20" s="81">
        <v>35</v>
      </c>
      <c r="Y20" s="110">
        <v>35</v>
      </c>
      <c r="Z20" s="81">
        <v>35</v>
      </c>
      <c r="AA20" s="81">
        <v>32</v>
      </c>
      <c r="AB20" s="81">
        <v>35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3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44" t="s" ph="1">
        <v>69</v>
      </c>
      <c r="AA22" s="245"/>
      <c r="AB22" s="245"/>
      <c r="AC22" s="245"/>
      <c r="AD22" s="245"/>
      <c r="AE22" s="24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38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636</v>
      </c>
      <c r="M23" s="88" t="s" ph="1">
        <v>631</v>
      </c>
      <c r="N23" s="88" t="s" ph="1">
        <v>631</v>
      </c>
      <c r="O23" s="88" t="s" ph="1">
        <v>321</v>
      </c>
      <c r="P23" s="88" t="s" ph="1">
        <v>638</v>
      </c>
      <c r="Q23" s="89" t="s" ph="1">
        <v>638</v>
      </c>
      <c r="R23" s="88" t="s" ph="1">
        <v>616</v>
      </c>
      <c r="S23" s="88" t="s" ph="1">
        <v>637</v>
      </c>
      <c r="T23" s="88" t="s" ph="1">
        <v>607</v>
      </c>
      <c r="U23" s="88" t="s" ph="1">
        <v>611</v>
      </c>
      <c r="V23" s="88" t="s" ph="1">
        <v>638</v>
      </c>
      <c r="W23" s="88" t="s" ph="1">
        <v>638</v>
      </c>
      <c r="X23" s="88" t="s" ph="1">
        <v>190</v>
      </c>
      <c r="Y23" s="88" t="s" ph="1">
        <v>639</v>
      </c>
      <c r="Z23" s="247" t="s" ph="1">
        <v>649</v>
      </c>
      <c r="AA23" s="248"/>
      <c r="AB23" s="248"/>
      <c r="AC23" s="248"/>
      <c r="AD23" s="248"/>
      <c r="AE23" s="24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56" ph="1">
        <v>0.33333333333333331</v>
      </c>
      <c r="C24" s="178" t="s" ph="1">
        <v>178</v>
      </c>
      <c r="D24" s="71">
        <v>85.91</v>
      </c>
      <c r="E24" s="71">
        <v>95.51</v>
      </c>
      <c r="F24" s="71">
        <v>3854</v>
      </c>
      <c r="G24" s="71">
        <v>2737</v>
      </c>
      <c r="H24" s="71">
        <v>3162</v>
      </c>
      <c r="I24" s="71">
        <v>2271</v>
      </c>
      <c r="J24" s="71">
        <v>4832</v>
      </c>
      <c r="K24" s="71">
        <v>2697</v>
      </c>
      <c r="L24" s="71">
        <v>3577</v>
      </c>
      <c r="M24" s="71">
        <v>258</v>
      </c>
      <c r="N24" s="71">
        <v>230</v>
      </c>
      <c r="O24" s="71">
        <v>5167</v>
      </c>
      <c r="P24" s="71">
        <v>1256</v>
      </c>
      <c r="Q24" s="90">
        <v>4084</v>
      </c>
      <c r="R24" s="71">
        <v>1319</v>
      </c>
      <c r="S24" s="71">
        <v>6330</v>
      </c>
      <c r="T24" s="71">
        <v>1766</v>
      </c>
      <c r="U24" s="71">
        <v>5710</v>
      </c>
      <c r="V24" s="71">
        <v>9621</v>
      </c>
      <c r="W24" s="71">
        <v>10771</v>
      </c>
      <c r="X24" s="71">
        <v>3037</v>
      </c>
      <c r="Y24" s="71">
        <v>2770</v>
      </c>
      <c r="Z24" s="250"/>
      <c r="AA24" s="251"/>
      <c r="AB24" s="251"/>
      <c r="AC24" s="251"/>
      <c r="AD24" s="251"/>
      <c r="AE24" s="25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56" ph="1"/>
      <c r="C25" s="68" t="s" ph="1">
        <v>179</v>
      </c>
      <c r="D25" s="91" ph="1">
        <f>D24*268.68*LOOKUP(D26,密度!$A$2:$A$50,密度!$Q$2:$Q$50)+IF(D24&lt;=0,0,1566*LOOKUP(D26,密度!$A$2:$A$50,密度!$Q$2:$Q$50))</f>
        <v>23335.530405912003</v>
      </c>
      <c r="E25" s="91" ph="1">
        <f>E24*268.68*LOOKUP(E26,密度!$A$2:$A$50,密度!$C$2:$C$50)+IF(E24&lt;=0,0,1566*LOOKUP(E26,密度!$A$2:$A$50,密度!$C$2:$C$50))</f>
        <v>30192.715358520003</v>
      </c>
      <c r="F25" s="91" ph="1">
        <f>F24*11.702*LOOKUP(F26,密度!$A$2:$A$50,密度!$Q$2:$Q$50)</f>
        <v>42449.911905000001</v>
      </c>
      <c r="G25" s="91" ph="1">
        <f>G24*18.322*LOOKUP(G26,密度!$A$2:$A$50,密度!$B$2:$B$50)</f>
        <v>38834.0799616</v>
      </c>
      <c r="H25" s="91" ph="1">
        <f>H24*18.322*LOOKUP(H26,密度!$A$2:$A$50,密度!$B$2:$B$50)</f>
        <v>44916.3573492</v>
      </c>
      <c r="I25" s="91" ph="1">
        <f>I24*18.322*LOOKUP(I26,密度!$A$2:$A$50,密度!$Q$2:$Q$50)</f>
        <v>39220.058175959995</v>
      </c>
      <c r="J25" s="91" ph="1">
        <f>J24*18.322*LOOKUP(J26,密度!$A$2:$A$50,密度!$Q$2:$Q$50)</f>
        <v>83448.402072319994</v>
      </c>
      <c r="K25" s="91" ph="1">
        <f>K24*18.322*LOOKUP(K26,密度!$A$2:$A$50,密度!$Q$2:$Q$50)</f>
        <v>46577.057199720002</v>
      </c>
      <c r="L25" s="91" ph="1">
        <f>L24*18.322*LOOKUP(L26,密度!$A$2:$A$50,密度!$Q$2:$Q$50)</f>
        <v>61823.767214019994</v>
      </c>
      <c r="M25" s="91" ph="1">
        <f>M24*18.322*LOOKUP(M26,密度!$A$2:$A$50,密度!$Q$2:$Q$50)</f>
        <v>4465.2905311200002</v>
      </c>
      <c r="N25" s="91" ph="1">
        <f>N24*18.322*LOOKUP(N26,密度!$A$2:$A$50,密度!$Q$2:$Q$50)</f>
        <v>3969.2231139999994</v>
      </c>
      <c r="O25" s="91" ph="1">
        <f>O24*18.322*LOOKUP(O26,密度!$A$2:$A$50,密度!$C$2:$C$50)</f>
        <v>104619.56724739999</v>
      </c>
      <c r="P25" s="91" ph="1">
        <f>P24*11.702*LOOKUP(P26,密度!$A$2:$A$50,密度!$B$2:$B$50)</f>
        <v>11395.1361136</v>
      </c>
      <c r="Q25" s="92" ph="1">
        <f>Q24*18.322*LOOKUP(Q26,密度!$A$2:$A$50,密度!$B$2:$B$50)</f>
        <v>58013.410314399996</v>
      </c>
      <c r="R25" s="91" ph="1">
        <f>R24*35.891*LOOKUP(R26,密度!$A$2:$A$50,密度!$C$2:$C$50)</f>
        <v>52268.346838900005</v>
      </c>
      <c r="S25" s="91" ph="1">
        <f>S24*35.891*LOOKUP(S26,密度!$A$2:$A$50,密度!$B$2:$B$50)</f>
        <v>176344.90128600001</v>
      </c>
      <c r="T25" s="91" ph="1">
        <f>T24*35.891*LOOKUP(T26,密度!$A$2:$A$50,密度!$Q$2:$Q$50)</f>
        <v>59791.562714979991</v>
      </c>
      <c r="U25" s="91" ph="1">
        <f>U24*35.891</f>
        <v>204937.61</v>
      </c>
      <c r="V25" s="91" ph="1">
        <f>V24*47.051*LOOKUP(V26,密度!$A$2:$A$50,密度!$B$2:$B$50)</f>
        <v>351368.4082302</v>
      </c>
      <c r="W25" s="91" ph="1">
        <f>W24*47.051*LOOKUP(W26,密度!$A$2:$A$50,密度!$B$2:$B$50)</f>
        <v>392911.4346713</v>
      </c>
      <c r="X25" s="91" ph="1">
        <f>X24*47.051*LOOKUP(X26,密度!$A$2:$A$50,密度!$I$2:$I$50)</f>
        <v>148280.98653990004</v>
      </c>
      <c r="Y25" s="91" ph="1">
        <f>Y24*47.051*LOOKUP(Y26,密度!$A$2:$A$50,密度!$L$2:$L$50)</f>
        <v>121208.08110000001</v>
      </c>
      <c r="Z25" s="250"/>
      <c r="AA25" s="251"/>
      <c r="AB25" s="251"/>
      <c r="AC25" s="251"/>
      <c r="AD25" s="251"/>
      <c r="AE25" s="25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56" ph="1"/>
      <c r="C26" s="68" t="s" ph="1">
        <v>180</v>
      </c>
      <c r="D26" s="74">
        <v>25</v>
      </c>
      <c r="E26" s="74">
        <v>25</v>
      </c>
      <c r="F26" s="74">
        <v>33</v>
      </c>
      <c r="G26" s="74">
        <v>31</v>
      </c>
      <c r="H26" s="74">
        <v>30</v>
      </c>
      <c r="I26" s="74">
        <v>31</v>
      </c>
      <c r="J26" s="74">
        <v>31</v>
      </c>
      <c r="K26" s="74">
        <v>31</v>
      </c>
      <c r="L26" s="74">
        <v>30</v>
      </c>
      <c r="M26" s="74">
        <v>28</v>
      </c>
      <c r="N26" s="74">
        <v>32</v>
      </c>
      <c r="O26" s="74">
        <v>30</v>
      </c>
      <c r="P26" s="74">
        <v>30</v>
      </c>
      <c r="Q26" s="93">
        <v>30</v>
      </c>
      <c r="R26" s="74">
        <v>31</v>
      </c>
      <c r="S26" s="74">
        <v>29</v>
      </c>
      <c r="T26" s="74">
        <v>30</v>
      </c>
      <c r="U26" s="74">
        <v>29</v>
      </c>
      <c r="V26" s="74">
        <v>29</v>
      </c>
      <c r="W26" s="74">
        <v>30</v>
      </c>
      <c r="X26" s="74">
        <v>29</v>
      </c>
      <c r="Y26" s="74">
        <v>32</v>
      </c>
      <c r="Z26" s="250"/>
      <c r="AA26" s="251"/>
      <c r="AB26" s="251"/>
      <c r="AC26" s="251"/>
      <c r="AD26" s="251"/>
      <c r="AE26" s="25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256" ph="1">
        <v>0.66666666666666663</v>
      </c>
      <c r="C27" s="178" t="s" ph="1">
        <v>181</v>
      </c>
      <c r="D27" s="71">
        <v>86.01</v>
      </c>
      <c r="E27" s="71">
        <v>95.51</v>
      </c>
      <c r="F27" s="71">
        <v>3856</v>
      </c>
      <c r="G27" s="71">
        <v>2333</v>
      </c>
      <c r="H27" s="71">
        <v>3007</v>
      </c>
      <c r="I27" s="71">
        <v>2272</v>
      </c>
      <c r="J27" s="71">
        <v>4832</v>
      </c>
      <c r="K27" s="71">
        <v>2695</v>
      </c>
      <c r="L27" s="71">
        <v>4788</v>
      </c>
      <c r="M27" s="71">
        <v>254</v>
      </c>
      <c r="N27" s="71">
        <v>225</v>
      </c>
      <c r="O27" s="71">
        <v>5164</v>
      </c>
      <c r="P27" s="71">
        <v>3219</v>
      </c>
      <c r="Q27" s="90">
        <v>4012</v>
      </c>
      <c r="R27" s="71">
        <v>1115</v>
      </c>
      <c r="S27" s="71">
        <v>6328</v>
      </c>
      <c r="T27" s="71">
        <v>1764</v>
      </c>
      <c r="U27" s="71">
        <v>5819</v>
      </c>
      <c r="V27" s="71">
        <v>9623</v>
      </c>
      <c r="W27" s="71">
        <v>10772</v>
      </c>
      <c r="X27" s="71">
        <v>3037</v>
      </c>
      <c r="Y27" s="71">
        <v>3346</v>
      </c>
      <c r="Z27" s="250"/>
      <c r="AA27" s="251"/>
      <c r="AB27" s="251"/>
      <c r="AC27" s="251"/>
      <c r="AD27" s="251"/>
      <c r="AE27" s="25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56" ph="1"/>
      <c r="C28" s="178" t="s" ph="1">
        <v>179</v>
      </c>
      <c r="D28" s="91" ph="1">
        <f>D27*268.68*LOOKUP(D29,密度!$A$2:$A$50,密度!$Q$2:$Q$50)+IF(D27&lt;=0,0,1566*LOOKUP(D29,密度!$A$2:$A$50,密度!$Q$2:$Q$50))</f>
        <v>23360.967416232004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42442.15979808</v>
      </c>
      <c r="G28" s="91" ph="1">
        <f>G27*18.322*LOOKUP(G29,密度!$A$2:$A$50,密度!$B$2:$B$50)</f>
        <v>33063.432310999997</v>
      </c>
      <c r="H28" s="91" ph="1">
        <f>H27*18.322*LOOKUP(H29,密度!$A$2:$A$50,密度!$B$2:$B$50)</f>
        <v>42615.405468999998</v>
      </c>
      <c r="I28" s="91" ph="1">
        <f>I27*18.322*LOOKUP(I29,密度!$A$2:$A$50,密度!$Q$2:$Q$50)</f>
        <v>39154.489234559995</v>
      </c>
      <c r="J28" s="91" ph="1">
        <f>J27*18.322*LOOKUP(J29,密度!$A$2:$A$50,密度!$Q$2:$Q$50)</f>
        <v>83388.200377599991</v>
      </c>
      <c r="K28" s="91" ph="1">
        <f>K27*18.322*LOOKUP(K29,密度!$A$2:$A$50,密度!$Q$2:$Q$50)</f>
        <v>46476.844837500001</v>
      </c>
      <c r="L28" s="91" ph="1">
        <f>L27*18.322*LOOKUP(L29,密度!$A$2:$A$50,密度!$Q$2:$Q$50)</f>
        <v>82456.928295839985</v>
      </c>
      <c r="M28" s="91" ph="1">
        <f>M27*18.322*LOOKUP(M29,密度!$A$2:$A$50,密度!$Q$2:$Q$50)</f>
        <v>4374.2814927199997</v>
      </c>
      <c r="N28" s="91" ph="1">
        <f>N27*18.322*LOOKUP(N29,密度!$A$2:$A$50,密度!$Q$2:$Q$50)</f>
        <v>3874.8556529999996</v>
      </c>
      <c r="O28" s="91" ph="1">
        <f>O27*18.322*LOOKUP(O29,密度!$A$2:$A$50,密度!$C$2:$C$50)</f>
        <v>104161.44212719999</v>
      </c>
      <c r="P28" s="91" ph="1">
        <f>P27*11.702*LOOKUP(P29,密度!$A$2:$A$50,密度!$B$2:$B$50)</f>
        <v>29106.6338526</v>
      </c>
      <c r="Q28" s="92" ph="1">
        <f>Q27*18.322*LOOKUP(Q29,密度!$A$2:$A$50,密度!$B$2:$B$50)</f>
        <v>56858.332803999998</v>
      </c>
      <c r="R28" s="91" ph="1">
        <f>R27*35.891*LOOKUP(R29,密度!$A$2:$A$50,密度!$C$2:$C$50)</f>
        <v>44056.328118499994</v>
      </c>
      <c r="S28" s="91" ph="1">
        <f>S27*35.891*LOOKUP(S29,密度!$A$2:$A$50,密度!$B$2:$B$50)</f>
        <v>175494.27022960002</v>
      </c>
      <c r="T28" s="91" ph="1">
        <f>T27*35.891*LOOKUP(T29,密度!$A$2:$A$50,密度!$Q$2:$Q$50)</f>
        <v>59592.160214999996</v>
      </c>
      <c r="U28" s="91" ph="1">
        <f>U27*35.891</f>
        <v>208849.72899999999</v>
      </c>
      <c r="V28" s="91" ph="1">
        <f>V27*47.051*LOOKUP(V29,密度!$A$2:$A$50,密度!$B$2:$B$50)</f>
        <v>349856.74899710005</v>
      </c>
      <c r="W28" s="91" ph="1">
        <f>W27*47.051*LOOKUP(W29,密度!$A$2:$A$50,密度!$B$2:$B$50)</f>
        <v>391630.14654440008</v>
      </c>
      <c r="X28" s="91" ph="1">
        <f>X27*47.051*LOOKUP(X29,密度!$A$2:$A$50,密度!$I$2:$I$50)</f>
        <v>147809.4367128</v>
      </c>
      <c r="Y28" s="91" ph="1">
        <f>Y27*47.051*LOOKUP(Y29,密度!$A$2:$A$50,密度!$L$2:$L$50)</f>
        <v>146097.49548800002</v>
      </c>
      <c r="Z28" s="250"/>
      <c r="AA28" s="251"/>
      <c r="AB28" s="251"/>
      <c r="AC28" s="251"/>
      <c r="AD28" s="251"/>
      <c r="AE28" s="25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56" ph="1"/>
      <c r="C29" s="178" t="s" ph="1">
        <v>180</v>
      </c>
      <c r="D29" s="74">
        <v>25</v>
      </c>
      <c r="E29" s="74">
        <v>25</v>
      </c>
      <c r="F29" s="74">
        <v>34</v>
      </c>
      <c r="G29" s="74">
        <v>32</v>
      </c>
      <c r="H29" s="74">
        <v>32</v>
      </c>
      <c r="I29" s="74">
        <v>34</v>
      </c>
      <c r="J29" s="74">
        <v>32</v>
      </c>
      <c r="K29" s="74">
        <v>33</v>
      </c>
      <c r="L29" s="74">
        <v>35</v>
      </c>
      <c r="M29" s="74">
        <v>35</v>
      </c>
      <c r="N29" s="74">
        <v>35</v>
      </c>
      <c r="O29" s="74">
        <v>34</v>
      </c>
      <c r="P29" s="74">
        <v>33</v>
      </c>
      <c r="Q29" s="93">
        <v>32</v>
      </c>
      <c r="R29" s="74">
        <v>34</v>
      </c>
      <c r="S29" s="74">
        <v>33</v>
      </c>
      <c r="T29" s="74">
        <v>33</v>
      </c>
      <c r="U29" s="74">
        <v>35</v>
      </c>
      <c r="V29" s="74">
        <v>33</v>
      </c>
      <c r="W29" s="74">
        <v>33</v>
      </c>
      <c r="X29" s="74">
        <v>32</v>
      </c>
      <c r="Y29" s="74">
        <v>34</v>
      </c>
      <c r="Z29" s="253"/>
      <c r="AA29" s="254"/>
      <c r="AB29" s="254"/>
      <c r="AC29" s="254"/>
      <c r="AD29" s="254"/>
      <c r="AE29" s="25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39" t="s" ph="1">
        <v>35</v>
      </c>
      <c r="C31" s="240" ph="1"/>
      <c r="D31" s="243" t="s" ph="1">
        <v>9</v>
      </c>
      <c r="E31" s="218" ph="1"/>
      <c r="F31" s="219" ph="1"/>
      <c r="G31" s="243" t="s" ph="1">
        <v>18</v>
      </c>
      <c r="H31" s="218" ph="1"/>
      <c r="I31" s="219" ph="1"/>
      <c r="J31" s="217" t="s" ph="1">
        <v>1</v>
      </c>
      <c r="K31" s="218" ph="1"/>
      <c r="L31" s="219" ph="1"/>
      <c r="M31" s="217" t="s" ph="1">
        <v>7</v>
      </c>
      <c r="N31" s="218" ph="1"/>
      <c r="O31" s="219" ph="1"/>
      <c r="P31" s="217" t="s" ph="1">
        <v>41</v>
      </c>
      <c r="Q31" s="218"/>
      <c r="R31" s="219"/>
      <c r="S31" s="217" t="s" ph="1">
        <v>2</v>
      </c>
      <c r="T31" s="218"/>
      <c r="U31" s="219"/>
      <c r="V31" s="217" t="s" ph="1">
        <v>71</v>
      </c>
      <c r="W31" s="218" ph="1"/>
      <c r="X31" s="219" ph="1"/>
      <c r="Y31" s="217" t="s" ph="1">
        <v>3</v>
      </c>
      <c r="Z31" s="218" ph="1"/>
      <c r="AA31" s="219" ph="1"/>
      <c r="AB31" s="220" t="s">
        <v>42</v>
      </c>
      <c r="AC31" s="221"/>
      <c r="AD31" s="221"/>
      <c r="AE31" s="222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41" ph="1"/>
      <c r="C32" s="242" ph="1"/>
      <c r="D32" s="96" t="s" ph="1">
        <v>4</v>
      </c>
      <c r="E32" s="178" t="s" ph="1">
        <v>5</v>
      </c>
      <c r="F32" s="179" t="s" ph="1">
        <v>43</v>
      </c>
      <c r="G32" s="97" t="s" ph="1">
        <v>4</v>
      </c>
      <c r="H32" s="178" t="s" ph="1">
        <v>5</v>
      </c>
      <c r="I32" s="179" t="s" ph="1">
        <v>43</v>
      </c>
      <c r="J32" s="97" t="s" ph="1">
        <v>4</v>
      </c>
      <c r="K32" s="178" t="s" ph="1">
        <v>5</v>
      </c>
      <c r="L32" s="179" t="s" ph="1">
        <v>43</v>
      </c>
      <c r="M32" s="97" t="s" ph="1">
        <v>4</v>
      </c>
      <c r="N32" s="178" t="s" ph="1">
        <v>5</v>
      </c>
      <c r="O32" s="17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8" t="s" ph="1">
        <v>5</v>
      </c>
      <c r="U32" s="99" t="s" ph="1">
        <v>43</v>
      </c>
      <c r="V32" s="97" t="s" ph="1">
        <v>4</v>
      </c>
      <c r="W32" s="178" t="s" ph="1">
        <v>5</v>
      </c>
      <c r="X32" s="99" t="s" ph="1">
        <v>43</v>
      </c>
      <c r="Y32" s="100" t="s" ph="1">
        <v>4</v>
      </c>
      <c r="Z32" s="178" t="s" ph="1">
        <v>5</v>
      </c>
      <c r="AA32" s="179" t="s" ph="1">
        <v>43</v>
      </c>
      <c r="AB32" s="97" t="s" ph="1">
        <v>85</v>
      </c>
      <c r="AC32" s="178" t="s" ph="1">
        <v>84</v>
      </c>
      <c r="AD32" s="223" t="s" ph="1">
        <v>83</v>
      </c>
      <c r="AE32" s="224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25" t="s" ph="1">
        <v>182</v>
      </c>
      <c r="C33" s="226" ph="1"/>
      <c r="D33" s="205" ph="1">
        <f>AA10+AB10+Z19</f>
        <v>83682.785191000003</v>
      </c>
      <c r="E33" s="205" ph="1">
        <f>M10+I10</f>
        <v>175403.79070079999</v>
      </c>
      <c r="F33" s="22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31" ph="1">
        <v>0</v>
      </c>
      <c r="H33" s="205" ph="1">
        <f>N19</f>
        <v>19869.184257180001</v>
      </c>
      <c r="I33" s="209" ph="1">
        <v>0</v>
      </c>
      <c r="J33" s="213" ph="1">
        <f>F10+O28</f>
        <v>354064.87157120003</v>
      </c>
      <c r="K33" s="205" ph="1">
        <f>O10+K10+E28+R28</f>
        <v>159723.26902422</v>
      </c>
      <c r="L33" s="215" ph="1">
        <f>BE27</f>
        <v>7100</v>
      </c>
      <c r="M33" s="213" ph="1">
        <f>G10+H10+W28+S28+V28+E10</f>
        <v>1521635.3245841002</v>
      </c>
      <c r="N33" s="205" ph="1">
        <f>L10+P10++G28+H28</f>
        <v>98860.090261000005</v>
      </c>
      <c r="O33" s="209" ph="1">
        <f>BE17</f>
        <v>2270</v>
      </c>
      <c r="P33" s="213" ph="1">
        <f>L19</f>
        <v>33855.404791975998</v>
      </c>
      <c r="Q33" s="205" ph="1">
        <f>J10+N10</f>
        <v>79506.773974450014</v>
      </c>
      <c r="R33" s="209" ph="1">
        <f>BE23</f>
        <v>890</v>
      </c>
      <c r="S33" s="213" ph="1">
        <f>E10+X28</f>
        <v>471087.23053880001</v>
      </c>
      <c r="T33" s="205" ph="1">
        <f>X19</f>
        <v>4943.7369050519992</v>
      </c>
      <c r="U33" s="194" ph="1">
        <f>BE21</f>
        <v>730</v>
      </c>
      <c r="V33" s="207" ph="1">
        <f ca="1">P19+Q19+S19+M28+N28+J28</f>
        <v>211220.47753502999</v>
      </c>
      <c r="W33" s="207" ph="1">
        <f>D28+F28+V19+T28</f>
        <v>157776.15097707201</v>
      </c>
      <c r="X33" s="209" ph="1">
        <f>BE29+BE31</f>
        <v>10200</v>
      </c>
      <c r="Y33" s="211" ph="1">
        <f>+Q10+R10+S10+T10+U10+V10+W10+X10+Y10</f>
        <v>186637.68155340003</v>
      </c>
      <c r="Z33" s="192" ph="1">
        <f>D10+T19+U19+Y28+Z10</f>
        <v>329844.72457090003</v>
      </c>
      <c r="AA33" s="194" ph="1">
        <f>BE19</f>
        <v>1440</v>
      </c>
      <c r="AB33" s="196" ph="1">
        <f>I19</f>
        <v>48735.828969599999</v>
      </c>
      <c r="AC33" s="198" ph="1">
        <f>AD10</f>
        <v>86443.827523200016</v>
      </c>
      <c r="AD33" s="200" ph="1">
        <v>0</v>
      </c>
      <c r="AE33" s="201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27" ph="1"/>
      <c r="C34" s="228" ph="1"/>
      <c r="D34" s="206" ph="1"/>
      <c r="E34" s="206" ph="1"/>
      <c r="F34" s="230" ph="1"/>
      <c r="G34" s="232" ph="1"/>
      <c r="H34" s="206" ph="1"/>
      <c r="I34" s="210" ph="1"/>
      <c r="J34" s="214" ph="1"/>
      <c r="K34" s="206" ph="1"/>
      <c r="L34" s="216" ph="1"/>
      <c r="M34" s="214" ph="1"/>
      <c r="N34" s="206" ph="1"/>
      <c r="O34" s="210" ph="1"/>
      <c r="P34" s="214" ph="1"/>
      <c r="Q34" s="206" ph="1"/>
      <c r="R34" s="210" ph="1"/>
      <c r="S34" s="214" ph="1"/>
      <c r="T34" s="206"/>
      <c r="U34" s="195"/>
      <c r="V34" s="208" ph="1"/>
      <c r="W34" s="208" ph="1"/>
      <c r="X34" s="210" ph="1"/>
      <c r="Y34" s="212" ph="1"/>
      <c r="Z34" s="193" ph="1"/>
      <c r="AA34" s="195" ph="1"/>
      <c r="AB34" s="197"/>
      <c r="AC34" s="199"/>
      <c r="AD34" s="202"/>
      <c r="AE34" s="203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04" t="s" ph="1">
        <v>640</v>
      </c>
      <c r="AD35" s="204"/>
      <c r="AE35" s="204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190" t="s" ph="1">
        <v>184</v>
      </c>
      <c r="J36" s="190" ph="1"/>
      <c r="K36" s="101" ph="1"/>
      <c r="P36" s="101" ph="1"/>
      <c r="R36" s="190" t="s" ph="1">
        <v>185</v>
      </c>
      <c r="S36" s="190" ph="1"/>
      <c r="Y36" s="102" ph="1"/>
      <c r="Z36" s="180" t="s" ph="1">
        <v>186</v>
      </c>
      <c r="AA36" s="180" ph="1"/>
      <c r="AB36" s="191" t="s" ph="1">
        <v>646</v>
      </c>
      <c r="AC36" s="191" ph="1"/>
      <c r="AD36" s="191" ph="1"/>
      <c r="AE36" s="191" ph="1"/>
      <c r="BA36" s="64" ph="1">
        <v>2270</v>
      </c>
    </row>
    <row r="37" spans="1:57" s="18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0" t="s" ph="1">
        <v>345</v>
      </c>
      <c r="AI37" s="180" t="s" ph="1">
        <v>212</v>
      </c>
      <c r="AJ37" s="180" t="s" ph="1">
        <v>213</v>
      </c>
      <c r="AK37" s="180" t="s" ph="1">
        <v>214</v>
      </c>
      <c r="AM37" s="180" t="s" ph="1">
        <v>213</v>
      </c>
      <c r="AN37" s="180" t="s" ph="1">
        <v>214</v>
      </c>
      <c r="AO37" s="180" t="s" ph="1">
        <v>215</v>
      </c>
      <c r="AP37" s="180" t="s" ph="1">
        <v>213</v>
      </c>
      <c r="AQ37" s="180" t="s" ph="1">
        <v>214</v>
      </c>
      <c r="AR37" s="180" t="s" ph="1">
        <v>215</v>
      </c>
      <c r="AS37" s="180" t="s" ph="1">
        <v>213</v>
      </c>
      <c r="AT37" s="180" t="s" ph="1">
        <v>214</v>
      </c>
      <c r="AU37" s="180" t="s" ph="1">
        <v>215</v>
      </c>
      <c r="AV37" s="180" t="s" ph="1">
        <v>213</v>
      </c>
      <c r="AW37" s="180" t="s" ph="1">
        <v>214</v>
      </c>
      <c r="AX37" s="180" t="s" ph="1">
        <v>215</v>
      </c>
      <c r="AY37" s="180" t="s" ph="1">
        <v>214</v>
      </c>
      <c r="AZ37" s="180" t="s" ph="1">
        <v>216</v>
      </c>
      <c r="BD37" s="180" t="s" ph="1">
        <v>308</v>
      </c>
      <c r="BE37" s="18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6" priority="97">
      <formula>ABS(D$7-D$10)&gt;=1000</formula>
    </cfRule>
  </conditionalFormatting>
  <conditionalFormatting sqref="E4 E6:E11">
    <cfRule type="expression" dxfId="125" priority="96">
      <formula>ABS(E$7-E$10)&gt;=1000</formula>
    </cfRule>
  </conditionalFormatting>
  <conditionalFormatting sqref="F4:F11">
    <cfRule type="expression" dxfId="124" priority="95">
      <formula>ABS(F$7-F$10)&gt;=1000</formula>
    </cfRule>
  </conditionalFormatting>
  <conditionalFormatting sqref="G4:G11">
    <cfRule type="expression" dxfId="123" priority="94">
      <formula>ABS(G$7-G$10)&gt;=1000</formula>
    </cfRule>
  </conditionalFormatting>
  <conditionalFormatting sqref="H4:H11">
    <cfRule type="expression" dxfId="122" priority="93">
      <formula>ABS(H$7-H$10)&gt;=1000</formula>
    </cfRule>
  </conditionalFormatting>
  <conditionalFormatting sqref="I4:I11">
    <cfRule type="expression" dxfId="121" priority="92">
      <formula>ABS(I$7-I$10)&gt;=1000</formula>
    </cfRule>
  </conditionalFormatting>
  <conditionalFormatting sqref="J4:J11">
    <cfRule type="expression" dxfId="120" priority="91">
      <formula>ABS(J$7-J$10)&gt;=1000</formula>
    </cfRule>
  </conditionalFormatting>
  <conditionalFormatting sqref="K4:K11">
    <cfRule type="expression" dxfId="119" priority="90">
      <formula>ABS(K$7-K$10)&gt;=1000</formula>
    </cfRule>
  </conditionalFormatting>
  <conditionalFormatting sqref="L4:L11">
    <cfRule type="expression" dxfId="118" priority="89">
      <formula>ABS(L$7-L$10)&gt;=1000</formula>
    </cfRule>
  </conditionalFormatting>
  <conditionalFormatting sqref="M4 M6:M11">
    <cfRule type="expression" dxfId="117" priority="88">
      <formula>ABS(M$7-M$10)&gt;=1000</formula>
    </cfRule>
  </conditionalFormatting>
  <conditionalFormatting sqref="N4 N6:N11">
    <cfRule type="expression" dxfId="116" priority="87">
      <formula>ABS(N$7-N$10)&gt;=1000</formula>
    </cfRule>
  </conditionalFormatting>
  <conditionalFormatting sqref="O4 O6:O11">
    <cfRule type="expression" dxfId="115" priority="86">
      <formula>ABS(O$7-O$10)&gt;=1000</formula>
    </cfRule>
  </conditionalFormatting>
  <conditionalFormatting sqref="P4 P6:P11">
    <cfRule type="expression" dxfId="114" priority="85">
      <formula>ABS(P$7-P$10)&gt;=1000</formula>
    </cfRule>
  </conditionalFormatting>
  <conditionalFormatting sqref="Q4:Q11">
    <cfRule type="expression" dxfId="113" priority="84">
      <formula>ABS(Q$7-Q$10)&gt;=1000</formula>
    </cfRule>
  </conditionalFormatting>
  <conditionalFormatting sqref="R4:R11">
    <cfRule type="expression" dxfId="112" priority="83">
      <formula>ABS(R$7-R$10)&gt;=1000</formula>
    </cfRule>
  </conditionalFormatting>
  <conditionalFormatting sqref="S4:S11">
    <cfRule type="expression" dxfId="111" priority="82">
      <formula>ABS(S$7-S$10)&gt;=1000</formula>
    </cfRule>
  </conditionalFormatting>
  <conditionalFormatting sqref="T4:T9 T11">
    <cfRule type="expression" dxfId="110" priority="81">
      <formula>ABS(T$7-T$10)&gt;=1000</formula>
    </cfRule>
  </conditionalFormatting>
  <conditionalFormatting sqref="U4:U9 U11">
    <cfRule type="expression" dxfId="109" priority="80">
      <formula>ABS(U$7-U$10)&gt;=1000</formula>
    </cfRule>
  </conditionalFormatting>
  <conditionalFormatting sqref="V4:V9 V11">
    <cfRule type="expression" dxfId="108" priority="79">
      <formula>ABS(V$7-V$10)&gt;=1000</formula>
    </cfRule>
  </conditionalFormatting>
  <conditionalFormatting sqref="W4:W9 W11">
    <cfRule type="expression" dxfId="107" priority="78">
      <formula>ABS(W$7-W$10)&gt;=1000</formula>
    </cfRule>
  </conditionalFormatting>
  <conditionalFormatting sqref="X4:X9 X11">
    <cfRule type="expression" dxfId="106" priority="77">
      <formula>ABS(X$7-X$10)&gt;=1000</formula>
    </cfRule>
  </conditionalFormatting>
  <conditionalFormatting sqref="Y4:Y9 Y11">
    <cfRule type="expression" dxfId="105" priority="76">
      <formula>ABS(Y$7-Y$10)&gt;=1000</formula>
    </cfRule>
  </conditionalFormatting>
  <conditionalFormatting sqref="Z4:Z11">
    <cfRule type="expression" dxfId="104" priority="75">
      <formula>ABS(Z$7-Z$10)&gt;=1000</formula>
    </cfRule>
  </conditionalFormatting>
  <conditionalFormatting sqref="AA4:AA11">
    <cfRule type="expression" dxfId="103" priority="74">
      <formula>ABS(AA$7-AA$10)&gt;=1000</formula>
    </cfRule>
  </conditionalFormatting>
  <conditionalFormatting sqref="AB4:AB11">
    <cfRule type="expression" dxfId="102" priority="73">
      <formula>ABS(AB$7-AB$10)&gt;=1000</formula>
    </cfRule>
  </conditionalFormatting>
  <conditionalFormatting sqref="AC4 AC6:AC11">
    <cfRule type="expression" dxfId="101" priority="72">
      <formula>ABS(AC$7-AC$10)&gt;=1000</formula>
    </cfRule>
  </conditionalFormatting>
  <conditionalFormatting sqref="AD4:AD11">
    <cfRule type="expression" dxfId="100" priority="71">
      <formula>ABS(AD$7-AD$10)&gt;=1000</formula>
    </cfRule>
  </conditionalFormatting>
  <conditionalFormatting sqref="AE4:AE11">
    <cfRule type="expression" dxfId="99" priority="70">
      <formula>ABS(AE$7-AE$10)&gt;=1000</formula>
    </cfRule>
  </conditionalFormatting>
  <conditionalFormatting sqref="D13:D20">
    <cfRule type="expression" dxfId="98" priority="69">
      <formula>ABS(D$16-D$19)&gt;=1000</formula>
    </cfRule>
  </conditionalFormatting>
  <conditionalFormatting sqref="E13:E20">
    <cfRule type="expression" dxfId="97" priority="68">
      <formula>ABS(E$16-E$19)&gt;=1000</formula>
    </cfRule>
  </conditionalFormatting>
  <conditionalFormatting sqref="F13 F15:F20">
    <cfRule type="expression" dxfId="96" priority="67">
      <formula>ABS(F$16-F$19)&gt;=1000</formula>
    </cfRule>
  </conditionalFormatting>
  <conditionalFormatting sqref="G13:G20">
    <cfRule type="expression" dxfId="95" priority="66">
      <formula>ABS(G$16-G$19)&gt;=1000</formula>
    </cfRule>
  </conditionalFormatting>
  <conditionalFormatting sqref="H13:H20">
    <cfRule type="expression" dxfId="94" priority="65">
      <formula>ABS(H$16-H$19)&gt;=1000</formula>
    </cfRule>
  </conditionalFormatting>
  <conditionalFormatting sqref="I13:I20">
    <cfRule type="expression" dxfId="93" priority="64">
      <formula>ABS(I$16-I$19)&gt;=1000</formula>
    </cfRule>
  </conditionalFormatting>
  <conditionalFormatting sqref="J13:J20">
    <cfRule type="expression" dxfId="92" priority="63">
      <formula>ABS(J$16-J$19)&gt;=1000</formula>
    </cfRule>
  </conditionalFormatting>
  <conditionalFormatting sqref="L13:L20">
    <cfRule type="expression" dxfId="91" priority="62">
      <formula>ABS(L$16-L$19)&gt;=1000</formula>
    </cfRule>
  </conditionalFormatting>
  <conditionalFormatting sqref="M13 M15 M17:M18 M20">
    <cfRule type="expression" dxfId="90" priority="61">
      <formula>ABS(M$16-M$19)&gt;=1000</formula>
    </cfRule>
  </conditionalFormatting>
  <conditionalFormatting sqref="N13:N20">
    <cfRule type="expression" dxfId="89" priority="60">
      <formula>ABS(N$16-N$19)&gt;=1000</formula>
    </cfRule>
  </conditionalFormatting>
  <conditionalFormatting sqref="O13:O20">
    <cfRule type="expression" dxfId="88" priority="59">
      <formula>ABS(O$16-O$19)&gt;=1000</formula>
    </cfRule>
  </conditionalFormatting>
  <conditionalFormatting sqref="P13:P20">
    <cfRule type="expression" dxfId="87" priority="58">
      <formula>ABS(P$16-P$19)&gt;=1000</formula>
    </cfRule>
  </conditionalFormatting>
  <conditionalFormatting sqref="Q13 Q15:Q20">
    <cfRule type="expression" dxfId="86" priority="57">
      <formula>ABS(Q$16-Q$19)&gt;=1000</formula>
    </cfRule>
  </conditionalFormatting>
  <conditionalFormatting sqref="R13:R20">
    <cfRule type="expression" dxfId="85" priority="56">
      <formula>ABS(R$16-R$19)&gt;=1000</formula>
    </cfRule>
  </conditionalFormatting>
  <conditionalFormatting sqref="S13:S20">
    <cfRule type="expression" dxfId="84" priority="55">
      <formula>ABS(S$16-S$19)&gt;=1000</formula>
    </cfRule>
  </conditionalFormatting>
  <conditionalFormatting sqref="T13:T20">
    <cfRule type="expression" dxfId="83" priority="54">
      <formula>ABS(T$16-T$19)&gt;=1000</formula>
    </cfRule>
  </conditionalFormatting>
  <conditionalFormatting sqref="U13:U20">
    <cfRule type="expression" dxfId="82" priority="53">
      <formula>ABS(U$16-U$19)&gt;=1000</formula>
    </cfRule>
  </conditionalFormatting>
  <conditionalFormatting sqref="V13:V20">
    <cfRule type="expression" dxfId="81" priority="52">
      <formula>ABS(V$16-V$19)&gt;=1000</formula>
    </cfRule>
  </conditionalFormatting>
  <conditionalFormatting sqref="W13 W20 W15:W18">
    <cfRule type="expression" dxfId="80" priority="51">
      <formula>ABS(W$16-W$19)&gt;=1000</formula>
    </cfRule>
  </conditionalFormatting>
  <conditionalFormatting sqref="X13 X15:X20 Y19">
    <cfRule type="expression" dxfId="79" priority="50">
      <formula>ABS(X$16-X$19)&gt;=1000</formula>
    </cfRule>
  </conditionalFormatting>
  <conditionalFormatting sqref="Y13 Y15:Y18 Y20">
    <cfRule type="expression" dxfId="78" priority="49">
      <formula>ABS(Y$16-Y$19)&gt;=1000</formula>
    </cfRule>
  </conditionalFormatting>
  <conditionalFormatting sqref="Z13:Z20">
    <cfRule type="expression" dxfId="77" priority="48">
      <formula>ABS(Z$16-Z$19)&gt;=1000</formula>
    </cfRule>
  </conditionalFormatting>
  <conditionalFormatting sqref="AA13:AA20">
    <cfRule type="expression" dxfId="76" priority="47">
      <formula>ABS(AA$16-AA$19)&gt;=1000</formula>
    </cfRule>
  </conditionalFormatting>
  <conditionalFormatting sqref="AB13 AB15:AB20">
    <cfRule type="expression" dxfId="75" priority="46">
      <formula>ABS(AB$16-AB$19)&gt;=1000</formula>
    </cfRule>
  </conditionalFormatting>
  <conditionalFormatting sqref="AC13 AC15:AC20">
    <cfRule type="expression" dxfId="74" priority="45">
      <formula>ABS(AC$16-AC$19)&gt;=1000</formula>
    </cfRule>
  </conditionalFormatting>
  <conditionalFormatting sqref="AD13:AD20">
    <cfRule type="expression" dxfId="73" priority="44">
      <formula>ABS(AD$16-AD$19)&gt;=1000</formula>
    </cfRule>
  </conditionalFormatting>
  <conditionalFormatting sqref="AE13:AE20">
    <cfRule type="expression" dxfId="72" priority="43">
      <formula>ABS(AE$16-AE$19)&gt;=1000</formula>
    </cfRule>
  </conditionalFormatting>
  <conditionalFormatting sqref="D22:D29">
    <cfRule type="expression" dxfId="71" priority="42">
      <formula>ABS(D$25-D$28)&gt;=1000</formula>
    </cfRule>
  </conditionalFormatting>
  <conditionalFormatting sqref="E22:E29">
    <cfRule type="expression" dxfId="70" priority="41">
      <formula>ABS(E$25-E$28)&gt;=1000</formula>
    </cfRule>
  </conditionalFormatting>
  <conditionalFormatting sqref="F22:F29">
    <cfRule type="expression" dxfId="69" priority="40">
      <formula>ABS(F$25-F$28)&gt;=1000</formula>
    </cfRule>
  </conditionalFormatting>
  <conditionalFormatting sqref="G22:G29">
    <cfRule type="expression" dxfId="68" priority="39">
      <formula>ABS(G$25-G$28)&gt;=1000</formula>
    </cfRule>
  </conditionalFormatting>
  <conditionalFormatting sqref="H22:H29">
    <cfRule type="expression" dxfId="67" priority="38">
      <formula>ABS(H$25-H$28)&gt;=1000</formula>
    </cfRule>
  </conditionalFormatting>
  <conditionalFormatting sqref="I22 I24:I29">
    <cfRule type="expression" dxfId="66" priority="37">
      <formula>ABS(I$25-I$28)&gt;=1000</formula>
    </cfRule>
  </conditionalFormatting>
  <conditionalFormatting sqref="J22:J29 K22">
    <cfRule type="expression" dxfId="65" priority="36">
      <formula>ABS(J$25-J$28)&gt;=1000</formula>
    </cfRule>
  </conditionalFormatting>
  <conditionalFormatting sqref="K23:K29 L25 L28">
    <cfRule type="expression" dxfId="64" priority="35">
      <formula>ABS(K$25-K$28)&gt;=1000</formula>
    </cfRule>
  </conditionalFormatting>
  <conditionalFormatting sqref="L22 L26:L27 L29 L24">
    <cfRule type="expression" dxfId="63" priority="34">
      <formula>ABS(L$25-L$28)&gt;=1000</formula>
    </cfRule>
  </conditionalFormatting>
  <conditionalFormatting sqref="M22:M29">
    <cfRule type="expression" dxfId="62" priority="33">
      <formula>ABS(M$25-M$28)&gt;=1000</formula>
    </cfRule>
  </conditionalFormatting>
  <conditionalFormatting sqref="N22:N29">
    <cfRule type="expression" dxfId="61" priority="32">
      <formula>ABS(N$25-N$28)&gt;=1000</formula>
    </cfRule>
  </conditionalFormatting>
  <conditionalFormatting sqref="O22:O29">
    <cfRule type="expression" dxfId="60" priority="31">
      <formula>ABS(O$25-O$28)&gt;=1000</formula>
    </cfRule>
  </conditionalFormatting>
  <conditionalFormatting sqref="P22:P29">
    <cfRule type="expression" dxfId="59" priority="30">
      <formula>ABS(P$25-P$28)&gt;=1000</formula>
    </cfRule>
  </conditionalFormatting>
  <conditionalFormatting sqref="Q22:Q29">
    <cfRule type="expression" dxfId="58" priority="29">
      <formula>ABS(Q$25-Q$28)&gt;=1000</formula>
    </cfRule>
  </conditionalFormatting>
  <conditionalFormatting sqref="R22:R29">
    <cfRule type="expression" dxfId="57" priority="28">
      <formula>ABS(R$25-R$28)&gt;=1000</formula>
    </cfRule>
  </conditionalFormatting>
  <conditionalFormatting sqref="S22:S29">
    <cfRule type="expression" dxfId="56" priority="27">
      <formula>ABS(S$25-S$28)&gt;=1000</formula>
    </cfRule>
  </conditionalFormatting>
  <conditionalFormatting sqref="T22:T29">
    <cfRule type="expression" dxfId="55" priority="26">
      <formula>ABS(T$25-T$28)&gt;=1000</formula>
    </cfRule>
  </conditionalFormatting>
  <conditionalFormatting sqref="U22:U29">
    <cfRule type="expression" dxfId="54" priority="25">
      <formula>ABS(U$25-U$28)&gt;=1000</formula>
    </cfRule>
  </conditionalFormatting>
  <conditionalFormatting sqref="V22:V29">
    <cfRule type="expression" dxfId="53" priority="24">
      <formula>ABS(V$25-V$28)&gt;=1000</formula>
    </cfRule>
  </conditionalFormatting>
  <conditionalFormatting sqref="W22:W29">
    <cfRule type="expression" dxfId="52" priority="23">
      <formula>ABS(W$25-W$28)&gt;=1000</formula>
    </cfRule>
  </conditionalFormatting>
  <conditionalFormatting sqref="X22:X29">
    <cfRule type="expression" dxfId="51" priority="22">
      <formula>ABS(X$25-X$28)&gt;=1000</formula>
    </cfRule>
  </conditionalFormatting>
  <conditionalFormatting sqref="Y22:Y29">
    <cfRule type="expression" dxfId="50" priority="21">
      <formula>ABS(Y$25-Y$28)&gt;=1000</formula>
    </cfRule>
  </conditionalFormatting>
  <conditionalFormatting sqref="I23">
    <cfRule type="expression" dxfId="49" priority="20">
      <formula>ABS(I$25-I$28)&gt;=1000</formula>
    </cfRule>
  </conditionalFormatting>
  <conditionalFormatting sqref="F14">
    <cfRule type="expression" dxfId="48" priority="19">
      <formula>ABS(F$16-F$19)&gt;=1000</formula>
    </cfRule>
  </conditionalFormatting>
  <conditionalFormatting sqref="Q14">
    <cfRule type="expression" dxfId="47" priority="18">
      <formula>ABS(Q$16-Q$19)&gt;=1000</formula>
    </cfRule>
  </conditionalFormatting>
  <conditionalFormatting sqref="W14">
    <cfRule type="expression" dxfId="46" priority="17">
      <formula>ABS(W$16-W$19)&gt;=1000</formula>
    </cfRule>
  </conditionalFormatting>
  <conditionalFormatting sqref="Y14">
    <cfRule type="expression" dxfId="45" priority="16">
      <formula>ABS(Y$16-Y$19)&gt;=1000</formula>
    </cfRule>
  </conditionalFormatting>
  <conditionalFormatting sqref="X14">
    <cfRule type="expression" dxfId="44" priority="15">
      <formula>ABS(X$16-X$19)&gt;=1000</formula>
    </cfRule>
  </conditionalFormatting>
  <conditionalFormatting sqref="T10:Y10">
    <cfRule type="expression" dxfId="43" priority="14">
      <formula>ABS(T$7-T$10)&gt;=1000</formula>
    </cfRule>
  </conditionalFormatting>
  <conditionalFormatting sqref="W19">
    <cfRule type="expression" dxfId="42" priority="13">
      <formula>ABS(W$16-W$19)&gt;=1000</formula>
    </cfRule>
  </conditionalFormatting>
  <conditionalFormatting sqref="AC5">
    <cfRule type="expression" dxfId="41" priority="12">
      <formula>ABS(AC$7-AC$10)&gt;=1000</formula>
    </cfRule>
  </conditionalFormatting>
  <conditionalFormatting sqref="M14">
    <cfRule type="expression" dxfId="40" priority="11">
      <formula>ABS(M$16-M$19)&gt;=1000</formula>
    </cfRule>
  </conditionalFormatting>
  <conditionalFormatting sqref="M16">
    <cfRule type="expression" dxfId="39" priority="10">
      <formula>ABS(M$16-M$19)&gt;=1000</formula>
    </cfRule>
  </conditionalFormatting>
  <conditionalFormatting sqref="M19">
    <cfRule type="expression" dxfId="38" priority="9">
      <formula>ABS(M$16-M$19)&gt;=1000</formula>
    </cfRule>
  </conditionalFormatting>
  <conditionalFormatting sqref="K13:K20">
    <cfRule type="expression" dxfId="37" priority="8">
      <formula>ABS(K$16-K$19)&gt;=1000</formula>
    </cfRule>
  </conditionalFormatting>
  <conditionalFormatting sqref="E5">
    <cfRule type="expression" dxfId="36" priority="7">
      <formula>ABS(E$7-E$10)&gt;=1000</formula>
    </cfRule>
  </conditionalFormatting>
  <conditionalFormatting sqref="AB14:AC14">
    <cfRule type="expression" dxfId="35" priority="6">
      <formula>ABS(AB$16-AB$19)&gt;=1000</formula>
    </cfRule>
  </conditionalFormatting>
  <conditionalFormatting sqref="M5">
    <cfRule type="expression" dxfId="34" priority="5">
      <formula>ABS(M$7-M$10)&gt;=1000</formula>
    </cfRule>
  </conditionalFormatting>
  <conditionalFormatting sqref="N5">
    <cfRule type="expression" dxfId="33" priority="4">
      <formula>ABS(N$7-N$10)&gt;=1000</formula>
    </cfRule>
  </conditionalFormatting>
  <conditionalFormatting sqref="O5">
    <cfRule type="expression" dxfId="32" priority="3">
      <formula>ABS(O$7-O$10)&gt;=1000</formula>
    </cfRule>
  </conditionalFormatting>
  <conditionalFormatting sqref="P5">
    <cfRule type="expression" dxfId="31" priority="2">
      <formula>ABS(P$7-P$10)&gt;=1000</formula>
    </cfRule>
  </conditionalFormatting>
  <conditionalFormatting sqref="L23">
    <cfRule type="expression" dxfId="3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36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5.29</vt:lpstr>
      <vt:lpstr>6.1</vt:lpstr>
      <vt:lpstr>6.2</vt:lpstr>
      <vt:lpstr>6.3</vt:lpstr>
      <vt:lpstr>6.4</vt:lpstr>
      <vt:lpstr>6.5</vt:lpstr>
      <vt:lpstr>6.6</vt:lpstr>
      <vt:lpstr>6.9</vt:lpstr>
      <vt:lpstr>6.10</vt:lpstr>
      <vt:lpstr>6.11</vt:lpstr>
      <vt:lpstr>6.12</vt:lpstr>
      <vt:lpstr>6.13</vt:lpstr>
      <vt:lpstr>6.16</vt:lpstr>
      <vt:lpstr>6.17</vt:lpstr>
      <vt:lpstr>6.18</vt:lpstr>
      <vt:lpstr>6.19</vt:lpstr>
      <vt:lpstr>6.20</vt:lpstr>
      <vt:lpstr>6.23</vt:lpstr>
      <vt:lpstr>6.24</vt:lpstr>
      <vt:lpstr>6.25</vt:lpstr>
      <vt:lpstr>6.26</vt:lpstr>
      <vt:lpstr>6.27</vt:lpstr>
      <vt:lpstr>6.30</vt:lpstr>
      <vt:lpstr>'5.29'!Print_Area</vt:lpstr>
      <vt:lpstr>'6.1'!Print_Area</vt:lpstr>
      <vt:lpstr>'6.10'!Print_Area</vt:lpstr>
      <vt:lpstr>'6.11'!Print_Area</vt:lpstr>
      <vt:lpstr>'6.12'!Print_Area</vt:lpstr>
      <vt:lpstr>'6.13'!Print_Area</vt:lpstr>
      <vt:lpstr>'6.16'!Print_Area</vt:lpstr>
      <vt:lpstr>'6.17'!Print_Area</vt:lpstr>
      <vt:lpstr>'6.18'!Print_Area</vt:lpstr>
      <vt:lpstr>'6.19'!Print_Area</vt:lpstr>
      <vt:lpstr>'6.2'!Print_Area</vt:lpstr>
      <vt:lpstr>'6.20'!Print_Area</vt:lpstr>
      <vt:lpstr>'6.23'!Print_Area</vt:lpstr>
      <vt:lpstr>'6.24'!Print_Area</vt:lpstr>
      <vt:lpstr>'6.25'!Print_Area</vt:lpstr>
      <vt:lpstr>'6.26'!Print_Area</vt:lpstr>
      <vt:lpstr>'6.27'!Print_Area</vt:lpstr>
      <vt:lpstr>'6.3'!Print_Area</vt:lpstr>
      <vt:lpstr>'6.30'!Print_Area</vt:lpstr>
      <vt:lpstr>'6.4'!Print_Area</vt:lpstr>
      <vt:lpstr>'6.5'!Print_Area</vt:lpstr>
      <vt:lpstr>'6.6'!Print_Area</vt:lpstr>
      <vt:lpstr>'6.9'!Print_Area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2025-06-30T07:27:04Z</cp:lastPrinted>
  <dcterms:created xsi:type="dcterms:W3CDTF">2006-09-16T00:00:00Z</dcterms:created>
  <dcterms:modified xsi:type="dcterms:W3CDTF">2025-06-30T23:52:23Z</dcterms:modified>
</cp:coreProperties>
</file>