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4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5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7.xml" ContentType="application/vnd.openxmlformats-officedocument.drawing+xml"/>
  <Override PartName="/xl/ctrlProps/ctrlProp6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8.xml" ContentType="application/vnd.openxmlformats-officedocument.drawing+xml"/>
  <Override PartName="/xl/ctrlProps/ctrlProp7.xml" ContentType="application/vnd.ms-excel.controlproperties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9.xml" ContentType="application/vnd.openxmlformats-officedocument.drawing+xml"/>
  <Override PartName="/xl/ctrlProps/ctrlProp8.xml" ContentType="application/vnd.ms-excel.controlproperties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drawings/drawing10.xml" ContentType="application/vnd.openxmlformats-officedocument.drawing+xml"/>
  <Override PartName="/xl/ctrlProps/ctrlProp9.xml" ContentType="application/vnd.ms-excel.controlproperties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11.xml" ContentType="application/vnd.openxmlformats-officedocument.drawing+xml"/>
  <Override PartName="/xl/ctrlProps/ctrlProp10.xml" ContentType="application/vnd.ms-excel.controlproperties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drawings/drawing12.xml" ContentType="application/vnd.openxmlformats-officedocument.drawing+xml"/>
  <Override PartName="/xl/ctrlProps/ctrlProp11.xml" ContentType="application/vnd.ms-excel.controlproperties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13.xml" ContentType="application/vnd.openxmlformats-officedocument.drawing+xml"/>
  <Override PartName="/xl/ctrlProps/ctrlProp12.xml" ContentType="application/vnd.ms-excel.controlproperties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drawings/drawing14.xml" ContentType="application/vnd.openxmlformats-officedocument.drawing+xml"/>
  <Override PartName="/xl/ctrlProps/ctrlProp13.xml" ContentType="application/vnd.ms-excel.controlproperties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15.xml" ContentType="application/vnd.openxmlformats-officedocument.drawing+xml"/>
  <Override PartName="/xl/ctrlProps/ctrlProp14.xml" ContentType="application/vnd.ms-excel.controlproperties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drawings/drawing16.xml" ContentType="application/vnd.openxmlformats-officedocument.drawing+xml"/>
  <Override PartName="/xl/ctrlProps/ctrlProp15.xml" ContentType="application/vnd.ms-excel.controlproperties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drawings/drawing17.xml" ContentType="application/vnd.openxmlformats-officedocument.drawing+xml"/>
  <Override PartName="/xl/ctrlProps/ctrlProp16.xml" ContentType="application/vnd.ms-excel.controlproperties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drawings/drawing18.xml" ContentType="application/vnd.openxmlformats-officedocument.drawing+xml"/>
  <Override PartName="/xl/ctrlProps/ctrlProp17.xml" ContentType="application/vnd.ms-excel.controlproperties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drawings/drawing19.xml" ContentType="application/vnd.openxmlformats-officedocument.drawing+xml"/>
  <Override PartName="/xl/ctrlProps/ctrlProp18.xml" ContentType="application/vnd.ms-excel.controlproperties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drawings/drawing20.xml" ContentType="application/vnd.openxmlformats-officedocument.drawing+xml"/>
  <Override PartName="/xl/ctrlProps/ctrlProp19.xml" ContentType="application/vnd.ms-excel.controlproperties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儲槽作業日報\儲槽作業日報\2025\"/>
    </mc:Choice>
  </mc:AlternateContent>
  <bookViews>
    <workbookView xWindow="0" yWindow="0" windowWidth="20490" windowHeight="7710" firstSheet="7" activeTab="20"/>
  </bookViews>
  <sheets>
    <sheet name="新增" sheetId="1727" r:id="rId1"/>
    <sheet name="密度" sheetId="13" r:id="rId2"/>
    <sheet name="12.31" sheetId="1794" r:id="rId3"/>
    <sheet name="1.1" sheetId="1795" r:id="rId4"/>
    <sheet name="1.2" sheetId="1796" r:id="rId5"/>
    <sheet name="1.3" sheetId="1797" r:id="rId6"/>
    <sheet name="1.6" sheetId="1798" r:id="rId7"/>
    <sheet name="1.7" sheetId="1799" r:id="rId8"/>
    <sheet name="1.8" sheetId="1800" r:id="rId9"/>
    <sheet name="1.9" sheetId="1801" r:id="rId10"/>
    <sheet name="1.10" sheetId="1802" r:id="rId11"/>
    <sheet name="1.13" sheetId="1803" r:id="rId12"/>
    <sheet name="1.14" sheetId="1804" r:id="rId13"/>
    <sheet name="1.15" sheetId="1805" r:id="rId14"/>
    <sheet name="1.16" sheetId="1806" r:id="rId15"/>
    <sheet name="1.17" sheetId="1807" r:id="rId16"/>
    <sheet name="1.20" sheetId="1808" r:id="rId17"/>
    <sheet name="1.21" sheetId="1809" r:id="rId18"/>
    <sheet name="1.22" sheetId="1810" r:id="rId19"/>
    <sheet name="1.23" sheetId="1811" r:id="rId20"/>
    <sheet name="1.24" sheetId="1812" r:id="rId21"/>
  </sheets>
  <definedNames>
    <definedName name="_xlnm.Print_Area" localSheetId="3">'1.1'!$B$1:$AE$36</definedName>
    <definedName name="_xlnm.Print_Area" localSheetId="10">'1.10'!$B$1:$AE$36</definedName>
    <definedName name="_xlnm.Print_Area" localSheetId="11">'1.13'!$B$1:$AE$36</definedName>
    <definedName name="_xlnm.Print_Area" localSheetId="12">'1.14'!$B$1:$AE$36</definedName>
    <definedName name="_xlnm.Print_Area" localSheetId="13">'1.15'!$B$1:$AE$36</definedName>
    <definedName name="_xlnm.Print_Area" localSheetId="14">'1.16'!$B$1:$AE$36</definedName>
    <definedName name="_xlnm.Print_Area" localSheetId="15">'1.17'!$B$1:$AE$36</definedName>
    <definedName name="_xlnm.Print_Area" localSheetId="4">'1.2'!$B$1:$AE$36</definedName>
    <definedName name="_xlnm.Print_Area" localSheetId="16">'1.20'!$B$1:$AE$36</definedName>
    <definedName name="_xlnm.Print_Area" localSheetId="17">'1.21'!$B$1:$AE$36</definedName>
    <definedName name="_xlnm.Print_Area" localSheetId="18">'1.22'!$B$1:$AE$36</definedName>
    <definedName name="_xlnm.Print_Area" localSheetId="19">'1.23'!$B$1:$AE$36</definedName>
    <definedName name="_xlnm.Print_Area" localSheetId="20">'1.24'!$B$1:$AE$36</definedName>
    <definedName name="_xlnm.Print_Area" localSheetId="5">'1.3'!$B$1:$AE$36</definedName>
    <definedName name="_xlnm.Print_Area" localSheetId="6">'1.6'!$B$1:$AE$36</definedName>
    <definedName name="_xlnm.Print_Area" localSheetId="7">'1.7'!$B$1:$AE$36</definedName>
    <definedName name="_xlnm.Print_Area" localSheetId="8">'1.8'!$B$1:$AE$36</definedName>
    <definedName name="_xlnm.Print_Area" localSheetId="9">'1.9'!$B$1:$AE$36</definedName>
    <definedName name="_xlnm.Print_Area" localSheetId="2">'12.31'!$B$1:$AE$36</definedName>
    <definedName name="_xlnm.Print_Area" localSheetId="1">密度!$A$1:$W$51</definedName>
    <definedName name="_xlnm.Print_Area" localSheetId="0">新增!$A$1:$M$45</definedName>
    <definedName name="Z_512059F6_F0DC_4056_8FD0_37088AB81F9E_.wvu.PrintArea" localSheetId="3" hidden="1">'1.1'!$B$3:$AE$36</definedName>
    <definedName name="Z_512059F6_F0DC_4056_8FD0_37088AB81F9E_.wvu.PrintArea" localSheetId="10" hidden="1">'1.10'!$B$3:$AE$36</definedName>
    <definedName name="Z_512059F6_F0DC_4056_8FD0_37088AB81F9E_.wvu.PrintArea" localSheetId="11" hidden="1">'1.13'!$B$3:$AE$36</definedName>
    <definedName name="Z_512059F6_F0DC_4056_8FD0_37088AB81F9E_.wvu.PrintArea" localSheetId="12" hidden="1">'1.14'!$B$3:$AE$36</definedName>
    <definedName name="Z_512059F6_F0DC_4056_8FD0_37088AB81F9E_.wvu.PrintArea" localSheetId="13" hidden="1">'1.15'!$B$3:$AE$36</definedName>
    <definedName name="Z_512059F6_F0DC_4056_8FD0_37088AB81F9E_.wvu.PrintArea" localSheetId="14" hidden="1">'1.16'!$B$3:$AE$36</definedName>
    <definedName name="Z_512059F6_F0DC_4056_8FD0_37088AB81F9E_.wvu.PrintArea" localSheetId="15" hidden="1">'1.17'!$B$3:$AE$36</definedName>
    <definedName name="Z_512059F6_F0DC_4056_8FD0_37088AB81F9E_.wvu.PrintArea" localSheetId="4" hidden="1">'1.2'!$B$3:$AE$36</definedName>
    <definedName name="Z_512059F6_F0DC_4056_8FD0_37088AB81F9E_.wvu.PrintArea" localSheetId="16" hidden="1">'1.20'!$B$3:$AE$36</definedName>
    <definedName name="Z_512059F6_F0DC_4056_8FD0_37088AB81F9E_.wvu.PrintArea" localSheetId="17" hidden="1">'1.21'!$B$3:$AE$36</definedName>
    <definedName name="Z_512059F6_F0DC_4056_8FD0_37088AB81F9E_.wvu.PrintArea" localSheetId="18" hidden="1">'1.22'!$B$3:$AE$36</definedName>
    <definedName name="Z_512059F6_F0DC_4056_8FD0_37088AB81F9E_.wvu.PrintArea" localSheetId="19" hidden="1">'1.23'!$B$3:$AE$36</definedName>
    <definedName name="Z_512059F6_F0DC_4056_8FD0_37088AB81F9E_.wvu.PrintArea" localSheetId="20" hidden="1">'1.24'!$B$3:$AE$36</definedName>
    <definedName name="Z_512059F6_F0DC_4056_8FD0_37088AB81F9E_.wvu.PrintArea" localSheetId="5" hidden="1">'1.3'!$B$3:$AE$36</definedName>
    <definedName name="Z_512059F6_F0DC_4056_8FD0_37088AB81F9E_.wvu.PrintArea" localSheetId="6" hidden="1">'1.6'!$B$3:$AE$36</definedName>
    <definedName name="Z_512059F6_F0DC_4056_8FD0_37088AB81F9E_.wvu.PrintArea" localSheetId="7" hidden="1">'1.7'!$B$3:$AE$36</definedName>
    <definedName name="Z_512059F6_F0DC_4056_8FD0_37088AB81F9E_.wvu.PrintArea" localSheetId="8" hidden="1">'1.8'!$B$3:$AE$36</definedName>
    <definedName name="Z_512059F6_F0DC_4056_8FD0_37088AB81F9E_.wvu.PrintArea" localSheetId="9" hidden="1">'1.9'!$B$3:$AE$36</definedName>
    <definedName name="Z_512059F6_F0DC_4056_8FD0_37088AB81F9E_.wvu.PrintArea" localSheetId="2" hidden="1">'12.31'!$B$3:$AE$36</definedName>
    <definedName name="Z_68643476_8805_447E_8170_A582EA1D0343_.wvu.PrintArea" localSheetId="3" hidden="1">'1.1'!$B$3:$AE$36</definedName>
    <definedName name="Z_68643476_8805_447E_8170_A582EA1D0343_.wvu.PrintArea" localSheetId="10" hidden="1">'1.10'!$B$3:$AE$36</definedName>
    <definedName name="Z_68643476_8805_447E_8170_A582EA1D0343_.wvu.PrintArea" localSheetId="11" hidden="1">'1.13'!$B$3:$AE$36</definedName>
    <definedName name="Z_68643476_8805_447E_8170_A582EA1D0343_.wvu.PrintArea" localSheetId="12" hidden="1">'1.14'!$B$3:$AE$36</definedName>
    <definedName name="Z_68643476_8805_447E_8170_A582EA1D0343_.wvu.PrintArea" localSheetId="13" hidden="1">'1.15'!$B$3:$AE$36</definedName>
    <definedName name="Z_68643476_8805_447E_8170_A582EA1D0343_.wvu.PrintArea" localSheetId="14" hidden="1">'1.16'!$B$3:$AE$36</definedName>
    <definedName name="Z_68643476_8805_447E_8170_A582EA1D0343_.wvu.PrintArea" localSheetId="15" hidden="1">'1.17'!$B$3:$AE$36</definedName>
    <definedName name="Z_68643476_8805_447E_8170_A582EA1D0343_.wvu.PrintArea" localSheetId="4" hidden="1">'1.2'!$B$3:$AE$36</definedName>
    <definedName name="Z_68643476_8805_447E_8170_A582EA1D0343_.wvu.PrintArea" localSheetId="16" hidden="1">'1.20'!$B$3:$AE$36</definedName>
    <definedName name="Z_68643476_8805_447E_8170_A582EA1D0343_.wvu.PrintArea" localSheetId="17" hidden="1">'1.21'!$B$3:$AE$36</definedName>
    <definedName name="Z_68643476_8805_447E_8170_A582EA1D0343_.wvu.PrintArea" localSheetId="18" hidden="1">'1.22'!$B$3:$AE$36</definedName>
    <definedName name="Z_68643476_8805_447E_8170_A582EA1D0343_.wvu.PrintArea" localSheetId="19" hidden="1">'1.23'!$B$3:$AE$36</definedName>
    <definedName name="Z_68643476_8805_447E_8170_A582EA1D0343_.wvu.PrintArea" localSheetId="20" hidden="1">'1.24'!$B$3:$AE$36</definedName>
    <definedName name="Z_68643476_8805_447E_8170_A582EA1D0343_.wvu.PrintArea" localSheetId="5" hidden="1">'1.3'!$B$3:$AE$36</definedName>
    <definedName name="Z_68643476_8805_447E_8170_A582EA1D0343_.wvu.PrintArea" localSheetId="6" hidden="1">'1.6'!$B$3:$AE$36</definedName>
    <definedName name="Z_68643476_8805_447E_8170_A582EA1D0343_.wvu.PrintArea" localSheetId="7" hidden="1">'1.7'!$B$3:$AE$36</definedName>
    <definedName name="Z_68643476_8805_447E_8170_A582EA1D0343_.wvu.PrintArea" localSheetId="8" hidden="1">'1.8'!$B$3:$AE$36</definedName>
    <definedName name="Z_68643476_8805_447E_8170_A582EA1D0343_.wvu.PrintArea" localSheetId="9" hidden="1">'1.9'!$B$3:$AE$36</definedName>
    <definedName name="Z_68643476_8805_447E_8170_A582EA1D0343_.wvu.PrintArea" localSheetId="2" hidden="1">'12.31'!$B$3:$AE$36</definedName>
    <definedName name="Z_8E5926ED_4EBD_4129_B8FF_799CC47580D7_.wvu.PrintArea" localSheetId="3" hidden="1">'1.1'!$B$3:$AE$36</definedName>
    <definedName name="Z_8E5926ED_4EBD_4129_B8FF_799CC47580D7_.wvu.PrintArea" localSheetId="10" hidden="1">'1.10'!$B$3:$AE$36</definedName>
    <definedName name="Z_8E5926ED_4EBD_4129_B8FF_799CC47580D7_.wvu.PrintArea" localSheetId="11" hidden="1">'1.13'!$B$3:$AE$36</definedName>
    <definedName name="Z_8E5926ED_4EBD_4129_B8FF_799CC47580D7_.wvu.PrintArea" localSheetId="12" hidden="1">'1.14'!$B$3:$AE$36</definedName>
    <definedName name="Z_8E5926ED_4EBD_4129_B8FF_799CC47580D7_.wvu.PrintArea" localSheetId="13" hidden="1">'1.15'!$B$3:$AE$36</definedName>
    <definedName name="Z_8E5926ED_4EBD_4129_B8FF_799CC47580D7_.wvu.PrintArea" localSheetId="14" hidden="1">'1.16'!$B$3:$AE$36</definedName>
    <definedName name="Z_8E5926ED_4EBD_4129_B8FF_799CC47580D7_.wvu.PrintArea" localSheetId="15" hidden="1">'1.17'!$B$3:$AE$36</definedName>
    <definedName name="Z_8E5926ED_4EBD_4129_B8FF_799CC47580D7_.wvu.PrintArea" localSheetId="4" hidden="1">'1.2'!$B$3:$AE$36</definedName>
    <definedName name="Z_8E5926ED_4EBD_4129_B8FF_799CC47580D7_.wvu.PrintArea" localSheetId="16" hidden="1">'1.20'!$B$3:$AE$36</definedName>
    <definedName name="Z_8E5926ED_4EBD_4129_B8FF_799CC47580D7_.wvu.PrintArea" localSheetId="17" hidden="1">'1.21'!$B$3:$AE$36</definedName>
    <definedName name="Z_8E5926ED_4EBD_4129_B8FF_799CC47580D7_.wvu.PrintArea" localSheetId="18" hidden="1">'1.22'!$B$3:$AE$36</definedName>
    <definedName name="Z_8E5926ED_4EBD_4129_B8FF_799CC47580D7_.wvu.PrintArea" localSheetId="19" hidden="1">'1.23'!$B$3:$AE$36</definedName>
    <definedName name="Z_8E5926ED_4EBD_4129_B8FF_799CC47580D7_.wvu.PrintArea" localSheetId="20" hidden="1">'1.24'!$B$3:$AE$36</definedName>
    <definedName name="Z_8E5926ED_4EBD_4129_B8FF_799CC47580D7_.wvu.PrintArea" localSheetId="5" hidden="1">'1.3'!$B$3:$AE$36</definedName>
    <definedName name="Z_8E5926ED_4EBD_4129_B8FF_799CC47580D7_.wvu.PrintArea" localSheetId="6" hidden="1">'1.6'!$B$3:$AE$36</definedName>
    <definedName name="Z_8E5926ED_4EBD_4129_B8FF_799CC47580D7_.wvu.PrintArea" localSheetId="7" hidden="1">'1.7'!$B$3:$AE$36</definedName>
    <definedName name="Z_8E5926ED_4EBD_4129_B8FF_799CC47580D7_.wvu.PrintArea" localSheetId="8" hidden="1">'1.8'!$B$3:$AE$36</definedName>
    <definedName name="Z_8E5926ED_4EBD_4129_B8FF_799CC47580D7_.wvu.PrintArea" localSheetId="9" hidden="1">'1.9'!$B$3:$AE$36</definedName>
    <definedName name="Z_8E5926ED_4EBD_4129_B8FF_799CC47580D7_.wvu.PrintArea" localSheetId="2" hidden="1">'12.31'!$B$3:$AE$36</definedName>
    <definedName name="Z_8FA8B620_C56C_11DB_A857_00055D5FD5FF_.wvu.PrintArea" localSheetId="3" hidden="1">'1.1'!$B$3:$AE$36</definedName>
    <definedName name="Z_8FA8B620_C56C_11DB_A857_00055D5FD5FF_.wvu.PrintArea" localSheetId="10" hidden="1">'1.10'!$B$3:$AE$36</definedName>
    <definedName name="Z_8FA8B620_C56C_11DB_A857_00055D5FD5FF_.wvu.PrintArea" localSheetId="11" hidden="1">'1.13'!$B$3:$AE$36</definedName>
    <definedName name="Z_8FA8B620_C56C_11DB_A857_00055D5FD5FF_.wvu.PrintArea" localSheetId="12" hidden="1">'1.14'!$B$3:$AE$36</definedName>
    <definedName name="Z_8FA8B620_C56C_11DB_A857_00055D5FD5FF_.wvu.PrintArea" localSheetId="13" hidden="1">'1.15'!$B$3:$AE$36</definedName>
    <definedName name="Z_8FA8B620_C56C_11DB_A857_00055D5FD5FF_.wvu.PrintArea" localSheetId="14" hidden="1">'1.16'!$B$3:$AE$36</definedName>
    <definedName name="Z_8FA8B620_C56C_11DB_A857_00055D5FD5FF_.wvu.PrintArea" localSheetId="15" hidden="1">'1.17'!$B$3:$AE$36</definedName>
    <definedName name="Z_8FA8B620_C56C_11DB_A857_00055D5FD5FF_.wvu.PrintArea" localSheetId="4" hidden="1">'1.2'!$B$3:$AE$36</definedName>
    <definedName name="Z_8FA8B620_C56C_11DB_A857_00055D5FD5FF_.wvu.PrintArea" localSheetId="16" hidden="1">'1.20'!$B$3:$AE$36</definedName>
    <definedName name="Z_8FA8B620_C56C_11DB_A857_00055D5FD5FF_.wvu.PrintArea" localSheetId="17" hidden="1">'1.21'!$B$3:$AE$36</definedName>
    <definedName name="Z_8FA8B620_C56C_11DB_A857_00055D5FD5FF_.wvu.PrintArea" localSheetId="18" hidden="1">'1.22'!$B$3:$AE$36</definedName>
    <definedName name="Z_8FA8B620_C56C_11DB_A857_00055D5FD5FF_.wvu.PrintArea" localSheetId="19" hidden="1">'1.23'!$B$3:$AE$36</definedName>
    <definedName name="Z_8FA8B620_C56C_11DB_A857_00055D5FD5FF_.wvu.PrintArea" localSheetId="20" hidden="1">'1.24'!$B$3:$AE$36</definedName>
    <definedName name="Z_8FA8B620_C56C_11DB_A857_00055D5FD5FF_.wvu.PrintArea" localSheetId="5" hidden="1">'1.3'!$B$3:$AE$36</definedName>
    <definedName name="Z_8FA8B620_C56C_11DB_A857_00055D5FD5FF_.wvu.PrintArea" localSheetId="6" hidden="1">'1.6'!$B$3:$AE$36</definedName>
    <definedName name="Z_8FA8B620_C56C_11DB_A857_00055D5FD5FF_.wvu.PrintArea" localSheetId="7" hidden="1">'1.7'!$B$3:$AE$36</definedName>
    <definedName name="Z_8FA8B620_C56C_11DB_A857_00055D5FD5FF_.wvu.PrintArea" localSheetId="8" hidden="1">'1.8'!$B$3:$AE$36</definedName>
    <definedName name="Z_8FA8B620_C56C_11DB_A857_00055D5FD5FF_.wvu.PrintArea" localSheetId="9" hidden="1">'1.9'!$B$3:$AE$36</definedName>
    <definedName name="Z_8FA8B620_C56C_11DB_A857_00055D5FD5FF_.wvu.PrintArea" localSheetId="2" hidden="1">'12.31'!$B$3:$AE$36</definedName>
    <definedName name="Z_A3DB5619_047E_4CE2_8C39_700CFD25F2CB_.wvu.PrintArea" localSheetId="3" hidden="1">'1.1'!$B$3:$AE$36</definedName>
    <definedName name="Z_A3DB5619_047E_4CE2_8C39_700CFD25F2CB_.wvu.PrintArea" localSheetId="10" hidden="1">'1.10'!$B$3:$AE$36</definedName>
    <definedName name="Z_A3DB5619_047E_4CE2_8C39_700CFD25F2CB_.wvu.PrintArea" localSheetId="11" hidden="1">'1.13'!$B$3:$AE$36</definedName>
    <definedName name="Z_A3DB5619_047E_4CE2_8C39_700CFD25F2CB_.wvu.PrintArea" localSheetId="12" hidden="1">'1.14'!$B$3:$AE$36</definedName>
    <definedName name="Z_A3DB5619_047E_4CE2_8C39_700CFD25F2CB_.wvu.PrintArea" localSheetId="13" hidden="1">'1.15'!$B$3:$AE$36</definedName>
    <definedName name="Z_A3DB5619_047E_4CE2_8C39_700CFD25F2CB_.wvu.PrintArea" localSheetId="14" hidden="1">'1.16'!$B$3:$AE$36</definedName>
    <definedName name="Z_A3DB5619_047E_4CE2_8C39_700CFD25F2CB_.wvu.PrintArea" localSheetId="15" hidden="1">'1.17'!$B$3:$AE$36</definedName>
    <definedName name="Z_A3DB5619_047E_4CE2_8C39_700CFD25F2CB_.wvu.PrintArea" localSheetId="4" hidden="1">'1.2'!$B$3:$AE$36</definedName>
    <definedName name="Z_A3DB5619_047E_4CE2_8C39_700CFD25F2CB_.wvu.PrintArea" localSheetId="16" hidden="1">'1.20'!$B$3:$AE$36</definedName>
    <definedName name="Z_A3DB5619_047E_4CE2_8C39_700CFD25F2CB_.wvu.PrintArea" localSheetId="17" hidden="1">'1.21'!$B$3:$AE$36</definedName>
    <definedName name="Z_A3DB5619_047E_4CE2_8C39_700CFD25F2CB_.wvu.PrintArea" localSheetId="18" hidden="1">'1.22'!$B$3:$AE$36</definedName>
    <definedName name="Z_A3DB5619_047E_4CE2_8C39_700CFD25F2CB_.wvu.PrintArea" localSheetId="19" hidden="1">'1.23'!$B$3:$AE$36</definedName>
    <definedName name="Z_A3DB5619_047E_4CE2_8C39_700CFD25F2CB_.wvu.PrintArea" localSheetId="20" hidden="1">'1.24'!$B$3:$AE$36</definedName>
    <definedName name="Z_A3DB5619_047E_4CE2_8C39_700CFD25F2CB_.wvu.PrintArea" localSheetId="5" hidden="1">'1.3'!$B$3:$AE$36</definedName>
    <definedName name="Z_A3DB5619_047E_4CE2_8C39_700CFD25F2CB_.wvu.PrintArea" localSheetId="6" hidden="1">'1.6'!$B$3:$AE$36</definedName>
    <definedName name="Z_A3DB5619_047E_4CE2_8C39_700CFD25F2CB_.wvu.PrintArea" localSheetId="7" hidden="1">'1.7'!$B$3:$AE$36</definedName>
    <definedName name="Z_A3DB5619_047E_4CE2_8C39_700CFD25F2CB_.wvu.PrintArea" localSheetId="8" hidden="1">'1.8'!$B$3:$AE$36</definedName>
    <definedName name="Z_A3DB5619_047E_4CE2_8C39_700CFD25F2CB_.wvu.PrintArea" localSheetId="9" hidden="1">'1.9'!$B$3:$AE$36</definedName>
    <definedName name="Z_A3DB5619_047E_4CE2_8C39_700CFD25F2CB_.wvu.PrintArea" localSheetId="2" hidden="1">'12.31'!$B$3:$AE$36</definedName>
    <definedName name="Z_D903F940_B812_11DB_B168_0010B575B8B2_.wvu.PrintArea" localSheetId="3" hidden="1">'1.1'!$B$3:$AE$36</definedName>
    <definedName name="Z_D903F940_B812_11DB_B168_0010B575B8B2_.wvu.PrintArea" localSheetId="10" hidden="1">'1.10'!$B$3:$AE$36</definedName>
    <definedName name="Z_D903F940_B812_11DB_B168_0010B575B8B2_.wvu.PrintArea" localSheetId="11" hidden="1">'1.13'!$B$3:$AE$36</definedName>
    <definedName name="Z_D903F940_B812_11DB_B168_0010B575B8B2_.wvu.PrintArea" localSheetId="12" hidden="1">'1.14'!$B$3:$AE$36</definedName>
    <definedName name="Z_D903F940_B812_11DB_B168_0010B575B8B2_.wvu.PrintArea" localSheetId="13" hidden="1">'1.15'!$B$3:$AE$36</definedName>
    <definedName name="Z_D903F940_B812_11DB_B168_0010B575B8B2_.wvu.PrintArea" localSheetId="14" hidden="1">'1.16'!$B$3:$AE$36</definedName>
    <definedName name="Z_D903F940_B812_11DB_B168_0010B575B8B2_.wvu.PrintArea" localSheetId="15" hidden="1">'1.17'!$B$3:$AE$36</definedName>
    <definedName name="Z_D903F940_B812_11DB_B168_0010B575B8B2_.wvu.PrintArea" localSheetId="4" hidden="1">'1.2'!$B$3:$AE$36</definedName>
    <definedName name="Z_D903F940_B812_11DB_B168_0010B575B8B2_.wvu.PrintArea" localSheetId="16" hidden="1">'1.20'!$B$3:$AE$36</definedName>
    <definedName name="Z_D903F940_B812_11DB_B168_0010B575B8B2_.wvu.PrintArea" localSheetId="17" hidden="1">'1.21'!$B$3:$AE$36</definedName>
    <definedName name="Z_D903F940_B812_11DB_B168_0010B575B8B2_.wvu.PrintArea" localSheetId="18" hidden="1">'1.22'!$B$3:$AE$36</definedName>
    <definedName name="Z_D903F940_B812_11DB_B168_0010B575B8B2_.wvu.PrintArea" localSheetId="19" hidden="1">'1.23'!$B$3:$AE$36</definedName>
    <definedName name="Z_D903F940_B812_11DB_B168_0010B575B8B2_.wvu.PrintArea" localSheetId="20" hidden="1">'1.24'!$B$3:$AE$36</definedName>
    <definedName name="Z_D903F940_B812_11DB_B168_0010B575B8B2_.wvu.PrintArea" localSheetId="5" hidden="1">'1.3'!$B$3:$AE$36</definedName>
    <definedName name="Z_D903F940_B812_11DB_B168_0010B575B8B2_.wvu.PrintArea" localSheetId="6" hidden="1">'1.6'!$B$3:$AE$36</definedName>
    <definedName name="Z_D903F940_B812_11DB_B168_0010B575B8B2_.wvu.PrintArea" localSheetId="7" hidden="1">'1.7'!$B$3:$AE$36</definedName>
    <definedName name="Z_D903F940_B812_11DB_B168_0010B575B8B2_.wvu.PrintArea" localSheetId="8" hidden="1">'1.8'!$B$3:$AE$36</definedName>
    <definedName name="Z_D903F940_B812_11DB_B168_0010B575B8B2_.wvu.PrintArea" localSheetId="9" hidden="1">'1.9'!$B$3:$AE$36</definedName>
    <definedName name="Z_D903F940_B812_11DB_B168_0010B575B8B2_.wvu.PrintArea" localSheetId="2" hidden="1">'12.31'!$B$3:$AE$36</definedName>
    <definedName name="取樣回收每月庫存表" localSheetId="3" hidden="1">'1.1'!#REF!</definedName>
    <definedName name="取樣回收每月庫存表" localSheetId="10" hidden="1">'1.10'!#REF!</definedName>
    <definedName name="取樣回收每月庫存表" localSheetId="11" hidden="1">'1.13'!#REF!</definedName>
    <definedName name="取樣回收每月庫存表" localSheetId="12" hidden="1">'1.14'!#REF!</definedName>
    <definedName name="取樣回收每月庫存表" localSheetId="13" hidden="1">'1.15'!#REF!</definedName>
    <definedName name="取樣回收每月庫存表" localSheetId="14" hidden="1">'1.16'!#REF!</definedName>
    <definedName name="取樣回收每月庫存表" localSheetId="15" hidden="1">'1.17'!#REF!</definedName>
    <definedName name="取樣回收每月庫存表" localSheetId="4" hidden="1">'1.2'!#REF!</definedName>
    <definedName name="取樣回收每月庫存表" localSheetId="16" hidden="1">'1.20'!#REF!</definedName>
    <definedName name="取樣回收每月庫存表" localSheetId="17" hidden="1">'1.21'!#REF!</definedName>
    <definedName name="取樣回收每月庫存表" localSheetId="18" hidden="1">'1.22'!#REF!</definedName>
    <definedName name="取樣回收每月庫存表" localSheetId="19" hidden="1">'1.23'!#REF!</definedName>
    <definedName name="取樣回收每月庫存表" localSheetId="20" hidden="1">'1.24'!#REF!</definedName>
    <definedName name="取樣回收每月庫存表" localSheetId="5" hidden="1">'1.3'!#REF!</definedName>
    <definedName name="取樣回收每月庫存表" localSheetId="6" hidden="1">'1.6'!#REF!</definedName>
    <definedName name="取樣回收每月庫存表" localSheetId="7" hidden="1">'1.7'!#REF!</definedName>
    <definedName name="取樣回收每月庫存表" localSheetId="8" hidden="1">'1.8'!#REF!</definedName>
    <definedName name="取樣回收每月庫存表" localSheetId="9" hidden="1">'1.9'!#REF!</definedName>
    <definedName name="取樣回收每月庫存表" localSheetId="2" hidden="1">'12.31'!#REF!</definedName>
    <definedName name="取樣回收每月庫存表_0620更新" localSheetId="3" hidden="1">'1.1'!$AG$13:$BH$189</definedName>
    <definedName name="取樣回收每月庫存表_0620更新" localSheetId="10" hidden="1">'1.10'!$AG$13:$BH$189</definedName>
    <definedName name="取樣回收每月庫存表_0620更新" localSheetId="11" hidden="1">'1.13'!$AG$13:$BH$189</definedName>
    <definedName name="取樣回收每月庫存表_0620更新" localSheetId="12" hidden="1">'1.14'!$AG$13:$BH$189</definedName>
    <definedName name="取樣回收每月庫存表_0620更新" localSheetId="13" hidden="1">'1.15'!$AG$13:$BH$189</definedName>
    <definedName name="取樣回收每月庫存表_0620更新" localSheetId="14" hidden="1">'1.16'!$AG$13:$BH$189</definedName>
    <definedName name="取樣回收每月庫存表_0620更新" localSheetId="15" hidden="1">'1.17'!$AG$13:$BH$189</definedName>
    <definedName name="取樣回收每月庫存表_0620更新" localSheetId="4" hidden="1">'1.2'!$AG$13:$BH$189</definedName>
    <definedName name="取樣回收每月庫存表_0620更新" localSheetId="16" hidden="1">'1.20'!$AG$13:$BH$189</definedName>
    <definedName name="取樣回收每月庫存表_0620更新" localSheetId="17" hidden="1">'1.21'!$AG$13:$BH$189</definedName>
    <definedName name="取樣回收每月庫存表_0620更新" localSheetId="18" hidden="1">'1.22'!$AG$13:$BH$189</definedName>
    <definedName name="取樣回收每月庫存表_0620更新" localSheetId="19" hidden="1">'1.23'!$AG$13:$BH$189</definedName>
    <definedName name="取樣回收每月庫存表_0620更新" localSheetId="20" hidden="1">'1.24'!$AG$13:$BH$189</definedName>
    <definedName name="取樣回收每月庫存表_0620更新" localSheetId="5" hidden="1">'1.3'!$AG$13:$BH$189</definedName>
    <definedName name="取樣回收每月庫存表_0620更新" localSheetId="6" hidden="1">'1.6'!$AG$13:$BH$189</definedName>
    <definedName name="取樣回收每月庫存表_0620更新" localSheetId="7" hidden="1">'1.7'!$AG$13:$BH$189</definedName>
    <definedName name="取樣回收每月庫存表_0620更新" localSheetId="8" hidden="1">'1.8'!$AG$13:$BH$189</definedName>
    <definedName name="取樣回收每月庫存表_0620更新" localSheetId="9" hidden="1">'1.9'!$AG$13:$BH$189</definedName>
    <definedName name="取樣回收每月庫存表_0620更新" localSheetId="2" hidden="1">'12.31'!$AG$13:$BH$189</definedName>
    <definedName name="複本_14_取樣回收每月庫存表" localSheetId="3" hidden="1">'1.1'!#REF!</definedName>
    <definedName name="複本_14_取樣回收每月庫存表" localSheetId="10" hidden="1">'1.10'!#REF!</definedName>
    <definedName name="複本_14_取樣回收每月庫存表" localSheetId="11" hidden="1">'1.13'!#REF!</definedName>
    <definedName name="複本_14_取樣回收每月庫存表" localSheetId="12" hidden="1">'1.14'!#REF!</definedName>
    <definedName name="複本_14_取樣回收每月庫存表" localSheetId="13" hidden="1">'1.15'!#REF!</definedName>
    <definedName name="複本_14_取樣回收每月庫存表" localSheetId="14" hidden="1">'1.16'!#REF!</definedName>
    <definedName name="複本_14_取樣回收每月庫存表" localSheetId="15" hidden="1">'1.17'!#REF!</definedName>
    <definedName name="複本_14_取樣回收每月庫存表" localSheetId="4" hidden="1">'1.2'!#REF!</definedName>
    <definedName name="複本_14_取樣回收每月庫存表" localSheetId="16" hidden="1">'1.20'!#REF!</definedName>
    <definedName name="複本_14_取樣回收每月庫存表" localSheetId="17" hidden="1">'1.21'!#REF!</definedName>
    <definedName name="複本_14_取樣回收每月庫存表" localSheetId="18" hidden="1">'1.22'!#REF!</definedName>
    <definedName name="複本_14_取樣回收每月庫存表" localSheetId="19" hidden="1">'1.23'!#REF!</definedName>
    <definedName name="複本_14_取樣回收每月庫存表" localSheetId="20" hidden="1">'1.24'!#REF!</definedName>
    <definedName name="複本_14_取樣回收每月庫存表" localSheetId="5" hidden="1">'1.3'!#REF!</definedName>
    <definedName name="複本_14_取樣回收每月庫存表" localSheetId="6" hidden="1">'1.6'!#REF!</definedName>
    <definedName name="複本_14_取樣回收每月庫存表" localSheetId="7" hidden="1">'1.7'!#REF!</definedName>
    <definedName name="複本_14_取樣回收每月庫存表" localSheetId="8" hidden="1">'1.8'!#REF!</definedName>
    <definedName name="複本_14_取樣回收每月庫存表" localSheetId="9" hidden="1">'1.9'!#REF!</definedName>
    <definedName name="複本_14_取樣回收每月庫存表" localSheetId="2" hidden="1">'12.31'!#REF!</definedName>
  </definedNames>
  <calcPr calcId="162913"/>
</workbook>
</file>

<file path=xl/calcChain.xml><?xml version="1.0" encoding="utf-8"?>
<calcChain xmlns="http://schemas.openxmlformats.org/spreadsheetml/2006/main">
  <c r="AA33" i="1812" l="1"/>
  <c r="X33" i="1812"/>
  <c r="U33" i="1812"/>
  <c r="R33" i="1812"/>
  <c r="O33" i="1812"/>
  <c r="L33" i="1812"/>
  <c r="F33" i="1812"/>
  <c r="Y28" i="1812"/>
  <c r="X28" i="1812"/>
  <c r="W28" i="1812"/>
  <c r="V28" i="1812"/>
  <c r="U28" i="1812"/>
  <c r="T28" i="1812"/>
  <c r="S28" i="1812"/>
  <c r="R28" i="1812"/>
  <c r="Q28" i="1812"/>
  <c r="P28" i="1812"/>
  <c r="O28" i="1812"/>
  <c r="N28" i="1812"/>
  <c r="M28" i="1812"/>
  <c r="L28" i="1812"/>
  <c r="K28" i="1812"/>
  <c r="J28" i="1812"/>
  <c r="I28" i="1812"/>
  <c r="H28" i="1812"/>
  <c r="G28" i="1812"/>
  <c r="F28" i="1812"/>
  <c r="E28" i="1812"/>
  <c r="D28" i="1812"/>
  <c r="Y25" i="1812"/>
  <c r="X25" i="1812"/>
  <c r="W25" i="1812"/>
  <c r="V25" i="1812"/>
  <c r="U25" i="1812"/>
  <c r="T25" i="1812"/>
  <c r="S25" i="1812"/>
  <c r="R25" i="1812"/>
  <c r="Q25" i="1812"/>
  <c r="P25" i="1812"/>
  <c r="O25" i="1812"/>
  <c r="N25" i="1812"/>
  <c r="M25" i="1812"/>
  <c r="L25" i="1812"/>
  <c r="K25" i="1812"/>
  <c r="J25" i="1812"/>
  <c r="I25" i="1812"/>
  <c r="H25" i="1812"/>
  <c r="G25" i="1812"/>
  <c r="F25" i="1812"/>
  <c r="E25" i="1812"/>
  <c r="D25" i="1812"/>
  <c r="AE19" i="1812"/>
  <c r="AD19" i="1812"/>
  <c r="AC19" i="1812"/>
  <c r="AB19" i="1812"/>
  <c r="AA19" i="1812"/>
  <c r="Z19" i="1812"/>
  <c r="Y19" i="1812"/>
  <c r="X19" i="1812"/>
  <c r="T33" i="1812" s="1"/>
  <c r="W19" i="1812"/>
  <c r="V19" i="1812"/>
  <c r="U19" i="1812"/>
  <c r="T19" i="1812"/>
  <c r="S19" i="1812"/>
  <c r="R19" i="1812"/>
  <c r="Q19" i="1812"/>
  <c r="P19" i="1812"/>
  <c r="O19" i="1812"/>
  <c r="N19" i="1812"/>
  <c r="H33" i="1812" s="1"/>
  <c r="M19" i="1812"/>
  <c r="L19" i="1812"/>
  <c r="P33" i="1812" s="1"/>
  <c r="K19" i="1812"/>
  <c r="J19" i="1812"/>
  <c r="I19" i="1812"/>
  <c r="AB33" i="1812" s="1"/>
  <c r="H19" i="1812"/>
  <c r="G19" i="1812"/>
  <c r="F19" i="1812"/>
  <c r="E19" i="1812"/>
  <c r="D19" i="1812"/>
  <c r="AE16" i="1812"/>
  <c r="AD16" i="1812"/>
  <c r="AC16" i="1812"/>
  <c r="AB16" i="1812"/>
  <c r="AA16" i="1812"/>
  <c r="Z16" i="1812"/>
  <c r="Y16" i="1812"/>
  <c r="X16" i="1812"/>
  <c r="W16" i="1812"/>
  <c r="V16" i="1812"/>
  <c r="U16" i="1812"/>
  <c r="T16" i="1812"/>
  <c r="S16" i="1812"/>
  <c r="R16" i="1812"/>
  <c r="Q16" i="1812"/>
  <c r="P16" i="1812"/>
  <c r="O16" i="1812"/>
  <c r="N16" i="1812"/>
  <c r="M16" i="1812"/>
  <c r="L16" i="1812"/>
  <c r="K16" i="1812"/>
  <c r="J16" i="1812"/>
  <c r="I16" i="1812"/>
  <c r="H16" i="1812"/>
  <c r="G16" i="1812"/>
  <c r="F16" i="1812"/>
  <c r="E16" i="1812"/>
  <c r="D16" i="1812"/>
  <c r="AE10" i="1812"/>
  <c r="AD10" i="1812"/>
  <c r="AC33" i="1812" s="1"/>
  <c r="AC10" i="1812"/>
  <c r="AB10" i="1812"/>
  <c r="D33" i="1812" s="1"/>
  <c r="AA10" i="1812"/>
  <c r="Z10" i="1812"/>
  <c r="Y10" i="1812"/>
  <c r="X10" i="1812"/>
  <c r="W10" i="1812"/>
  <c r="V10" i="1812"/>
  <c r="U10" i="1812"/>
  <c r="T10" i="1812"/>
  <c r="S10" i="1812"/>
  <c r="R10" i="1812"/>
  <c r="Q10" i="1812"/>
  <c r="P10" i="1812"/>
  <c r="O10" i="1812"/>
  <c r="N10" i="1812"/>
  <c r="Q33" i="1812" s="1"/>
  <c r="M10" i="1812"/>
  <c r="E33" i="1812" s="1"/>
  <c r="L10" i="1812"/>
  <c r="N33" i="1812" s="1"/>
  <c r="K10" i="1812"/>
  <c r="J10" i="1812"/>
  <c r="I10" i="1812"/>
  <c r="H10" i="1812"/>
  <c r="G10" i="1812"/>
  <c r="F10" i="1812"/>
  <c r="J33" i="1812" s="1"/>
  <c r="E10" i="1812"/>
  <c r="S33" i="1812" s="1"/>
  <c r="D10" i="1812"/>
  <c r="AE7" i="1812"/>
  <c r="AD7" i="1812"/>
  <c r="AC7" i="1812"/>
  <c r="AB7" i="1812"/>
  <c r="AA7" i="1812"/>
  <c r="Z7" i="1812"/>
  <c r="Y7" i="1812"/>
  <c r="X7" i="1812"/>
  <c r="W7" i="1812"/>
  <c r="V7" i="1812"/>
  <c r="U7" i="1812"/>
  <c r="T7" i="1812"/>
  <c r="S7" i="1812"/>
  <c r="R7" i="1812"/>
  <c r="Q7" i="1812"/>
  <c r="P7" i="1812"/>
  <c r="O7" i="1812"/>
  <c r="N7" i="1812"/>
  <c r="M7" i="1812"/>
  <c r="L7" i="1812"/>
  <c r="K7" i="1812"/>
  <c r="J7" i="1812"/>
  <c r="I7" i="1812"/>
  <c r="H7" i="1812"/>
  <c r="G7" i="1812"/>
  <c r="F7" i="1812"/>
  <c r="E7" i="1812"/>
  <c r="D7" i="1812"/>
  <c r="K33" i="1812" l="1"/>
  <c r="W33" i="1812"/>
  <c r="Z33" i="1812"/>
  <c r="Y33" i="1812"/>
  <c r="M33" i="1812"/>
  <c r="V33" i="1812"/>
  <c r="AA33" i="1811"/>
  <c r="X33" i="1811"/>
  <c r="U33" i="1811"/>
  <c r="R33" i="1811"/>
  <c r="O33" i="1811"/>
  <c r="L33" i="1811"/>
  <c r="F33" i="1811"/>
  <c r="Y28" i="1811"/>
  <c r="X28" i="1811"/>
  <c r="W28" i="1811"/>
  <c r="V28" i="1811"/>
  <c r="U28" i="1811"/>
  <c r="T28" i="1811"/>
  <c r="S28" i="1811"/>
  <c r="R28" i="1811"/>
  <c r="Q28" i="1811"/>
  <c r="P28" i="1811"/>
  <c r="O28" i="1811"/>
  <c r="N28" i="1811"/>
  <c r="M28" i="1811"/>
  <c r="L28" i="1811"/>
  <c r="K28" i="1811"/>
  <c r="J28" i="1811"/>
  <c r="I28" i="1811"/>
  <c r="H28" i="1811"/>
  <c r="G28" i="1811"/>
  <c r="F28" i="1811"/>
  <c r="E28" i="1811"/>
  <c r="D28" i="1811"/>
  <c r="Y25" i="1811"/>
  <c r="X25" i="1811"/>
  <c r="W25" i="1811"/>
  <c r="V25" i="1811"/>
  <c r="U25" i="1811"/>
  <c r="T25" i="1811"/>
  <c r="S25" i="1811"/>
  <c r="R25" i="1811"/>
  <c r="Q25" i="1811"/>
  <c r="P25" i="1811"/>
  <c r="O25" i="1811"/>
  <c r="N25" i="1811"/>
  <c r="M25" i="1811"/>
  <c r="L25" i="1811"/>
  <c r="K25" i="1811"/>
  <c r="J25" i="1811"/>
  <c r="I25" i="1811"/>
  <c r="H25" i="1811"/>
  <c r="G25" i="1811"/>
  <c r="F25" i="1811"/>
  <c r="E25" i="1811"/>
  <c r="D25" i="1811"/>
  <c r="AE19" i="1811"/>
  <c r="AD19" i="1811"/>
  <c r="AC19" i="1811"/>
  <c r="AB19" i="1811"/>
  <c r="AA19" i="1811"/>
  <c r="Z19" i="1811"/>
  <c r="Y19" i="1811"/>
  <c r="X19" i="1811"/>
  <c r="T33" i="1811" s="1"/>
  <c r="W19" i="1811"/>
  <c r="V19" i="1811"/>
  <c r="U19" i="1811"/>
  <c r="T19" i="1811"/>
  <c r="S19" i="1811"/>
  <c r="R19" i="1811"/>
  <c r="Q19" i="1811"/>
  <c r="P19" i="1811"/>
  <c r="O19" i="1811"/>
  <c r="N19" i="1811"/>
  <c r="H33" i="1811" s="1"/>
  <c r="M19" i="1811"/>
  <c r="L19" i="1811"/>
  <c r="P33" i="1811" s="1"/>
  <c r="K19" i="1811"/>
  <c r="J19" i="1811"/>
  <c r="I19" i="1811"/>
  <c r="AB33" i="1811" s="1"/>
  <c r="H19" i="1811"/>
  <c r="G19" i="1811"/>
  <c r="F19" i="1811"/>
  <c r="E19" i="1811"/>
  <c r="D19" i="1811"/>
  <c r="AE16" i="1811"/>
  <c r="AD16" i="1811"/>
  <c r="AC16" i="1811"/>
  <c r="AB16" i="1811"/>
  <c r="AA16" i="1811"/>
  <c r="Z16" i="1811"/>
  <c r="Y16" i="1811"/>
  <c r="X16" i="1811"/>
  <c r="W16" i="1811"/>
  <c r="V16" i="1811"/>
  <c r="U16" i="1811"/>
  <c r="T16" i="1811"/>
  <c r="S16" i="1811"/>
  <c r="R16" i="1811"/>
  <c r="Q16" i="1811"/>
  <c r="P16" i="1811"/>
  <c r="O16" i="1811"/>
  <c r="N16" i="1811"/>
  <c r="M16" i="1811"/>
  <c r="L16" i="1811"/>
  <c r="K16" i="1811"/>
  <c r="J16" i="1811"/>
  <c r="I16" i="1811"/>
  <c r="H16" i="1811"/>
  <c r="G16" i="1811"/>
  <c r="F16" i="1811"/>
  <c r="E16" i="1811"/>
  <c r="D16" i="1811"/>
  <c r="AE10" i="1811"/>
  <c r="AD10" i="1811"/>
  <c r="AC33" i="1811" s="1"/>
  <c r="AC10" i="1811"/>
  <c r="AB10" i="1811"/>
  <c r="AA10" i="1811"/>
  <c r="Z10" i="1811"/>
  <c r="Y10" i="1811"/>
  <c r="X10" i="1811"/>
  <c r="W10" i="1811"/>
  <c r="V10" i="1811"/>
  <c r="U10" i="1811"/>
  <c r="T10" i="1811"/>
  <c r="S10" i="1811"/>
  <c r="R10" i="1811"/>
  <c r="Q10" i="1811"/>
  <c r="P10" i="1811"/>
  <c r="O10" i="1811"/>
  <c r="N10" i="1811"/>
  <c r="Q33" i="1811" s="1"/>
  <c r="M10" i="1811"/>
  <c r="L10" i="1811"/>
  <c r="K10" i="1811"/>
  <c r="J10" i="1811"/>
  <c r="I10" i="1811"/>
  <c r="H10" i="1811"/>
  <c r="G10" i="1811"/>
  <c r="F10" i="1811"/>
  <c r="J33" i="1811" s="1"/>
  <c r="E10" i="1811"/>
  <c r="S33" i="1811" s="1"/>
  <c r="D10" i="1811"/>
  <c r="AE7" i="1811"/>
  <c r="AD7" i="1811"/>
  <c r="AC7" i="1811"/>
  <c r="AB7" i="1811"/>
  <c r="AA7" i="1811"/>
  <c r="Z7" i="1811"/>
  <c r="Y7" i="1811"/>
  <c r="X7" i="1811"/>
  <c r="W7" i="1811"/>
  <c r="V7" i="1811"/>
  <c r="U7" i="1811"/>
  <c r="T7" i="1811"/>
  <c r="S7" i="1811"/>
  <c r="R7" i="1811"/>
  <c r="Q7" i="1811"/>
  <c r="P7" i="1811"/>
  <c r="O7" i="1811"/>
  <c r="N7" i="1811"/>
  <c r="M7" i="1811"/>
  <c r="L7" i="1811"/>
  <c r="K7" i="1811"/>
  <c r="J7" i="1811"/>
  <c r="I7" i="1811"/>
  <c r="H7" i="1811"/>
  <c r="G7" i="1811"/>
  <c r="F7" i="1811"/>
  <c r="E7" i="1811"/>
  <c r="D7" i="1811"/>
  <c r="K33" i="1811" l="1"/>
  <c r="W33" i="1811"/>
  <c r="D33" i="1811"/>
  <c r="Z33" i="1811"/>
  <c r="Y33" i="1811"/>
  <c r="N33" i="1811"/>
  <c r="E33" i="1811"/>
  <c r="M33" i="1811"/>
  <c r="V33" i="1811"/>
  <c r="AA33" i="1810"/>
  <c r="X33" i="1810"/>
  <c r="U33" i="1810"/>
  <c r="R33" i="1810"/>
  <c r="O33" i="1810"/>
  <c r="L33" i="1810"/>
  <c r="F33" i="1810"/>
  <c r="Y28" i="1810"/>
  <c r="X28" i="1810"/>
  <c r="W28" i="1810"/>
  <c r="V28" i="1810"/>
  <c r="U28" i="1810"/>
  <c r="T28" i="1810"/>
  <c r="S28" i="1810"/>
  <c r="R28" i="1810"/>
  <c r="Q28" i="1810"/>
  <c r="P28" i="1810"/>
  <c r="O28" i="1810"/>
  <c r="N28" i="1810"/>
  <c r="M28" i="1810"/>
  <c r="L28" i="1810"/>
  <c r="K28" i="1810"/>
  <c r="J28" i="1810"/>
  <c r="I28" i="1810"/>
  <c r="H28" i="1810"/>
  <c r="G28" i="1810"/>
  <c r="F28" i="1810"/>
  <c r="E28" i="1810"/>
  <c r="D28" i="1810"/>
  <c r="Y25" i="1810"/>
  <c r="X25" i="1810"/>
  <c r="W25" i="1810"/>
  <c r="V25" i="1810"/>
  <c r="U25" i="1810"/>
  <c r="T25" i="1810"/>
  <c r="S25" i="1810"/>
  <c r="R25" i="1810"/>
  <c r="Q25" i="1810"/>
  <c r="P25" i="1810"/>
  <c r="O25" i="1810"/>
  <c r="N25" i="1810"/>
  <c r="M25" i="1810"/>
  <c r="L25" i="1810"/>
  <c r="K25" i="1810"/>
  <c r="J25" i="1810"/>
  <c r="I25" i="1810"/>
  <c r="H25" i="1810"/>
  <c r="G25" i="1810"/>
  <c r="F25" i="1810"/>
  <c r="E25" i="1810"/>
  <c r="D25" i="1810"/>
  <c r="AE19" i="1810"/>
  <c r="AD19" i="1810"/>
  <c r="AC19" i="1810"/>
  <c r="AB19" i="1810"/>
  <c r="AA19" i="1810"/>
  <c r="Z19" i="1810"/>
  <c r="Y19" i="1810"/>
  <c r="X19" i="1810"/>
  <c r="T33" i="1810" s="1"/>
  <c r="W19" i="1810"/>
  <c r="V19" i="1810"/>
  <c r="U19" i="1810"/>
  <c r="T19" i="1810"/>
  <c r="S19" i="1810"/>
  <c r="R19" i="1810"/>
  <c r="Q19" i="1810"/>
  <c r="P19" i="1810"/>
  <c r="O19" i="1810"/>
  <c r="N19" i="1810"/>
  <c r="H33" i="1810" s="1"/>
  <c r="M19" i="1810"/>
  <c r="L19" i="1810"/>
  <c r="P33" i="1810" s="1"/>
  <c r="K19" i="1810"/>
  <c r="J19" i="1810"/>
  <c r="I19" i="1810"/>
  <c r="AB33" i="1810" s="1"/>
  <c r="H19" i="1810"/>
  <c r="G19" i="1810"/>
  <c r="F19" i="1810"/>
  <c r="E19" i="1810"/>
  <c r="D19" i="1810"/>
  <c r="AE16" i="1810"/>
  <c r="AD16" i="1810"/>
  <c r="AC16" i="1810"/>
  <c r="AB16" i="1810"/>
  <c r="AA16" i="1810"/>
  <c r="Z16" i="1810"/>
  <c r="Y16" i="1810"/>
  <c r="X16" i="1810"/>
  <c r="W16" i="1810"/>
  <c r="V16" i="1810"/>
  <c r="U16" i="1810"/>
  <c r="T16" i="1810"/>
  <c r="S16" i="1810"/>
  <c r="R16" i="1810"/>
  <c r="Q16" i="1810"/>
  <c r="P16" i="1810"/>
  <c r="O16" i="1810"/>
  <c r="N16" i="1810"/>
  <c r="M16" i="1810"/>
  <c r="L16" i="1810"/>
  <c r="K16" i="1810"/>
  <c r="J16" i="1810"/>
  <c r="I16" i="1810"/>
  <c r="H16" i="1810"/>
  <c r="G16" i="1810"/>
  <c r="F16" i="1810"/>
  <c r="E16" i="1810"/>
  <c r="D16" i="1810"/>
  <c r="AE10" i="1810"/>
  <c r="AD10" i="1810"/>
  <c r="AC33" i="1810" s="1"/>
  <c r="AC10" i="1810"/>
  <c r="AB10" i="1810"/>
  <c r="AA10" i="1810"/>
  <c r="Z10" i="1810"/>
  <c r="Y10" i="1810"/>
  <c r="X10" i="1810"/>
  <c r="W10" i="1810"/>
  <c r="V10" i="1810"/>
  <c r="U10" i="1810"/>
  <c r="T10" i="1810"/>
  <c r="S10" i="1810"/>
  <c r="R10" i="1810"/>
  <c r="Q10" i="1810"/>
  <c r="P10" i="1810"/>
  <c r="O10" i="1810"/>
  <c r="N10" i="1810"/>
  <c r="Q33" i="1810" s="1"/>
  <c r="M10" i="1810"/>
  <c r="L10" i="1810"/>
  <c r="K10" i="1810"/>
  <c r="J10" i="1810"/>
  <c r="I10" i="1810"/>
  <c r="H10" i="1810"/>
  <c r="G10" i="1810"/>
  <c r="F10" i="1810"/>
  <c r="J33" i="1810" s="1"/>
  <c r="E10" i="1810"/>
  <c r="S33" i="1810" s="1"/>
  <c r="D10" i="1810"/>
  <c r="AE7" i="1810"/>
  <c r="AD7" i="1810"/>
  <c r="AC7" i="1810"/>
  <c r="AB7" i="1810"/>
  <c r="AA7" i="1810"/>
  <c r="Z7" i="1810"/>
  <c r="Y7" i="1810"/>
  <c r="X7" i="1810"/>
  <c r="W7" i="1810"/>
  <c r="V7" i="1810"/>
  <c r="U7" i="1810"/>
  <c r="T7" i="1810"/>
  <c r="S7" i="1810"/>
  <c r="R7" i="1810"/>
  <c r="Q7" i="1810"/>
  <c r="P7" i="1810"/>
  <c r="O7" i="1810"/>
  <c r="N7" i="1810"/>
  <c r="M7" i="1810"/>
  <c r="L7" i="1810"/>
  <c r="K7" i="1810"/>
  <c r="J7" i="1810"/>
  <c r="I7" i="1810"/>
  <c r="H7" i="1810"/>
  <c r="G7" i="1810"/>
  <c r="F7" i="1810"/>
  <c r="E7" i="1810"/>
  <c r="D7" i="1810"/>
  <c r="N33" i="1810" l="1"/>
  <c r="M33" i="1810"/>
  <c r="W33" i="1810"/>
  <c r="Z33" i="1810"/>
  <c r="V33" i="1810"/>
  <c r="D33" i="1810"/>
  <c r="Y33" i="1810"/>
  <c r="K33" i="1810"/>
  <c r="E33" i="1810"/>
  <c r="AA33" i="1809"/>
  <c r="X33" i="1809"/>
  <c r="U33" i="1809"/>
  <c r="R33" i="1809"/>
  <c r="O33" i="1809"/>
  <c r="L33" i="1809"/>
  <c r="F33" i="1809"/>
  <c r="Y28" i="1809"/>
  <c r="X28" i="1809"/>
  <c r="W28" i="1809"/>
  <c r="V28" i="1809"/>
  <c r="U28" i="1809"/>
  <c r="T28" i="1809"/>
  <c r="S28" i="1809"/>
  <c r="R28" i="1809"/>
  <c r="Q28" i="1809"/>
  <c r="P28" i="1809"/>
  <c r="O28" i="1809"/>
  <c r="N28" i="1809"/>
  <c r="M28" i="1809"/>
  <c r="L28" i="1809"/>
  <c r="K28" i="1809"/>
  <c r="J28" i="1809"/>
  <c r="I28" i="1809"/>
  <c r="H28" i="1809"/>
  <c r="G28" i="1809"/>
  <c r="F28" i="1809"/>
  <c r="E28" i="1809"/>
  <c r="D28" i="1809"/>
  <c r="Y25" i="1809"/>
  <c r="X25" i="1809"/>
  <c r="W25" i="1809"/>
  <c r="V25" i="1809"/>
  <c r="U25" i="1809"/>
  <c r="T25" i="1809"/>
  <c r="S25" i="1809"/>
  <c r="R25" i="1809"/>
  <c r="Q25" i="1809"/>
  <c r="P25" i="1809"/>
  <c r="O25" i="1809"/>
  <c r="N25" i="1809"/>
  <c r="M25" i="1809"/>
  <c r="L25" i="1809"/>
  <c r="K25" i="1809"/>
  <c r="J25" i="1809"/>
  <c r="I25" i="1809"/>
  <c r="H25" i="1809"/>
  <c r="G25" i="1809"/>
  <c r="F25" i="1809"/>
  <c r="E25" i="1809"/>
  <c r="D25" i="1809"/>
  <c r="AE19" i="1809"/>
  <c r="AD19" i="1809"/>
  <c r="AC19" i="1809"/>
  <c r="AB19" i="1809"/>
  <c r="AA19" i="1809"/>
  <c r="Z19" i="1809"/>
  <c r="Y19" i="1809"/>
  <c r="X19" i="1809"/>
  <c r="T33" i="1809" s="1"/>
  <c r="W19" i="1809"/>
  <c r="V19" i="1809"/>
  <c r="U19" i="1809"/>
  <c r="T19" i="1809"/>
  <c r="S19" i="1809"/>
  <c r="R19" i="1809"/>
  <c r="Q19" i="1809"/>
  <c r="P19" i="1809"/>
  <c r="O19" i="1809"/>
  <c r="N19" i="1809"/>
  <c r="H33" i="1809" s="1"/>
  <c r="M19" i="1809"/>
  <c r="L19" i="1809"/>
  <c r="P33" i="1809" s="1"/>
  <c r="K19" i="1809"/>
  <c r="J19" i="1809"/>
  <c r="I19" i="1809"/>
  <c r="AB33" i="1809" s="1"/>
  <c r="H19" i="1809"/>
  <c r="G19" i="1809"/>
  <c r="F19" i="1809"/>
  <c r="E19" i="1809"/>
  <c r="D19" i="1809"/>
  <c r="AE16" i="1809"/>
  <c r="AD16" i="1809"/>
  <c r="AC16" i="1809"/>
  <c r="AB16" i="1809"/>
  <c r="AA16" i="1809"/>
  <c r="Z16" i="1809"/>
  <c r="Y16" i="1809"/>
  <c r="X16" i="1809"/>
  <c r="W16" i="1809"/>
  <c r="V16" i="1809"/>
  <c r="U16" i="1809"/>
  <c r="T16" i="1809"/>
  <c r="S16" i="1809"/>
  <c r="R16" i="1809"/>
  <c r="Q16" i="1809"/>
  <c r="P16" i="1809"/>
  <c r="O16" i="1809"/>
  <c r="N16" i="1809"/>
  <c r="M16" i="1809"/>
  <c r="L16" i="1809"/>
  <c r="K16" i="1809"/>
  <c r="J16" i="1809"/>
  <c r="I16" i="1809"/>
  <c r="H16" i="1809"/>
  <c r="G16" i="1809"/>
  <c r="F16" i="1809"/>
  <c r="E16" i="1809"/>
  <c r="D16" i="1809"/>
  <c r="AE10" i="1809"/>
  <c r="AD10" i="1809"/>
  <c r="AC33" i="1809" s="1"/>
  <c r="AC10" i="1809"/>
  <c r="AB10" i="1809"/>
  <c r="AA10" i="1809"/>
  <c r="Z10" i="1809"/>
  <c r="Y10" i="1809"/>
  <c r="X10" i="1809"/>
  <c r="W10" i="1809"/>
  <c r="V10" i="1809"/>
  <c r="U10" i="1809"/>
  <c r="T10" i="1809"/>
  <c r="S10" i="1809"/>
  <c r="R10" i="1809"/>
  <c r="Q10" i="1809"/>
  <c r="P10" i="1809"/>
  <c r="O10" i="1809"/>
  <c r="N10" i="1809"/>
  <c r="M10" i="1809"/>
  <c r="L10" i="1809"/>
  <c r="K10" i="1809"/>
  <c r="J10" i="1809"/>
  <c r="Q33" i="1809" s="1"/>
  <c r="I10" i="1809"/>
  <c r="H10" i="1809"/>
  <c r="G10" i="1809"/>
  <c r="F10" i="1809"/>
  <c r="E10" i="1809"/>
  <c r="S33" i="1809" s="1"/>
  <c r="D10" i="1809"/>
  <c r="Z33" i="1809" s="1"/>
  <c r="AE7" i="1809"/>
  <c r="AD7" i="1809"/>
  <c r="AC7" i="1809"/>
  <c r="AB7" i="1809"/>
  <c r="AA7" i="1809"/>
  <c r="Z7" i="1809"/>
  <c r="Y7" i="1809"/>
  <c r="X7" i="1809"/>
  <c r="W7" i="1809"/>
  <c r="V7" i="1809"/>
  <c r="U7" i="1809"/>
  <c r="T7" i="1809"/>
  <c r="S7" i="1809"/>
  <c r="R7" i="1809"/>
  <c r="Q7" i="1809"/>
  <c r="P7" i="1809"/>
  <c r="O7" i="1809"/>
  <c r="N7" i="1809"/>
  <c r="M7" i="1809"/>
  <c r="L7" i="1809"/>
  <c r="K7" i="1809"/>
  <c r="J7" i="1809"/>
  <c r="I7" i="1809"/>
  <c r="H7" i="1809"/>
  <c r="G7" i="1809"/>
  <c r="F7" i="1809"/>
  <c r="E7" i="1809"/>
  <c r="D7" i="1809"/>
  <c r="N33" i="1809" l="1"/>
  <c r="J33" i="1809"/>
  <c r="V33" i="1809"/>
  <c r="W33" i="1809"/>
  <c r="D33" i="1809"/>
  <c r="Y33" i="1809"/>
  <c r="K33" i="1809"/>
  <c r="E33" i="1809"/>
  <c r="M33" i="1809"/>
  <c r="AA33" i="1808"/>
  <c r="X33" i="1808"/>
  <c r="U33" i="1808"/>
  <c r="R33" i="1808"/>
  <c r="O33" i="1808"/>
  <c r="L33" i="1808"/>
  <c r="F33" i="1808"/>
  <c r="Y28" i="1808"/>
  <c r="X28" i="1808"/>
  <c r="W28" i="1808"/>
  <c r="V28" i="1808"/>
  <c r="U28" i="1808"/>
  <c r="T28" i="1808"/>
  <c r="S28" i="1808"/>
  <c r="R28" i="1808"/>
  <c r="Q28" i="1808"/>
  <c r="P28" i="1808"/>
  <c r="O28" i="1808"/>
  <c r="N28" i="1808"/>
  <c r="M28" i="1808"/>
  <c r="L28" i="1808"/>
  <c r="K28" i="1808"/>
  <c r="J28" i="1808"/>
  <c r="I28" i="1808"/>
  <c r="H28" i="1808"/>
  <c r="G28" i="1808"/>
  <c r="F28" i="1808"/>
  <c r="E28" i="1808"/>
  <c r="D28" i="1808"/>
  <c r="Y25" i="1808"/>
  <c r="X25" i="1808"/>
  <c r="W25" i="1808"/>
  <c r="V25" i="1808"/>
  <c r="U25" i="1808"/>
  <c r="T25" i="1808"/>
  <c r="S25" i="1808"/>
  <c r="R25" i="1808"/>
  <c r="Q25" i="1808"/>
  <c r="P25" i="1808"/>
  <c r="O25" i="1808"/>
  <c r="N25" i="1808"/>
  <c r="M25" i="1808"/>
  <c r="L25" i="1808"/>
  <c r="K25" i="1808"/>
  <c r="J25" i="1808"/>
  <c r="I25" i="1808"/>
  <c r="H25" i="1808"/>
  <c r="G25" i="1808"/>
  <c r="F25" i="1808"/>
  <c r="E25" i="1808"/>
  <c r="D25" i="1808"/>
  <c r="AE19" i="1808"/>
  <c r="AD19" i="1808"/>
  <c r="AC19" i="1808"/>
  <c r="AB19" i="1808"/>
  <c r="AA19" i="1808"/>
  <c r="Z19" i="1808"/>
  <c r="Y19" i="1808"/>
  <c r="X19" i="1808"/>
  <c r="T33" i="1808" s="1"/>
  <c r="W19" i="1808"/>
  <c r="V19" i="1808"/>
  <c r="U19" i="1808"/>
  <c r="T19" i="1808"/>
  <c r="S19" i="1808"/>
  <c r="R19" i="1808"/>
  <c r="Q19" i="1808"/>
  <c r="P19" i="1808"/>
  <c r="O19" i="1808"/>
  <c r="N19" i="1808"/>
  <c r="H33" i="1808" s="1"/>
  <c r="M19" i="1808"/>
  <c r="L19" i="1808"/>
  <c r="P33" i="1808" s="1"/>
  <c r="K19" i="1808"/>
  <c r="J19" i="1808"/>
  <c r="I19" i="1808"/>
  <c r="AB33" i="1808" s="1"/>
  <c r="H19" i="1808"/>
  <c r="G19" i="1808"/>
  <c r="F19" i="1808"/>
  <c r="E19" i="1808"/>
  <c r="D19" i="1808"/>
  <c r="AE16" i="1808"/>
  <c r="AD16" i="1808"/>
  <c r="AC16" i="1808"/>
  <c r="AB16" i="1808"/>
  <c r="AA16" i="1808"/>
  <c r="Z16" i="1808"/>
  <c r="Y16" i="1808"/>
  <c r="X16" i="1808"/>
  <c r="W16" i="1808"/>
  <c r="V16" i="1808"/>
  <c r="U16" i="1808"/>
  <c r="T16" i="1808"/>
  <c r="S16" i="1808"/>
  <c r="R16" i="1808"/>
  <c r="Q16" i="1808"/>
  <c r="P16" i="1808"/>
  <c r="O16" i="1808"/>
  <c r="N16" i="1808"/>
  <c r="M16" i="1808"/>
  <c r="L16" i="1808"/>
  <c r="K16" i="1808"/>
  <c r="J16" i="1808"/>
  <c r="I16" i="1808"/>
  <c r="H16" i="1808"/>
  <c r="G16" i="1808"/>
  <c r="F16" i="1808"/>
  <c r="E16" i="1808"/>
  <c r="D16" i="1808"/>
  <c r="AE10" i="1808"/>
  <c r="AD10" i="1808"/>
  <c r="AC33" i="1808" s="1"/>
  <c r="AC10" i="1808"/>
  <c r="AB10" i="1808"/>
  <c r="D33" i="1808" s="1"/>
  <c r="AA10" i="1808"/>
  <c r="Z10" i="1808"/>
  <c r="Y10" i="1808"/>
  <c r="X10" i="1808"/>
  <c r="W10" i="1808"/>
  <c r="V10" i="1808"/>
  <c r="U10" i="1808"/>
  <c r="T10" i="1808"/>
  <c r="S10" i="1808"/>
  <c r="R10" i="1808"/>
  <c r="Q10" i="1808"/>
  <c r="P10" i="1808"/>
  <c r="O10" i="1808"/>
  <c r="N10" i="1808"/>
  <c r="Q33" i="1808" s="1"/>
  <c r="M10" i="1808"/>
  <c r="E33" i="1808" s="1"/>
  <c r="L10" i="1808"/>
  <c r="N33" i="1808" s="1"/>
  <c r="K10" i="1808"/>
  <c r="J10" i="1808"/>
  <c r="I10" i="1808"/>
  <c r="H10" i="1808"/>
  <c r="G10" i="1808"/>
  <c r="F10" i="1808"/>
  <c r="J33" i="1808" s="1"/>
  <c r="E10" i="1808"/>
  <c r="S33" i="1808" s="1"/>
  <c r="D10" i="1808"/>
  <c r="AE7" i="1808"/>
  <c r="AD7" i="1808"/>
  <c r="AC7" i="1808"/>
  <c r="AB7" i="1808"/>
  <c r="AA7" i="1808"/>
  <c r="Z7" i="1808"/>
  <c r="Y7" i="1808"/>
  <c r="X7" i="1808"/>
  <c r="W7" i="1808"/>
  <c r="V7" i="1808"/>
  <c r="U7" i="1808"/>
  <c r="T7" i="1808"/>
  <c r="S7" i="1808"/>
  <c r="R7" i="1808"/>
  <c r="Q7" i="1808"/>
  <c r="P7" i="1808"/>
  <c r="O7" i="1808"/>
  <c r="N7" i="1808"/>
  <c r="M7" i="1808"/>
  <c r="L7" i="1808"/>
  <c r="K7" i="1808"/>
  <c r="J7" i="1808"/>
  <c r="I7" i="1808"/>
  <c r="H7" i="1808"/>
  <c r="G7" i="1808"/>
  <c r="F7" i="1808"/>
  <c r="E7" i="1808"/>
  <c r="D7" i="1808"/>
  <c r="K33" i="1808" l="1"/>
  <c r="W33" i="1808"/>
  <c r="Z33" i="1808"/>
  <c r="Y33" i="1808"/>
  <c r="M33" i="1808"/>
  <c r="V33" i="1808"/>
  <c r="T16" i="1807"/>
  <c r="AA33" i="1807" l="1"/>
  <c r="X33" i="1807"/>
  <c r="U33" i="1807"/>
  <c r="R33" i="1807"/>
  <c r="O33" i="1807"/>
  <c r="L33" i="1807"/>
  <c r="F33" i="1807"/>
  <c r="Y28" i="1807"/>
  <c r="X28" i="1807"/>
  <c r="W28" i="1807"/>
  <c r="V28" i="1807"/>
  <c r="U28" i="1807"/>
  <c r="T28" i="1807"/>
  <c r="S28" i="1807"/>
  <c r="R28" i="1807"/>
  <c r="Q28" i="1807"/>
  <c r="P28" i="1807"/>
  <c r="O28" i="1807"/>
  <c r="N28" i="1807"/>
  <c r="M28" i="1807"/>
  <c r="L28" i="1807"/>
  <c r="K28" i="1807"/>
  <c r="J28" i="1807"/>
  <c r="I28" i="1807"/>
  <c r="H28" i="1807"/>
  <c r="G28" i="1807"/>
  <c r="F28" i="1807"/>
  <c r="E28" i="1807"/>
  <c r="D28" i="1807"/>
  <c r="Y25" i="1807"/>
  <c r="X25" i="1807"/>
  <c r="W25" i="1807"/>
  <c r="V25" i="1807"/>
  <c r="U25" i="1807"/>
  <c r="T25" i="1807"/>
  <c r="S25" i="1807"/>
  <c r="R25" i="1807"/>
  <c r="Q25" i="1807"/>
  <c r="P25" i="1807"/>
  <c r="O25" i="1807"/>
  <c r="N25" i="1807"/>
  <c r="M25" i="1807"/>
  <c r="L25" i="1807"/>
  <c r="K25" i="1807"/>
  <c r="J25" i="1807"/>
  <c r="I25" i="1807"/>
  <c r="H25" i="1807"/>
  <c r="G25" i="1807"/>
  <c r="F25" i="1807"/>
  <c r="E25" i="1807"/>
  <c r="D25" i="1807"/>
  <c r="AE19" i="1807"/>
  <c r="AD19" i="1807"/>
  <c r="AC19" i="1807"/>
  <c r="AB19" i="1807"/>
  <c r="AA19" i="1807"/>
  <c r="Z19" i="1807"/>
  <c r="Y19" i="1807"/>
  <c r="X19" i="1807"/>
  <c r="T33" i="1807" s="1"/>
  <c r="W19" i="1807"/>
  <c r="V19" i="1807"/>
  <c r="U19" i="1807"/>
  <c r="T19" i="1807"/>
  <c r="S19" i="1807"/>
  <c r="R19" i="1807"/>
  <c r="Q19" i="1807"/>
  <c r="P19" i="1807"/>
  <c r="O19" i="1807"/>
  <c r="N19" i="1807"/>
  <c r="H33" i="1807" s="1"/>
  <c r="M19" i="1807"/>
  <c r="L19" i="1807"/>
  <c r="P33" i="1807" s="1"/>
  <c r="K19" i="1807"/>
  <c r="J19" i="1807"/>
  <c r="I19" i="1807"/>
  <c r="AB33" i="1807" s="1"/>
  <c r="H19" i="1807"/>
  <c r="G19" i="1807"/>
  <c r="F19" i="1807"/>
  <c r="E19" i="1807"/>
  <c r="D19" i="1807"/>
  <c r="AE16" i="1807"/>
  <c r="AD16" i="1807"/>
  <c r="AC16" i="1807"/>
  <c r="AB16" i="1807"/>
  <c r="AA16" i="1807"/>
  <c r="Z16" i="1807"/>
  <c r="Y16" i="1807"/>
  <c r="X16" i="1807"/>
  <c r="W16" i="1807"/>
  <c r="V16" i="1807"/>
  <c r="U16" i="1807"/>
  <c r="S16" i="1807"/>
  <c r="R16" i="1807"/>
  <c r="Q16" i="1807"/>
  <c r="P16" i="1807"/>
  <c r="O16" i="1807"/>
  <c r="N16" i="1807"/>
  <c r="M16" i="1807"/>
  <c r="L16" i="1807"/>
  <c r="K16" i="1807"/>
  <c r="J16" i="1807"/>
  <c r="I16" i="1807"/>
  <c r="H16" i="1807"/>
  <c r="G16" i="1807"/>
  <c r="F16" i="1807"/>
  <c r="E16" i="1807"/>
  <c r="D16" i="1807"/>
  <c r="AE10" i="1807"/>
  <c r="AD10" i="1807"/>
  <c r="AC33" i="1807" s="1"/>
  <c r="AC10" i="1807"/>
  <c r="AB10" i="1807"/>
  <c r="D33" i="1807" s="1"/>
  <c r="AA10" i="1807"/>
  <c r="Z10" i="1807"/>
  <c r="Y10" i="1807"/>
  <c r="X10" i="1807"/>
  <c r="W10" i="1807"/>
  <c r="V10" i="1807"/>
  <c r="U10" i="1807"/>
  <c r="T10" i="1807"/>
  <c r="S10" i="1807"/>
  <c r="R10" i="1807"/>
  <c r="Q10" i="1807"/>
  <c r="P10" i="1807"/>
  <c r="O10" i="1807"/>
  <c r="N10" i="1807"/>
  <c r="M10" i="1807"/>
  <c r="E33" i="1807" s="1"/>
  <c r="L10" i="1807"/>
  <c r="N33" i="1807" s="1"/>
  <c r="K10" i="1807"/>
  <c r="J10" i="1807"/>
  <c r="I10" i="1807"/>
  <c r="H10" i="1807"/>
  <c r="G10" i="1807"/>
  <c r="F10" i="1807"/>
  <c r="J33" i="1807" s="1"/>
  <c r="E10" i="1807"/>
  <c r="S33" i="1807" s="1"/>
  <c r="D10" i="1807"/>
  <c r="AE7" i="1807"/>
  <c r="AD7" i="1807"/>
  <c r="AC7" i="1807"/>
  <c r="AB7" i="1807"/>
  <c r="AA7" i="1807"/>
  <c r="Z7" i="1807"/>
  <c r="Y7" i="1807"/>
  <c r="X7" i="1807"/>
  <c r="W7" i="1807"/>
  <c r="V7" i="1807"/>
  <c r="U7" i="1807"/>
  <c r="T7" i="1807"/>
  <c r="S7" i="1807"/>
  <c r="R7" i="1807"/>
  <c r="Q7" i="1807"/>
  <c r="P7" i="1807"/>
  <c r="O7" i="1807"/>
  <c r="N7" i="1807"/>
  <c r="M7" i="1807"/>
  <c r="L7" i="1807"/>
  <c r="K7" i="1807"/>
  <c r="J7" i="1807"/>
  <c r="I7" i="1807"/>
  <c r="H7" i="1807"/>
  <c r="G7" i="1807"/>
  <c r="F7" i="1807"/>
  <c r="E7" i="1807"/>
  <c r="D7" i="1807"/>
  <c r="K33" i="1807" l="1"/>
  <c r="W33" i="1807"/>
  <c r="Z33" i="1807"/>
  <c r="Y33" i="1807"/>
  <c r="Q33" i="1807"/>
  <c r="M33" i="1807"/>
  <c r="V33" i="1807"/>
  <c r="AA33" i="1806"/>
  <c r="X33" i="1806"/>
  <c r="U33" i="1806"/>
  <c r="R33" i="1806"/>
  <c r="O33" i="1806"/>
  <c r="L33" i="1806"/>
  <c r="F33" i="1806"/>
  <c r="Y28" i="1806"/>
  <c r="X28" i="1806"/>
  <c r="W28" i="1806"/>
  <c r="V28" i="1806"/>
  <c r="U28" i="1806"/>
  <c r="T28" i="1806"/>
  <c r="S28" i="1806"/>
  <c r="R28" i="1806"/>
  <c r="Q28" i="1806"/>
  <c r="P28" i="1806"/>
  <c r="O28" i="1806"/>
  <c r="N28" i="1806"/>
  <c r="M28" i="1806"/>
  <c r="L28" i="1806"/>
  <c r="K28" i="1806"/>
  <c r="J28" i="1806"/>
  <c r="I28" i="1806"/>
  <c r="H28" i="1806"/>
  <c r="G28" i="1806"/>
  <c r="F28" i="1806"/>
  <c r="E28" i="1806"/>
  <c r="D28" i="1806"/>
  <c r="Y25" i="1806"/>
  <c r="X25" i="1806"/>
  <c r="W25" i="1806"/>
  <c r="V25" i="1806"/>
  <c r="U25" i="1806"/>
  <c r="T25" i="1806"/>
  <c r="S25" i="1806"/>
  <c r="R25" i="1806"/>
  <c r="Q25" i="1806"/>
  <c r="P25" i="1806"/>
  <c r="O25" i="1806"/>
  <c r="N25" i="1806"/>
  <c r="M25" i="1806"/>
  <c r="L25" i="1806"/>
  <c r="K25" i="1806"/>
  <c r="J25" i="1806"/>
  <c r="I25" i="1806"/>
  <c r="H25" i="1806"/>
  <c r="G25" i="1806"/>
  <c r="F25" i="1806"/>
  <c r="E25" i="1806"/>
  <c r="D25" i="1806"/>
  <c r="AE19" i="1806"/>
  <c r="AD19" i="1806"/>
  <c r="AC19" i="1806"/>
  <c r="AB19" i="1806"/>
  <c r="AA19" i="1806"/>
  <c r="Z19" i="1806"/>
  <c r="Y19" i="1806"/>
  <c r="X19" i="1806"/>
  <c r="T33" i="1806" s="1"/>
  <c r="W19" i="1806"/>
  <c r="V19" i="1806"/>
  <c r="U19" i="1806"/>
  <c r="T19" i="1806"/>
  <c r="S19" i="1806"/>
  <c r="R19" i="1806"/>
  <c r="Q19" i="1806"/>
  <c r="P19" i="1806"/>
  <c r="O19" i="1806"/>
  <c r="N19" i="1806"/>
  <c r="H33" i="1806" s="1"/>
  <c r="M19" i="1806"/>
  <c r="L19" i="1806"/>
  <c r="P33" i="1806" s="1"/>
  <c r="K19" i="1806"/>
  <c r="J19" i="1806"/>
  <c r="I19" i="1806"/>
  <c r="AB33" i="1806" s="1"/>
  <c r="H19" i="1806"/>
  <c r="G19" i="1806"/>
  <c r="F19" i="1806"/>
  <c r="E19" i="1806"/>
  <c r="D19" i="1806"/>
  <c r="AE16" i="1806"/>
  <c r="AD16" i="1806"/>
  <c r="AC16" i="1806"/>
  <c r="AB16" i="1806"/>
  <c r="AA16" i="1806"/>
  <c r="Z16" i="1806"/>
  <c r="Y16" i="1806"/>
  <c r="X16" i="1806"/>
  <c r="W16" i="1806"/>
  <c r="V16" i="1806"/>
  <c r="U16" i="1806"/>
  <c r="T16" i="1806"/>
  <c r="S16" i="1806"/>
  <c r="R16" i="1806"/>
  <c r="Q16" i="1806"/>
  <c r="P16" i="1806"/>
  <c r="O16" i="1806"/>
  <c r="N16" i="1806"/>
  <c r="M16" i="1806"/>
  <c r="L16" i="1806"/>
  <c r="K16" i="1806"/>
  <c r="J16" i="1806"/>
  <c r="I16" i="1806"/>
  <c r="H16" i="1806"/>
  <c r="G16" i="1806"/>
  <c r="F16" i="1806"/>
  <c r="E16" i="1806"/>
  <c r="D16" i="1806"/>
  <c r="AE10" i="1806"/>
  <c r="AD10" i="1806"/>
  <c r="AC33" i="1806" s="1"/>
  <c r="AC10" i="1806"/>
  <c r="AB10" i="1806"/>
  <c r="AA10" i="1806"/>
  <c r="Z10" i="1806"/>
  <c r="Y10" i="1806"/>
  <c r="X10" i="1806"/>
  <c r="W10" i="1806"/>
  <c r="V10" i="1806"/>
  <c r="U10" i="1806"/>
  <c r="T10" i="1806"/>
  <c r="S10" i="1806"/>
  <c r="R10" i="1806"/>
  <c r="Q10" i="1806"/>
  <c r="P10" i="1806"/>
  <c r="O10" i="1806"/>
  <c r="N10" i="1806"/>
  <c r="Q33" i="1806" s="1"/>
  <c r="M10" i="1806"/>
  <c r="E33" i="1806" s="1"/>
  <c r="L10" i="1806"/>
  <c r="N33" i="1806" s="1"/>
  <c r="K10" i="1806"/>
  <c r="J10" i="1806"/>
  <c r="I10" i="1806"/>
  <c r="H10" i="1806"/>
  <c r="G10" i="1806"/>
  <c r="F10" i="1806"/>
  <c r="J33" i="1806" s="1"/>
  <c r="E10" i="1806"/>
  <c r="S33" i="1806" s="1"/>
  <c r="D10" i="1806"/>
  <c r="AE7" i="1806"/>
  <c r="AD7" i="1806"/>
  <c r="AC7" i="1806"/>
  <c r="AB7" i="1806"/>
  <c r="AA7" i="1806"/>
  <c r="Z7" i="1806"/>
  <c r="Y7" i="1806"/>
  <c r="X7" i="1806"/>
  <c r="W7" i="1806"/>
  <c r="V7" i="1806"/>
  <c r="U7" i="1806"/>
  <c r="T7" i="1806"/>
  <c r="S7" i="1806"/>
  <c r="R7" i="1806"/>
  <c r="Q7" i="1806"/>
  <c r="P7" i="1806"/>
  <c r="O7" i="1806"/>
  <c r="N7" i="1806"/>
  <c r="M7" i="1806"/>
  <c r="L7" i="1806"/>
  <c r="K7" i="1806"/>
  <c r="J7" i="1806"/>
  <c r="I7" i="1806"/>
  <c r="H7" i="1806"/>
  <c r="G7" i="1806"/>
  <c r="F7" i="1806"/>
  <c r="E7" i="1806"/>
  <c r="D7" i="1806"/>
  <c r="W33" i="1806" l="1"/>
  <c r="Z33" i="1806"/>
  <c r="D33" i="1806"/>
  <c r="Y33" i="1806"/>
  <c r="K33" i="1806"/>
  <c r="M33" i="1806"/>
  <c r="V33" i="1806"/>
  <c r="AA33" i="1805"/>
  <c r="X33" i="1805"/>
  <c r="U33" i="1805"/>
  <c r="R33" i="1805"/>
  <c r="O33" i="1805"/>
  <c r="L33" i="1805"/>
  <c r="F33" i="1805"/>
  <c r="Y28" i="1805"/>
  <c r="X28" i="1805"/>
  <c r="W28" i="1805"/>
  <c r="V28" i="1805"/>
  <c r="U28" i="1805"/>
  <c r="T28" i="1805"/>
  <c r="S28" i="1805"/>
  <c r="R28" i="1805"/>
  <c r="Q28" i="1805"/>
  <c r="P28" i="1805"/>
  <c r="O28" i="1805"/>
  <c r="N28" i="1805"/>
  <c r="M28" i="1805"/>
  <c r="L28" i="1805"/>
  <c r="K28" i="1805"/>
  <c r="J28" i="1805"/>
  <c r="I28" i="1805"/>
  <c r="H28" i="1805"/>
  <c r="G28" i="1805"/>
  <c r="F28" i="1805"/>
  <c r="E28" i="1805"/>
  <c r="D28" i="1805"/>
  <c r="Y25" i="1805"/>
  <c r="X25" i="1805"/>
  <c r="W25" i="1805"/>
  <c r="V25" i="1805"/>
  <c r="U25" i="1805"/>
  <c r="T25" i="1805"/>
  <c r="S25" i="1805"/>
  <c r="R25" i="1805"/>
  <c r="Q25" i="1805"/>
  <c r="P25" i="1805"/>
  <c r="O25" i="1805"/>
  <c r="N25" i="1805"/>
  <c r="M25" i="1805"/>
  <c r="L25" i="1805"/>
  <c r="K25" i="1805"/>
  <c r="J25" i="1805"/>
  <c r="I25" i="1805"/>
  <c r="H25" i="1805"/>
  <c r="G25" i="1805"/>
  <c r="F25" i="1805"/>
  <c r="E25" i="1805"/>
  <c r="D25" i="1805"/>
  <c r="AE19" i="1805"/>
  <c r="AD19" i="1805"/>
  <c r="AC19" i="1805"/>
  <c r="AB19" i="1805"/>
  <c r="AA19" i="1805"/>
  <c r="Z19" i="1805"/>
  <c r="Y19" i="1805"/>
  <c r="X19" i="1805"/>
  <c r="T33" i="1805" s="1"/>
  <c r="W19" i="1805"/>
  <c r="V19" i="1805"/>
  <c r="U19" i="1805"/>
  <c r="T19" i="1805"/>
  <c r="S19" i="1805"/>
  <c r="R19" i="1805"/>
  <c r="Q19" i="1805"/>
  <c r="P19" i="1805"/>
  <c r="O19" i="1805"/>
  <c r="N19" i="1805"/>
  <c r="H33" i="1805" s="1"/>
  <c r="M19" i="1805"/>
  <c r="L19" i="1805"/>
  <c r="P33" i="1805" s="1"/>
  <c r="K19" i="1805"/>
  <c r="J19" i="1805"/>
  <c r="I19" i="1805"/>
  <c r="AB33" i="1805" s="1"/>
  <c r="H19" i="1805"/>
  <c r="G19" i="1805"/>
  <c r="F19" i="1805"/>
  <c r="E19" i="1805"/>
  <c r="D19" i="1805"/>
  <c r="AE16" i="1805"/>
  <c r="AD16" i="1805"/>
  <c r="AC16" i="1805"/>
  <c r="AB16" i="1805"/>
  <c r="AA16" i="1805"/>
  <c r="Z16" i="1805"/>
  <c r="Y16" i="1805"/>
  <c r="X16" i="1805"/>
  <c r="W16" i="1805"/>
  <c r="V16" i="1805"/>
  <c r="U16" i="1805"/>
  <c r="T16" i="1805"/>
  <c r="S16" i="1805"/>
  <c r="R16" i="1805"/>
  <c r="Q16" i="1805"/>
  <c r="P16" i="1805"/>
  <c r="O16" i="1805"/>
  <c r="N16" i="1805"/>
  <c r="M16" i="1805"/>
  <c r="L16" i="1805"/>
  <c r="K16" i="1805"/>
  <c r="J16" i="1805"/>
  <c r="I16" i="1805"/>
  <c r="H16" i="1805"/>
  <c r="G16" i="1805"/>
  <c r="F16" i="1805"/>
  <c r="E16" i="1805"/>
  <c r="D16" i="1805"/>
  <c r="AE10" i="1805"/>
  <c r="AD10" i="1805"/>
  <c r="AC33" i="1805" s="1"/>
  <c r="AC10" i="1805"/>
  <c r="AB10" i="1805"/>
  <c r="AA10" i="1805"/>
  <c r="Z10" i="1805"/>
  <c r="Y10" i="1805"/>
  <c r="X10" i="1805"/>
  <c r="W10" i="1805"/>
  <c r="V10" i="1805"/>
  <c r="U10" i="1805"/>
  <c r="T10" i="1805"/>
  <c r="S10" i="1805"/>
  <c r="R10" i="1805"/>
  <c r="Q10" i="1805"/>
  <c r="P10" i="1805"/>
  <c r="O10" i="1805"/>
  <c r="N10" i="1805"/>
  <c r="Q33" i="1805" s="1"/>
  <c r="M10" i="1805"/>
  <c r="E33" i="1805" s="1"/>
  <c r="L10" i="1805"/>
  <c r="N33" i="1805" s="1"/>
  <c r="K10" i="1805"/>
  <c r="J10" i="1805"/>
  <c r="I10" i="1805"/>
  <c r="H10" i="1805"/>
  <c r="G10" i="1805"/>
  <c r="F10" i="1805"/>
  <c r="J33" i="1805" s="1"/>
  <c r="E10" i="1805"/>
  <c r="S33" i="1805" s="1"/>
  <c r="D10" i="1805"/>
  <c r="AE7" i="1805"/>
  <c r="AD7" i="1805"/>
  <c r="AC7" i="1805"/>
  <c r="AB7" i="1805"/>
  <c r="AA7" i="1805"/>
  <c r="Z7" i="1805"/>
  <c r="Y7" i="1805"/>
  <c r="X7" i="1805"/>
  <c r="W7" i="1805"/>
  <c r="V7" i="1805"/>
  <c r="U7" i="1805"/>
  <c r="T7" i="1805"/>
  <c r="S7" i="1805"/>
  <c r="R7" i="1805"/>
  <c r="Q7" i="1805"/>
  <c r="P7" i="1805"/>
  <c r="O7" i="1805"/>
  <c r="N7" i="1805"/>
  <c r="M7" i="1805"/>
  <c r="L7" i="1805"/>
  <c r="K7" i="1805"/>
  <c r="J7" i="1805"/>
  <c r="I7" i="1805"/>
  <c r="H7" i="1805"/>
  <c r="G7" i="1805"/>
  <c r="F7" i="1805"/>
  <c r="E7" i="1805"/>
  <c r="D7" i="1805"/>
  <c r="M33" i="1805" l="1"/>
  <c r="W33" i="1805"/>
  <c r="Z33" i="1805"/>
  <c r="D33" i="1805"/>
  <c r="Y33" i="1805"/>
  <c r="K33" i="1805"/>
  <c r="V33" i="1805"/>
  <c r="AA33" i="1804"/>
  <c r="X33" i="1804"/>
  <c r="U33" i="1804"/>
  <c r="R33" i="1804"/>
  <c r="O33" i="1804"/>
  <c r="L33" i="1804"/>
  <c r="F33" i="1804"/>
  <c r="Y28" i="1804"/>
  <c r="X28" i="1804"/>
  <c r="W28" i="1804"/>
  <c r="V28" i="1804"/>
  <c r="U28" i="1804"/>
  <c r="T28" i="1804"/>
  <c r="S28" i="1804"/>
  <c r="R28" i="1804"/>
  <c r="Q28" i="1804"/>
  <c r="P28" i="1804"/>
  <c r="O28" i="1804"/>
  <c r="N28" i="1804"/>
  <c r="M28" i="1804"/>
  <c r="L28" i="1804"/>
  <c r="K28" i="1804"/>
  <c r="J28" i="1804"/>
  <c r="I28" i="1804"/>
  <c r="H28" i="1804"/>
  <c r="G28" i="1804"/>
  <c r="F28" i="1804"/>
  <c r="E28" i="1804"/>
  <c r="D28" i="1804"/>
  <c r="Y25" i="1804"/>
  <c r="X25" i="1804"/>
  <c r="W25" i="1804"/>
  <c r="V25" i="1804"/>
  <c r="U25" i="1804"/>
  <c r="T25" i="1804"/>
  <c r="S25" i="1804"/>
  <c r="R25" i="1804"/>
  <c r="Q25" i="1804"/>
  <c r="P25" i="1804"/>
  <c r="O25" i="1804"/>
  <c r="N25" i="1804"/>
  <c r="M25" i="1804"/>
  <c r="L25" i="1804"/>
  <c r="K25" i="1804"/>
  <c r="J25" i="1804"/>
  <c r="I25" i="1804"/>
  <c r="H25" i="1804"/>
  <c r="G25" i="1804"/>
  <c r="F25" i="1804"/>
  <c r="E25" i="1804"/>
  <c r="D25" i="1804"/>
  <c r="AE19" i="1804"/>
  <c r="AD19" i="1804"/>
  <c r="AC19" i="1804"/>
  <c r="AB19" i="1804"/>
  <c r="AA19" i="1804"/>
  <c r="Z19" i="1804"/>
  <c r="Y19" i="1804"/>
  <c r="X19" i="1804"/>
  <c r="T33" i="1804" s="1"/>
  <c r="W19" i="1804"/>
  <c r="V19" i="1804"/>
  <c r="U19" i="1804"/>
  <c r="T19" i="1804"/>
  <c r="S19" i="1804"/>
  <c r="R19" i="1804"/>
  <c r="Q19" i="1804"/>
  <c r="P19" i="1804"/>
  <c r="O19" i="1804"/>
  <c r="N19" i="1804"/>
  <c r="H33" i="1804" s="1"/>
  <c r="M19" i="1804"/>
  <c r="L19" i="1804"/>
  <c r="P33" i="1804" s="1"/>
  <c r="K19" i="1804"/>
  <c r="J19" i="1804"/>
  <c r="I19" i="1804"/>
  <c r="AB33" i="1804" s="1"/>
  <c r="H19" i="1804"/>
  <c r="G19" i="1804"/>
  <c r="F19" i="1804"/>
  <c r="E19" i="1804"/>
  <c r="D19" i="1804"/>
  <c r="AE16" i="1804"/>
  <c r="AD16" i="1804"/>
  <c r="AC16" i="1804"/>
  <c r="AB16" i="1804"/>
  <c r="AA16" i="1804"/>
  <c r="Z16" i="1804"/>
  <c r="Y16" i="1804"/>
  <c r="X16" i="1804"/>
  <c r="W16" i="1804"/>
  <c r="V16" i="1804"/>
  <c r="U16" i="1804"/>
  <c r="T16" i="1804"/>
  <c r="S16" i="1804"/>
  <c r="R16" i="1804"/>
  <c r="Q16" i="1804"/>
  <c r="P16" i="1804"/>
  <c r="O16" i="1804"/>
  <c r="N16" i="1804"/>
  <c r="M16" i="1804"/>
  <c r="L16" i="1804"/>
  <c r="K16" i="1804"/>
  <c r="J16" i="1804"/>
  <c r="I16" i="1804"/>
  <c r="H16" i="1804"/>
  <c r="G16" i="1804"/>
  <c r="F16" i="1804"/>
  <c r="E16" i="1804"/>
  <c r="D16" i="1804"/>
  <c r="AE10" i="1804"/>
  <c r="AD10" i="1804"/>
  <c r="AC33" i="1804" s="1"/>
  <c r="AC10" i="1804"/>
  <c r="AB10" i="1804"/>
  <c r="D33" i="1804" s="1"/>
  <c r="AA10" i="1804"/>
  <c r="Z10" i="1804"/>
  <c r="Y10" i="1804"/>
  <c r="X10" i="1804"/>
  <c r="W10" i="1804"/>
  <c r="V10" i="1804"/>
  <c r="U10" i="1804"/>
  <c r="T10" i="1804"/>
  <c r="S10" i="1804"/>
  <c r="R10" i="1804"/>
  <c r="Q10" i="1804"/>
  <c r="P10" i="1804"/>
  <c r="O10" i="1804"/>
  <c r="N10" i="1804"/>
  <c r="Q33" i="1804" s="1"/>
  <c r="M10" i="1804"/>
  <c r="E33" i="1804" s="1"/>
  <c r="L10" i="1804"/>
  <c r="K10" i="1804"/>
  <c r="J10" i="1804"/>
  <c r="I10" i="1804"/>
  <c r="H10" i="1804"/>
  <c r="G10" i="1804"/>
  <c r="F10" i="1804"/>
  <c r="E10" i="1804"/>
  <c r="S33" i="1804" s="1"/>
  <c r="D10" i="1804"/>
  <c r="AE7" i="1804"/>
  <c r="AD7" i="1804"/>
  <c r="AC7" i="1804"/>
  <c r="AB7" i="1804"/>
  <c r="AA7" i="1804"/>
  <c r="Z7" i="1804"/>
  <c r="Y7" i="1804"/>
  <c r="X7" i="1804"/>
  <c r="W7" i="1804"/>
  <c r="V7" i="1804"/>
  <c r="U7" i="1804"/>
  <c r="T7" i="1804"/>
  <c r="S7" i="1804"/>
  <c r="R7" i="1804"/>
  <c r="Q7" i="1804"/>
  <c r="P7" i="1804"/>
  <c r="O7" i="1804"/>
  <c r="N7" i="1804"/>
  <c r="M7" i="1804"/>
  <c r="L7" i="1804"/>
  <c r="K7" i="1804"/>
  <c r="J7" i="1804"/>
  <c r="I7" i="1804"/>
  <c r="H7" i="1804"/>
  <c r="G7" i="1804"/>
  <c r="F7" i="1804"/>
  <c r="E7" i="1804"/>
  <c r="D7" i="1804"/>
  <c r="J33" i="1804" l="1"/>
  <c r="K33" i="1804"/>
  <c r="W33" i="1804"/>
  <c r="Z33" i="1804"/>
  <c r="Y33" i="1804"/>
  <c r="N33" i="1804"/>
  <c r="M33" i="1804"/>
  <c r="V33" i="1804"/>
  <c r="AA33" i="1803"/>
  <c r="X33" i="1803"/>
  <c r="U33" i="1803"/>
  <c r="R33" i="1803"/>
  <c r="O33" i="1803"/>
  <c r="L33" i="1803"/>
  <c r="F33" i="1803"/>
  <c r="Y28" i="1803"/>
  <c r="X28" i="1803"/>
  <c r="W28" i="1803"/>
  <c r="V28" i="1803"/>
  <c r="U28" i="1803"/>
  <c r="T28" i="1803"/>
  <c r="S28" i="1803"/>
  <c r="R28" i="1803"/>
  <c r="Q28" i="1803"/>
  <c r="P28" i="1803"/>
  <c r="O28" i="1803"/>
  <c r="N28" i="1803"/>
  <c r="M28" i="1803"/>
  <c r="L28" i="1803"/>
  <c r="K28" i="1803"/>
  <c r="J28" i="1803"/>
  <c r="I28" i="1803"/>
  <c r="H28" i="1803"/>
  <c r="G28" i="1803"/>
  <c r="F28" i="1803"/>
  <c r="E28" i="1803"/>
  <c r="D28" i="1803"/>
  <c r="Y25" i="1803"/>
  <c r="X25" i="1803"/>
  <c r="W25" i="1803"/>
  <c r="V25" i="1803"/>
  <c r="U25" i="1803"/>
  <c r="T25" i="1803"/>
  <c r="S25" i="1803"/>
  <c r="R25" i="1803"/>
  <c r="Q25" i="1803"/>
  <c r="P25" i="1803"/>
  <c r="O25" i="1803"/>
  <c r="N25" i="1803"/>
  <c r="M25" i="1803"/>
  <c r="L25" i="1803"/>
  <c r="K25" i="1803"/>
  <c r="J25" i="1803"/>
  <c r="I25" i="1803"/>
  <c r="H25" i="1803"/>
  <c r="G25" i="1803"/>
  <c r="F25" i="1803"/>
  <c r="E25" i="1803"/>
  <c r="D25" i="1803"/>
  <c r="AE19" i="1803"/>
  <c r="AD19" i="1803"/>
  <c r="AC19" i="1803"/>
  <c r="AB19" i="1803"/>
  <c r="AA19" i="1803"/>
  <c r="Z19" i="1803"/>
  <c r="Y19" i="1803"/>
  <c r="X19" i="1803"/>
  <c r="T33" i="1803" s="1"/>
  <c r="W19" i="1803"/>
  <c r="V19" i="1803"/>
  <c r="U19" i="1803"/>
  <c r="T19" i="1803"/>
  <c r="S19" i="1803"/>
  <c r="R19" i="1803"/>
  <c r="Q19" i="1803"/>
  <c r="P19" i="1803"/>
  <c r="O19" i="1803"/>
  <c r="N19" i="1803"/>
  <c r="H33" i="1803" s="1"/>
  <c r="M19" i="1803"/>
  <c r="L19" i="1803"/>
  <c r="P33" i="1803" s="1"/>
  <c r="K19" i="1803"/>
  <c r="J19" i="1803"/>
  <c r="I19" i="1803"/>
  <c r="AB33" i="1803" s="1"/>
  <c r="H19" i="1803"/>
  <c r="G19" i="1803"/>
  <c r="F19" i="1803"/>
  <c r="E19" i="1803"/>
  <c r="D19" i="1803"/>
  <c r="AE16" i="1803"/>
  <c r="AD16" i="1803"/>
  <c r="AC16" i="1803"/>
  <c r="AB16" i="1803"/>
  <c r="AA16" i="1803"/>
  <c r="Z16" i="1803"/>
  <c r="Y16" i="1803"/>
  <c r="X16" i="1803"/>
  <c r="W16" i="1803"/>
  <c r="V16" i="1803"/>
  <c r="U16" i="1803"/>
  <c r="T16" i="1803"/>
  <c r="S16" i="1803"/>
  <c r="R16" i="1803"/>
  <c r="Q16" i="1803"/>
  <c r="P16" i="1803"/>
  <c r="O16" i="1803"/>
  <c r="N16" i="1803"/>
  <c r="M16" i="1803"/>
  <c r="L16" i="1803"/>
  <c r="K16" i="1803"/>
  <c r="J16" i="1803"/>
  <c r="I16" i="1803"/>
  <c r="H16" i="1803"/>
  <c r="G16" i="1803"/>
  <c r="F16" i="1803"/>
  <c r="E16" i="1803"/>
  <c r="D16" i="1803"/>
  <c r="AE10" i="1803"/>
  <c r="AD10" i="1803"/>
  <c r="AC33" i="1803" s="1"/>
  <c r="AC10" i="1803"/>
  <c r="AB10" i="1803"/>
  <c r="AA10" i="1803"/>
  <c r="Z10" i="1803"/>
  <c r="Y10" i="1803"/>
  <c r="X10" i="1803"/>
  <c r="W10" i="1803"/>
  <c r="V10" i="1803"/>
  <c r="U10" i="1803"/>
  <c r="T10" i="1803"/>
  <c r="S10" i="1803"/>
  <c r="R10" i="1803"/>
  <c r="Q10" i="1803"/>
  <c r="P10" i="1803"/>
  <c r="O10" i="1803"/>
  <c r="N10" i="1803"/>
  <c r="M10" i="1803"/>
  <c r="E33" i="1803" s="1"/>
  <c r="L10" i="1803"/>
  <c r="N33" i="1803" s="1"/>
  <c r="K10" i="1803"/>
  <c r="J10" i="1803"/>
  <c r="I10" i="1803"/>
  <c r="H10" i="1803"/>
  <c r="G10" i="1803"/>
  <c r="F10" i="1803"/>
  <c r="J33" i="1803" s="1"/>
  <c r="E10" i="1803"/>
  <c r="S33" i="1803" s="1"/>
  <c r="D10" i="1803"/>
  <c r="AE7" i="1803"/>
  <c r="AD7" i="1803"/>
  <c r="AC7" i="1803"/>
  <c r="AB7" i="1803"/>
  <c r="AA7" i="1803"/>
  <c r="Z7" i="1803"/>
  <c r="Y7" i="1803"/>
  <c r="X7" i="1803"/>
  <c r="W7" i="1803"/>
  <c r="V7" i="1803"/>
  <c r="U7" i="1803"/>
  <c r="T7" i="1803"/>
  <c r="S7" i="1803"/>
  <c r="R7" i="1803"/>
  <c r="Q7" i="1803"/>
  <c r="P7" i="1803"/>
  <c r="O7" i="1803"/>
  <c r="N7" i="1803"/>
  <c r="M7" i="1803"/>
  <c r="L7" i="1803"/>
  <c r="K7" i="1803"/>
  <c r="J7" i="1803"/>
  <c r="I7" i="1803"/>
  <c r="H7" i="1803"/>
  <c r="G7" i="1803"/>
  <c r="F7" i="1803"/>
  <c r="E7" i="1803"/>
  <c r="D7" i="1803"/>
  <c r="W33" i="1803" l="1"/>
  <c r="Z33" i="1803"/>
  <c r="V33" i="1803"/>
  <c r="D33" i="1803"/>
  <c r="Y33" i="1803"/>
  <c r="Q33" i="1803"/>
  <c r="K33" i="1803"/>
  <c r="M33" i="1803"/>
  <c r="AA33" i="1802"/>
  <c r="X33" i="1802"/>
  <c r="U33" i="1802"/>
  <c r="R33" i="1802"/>
  <c r="O33" i="1802"/>
  <c r="L33" i="1802"/>
  <c r="H33" i="1802"/>
  <c r="F33" i="1802"/>
  <c r="Y28" i="1802"/>
  <c r="X28" i="1802"/>
  <c r="W28" i="1802"/>
  <c r="V28" i="1802"/>
  <c r="U28" i="1802"/>
  <c r="T28" i="1802"/>
  <c r="S28" i="1802"/>
  <c r="R28" i="1802"/>
  <c r="Q28" i="1802"/>
  <c r="P28" i="1802"/>
  <c r="O28" i="1802"/>
  <c r="N28" i="1802"/>
  <c r="M28" i="1802"/>
  <c r="L28" i="1802"/>
  <c r="K28" i="1802"/>
  <c r="J28" i="1802"/>
  <c r="I28" i="1802"/>
  <c r="H28" i="1802"/>
  <c r="G28" i="1802"/>
  <c r="F28" i="1802"/>
  <c r="E28" i="1802"/>
  <c r="D28" i="1802"/>
  <c r="Y25" i="1802"/>
  <c r="X25" i="1802"/>
  <c r="W25" i="1802"/>
  <c r="V25" i="1802"/>
  <c r="U25" i="1802"/>
  <c r="T25" i="1802"/>
  <c r="S25" i="1802"/>
  <c r="R25" i="1802"/>
  <c r="Q25" i="1802"/>
  <c r="P25" i="1802"/>
  <c r="O25" i="1802"/>
  <c r="N25" i="1802"/>
  <c r="M25" i="1802"/>
  <c r="L25" i="1802"/>
  <c r="K25" i="1802"/>
  <c r="J25" i="1802"/>
  <c r="I25" i="1802"/>
  <c r="H25" i="1802"/>
  <c r="G25" i="1802"/>
  <c r="F25" i="1802"/>
  <c r="E25" i="1802"/>
  <c r="D25" i="1802"/>
  <c r="AE19" i="1802"/>
  <c r="AD19" i="1802"/>
  <c r="AC19" i="1802"/>
  <c r="AB19" i="1802"/>
  <c r="AA19" i="1802"/>
  <c r="Z19" i="1802"/>
  <c r="Y19" i="1802"/>
  <c r="X19" i="1802"/>
  <c r="T33" i="1802" s="1"/>
  <c r="W19" i="1802"/>
  <c r="V19" i="1802"/>
  <c r="U19" i="1802"/>
  <c r="T19" i="1802"/>
  <c r="S19" i="1802"/>
  <c r="R19" i="1802"/>
  <c r="Q19" i="1802"/>
  <c r="P19" i="1802"/>
  <c r="O19" i="1802"/>
  <c r="N19" i="1802"/>
  <c r="M19" i="1802"/>
  <c r="L19" i="1802"/>
  <c r="P33" i="1802" s="1"/>
  <c r="K19" i="1802"/>
  <c r="J19" i="1802"/>
  <c r="I19" i="1802"/>
  <c r="AB33" i="1802" s="1"/>
  <c r="H19" i="1802"/>
  <c r="G19" i="1802"/>
  <c r="F19" i="1802"/>
  <c r="E19" i="1802"/>
  <c r="D19" i="1802"/>
  <c r="AE16" i="1802"/>
  <c r="AD16" i="1802"/>
  <c r="AC16" i="1802"/>
  <c r="AB16" i="1802"/>
  <c r="AA16" i="1802"/>
  <c r="Z16" i="1802"/>
  <c r="Y16" i="1802"/>
  <c r="X16" i="1802"/>
  <c r="W16" i="1802"/>
  <c r="V16" i="1802"/>
  <c r="U16" i="1802"/>
  <c r="T16" i="1802"/>
  <c r="S16" i="1802"/>
  <c r="R16" i="1802"/>
  <c r="Q16" i="1802"/>
  <c r="P16" i="1802"/>
  <c r="O16" i="1802"/>
  <c r="N16" i="1802"/>
  <c r="M16" i="1802"/>
  <c r="L16" i="1802"/>
  <c r="K16" i="1802"/>
  <c r="J16" i="1802"/>
  <c r="I16" i="1802"/>
  <c r="H16" i="1802"/>
  <c r="G16" i="1802"/>
  <c r="F16" i="1802"/>
  <c r="E16" i="1802"/>
  <c r="D16" i="1802"/>
  <c r="AE10" i="1802"/>
  <c r="AD10" i="1802"/>
  <c r="AC33" i="1802" s="1"/>
  <c r="AC10" i="1802"/>
  <c r="AB10" i="1802"/>
  <c r="AA10" i="1802"/>
  <c r="Z10" i="1802"/>
  <c r="Y10" i="1802"/>
  <c r="X10" i="1802"/>
  <c r="W10" i="1802"/>
  <c r="V10" i="1802"/>
  <c r="U10" i="1802"/>
  <c r="T10" i="1802"/>
  <c r="S10" i="1802"/>
  <c r="R10" i="1802"/>
  <c r="Q10" i="1802"/>
  <c r="P10" i="1802"/>
  <c r="O10" i="1802"/>
  <c r="N10" i="1802"/>
  <c r="M10" i="1802"/>
  <c r="L10" i="1802"/>
  <c r="K10" i="1802"/>
  <c r="J10" i="1802"/>
  <c r="I10" i="1802"/>
  <c r="H10" i="1802"/>
  <c r="G10" i="1802"/>
  <c r="F10" i="1802"/>
  <c r="J33" i="1802" s="1"/>
  <c r="E10" i="1802"/>
  <c r="S33" i="1802" s="1"/>
  <c r="D10" i="1802"/>
  <c r="AE7" i="1802"/>
  <c r="AD7" i="1802"/>
  <c r="AC7" i="1802"/>
  <c r="AB7" i="1802"/>
  <c r="AA7" i="1802"/>
  <c r="Z7" i="1802"/>
  <c r="Y7" i="1802"/>
  <c r="X7" i="1802"/>
  <c r="W7" i="1802"/>
  <c r="V7" i="1802"/>
  <c r="U7" i="1802"/>
  <c r="T7" i="1802"/>
  <c r="S7" i="1802"/>
  <c r="R7" i="1802"/>
  <c r="Q7" i="1802"/>
  <c r="P7" i="1802"/>
  <c r="O7" i="1802"/>
  <c r="N7" i="1802"/>
  <c r="M7" i="1802"/>
  <c r="L7" i="1802"/>
  <c r="K7" i="1802"/>
  <c r="J7" i="1802"/>
  <c r="I7" i="1802"/>
  <c r="H7" i="1802"/>
  <c r="G7" i="1802"/>
  <c r="F7" i="1802"/>
  <c r="E7" i="1802"/>
  <c r="D7" i="1802"/>
  <c r="V33" i="1802" l="1"/>
  <c r="K33" i="1802"/>
  <c r="W33" i="1802"/>
  <c r="D33" i="1802"/>
  <c r="Z33" i="1802"/>
  <c r="Y33" i="1802"/>
  <c r="N33" i="1802"/>
  <c r="Q33" i="1802"/>
  <c r="E33" i="1802"/>
  <c r="M33" i="1802"/>
  <c r="AA33" i="1801"/>
  <c r="X33" i="1801"/>
  <c r="U33" i="1801"/>
  <c r="R33" i="1801"/>
  <c r="O33" i="1801"/>
  <c r="L33" i="1801"/>
  <c r="F33" i="1801"/>
  <c r="Y28" i="1801"/>
  <c r="X28" i="1801"/>
  <c r="W28" i="1801"/>
  <c r="V28" i="1801"/>
  <c r="U28" i="1801"/>
  <c r="T28" i="1801"/>
  <c r="S28" i="1801"/>
  <c r="R28" i="1801"/>
  <c r="Q28" i="1801"/>
  <c r="P28" i="1801"/>
  <c r="O28" i="1801"/>
  <c r="N28" i="1801"/>
  <c r="M28" i="1801"/>
  <c r="L28" i="1801"/>
  <c r="K28" i="1801"/>
  <c r="J28" i="1801"/>
  <c r="I28" i="1801"/>
  <c r="H28" i="1801"/>
  <c r="G28" i="1801"/>
  <c r="F28" i="1801"/>
  <c r="E28" i="1801"/>
  <c r="D28" i="1801"/>
  <c r="Y25" i="1801"/>
  <c r="X25" i="1801"/>
  <c r="W25" i="1801"/>
  <c r="V25" i="1801"/>
  <c r="U25" i="1801"/>
  <c r="T25" i="1801"/>
  <c r="S25" i="1801"/>
  <c r="R25" i="1801"/>
  <c r="Q25" i="1801"/>
  <c r="P25" i="1801"/>
  <c r="O25" i="1801"/>
  <c r="N25" i="1801"/>
  <c r="M25" i="1801"/>
  <c r="L25" i="1801"/>
  <c r="K25" i="1801"/>
  <c r="J25" i="1801"/>
  <c r="I25" i="1801"/>
  <c r="H25" i="1801"/>
  <c r="G25" i="1801"/>
  <c r="F25" i="1801"/>
  <c r="E25" i="1801"/>
  <c r="D25" i="1801"/>
  <c r="AE19" i="1801"/>
  <c r="AD19" i="1801"/>
  <c r="AC19" i="1801"/>
  <c r="AB19" i="1801"/>
  <c r="AA19" i="1801"/>
  <c r="Z19" i="1801"/>
  <c r="Y19" i="1801"/>
  <c r="X19" i="1801"/>
  <c r="T33" i="1801" s="1"/>
  <c r="W19" i="1801"/>
  <c r="V19" i="1801"/>
  <c r="U19" i="1801"/>
  <c r="T19" i="1801"/>
  <c r="S19" i="1801"/>
  <c r="R19" i="1801"/>
  <c r="Q19" i="1801"/>
  <c r="P19" i="1801"/>
  <c r="O19" i="1801"/>
  <c r="N19" i="1801"/>
  <c r="H33" i="1801" s="1"/>
  <c r="M19" i="1801"/>
  <c r="L19" i="1801"/>
  <c r="P33" i="1801" s="1"/>
  <c r="K19" i="1801"/>
  <c r="J19" i="1801"/>
  <c r="I19" i="1801"/>
  <c r="AB33" i="1801" s="1"/>
  <c r="H19" i="1801"/>
  <c r="G19" i="1801"/>
  <c r="F19" i="1801"/>
  <c r="E19" i="1801"/>
  <c r="D19" i="1801"/>
  <c r="AE16" i="1801"/>
  <c r="AD16" i="1801"/>
  <c r="AC16" i="1801"/>
  <c r="AB16" i="1801"/>
  <c r="AA16" i="1801"/>
  <c r="Z16" i="1801"/>
  <c r="Y16" i="1801"/>
  <c r="X16" i="1801"/>
  <c r="W16" i="1801"/>
  <c r="V16" i="1801"/>
  <c r="U16" i="1801"/>
  <c r="T16" i="1801"/>
  <c r="S16" i="1801"/>
  <c r="R16" i="1801"/>
  <c r="Q16" i="1801"/>
  <c r="P16" i="1801"/>
  <c r="O16" i="1801"/>
  <c r="N16" i="1801"/>
  <c r="M16" i="1801"/>
  <c r="L16" i="1801"/>
  <c r="K16" i="1801"/>
  <c r="J16" i="1801"/>
  <c r="I16" i="1801"/>
  <c r="H16" i="1801"/>
  <c r="G16" i="1801"/>
  <c r="F16" i="1801"/>
  <c r="E16" i="1801"/>
  <c r="D16" i="1801"/>
  <c r="AE10" i="1801"/>
  <c r="AD10" i="1801"/>
  <c r="AC33" i="1801" s="1"/>
  <c r="AC10" i="1801"/>
  <c r="AB10" i="1801"/>
  <c r="AA10" i="1801"/>
  <c r="Z10" i="1801"/>
  <c r="Y10" i="1801"/>
  <c r="X10" i="1801"/>
  <c r="W10" i="1801"/>
  <c r="V10" i="1801"/>
  <c r="U10" i="1801"/>
  <c r="T10" i="1801"/>
  <c r="S10" i="1801"/>
  <c r="R10" i="1801"/>
  <c r="Q10" i="1801"/>
  <c r="P10" i="1801"/>
  <c r="O10" i="1801"/>
  <c r="N10" i="1801"/>
  <c r="M10" i="1801"/>
  <c r="E33" i="1801" s="1"/>
  <c r="L10" i="1801"/>
  <c r="N33" i="1801" s="1"/>
  <c r="K10" i="1801"/>
  <c r="J10" i="1801"/>
  <c r="I10" i="1801"/>
  <c r="H10" i="1801"/>
  <c r="G10" i="1801"/>
  <c r="F10" i="1801"/>
  <c r="J33" i="1801" s="1"/>
  <c r="E10" i="1801"/>
  <c r="S33" i="1801" s="1"/>
  <c r="D10" i="1801"/>
  <c r="AE7" i="1801"/>
  <c r="AD7" i="1801"/>
  <c r="AC7" i="1801"/>
  <c r="AB7" i="1801"/>
  <c r="AA7" i="1801"/>
  <c r="Z7" i="1801"/>
  <c r="Y7" i="1801"/>
  <c r="X7" i="1801"/>
  <c r="W7" i="1801"/>
  <c r="V7" i="1801"/>
  <c r="U7" i="1801"/>
  <c r="T7" i="1801"/>
  <c r="S7" i="1801"/>
  <c r="R7" i="1801"/>
  <c r="Q7" i="1801"/>
  <c r="P7" i="1801"/>
  <c r="O7" i="1801"/>
  <c r="N7" i="1801"/>
  <c r="M7" i="1801"/>
  <c r="L7" i="1801"/>
  <c r="K7" i="1801"/>
  <c r="J7" i="1801"/>
  <c r="I7" i="1801"/>
  <c r="H7" i="1801"/>
  <c r="G7" i="1801"/>
  <c r="F7" i="1801"/>
  <c r="E7" i="1801"/>
  <c r="D7" i="1801"/>
  <c r="K33" i="1801" l="1"/>
  <c r="W33" i="1801"/>
  <c r="Z33" i="1801"/>
  <c r="V33" i="1801"/>
  <c r="D33" i="1801"/>
  <c r="Q33" i="1801"/>
  <c r="M33" i="1801"/>
  <c r="Y33" i="1801"/>
  <c r="AA33" i="1800"/>
  <c r="X33" i="1800"/>
  <c r="U33" i="1800"/>
  <c r="R33" i="1800"/>
  <c r="O33" i="1800"/>
  <c r="L33" i="1800"/>
  <c r="F33" i="1800"/>
  <c r="Y28" i="1800"/>
  <c r="X28" i="1800"/>
  <c r="W28" i="1800"/>
  <c r="V28" i="1800"/>
  <c r="U28" i="1800"/>
  <c r="T28" i="1800"/>
  <c r="S28" i="1800"/>
  <c r="R28" i="1800"/>
  <c r="Q28" i="1800"/>
  <c r="P28" i="1800"/>
  <c r="O28" i="1800"/>
  <c r="N28" i="1800"/>
  <c r="M28" i="1800"/>
  <c r="L28" i="1800"/>
  <c r="K28" i="1800"/>
  <c r="J28" i="1800"/>
  <c r="I28" i="1800"/>
  <c r="H28" i="1800"/>
  <c r="G28" i="1800"/>
  <c r="F28" i="1800"/>
  <c r="E28" i="1800"/>
  <c r="D28" i="1800"/>
  <c r="Y25" i="1800"/>
  <c r="X25" i="1800"/>
  <c r="W25" i="1800"/>
  <c r="V25" i="1800"/>
  <c r="U25" i="1800"/>
  <c r="T25" i="1800"/>
  <c r="S25" i="1800"/>
  <c r="R25" i="1800"/>
  <c r="Q25" i="1800"/>
  <c r="P25" i="1800"/>
  <c r="O25" i="1800"/>
  <c r="N25" i="1800"/>
  <c r="M25" i="1800"/>
  <c r="L25" i="1800"/>
  <c r="K25" i="1800"/>
  <c r="J25" i="1800"/>
  <c r="I25" i="1800"/>
  <c r="H25" i="1800"/>
  <c r="G25" i="1800"/>
  <c r="F25" i="1800"/>
  <c r="E25" i="1800"/>
  <c r="D25" i="1800"/>
  <c r="AE19" i="1800"/>
  <c r="AD19" i="1800"/>
  <c r="AC19" i="1800"/>
  <c r="AB19" i="1800"/>
  <c r="AA19" i="1800"/>
  <c r="Z19" i="1800"/>
  <c r="Y19" i="1800"/>
  <c r="X19" i="1800"/>
  <c r="T33" i="1800" s="1"/>
  <c r="W19" i="1800"/>
  <c r="V19" i="1800"/>
  <c r="U19" i="1800"/>
  <c r="T19" i="1800"/>
  <c r="S19" i="1800"/>
  <c r="R19" i="1800"/>
  <c r="Q19" i="1800"/>
  <c r="P19" i="1800"/>
  <c r="O19" i="1800"/>
  <c r="N19" i="1800"/>
  <c r="H33" i="1800" s="1"/>
  <c r="M19" i="1800"/>
  <c r="L19" i="1800"/>
  <c r="P33" i="1800" s="1"/>
  <c r="K19" i="1800"/>
  <c r="J19" i="1800"/>
  <c r="I19" i="1800"/>
  <c r="AB33" i="1800" s="1"/>
  <c r="H19" i="1800"/>
  <c r="G19" i="1800"/>
  <c r="F19" i="1800"/>
  <c r="E19" i="1800"/>
  <c r="D19" i="1800"/>
  <c r="AE16" i="1800"/>
  <c r="AD16" i="1800"/>
  <c r="AC16" i="1800"/>
  <c r="AB16" i="1800"/>
  <c r="AA16" i="1800"/>
  <c r="Z16" i="1800"/>
  <c r="Y16" i="1800"/>
  <c r="X16" i="1800"/>
  <c r="W16" i="1800"/>
  <c r="V16" i="1800"/>
  <c r="U16" i="1800"/>
  <c r="T16" i="1800"/>
  <c r="S16" i="1800"/>
  <c r="R16" i="1800"/>
  <c r="Q16" i="1800"/>
  <c r="P16" i="1800"/>
  <c r="O16" i="1800"/>
  <c r="N16" i="1800"/>
  <c r="M16" i="1800"/>
  <c r="L16" i="1800"/>
  <c r="K16" i="1800"/>
  <c r="J16" i="1800"/>
  <c r="I16" i="1800"/>
  <c r="H16" i="1800"/>
  <c r="G16" i="1800"/>
  <c r="F16" i="1800"/>
  <c r="E16" i="1800"/>
  <c r="D16" i="1800"/>
  <c r="AE10" i="1800"/>
  <c r="AD10" i="1800"/>
  <c r="AC33" i="1800" s="1"/>
  <c r="AC10" i="1800"/>
  <c r="AB10" i="1800"/>
  <c r="AA10" i="1800"/>
  <c r="Z10" i="1800"/>
  <c r="Y10" i="1800"/>
  <c r="X10" i="1800"/>
  <c r="W10" i="1800"/>
  <c r="V10" i="1800"/>
  <c r="U10" i="1800"/>
  <c r="T10" i="1800"/>
  <c r="S10" i="1800"/>
  <c r="R10" i="1800"/>
  <c r="Q10" i="1800"/>
  <c r="P10" i="1800"/>
  <c r="O10" i="1800"/>
  <c r="N10" i="1800"/>
  <c r="Q33" i="1800" s="1"/>
  <c r="M10" i="1800"/>
  <c r="L10" i="1800"/>
  <c r="K10" i="1800"/>
  <c r="J10" i="1800"/>
  <c r="I10" i="1800"/>
  <c r="H10" i="1800"/>
  <c r="G10" i="1800"/>
  <c r="F10" i="1800"/>
  <c r="J33" i="1800" s="1"/>
  <c r="E10" i="1800"/>
  <c r="S33" i="1800" s="1"/>
  <c r="D10" i="1800"/>
  <c r="AE7" i="1800"/>
  <c r="AD7" i="1800"/>
  <c r="AC7" i="1800"/>
  <c r="AB7" i="1800"/>
  <c r="AA7" i="1800"/>
  <c r="Z7" i="1800"/>
  <c r="Y7" i="1800"/>
  <c r="X7" i="1800"/>
  <c r="W7" i="1800"/>
  <c r="V7" i="1800"/>
  <c r="U7" i="1800"/>
  <c r="T7" i="1800"/>
  <c r="S7" i="1800"/>
  <c r="R7" i="1800"/>
  <c r="Q7" i="1800"/>
  <c r="P7" i="1800"/>
  <c r="O7" i="1800"/>
  <c r="N7" i="1800"/>
  <c r="M7" i="1800"/>
  <c r="L7" i="1800"/>
  <c r="K7" i="1800"/>
  <c r="J7" i="1800"/>
  <c r="I7" i="1800"/>
  <c r="H7" i="1800"/>
  <c r="G7" i="1800"/>
  <c r="F7" i="1800"/>
  <c r="E7" i="1800"/>
  <c r="D7" i="1800"/>
  <c r="V33" i="1800" l="1"/>
  <c r="K33" i="1800"/>
  <c r="W33" i="1800"/>
  <c r="D33" i="1800"/>
  <c r="Z33" i="1800"/>
  <c r="Y33" i="1800"/>
  <c r="N33" i="1800"/>
  <c r="E33" i="1800"/>
  <c r="M33" i="1800"/>
  <c r="AA33" i="1799"/>
  <c r="X33" i="1799"/>
  <c r="U33" i="1799"/>
  <c r="R33" i="1799"/>
  <c r="O33" i="1799"/>
  <c r="L33" i="1799"/>
  <c r="F33" i="1799"/>
  <c r="Y28" i="1799"/>
  <c r="X28" i="1799"/>
  <c r="W28" i="1799"/>
  <c r="V28" i="1799"/>
  <c r="U28" i="1799"/>
  <c r="T28" i="1799"/>
  <c r="S28" i="1799"/>
  <c r="R28" i="1799"/>
  <c r="Q28" i="1799"/>
  <c r="P28" i="1799"/>
  <c r="O28" i="1799"/>
  <c r="N28" i="1799"/>
  <c r="M28" i="1799"/>
  <c r="L28" i="1799"/>
  <c r="K28" i="1799"/>
  <c r="J28" i="1799"/>
  <c r="I28" i="1799"/>
  <c r="H28" i="1799"/>
  <c r="G28" i="1799"/>
  <c r="F28" i="1799"/>
  <c r="E28" i="1799"/>
  <c r="D28" i="1799"/>
  <c r="Y25" i="1799"/>
  <c r="X25" i="1799"/>
  <c r="W25" i="1799"/>
  <c r="V25" i="1799"/>
  <c r="U25" i="1799"/>
  <c r="T25" i="1799"/>
  <c r="S25" i="1799"/>
  <c r="R25" i="1799"/>
  <c r="Q25" i="1799"/>
  <c r="P25" i="1799"/>
  <c r="O25" i="1799"/>
  <c r="N25" i="1799"/>
  <c r="M25" i="1799"/>
  <c r="L25" i="1799"/>
  <c r="K25" i="1799"/>
  <c r="J25" i="1799"/>
  <c r="I25" i="1799"/>
  <c r="H25" i="1799"/>
  <c r="G25" i="1799"/>
  <c r="F25" i="1799"/>
  <c r="E25" i="1799"/>
  <c r="D25" i="1799"/>
  <c r="AE19" i="1799"/>
  <c r="AD19" i="1799"/>
  <c r="AC19" i="1799"/>
  <c r="AB19" i="1799"/>
  <c r="AA19" i="1799"/>
  <c r="Z19" i="1799"/>
  <c r="Y19" i="1799"/>
  <c r="X19" i="1799"/>
  <c r="T33" i="1799" s="1"/>
  <c r="W19" i="1799"/>
  <c r="V19" i="1799"/>
  <c r="U19" i="1799"/>
  <c r="T19" i="1799"/>
  <c r="S19" i="1799"/>
  <c r="R19" i="1799"/>
  <c r="Q19" i="1799"/>
  <c r="P19" i="1799"/>
  <c r="O19" i="1799"/>
  <c r="N19" i="1799"/>
  <c r="H33" i="1799" s="1"/>
  <c r="M19" i="1799"/>
  <c r="L19" i="1799"/>
  <c r="P33" i="1799" s="1"/>
  <c r="K19" i="1799"/>
  <c r="J19" i="1799"/>
  <c r="I19" i="1799"/>
  <c r="AB33" i="1799" s="1"/>
  <c r="H19" i="1799"/>
  <c r="G19" i="1799"/>
  <c r="F19" i="1799"/>
  <c r="E19" i="1799"/>
  <c r="D19" i="1799"/>
  <c r="AE16" i="1799"/>
  <c r="AD16" i="1799"/>
  <c r="AC16" i="1799"/>
  <c r="AB16" i="1799"/>
  <c r="AA16" i="1799"/>
  <c r="Z16" i="1799"/>
  <c r="Y16" i="1799"/>
  <c r="X16" i="1799"/>
  <c r="W16" i="1799"/>
  <c r="V16" i="1799"/>
  <c r="U16" i="1799"/>
  <c r="T16" i="1799"/>
  <c r="S16" i="1799"/>
  <c r="R16" i="1799"/>
  <c r="Q16" i="1799"/>
  <c r="P16" i="1799"/>
  <c r="O16" i="1799"/>
  <c r="N16" i="1799"/>
  <c r="M16" i="1799"/>
  <c r="L16" i="1799"/>
  <c r="K16" i="1799"/>
  <c r="J16" i="1799"/>
  <c r="I16" i="1799"/>
  <c r="H16" i="1799"/>
  <c r="G16" i="1799"/>
  <c r="F16" i="1799"/>
  <c r="E16" i="1799"/>
  <c r="D16" i="1799"/>
  <c r="AE10" i="1799"/>
  <c r="AD10" i="1799"/>
  <c r="AC33" i="1799" s="1"/>
  <c r="AC10" i="1799"/>
  <c r="AB10" i="1799"/>
  <c r="D33" i="1799" s="1"/>
  <c r="AA10" i="1799"/>
  <c r="Z10" i="1799"/>
  <c r="Y10" i="1799"/>
  <c r="X10" i="1799"/>
  <c r="W10" i="1799"/>
  <c r="V10" i="1799"/>
  <c r="U10" i="1799"/>
  <c r="T10" i="1799"/>
  <c r="S10" i="1799"/>
  <c r="R10" i="1799"/>
  <c r="Q10" i="1799"/>
  <c r="P10" i="1799"/>
  <c r="O10" i="1799"/>
  <c r="N10" i="1799"/>
  <c r="Q33" i="1799" s="1"/>
  <c r="M10" i="1799"/>
  <c r="E33" i="1799" s="1"/>
  <c r="L10" i="1799"/>
  <c r="N33" i="1799" s="1"/>
  <c r="K10" i="1799"/>
  <c r="J10" i="1799"/>
  <c r="I10" i="1799"/>
  <c r="H10" i="1799"/>
  <c r="G10" i="1799"/>
  <c r="F10" i="1799"/>
  <c r="J33" i="1799" s="1"/>
  <c r="E10" i="1799"/>
  <c r="S33" i="1799" s="1"/>
  <c r="D10" i="1799"/>
  <c r="AE7" i="1799"/>
  <c r="AD7" i="1799"/>
  <c r="AC7" i="1799"/>
  <c r="AB7" i="1799"/>
  <c r="AA7" i="1799"/>
  <c r="Z7" i="1799"/>
  <c r="Y7" i="1799"/>
  <c r="X7" i="1799"/>
  <c r="W7" i="1799"/>
  <c r="V7" i="1799"/>
  <c r="U7" i="1799"/>
  <c r="T7" i="1799"/>
  <c r="S7" i="1799"/>
  <c r="R7" i="1799"/>
  <c r="Q7" i="1799"/>
  <c r="P7" i="1799"/>
  <c r="O7" i="1799"/>
  <c r="N7" i="1799"/>
  <c r="M7" i="1799"/>
  <c r="L7" i="1799"/>
  <c r="K7" i="1799"/>
  <c r="J7" i="1799"/>
  <c r="I7" i="1799"/>
  <c r="H7" i="1799"/>
  <c r="G7" i="1799"/>
  <c r="F7" i="1799"/>
  <c r="E7" i="1799"/>
  <c r="D7" i="1799"/>
  <c r="K33" i="1799" l="1"/>
  <c r="W33" i="1799"/>
  <c r="Z33" i="1799"/>
  <c r="Y33" i="1799"/>
  <c r="M33" i="1799"/>
  <c r="V33" i="1799"/>
  <c r="AA33" i="1798"/>
  <c r="X33" i="1798"/>
  <c r="U33" i="1798"/>
  <c r="R33" i="1798"/>
  <c r="O33" i="1798"/>
  <c r="L33" i="1798"/>
  <c r="F33" i="1798"/>
  <c r="Y28" i="1798"/>
  <c r="X28" i="1798"/>
  <c r="W28" i="1798"/>
  <c r="V28" i="1798"/>
  <c r="U28" i="1798"/>
  <c r="T28" i="1798"/>
  <c r="S28" i="1798"/>
  <c r="R28" i="1798"/>
  <c r="Q28" i="1798"/>
  <c r="P28" i="1798"/>
  <c r="O28" i="1798"/>
  <c r="N28" i="1798"/>
  <c r="M28" i="1798"/>
  <c r="L28" i="1798"/>
  <c r="K28" i="1798"/>
  <c r="J28" i="1798"/>
  <c r="I28" i="1798"/>
  <c r="H28" i="1798"/>
  <c r="G28" i="1798"/>
  <c r="F28" i="1798"/>
  <c r="E28" i="1798"/>
  <c r="D28" i="1798"/>
  <c r="Y25" i="1798"/>
  <c r="X25" i="1798"/>
  <c r="W25" i="1798"/>
  <c r="V25" i="1798"/>
  <c r="U25" i="1798"/>
  <c r="T25" i="1798"/>
  <c r="S25" i="1798"/>
  <c r="R25" i="1798"/>
  <c r="Q25" i="1798"/>
  <c r="P25" i="1798"/>
  <c r="O25" i="1798"/>
  <c r="N25" i="1798"/>
  <c r="M25" i="1798"/>
  <c r="L25" i="1798"/>
  <c r="K25" i="1798"/>
  <c r="J25" i="1798"/>
  <c r="I25" i="1798"/>
  <c r="H25" i="1798"/>
  <c r="G25" i="1798"/>
  <c r="F25" i="1798"/>
  <c r="E25" i="1798"/>
  <c r="D25" i="1798"/>
  <c r="AE19" i="1798"/>
  <c r="AD19" i="1798"/>
  <c r="AC19" i="1798"/>
  <c r="AB19" i="1798"/>
  <c r="AA19" i="1798"/>
  <c r="Z19" i="1798"/>
  <c r="Y19" i="1798"/>
  <c r="X19" i="1798"/>
  <c r="T33" i="1798" s="1"/>
  <c r="W19" i="1798"/>
  <c r="V19" i="1798"/>
  <c r="U19" i="1798"/>
  <c r="T19" i="1798"/>
  <c r="S19" i="1798"/>
  <c r="R19" i="1798"/>
  <c r="Q19" i="1798"/>
  <c r="P19" i="1798"/>
  <c r="O19" i="1798"/>
  <c r="N19" i="1798"/>
  <c r="H33" i="1798" s="1"/>
  <c r="M19" i="1798"/>
  <c r="L19" i="1798"/>
  <c r="P33" i="1798" s="1"/>
  <c r="K19" i="1798"/>
  <c r="J19" i="1798"/>
  <c r="I19" i="1798"/>
  <c r="AB33" i="1798" s="1"/>
  <c r="H19" i="1798"/>
  <c r="G19" i="1798"/>
  <c r="F19" i="1798"/>
  <c r="E19" i="1798"/>
  <c r="D19" i="1798"/>
  <c r="AE16" i="1798"/>
  <c r="AD16" i="1798"/>
  <c r="AC16" i="1798"/>
  <c r="AB16" i="1798"/>
  <c r="AA16" i="1798"/>
  <c r="Z16" i="1798"/>
  <c r="Y16" i="1798"/>
  <c r="X16" i="1798"/>
  <c r="W16" i="1798"/>
  <c r="V16" i="1798"/>
  <c r="U16" i="1798"/>
  <c r="T16" i="1798"/>
  <c r="S16" i="1798"/>
  <c r="R16" i="1798"/>
  <c r="Q16" i="1798"/>
  <c r="P16" i="1798"/>
  <c r="O16" i="1798"/>
  <c r="N16" i="1798"/>
  <c r="M16" i="1798"/>
  <c r="L16" i="1798"/>
  <c r="K16" i="1798"/>
  <c r="J16" i="1798"/>
  <c r="I16" i="1798"/>
  <c r="H16" i="1798"/>
  <c r="G16" i="1798"/>
  <c r="F16" i="1798"/>
  <c r="E16" i="1798"/>
  <c r="D16" i="1798"/>
  <c r="AE10" i="1798"/>
  <c r="AD10" i="1798"/>
  <c r="AC33" i="1798" s="1"/>
  <c r="AC10" i="1798"/>
  <c r="AB10" i="1798"/>
  <c r="AA10" i="1798"/>
  <c r="Z10" i="1798"/>
  <c r="Y10" i="1798"/>
  <c r="X10" i="1798"/>
  <c r="W10" i="1798"/>
  <c r="V10" i="1798"/>
  <c r="U10" i="1798"/>
  <c r="T10" i="1798"/>
  <c r="S10" i="1798"/>
  <c r="R10" i="1798"/>
  <c r="Q10" i="1798"/>
  <c r="P10" i="1798"/>
  <c r="O10" i="1798"/>
  <c r="N10" i="1798"/>
  <c r="Q33" i="1798" s="1"/>
  <c r="M10" i="1798"/>
  <c r="E33" i="1798" s="1"/>
  <c r="L10" i="1798"/>
  <c r="K10" i="1798"/>
  <c r="J10" i="1798"/>
  <c r="I10" i="1798"/>
  <c r="H10" i="1798"/>
  <c r="G10" i="1798"/>
  <c r="F10" i="1798"/>
  <c r="J33" i="1798" s="1"/>
  <c r="E10" i="1798"/>
  <c r="S33" i="1798" s="1"/>
  <c r="D10" i="1798"/>
  <c r="AE7" i="1798"/>
  <c r="AD7" i="1798"/>
  <c r="AC7" i="1798"/>
  <c r="AB7" i="1798"/>
  <c r="AA7" i="1798"/>
  <c r="Z7" i="1798"/>
  <c r="Y7" i="1798"/>
  <c r="X7" i="1798"/>
  <c r="W7" i="1798"/>
  <c r="V7" i="1798"/>
  <c r="U7" i="1798"/>
  <c r="T7" i="1798"/>
  <c r="S7" i="1798"/>
  <c r="R7" i="1798"/>
  <c r="Q7" i="1798"/>
  <c r="P7" i="1798"/>
  <c r="O7" i="1798"/>
  <c r="N7" i="1798"/>
  <c r="M7" i="1798"/>
  <c r="L7" i="1798"/>
  <c r="K7" i="1798"/>
  <c r="J7" i="1798"/>
  <c r="I7" i="1798"/>
  <c r="H7" i="1798"/>
  <c r="G7" i="1798"/>
  <c r="F7" i="1798"/>
  <c r="E7" i="1798"/>
  <c r="D7" i="1798"/>
  <c r="K33" i="1798" l="1"/>
  <c r="W33" i="1798"/>
  <c r="D33" i="1798"/>
  <c r="Z33" i="1798"/>
  <c r="Y33" i="1798"/>
  <c r="N33" i="1798"/>
  <c r="M33" i="1798"/>
  <c r="V33" i="1798"/>
  <c r="AA33" i="1797"/>
  <c r="X33" i="1797"/>
  <c r="U33" i="1797"/>
  <c r="R33" i="1797"/>
  <c r="O33" i="1797"/>
  <c r="L33" i="1797"/>
  <c r="F33" i="1797"/>
  <c r="Y28" i="1797"/>
  <c r="X28" i="1797"/>
  <c r="W28" i="1797"/>
  <c r="V28" i="1797"/>
  <c r="U28" i="1797"/>
  <c r="T28" i="1797"/>
  <c r="S28" i="1797"/>
  <c r="R28" i="1797"/>
  <c r="Q28" i="1797"/>
  <c r="P28" i="1797"/>
  <c r="O28" i="1797"/>
  <c r="N28" i="1797"/>
  <c r="M28" i="1797"/>
  <c r="L28" i="1797"/>
  <c r="K28" i="1797"/>
  <c r="J28" i="1797"/>
  <c r="I28" i="1797"/>
  <c r="H28" i="1797"/>
  <c r="G28" i="1797"/>
  <c r="F28" i="1797"/>
  <c r="E28" i="1797"/>
  <c r="D28" i="1797"/>
  <c r="Y25" i="1797"/>
  <c r="X25" i="1797"/>
  <c r="W25" i="1797"/>
  <c r="V25" i="1797"/>
  <c r="U25" i="1797"/>
  <c r="T25" i="1797"/>
  <c r="S25" i="1797"/>
  <c r="R25" i="1797"/>
  <c r="Q25" i="1797"/>
  <c r="P25" i="1797"/>
  <c r="O25" i="1797"/>
  <c r="N25" i="1797"/>
  <c r="M25" i="1797"/>
  <c r="L25" i="1797"/>
  <c r="K25" i="1797"/>
  <c r="J25" i="1797"/>
  <c r="I25" i="1797"/>
  <c r="H25" i="1797"/>
  <c r="G25" i="1797"/>
  <c r="F25" i="1797"/>
  <c r="E25" i="1797"/>
  <c r="D25" i="1797"/>
  <c r="AE19" i="1797"/>
  <c r="AD19" i="1797"/>
  <c r="AC19" i="1797"/>
  <c r="AB19" i="1797"/>
  <c r="AA19" i="1797"/>
  <c r="Z19" i="1797"/>
  <c r="Y19" i="1797"/>
  <c r="X19" i="1797"/>
  <c r="T33" i="1797" s="1"/>
  <c r="W19" i="1797"/>
  <c r="V19" i="1797"/>
  <c r="U19" i="1797"/>
  <c r="T19" i="1797"/>
  <c r="S19" i="1797"/>
  <c r="R19" i="1797"/>
  <c r="Q19" i="1797"/>
  <c r="P19" i="1797"/>
  <c r="O19" i="1797"/>
  <c r="N19" i="1797"/>
  <c r="H33" i="1797" s="1"/>
  <c r="M19" i="1797"/>
  <c r="L19" i="1797"/>
  <c r="P33" i="1797" s="1"/>
  <c r="K19" i="1797"/>
  <c r="J19" i="1797"/>
  <c r="I19" i="1797"/>
  <c r="AB33" i="1797" s="1"/>
  <c r="H19" i="1797"/>
  <c r="G19" i="1797"/>
  <c r="F19" i="1797"/>
  <c r="E19" i="1797"/>
  <c r="D19" i="1797"/>
  <c r="AE16" i="1797"/>
  <c r="AD16" i="1797"/>
  <c r="AC16" i="1797"/>
  <c r="AB16" i="1797"/>
  <c r="AA16" i="1797"/>
  <c r="Z16" i="1797"/>
  <c r="Y16" i="1797"/>
  <c r="X16" i="1797"/>
  <c r="W16" i="1797"/>
  <c r="V16" i="1797"/>
  <c r="U16" i="1797"/>
  <c r="T16" i="1797"/>
  <c r="S16" i="1797"/>
  <c r="R16" i="1797"/>
  <c r="Q16" i="1797"/>
  <c r="P16" i="1797"/>
  <c r="O16" i="1797"/>
  <c r="N16" i="1797"/>
  <c r="M16" i="1797"/>
  <c r="L16" i="1797"/>
  <c r="K16" i="1797"/>
  <c r="J16" i="1797"/>
  <c r="I16" i="1797"/>
  <c r="H16" i="1797"/>
  <c r="G16" i="1797"/>
  <c r="F16" i="1797"/>
  <c r="E16" i="1797"/>
  <c r="D16" i="1797"/>
  <c r="AE10" i="1797"/>
  <c r="AD10" i="1797"/>
  <c r="AC33" i="1797" s="1"/>
  <c r="AC10" i="1797"/>
  <c r="AB10" i="1797"/>
  <c r="AA10" i="1797"/>
  <c r="D33" i="1797" s="1"/>
  <c r="Z10" i="1797"/>
  <c r="Y10" i="1797"/>
  <c r="X10" i="1797"/>
  <c r="W10" i="1797"/>
  <c r="V10" i="1797"/>
  <c r="U10" i="1797"/>
  <c r="T10" i="1797"/>
  <c r="S10" i="1797"/>
  <c r="R10" i="1797"/>
  <c r="Q10" i="1797"/>
  <c r="P10" i="1797"/>
  <c r="O10" i="1797"/>
  <c r="N10" i="1797"/>
  <c r="Q33" i="1797" s="1"/>
  <c r="M10" i="1797"/>
  <c r="E33" i="1797" s="1"/>
  <c r="L10" i="1797"/>
  <c r="N33" i="1797" s="1"/>
  <c r="K10" i="1797"/>
  <c r="J10" i="1797"/>
  <c r="I10" i="1797"/>
  <c r="H10" i="1797"/>
  <c r="G10" i="1797"/>
  <c r="F10" i="1797"/>
  <c r="J33" i="1797" s="1"/>
  <c r="E10" i="1797"/>
  <c r="S33" i="1797" s="1"/>
  <c r="D10" i="1797"/>
  <c r="AE7" i="1797"/>
  <c r="AD7" i="1797"/>
  <c r="AC7" i="1797"/>
  <c r="AB7" i="1797"/>
  <c r="AA7" i="1797"/>
  <c r="Z7" i="1797"/>
  <c r="Y7" i="1797"/>
  <c r="X7" i="1797"/>
  <c r="W7" i="1797"/>
  <c r="V7" i="1797"/>
  <c r="U7" i="1797"/>
  <c r="T7" i="1797"/>
  <c r="S7" i="1797"/>
  <c r="R7" i="1797"/>
  <c r="Q7" i="1797"/>
  <c r="P7" i="1797"/>
  <c r="O7" i="1797"/>
  <c r="N7" i="1797"/>
  <c r="M7" i="1797"/>
  <c r="L7" i="1797"/>
  <c r="K7" i="1797"/>
  <c r="J7" i="1797"/>
  <c r="I7" i="1797"/>
  <c r="H7" i="1797"/>
  <c r="G7" i="1797"/>
  <c r="F7" i="1797"/>
  <c r="E7" i="1797"/>
  <c r="D7" i="1797"/>
  <c r="W33" i="1797" l="1"/>
  <c r="Z33" i="1797"/>
  <c r="V33" i="1797"/>
  <c r="Y33" i="1797"/>
  <c r="K33" i="1797"/>
  <c r="M33" i="1797"/>
  <c r="AA33" i="1796"/>
  <c r="X33" i="1796"/>
  <c r="U33" i="1796"/>
  <c r="R33" i="1796"/>
  <c r="O33" i="1796"/>
  <c r="L33" i="1796"/>
  <c r="F33" i="1796"/>
  <c r="Y28" i="1796"/>
  <c r="X28" i="1796"/>
  <c r="W28" i="1796"/>
  <c r="V28" i="1796"/>
  <c r="U28" i="1796"/>
  <c r="T28" i="1796"/>
  <c r="S28" i="1796"/>
  <c r="R28" i="1796"/>
  <c r="Q28" i="1796"/>
  <c r="P28" i="1796"/>
  <c r="O28" i="1796"/>
  <c r="N28" i="1796"/>
  <c r="M28" i="1796"/>
  <c r="L28" i="1796"/>
  <c r="K28" i="1796"/>
  <c r="J28" i="1796"/>
  <c r="I28" i="1796"/>
  <c r="H28" i="1796"/>
  <c r="G28" i="1796"/>
  <c r="F28" i="1796"/>
  <c r="E28" i="1796"/>
  <c r="D28" i="1796"/>
  <c r="Y25" i="1796"/>
  <c r="X25" i="1796"/>
  <c r="W25" i="1796"/>
  <c r="V25" i="1796"/>
  <c r="U25" i="1796"/>
  <c r="T25" i="1796"/>
  <c r="S25" i="1796"/>
  <c r="R25" i="1796"/>
  <c r="Q25" i="1796"/>
  <c r="P25" i="1796"/>
  <c r="O25" i="1796"/>
  <c r="N25" i="1796"/>
  <c r="M25" i="1796"/>
  <c r="L25" i="1796"/>
  <c r="K25" i="1796"/>
  <c r="J25" i="1796"/>
  <c r="I25" i="1796"/>
  <c r="H25" i="1796"/>
  <c r="G25" i="1796"/>
  <c r="F25" i="1796"/>
  <c r="E25" i="1796"/>
  <c r="D25" i="1796"/>
  <c r="AE19" i="1796"/>
  <c r="AD19" i="1796"/>
  <c r="AC19" i="1796"/>
  <c r="AB19" i="1796"/>
  <c r="AA19" i="1796"/>
  <c r="Z19" i="1796"/>
  <c r="Y19" i="1796"/>
  <c r="X19" i="1796"/>
  <c r="T33" i="1796" s="1"/>
  <c r="W19" i="1796"/>
  <c r="V19" i="1796"/>
  <c r="U19" i="1796"/>
  <c r="T19" i="1796"/>
  <c r="S19" i="1796"/>
  <c r="R19" i="1796"/>
  <c r="Q19" i="1796"/>
  <c r="P19" i="1796"/>
  <c r="O19" i="1796"/>
  <c r="N19" i="1796"/>
  <c r="H33" i="1796" s="1"/>
  <c r="M19" i="1796"/>
  <c r="L19" i="1796"/>
  <c r="P33" i="1796" s="1"/>
  <c r="K19" i="1796"/>
  <c r="J19" i="1796"/>
  <c r="I19" i="1796"/>
  <c r="AB33" i="1796" s="1"/>
  <c r="H19" i="1796"/>
  <c r="G19" i="1796"/>
  <c r="F19" i="1796"/>
  <c r="E19" i="1796"/>
  <c r="D19" i="1796"/>
  <c r="AE16" i="1796"/>
  <c r="AD16" i="1796"/>
  <c r="AC16" i="1796"/>
  <c r="AB16" i="1796"/>
  <c r="AA16" i="1796"/>
  <c r="Z16" i="1796"/>
  <c r="Y16" i="1796"/>
  <c r="X16" i="1796"/>
  <c r="W16" i="1796"/>
  <c r="V16" i="1796"/>
  <c r="U16" i="1796"/>
  <c r="T16" i="1796"/>
  <c r="S16" i="1796"/>
  <c r="R16" i="1796"/>
  <c r="Q16" i="1796"/>
  <c r="P16" i="1796"/>
  <c r="O16" i="1796"/>
  <c r="N16" i="1796"/>
  <c r="M16" i="1796"/>
  <c r="L16" i="1796"/>
  <c r="K16" i="1796"/>
  <c r="J16" i="1796"/>
  <c r="I16" i="1796"/>
  <c r="H16" i="1796"/>
  <c r="G16" i="1796"/>
  <c r="F16" i="1796"/>
  <c r="E16" i="1796"/>
  <c r="D16" i="1796"/>
  <c r="AE10" i="1796"/>
  <c r="AD10" i="1796"/>
  <c r="AC33" i="1796" s="1"/>
  <c r="AC10" i="1796"/>
  <c r="AB10" i="1796"/>
  <c r="AA10" i="1796"/>
  <c r="Z10" i="1796"/>
  <c r="Y10" i="1796"/>
  <c r="X10" i="1796"/>
  <c r="W10" i="1796"/>
  <c r="V10" i="1796"/>
  <c r="U10" i="1796"/>
  <c r="T10" i="1796"/>
  <c r="S10" i="1796"/>
  <c r="R10" i="1796"/>
  <c r="Q10" i="1796"/>
  <c r="P10" i="1796"/>
  <c r="O10" i="1796"/>
  <c r="N10" i="1796"/>
  <c r="Q33" i="1796" s="1"/>
  <c r="M10" i="1796"/>
  <c r="E33" i="1796" s="1"/>
  <c r="L10" i="1796"/>
  <c r="N33" i="1796" s="1"/>
  <c r="K10" i="1796"/>
  <c r="J10" i="1796"/>
  <c r="I10" i="1796"/>
  <c r="H10" i="1796"/>
  <c r="G10" i="1796"/>
  <c r="F10" i="1796"/>
  <c r="J33" i="1796" s="1"/>
  <c r="E10" i="1796"/>
  <c r="S33" i="1796" s="1"/>
  <c r="D10" i="1796"/>
  <c r="AE7" i="1796"/>
  <c r="AD7" i="1796"/>
  <c r="AC7" i="1796"/>
  <c r="AB7" i="1796"/>
  <c r="AA7" i="1796"/>
  <c r="Z7" i="1796"/>
  <c r="Y7" i="1796"/>
  <c r="X7" i="1796"/>
  <c r="W7" i="1796"/>
  <c r="V7" i="1796"/>
  <c r="U7" i="1796"/>
  <c r="T7" i="1796"/>
  <c r="S7" i="1796"/>
  <c r="R7" i="1796"/>
  <c r="Q7" i="1796"/>
  <c r="P7" i="1796"/>
  <c r="O7" i="1796"/>
  <c r="N7" i="1796"/>
  <c r="M7" i="1796"/>
  <c r="L7" i="1796"/>
  <c r="K7" i="1796"/>
  <c r="J7" i="1796"/>
  <c r="I7" i="1796"/>
  <c r="H7" i="1796"/>
  <c r="G7" i="1796"/>
  <c r="F7" i="1796"/>
  <c r="E7" i="1796"/>
  <c r="D7" i="1796"/>
  <c r="K33" i="1796" l="1"/>
  <c r="W33" i="1796"/>
  <c r="Z33" i="1796"/>
  <c r="D33" i="1796"/>
  <c r="Y33" i="1796"/>
  <c r="M33" i="1796"/>
  <c r="V33" i="1796"/>
  <c r="AC33" i="1795"/>
  <c r="AA33" i="1795"/>
  <c r="X33" i="1795"/>
  <c r="W33" i="1795"/>
  <c r="U33" i="1795"/>
  <c r="S33" i="1795"/>
  <c r="R33" i="1795"/>
  <c r="O33" i="1795"/>
  <c r="M33" i="1795"/>
  <c r="L33" i="1795"/>
  <c r="F33" i="1795"/>
  <c r="Y28" i="1795"/>
  <c r="X28" i="1795"/>
  <c r="W28" i="1795"/>
  <c r="V28" i="1795"/>
  <c r="U28" i="1795"/>
  <c r="T28" i="1795"/>
  <c r="S28" i="1795"/>
  <c r="R28" i="1795"/>
  <c r="Q28" i="1795"/>
  <c r="P28" i="1795"/>
  <c r="O28" i="1795"/>
  <c r="N28" i="1795"/>
  <c r="M28" i="1795"/>
  <c r="L28" i="1795"/>
  <c r="K28" i="1795"/>
  <c r="J28" i="1795"/>
  <c r="I28" i="1795"/>
  <c r="H28" i="1795"/>
  <c r="G28" i="1795"/>
  <c r="F28" i="1795"/>
  <c r="E28" i="1795"/>
  <c r="D28" i="1795"/>
  <c r="Y25" i="1795"/>
  <c r="X25" i="1795"/>
  <c r="W25" i="1795"/>
  <c r="V25" i="1795"/>
  <c r="U25" i="1795"/>
  <c r="T25" i="1795"/>
  <c r="S25" i="1795"/>
  <c r="R25" i="1795"/>
  <c r="Q25" i="1795"/>
  <c r="P25" i="1795"/>
  <c r="O25" i="1795"/>
  <c r="N25" i="1795"/>
  <c r="M25" i="1795"/>
  <c r="L25" i="1795"/>
  <c r="K25" i="1795"/>
  <c r="J25" i="1795"/>
  <c r="I25" i="1795"/>
  <c r="H25" i="1795"/>
  <c r="G25" i="1795"/>
  <c r="F25" i="1795"/>
  <c r="E25" i="1795"/>
  <c r="D25" i="1795"/>
  <c r="AE19" i="1795"/>
  <c r="AD19" i="1795"/>
  <c r="AC19" i="1795"/>
  <c r="AB19" i="1795"/>
  <c r="AA19" i="1795"/>
  <c r="Z19" i="1795"/>
  <c r="Y19" i="1795"/>
  <c r="X19" i="1795"/>
  <c r="T33" i="1795" s="1"/>
  <c r="W19" i="1795"/>
  <c r="V19" i="1795"/>
  <c r="U19" i="1795"/>
  <c r="T19" i="1795"/>
  <c r="S19" i="1795"/>
  <c r="R19" i="1795"/>
  <c r="Q19" i="1795"/>
  <c r="P19" i="1795"/>
  <c r="O19" i="1795"/>
  <c r="N19" i="1795"/>
  <c r="H33" i="1795" s="1"/>
  <c r="M19" i="1795"/>
  <c r="L19" i="1795"/>
  <c r="P33" i="1795" s="1"/>
  <c r="K19" i="1795"/>
  <c r="J19" i="1795"/>
  <c r="I19" i="1795"/>
  <c r="AB33" i="1795" s="1"/>
  <c r="H19" i="1795"/>
  <c r="G19" i="1795"/>
  <c r="F19" i="1795"/>
  <c r="E19" i="1795"/>
  <c r="D19" i="1795"/>
  <c r="AE16" i="1795"/>
  <c r="AD16" i="1795"/>
  <c r="AC16" i="1795"/>
  <c r="AB16" i="1795"/>
  <c r="AA16" i="1795"/>
  <c r="Z16" i="1795"/>
  <c r="Y16" i="1795"/>
  <c r="X16" i="1795"/>
  <c r="W16" i="1795"/>
  <c r="V16" i="1795"/>
  <c r="U16" i="1795"/>
  <c r="T16" i="1795"/>
  <c r="S16" i="1795"/>
  <c r="R16" i="1795"/>
  <c r="Q16" i="1795"/>
  <c r="P16" i="1795"/>
  <c r="O16" i="1795"/>
  <c r="N16" i="1795"/>
  <c r="M16" i="1795"/>
  <c r="L16" i="1795"/>
  <c r="K16" i="1795"/>
  <c r="J16" i="1795"/>
  <c r="I16" i="1795"/>
  <c r="H16" i="1795"/>
  <c r="G16" i="1795"/>
  <c r="F16" i="1795"/>
  <c r="E16" i="1795"/>
  <c r="D16" i="1795"/>
  <c r="AE10" i="1795"/>
  <c r="AD10" i="1795"/>
  <c r="AC10" i="1795"/>
  <c r="AB10" i="1795"/>
  <c r="AA10" i="1795"/>
  <c r="D33" i="1795" s="1"/>
  <c r="Z10" i="1795"/>
  <c r="Y10" i="1795"/>
  <c r="X10" i="1795"/>
  <c r="W10" i="1795"/>
  <c r="V10" i="1795"/>
  <c r="U10" i="1795"/>
  <c r="T10" i="1795"/>
  <c r="S10" i="1795"/>
  <c r="R10" i="1795"/>
  <c r="Q10" i="1795"/>
  <c r="Y33" i="1795" s="1"/>
  <c r="P10" i="1795"/>
  <c r="O10" i="1795"/>
  <c r="N10" i="1795"/>
  <c r="M10" i="1795"/>
  <c r="E33" i="1795" s="1"/>
  <c r="L10" i="1795"/>
  <c r="N33" i="1795" s="1"/>
  <c r="K10" i="1795"/>
  <c r="K33" i="1795" s="1"/>
  <c r="J10" i="1795"/>
  <c r="Q33" i="1795" s="1"/>
  <c r="I10" i="1795"/>
  <c r="H10" i="1795"/>
  <c r="G10" i="1795"/>
  <c r="F10" i="1795"/>
  <c r="J33" i="1795" s="1"/>
  <c r="E10" i="1795"/>
  <c r="D10" i="1795"/>
  <c r="Z33" i="1795" s="1"/>
  <c r="AE7" i="1795"/>
  <c r="AD7" i="1795"/>
  <c r="AC7" i="1795"/>
  <c r="AB7" i="1795"/>
  <c r="AA7" i="1795"/>
  <c r="Z7" i="1795"/>
  <c r="Y7" i="1795"/>
  <c r="X7" i="1795"/>
  <c r="W7" i="1795"/>
  <c r="V7" i="1795"/>
  <c r="U7" i="1795"/>
  <c r="T7" i="1795"/>
  <c r="S7" i="1795"/>
  <c r="R7" i="1795"/>
  <c r="Q7" i="1795"/>
  <c r="P7" i="1795"/>
  <c r="O7" i="1795"/>
  <c r="N7" i="1795"/>
  <c r="M7" i="1795"/>
  <c r="L7" i="1795"/>
  <c r="K7" i="1795"/>
  <c r="J7" i="1795"/>
  <c r="I7" i="1795"/>
  <c r="H7" i="1795"/>
  <c r="G7" i="1795"/>
  <c r="F7" i="1795"/>
  <c r="E7" i="1795"/>
  <c r="D7" i="1795"/>
  <c r="V33" i="1795" l="1"/>
  <c r="AA33" i="1794"/>
  <c r="X33" i="1794"/>
  <c r="U33" i="1794"/>
  <c r="R33" i="1794"/>
  <c r="O33" i="1794"/>
  <c r="L33" i="1794"/>
  <c r="F33" i="1794"/>
  <c r="Y28" i="1794"/>
  <c r="X28" i="1794"/>
  <c r="W28" i="1794"/>
  <c r="V28" i="1794"/>
  <c r="U28" i="1794"/>
  <c r="T28" i="1794"/>
  <c r="S28" i="1794"/>
  <c r="R28" i="1794"/>
  <c r="Q28" i="1794"/>
  <c r="P28" i="1794"/>
  <c r="O28" i="1794"/>
  <c r="N28" i="1794"/>
  <c r="M28" i="1794"/>
  <c r="L28" i="1794"/>
  <c r="K28" i="1794"/>
  <c r="J28" i="1794"/>
  <c r="I28" i="1794"/>
  <c r="H28" i="1794"/>
  <c r="G28" i="1794"/>
  <c r="F28" i="1794"/>
  <c r="E28" i="1794"/>
  <c r="D28" i="1794"/>
  <c r="Y25" i="1794"/>
  <c r="X25" i="1794"/>
  <c r="W25" i="1794"/>
  <c r="V25" i="1794"/>
  <c r="U25" i="1794"/>
  <c r="T25" i="1794"/>
  <c r="S25" i="1794"/>
  <c r="R25" i="1794"/>
  <c r="Q25" i="1794"/>
  <c r="P25" i="1794"/>
  <c r="O25" i="1794"/>
  <c r="N25" i="1794"/>
  <c r="M25" i="1794"/>
  <c r="L25" i="1794"/>
  <c r="K25" i="1794"/>
  <c r="J25" i="1794"/>
  <c r="I25" i="1794"/>
  <c r="H25" i="1794"/>
  <c r="G25" i="1794"/>
  <c r="F25" i="1794"/>
  <c r="E25" i="1794"/>
  <c r="D25" i="1794"/>
  <c r="AE19" i="1794"/>
  <c r="AD19" i="1794"/>
  <c r="AC19" i="1794"/>
  <c r="AB19" i="1794"/>
  <c r="AA19" i="1794"/>
  <c r="Z19" i="1794"/>
  <c r="Y19" i="1794"/>
  <c r="X19" i="1794"/>
  <c r="T33" i="1794" s="1"/>
  <c r="W19" i="1794"/>
  <c r="V19" i="1794"/>
  <c r="U19" i="1794"/>
  <c r="T19" i="1794"/>
  <c r="S19" i="1794"/>
  <c r="R19" i="1794"/>
  <c r="Q19" i="1794"/>
  <c r="P19" i="1794"/>
  <c r="O19" i="1794"/>
  <c r="N19" i="1794"/>
  <c r="H33" i="1794" s="1"/>
  <c r="M19" i="1794"/>
  <c r="L19" i="1794"/>
  <c r="P33" i="1794" s="1"/>
  <c r="K19" i="1794"/>
  <c r="J19" i="1794"/>
  <c r="I19" i="1794"/>
  <c r="AB33" i="1794" s="1"/>
  <c r="H19" i="1794"/>
  <c r="G19" i="1794"/>
  <c r="F19" i="1794"/>
  <c r="E19" i="1794"/>
  <c r="D19" i="1794"/>
  <c r="AE16" i="1794"/>
  <c r="AD16" i="1794"/>
  <c r="AC16" i="1794"/>
  <c r="AB16" i="1794"/>
  <c r="AA16" i="1794"/>
  <c r="Z16" i="1794"/>
  <c r="Y16" i="1794"/>
  <c r="X16" i="1794"/>
  <c r="W16" i="1794"/>
  <c r="V16" i="1794"/>
  <c r="U16" i="1794"/>
  <c r="T16" i="1794"/>
  <c r="S16" i="1794"/>
  <c r="R16" i="1794"/>
  <c r="Q16" i="1794"/>
  <c r="P16" i="1794"/>
  <c r="O16" i="1794"/>
  <c r="N16" i="1794"/>
  <c r="M16" i="1794"/>
  <c r="L16" i="1794"/>
  <c r="K16" i="1794"/>
  <c r="J16" i="1794"/>
  <c r="I16" i="1794"/>
  <c r="H16" i="1794"/>
  <c r="G16" i="1794"/>
  <c r="F16" i="1794"/>
  <c r="E16" i="1794"/>
  <c r="D16" i="1794"/>
  <c r="AE10" i="1794"/>
  <c r="AD10" i="1794"/>
  <c r="AC33" i="1794" s="1"/>
  <c r="AC10" i="1794"/>
  <c r="AB10" i="1794"/>
  <c r="AA10" i="1794"/>
  <c r="Z10" i="1794"/>
  <c r="Y10" i="1794"/>
  <c r="X10" i="1794"/>
  <c r="W10" i="1794"/>
  <c r="V10" i="1794"/>
  <c r="U10" i="1794"/>
  <c r="T10" i="1794"/>
  <c r="S10" i="1794"/>
  <c r="R10" i="1794"/>
  <c r="Q10" i="1794"/>
  <c r="P10" i="1794"/>
  <c r="O10" i="1794"/>
  <c r="N10" i="1794"/>
  <c r="Q33" i="1794" s="1"/>
  <c r="M10" i="1794"/>
  <c r="E33" i="1794" s="1"/>
  <c r="L10" i="1794"/>
  <c r="N33" i="1794" s="1"/>
  <c r="K10" i="1794"/>
  <c r="J10" i="1794"/>
  <c r="I10" i="1794"/>
  <c r="H10" i="1794"/>
  <c r="G10" i="1794"/>
  <c r="F10" i="1794"/>
  <c r="J33" i="1794" s="1"/>
  <c r="E10" i="1794"/>
  <c r="S33" i="1794" s="1"/>
  <c r="D10" i="1794"/>
  <c r="AE7" i="1794"/>
  <c r="AD7" i="1794"/>
  <c r="AC7" i="1794"/>
  <c r="AB7" i="1794"/>
  <c r="AA7" i="1794"/>
  <c r="Z7" i="1794"/>
  <c r="Y7" i="1794"/>
  <c r="X7" i="1794"/>
  <c r="W7" i="1794"/>
  <c r="V7" i="1794"/>
  <c r="U7" i="1794"/>
  <c r="T7" i="1794"/>
  <c r="S7" i="1794"/>
  <c r="R7" i="1794"/>
  <c r="Q7" i="1794"/>
  <c r="P7" i="1794"/>
  <c r="O7" i="1794"/>
  <c r="N7" i="1794"/>
  <c r="M7" i="1794"/>
  <c r="L7" i="1794"/>
  <c r="K7" i="1794"/>
  <c r="J7" i="1794"/>
  <c r="I7" i="1794"/>
  <c r="H7" i="1794"/>
  <c r="G7" i="1794"/>
  <c r="F7" i="1794"/>
  <c r="E7" i="1794"/>
  <c r="D7" i="1794"/>
  <c r="W33" i="1794" l="1"/>
  <c r="V33" i="1794"/>
  <c r="D33" i="1794"/>
  <c r="Y33" i="1794"/>
  <c r="K33" i="1794"/>
  <c r="M33" i="1794"/>
  <c r="Z33" i="1794"/>
  <c r="S36" i="13" l="1"/>
  <c r="S37" i="13" s="1"/>
  <c r="S38" i="13" s="1"/>
  <c r="S39" i="13" s="1"/>
  <c r="S40" i="13" s="1"/>
  <c r="S41" i="13" s="1"/>
  <c r="S42" i="13" s="1"/>
  <c r="S43" i="13" s="1"/>
  <c r="S44" i="13" s="1"/>
  <c r="S45" i="13" s="1"/>
  <c r="S46" i="13" s="1"/>
  <c r="S47" i="13" s="1"/>
  <c r="S48" i="13" s="1"/>
  <c r="S49" i="13" s="1"/>
  <c r="S50" i="13" s="1"/>
  <c r="S51" i="13" s="1"/>
  <c r="S35" i="13"/>
</calcChain>
</file>

<file path=xl/connections.xml><?xml version="1.0" encoding="utf-8"?>
<connections xmlns="http://schemas.openxmlformats.org/spreadsheetml/2006/main">
  <connection id="1" sourceFile="Y:\儲槽作業日報\53GL\取樣回收每月庫存表 0620更新.xlsx" keepAlive="1" name="取樣回收每月庫存表 0620更新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" sourceFile="Y:\儲槽作業日報\53GL\取樣回收每月庫存表 0620更新.xlsx" keepAlive="1" name="取樣回收每月庫存表 0620更新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3" sourceFile="Y:\儲槽作業日報\53GL\取樣回收每月庫存表 0620更新.xlsx" keepAlive="1" name="取樣回收每月庫存表 0620更新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4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5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6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7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8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9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0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3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4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5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6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7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8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9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</connections>
</file>

<file path=xl/sharedStrings.xml><?xml version="1.0" encoding="utf-8"?>
<sst xmlns="http://schemas.openxmlformats.org/spreadsheetml/2006/main" count="26447" uniqueCount="665">
  <si>
    <t>空</t>
    <phoneticPr fontId="3" type="noConversion"/>
  </si>
  <si>
    <t>EG</t>
    <phoneticPr fontId="3" type="noConversion"/>
  </si>
  <si>
    <t>GAA</t>
    <phoneticPr fontId="3" type="noConversion"/>
  </si>
  <si>
    <t>EBR</t>
    <phoneticPr fontId="3" type="noConversion"/>
  </si>
  <si>
    <t>原料</t>
    <phoneticPr fontId="3" type="noConversion"/>
  </si>
  <si>
    <t>成品</t>
    <phoneticPr fontId="3" type="noConversion"/>
  </si>
  <si>
    <r>
      <rPr>
        <sz val="12"/>
        <rFont val="細明體"/>
        <family val="3"/>
        <charset val="136"/>
      </rPr>
      <t>產</t>
    </r>
    <r>
      <rPr>
        <sz val="12"/>
        <rFont val="DotumChe"/>
        <family val="3"/>
        <charset val="129"/>
      </rPr>
      <t>品</t>
    </r>
    <r>
      <rPr>
        <sz val="12"/>
        <rFont val="細明體"/>
        <family val="3"/>
        <charset val="136"/>
      </rPr>
      <t xml:space="preserve">      </t>
    </r>
    <r>
      <rPr>
        <sz val="12"/>
        <rFont val="DotumChe"/>
        <family val="3"/>
        <charset val="129"/>
      </rPr>
      <t>比重</t>
    </r>
    <r>
      <rPr>
        <sz val="12"/>
        <rFont val="細明體"/>
        <family val="3"/>
        <charset val="136"/>
      </rPr>
      <t xml:space="preserve">    </t>
    </r>
    <r>
      <rPr>
        <sz val="12"/>
        <rFont val="DotumChe"/>
        <family val="3"/>
        <charset val="129"/>
      </rPr>
      <t>溫度</t>
    </r>
    <phoneticPr fontId="3" type="noConversion"/>
  </si>
  <si>
    <t>IPA</t>
    <phoneticPr fontId="3" type="noConversion"/>
  </si>
  <si>
    <t>EG</t>
    <phoneticPr fontId="3" type="noConversion"/>
  </si>
  <si>
    <t>NMP</t>
    <phoneticPr fontId="3" type="noConversion"/>
  </si>
  <si>
    <t>Acetone</t>
    <phoneticPr fontId="3" type="noConversion"/>
  </si>
  <si>
    <t>SEP05</t>
    <phoneticPr fontId="3" type="noConversion"/>
  </si>
  <si>
    <t>PMA</t>
    <phoneticPr fontId="3" type="noConversion"/>
  </si>
  <si>
    <t>PM</t>
    <phoneticPr fontId="3" type="noConversion"/>
  </si>
  <si>
    <t>GAA</t>
    <phoneticPr fontId="3" type="noConversion"/>
  </si>
  <si>
    <r>
      <t>BDG+MEA
澄</t>
    </r>
    <r>
      <rPr>
        <sz val="14"/>
        <rFont val="細明體"/>
        <family val="3"/>
        <charset val="136"/>
      </rPr>
      <t>清</t>
    </r>
    <r>
      <rPr>
        <sz val="14"/>
        <rFont val="DotumChe"/>
        <family val="3"/>
        <charset val="129"/>
      </rPr>
      <t>液</t>
    </r>
    <phoneticPr fontId="3" type="noConversion"/>
  </si>
  <si>
    <t>ANONE</t>
    <phoneticPr fontId="3" type="noConversion"/>
  </si>
  <si>
    <t>EBR</t>
    <phoneticPr fontId="3" type="noConversion"/>
  </si>
  <si>
    <t>NBAC</t>
    <phoneticPr fontId="3" type="noConversion"/>
  </si>
  <si>
    <t>EBRUPS</t>
    <phoneticPr fontId="3" type="noConversion"/>
  </si>
  <si>
    <t>2SEP73(EBR)</t>
    <phoneticPr fontId="3" type="noConversion"/>
  </si>
  <si>
    <t>SEP11</t>
    <phoneticPr fontId="3" type="noConversion"/>
  </si>
  <si>
    <t>ETOH</t>
    <phoneticPr fontId="3" type="noConversion"/>
  </si>
  <si>
    <t>PG2</t>
    <phoneticPr fontId="3" type="noConversion"/>
  </si>
  <si>
    <t>EEP</t>
    <phoneticPr fontId="3" type="noConversion"/>
  </si>
  <si>
    <t>HEA     DPM</t>
    <phoneticPr fontId="3" type="noConversion"/>
  </si>
  <si>
    <t>C02</t>
  </si>
  <si>
    <t>C03</t>
  </si>
  <si>
    <t>C04</t>
  </si>
  <si>
    <t>C05</t>
  </si>
  <si>
    <t>C06</t>
  </si>
  <si>
    <t>槽號</t>
    <phoneticPr fontId="3" type="noConversion"/>
  </si>
  <si>
    <t>液位</t>
    <phoneticPr fontId="3" type="noConversion"/>
  </si>
  <si>
    <t>溫度</t>
    <phoneticPr fontId="3" type="noConversion"/>
  </si>
  <si>
    <t>DPM</t>
    <phoneticPr fontId="3" type="noConversion"/>
  </si>
  <si>
    <t xml:space="preserve"> </t>
    <phoneticPr fontId="2" type="noConversion"/>
  </si>
  <si>
    <t>品名</t>
    <phoneticPr fontId="3" type="noConversion"/>
  </si>
  <si>
    <t>時間</t>
    <phoneticPr fontId="3" type="noConversion"/>
  </si>
  <si>
    <t>TPM</t>
    <phoneticPr fontId="3" type="noConversion"/>
  </si>
  <si>
    <t>TK-603</t>
    <phoneticPr fontId="4" type="noConversion"/>
  </si>
  <si>
    <t>TK-641</t>
    <phoneticPr fontId="4" type="noConversion"/>
  </si>
  <si>
    <t>1ACT</t>
    <phoneticPr fontId="3" type="noConversion"/>
  </si>
  <si>
    <t>ACETONE</t>
    <phoneticPr fontId="3" type="noConversion"/>
  </si>
  <si>
    <t>HEA</t>
    <phoneticPr fontId="3" type="noConversion"/>
  </si>
  <si>
    <t>待處理品</t>
    <phoneticPr fontId="3" type="noConversion"/>
  </si>
  <si>
    <t>TK-601</t>
    <phoneticPr fontId="4" type="noConversion"/>
  </si>
  <si>
    <t>TK-602</t>
    <phoneticPr fontId="4" type="noConversion"/>
  </si>
  <si>
    <t>TK-604A</t>
    <phoneticPr fontId="4" type="noConversion"/>
  </si>
  <si>
    <t>TK-604B</t>
    <phoneticPr fontId="4" type="noConversion"/>
  </si>
  <si>
    <t>TK-612</t>
    <phoneticPr fontId="4" type="noConversion"/>
  </si>
  <si>
    <t>TK-621</t>
    <phoneticPr fontId="4" type="noConversion"/>
  </si>
  <si>
    <t>TK-622</t>
    <phoneticPr fontId="4" type="noConversion"/>
  </si>
  <si>
    <t>TK-631</t>
    <phoneticPr fontId="4" type="noConversion"/>
  </si>
  <si>
    <t>TK-643</t>
    <phoneticPr fontId="3" type="noConversion"/>
  </si>
  <si>
    <t>TK-645</t>
    <phoneticPr fontId="3" type="noConversion"/>
  </si>
  <si>
    <t>1GAA</t>
    <phoneticPr fontId="3" type="noConversion"/>
  </si>
  <si>
    <t>1IPA</t>
    <phoneticPr fontId="3" type="noConversion"/>
  </si>
  <si>
    <t>3NMPE4</t>
    <phoneticPr fontId="3" type="noConversion"/>
  </si>
  <si>
    <t>3ACTE4</t>
    <phoneticPr fontId="3" type="noConversion"/>
  </si>
  <si>
    <t>3EGE4</t>
    <phoneticPr fontId="3" type="noConversion"/>
  </si>
  <si>
    <t>2NMPE4</t>
    <phoneticPr fontId="3" type="noConversion"/>
  </si>
  <si>
    <t>2ACTE4</t>
    <phoneticPr fontId="3" type="noConversion"/>
  </si>
  <si>
    <t>NMP-2</t>
    <phoneticPr fontId="3" type="noConversion"/>
  </si>
  <si>
    <t>TK-656</t>
    <phoneticPr fontId="3" type="noConversion"/>
  </si>
  <si>
    <t>TK-660</t>
    <phoneticPr fontId="3" type="noConversion"/>
  </si>
  <si>
    <t xml:space="preserve">1HEA-R </t>
    <phoneticPr fontId="3" type="noConversion"/>
  </si>
  <si>
    <t>TK-651</t>
    <phoneticPr fontId="3" type="noConversion"/>
  </si>
  <si>
    <t>TK-652</t>
    <phoneticPr fontId="3" type="noConversion"/>
  </si>
  <si>
    <t>TK-654</t>
    <phoneticPr fontId="3" type="noConversion"/>
  </si>
  <si>
    <t>TK-657</t>
    <phoneticPr fontId="3" type="noConversion"/>
  </si>
  <si>
    <t>TK-658</t>
    <phoneticPr fontId="3" type="noConversion"/>
  </si>
  <si>
    <t>TK-661</t>
    <phoneticPr fontId="3" type="noConversion"/>
  </si>
  <si>
    <t>TK-662</t>
    <phoneticPr fontId="3" type="noConversion"/>
  </si>
  <si>
    <t>TK-663</t>
    <phoneticPr fontId="3" type="noConversion"/>
  </si>
  <si>
    <t>TK-664</t>
    <phoneticPr fontId="3" type="noConversion"/>
  </si>
  <si>
    <t>TK-665</t>
    <phoneticPr fontId="3" type="noConversion"/>
  </si>
  <si>
    <t>TK-666</t>
    <phoneticPr fontId="3" type="noConversion"/>
  </si>
  <si>
    <t>TK-670</t>
    <phoneticPr fontId="3" type="noConversion"/>
  </si>
  <si>
    <t>GAAups</t>
    <phoneticPr fontId="3" type="noConversion"/>
  </si>
  <si>
    <t>記事欄</t>
    <phoneticPr fontId="3" type="noConversion"/>
  </si>
  <si>
    <r>
      <t>CPN環戊</t>
    </r>
    <r>
      <rPr>
        <sz val="14"/>
        <rFont val="細明體"/>
        <family val="3"/>
        <charset val="136"/>
      </rPr>
      <t>酮</t>
    </r>
    <phoneticPr fontId="3" type="noConversion"/>
  </si>
  <si>
    <t>CPN</t>
    <phoneticPr fontId="3" type="noConversion"/>
  </si>
  <si>
    <t>1CPN</t>
    <phoneticPr fontId="3" type="noConversion"/>
  </si>
  <si>
    <t>DPM-B1</t>
    <phoneticPr fontId="3" type="noConversion"/>
  </si>
  <si>
    <t>C90-INV-01(01)</t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</si>
  <si>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2" type="noConversion"/>
  </si>
  <si>
    <t>TK-671</t>
    <phoneticPr fontId="3" type="noConversion"/>
  </si>
  <si>
    <t>MIBC</t>
    <phoneticPr fontId="3" type="noConversion"/>
  </si>
  <si>
    <t>2IPAE4</t>
    <phoneticPr fontId="3" type="noConversion"/>
  </si>
  <si>
    <t>C08</t>
  </si>
  <si>
    <t>C09</t>
  </si>
  <si>
    <t>604A</t>
  </si>
  <si>
    <t>604B</t>
  </si>
  <si>
    <t>C01</t>
  </si>
  <si>
    <t>C07</t>
  </si>
  <si>
    <t>2EBR-P1</t>
    <phoneticPr fontId="3" type="noConversion"/>
  </si>
  <si>
    <t>1EBR-P1</t>
    <phoneticPr fontId="3" type="noConversion"/>
  </si>
  <si>
    <t>2EBR-P1</t>
    <phoneticPr fontId="2" type="noConversion"/>
  </si>
  <si>
    <t>SEP73(E3)</t>
    <phoneticPr fontId="3" type="noConversion"/>
  </si>
  <si>
    <t>儲槽作業日報表</t>
    <phoneticPr fontId="3" type="noConversion"/>
  </si>
  <si>
    <t>待處理品</t>
    <phoneticPr fontId="2" type="noConversion"/>
  </si>
  <si>
    <t>成品</t>
    <phoneticPr fontId="2" type="noConversion"/>
  </si>
  <si>
    <t>原料</t>
    <phoneticPr fontId="2" type="noConversion"/>
  </si>
  <si>
    <t>PM(R)</t>
    <phoneticPr fontId="3" type="noConversion"/>
  </si>
  <si>
    <t>TK-677</t>
  </si>
  <si>
    <t>TK-678</t>
  </si>
  <si>
    <t>TK-680</t>
  </si>
  <si>
    <t>TK-681</t>
  </si>
  <si>
    <t>TK-682</t>
  </si>
  <si>
    <t>TK-683</t>
  </si>
  <si>
    <t>TK-684</t>
  </si>
  <si>
    <t>TK-685</t>
  </si>
  <si>
    <t>TK-686</t>
  </si>
  <si>
    <t>TK-687</t>
  </si>
  <si>
    <t>TK-688</t>
  </si>
  <si>
    <t>TK-689</t>
  </si>
  <si>
    <t>TK-690</t>
  </si>
  <si>
    <t>TK-691</t>
  </si>
  <si>
    <t>TK-692</t>
  </si>
  <si>
    <t>TK-693</t>
  </si>
  <si>
    <t>TK-694</t>
  </si>
  <si>
    <t>TK-695</t>
  </si>
  <si>
    <t>TK-696</t>
  </si>
  <si>
    <t>TK-697</t>
  </si>
  <si>
    <t>TK-698</t>
  </si>
  <si>
    <t>EGE4</t>
    <phoneticPr fontId="2" type="noConversion"/>
  </si>
  <si>
    <t>TK-699</t>
  </si>
  <si>
    <t>槽號</t>
    <phoneticPr fontId="2" type="noConversion"/>
  </si>
  <si>
    <t>CPNE4</t>
    <phoneticPr fontId="2" type="noConversion"/>
  </si>
  <si>
    <t>2CPN-P1</t>
    <phoneticPr fontId="2" type="noConversion"/>
  </si>
  <si>
    <t>1EG</t>
    <phoneticPr fontId="3" type="noConversion"/>
  </si>
  <si>
    <t>1CPN-P1</t>
    <phoneticPr fontId="3" type="noConversion"/>
  </si>
  <si>
    <t>1EG</t>
    <phoneticPr fontId="2" type="noConversion"/>
  </si>
  <si>
    <t>TK-611</t>
    <phoneticPr fontId="4" type="noConversion"/>
  </si>
  <si>
    <t>TK-613</t>
    <phoneticPr fontId="4" type="noConversion"/>
  </si>
  <si>
    <t>TK614</t>
    <phoneticPr fontId="4" type="noConversion"/>
  </si>
  <si>
    <t>3IPAE4</t>
    <phoneticPr fontId="3" type="noConversion"/>
  </si>
  <si>
    <t>TK-623</t>
    <phoneticPr fontId="4" type="noConversion"/>
  </si>
  <si>
    <t>2EGE4</t>
    <phoneticPr fontId="3" type="noConversion"/>
  </si>
  <si>
    <t>TK-624</t>
    <phoneticPr fontId="4" type="noConversion"/>
  </si>
  <si>
    <t>TK-C01</t>
    <phoneticPr fontId="4" type="noConversion"/>
  </si>
  <si>
    <t>TK-C02</t>
    <phoneticPr fontId="4" type="noConversion"/>
  </si>
  <si>
    <t>TK-C03</t>
    <phoneticPr fontId="4" type="noConversion"/>
  </si>
  <si>
    <t>TK-C04</t>
    <phoneticPr fontId="4" type="noConversion"/>
  </si>
  <si>
    <t>TK-C05</t>
    <phoneticPr fontId="4" type="noConversion"/>
  </si>
  <si>
    <t>TK-C06</t>
    <phoneticPr fontId="4" type="noConversion"/>
  </si>
  <si>
    <t>TK-C07</t>
    <phoneticPr fontId="4" type="noConversion"/>
  </si>
  <si>
    <t>TK-C08</t>
    <phoneticPr fontId="4" type="noConversion"/>
  </si>
  <si>
    <t>TK-C09</t>
    <phoneticPr fontId="4" type="noConversion"/>
  </si>
  <si>
    <t>TK-632</t>
    <phoneticPr fontId="4" type="noConversion"/>
  </si>
  <si>
    <t>TK-633</t>
    <phoneticPr fontId="4" type="noConversion"/>
  </si>
  <si>
    <t>TK-634</t>
    <phoneticPr fontId="4" type="noConversion"/>
  </si>
  <si>
    <t>TK-642</t>
    <phoneticPr fontId="4" type="noConversion"/>
  </si>
  <si>
    <t>待處理水</t>
    <phoneticPr fontId="3" type="noConversion"/>
  </si>
  <si>
    <t>TK-653</t>
    <phoneticPr fontId="3" type="noConversion"/>
  </si>
  <si>
    <t>TK-655</t>
    <phoneticPr fontId="3" type="noConversion"/>
  </si>
  <si>
    <t>TK-659</t>
    <phoneticPr fontId="3" type="noConversion"/>
  </si>
  <si>
    <t>TK-667</t>
    <phoneticPr fontId="3" type="noConversion"/>
  </si>
  <si>
    <t>TK-668</t>
    <phoneticPr fontId="3" type="noConversion"/>
  </si>
  <si>
    <t>TK-669</t>
    <phoneticPr fontId="3" type="noConversion"/>
  </si>
  <si>
    <t>TK-672</t>
    <phoneticPr fontId="3" type="noConversion"/>
  </si>
  <si>
    <t xml:space="preserve"> TK-673</t>
    <phoneticPr fontId="3" type="noConversion"/>
  </si>
  <si>
    <t>TK-674</t>
    <phoneticPr fontId="3" type="noConversion"/>
  </si>
  <si>
    <t>TK-675</t>
    <phoneticPr fontId="3" type="noConversion"/>
  </si>
  <si>
    <t>TK-676</t>
    <phoneticPr fontId="3" type="noConversion"/>
  </si>
  <si>
    <t>2IPAHQ</t>
    <phoneticPr fontId="2" type="noConversion"/>
  </si>
  <si>
    <t>2CPNE3</t>
    <phoneticPr fontId="2" type="noConversion"/>
  </si>
  <si>
    <t>1CPN</t>
    <phoneticPr fontId="2" type="noConversion"/>
  </si>
  <si>
    <t>1IPAHW</t>
    <phoneticPr fontId="2" type="noConversion"/>
  </si>
  <si>
    <t>2EGE4</t>
    <phoneticPr fontId="2" type="noConversion"/>
  </si>
  <si>
    <t>1IPA</t>
    <phoneticPr fontId="2" type="noConversion"/>
  </si>
  <si>
    <t>待處理水</t>
    <phoneticPr fontId="2" type="noConversion"/>
  </si>
  <si>
    <t>2IPAE4</t>
    <phoneticPr fontId="2" type="noConversion"/>
  </si>
  <si>
    <t>底面積</t>
    <phoneticPr fontId="2" type="noConversion"/>
  </si>
  <si>
    <t>現為公升還要*密度=公斤KG</t>
    <phoneticPr fontId="2" type="noConversion"/>
  </si>
  <si>
    <t>最高液位</t>
    <phoneticPr fontId="2" type="noConversion"/>
  </si>
  <si>
    <t>675-678</t>
    <phoneticPr fontId="2" type="noConversion"/>
  </si>
  <si>
    <t>1mm</t>
    <phoneticPr fontId="2" type="noConversion"/>
  </si>
  <si>
    <t>4.6L</t>
    <phoneticPr fontId="2" type="noConversion"/>
  </si>
  <si>
    <t>桶底 1566L</t>
    <phoneticPr fontId="2" type="noConversion"/>
  </si>
  <si>
    <t>681-689,691</t>
    <phoneticPr fontId="2" type="noConversion"/>
  </si>
  <si>
    <t>18.322L</t>
    <phoneticPr fontId="2" type="noConversion"/>
  </si>
  <si>
    <t>桶底87L</t>
    <phoneticPr fontId="2" type="noConversion"/>
  </si>
  <si>
    <t>11.702L</t>
    <phoneticPr fontId="2" type="noConversion"/>
  </si>
  <si>
    <t>692-695</t>
    <phoneticPr fontId="2" type="noConversion"/>
  </si>
  <si>
    <t>35.891L</t>
    <phoneticPr fontId="2" type="noConversion"/>
  </si>
  <si>
    <t>696-699</t>
    <phoneticPr fontId="2" type="noConversion"/>
  </si>
  <si>
    <t>47.051L</t>
    <phoneticPr fontId="2" type="noConversion"/>
  </si>
  <si>
    <t>268.26L</t>
    <phoneticPr fontId="2" type="noConversion"/>
  </si>
  <si>
    <t>1026L</t>
    <phoneticPr fontId="2" type="noConversion"/>
  </si>
  <si>
    <t>514.88L</t>
    <phoneticPr fontId="2" type="noConversion"/>
  </si>
  <si>
    <t>2512.3L</t>
    <phoneticPr fontId="2" type="noConversion"/>
  </si>
  <si>
    <t>5453.1L</t>
    <phoneticPr fontId="2" type="noConversion"/>
  </si>
  <si>
    <t>液位</t>
    <phoneticPr fontId="2" type="noConversion"/>
  </si>
  <si>
    <t>CPNE3-R</t>
    <phoneticPr fontId="3" type="noConversion"/>
  </si>
  <si>
    <t xml:space="preserve">鴻勝化學科技股份有限公司                                    </t>
    <phoneticPr fontId="3" type="noConversion"/>
  </si>
  <si>
    <t xml:space="preserve">                                  </t>
    <phoneticPr fontId="2" type="noConversion"/>
  </si>
  <si>
    <t>500KL</t>
    <phoneticPr fontId="2" type="noConversion"/>
  </si>
  <si>
    <t>51.53L</t>
    <phoneticPr fontId="2" type="noConversion"/>
  </si>
  <si>
    <t>250KL</t>
    <phoneticPr fontId="2" type="noConversion"/>
  </si>
  <si>
    <t>33.183L</t>
    <phoneticPr fontId="2" type="noConversion"/>
  </si>
  <si>
    <t>125KL</t>
    <phoneticPr fontId="2" type="noConversion"/>
  </si>
  <si>
    <t>20.428L</t>
    <phoneticPr fontId="2" type="noConversion"/>
  </si>
  <si>
    <t>70KL</t>
    <phoneticPr fontId="2" type="noConversion"/>
  </si>
  <si>
    <t>50KL</t>
    <phoneticPr fontId="2" type="noConversion"/>
  </si>
  <si>
    <t>50KL
C01~C09
643,645</t>
    <phoneticPr fontId="2" type="noConversion"/>
  </si>
  <si>
    <t>上午:</t>
    <phoneticPr fontId="3" type="noConversion"/>
  </si>
  <si>
    <t>年       月       日</t>
    <phoneticPr fontId="3" type="noConversion"/>
  </si>
  <si>
    <t>備    註</t>
    <phoneticPr fontId="3" type="noConversion"/>
  </si>
  <si>
    <t>年         月         日</t>
    <phoneticPr fontId="3" type="noConversion"/>
  </si>
  <si>
    <t>槽　別</t>
    <phoneticPr fontId="3" type="noConversion"/>
  </si>
  <si>
    <t>液位(mm/%)</t>
    <phoneticPr fontId="3" type="noConversion"/>
  </si>
  <si>
    <t>數量(kg)</t>
    <phoneticPr fontId="4" type="noConversion"/>
  </si>
  <si>
    <t>溫度( ℃)</t>
    <phoneticPr fontId="3" type="noConversion"/>
  </si>
  <si>
    <r>
      <t>液位(</t>
    </r>
    <r>
      <rPr>
        <vertAlign val="superscript"/>
        <sz val="8"/>
        <rFont val="微軟正黑體"/>
        <family val="2"/>
        <charset val="136"/>
      </rPr>
      <t>mm</t>
    </r>
    <r>
      <rPr>
        <sz val="8"/>
        <rFont val="微軟正黑體"/>
        <family val="2"/>
        <charset val="136"/>
      </rPr>
      <t>/</t>
    </r>
    <r>
      <rPr>
        <vertAlign val="subscript"/>
        <sz val="8"/>
        <rFont val="微軟正黑體"/>
        <family val="2"/>
        <charset val="136"/>
      </rPr>
      <t>%</t>
    </r>
    <r>
      <rPr>
        <sz val="8"/>
        <rFont val="微軟正黑體"/>
        <family val="2"/>
        <charset val="136"/>
      </rPr>
      <t>)</t>
    </r>
    <phoneticPr fontId="4" type="noConversion"/>
  </si>
  <si>
    <t>總數量
(kg)</t>
    <phoneticPr fontId="3" type="noConversion"/>
  </si>
  <si>
    <t>經(副)理:</t>
    <phoneticPr fontId="4" type="noConversion"/>
  </si>
  <si>
    <t>課長:</t>
    <phoneticPr fontId="4" type="noConversion"/>
  </si>
  <si>
    <t>組(副)長:</t>
    <phoneticPr fontId="4" type="noConversion"/>
  </si>
  <si>
    <t>記錄員:</t>
    <phoneticPr fontId="4" type="noConversion"/>
  </si>
  <si>
    <t>1IPAHW</t>
    <phoneticPr fontId="3" type="noConversion"/>
  </si>
  <si>
    <t>1NBAC-P1</t>
    <phoneticPr fontId="3" type="noConversion"/>
  </si>
  <si>
    <t>2CPN-P1</t>
    <phoneticPr fontId="3" type="noConversion"/>
  </si>
  <si>
    <t>2CPNE3</t>
    <phoneticPr fontId="3" type="noConversion"/>
  </si>
  <si>
    <t>2CPNE4</t>
    <phoneticPr fontId="2" type="noConversion"/>
  </si>
  <si>
    <t>2NBAC-P1</t>
    <phoneticPr fontId="3" type="noConversion"/>
  </si>
  <si>
    <t>EGHW</t>
    <phoneticPr fontId="3" type="noConversion"/>
  </si>
  <si>
    <t>溫度</t>
    <phoneticPr fontId="2" type="noConversion"/>
  </si>
  <si>
    <t>液位</t>
  </si>
  <si>
    <t>1CPN-R(PMA)</t>
    <phoneticPr fontId="3" type="noConversion"/>
  </si>
  <si>
    <t>1CPN-HW</t>
    <phoneticPr fontId="3" type="noConversion"/>
  </si>
  <si>
    <t>GAA</t>
    <phoneticPr fontId="2" type="noConversion"/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</si>
  <si>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</si>
  <si>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</si>
  <si>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</si>
  <si>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</si>
  <si>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</si>
  <si>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</si>
  <si>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</si>
  <si>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</si>
  <si>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</si>
  <si>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</si>
  <si>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</si>
  <si>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</si>
  <si>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</si>
  <si>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</si>
  <si>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</si>
  <si>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</si>
  <si>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</si>
  <si>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F20</t>
  </si>
  <si>
    <t>F21</t>
  </si>
  <si>
    <t>F23</t>
  </si>
  <si>
    <t>品名</t>
  </si>
  <si>
    <t>編號</t>
  </si>
  <si>
    <t>日期</t>
  </si>
  <si>
    <t>重量</t>
  </si>
  <si>
    <t>來源</t>
  </si>
  <si>
    <t>小計</t>
  </si>
  <si>
    <t>IPA-R1</t>
  </si>
  <si>
    <t>備註</t>
  </si>
  <si>
    <t>總量</t>
  </si>
  <si>
    <t xml:space="preserve"> </t>
  </si>
  <si>
    <t>20170627</t>
  </si>
  <si>
    <t>80</t>
  </si>
  <si>
    <t>320</t>
  </si>
  <si>
    <t>BDGE</t>
  </si>
  <si>
    <t>50</t>
  </si>
  <si>
    <t>170</t>
  </si>
  <si>
    <t>160</t>
  </si>
  <si>
    <t>30</t>
  </si>
  <si>
    <t>20161229</t>
  </si>
  <si>
    <t>90</t>
  </si>
  <si>
    <t>60</t>
  </si>
  <si>
    <t>150</t>
  </si>
  <si>
    <t>20170126</t>
  </si>
  <si>
    <t>40</t>
  </si>
  <si>
    <t>GAAHW</t>
  </si>
  <si>
    <t>TK-602</t>
  </si>
  <si>
    <t>420</t>
  </si>
  <si>
    <t>ANONEHW</t>
  </si>
  <si>
    <t>220</t>
  </si>
  <si>
    <t>100</t>
  </si>
  <si>
    <t>ACTHW</t>
  </si>
  <si>
    <t>110</t>
  </si>
  <si>
    <t>180</t>
  </si>
  <si>
    <t>GBLHW</t>
  </si>
  <si>
    <t>3/19</t>
  </si>
  <si>
    <t>E-12</t>
  </si>
  <si>
    <t>8/26</t>
  </si>
  <si>
    <t>6/26</t>
  </si>
  <si>
    <t>53GL(20150916送驗)</t>
  </si>
  <si>
    <t>2/10</t>
  </si>
  <si>
    <t>115</t>
  </si>
  <si>
    <t>GB8704</t>
  </si>
  <si>
    <t>9/15</t>
  </si>
  <si>
    <t>6/22</t>
  </si>
  <si>
    <t>11/18</t>
  </si>
  <si>
    <t>5/27</t>
  </si>
  <si>
    <t>10</t>
  </si>
  <si>
    <t>9/27</t>
  </si>
  <si>
    <t>470</t>
  </si>
  <si>
    <t>20160223</t>
  </si>
  <si>
    <t>161126</t>
  </si>
  <si>
    <t>E-39</t>
  </si>
  <si>
    <t>20131211破桶換桶 970(20150916送驗)</t>
  </si>
  <si>
    <t>GB8705</t>
  </si>
  <si>
    <t>5/6</t>
  </si>
  <si>
    <t>230</t>
  </si>
  <si>
    <t>6/9</t>
  </si>
  <si>
    <t>10/15</t>
  </si>
  <si>
    <t>11/15</t>
  </si>
  <si>
    <t>20140409</t>
  </si>
  <si>
    <t>20150304</t>
  </si>
  <si>
    <t>20150511</t>
  </si>
  <si>
    <t>20150709</t>
  </si>
  <si>
    <t>20151214</t>
  </si>
  <si>
    <t>70</t>
  </si>
  <si>
    <t>(20150916送驗)</t>
  </si>
  <si>
    <t>20140521</t>
  </si>
  <si>
    <t>20141030</t>
  </si>
  <si>
    <t>1GAL</t>
  </si>
  <si>
    <t>20141222</t>
  </si>
  <si>
    <t>20141231</t>
  </si>
  <si>
    <t>20160324</t>
  </si>
  <si>
    <t>20160530</t>
  </si>
  <si>
    <t>20160831</t>
  </si>
  <si>
    <t>130</t>
  </si>
  <si>
    <t>GB8706-1</t>
  </si>
  <si>
    <t>GB8706-2</t>
  </si>
  <si>
    <t>53GL*2(20150916送驗)</t>
  </si>
  <si>
    <t>GB8707</t>
  </si>
  <si>
    <t>E39</t>
  </si>
  <si>
    <t>20170223</t>
  </si>
  <si>
    <t>GB8708</t>
  </si>
  <si>
    <t>NMPHW</t>
  </si>
  <si>
    <t>1010</t>
  </si>
  <si>
    <t>670</t>
  </si>
  <si>
    <t>MEK</t>
  </si>
  <si>
    <t>20</t>
  </si>
  <si>
    <t>EGHW</t>
  </si>
  <si>
    <t>140</t>
  </si>
  <si>
    <t>EEP</t>
  </si>
  <si>
    <t>400</t>
  </si>
  <si>
    <t>190</t>
  </si>
  <si>
    <t>120</t>
  </si>
  <si>
    <t>PG</t>
  </si>
  <si>
    <t>-30</t>
  </si>
  <si>
    <t>-20</t>
  </si>
  <si>
    <t>270</t>
  </si>
  <si>
    <t>1DPM-1
(DPM HAV)</t>
  </si>
  <si>
    <t>總量統計</t>
  </si>
  <si>
    <t>IPA</t>
  </si>
  <si>
    <t>EBR</t>
  </si>
  <si>
    <t>SEP05(E2)</t>
  </si>
  <si>
    <t>GAA</t>
  </si>
  <si>
    <t>ANONE</t>
  </si>
  <si>
    <t>#REF!</t>
  </si>
  <si>
    <t>5,609.0</t>
  </si>
  <si>
    <t>50.0</t>
  </si>
  <si>
    <t>ACT</t>
  </si>
  <si>
    <t>GBL</t>
  </si>
  <si>
    <t>NMP</t>
  </si>
  <si>
    <t>EG</t>
  </si>
  <si>
    <t>DPM HAV</t>
  </si>
  <si>
    <t>Sulfolane</t>
  </si>
  <si>
    <t>83.0</t>
  </si>
  <si>
    <t>4,050.0</t>
  </si>
  <si>
    <t>897.0</t>
  </si>
  <si>
    <t>103.0</t>
  </si>
  <si>
    <t>請直接以10進位，謝謝</t>
  </si>
  <si>
    <t>F19</t>
  </si>
  <si>
    <t>F24</t>
  </si>
  <si>
    <t>F25</t>
  </si>
  <si>
    <t>F26</t>
  </si>
  <si>
    <t>F27</t>
  </si>
  <si>
    <t>F28</t>
  </si>
  <si>
    <t>水份</t>
  </si>
  <si>
    <t>I9101</t>
  </si>
  <si>
    <t>20240326</t>
  </si>
  <si>
    <t>TK-604</t>
  </si>
  <si>
    <t>20240424</t>
  </si>
  <si>
    <t>I9102</t>
  </si>
  <si>
    <t>I9103</t>
  </si>
  <si>
    <t>C41</t>
  </si>
  <si>
    <t>I9104</t>
  </si>
  <si>
    <t>I9105</t>
  </si>
  <si>
    <t xml:space="preserve">1EBRHW
</t>
  </si>
  <si>
    <t>I9106</t>
  </si>
  <si>
    <t>I9107</t>
  </si>
  <si>
    <t>I9108</t>
  </si>
  <si>
    <t>I9109</t>
  </si>
  <si>
    <t>I9110</t>
  </si>
  <si>
    <t>I9111</t>
  </si>
  <si>
    <t>I9112</t>
  </si>
  <si>
    <t>I9113</t>
  </si>
  <si>
    <t>I9114</t>
  </si>
  <si>
    <t>I9115</t>
  </si>
  <si>
    <t>CPNE3</t>
  </si>
  <si>
    <t>I9116</t>
  </si>
  <si>
    <t>I9117</t>
  </si>
  <si>
    <t>CPNHW
(OEM)</t>
  </si>
  <si>
    <t>I9118</t>
  </si>
  <si>
    <t>I9119</t>
  </si>
  <si>
    <t>I9120</t>
  </si>
  <si>
    <t>I9121</t>
  </si>
  <si>
    <t>M
I
B
C
H
W</t>
  </si>
  <si>
    <t>R9101</t>
  </si>
  <si>
    <t>TK-601</t>
  </si>
  <si>
    <t>R9102</t>
  </si>
  <si>
    <t>290</t>
  </si>
  <si>
    <t>R9103</t>
  </si>
  <si>
    <t>0</t>
  </si>
  <si>
    <t>R9104</t>
  </si>
  <si>
    <t>R9105</t>
  </si>
  <si>
    <t>R9106</t>
  </si>
  <si>
    <t>R9107</t>
  </si>
  <si>
    <t>R9108</t>
  </si>
  <si>
    <t>R9109</t>
  </si>
  <si>
    <t>R9110</t>
  </si>
  <si>
    <t>G9101</t>
  </si>
  <si>
    <t>G9102</t>
  </si>
  <si>
    <t>G9103</t>
  </si>
  <si>
    <t>G9104</t>
  </si>
  <si>
    <t>G9105</t>
  </si>
  <si>
    <t>G9106</t>
  </si>
  <si>
    <t>G9107</t>
  </si>
  <si>
    <t>G9108</t>
  </si>
  <si>
    <t>AN9101</t>
  </si>
  <si>
    <t>AN9102</t>
  </si>
  <si>
    <t>-</t>
  </si>
  <si>
    <t>A9101</t>
  </si>
  <si>
    <t>20240425</t>
  </si>
  <si>
    <t>690</t>
  </si>
  <si>
    <t>A9102</t>
  </si>
  <si>
    <t>A9103</t>
  </si>
  <si>
    <t>A9104</t>
  </si>
  <si>
    <t>A9105</t>
  </si>
  <si>
    <t>A9106</t>
  </si>
  <si>
    <t>A9107</t>
  </si>
  <si>
    <t>A9108</t>
  </si>
  <si>
    <t>S208</t>
  </si>
  <si>
    <t>GB9101</t>
  </si>
  <si>
    <t>20210315</t>
  </si>
  <si>
    <t>-50</t>
  </si>
  <si>
    <t>換桶</t>
  </si>
  <si>
    <t>910</t>
  </si>
  <si>
    <t>1140</t>
  </si>
  <si>
    <t>20200818</t>
  </si>
  <si>
    <t>1130</t>
  </si>
  <si>
    <t>20161126</t>
  </si>
  <si>
    <t>2020/7/16</t>
  </si>
  <si>
    <t>研發取用</t>
  </si>
  <si>
    <t>1110</t>
  </si>
  <si>
    <t>20170728</t>
  </si>
  <si>
    <t>20170829</t>
  </si>
  <si>
    <t>20170927</t>
  </si>
  <si>
    <t>20171030</t>
  </si>
  <si>
    <t>20171129</t>
  </si>
  <si>
    <t>20171228</t>
  </si>
  <si>
    <t>20180129</t>
  </si>
  <si>
    <t>20180205</t>
  </si>
  <si>
    <t>-40</t>
  </si>
  <si>
    <t>20180328</t>
  </si>
  <si>
    <t>20180426</t>
  </si>
  <si>
    <t>20180530</t>
  </si>
  <si>
    <t>20180628</t>
  </si>
  <si>
    <t>20181130</t>
  </si>
  <si>
    <t>1150</t>
  </si>
  <si>
    <t>20180730</t>
  </si>
  <si>
    <t>20180890</t>
  </si>
  <si>
    <t>20180927</t>
  </si>
  <si>
    <t>20181030</t>
  </si>
  <si>
    <t>20181227</t>
  </si>
  <si>
    <t>20190130</t>
  </si>
  <si>
    <t>20190226</t>
  </si>
  <si>
    <t>20190328</t>
  </si>
  <si>
    <t>20190429</t>
  </si>
  <si>
    <t>20190530</t>
  </si>
  <si>
    <t>20190628</t>
  </si>
  <si>
    <t>20190730</t>
  </si>
  <si>
    <t>20190816</t>
  </si>
  <si>
    <t>GB8709</t>
  </si>
  <si>
    <t>20190829</t>
  </si>
  <si>
    <t>20190927</t>
  </si>
  <si>
    <t>20191029</t>
  </si>
  <si>
    <t>20191128</t>
  </si>
  <si>
    <t>20191226</t>
  </si>
  <si>
    <t>20200130</t>
  </si>
  <si>
    <t>20200226</t>
  </si>
  <si>
    <t>20200326</t>
  </si>
  <si>
    <t>20200430</t>
  </si>
  <si>
    <t>20200529</t>
  </si>
  <si>
    <t>20200629</t>
  </si>
  <si>
    <t>20200730</t>
  </si>
  <si>
    <t>20200827</t>
  </si>
  <si>
    <t>20200928</t>
  </si>
  <si>
    <t>20201028</t>
  </si>
  <si>
    <t>20201127</t>
  </si>
  <si>
    <t>GB9110</t>
  </si>
  <si>
    <t>20201225</t>
  </si>
  <si>
    <t>20210129</t>
  </si>
  <si>
    <t>20210224</t>
  </si>
  <si>
    <t>20210326</t>
  </si>
  <si>
    <t>1090</t>
  </si>
  <si>
    <t>20210427</t>
  </si>
  <si>
    <t>20210527</t>
  </si>
  <si>
    <t>20210629</t>
  </si>
  <si>
    <t>20210728</t>
  </si>
  <si>
    <t>20210826</t>
  </si>
  <si>
    <t>20210928</t>
  </si>
  <si>
    <t>20211027</t>
  </si>
  <si>
    <t>20211130</t>
  </si>
  <si>
    <t>20211229</t>
  </si>
  <si>
    <t>20220117</t>
  </si>
  <si>
    <t>GB9111</t>
  </si>
  <si>
    <t>20220126</t>
  </si>
  <si>
    <t>20220223</t>
  </si>
  <si>
    <t>20220329</t>
  </si>
  <si>
    <t>20220427</t>
  </si>
  <si>
    <t>20220629</t>
  </si>
  <si>
    <t>1080</t>
  </si>
  <si>
    <t>20220725</t>
  </si>
  <si>
    <t>20220826</t>
  </si>
  <si>
    <t>20220928</t>
  </si>
  <si>
    <t>20221025</t>
  </si>
  <si>
    <t>20221229</t>
  </si>
  <si>
    <t>20230130</t>
  </si>
  <si>
    <t>20230222</t>
  </si>
  <si>
    <t>20230327</t>
  </si>
  <si>
    <t>20230425</t>
  </si>
  <si>
    <t>20230529</t>
  </si>
  <si>
    <t>20230628</t>
  </si>
  <si>
    <t>20230725</t>
  </si>
  <si>
    <t>20230828</t>
  </si>
  <si>
    <t>20230926</t>
  </si>
  <si>
    <t>20231025</t>
  </si>
  <si>
    <t>GB9112</t>
  </si>
  <si>
    <t>20231122</t>
  </si>
  <si>
    <t>20231226</t>
  </si>
  <si>
    <t>8,920</t>
  </si>
  <si>
    <t>E9101</t>
  </si>
  <si>
    <t>E9102</t>
  </si>
  <si>
    <t>20240226</t>
  </si>
  <si>
    <t>350</t>
  </si>
  <si>
    <t>TK603</t>
  </si>
  <si>
    <t>E9103</t>
  </si>
  <si>
    <t>E9104</t>
  </si>
  <si>
    <t>E9105</t>
  </si>
  <si>
    <t>990</t>
  </si>
  <si>
    <t>285</t>
  </si>
  <si>
    <t>20240124</t>
  </si>
  <si>
    <t>20240202</t>
  </si>
  <si>
    <t>E9107</t>
  </si>
  <si>
    <t>E9108</t>
  </si>
  <si>
    <t>E9109</t>
  </si>
  <si>
    <t>E9110</t>
  </si>
  <si>
    <t>E9111</t>
  </si>
  <si>
    <t>C9101</t>
  </si>
  <si>
    <t>C9102</t>
  </si>
  <si>
    <t>C9103</t>
  </si>
  <si>
    <t>C9104</t>
  </si>
  <si>
    <t>20240426</t>
  </si>
  <si>
    <t>870</t>
  </si>
  <si>
    <t>C9105</t>
  </si>
  <si>
    <t>C9106</t>
  </si>
  <si>
    <t>C9107</t>
  </si>
  <si>
    <t>C9108</t>
  </si>
  <si>
    <t>C9109</t>
  </si>
  <si>
    <t>C9110</t>
  </si>
  <si>
    <t>C9111</t>
  </si>
  <si>
    <t>C9112</t>
  </si>
  <si>
    <t>C9113</t>
  </si>
  <si>
    <t>C9114</t>
  </si>
  <si>
    <t>C9115</t>
  </si>
  <si>
    <t>N9101</t>
  </si>
  <si>
    <t>20240320</t>
  </si>
  <si>
    <t>930</t>
  </si>
  <si>
    <t>N9102</t>
  </si>
  <si>
    <t>N9103</t>
  </si>
  <si>
    <t>TK611</t>
  </si>
  <si>
    <t>20240401</t>
  </si>
  <si>
    <t>N9104</t>
  </si>
  <si>
    <t>940</t>
  </si>
  <si>
    <t>N9105</t>
  </si>
  <si>
    <t>N9106</t>
  </si>
  <si>
    <t>N9107</t>
  </si>
  <si>
    <t>N9108</t>
  </si>
  <si>
    <t>N9109</t>
  </si>
  <si>
    <t>N9110</t>
  </si>
  <si>
    <t>N9111</t>
  </si>
  <si>
    <t>N9112</t>
  </si>
  <si>
    <t>N9113</t>
  </si>
  <si>
    <t>N9114</t>
  </si>
  <si>
    <t>N9115</t>
  </si>
  <si>
    <t>N9116</t>
  </si>
  <si>
    <t>N
S
E
H
W</t>
  </si>
  <si>
    <t>NS9101</t>
  </si>
  <si>
    <t>NS9102</t>
  </si>
  <si>
    <t>M9101</t>
  </si>
  <si>
    <t>20220407</t>
  </si>
  <si>
    <t>20230428</t>
  </si>
  <si>
    <t>TK667</t>
  </si>
  <si>
    <t>M9102</t>
  </si>
  <si>
    <t>M9103</t>
  </si>
  <si>
    <t>M9104</t>
  </si>
  <si>
    <t>M9105</t>
  </si>
  <si>
    <t>2,030</t>
  </si>
  <si>
    <t>D9101</t>
  </si>
  <si>
    <t>D9102</t>
  </si>
  <si>
    <t>D9103</t>
  </si>
  <si>
    <t>D9104</t>
  </si>
  <si>
    <t>D9105</t>
  </si>
  <si>
    <t>c</t>
  </si>
  <si>
    <t xml:space="preserve"> </t>
    <phoneticPr fontId="3" type="noConversion"/>
  </si>
  <si>
    <t>20240528</t>
  </si>
  <si>
    <t>250</t>
  </si>
  <si>
    <t>20240516</t>
  </si>
  <si>
    <t>840</t>
  </si>
  <si>
    <t>(回收液)</t>
  </si>
  <si>
    <t>1,440</t>
  </si>
  <si>
    <t>310</t>
  </si>
  <si>
    <t>730</t>
  </si>
  <si>
    <t>200</t>
  </si>
  <si>
    <t>890</t>
  </si>
  <si>
    <t>1030</t>
  </si>
  <si>
    <t>E9106
(5/30重驗)</t>
  </si>
  <si>
    <t>360</t>
  </si>
  <si>
    <t>20240523</t>
  </si>
  <si>
    <t>850</t>
  </si>
  <si>
    <t>880</t>
  </si>
  <si>
    <t>630</t>
  </si>
  <si>
    <t>202406XX</t>
  </si>
  <si>
    <t>TK675等單</t>
  </si>
  <si>
    <t>20240619</t>
  </si>
  <si>
    <t>530</t>
  </si>
  <si>
    <t>2024/6/24 14:52</t>
  </si>
  <si>
    <t>標記1</t>
  </si>
  <si>
    <t>標記2</t>
  </si>
  <si>
    <t>960</t>
  </si>
  <si>
    <t>1020</t>
  </si>
  <si>
    <t>7,100</t>
  </si>
  <si>
    <t>20240624</t>
  </si>
  <si>
    <t>810</t>
  </si>
  <si>
    <t>860</t>
  </si>
  <si>
    <t>9310</t>
  </si>
  <si>
    <t>830</t>
  </si>
  <si>
    <t>3,880</t>
  </si>
  <si>
    <t>2,270.0</t>
  </si>
  <si>
    <t>2EBR95</t>
    <phoneticPr fontId="3" type="noConversion"/>
  </si>
  <si>
    <t>2CPNE4</t>
  </si>
  <si>
    <r>
      <t>EBR</t>
    </r>
    <r>
      <rPr>
        <sz val="7"/>
        <rFont val="微軟正黑體"/>
        <family val="2"/>
        <charset val="136"/>
      </rPr>
      <t>廢溶劑</t>
    </r>
    <phoneticPr fontId="3" type="noConversion"/>
  </si>
  <si>
    <t>CPNE4R</t>
    <phoneticPr fontId="2" type="noConversion"/>
  </si>
  <si>
    <t>梁宏彬</t>
    <phoneticPr fontId="2" type="noConversion"/>
  </si>
  <si>
    <t>EBR-P4</t>
    <phoneticPr fontId="3" type="noConversion"/>
  </si>
  <si>
    <r>
      <t xml:space="preserve"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 </t>
    </r>
    <r>
      <rPr>
        <u/>
        <sz val="8"/>
        <rFont val="微軟正黑體"/>
        <family val="2"/>
        <charset val="136"/>
      </rPr>
      <t>_16</t>
    </r>
    <r>
      <rPr>
        <sz val="8"/>
        <rFont val="微軟正黑體"/>
        <family val="2"/>
        <charset val="136"/>
      </rPr>
      <t xml:space="preserve">
蒸氣壓力 ______ (最低氣溫低於16度開啟)</t>
    </r>
    <phoneticPr fontId="3" type="noConversion"/>
  </si>
  <si>
    <t>涂敬宗</t>
    <phoneticPr fontId="2" type="noConversion"/>
  </si>
  <si>
    <r>
      <t>EBR</t>
    </r>
    <r>
      <rPr>
        <sz val="7"/>
        <color theme="1"/>
        <rFont val="微軟正黑體"/>
        <family val="2"/>
        <charset val="136"/>
      </rPr>
      <t>廢溶劑</t>
    </r>
    <phoneticPr fontId="3" type="noConversion"/>
  </si>
  <si>
    <r>
      <t xml:space="preserve"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 </t>
    </r>
    <r>
      <rPr>
        <u/>
        <sz val="8"/>
        <rFont val="微軟正黑體"/>
        <family val="2"/>
        <charset val="136"/>
      </rPr>
      <t>_14</t>
    </r>
    <r>
      <rPr>
        <sz val="8"/>
        <rFont val="微軟正黑體"/>
        <family val="2"/>
        <charset val="136"/>
      </rPr>
      <t xml:space="preserve">
蒸氣壓力 ______ (最低氣溫低於16度開啟)</t>
    </r>
    <phoneticPr fontId="3" type="noConversion"/>
  </si>
  <si>
    <r>
      <t xml:space="preserve"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 </t>
    </r>
    <r>
      <rPr>
        <u/>
        <sz val="8"/>
        <rFont val="微軟正黑體"/>
        <family val="2"/>
        <charset val="136"/>
      </rPr>
      <t>_13</t>
    </r>
    <r>
      <rPr>
        <sz val="8"/>
        <rFont val="微軟正黑體"/>
        <family val="2"/>
        <charset val="136"/>
      </rPr>
      <t xml:space="preserve">
蒸氣壓力 ______ (最低氣溫低於16度開啟)</t>
    </r>
    <phoneticPr fontId="3" type="noConversion"/>
  </si>
  <si>
    <t>PMUPS</t>
    <phoneticPr fontId="3" type="noConversion"/>
  </si>
  <si>
    <t>待處理廢水</t>
    <phoneticPr fontId="2" type="noConversion"/>
  </si>
  <si>
    <t>待處理廢水</t>
    <phoneticPr fontId="3" type="noConversion"/>
  </si>
  <si>
    <r>
      <t xml:space="preserve"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 </t>
    </r>
    <r>
      <rPr>
        <u/>
        <sz val="8"/>
        <rFont val="微軟正黑體"/>
        <family val="2"/>
        <charset val="136"/>
      </rPr>
      <t>_15</t>
    </r>
    <r>
      <rPr>
        <sz val="8"/>
        <rFont val="微軟正黑體"/>
        <family val="2"/>
        <charset val="136"/>
      </rPr>
      <t xml:space="preserve">
蒸氣壓力 ______ (最低氣溫低於16度開啟)</t>
    </r>
    <phoneticPr fontId="3" type="noConversion"/>
  </si>
  <si>
    <r>
      <t xml:space="preserve"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 </t>
    </r>
    <r>
      <rPr>
        <u/>
        <sz val="8"/>
        <rFont val="微軟正黑體"/>
        <family val="2"/>
        <charset val="136"/>
      </rPr>
      <t>_12</t>
    </r>
    <r>
      <rPr>
        <sz val="8"/>
        <rFont val="微軟正黑體"/>
        <family val="2"/>
        <charset val="136"/>
      </rPr>
      <t xml:space="preserve">
蒸氣壓力 ______ (最低氣溫低於16度開啟)</t>
    </r>
    <phoneticPr fontId="3" type="noConversion"/>
  </si>
  <si>
    <r>
      <t xml:space="preserve"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 </t>
    </r>
    <r>
      <rPr>
        <u/>
        <sz val="8"/>
        <rFont val="微軟正黑體"/>
        <family val="2"/>
        <charset val="136"/>
      </rPr>
      <t>_11</t>
    </r>
    <r>
      <rPr>
        <sz val="8"/>
        <rFont val="微軟正黑體"/>
        <family val="2"/>
        <charset val="136"/>
      </rPr>
      <t xml:space="preserve">
蒸氣壓力 ______ (最低氣溫低於16度開啟)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</si>
</sst>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44" formatCode="_-&quot;$&quot;* #,##0.00_-;\-&quot;$&quot;* #,##0.00_-;_-&quot;$&quot;* &quot;-&quot;??_-;_-@_-"/>
    <numFmt numFmtId="43" formatCode="_-* #,##0.00_-;\-* #,##0.00_-;_-* &quot;-&quot;??_-;_-@_-"/>
    <numFmt numFmtId="176" formatCode="0_);[Red]\(0\)"/>
    <numFmt numFmtId="177" formatCode="0_ "/>
    <numFmt numFmtId="178" formatCode="_(* #,##0.00_);_(* \(#,##0.00\);_(* &quot;-&quot;??_);_(@_)"/>
    <numFmt numFmtId="179" formatCode="_(&quot;$&quot;* #,##0.00_);_(&quot;$&quot;* \(#,##0.00\);_(&quot;$&quot;* &quot;-&quot;??_);_(@_)"/>
    <numFmt numFmtId="180" formatCode="#,##0.0000"/>
    <numFmt numFmtId="181" formatCode="0.0000_ "/>
    <numFmt numFmtId="182" formatCode="0.0000"/>
    <numFmt numFmtId="183" formatCode="[&lt;0]&quot;0&quot;;0"/>
    <numFmt numFmtId="184" formatCode="m&quot;月&quot;d&quot;日&quot;"/>
  </numFmts>
  <fonts count="38">
    <font>
      <sz val="12"/>
      <color theme="1"/>
      <name val="新細明體"/>
      <family val="2"/>
      <scheme val="minor"/>
    </font>
    <font>
      <sz val="12"/>
      <name val="新細明體"/>
      <family val="1"/>
      <charset val="136"/>
    </font>
    <font>
      <sz val="9"/>
      <name val="新細明體"/>
      <family val="3"/>
      <charset val="136"/>
      <scheme val="minor"/>
    </font>
    <font>
      <sz val="9"/>
      <name val="新細明體"/>
      <family val="1"/>
      <charset val="136"/>
    </font>
    <font>
      <sz val="9"/>
      <name val="細明體"/>
      <family val="3"/>
      <charset val="136"/>
    </font>
    <font>
      <sz val="12"/>
      <color theme="1"/>
      <name val="新細明體"/>
      <family val="1"/>
      <charset val="136"/>
      <scheme val="minor"/>
    </font>
    <font>
      <sz val="12"/>
      <name val="DotumChe"/>
      <family val="3"/>
      <charset val="129"/>
    </font>
    <font>
      <sz val="12"/>
      <name val="細明體"/>
      <family val="3"/>
      <charset val="136"/>
    </font>
    <font>
      <sz val="14"/>
      <name val="DotumChe"/>
      <family val="3"/>
      <charset val="129"/>
    </font>
    <font>
      <b/>
      <sz val="14"/>
      <color rgb="FF0000FF"/>
      <name val="DotumChe"/>
      <family val="3"/>
      <charset val="129"/>
    </font>
    <font>
      <sz val="14"/>
      <name val="細明體"/>
      <family val="3"/>
      <charset val="136"/>
    </font>
    <font>
      <sz val="18"/>
      <color rgb="FFFF0000"/>
      <name val="微軟正黑體"/>
      <family val="2"/>
      <charset val="136"/>
    </font>
    <font>
      <b/>
      <sz val="12"/>
      <name val="微軟正黑體"/>
      <family val="2"/>
      <charset val="136"/>
    </font>
    <font>
      <sz val="12"/>
      <name val="微軟正黑體"/>
      <family val="2"/>
      <charset val="136"/>
    </font>
    <font>
      <sz val="14"/>
      <name val="微軟正黑體"/>
      <family val="2"/>
      <charset val="136"/>
    </font>
    <font>
      <sz val="6"/>
      <name val="微軟正黑體"/>
      <family val="2"/>
      <charset val="136"/>
    </font>
    <font>
      <sz val="16"/>
      <name val="微軟正黑體"/>
      <family val="2"/>
      <charset val="136"/>
    </font>
    <font>
      <sz val="10"/>
      <name val="微軟正黑體"/>
      <family val="2"/>
      <charset val="136"/>
    </font>
    <font>
      <sz val="11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sz val="8"/>
      <name val="微軟正黑體"/>
      <family val="2"/>
      <charset val="136"/>
    </font>
    <font>
      <u/>
      <sz val="16"/>
      <name val="微軟正黑體"/>
      <family val="2"/>
      <charset val="136"/>
    </font>
    <font>
      <sz val="9"/>
      <name val="微軟正黑體"/>
      <family val="2"/>
      <charset val="136"/>
    </font>
    <font>
      <vertAlign val="superscript"/>
      <sz val="8"/>
      <name val="微軟正黑體"/>
      <family val="2"/>
      <charset val="136"/>
    </font>
    <font>
      <vertAlign val="subscript"/>
      <sz val="8"/>
      <name val="微軟正黑體"/>
      <family val="2"/>
      <charset val="136"/>
    </font>
    <font>
      <u/>
      <sz val="9"/>
      <name val="微軟正黑體"/>
      <family val="2"/>
      <charset val="136"/>
    </font>
    <font>
      <sz val="7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7.5"/>
      <name val="微軟正黑體"/>
      <family val="2"/>
      <charset val="136"/>
    </font>
    <font>
      <u/>
      <sz val="9"/>
      <color theme="7" tint="-0.499984740745262"/>
      <name val="微軟正黑體"/>
      <family val="2"/>
      <charset val="136"/>
    </font>
    <font>
      <sz val="9"/>
      <color theme="7" tint="-0.499984740745262"/>
      <name val="微軟正黑體"/>
      <family val="2"/>
      <charset val="136"/>
    </font>
    <font>
      <sz val="8.5"/>
      <name val="微軟正黑體"/>
      <family val="2"/>
      <charset val="136"/>
    </font>
    <font>
      <u/>
      <sz val="8"/>
      <name val="微軟正黑體"/>
      <family val="2"/>
      <charset val="136"/>
    </font>
    <font>
      <sz val="12"/>
      <color rgb="FF000000"/>
      <name val="新細明體"/>
      <family val="1"/>
      <charset val="136"/>
    </font>
    <font>
      <sz val="10"/>
      <color theme="7" tint="-0.499984740745262"/>
      <name val="微軟正黑體"/>
      <family val="2"/>
      <charset val="136"/>
    </font>
    <font>
      <sz val="10"/>
      <color theme="1"/>
      <name val="微軟正黑體"/>
      <family val="2"/>
      <charset val="136"/>
    </font>
    <font>
      <sz val="8"/>
      <color theme="1"/>
      <name val="微軟正黑體"/>
      <family val="2"/>
      <charset val="136"/>
    </font>
    <font>
      <sz val="7"/>
      <color theme="1"/>
      <name val="微軟正黑體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59999389629810485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otted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tted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</borders>
  <cellStyleXfs count="23">
    <xf numFmtId="0" fontId="0" fillId="0" borderId="0"/>
    <xf numFmtId="0" fontId="1" fillId="0" borderId="0"/>
    <xf numFmtId="0" fontId="1" fillId="0" borderId="0"/>
    <xf numFmtId="178" fontId="1" fillId="0" borderId="0" applyFont="0" applyFill="0" applyBorder="0" applyAlignment="0" applyProtection="0"/>
    <xf numFmtId="17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>
      <alignment vertical="center"/>
    </xf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39">
    <xf numFmtId="0" fontId="0" fillId="0" borderId="0" xfId="0"/>
    <xf numFmtId="0" fontId="6" fillId="3" borderId="5" xfId="1" applyFont="1" applyFill="1" applyBorder="1" applyAlignment="1">
      <alignment horizontal="left" vertical="center" wrapText="1"/>
    </xf>
    <xf numFmtId="0" fontId="8" fillId="3" borderId="17" xfId="1" applyFont="1" applyFill="1" applyBorder="1" applyAlignment="1">
      <alignment horizontal="center" vertical="center"/>
    </xf>
    <xf numFmtId="49" fontId="9" fillId="4" borderId="17" xfId="1" applyNumberFormat="1" applyFont="1" applyFill="1" applyBorder="1" applyAlignment="1">
      <alignment horizontal="center" vertical="center"/>
    </xf>
    <xf numFmtId="0" fontId="8" fillId="3" borderId="17" xfId="1" applyFont="1" applyFill="1" applyBorder="1" applyAlignment="1">
      <alignment horizontal="center" vertical="center" wrapText="1"/>
    </xf>
    <xf numFmtId="180" fontId="9" fillId="4" borderId="17" xfId="1" applyNumberFormat="1" applyFont="1" applyFill="1" applyBorder="1" applyAlignment="1">
      <alignment horizontal="center" vertical="center" wrapText="1"/>
    </xf>
    <xf numFmtId="0" fontId="8" fillId="0" borderId="0" xfId="1" applyFont="1" applyAlignment="1">
      <alignment vertical="center"/>
    </xf>
    <xf numFmtId="0" fontId="8" fillId="0" borderId="18" xfId="1" applyFont="1" applyFill="1" applyBorder="1" applyAlignment="1">
      <alignment horizontal="center" vertical="center" wrapText="1"/>
    </xf>
    <xf numFmtId="0" fontId="8" fillId="0" borderId="19" xfId="1" applyFont="1" applyFill="1" applyBorder="1" applyAlignment="1">
      <alignment horizontal="center" vertical="center"/>
    </xf>
    <xf numFmtId="0" fontId="8" fillId="4" borderId="19" xfId="1" applyFont="1" applyFill="1" applyBorder="1" applyAlignment="1">
      <alignment horizontal="center" vertical="center"/>
    </xf>
    <xf numFmtId="0" fontId="8" fillId="0" borderId="19" xfId="1" applyFont="1" applyFill="1" applyBorder="1" applyAlignment="1">
      <alignment horizontal="center" vertical="center" wrapText="1"/>
    </xf>
    <xf numFmtId="181" fontId="8" fillId="0" borderId="19" xfId="1" applyNumberFormat="1" applyFont="1" applyFill="1" applyBorder="1" applyAlignment="1">
      <alignment horizontal="center" vertical="center"/>
    </xf>
    <xf numFmtId="0" fontId="8" fillId="0" borderId="0" xfId="1" applyFont="1" applyFill="1" applyBorder="1" applyAlignment="1">
      <alignment horizontal="center" vertical="center"/>
    </xf>
    <xf numFmtId="0" fontId="8" fillId="0" borderId="0" xfId="1" applyFont="1" applyFill="1" applyAlignment="1">
      <alignment vertical="center"/>
    </xf>
    <xf numFmtId="0" fontId="8" fillId="0" borderId="19" xfId="1" applyNumberFormat="1" applyFont="1" applyFill="1" applyBorder="1" applyAlignment="1">
      <alignment horizontal="center" vertical="center"/>
    </xf>
    <xf numFmtId="0" fontId="8" fillId="0" borderId="20" xfId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/>
    </xf>
    <xf numFmtId="180" fontId="8" fillId="4" borderId="21" xfId="1" applyNumberFormat="1" applyFont="1" applyFill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/>
    </xf>
    <xf numFmtId="180" fontId="8" fillId="4" borderId="22" xfId="1" applyNumberFormat="1" applyFont="1" applyFill="1" applyBorder="1" applyAlignment="1">
      <alignment horizontal="center" vertical="center"/>
    </xf>
    <xf numFmtId="180" fontId="8" fillId="0" borderId="23" xfId="1" applyNumberFormat="1" applyFont="1" applyBorder="1" applyAlignment="1">
      <alignment horizontal="center" vertical="center"/>
    </xf>
    <xf numFmtId="0" fontId="8" fillId="0" borderId="24" xfId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vertical="center"/>
    </xf>
    <xf numFmtId="180" fontId="8" fillId="0" borderId="19" xfId="1" applyNumberFormat="1" applyFont="1" applyBorder="1" applyAlignment="1">
      <alignment horizontal="center" vertical="center"/>
    </xf>
    <xf numFmtId="180" fontId="8" fillId="4" borderId="19" xfId="1" applyNumberFormat="1" applyFont="1" applyFill="1" applyBorder="1" applyAlignment="1">
      <alignment horizontal="center" vertical="center"/>
    </xf>
    <xf numFmtId="180" fontId="8" fillId="0" borderId="0" xfId="1" applyNumberFormat="1" applyFont="1" applyAlignment="1">
      <alignment horizontal="center" vertical="center"/>
    </xf>
    <xf numFmtId="0" fontId="8" fillId="0" borderId="26" xfId="1" applyFont="1" applyBorder="1" applyAlignment="1">
      <alignment horizontal="center" vertical="center"/>
    </xf>
    <xf numFmtId="180" fontId="8" fillId="0" borderId="27" xfId="1" applyNumberFormat="1" applyFont="1" applyBorder="1" applyAlignment="1">
      <alignment horizontal="center" vertical="center"/>
    </xf>
    <xf numFmtId="180" fontId="8" fillId="0" borderId="28" xfId="1" applyNumberFormat="1" applyFont="1" applyBorder="1" applyAlignment="1">
      <alignment horizontal="center" vertical="center"/>
    </xf>
    <xf numFmtId="180" fontId="8" fillId="4" borderId="28" xfId="1" applyNumberFormat="1" applyFont="1" applyFill="1" applyBorder="1" applyAlignment="1">
      <alignment horizontal="center" vertical="center"/>
    </xf>
    <xf numFmtId="180" fontId="8" fillId="4" borderId="27" xfId="1" applyNumberFormat="1" applyFont="1" applyFill="1" applyBorder="1" applyAlignment="1">
      <alignment horizontal="center" vertical="center"/>
    </xf>
    <xf numFmtId="180" fontId="8" fillId="0" borderId="25" xfId="1" applyNumberFormat="1" applyFont="1" applyFill="1" applyBorder="1" applyAlignment="1">
      <alignment horizontal="center" vertical="center"/>
    </xf>
    <xf numFmtId="0" fontId="8" fillId="0" borderId="29" xfId="1" applyFont="1" applyBorder="1" applyAlignment="1">
      <alignment horizontal="center" vertical="center"/>
    </xf>
    <xf numFmtId="180" fontId="8" fillId="0" borderId="30" xfId="1" applyNumberFormat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 wrapText="1"/>
    </xf>
    <xf numFmtId="180" fontId="8" fillId="0" borderId="25" xfId="1" applyNumberFormat="1" applyFont="1" applyBorder="1" applyAlignment="1">
      <alignment horizontal="center" vertical="center" wrapText="1"/>
    </xf>
    <xf numFmtId="180" fontId="8" fillId="0" borderId="27" xfId="1" applyNumberFormat="1" applyFont="1" applyBorder="1" applyAlignment="1">
      <alignment horizontal="center" vertical="center" wrapText="1"/>
    </xf>
    <xf numFmtId="180" fontId="8" fillId="0" borderId="27" xfId="1" applyNumberFormat="1" applyFont="1" applyFill="1" applyBorder="1" applyAlignment="1">
      <alignment horizontal="center" vertical="center"/>
    </xf>
    <xf numFmtId="0" fontId="8" fillId="0" borderId="31" xfId="1" applyFont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 wrapText="1"/>
    </xf>
    <xf numFmtId="180" fontId="8" fillId="0" borderId="22" xfId="1" applyNumberFormat="1" applyFont="1" applyBorder="1" applyAlignment="1">
      <alignment horizontal="center" wrapText="1"/>
    </xf>
    <xf numFmtId="180" fontId="8" fillId="0" borderId="22" xfId="1" applyNumberFormat="1" applyFont="1" applyFill="1" applyBorder="1" applyAlignment="1">
      <alignment horizontal="center" vertical="center"/>
    </xf>
    <xf numFmtId="0" fontId="8" fillId="0" borderId="32" xfId="1" applyFont="1" applyBorder="1" applyAlignment="1">
      <alignment horizontal="center" vertical="center"/>
    </xf>
    <xf numFmtId="180" fontId="8" fillId="0" borderId="33" xfId="1" applyNumberFormat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wrapText="1"/>
    </xf>
    <xf numFmtId="180" fontId="8" fillId="0" borderId="27" xfId="1" applyNumberFormat="1" applyFont="1" applyBorder="1" applyAlignment="1">
      <alignment horizontal="center" wrapText="1"/>
    </xf>
    <xf numFmtId="0" fontId="8" fillId="0" borderId="34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35" xfId="1" applyFont="1" applyBorder="1" applyAlignment="1">
      <alignment horizontal="center" vertical="center"/>
    </xf>
    <xf numFmtId="181" fontId="8" fillId="0" borderId="0" xfId="1" applyNumberFormat="1" applyFont="1" applyAlignment="1">
      <alignment horizontal="center" vertical="center"/>
    </xf>
    <xf numFmtId="0" fontId="8" fillId="0" borderId="36" xfId="1" applyFont="1" applyBorder="1" applyAlignment="1">
      <alignment vertical="center"/>
    </xf>
    <xf numFmtId="180" fontId="8" fillId="0" borderId="0" xfId="1" applyNumberFormat="1" applyFont="1" applyAlignment="1">
      <alignment vertical="center"/>
    </xf>
    <xf numFmtId="182" fontId="8" fillId="0" borderId="19" xfId="1" applyNumberFormat="1" applyFont="1" applyFill="1" applyBorder="1" applyAlignment="1">
      <alignment horizontal="center" vertical="center"/>
    </xf>
    <xf numFmtId="0" fontId="13" fillId="0" borderId="0" xfId="1" applyFont="1" applyAlignment="1">
      <alignment vertical="center"/>
    </xf>
    <xf numFmtId="0" fontId="13" fillId="0" borderId="0" xfId="1" applyFont="1"/>
    <xf numFmtId="0" fontId="13" fillId="0" borderId="0" xfId="1" applyFont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17" fillId="0" borderId="0" xfId="1" applyFont="1" applyAlignment="1">
      <alignment vertical="center" wrapText="1"/>
    </xf>
    <xf numFmtId="0" fontId="15" fillId="0" borderId="0" xfId="1" applyFont="1" applyAlignment="1">
      <alignment vertical="center"/>
    </xf>
    <xf numFmtId="0" fontId="18" fillId="0" borderId="0" xfId="1" applyFont="1" applyAlignment="1">
      <alignment horizontal="right" vertical="center"/>
    </xf>
    <xf numFmtId="0" fontId="19" fillId="0" borderId="0" xfId="1" applyFont="1" applyAlignment="1">
      <alignment vertical="center"/>
    </xf>
    <xf numFmtId="3" fontId="11" fillId="0" borderId="0" xfId="1" applyNumberFormat="1" applyFont="1" applyAlignment="1">
      <alignment horizontal="center" vertical="center"/>
    </xf>
    <xf numFmtId="0" fontId="13" fillId="0" borderId="0" xfId="1" applyFont="1" applyAlignment="1">
      <alignment horizontal="center"/>
    </xf>
    <xf numFmtId="0" fontId="13" fillId="2" borderId="0" xfId="1" applyFont="1" applyFill="1"/>
    <xf numFmtId="0" fontId="13" fillId="2" borderId="0" xfId="1" applyFont="1" applyFill="1" applyBorder="1"/>
    <xf numFmtId="0" fontId="14" fillId="2" borderId="0" xfId="1" applyFont="1" applyFill="1"/>
    <xf numFmtId="0" fontId="17" fillId="2" borderId="3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center"/>
    </xf>
    <xf numFmtId="0" fontId="13" fillId="2" borderId="3" xfId="1" applyFont="1" applyFill="1" applyBorder="1"/>
    <xf numFmtId="0" fontId="20" fillId="2" borderId="3" xfId="1" applyFont="1" applyFill="1" applyBorder="1" applyAlignment="1">
      <alignment horizontal="center" vertical="top" wrapText="1"/>
    </xf>
    <xf numFmtId="183" fontId="22" fillId="2" borderId="3" xfId="2" applyNumberFormat="1" applyFont="1" applyFill="1" applyBorder="1" applyAlignment="1">
      <alignment horizontal="center" vertical="center"/>
    </xf>
    <xf numFmtId="0" fontId="20" fillId="2" borderId="0" xfId="1" applyFont="1" applyFill="1"/>
    <xf numFmtId="177" fontId="22" fillId="2" borderId="3" xfId="1" applyNumberFormat="1" applyFont="1" applyFill="1" applyBorder="1" applyAlignment="1">
      <alignment horizontal="center" vertical="center"/>
    </xf>
    <xf numFmtId="0" fontId="22" fillId="2" borderId="3" xfId="0" applyFont="1" applyFill="1" applyBorder="1" applyAlignment="1">
      <alignment horizontal="center" vertical="center"/>
    </xf>
    <xf numFmtId="176" fontId="13" fillId="2" borderId="0" xfId="1" applyNumberFormat="1" applyFont="1" applyFill="1"/>
    <xf numFmtId="0" fontId="25" fillId="2" borderId="3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top"/>
    </xf>
    <xf numFmtId="183" fontId="22" fillId="2" borderId="4" xfId="2" applyNumberFormat="1" applyFont="1" applyFill="1" applyBorder="1" applyAlignment="1">
      <alignment horizontal="center" vertical="center"/>
    </xf>
    <xf numFmtId="0" fontId="20" fillId="2" borderId="7" xfId="1" applyFont="1" applyFill="1" applyBorder="1" applyAlignment="1">
      <alignment horizontal="center" vertical="center"/>
    </xf>
    <xf numFmtId="0" fontId="20" fillId="2" borderId="39" xfId="1" applyFont="1" applyFill="1" applyBorder="1" applyAlignment="1">
      <alignment horizontal="center" vertical="center"/>
    </xf>
    <xf numFmtId="0" fontId="22" fillId="2" borderId="2" xfId="0" applyFont="1" applyFill="1" applyBorder="1" applyAlignment="1">
      <alignment horizontal="center" vertical="center"/>
    </xf>
    <xf numFmtId="20" fontId="17" fillId="2" borderId="8" xfId="1" applyNumberFormat="1" applyFont="1" applyFill="1" applyBorder="1" applyAlignment="1">
      <alignment horizontal="center" vertical="center"/>
    </xf>
    <xf numFmtId="0" fontId="20" fillId="2" borderId="8" xfId="1" applyFont="1" applyFill="1" applyBorder="1" applyAlignment="1">
      <alignment horizontal="center" vertical="center"/>
    </xf>
    <xf numFmtId="0" fontId="22" fillId="2" borderId="8" xfId="0" applyFont="1" applyFill="1" applyBorder="1" applyAlignment="1">
      <alignment horizontal="center" vertical="center"/>
    </xf>
    <xf numFmtId="0" fontId="17" fillId="2" borderId="4" xfId="1" applyFont="1" applyFill="1" applyBorder="1" applyAlignment="1">
      <alignment horizontal="center" vertical="center"/>
    </xf>
    <xf numFmtId="0" fontId="22" fillId="2" borderId="40" xfId="1" applyFont="1" applyFill="1" applyBorder="1" applyAlignment="1">
      <alignment horizontal="center" vertical="center"/>
    </xf>
    <xf numFmtId="0" fontId="27" fillId="2" borderId="40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top"/>
    </xf>
    <xf numFmtId="0" fontId="27" fillId="2" borderId="3" xfId="1" applyFont="1" applyFill="1" applyBorder="1" applyAlignment="1">
      <alignment horizontal="center" vertical="top"/>
    </xf>
    <xf numFmtId="183" fontId="27" fillId="2" borderId="3" xfId="2" applyNumberFormat="1" applyFont="1" applyFill="1" applyBorder="1" applyAlignment="1">
      <alignment horizontal="center" vertical="center"/>
    </xf>
    <xf numFmtId="183" fontId="22" fillId="2" borderId="3" xfId="1" applyNumberFormat="1" applyFont="1" applyFill="1" applyBorder="1" applyAlignment="1">
      <alignment horizontal="center" vertical="center" wrapText="1"/>
    </xf>
    <xf numFmtId="183" fontId="27" fillId="2" borderId="3" xfId="1" applyNumberFormat="1" applyFont="1" applyFill="1" applyBorder="1" applyAlignment="1">
      <alignment horizontal="center" vertical="center" wrapText="1"/>
    </xf>
    <xf numFmtId="0" fontId="27" fillId="2" borderId="3" xfId="0" applyFont="1" applyFill="1" applyBorder="1" applyAlignment="1">
      <alignment horizontal="center" vertical="center"/>
    </xf>
    <xf numFmtId="0" fontId="28" fillId="2" borderId="1" xfId="1" applyFont="1" applyFill="1" applyBorder="1" applyAlignment="1">
      <alignment horizontal="center" vertical="center"/>
    </xf>
    <xf numFmtId="176" fontId="13" fillId="2" borderId="0" xfId="1" applyNumberFormat="1" applyFont="1" applyFill="1" applyAlignment="1">
      <alignment wrapText="1"/>
    </xf>
    <xf numFmtId="0" fontId="20" fillId="2" borderId="3" xfId="1" applyFont="1" applyFill="1" applyBorder="1" applyAlignment="1">
      <alignment horizontal="center" vertical="center" wrapText="1"/>
    </xf>
    <xf numFmtId="0" fontId="20" fillId="2" borderId="11" xfId="1" applyFont="1" applyFill="1" applyBorder="1" applyAlignment="1">
      <alignment horizontal="center" vertical="center" wrapText="1"/>
    </xf>
    <xf numFmtId="0" fontId="20" fillId="2" borderId="5" xfId="1" applyFont="1" applyFill="1" applyBorder="1" applyAlignment="1">
      <alignment horizontal="center" vertical="center"/>
    </xf>
    <xf numFmtId="0" fontId="15" fillId="2" borderId="12" xfId="1" applyFont="1" applyFill="1" applyBorder="1" applyAlignment="1">
      <alignment horizontal="center" vertical="center" wrapText="1"/>
    </xf>
    <xf numFmtId="176" fontId="20" fillId="2" borderId="11" xfId="1" applyNumberFormat="1" applyFont="1" applyFill="1" applyBorder="1" applyAlignment="1">
      <alignment horizontal="center" vertical="center" wrapText="1"/>
    </xf>
    <xf numFmtId="177" fontId="13" fillId="2" borderId="0" xfId="1" applyNumberFormat="1" applyFont="1" applyFill="1"/>
    <xf numFmtId="9" fontId="13" fillId="2" borderId="0" xfId="5" applyFont="1" applyFill="1"/>
    <xf numFmtId="0" fontId="13" fillId="2" borderId="0" xfId="1" applyFont="1" applyFill="1" applyAlignment="1">
      <alignment horizontal="left" vertical="center"/>
    </xf>
    <xf numFmtId="0" fontId="26" fillId="2" borderId="3" xfId="1" applyFont="1" applyFill="1" applyBorder="1" applyAlignment="1">
      <alignment horizontal="center" vertical="top"/>
    </xf>
    <xf numFmtId="0" fontId="29" fillId="2" borderId="3" xfId="1" applyFont="1" applyFill="1" applyBorder="1" applyAlignment="1">
      <alignment horizontal="center" vertical="center" wrapText="1"/>
    </xf>
    <xf numFmtId="183" fontId="30" fillId="2" borderId="4" xfId="2" applyNumberFormat="1" applyFont="1" applyFill="1" applyBorder="1" applyAlignment="1">
      <alignment horizontal="center" vertical="center"/>
    </xf>
    <xf numFmtId="177" fontId="30" fillId="2" borderId="3" xfId="1" applyNumberFormat="1" applyFont="1" applyFill="1" applyBorder="1" applyAlignment="1">
      <alignment horizontal="center" vertical="center"/>
    </xf>
    <xf numFmtId="0" fontId="30" fillId="2" borderId="3" xfId="0" applyFont="1" applyFill="1" applyBorder="1" applyAlignment="1">
      <alignment horizontal="center" vertical="center"/>
    </xf>
    <xf numFmtId="183" fontId="30" fillId="2" borderId="3" xfId="2" applyNumberFormat="1" applyFont="1" applyFill="1" applyBorder="1" applyAlignment="1">
      <alignment horizontal="center" vertical="center"/>
    </xf>
    <xf numFmtId="0" fontId="30" fillId="2" borderId="2" xfId="0" applyFont="1" applyFill="1" applyBorder="1" applyAlignment="1">
      <alignment horizontal="center" vertical="center"/>
    </xf>
    <xf numFmtId="0" fontId="13" fillId="0" borderId="0" xfId="1" applyFont="1" applyAlignment="1" applyProtection="1">
      <alignment vertical="center"/>
      <protection locked="0"/>
    </xf>
    <xf numFmtId="0" fontId="13" fillId="0" borderId="0" xfId="1" applyFont="1" applyProtection="1">
      <protection locked="0"/>
    </xf>
    <xf numFmtId="0" fontId="12" fillId="0" borderId="23" xfId="1" applyFont="1" applyBorder="1" applyAlignment="1" applyProtection="1">
      <alignment vertical="center"/>
      <protection locked="0"/>
    </xf>
    <xf numFmtId="0" fontId="13" fillId="0" borderId="46" xfId="1" applyFont="1" applyBorder="1" applyAlignment="1" applyProtection="1">
      <alignment horizontal="center" vertical="center"/>
      <protection locked="0"/>
    </xf>
    <xf numFmtId="0" fontId="13" fillId="0" borderId="47" xfId="1" applyFont="1" applyBorder="1" applyAlignment="1" applyProtection="1">
      <alignment horizontal="center" vertical="center"/>
      <protection locked="0"/>
    </xf>
    <xf numFmtId="0" fontId="13" fillId="0" borderId="48" xfId="1" applyFont="1" applyBorder="1" applyAlignment="1" applyProtection="1">
      <alignment horizontal="center" vertical="center"/>
      <protection locked="0"/>
    </xf>
    <xf numFmtId="0" fontId="13" fillId="0" borderId="49" xfId="1" applyFont="1" applyBorder="1" applyAlignment="1" applyProtection="1">
      <alignment horizontal="center" vertical="center"/>
      <protection locked="0"/>
    </xf>
    <xf numFmtId="0" fontId="14" fillId="0" borderId="50" xfId="1" applyFont="1" applyBorder="1" applyAlignment="1" applyProtection="1">
      <alignment horizontal="center" vertical="center"/>
      <protection locked="0"/>
    </xf>
    <xf numFmtId="0" fontId="18" fillId="0" borderId="51" xfId="1" applyFont="1" applyBorder="1" applyAlignment="1" applyProtection="1">
      <alignment horizontal="center" vertical="center"/>
      <protection locked="0"/>
    </xf>
    <xf numFmtId="0" fontId="18" fillId="0" borderId="52" xfId="1" applyFont="1" applyBorder="1" applyAlignment="1" applyProtection="1">
      <alignment vertical="center"/>
      <protection locked="0"/>
    </xf>
    <xf numFmtId="0" fontId="18" fillId="0" borderId="53" xfId="1" applyFont="1" applyBorder="1" applyAlignment="1" applyProtection="1">
      <alignment vertical="center"/>
      <protection locked="0"/>
    </xf>
    <xf numFmtId="0" fontId="18" fillId="0" borderId="51" xfId="1" applyFont="1" applyFill="1" applyBorder="1" applyAlignment="1" applyProtection="1">
      <alignment horizontal="center" vertical="center"/>
      <protection locked="0"/>
    </xf>
    <xf numFmtId="0" fontId="18" fillId="0" borderId="54" xfId="1" applyFont="1" applyBorder="1" applyAlignment="1" applyProtection="1">
      <alignment vertical="center"/>
      <protection locked="0"/>
    </xf>
    <xf numFmtId="0" fontId="18" fillId="2" borderId="54" xfId="1" applyFont="1" applyFill="1" applyBorder="1" applyAlignment="1" applyProtection="1">
      <alignment vertical="center"/>
      <protection locked="0"/>
    </xf>
    <xf numFmtId="0" fontId="18" fillId="2" borderId="52" xfId="1" applyFont="1" applyFill="1" applyBorder="1" applyAlignment="1" applyProtection="1">
      <alignment vertical="center"/>
      <protection locked="0"/>
    </xf>
    <xf numFmtId="0" fontId="18" fillId="2" borderId="53" xfId="1" applyFont="1" applyFill="1" applyBorder="1" applyAlignment="1" applyProtection="1">
      <alignment vertical="center"/>
      <protection locked="0"/>
    </xf>
    <xf numFmtId="0" fontId="18" fillId="2" borderId="51" xfId="1" applyFont="1" applyFill="1" applyBorder="1" applyAlignment="1" applyProtection="1">
      <alignment horizontal="center" vertical="center"/>
      <protection locked="0"/>
    </xf>
    <xf numFmtId="0" fontId="18" fillId="2" borderId="57" xfId="1" applyFont="1" applyFill="1" applyBorder="1" applyAlignment="1" applyProtection="1">
      <alignment horizontal="center" vertical="center"/>
      <protection locked="0"/>
    </xf>
    <xf numFmtId="0" fontId="18" fillId="0" borderId="58" xfId="1" applyFont="1" applyFill="1" applyBorder="1" applyAlignment="1" applyProtection="1">
      <alignment horizontal="center" vertical="center"/>
      <protection locked="0"/>
    </xf>
    <xf numFmtId="0" fontId="18" fillId="0" borderId="59" xfId="1" applyFont="1" applyBorder="1" applyAlignment="1" applyProtection="1">
      <alignment vertical="center"/>
      <protection locked="0"/>
    </xf>
    <xf numFmtId="0" fontId="18" fillId="0" borderId="58" xfId="1" applyFont="1" applyBorder="1" applyAlignment="1" applyProtection="1">
      <alignment horizontal="center" vertical="center"/>
      <protection locked="0"/>
    </xf>
    <xf numFmtId="0" fontId="18" fillId="0" borderId="63" xfId="1" applyFont="1" applyBorder="1" applyAlignment="1" applyProtection="1">
      <alignment vertical="center"/>
      <protection locked="0"/>
    </xf>
    <xf numFmtId="0" fontId="18" fillId="0" borderId="57" xfId="1" applyFont="1" applyBorder="1" applyAlignment="1" applyProtection="1">
      <alignment horizontal="center" vertical="center"/>
      <protection locked="0"/>
    </xf>
    <xf numFmtId="0" fontId="18" fillId="2" borderId="54" xfId="1" applyFont="1" applyFill="1" applyBorder="1" applyAlignment="1" applyProtection="1">
      <alignment vertical="center"/>
    </xf>
    <xf numFmtId="0" fontId="18" fillId="2" borderId="53" xfId="1" applyFont="1" applyFill="1" applyBorder="1" applyAlignment="1" applyProtection="1">
      <alignment vertical="center"/>
    </xf>
    <xf numFmtId="0" fontId="18" fillId="0" borderId="53" xfId="1" applyFont="1" applyBorder="1" applyAlignment="1" applyProtection="1">
      <alignment vertical="center"/>
    </xf>
    <xf numFmtId="0" fontId="18" fillId="0" borderId="54" xfId="1" applyFont="1" applyBorder="1" applyAlignment="1" applyProtection="1">
      <alignment vertical="center"/>
    </xf>
    <xf numFmtId="184" fontId="13" fillId="2" borderId="0" xfId="1" applyNumberFormat="1" applyFont="1" applyFill="1"/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34" fillId="2" borderId="3" xfId="1" applyFont="1" applyFill="1" applyBorder="1" applyAlignment="1">
      <alignment horizontal="center" vertical="top"/>
    </xf>
    <xf numFmtId="0" fontId="17" fillId="2" borderId="3" xfId="1" applyFont="1" applyFill="1" applyBorder="1" applyAlignment="1">
      <alignment horizontal="center" vertical="top" wrapText="1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35" fillId="2" borderId="3" xfId="1" applyFont="1" applyFill="1" applyBorder="1" applyAlignment="1">
      <alignment horizontal="center" vertical="top" wrapText="1"/>
    </xf>
    <xf numFmtId="0" fontId="36" fillId="2" borderId="3" xfId="1" applyFont="1" applyFill="1" applyBorder="1" applyAlignment="1">
      <alignment horizontal="center" vertical="top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0" borderId="0" xfId="1" applyFont="1" applyAlignment="1">
      <alignment horizontal="right" vertical="center"/>
    </xf>
    <xf numFmtId="0" fontId="12" fillId="0" borderId="0" xfId="1" applyFont="1" applyBorder="1" applyAlignment="1" applyProtection="1">
      <alignment horizontal="center" vertical="center"/>
      <protection locked="0"/>
    </xf>
    <xf numFmtId="0" fontId="20" fillId="0" borderId="55" xfId="1" applyFont="1" applyBorder="1" applyAlignment="1" applyProtection="1">
      <alignment horizontal="left" vertical="top" wrapText="1"/>
      <protection locked="0"/>
    </xf>
    <xf numFmtId="0" fontId="20" fillId="0" borderId="56" xfId="1" applyFont="1" applyBorder="1" applyAlignment="1" applyProtection="1">
      <alignment horizontal="left" vertical="top" wrapText="1"/>
      <protection locked="0"/>
    </xf>
    <xf numFmtId="0" fontId="20" fillId="0" borderId="60" xfId="1" applyFont="1" applyBorder="1" applyAlignment="1" applyProtection="1">
      <alignment horizontal="left" vertical="top" wrapText="1"/>
      <protection locked="0"/>
    </xf>
    <xf numFmtId="49" fontId="11" fillId="0" borderId="64" xfId="1" applyNumberFormat="1" applyFont="1" applyBorder="1" applyAlignment="1">
      <alignment horizontal="center" vertical="center" wrapText="1"/>
    </xf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9" fillId="0" borderId="0" xfId="1" applyFont="1" applyAlignment="1">
      <alignment horizontal="left" vertical="center"/>
    </xf>
    <xf numFmtId="0" fontId="13" fillId="2" borderId="0" xfId="1" applyFont="1" applyFill="1" applyAlignment="1">
      <alignment horizontal="center" vertical="center"/>
    </xf>
    <xf numFmtId="176" fontId="14" fillId="2" borderId="0" xfId="1" applyNumberFormat="1" applyFont="1" applyFill="1" applyAlignment="1">
      <alignment horizontal="center" vertical="center"/>
    </xf>
    <xf numFmtId="177" fontId="20" fillId="2" borderId="2" xfId="1" applyNumberFormat="1" applyFont="1" applyFill="1" applyBorder="1" applyAlignment="1">
      <alignment horizontal="center" vertical="center"/>
    </xf>
    <xf numFmtId="177" fontId="20" fillId="2" borderId="4" xfId="1" applyNumberFormat="1" applyFont="1" applyFill="1" applyBorder="1" applyAlignment="1">
      <alignment horizontal="center" vertical="center"/>
    </xf>
    <xf numFmtId="177" fontId="20" fillId="2" borderId="13" xfId="1" applyNumberFormat="1" applyFont="1" applyFill="1" applyBorder="1" applyAlignment="1">
      <alignment horizontal="center" vertical="center"/>
    </xf>
    <xf numFmtId="177" fontId="20" fillId="2" borderId="15" xfId="1" applyNumberFormat="1" applyFont="1" applyFill="1" applyBorder="1" applyAlignment="1">
      <alignment horizontal="center" vertical="center"/>
    </xf>
    <xf numFmtId="177" fontId="20" fillId="2" borderId="14" xfId="1" applyNumberFormat="1" applyFont="1" applyFill="1" applyBorder="1" applyAlignment="1">
      <alignment horizontal="center" vertical="center"/>
    </xf>
    <xf numFmtId="177" fontId="20" fillId="2" borderId="16" xfId="1" applyNumberFormat="1" applyFont="1" applyFill="1" applyBorder="1" applyAlignment="1">
      <alignment horizontal="center" vertical="center"/>
    </xf>
    <xf numFmtId="176" fontId="20" fillId="2" borderId="2" xfId="1" applyNumberFormat="1" applyFont="1" applyFill="1" applyBorder="1" applyAlignment="1">
      <alignment horizontal="center" vertical="center"/>
    </xf>
    <xf numFmtId="176" fontId="20" fillId="2" borderId="4" xfId="1" applyNumberFormat="1" applyFont="1" applyFill="1" applyBorder="1" applyAlignment="1">
      <alignment horizontal="center" vertical="center"/>
    </xf>
    <xf numFmtId="177" fontId="20" fillId="2" borderId="37" xfId="1" applyNumberFormat="1" applyFont="1" applyFill="1" applyBorder="1" applyAlignment="1">
      <alignment horizontal="center" vertical="center"/>
    </xf>
    <xf numFmtId="177" fontId="20" fillId="2" borderId="61" xfId="1" applyNumberFormat="1" applyFont="1" applyFill="1" applyBorder="1" applyAlignment="1">
      <alignment horizontal="center" vertical="center"/>
    </xf>
    <xf numFmtId="177" fontId="20" fillId="2" borderId="40" xfId="1" applyNumberFormat="1" applyFont="1" applyFill="1" applyBorder="1" applyAlignment="1">
      <alignment horizontal="center" vertical="center"/>
    </xf>
    <xf numFmtId="177" fontId="20" fillId="2" borderId="62" xfId="1" applyNumberFormat="1" applyFont="1" applyFill="1" applyBorder="1" applyAlignment="1">
      <alignment horizontal="center" vertical="center"/>
    </xf>
    <xf numFmtId="0" fontId="13" fillId="2" borderId="38" xfId="1" applyFont="1" applyFill="1" applyBorder="1" applyAlignment="1">
      <alignment horizontal="center"/>
    </xf>
    <xf numFmtId="177" fontId="20" fillId="2" borderId="2" xfId="1" applyNumberFormat="1" applyFont="1" applyFill="1" applyBorder="1" applyAlignment="1">
      <alignment horizontal="center" vertical="center" wrapText="1"/>
    </xf>
    <xf numFmtId="177" fontId="20" fillId="2" borderId="4" xfId="1" applyNumberFormat="1" applyFont="1" applyFill="1" applyBorder="1" applyAlignment="1">
      <alignment horizontal="center" vertical="center" wrapText="1"/>
    </xf>
    <xf numFmtId="176" fontId="20" fillId="2" borderId="2" xfId="1" applyNumberFormat="1" applyFont="1" applyFill="1" applyBorder="1" applyAlignment="1">
      <alignment horizontal="center" vertical="center" wrapText="1"/>
    </xf>
    <xf numFmtId="176" fontId="20" fillId="2" borderId="4" xfId="1" applyNumberFormat="1" applyFont="1" applyFill="1" applyBorder="1" applyAlignment="1">
      <alignment horizontal="center" vertical="center" wrapText="1"/>
    </xf>
    <xf numFmtId="177" fontId="20" fillId="2" borderId="13" xfId="1" applyNumberFormat="1" applyFont="1" applyFill="1" applyBorder="1" applyAlignment="1">
      <alignment horizontal="center" vertical="center" wrapText="1"/>
    </xf>
    <xf numFmtId="177" fontId="20" fillId="2" borderId="15" xfId="1" applyNumberFormat="1" applyFont="1" applyFill="1" applyBorder="1" applyAlignment="1">
      <alignment horizontal="center" vertical="center" wrapText="1"/>
    </xf>
    <xf numFmtId="176" fontId="20" fillId="2" borderId="14" xfId="1" applyNumberFormat="1" applyFont="1" applyFill="1" applyBorder="1" applyAlignment="1">
      <alignment horizontal="center" vertical="center"/>
    </xf>
    <xf numFmtId="176" fontId="20" fillId="2" borderId="16" xfId="1" applyNumberFormat="1" applyFont="1" applyFill="1" applyBorder="1" applyAlignment="1">
      <alignment horizontal="center" vertical="center"/>
    </xf>
    <xf numFmtId="177" fontId="20" fillId="2" borderId="14" xfId="1" applyNumberFormat="1" applyFont="1" applyFill="1" applyBorder="1" applyAlignment="1">
      <alignment horizontal="center" vertical="center" wrapText="1"/>
    </xf>
    <xf numFmtId="177" fontId="20" fillId="2" borderId="16" xfId="1" applyNumberFormat="1" applyFont="1" applyFill="1" applyBorder="1" applyAlignment="1">
      <alignment horizontal="center" vertical="center" wrapText="1"/>
    </xf>
    <xf numFmtId="177" fontId="20" fillId="2" borderId="13" xfId="4" applyNumberFormat="1" applyFont="1" applyFill="1" applyBorder="1" applyAlignment="1">
      <alignment horizontal="center" vertical="center" wrapText="1"/>
    </xf>
    <xf numFmtId="177" fontId="20" fillId="2" borderId="15" xfId="4" applyNumberFormat="1" applyFont="1" applyFill="1" applyBorder="1" applyAlignment="1">
      <alignment horizontal="center" vertical="center" wrapText="1"/>
    </xf>
    <xf numFmtId="0" fontId="14" fillId="2" borderId="10" xfId="1" applyFont="1" applyFill="1" applyBorder="1" applyAlignment="1">
      <alignment horizontal="center" vertical="center"/>
    </xf>
    <xf numFmtId="0" fontId="14" fillId="2" borderId="8" xfId="1" applyFont="1" applyFill="1" applyBorder="1" applyAlignment="1">
      <alignment horizontal="center" vertical="center"/>
    </xf>
    <xf numFmtId="0" fontId="14" fillId="2" borderId="9" xfId="1" applyFont="1" applyFill="1" applyBorder="1" applyAlignment="1">
      <alignment horizontal="center" vertical="center"/>
    </xf>
    <xf numFmtId="0" fontId="13" fillId="2" borderId="10" xfId="1" applyFont="1" applyFill="1" applyBorder="1" applyAlignment="1">
      <alignment horizontal="center"/>
    </xf>
    <xf numFmtId="0" fontId="13" fillId="2" borderId="8" xfId="1" applyFont="1" applyFill="1" applyBorder="1" applyAlignment="1">
      <alignment horizontal="center"/>
    </xf>
    <xf numFmtId="0" fontId="13" fillId="2" borderId="9" xfId="1" applyFont="1" applyFill="1" applyBorder="1" applyAlignment="1">
      <alignment horizontal="center"/>
    </xf>
    <xf numFmtId="0" fontId="15" fillId="2" borderId="5" xfId="1" applyFont="1" applyFill="1" applyBorder="1" applyAlignment="1">
      <alignment horizontal="center" vertical="center" wrapText="1"/>
    </xf>
    <xf numFmtId="0" fontId="15" fillId="2" borderId="9" xfId="1" applyFont="1" applyFill="1" applyBorder="1" applyAlignment="1">
      <alignment horizontal="center" vertical="center" wrapText="1"/>
    </xf>
    <xf numFmtId="0" fontId="14" fillId="2" borderId="37" xfId="1" applyFont="1" applyFill="1" applyBorder="1" applyAlignment="1">
      <alignment horizontal="center" vertical="center" wrapText="1"/>
    </xf>
    <xf numFmtId="0" fontId="14" fillId="2" borderId="39" xfId="1" applyFont="1" applyFill="1" applyBorder="1" applyAlignment="1">
      <alignment horizontal="center" vertical="center" wrapText="1"/>
    </xf>
    <xf numFmtId="0" fontId="14" fillId="2" borderId="40" xfId="1" applyFont="1" applyFill="1" applyBorder="1" applyAlignment="1">
      <alignment horizontal="center" vertical="center" wrapText="1"/>
    </xf>
    <xf numFmtId="0" fontId="14" fillId="2" borderId="41" xfId="1" applyFont="1" applyFill="1" applyBorder="1" applyAlignment="1">
      <alignment horizontal="center" vertical="center" wrapText="1"/>
    </xf>
    <xf numFmtId="176" fontId="20" fillId="2" borderId="13" xfId="3" applyNumberFormat="1" applyFont="1" applyFill="1" applyBorder="1" applyAlignment="1">
      <alignment horizontal="center" vertical="center"/>
    </xf>
    <xf numFmtId="176" fontId="20" fillId="2" borderId="15" xfId="3" applyNumberFormat="1" applyFont="1" applyFill="1" applyBorder="1" applyAlignment="1">
      <alignment horizontal="center" vertical="center"/>
    </xf>
    <xf numFmtId="176" fontId="20" fillId="2" borderId="14" xfId="3" applyNumberFormat="1" applyFont="1" applyFill="1" applyBorder="1" applyAlignment="1">
      <alignment horizontal="center" vertical="center"/>
    </xf>
    <xf numFmtId="176" fontId="20" fillId="2" borderId="16" xfId="3" applyNumberFormat="1" applyFont="1" applyFill="1" applyBorder="1" applyAlignment="1">
      <alignment horizontal="center" vertical="center"/>
    </xf>
    <xf numFmtId="0" fontId="20" fillId="2" borderId="2" xfId="1" applyFont="1" applyFill="1" applyBorder="1" applyAlignment="1">
      <alignment horizontal="center" vertical="center"/>
    </xf>
    <xf numFmtId="0" fontId="20" fillId="2" borderId="4" xfId="1" applyFont="1" applyFill="1" applyBorder="1" applyAlignment="1">
      <alignment horizontal="center" vertical="center"/>
    </xf>
    <xf numFmtId="20" fontId="17" fillId="2" borderId="2" xfId="1" applyNumberFormat="1" applyFont="1" applyFill="1" applyBorder="1" applyAlignment="1">
      <alignment horizontal="center" vertical="center"/>
    </xf>
    <xf numFmtId="20" fontId="17" fillId="2" borderId="6" xfId="1" applyNumberFormat="1" applyFont="1" applyFill="1" applyBorder="1" applyAlignment="1">
      <alignment horizontal="center" vertical="center"/>
    </xf>
    <xf numFmtId="20" fontId="17" fillId="2" borderId="4" xfId="1" applyNumberFormat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3" fillId="2" borderId="42" xfId="1" applyFont="1" applyFill="1" applyBorder="1" applyAlignment="1">
      <alignment horizontal="center"/>
    </xf>
    <xf numFmtId="0" fontId="13" fillId="2" borderId="43" xfId="1" applyFont="1" applyFill="1" applyBorder="1" applyAlignment="1">
      <alignment horizontal="center"/>
    </xf>
    <xf numFmtId="0" fontId="13" fillId="2" borderId="44" xfId="1" applyFont="1" applyFill="1" applyBorder="1" applyAlignment="1">
      <alignment horizontal="center"/>
    </xf>
    <xf numFmtId="0" fontId="13" fillId="2" borderId="45" xfId="1" applyFont="1" applyFill="1" applyBorder="1" applyAlignment="1">
      <alignment horizontal="center"/>
    </xf>
    <xf numFmtId="0" fontId="14" fillId="2" borderId="5" xfId="1" applyFont="1" applyFill="1" applyBorder="1" applyAlignment="1">
      <alignment horizontal="center" vertical="center"/>
    </xf>
    <xf numFmtId="0" fontId="17" fillId="2" borderId="40" xfId="1" applyFont="1" applyFill="1" applyBorder="1" applyAlignment="1">
      <alignment horizontal="center" vertical="center"/>
    </xf>
    <xf numFmtId="0" fontId="17" fillId="2" borderId="1" xfId="1" applyFont="1" applyFill="1" applyBorder="1" applyAlignment="1">
      <alignment horizontal="center" vertical="center"/>
    </xf>
    <xf numFmtId="0" fontId="17" fillId="2" borderId="41" xfId="1" applyFont="1" applyFill="1" applyBorder="1" applyAlignment="1">
      <alignment horizontal="center" vertical="center"/>
    </xf>
    <xf numFmtId="0" fontId="20" fillId="2" borderId="37" xfId="1" applyNumberFormat="1" applyFont="1" applyFill="1" applyBorder="1" applyAlignment="1">
      <alignment horizontal="left" vertical="top" wrapText="1"/>
    </xf>
    <xf numFmtId="0" fontId="31" fillId="2" borderId="38" xfId="1" applyNumberFormat="1" applyFont="1" applyFill="1" applyBorder="1" applyAlignment="1">
      <alignment horizontal="left" vertical="top" wrapText="1"/>
    </xf>
    <xf numFmtId="0" fontId="31" fillId="2" borderId="39" xfId="1" applyNumberFormat="1" applyFont="1" applyFill="1" applyBorder="1" applyAlignment="1">
      <alignment horizontal="left" vertical="top" wrapText="1"/>
    </xf>
    <xf numFmtId="0" fontId="31" fillId="2" borderId="18" xfId="1" applyNumberFormat="1" applyFont="1" applyFill="1" applyBorder="1" applyAlignment="1">
      <alignment horizontal="left" vertical="top" wrapText="1"/>
    </xf>
    <xf numFmtId="0" fontId="31" fillId="2" borderId="0" xfId="1" applyNumberFormat="1" applyFont="1" applyFill="1" applyBorder="1" applyAlignment="1">
      <alignment horizontal="left" vertical="top" wrapText="1"/>
    </xf>
    <xf numFmtId="0" fontId="31" fillId="2" borderId="36" xfId="1" applyNumberFormat="1" applyFont="1" applyFill="1" applyBorder="1" applyAlignment="1">
      <alignment horizontal="left" vertical="top" wrapText="1"/>
    </xf>
    <xf numFmtId="0" fontId="31" fillId="2" borderId="40" xfId="1" applyNumberFormat="1" applyFont="1" applyFill="1" applyBorder="1" applyAlignment="1">
      <alignment horizontal="left" vertical="top" wrapText="1"/>
    </xf>
    <xf numFmtId="0" fontId="31" fillId="2" borderId="1" xfId="1" applyNumberFormat="1" applyFont="1" applyFill="1" applyBorder="1" applyAlignment="1">
      <alignment horizontal="left" vertical="top" wrapText="1"/>
    </xf>
    <xf numFmtId="0" fontId="31" fillId="2" borderId="41" xfId="1" applyNumberFormat="1" applyFont="1" applyFill="1" applyBorder="1" applyAlignment="1">
      <alignment horizontal="left" vertical="top" wrapText="1"/>
    </xf>
    <xf numFmtId="20" fontId="17" fillId="2" borderId="3" xfId="1" applyNumberFormat="1" applyFont="1" applyFill="1" applyBorder="1" applyAlignment="1">
      <alignment horizontal="center" vertical="center"/>
    </xf>
    <xf numFmtId="0" fontId="16" fillId="2" borderId="0" xfId="1" applyFont="1" applyFill="1" applyAlignment="1">
      <alignment horizontal="center"/>
    </xf>
    <xf numFmtId="0" fontId="21" fillId="2" borderId="0" xfId="1" applyFont="1" applyFill="1" applyBorder="1" applyAlignment="1">
      <alignment horizontal="center"/>
    </xf>
    <xf numFmtId="31" fontId="13" fillId="2" borderId="1" xfId="1" applyNumberFormat="1" applyFont="1" applyFill="1" applyBorder="1" applyAlignment="1">
      <alignment horizontal="right"/>
    </xf>
  </cellXfs>
  <cellStyles count="23">
    <cellStyle name="一般" xfId="0" builtinId="0"/>
    <cellStyle name="一般 2" xfId="1"/>
    <cellStyle name="一般 2 2" xfId="6"/>
    <cellStyle name="一般 3" xfId="2"/>
    <cellStyle name="千分位 2" xfId="3"/>
    <cellStyle name="千分位 2 2" xfId="7"/>
    <cellStyle name="千分位 2 2 2" xfId="9"/>
    <cellStyle name="千分位 2 2 2 2" xfId="13"/>
    <cellStyle name="千分位 2 2 2 2 2" xfId="21"/>
    <cellStyle name="千分位 2 2 2 3" xfId="17"/>
    <cellStyle name="千分位 2 2 3" xfId="11"/>
    <cellStyle name="千分位 2 2 3 2" xfId="19"/>
    <cellStyle name="千分位 2 2 4" xfId="15"/>
    <cellStyle name="百分比 2" xfId="5"/>
    <cellStyle name="貨幣 2" xfId="4"/>
    <cellStyle name="貨幣 2 2" xfId="8"/>
    <cellStyle name="貨幣 2 2 2" xfId="10"/>
    <cellStyle name="貨幣 2 2 2 2" xfId="14"/>
    <cellStyle name="貨幣 2 2 2 2 2" xfId="22"/>
    <cellStyle name="貨幣 2 2 2 3" xfId="18"/>
    <cellStyle name="貨幣 2 2 3" xfId="12"/>
    <cellStyle name="貨幣 2 2 3 2" xfId="20"/>
    <cellStyle name="貨幣 2 2 4" xfId="16"/>
  </cellStyles>
  <dxfs count="23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15</xdr:row>
          <xdr:rowOff>247650</xdr:rowOff>
        </xdr:from>
        <xdr:to>
          <xdr:col>14</xdr:col>
          <xdr:colOff>438150</xdr:colOff>
          <xdr:row>21</xdr:row>
          <xdr:rowOff>85725</xdr:rowOff>
        </xdr:to>
        <xdr:sp macro="" textlink="">
          <xdr:nvSpPr>
            <xdr:cNvPr id="2247681" name="CommandButton1" hidden="1">
              <a:extLst>
                <a:ext uri="{63B3BB69-23CF-44E3-9099-C40C66FF867C}">
                  <a14:compatExt spid="_x0000_s2247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25</xdr:row>
          <xdr:rowOff>76200</xdr:rowOff>
        </xdr:from>
        <xdr:to>
          <xdr:col>14</xdr:col>
          <xdr:colOff>419100</xdr:colOff>
          <xdr:row>29</xdr:row>
          <xdr:rowOff>247650</xdr:rowOff>
        </xdr:to>
        <xdr:sp macro="" textlink="">
          <xdr:nvSpPr>
            <xdr:cNvPr id="2247682" name="CommandButton2" hidden="1">
              <a:extLst>
                <a:ext uri="{63B3BB69-23CF-44E3-9099-C40C66FF867C}">
                  <a14:compatExt spid="_x0000_s2247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358273" name="Button 1" hidden="1">
              <a:extLst>
                <a:ext uri="{63B3BB69-23CF-44E3-9099-C40C66FF867C}">
                  <a14:compatExt spid="_x0000_s2358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360321" name="Button 1" hidden="1">
              <a:extLst>
                <a:ext uri="{63B3BB69-23CF-44E3-9099-C40C66FF867C}">
                  <a14:compatExt spid="_x0000_s2360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361345" name="Button 1" hidden="1">
              <a:extLst>
                <a:ext uri="{63B3BB69-23CF-44E3-9099-C40C66FF867C}">
                  <a14:compatExt spid="_x0000_s236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362369" name="Button 1" hidden="1">
              <a:extLst>
                <a:ext uri="{63B3BB69-23CF-44E3-9099-C40C66FF867C}">
                  <a14:compatExt spid="_x0000_s2362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363393" name="Button 1" hidden="1">
              <a:extLst>
                <a:ext uri="{63B3BB69-23CF-44E3-9099-C40C66FF867C}">
                  <a14:compatExt spid="_x0000_s2363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365441" name="Button 1" hidden="1">
              <a:extLst>
                <a:ext uri="{63B3BB69-23CF-44E3-9099-C40C66FF867C}">
                  <a14:compatExt spid="_x0000_s2365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366465" name="Button 1" hidden="1">
              <a:extLst>
                <a:ext uri="{63B3BB69-23CF-44E3-9099-C40C66FF867C}">
                  <a14:compatExt spid="_x0000_s2366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367489" name="Button 1" hidden="1">
              <a:extLst>
                <a:ext uri="{63B3BB69-23CF-44E3-9099-C40C66FF867C}">
                  <a14:compatExt spid="_x0000_s2367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368513" name="Button 1" hidden="1">
              <a:extLst>
                <a:ext uri="{63B3BB69-23CF-44E3-9099-C40C66FF867C}">
                  <a14:compatExt spid="_x0000_s2368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369537" name="Button 1" hidden="1">
              <a:extLst>
                <a:ext uri="{63B3BB69-23CF-44E3-9099-C40C66FF867C}">
                  <a14:compatExt spid="_x0000_s2369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370561" name="Button 1" hidden="1">
              <a:extLst>
                <a:ext uri="{63B3BB69-23CF-44E3-9099-C40C66FF867C}">
                  <a14:compatExt spid="_x0000_s2370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371585" name="Button 1" hidden="1">
              <a:extLst>
                <a:ext uri="{63B3BB69-23CF-44E3-9099-C40C66FF867C}">
                  <a14:compatExt spid="_x0000_s2371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372609" name="Button 1" hidden="1">
              <a:extLst>
                <a:ext uri="{63B3BB69-23CF-44E3-9099-C40C66FF867C}">
                  <a14:compatExt spid="_x0000_s2372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373633" name="Button 1" hidden="1">
              <a:extLst>
                <a:ext uri="{63B3BB69-23CF-44E3-9099-C40C66FF867C}">
                  <a14:compatExt spid="_x0000_s2373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374657" name="Button 1" hidden="1">
              <a:extLst>
                <a:ext uri="{63B3BB69-23CF-44E3-9099-C40C66FF867C}">
                  <a14:compatExt spid="_x0000_s2374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375681" name="Button 1" hidden="1">
              <a:extLst>
                <a:ext uri="{63B3BB69-23CF-44E3-9099-C40C66FF867C}">
                  <a14:compatExt spid="_x0000_s2375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377729" name="Button 1" hidden="1">
              <a:extLst>
                <a:ext uri="{63B3BB69-23CF-44E3-9099-C40C66FF867C}">
                  <a14:compatExt spid="_x0000_s2377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379777" name="Button 1" hidden="1">
              <a:extLst>
                <a:ext uri="{63B3BB69-23CF-44E3-9099-C40C66FF867C}">
                  <a14:compatExt spid="_x0000_s2379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380801" name="Button 1" hidden="1">
              <a:extLst>
                <a:ext uri="{63B3BB69-23CF-44E3-9099-C40C66FF867C}">
                  <a14:compatExt spid="_x0000_s2380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取樣回收每月庫存表 0620更新" connectionId="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.xml><?xml version="1.0" encoding="utf-8"?>
<queryTable xmlns="http://schemas.openxmlformats.org/spreadsheetml/2006/main" name="取樣回收每月庫存表 0620更新" connectionId="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3.xml><?xml version="1.0" encoding="utf-8"?>
<queryTable xmlns="http://schemas.openxmlformats.org/spreadsheetml/2006/main" name="取樣回收每月庫存表 0620更新" connectionId="3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4.xml><?xml version="1.0" encoding="utf-8"?>
<queryTable xmlns="http://schemas.openxmlformats.org/spreadsheetml/2006/main" name="取樣回收每月庫存表 0620更新" connectionId="4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5.xml><?xml version="1.0" encoding="utf-8"?>
<queryTable xmlns="http://schemas.openxmlformats.org/spreadsheetml/2006/main" name="取樣回收每月庫存表 0620更新" connectionId="5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6.xml><?xml version="1.0" encoding="utf-8"?>
<queryTable xmlns="http://schemas.openxmlformats.org/spreadsheetml/2006/main" name="取樣回收每月庫存表 0620更新" connectionId="6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7.xml><?xml version="1.0" encoding="utf-8"?>
<queryTable xmlns="http://schemas.openxmlformats.org/spreadsheetml/2006/main" name="取樣回收每月庫存表 0620更新" connectionId="7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8.xml><?xml version="1.0" encoding="utf-8"?>
<queryTable xmlns="http://schemas.openxmlformats.org/spreadsheetml/2006/main" name="取樣回收每月庫存表 0620更新" connectionId="8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9.xml><?xml version="1.0" encoding="utf-8"?>
<queryTable xmlns="http://schemas.openxmlformats.org/spreadsheetml/2006/main" name="取樣回收每月庫存表 0620更新" connectionId="9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0.xml><?xml version="1.0" encoding="utf-8"?>
<queryTable xmlns="http://schemas.openxmlformats.org/spreadsheetml/2006/main" name="取樣回收每月庫存表 0620更新" connectionId="10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1.xml><?xml version="1.0" encoding="utf-8"?>
<queryTable xmlns="http://schemas.openxmlformats.org/spreadsheetml/2006/main" name="取樣回收每月庫存表 0620更新" connectionId="1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2.xml><?xml version="1.0" encoding="utf-8"?>
<queryTable xmlns="http://schemas.openxmlformats.org/spreadsheetml/2006/main" name="取樣回收每月庫存表 0620更新" connectionId="1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3.xml><?xml version="1.0" encoding="utf-8"?>
<queryTable xmlns="http://schemas.openxmlformats.org/spreadsheetml/2006/main" name="取樣回收每月庫存表 0620更新" connectionId="13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4.xml><?xml version="1.0" encoding="utf-8"?>
<queryTable xmlns="http://schemas.openxmlformats.org/spreadsheetml/2006/main" name="取樣回收每月庫存表 0620更新" connectionId="14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5.xml><?xml version="1.0" encoding="utf-8"?>
<queryTable xmlns="http://schemas.openxmlformats.org/spreadsheetml/2006/main" name="取樣回收每月庫存表 0620更新" connectionId="15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6.xml><?xml version="1.0" encoding="utf-8"?>
<queryTable xmlns="http://schemas.openxmlformats.org/spreadsheetml/2006/main" name="取樣回收每月庫存表 0620更新" connectionId="16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7.xml><?xml version="1.0" encoding="utf-8"?>
<queryTable xmlns="http://schemas.openxmlformats.org/spreadsheetml/2006/main" name="取樣回收每月庫存表 0620更新" connectionId="17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8.xml><?xml version="1.0" encoding="utf-8"?>
<queryTable xmlns="http://schemas.openxmlformats.org/spreadsheetml/2006/main" name="取樣回收每月庫存表 0620更新" connectionId="18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9.xml><?xml version="1.0" encoding="utf-8"?>
<queryTable xmlns="http://schemas.openxmlformats.org/spreadsheetml/2006/main" name="取樣回收每月庫存表 0620更新" connectionId="19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table1.xml><?xml version="1.0" encoding="utf-8"?>
<table xmlns="http://schemas.openxmlformats.org/spreadsheetml/2006/main" id="24" name="表格_取樣回收每月庫存表_0620更新152225263245678691011121314151617181920212345678910111213141516171819202223242435678910111213141516171819202122234567891011121314151617181920234567891011121314910151617181922212323456789101213141516171118192021222425" displayName="表格_取樣回收每月庫存表_0620更新152225263245678691011121314151617181920212345678910111213141516171819202223242435678910111213141516171819202122234567891011121314151617181920234567891011121314910151617181922212323456789101213141516171118192021222425" ref="AG13:BH189" tableType="queryTable" totalsRowShown="0" headerRowDxfId="2225" dataDxfId="2224" headerRowCellStyle="一般 2" dataCellStyle="一般 2">
  <autoFilter ref="AG13:BH189"/>
  <tableColumns count="28">
    <tableColumn id="1" uniqueName="1" name="請直接以10進位，謝謝" queryTableFieldId="1" dataDxfId="2223" dataCellStyle="一般 2"/>
    <tableColumn id="2" uniqueName="2" name="F2" queryTableFieldId="2" dataDxfId="2222" dataCellStyle="一般 2"/>
    <tableColumn id="3" uniqueName="3" name="F3" queryTableFieldId="3" dataDxfId="2221" dataCellStyle="一般 2"/>
    <tableColumn id="4" uniqueName="4" name="F4" queryTableFieldId="4" dataDxfId="2220" dataCellStyle="一般 2"/>
    <tableColumn id="5" uniqueName="5" name="F5" queryTableFieldId="5" dataDxfId="2219" dataCellStyle="一般 2"/>
    <tableColumn id="6" uniqueName="6" name="F6" queryTableFieldId="6" dataDxfId="2218" dataCellStyle="一般 2"/>
    <tableColumn id="7" uniqueName="7" name="F7" queryTableFieldId="7" dataDxfId="2217" dataCellStyle="一般 2"/>
    <tableColumn id="8" uniqueName="8" name="F8" queryTableFieldId="8" dataDxfId="2216" dataCellStyle="一般 2"/>
    <tableColumn id="9" uniqueName="9" name="F9" queryTableFieldId="9" dataDxfId="2215" dataCellStyle="一般 2"/>
    <tableColumn id="10" uniqueName="10" name="F10" queryTableFieldId="10" dataDxfId="2214" dataCellStyle="一般 2"/>
    <tableColumn id="11" uniqueName="11" name="F11" queryTableFieldId="11" dataDxfId="2213" dataCellStyle="一般 2"/>
    <tableColumn id="12" uniqueName="12" name="F12" queryTableFieldId="12" dataDxfId="2212" dataCellStyle="一般 2"/>
    <tableColumn id="13" uniqueName="13" name="F13" queryTableFieldId="13" dataDxfId="2211" dataCellStyle="一般 2"/>
    <tableColumn id="14" uniqueName="14" name="F14" queryTableFieldId="14" dataDxfId="2210" dataCellStyle="一般 2"/>
    <tableColumn id="15" uniqueName="15" name="F15" queryTableFieldId="15" dataDxfId="2209" dataCellStyle="一般 2"/>
    <tableColumn id="16" uniqueName="16" name="F16" queryTableFieldId="16" dataDxfId="2208" dataCellStyle="一般 2"/>
    <tableColumn id="17" uniqueName="17" name="F17" queryTableFieldId="17" dataDxfId="2207" dataCellStyle="一般 2"/>
    <tableColumn id="18" uniqueName="18" name="F18" queryTableFieldId="18" dataDxfId="2206" dataCellStyle="一般 2"/>
    <tableColumn id="19" uniqueName="19" name="F19" queryTableFieldId="19" dataDxfId="2205" dataCellStyle="一般 2"/>
    <tableColumn id="20" uniqueName="20" name="F20" queryTableFieldId="20" dataDxfId="2204" dataCellStyle="一般 2"/>
    <tableColumn id="21" uniqueName="21" name="F21" queryTableFieldId="21" dataDxfId="2203" dataCellStyle="一般 2"/>
    <tableColumn id="22" uniqueName="22" name="2024/6/24 14:52" queryTableFieldId="22" dataDxfId="2202" dataCellStyle="一般 2"/>
    <tableColumn id="23" uniqueName="23" name="F23" queryTableFieldId="23" dataDxfId="2201" dataCellStyle="一般 2"/>
    <tableColumn id="24" uniqueName="24" name="F24" queryTableFieldId="24" dataDxfId="2200" dataCellStyle="一般 2"/>
    <tableColumn id="25" uniqueName="25" name="F25" queryTableFieldId="25" dataDxfId="2199" dataCellStyle="一般 2"/>
    <tableColumn id="26" uniqueName="26" name="F26" queryTableFieldId="26" dataDxfId="2198" dataCellStyle="一般 2"/>
    <tableColumn id="27" uniqueName="27" name="F27" queryTableFieldId="27" dataDxfId="2197" dataCellStyle="一般 2"/>
    <tableColumn id="28" uniqueName="28" name="F28" queryTableFieldId="28" dataDxfId="2196" dataCellStyle="一般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表格_取樣回收每月庫存表_0620更新1522252632456786910111213141516171819202123456789101112131415161718192022232424356789101112131415161718192021222345678910111213141516171819202345678910111213149101516171819222123234567891012131415161711181920212224252" displayName="表格_取樣回收每月庫存表_0620更新1522252632456786910111213141516171819202123456789101112131415161718192022232424356789101112131415161718192021222345678910111213141516171819202345678910111213149101516171819222123234567891012131415161711181920212224252" ref="AG13:BH189" tableType="queryTable" totalsRowShown="0" headerRowDxfId="2103" dataDxfId="2102" headerRowCellStyle="一般 2" dataCellStyle="一般 2">
  <autoFilter ref="AG13:BH189"/>
  <tableColumns count="28">
    <tableColumn id="1" uniqueName="1" name="請直接以10進位，謝謝" queryTableFieldId="1" dataDxfId="2101" dataCellStyle="一般 2"/>
    <tableColumn id="2" uniqueName="2" name="F2" queryTableFieldId="2" dataDxfId="2100" dataCellStyle="一般 2"/>
    <tableColumn id="3" uniqueName="3" name="F3" queryTableFieldId="3" dataDxfId="2099" dataCellStyle="一般 2"/>
    <tableColumn id="4" uniqueName="4" name="F4" queryTableFieldId="4" dataDxfId="2098" dataCellStyle="一般 2"/>
    <tableColumn id="5" uniqueName="5" name="F5" queryTableFieldId="5" dataDxfId="2097" dataCellStyle="一般 2"/>
    <tableColumn id="6" uniqueName="6" name="F6" queryTableFieldId="6" dataDxfId="2096" dataCellStyle="一般 2"/>
    <tableColumn id="7" uniqueName="7" name="F7" queryTableFieldId="7" dataDxfId="2095" dataCellStyle="一般 2"/>
    <tableColumn id="8" uniqueName="8" name="F8" queryTableFieldId="8" dataDxfId="2094" dataCellStyle="一般 2"/>
    <tableColumn id="9" uniqueName="9" name="F9" queryTableFieldId="9" dataDxfId="2093" dataCellStyle="一般 2"/>
    <tableColumn id="10" uniqueName="10" name="F10" queryTableFieldId="10" dataDxfId="2092" dataCellStyle="一般 2"/>
    <tableColumn id="11" uniqueName="11" name="F11" queryTableFieldId="11" dataDxfId="2091" dataCellStyle="一般 2"/>
    <tableColumn id="12" uniqueName="12" name="F12" queryTableFieldId="12" dataDxfId="2090" dataCellStyle="一般 2"/>
    <tableColumn id="13" uniqueName="13" name="F13" queryTableFieldId="13" dataDxfId="2089" dataCellStyle="一般 2"/>
    <tableColumn id="14" uniqueName="14" name="F14" queryTableFieldId="14" dataDxfId="2088" dataCellStyle="一般 2"/>
    <tableColumn id="15" uniqueName="15" name="F15" queryTableFieldId="15" dataDxfId="2087" dataCellStyle="一般 2"/>
    <tableColumn id="16" uniqueName="16" name="F16" queryTableFieldId="16" dataDxfId="2086" dataCellStyle="一般 2"/>
    <tableColumn id="17" uniqueName="17" name="F17" queryTableFieldId="17" dataDxfId="2085" dataCellStyle="一般 2"/>
    <tableColumn id="18" uniqueName="18" name="F18" queryTableFieldId="18" dataDxfId="2084" dataCellStyle="一般 2"/>
    <tableColumn id="19" uniqueName="19" name="F19" queryTableFieldId="19" dataDxfId="2083" dataCellStyle="一般 2"/>
    <tableColumn id="20" uniqueName="20" name="F20" queryTableFieldId="20" dataDxfId="2082" dataCellStyle="一般 2"/>
    <tableColumn id="21" uniqueName="21" name="F21" queryTableFieldId="21" dataDxfId="2081" dataCellStyle="一般 2"/>
    <tableColumn id="22" uniqueName="22" name="2024/6/24 14:52" queryTableFieldId="22" dataDxfId="2080" dataCellStyle="一般 2"/>
    <tableColumn id="23" uniqueName="23" name="F23" queryTableFieldId="23" dataDxfId="2079" dataCellStyle="一般 2"/>
    <tableColumn id="24" uniqueName="24" name="F24" queryTableFieldId="24" dataDxfId="2078" dataCellStyle="一般 2"/>
    <tableColumn id="25" uniqueName="25" name="F25" queryTableFieldId="25" dataDxfId="2077" dataCellStyle="一般 2"/>
    <tableColumn id="26" uniqueName="26" name="F26" queryTableFieldId="26" dataDxfId="2076" dataCellStyle="一般 2"/>
    <tableColumn id="27" uniqueName="27" name="F27" queryTableFieldId="27" dataDxfId="2075" dataCellStyle="一般 2"/>
    <tableColumn id="28" uniqueName="28" name="F28" queryTableFieldId="28" dataDxfId="2074" dataCellStyle="一般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表格_取樣回收每月庫存表_0620更新15222526324567869101112131415161718192021234567891011121314151617181920222324243567891011121314151617181920212223456789101112131415161718192023456789101112131491015161718192221232345678910121314151617111819202122242523" displayName="表格_取樣回收每月庫存表_0620更新15222526324567869101112131415161718192021234567891011121314151617181920222324243567891011121314151617181920212223456789101112131415161718192023456789101112131491015161718192221232345678910121314151617111819202122242523" ref="AG13:BH189" tableType="queryTable" totalsRowShown="0" headerRowDxfId="1981" dataDxfId="1980" headerRowCellStyle="一般 2" dataCellStyle="一般 2">
  <autoFilter ref="AG13:BH189"/>
  <tableColumns count="28">
    <tableColumn id="1" uniqueName="1" name="請直接以10進位，謝謝" queryTableFieldId="1" dataDxfId="1979" dataCellStyle="一般 2"/>
    <tableColumn id="2" uniqueName="2" name="F2" queryTableFieldId="2" dataDxfId="1978" dataCellStyle="一般 2"/>
    <tableColumn id="3" uniqueName="3" name="F3" queryTableFieldId="3" dataDxfId="1977" dataCellStyle="一般 2"/>
    <tableColumn id="4" uniqueName="4" name="F4" queryTableFieldId="4" dataDxfId="1976" dataCellStyle="一般 2"/>
    <tableColumn id="5" uniqueName="5" name="F5" queryTableFieldId="5" dataDxfId="1975" dataCellStyle="一般 2"/>
    <tableColumn id="6" uniqueName="6" name="F6" queryTableFieldId="6" dataDxfId="1974" dataCellStyle="一般 2"/>
    <tableColumn id="7" uniqueName="7" name="F7" queryTableFieldId="7" dataDxfId="1973" dataCellStyle="一般 2"/>
    <tableColumn id="8" uniqueName="8" name="F8" queryTableFieldId="8" dataDxfId="1972" dataCellStyle="一般 2"/>
    <tableColumn id="9" uniqueName="9" name="F9" queryTableFieldId="9" dataDxfId="1971" dataCellStyle="一般 2"/>
    <tableColumn id="10" uniqueName="10" name="F10" queryTableFieldId="10" dataDxfId="1970" dataCellStyle="一般 2"/>
    <tableColumn id="11" uniqueName="11" name="F11" queryTableFieldId="11" dataDxfId="1969" dataCellStyle="一般 2"/>
    <tableColumn id="12" uniqueName="12" name="F12" queryTableFieldId="12" dataDxfId="1968" dataCellStyle="一般 2"/>
    <tableColumn id="13" uniqueName="13" name="F13" queryTableFieldId="13" dataDxfId="1967" dataCellStyle="一般 2"/>
    <tableColumn id="14" uniqueName="14" name="F14" queryTableFieldId="14" dataDxfId="1966" dataCellStyle="一般 2"/>
    <tableColumn id="15" uniqueName="15" name="F15" queryTableFieldId="15" dataDxfId="1965" dataCellStyle="一般 2"/>
    <tableColumn id="16" uniqueName="16" name="F16" queryTableFieldId="16" dataDxfId="1964" dataCellStyle="一般 2"/>
    <tableColumn id="17" uniqueName="17" name="F17" queryTableFieldId="17" dataDxfId="1963" dataCellStyle="一般 2"/>
    <tableColumn id="18" uniqueName="18" name="F18" queryTableFieldId="18" dataDxfId="1962" dataCellStyle="一般 2"/>
    <tableColumn id="19" uniqueName="19" name="F19" queryTableFieldId="19" dataDxfId="1961" dataCellStyle="一般 2"/>
    <tableColumn id="20" uniqueName="20" name="F20" queryTableFieldId="20" dataDxfId="1960" dataCellStyle="一般 2"/>
    <tableColumn id="21" uniqueName="21" name="F21" queryTableFieldId="21" dataDxfId="1959" dataCellStyle="一般 2"/>
    <tableColumn id="22" uniqueName="22" name="2024/6/24 14:52" queryTableFieldId="22" dataDxfId="1958" dataCellStyle="一般 2"/>
    <tableColumn id="23" uniqueName="23" name="F23" queryTableFieldId="23" dataDxfId="1957" dataCellStyle="一般 2"/>
    <tableColumn id="24" uniqueName="24" name="F24" queryTableFieldId="24" dataDxfId="1956" dataCellStyle="一般 2"/>
    <tableColumn id="25" uniqueName="25" name="F25" queryTableFieldId="25" dataDxfId="1955" dataCellStyle="一般 2"/>
    <tableColumn id="26" uniqueName="26" name="F26" queryTableFieldId="26" dataDxfId="1954" dataCellStyle="一般 2"/>
    <tableColumn id="27" uniqueName="27" name="F27" queryTableFieldId="27" dataDxfId="1953" dataCellStyle="一般 2"/>
    <tableColumn id="28" uniqueName="28" name="F28" queryTableFieldId="28" dataDxfId="1952" dataCellStyle="一般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_取樣回收每月庫存表_0620更新152225263245678691011121314151617181920212345678910111213141516171819202223242435678910111213141516171819202122234567891011121314151617181920234567891011121314910151617181922212323456789101213141516171118192021222425234" displayName="表格_取樣回收每月庫存表_0620更新152225263245678691011121314151617181920212345678910111213141516171819202223242435678910111213141516171819202122234567891011121314151617181920234567891011121314910151617181922212323456789101213141516171118192021222425234" ref="AG13:BH189" tableType="queryTable" totalsRowShown="0" headerRowDxfId="1859" dataDxfId="1858" headerRowCellStyle="一般 2" dataCellStyle="一般 2">
  <autoFilter ref="AG13:BH189"/>
  <tableColumns count="28">
    <tableColumn id="1" uniqueName="1" name="請直接以10進位，謝謝" queryTableFieldId="1" dataDxfId="1857" dataCellStyle="一般 2"/>
    <tableColumn id="2" uniqueName="2" name="F2" queryTableFieldId="2" dataDxfId="1856" dataCellStyle="一般 2"/>
    <tableColumn id="3" uniqueName="3" name="F3" queryTableFieldId="3" dataDxfId="1855" dataCellStyle="一般 2"/>
    <tableColumn id="4" uniqueName="4" name="F4" queryTableFieldId="4" dataDxfId="1854" dataCellStyle="一般 2"/>
    <tableColumn id="5" uniqueName="5" name="F5" queryTableFieldId="5" dataDxfId="1853" dataCellStyle="一般 2"/>
    <tableColumn id="6" uniqueName="6" name="F6" queryTableFieldId="6" dataDxfId="1852" dataCellStyle="一般 2"/>
    <tableColumn id="7" uniqueName="7" name="F7" queryTableFieldId="7" dataDxfId="1851" dataCellStyle="一般 2"/>
    <tableColumn id="8" uniqueName="8" name="F8" queryTableFieldId="8" dataDxfId="1850" dataCellStyle="一般 2"/>
    <tableColumn id="9" uniqueName="9" name="F9" queryTableFieldId="9" dataDxfId="1849" dataCellStyle="一般 2"/>
    <tableColumn id="10" uniqueName="10" name="F10" queryTableFieldId="10" dataDxfId="1848" dataCellStyle="一般 2"/>
    <tableColumn id="11" uniqueName="11" name="F11" queryTableFieldId="11" dataDxfId="1847" dataCellStyle="一般 2"/>
    <tableColumn id="12" uniqueName="12" name="F12" queryTableFieldId="12" dataDxfId="1846" dataCellStyle="一般 2"/>
    <tableColumn id="13" uniqueName="13" name="F13" queryTableFieldId="13" dataDxfId="1845" dataCellStyle="一般 2"/>
    <tableColumn id="14" uniqueName="14" name="F14" queryTableFieldId="14" dataDxfId="1844" dataCellStyle="一般 2"/>
    <tableColumn id="15" uniqueName="15" name="F15" queryTableFieldId="15" dataDxfId="1843" dataCellStyle="一般 2"/>
    <tableColumn id="16" uniqueName="16" name="F16" queryTableFieldId="16" dataDxfId="1842" dataCellStyle="一般 2"/>
    <tableColumn id="17" uniqueName="17" name="F17" queryTableFieldId="17" dataDxfId="1841" dataCellStyle="一般 2"/>
    <tableColumn id="18" uniqueName="18" name="F18" queryTableFieldId="18" dataDxfId="1840" dataCellStyle="一般 2"/>
    <tableColumn id="19" uniqueName="19" name="F19" queryTableFieldId="19" dataDxfId="1839" dataCellStyle="一般 2"/>
    <tableColumn id="20" uniqueName="20" name="F20" queryTableFieldId="20" dataDxfId="1838" dataCellStyle="一般 2"/>
    <tableColumn id="21" uniqueName="21" name="F21" queryTableFieldId="21" dataDxfId="1837" dataCellStyle="一般 2"/>
    <tableColumn id="22" uniqueName="22" name="2024/6/24 14:52" queryTableFieldId="22" dataDxfId="1836" dataCellStyle="一般 2"/>
    <tableColumn id="23" uniqueName="23" name="F23" queryTableFieldId="23" dataDxfId="1835" dataCellStyle="一般 2"/>
    <tableColumn id="24" uniqueName="24" name="F24" queryTableFieldId="24" dataDxfId="1834" dataCellStyle="一般 2"/>
    <tableColumn id="25" uniqueName="25" name="F25" queryTableFieldId="25" dataDxfId="1833" dataCellStyle="一般 2"/>
    <tableColumn id="26" uniqueName="26" name="F26" queryTableFieldId="26" dataDxfId="1832" dataCellStyle="一般 2"/>
    <tableColumn id="27" uniqueName="27" name="F27" queryTableFieldId="27" dataDxfId="1831" dataCellStyle="一般 2"/>
    <tableColumn id="28" uniqueName="28" name="F28" queryTableFieldId="28" dataDxfId="1830" dataCellStyle="一般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表格_取樣回收每月庫存表_0620更新1522252632456786910111213141516171819202123456789101112131415161718192022232424356789101112131415161718192021222345678910111213141516171819202345678910111213149101516171819222123234567891012131415161711181920212224252345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" ref="AG13:BH189" tableType="queryTable" totalsRowShown="0" headerRowDxfId="1737" dataDxfId="1736" headerRowCellStyle="一般 2" dataCellStyle="一般 2">
  <autoFilter ref="AG13:BH189"/>
  <tableColumns count="28">
    <tableColumn id="1" uniqueName="1" name="請直接以10進位，謝謝" queryTableFieldId="1" dataDxfId="1735" dataCellStyle="一般 2"/>
    <tableColumn id="2" uniqueName="2" name="F2" queryTableFieldId="2" dataDxfId="1734" dataCellStyle="一般 2"/>
    <tableColumn id="3" uniqueName="3" name="F3" queryTableFieldId="3" dataDxfId="1733" dataCellStyle="一般 2"/>
    <tableColumn id="4" uniqueName="4" name="F4" queryTableFieldId="4" dataDxfId="1732" dataCellStyle="一般 2"/>
    <tableColumn id="5" uniqueName="5" name="F5" queryTableFieldId="5" dataDxfId="1731" dataCellStyle="一般 2"/>
    <tableColumn id="6" uniqueName="6" name="F6" queryTableFieldId="6" dataDxfId="1730" dataCellStyle="一般 2"/>
    <tableColumn id="7" uniqueName="7" name="F7" queryTableFieldId="7" dataDxfId="1729" dataCellStyle="一般 2"/>
    <tableColumn id="8" uniqueName="8" name="F8" queryTableFieldId="8" dataDxfId="1728" dataCellStyle="一般 2"/>
    <tableColumn id="9" uniqueName="9" name="F9" queryTableFieldId="9" dataDxfId="1727" dataCellStyle="一般 2"/>
    <tableColumn id="10" uniqueName="10" name="F10" queryTableFieldId="10" dataDxfId="1726" dataCellStyle="一般 2"/>
    <tableColumn id="11" uniqueName="11" name="F11" queryTableFieldId="11" dataDxfId="1725" dataCellStyle="一般 2"/>
    <tableColumn id="12" uniqueName="12" name="F12" queryTableFieldId="12" dataDxfId="1724" dataCellStyle="一般 2"/>
    <tableColumn id="13" uniqueName="13" name="F13" queryTableFieldId="13" dataDxfId="1723" dataCellStyle="一般 2"/>
    <tableColumn id="14" uniqueName="14" name="F14" queryTableFieldId="14" dataDxfId="1722" dataCellStyle="一般 2"/>
    <tableColumn id="15" uniqueName="15" name="F15" queryTableFieldId="15" dataDxfId="1721" dataCellStyle="一般 2"/>
    <tableColumn id="16" uniqueName="16" name="F16" queryTableFieldId="16" dataDxfId="1720" dataCellStyle="一般 2"/>
    <tableColumn id="17" uniqueName="17" name="F17" queryTableFieldId="17" dataDxfId="1719" dataCellStyle="一般 2"/>
    <tableColumn id="18" uniqueName="18" name="F18" queryTableFieldId="18" dataDxfId="1718" dataCellStyle="一般 2"/>
    <tableColumn id="19" uniqueName="19" name="F19" queryTableFieldId="19" dataDxfId="1717" dataCellStyle="一般 2"/>
    <tableColumn id="20" uniqueName="20" name="F20" queryTableFieldId="20" dataDxfId="1716" dataCellStyle="一般 2"/>
    <tableColumn id="21" uniqueName="21" name="F21" queryTableFieldId="21" dataDxfId="1715" dataCellStyle="一般 2"/>
    <tableColumn id="22" uniqueName="22" name="2024/6/24 14:52" queryTableFieldId="22" dataDxfId="1714" dataCellStyle="一般 2"/>
    <tableColumn id="23" uniqueName="23" name="F23" queryTableFieldId="23" dataDxfId="1713" dataCellStyle="一般 2"/>
    <tableColumn id="24" uniqueName="24" name="F24" queryTableFieldId="24" dataDxfId="1712" dataCellStyle="一般 2"/>
    <tableColumn id="25" uniqueName="25" name="F25" queryTableFieldId="25" dataDxfId="1711" dataCellStyle="一般 2"/>
    <tableColumn id="26" uniqueName="26" name="F26" queryTableFieldId="26" dataDxfId="1710" dataCellStyle="一般 2"/>
    <tableColumn id="27" uniqueName="27" name="F27" queryTableFieldId="27" dataDxfId="1709" dataCellStyle="一般 2"/>
    <tableColumn id="28" uniqueName="28" name="F28" queryTableFieldId="28" dataDxfId="1708" dataCellStyle="一般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表格_取樣回收每月庫存表_0620更新15222526324567869101112131415161718192021234567891011121314151617181920222324243567891011121314151617181920212223456789101112131415161718192023456789101112131491015161718192221232345678910121314151617111819202122242523456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" ref="AG13:BH189" tableType="queryTable" totalsRowShown="0" headerRowDxfId="1615" dataDxfId="1614" headerRowCellStyle="一般 2" dataCellStyle="一般 2">
  <autoFilter ref="AG13:BH189"/>
  <tableColumns count="28">
    <tableColumn id="1" uniqueName="1" name="請直接以10進位，謝謝" queryTableFieldId="1" dataDxfId="1613" dataCellStyle="一般 2"/>
    <tableColumn id="2" uniqueName="2" name="F2" queryTableFieldId="2" dataDxfId="1612" dataCellStyle="一般 2"/>
    <tableColumn id="3" uniqueName="3" name="F3" queryTableFieldId="3" dataDxfId="1611" dataCellStyle="一般 2"/>
    <tableColumn id="4" uniqueName="4" name="F4" queryTableFieldId="4" dataDxfId="1610" dataCellStyle="一般 2"/>
    <tableColumn id="5" uniqueName="5" name="F5" queryTableFieldId="5" dataDxfId="1609" dataCellStyle="一般 2"/>
    <tableColumn id="6" uniqueName="6" name="F6" queryTableFieldId="6" dataDxfId="1608" dataCellStyle="一般 2"/>
    <tableColumn id="7" uniqueName="7" name="F7" queryTableFieldId="7" dataDxfId="1607" dataCellStyle="一般 2"/>
    <tableColumn id="8" uniqueName="8" name="F8" queryTableFieldId="8" dataDxfId="1606" dataCellStyle="一般 2"/>
    <tableColumn id="9" uniqueName="9" name="F9" queryTableFieldId="9" dataDxfId="1605" dataCellStyle="一般 2"/>
    <tableColumn id="10" uniqueName="10" name="F10" queryTableFieldId="10" dataDxfId="1604" dataCellStyle="一般 2"/>
    <tableColumn id="11" uniqueName="11" name="F11" queryTableFieldId="11" dataDxfId="1603" dataCellStyle="一般 2"/>
    <tableColumn id="12" uniqueName="12" name="F12" queryTableFieldId="12" dataDxfId="1602" dataCellStyle="一般 2"/>
    <tableColumn id="13" uniqueName="13" name="F13" queryTableFieldId="13" dataDxfId="1601" dataCellStyle="一般 2"/>
    <tableColumn id="14" uniqueName="14" name="F14" queryTableFieldId="14" dataDxfId="1600" dataCellStyle="一般 2"/>
    <tableColumn id="15" uniqueName="15" name="F15" queryTableFieldId="15" dataDxfId="1599" dataCellStyle="一般 2"/>
    <tableColumn id="16" uniqueName="16" name="F16" queryTableFieldId="16" dataDxfId="1598" dataCellStyle="一般 2"/>
    <tableColumn id="17" uniqueName="17" name="F17" queryTableFieldId="17" dataDxfId="1597" dataCellStyle="一般 2"/>
    <tableColumn id="18" uniqueName="18" name="F18" queryTableFieldId="18" dataDxfId="1596" dataCellStyle="一般 2"/>
    <tableColumn id="19" uniqueName="19" name="F19" queryTableFieldId="19" dataDxfId="1595" dataCellStyle="一般 2"/>
    <tableColumn id="20" uniqueName="20" name="F20" queryTableFieldId="20" dataDxfId="1594" dataCellStyle="一般 2"/>
    <tableColumn id="21" uniqueName="21" name="F21" queryTableFieldId="21" dataDxfId="1593" dataCellStyle="一般 2"/>
    <tableColumn id="22" uniqueName="22" name="2024/6/24 14:52" queryTableFieldId="22" dataDxfId="1592" dataCellStyle="一般 2"/>
    <tableColumn id="23" uniqueName="23" name="F23" queryTableFieldId="23" dataDxfId="1591" dataCellStyle="一般 2"/>
    <tableColumn id="24" uniqueName="24" name="F24" queryTableFieldId="24" dataDxfId="1590" dataCellStyle="一般 2"/>
    <tableColumn id="25" uniqueName="25" name="F25" queryTableFieldId="25" dataDxfId="1589" dataCellStyle="一般 2"/>
    <tableColumn id="26" uniqueName="26" name="F26" queryTableFieldId="26" dataDxfId="1588" dataCellStyle="一般 2"/>
    <tableColumn id="27" uniqueName="27" name="F27" queryTableFieldId="27" dataDxfId="1587" dataCellStyle="一般 2"/>
    <tableColumn id="28" uniqueName="28" name="F28" queryTableFieldId="28" dataDxfId="1586" dataCellStyle="一般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表格_取樣回收每月庫存表_0620更新152225263245678691011121314151617181920212345678910111213141516171819202223242435678910111213141516171819202122234567891011121314151617181920234567891011121314910151617181922212323456789101213141516171118192021222425234567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" ref="AG13:BH189" tableType="queryTable" totalsRowShown="0" headerRowDxfId="1493" dataDxfId="1492" headerRowCellStyle="一般 2" dataCellStyle="一般 2">
  <autoFilter ref="AG13:BH189"/>
  <tableColumns count="28">
    <tableColumn id="1" uniqueName="1" name="請直接以10進位，謝謝" queryTableFieldId="1" dataDxfId="1491" dataCellStyle="一般 2"/>
    <tableColumn id="2" uniqueName="2" name="F2" queryTableFieldId="2" dataDxfId="1490" dataCellStyle="一般 2"/>
    <tableColumn id="3" uniqueName="3" name="F3" queryTableFieldId="3" dataDxfId="1489" dataCellStyle="一般 2"/>
    <tableColumn id="4" uniqueName="4" name="F4" queryTableFieldId="4" dataDxfId="1488" dataCellStyle="一般 2"/>
    <tableColumn id="5" uniqueName="5" name="F5" queryTableFieldId="5" dataDxfId="1487" dataCellStyle="一般 2"/>
    <tableColumn id="6" uniqueName="6" name="F6" queryTableFieldId="6" dataDxfId="1486" dataCellStyle="一般 2"/>
    <tableColumn id="7" uniqueName="7" name="F7" queryTableFieldId="7" dataDxfId="1485" dataCellStyle="一般 2"/>
    <tableColumn id="8" uniqueName="8" name="F8" queryTableFieldId="8" dataDxfId="1484" dataCellStyle="一般 2"/>
    <tableColumn id="9" uniqueName="9" name="F9" queryTableFieldId="9" dataDxfId="1483" dataCellStyle="一般 2"/>
    <tableColumn id="10" uniqueName="10" name="F10" queryTableFieldId="10" dataDxfId="1482" dataCellStyle="一般 2"/>
    <tableColumn id="11" uniqueName="11" name="F11" queryTableFieldId="11" dataDxfId="1481" dataCellStyle="一般 2"/>
    <tableColumn id="12" uniqueName="12" name="F12" queryTableFieldId="12" dataDxfId="1480" dataCellStyle="一般 2"/>
    <tableColumn id="13" uniqueName="13" name="F13" queryTableFieldId="13" dataDxfId="1479" dataCellStyle="一般 2"/>
    <tableColumn id="14" uniqueName="14" name="F14" queryTableFieldId="14" dataDxfId="1478" dataCellStyle="一般 2"/>
    <tableColumn id="15" uniqueName="15" name="F15" queryTableFieldId="15" dataDxfId="1477" dataCellStyle="一般 2"/>
    <tableColumn id="16" uniqueName="16" name="F16" queryTableFieldId="16" dataDxfId="1476" dataCellStyle="一般 2"/>
    <tableColumn id="17" uniqueName="17" name="F17" queryTableFieldId="17" dataDxfId="1475" dataCellStyle="一般 2"/>
    <tableColumn id="18" uniqueName="18" name="F18" queryTableFieldId="18" dataDxfId="1474" dataCellStyle="一般 2"/>
    <tableColumn id="19" uniqueName="19" name="F19" queryTableFieldId="19" dataDxfId="1473" dataCellStyle="一般 2"/>
    <tableColumn id="20" uniqueName="20" name="F20" queryTableFieldId="20" dataDxfId="1472" dataCellStyle="一般 2"/>
    <tableColumn id="21" uniqueName="21" name="F21" queryTableFieldId="21" dataDxfId="1471" dataCellStyle="一般 2"/>
    <tableColumn id="22" uniqueName="22" name="2024/6/24 14:52" queryTableFieldId="22" dataDxfId="1470" dataCellStyle="一般 2"/>
    <tableColumn id="23" uniqueName="23" name="F23" queryTableFieldId="23" dataDxfId="1469" dataCellStyle="一般 2"/>
    <tableColumn id="24" uniqueName="24" name="F24" queryTableFieldId="24" dataDxfId="1468" dataCellStyle="一般 2"/>
    <tableColumn id="25" uniqueName="25" name="F25" queryTableFieldId="25" dataDxfId="1467" dataCellStyle="一般 2"/>
    <tableColumn id="26" uniqueName="26" name="F26" queryTableFieldId="26" dataDxfId="1466" dataCellStyle="一般 2"/>
    <tableColumn id="27" uniqueName="27" name="F27" queryTableFieldId="27" dataDxfId="1465" dataCellStyle="一般 2"/>
    <tableColumn id="28" uniqueName="28" name="F28" queryTableFieldId="28" dataDxfId="1464" dataCellStyle="一般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表格_取樣回收每月庫存表_0620更新1522252632456786910111213141516171819202123456789101112131415161718192022232424356789101112131415161718192021222345678910111213141516171819202345678910111213149101516171819222123234567891012131415161711181920212224252345678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" ref="AG13:BH189" tableType="queryTable" totalsRowShown="0" headerRowDxfId="1371" dataDxfId="1370" headerRowCellStyle="一般 2" dataCellStyle="一般 2">
  <autoFilter ref="AG13:BH189"/>
  <tableColumns count="28">
    <tableColumn id="1" uniqueName="1" name="請直接以10進位，謝謝" queryTableFieldId="1" dataDxfId="1369" dataCellStyle="一般 2"/>
    <tableColumn id="2" uniqueName="2" name="F2" queryTableFieldId="2" dataDxfId="1368" dataCellStyle="一般 2"/>
    <tableColumn id="3" uniqueName="3" name="F3" queryTableFieldId="3" dataDxfId="1367" dataCellStyle="一般 2"/>
    <tableColumn id="4" uniqueName="4" name="F4" queryTableFieldId="4" dataDxfId="1366" dataCellStyle="一般 2"/>
    <tableColumn id="5" uniqueName="5" name="F5" queryTableFieldId="5" dataDxfId="1365" dataCellStyle="一般 2"/>
    <tableColumn id="6" uniqueName="6" name="F6" queryTableFieldId="6" dataDxfId="1364" dataCellStyle="一般 2"/>
    <tableColumn id="7" uniqueName="7" name="F7" queryTableFieldId="7" dataDxfId="1363" dataCellStyle="一般 2"/>
    <tableColumn id="8" uniqueName="8" name="F8" queryTableFieldId="8" dataDxfId="1362" dataCellStyle="一般 2"/>
    <tableColumn id="9" uniqueName="9" name="F9" queryTableFieldId="9" dataDxfId="1361" dataCellStyle="一般 2"/>
    <tableColumn id="10" uniqueName="10" name="F10" queryTableFieldId="10" dataDxfId="1360" dataCellStyle="一般 2"/>
    <tableColumn id="11" uniqueName="11" name="F11" queryTableFieldId="11" dataDxfId="1359" dataCellStyle="一般 2"/>
    <tableColumn id="12" uniqueName="12" name="F12" queryTableFieldId="12" dataDxfId="1358" dataCellStyle="一般 2"/>
    <tableColumn id="13" uniqueName="13" name="F13" queryTableFieldId="13" dataDxfId="1357" dataCellStyle="一般 2"/>
    <tableColumn id="14" uniqueName="14" name="F14" queryTableFieldId="14" dataDxfId="1356" dataCellStyle="一般 2"/>
    <tableColumn id="15" uniqueName="15" name="F15" queryTableFieldId="15" dataDxfId="1355" dataCellStyle="一般 2"/>
    <tableColumn id="16" uniqueName="16" name="F16" queryTableFieldId="16" dataDxfId="1354" dataCellStyle="一般 2"/>
    <tableColumn id="17" uniqueName="17" name="F17" queryTableFieldId="17" dataDxfId="1353" dataCellStyle="一般 2"/>
    <tableColumn id="18" uniqueName="18" name="F18" queryTableFieldId="18" dataDxfId="1352" dataCellStyle="一般 2"/>
    <tableColumn id="19" uniqueName="19" name="F19" queryTableFieldId="19" dataDxfId="1351" dataCellStyle="一般 2"/>
    <tableColumn id="20" uniqueName="20" name="F20" queryTableFieldId="20" dataDxfId="1350" dataCellStyle="一般 2"/>
    <tableColumn id="21" uniqueName="21" name="F21" queryTableFieldId="21" dataDxfId="1349" dataCellStyle="一般 2"/>
    <tableColumn id="22" uniqueName="22" name="2024/6/24 14:52" queryTableFieldId="22" dataDxfId="1348" dataCellStyle="一般 2"/>
    <tableColumn id="23" uniqueName="23" name="F23" queryTableFieldId="23" dataDxfId="1347" dataCellStyle="一般 2"/>
    <tableColumn id="24" uniqueName="24" name="F24" queryTableFieldId="24" dataDxfId="1346" dataCellStyle="一般 2"/>
    <tableColumn id="25" uniqueName="25" name="F25" queryTableFieldId="25" dataDxfId="1345" dataCellStyle="一般 2"/>
    <tableColumn id="26" uniqueName="26" name="F26" queryTableFieldId="26" dataDxfId="1344" dataCellStyle="一般 2"/>
    <tableColumn id="27" uniqueName="27" name="F27" queryTableFieldId="27" dataDxfId="1343" dataCellStyle="一般 2"/>
    <tableColumn id="28" uniqueName="28" name="F28" queryTableFieldId="28" dataDxfId="1342" dataCellStyle="一般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表格_取樣回收每月庫存表_0620更新15222526324567869101112131415161718192021234567891011121314151617181920222324243567891011121314151617181920212223456789101112131415161718192023456789101112131491015161718192221232345678910121314151617111819202122242523456789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" ref="AG13:BH189" tableType="queryTable" totalsRowShown="0" headerRowDxfId="1249" dataDxfId="1248" headerRowCellStyle="一般 2" dataCellStyle="一般 2">
  <autoFilter ref="AG13:BH189"/>
  <tableColumns count="28">
    <tableColumn id="1" uniqueName="1" name="請直接以10進位，謝謝" queryTableFieldId="1" dataDxfId="1247" dataCellStyle="一般 2"/>
    <tableColumn id="2" uniqueName="2" name="F2" queryTableFieldId="2" dataDxfId="1246" dataCellStyle="一般 2"/>
    <tableColumn id="3" uniqueName="3" name="F3" queryTableFieldId="3" dataDxfId="1245" dataCellStyle="一般 2"/>
    <tableColumn id="4" uniqueName="4" name="F4" queryTableFieldId="4" dataDxfId="1244" dataCellStyle="一般 2"/>
    <tableColumn id="5" uniqueName="5" name="F5" queryTableFieldId="5" dataDxfId="1243" dataCellStyle="一般 2"/>
    <tableColumn id="6" uniqueName="6" name="F6" queryTableFieldId="6" dataDxfId="1242" dataCellStyle="一般 2"/>
    <tableColumn id="7" uniqueName="7" name="F7" queryTableFieldId="7" dataDxfId="1241" dataCellStyle="一般 2"/>
    <tableColumn id="8" uniqueName="8" name="F8" queryTableFieldId="8" dataDxfId="1240" dataCellStyle="一般 2"/>
    <tableColumn id="9" uniqueName="9" name="F9" queryTableFieldId="9" dataDxfId="1239" dataCellStyle="一般 2"/>
    <tableColumn id="10" uniqueName="10" name="F10" queryTableFieldId="10" dataDxfId="1238" dataCellStyle="一般 2"/>
    <tableColumn id="11" uniqueName="11" name="F11" queryTableFieldId="11" dataDxfId="1237" dataCellStyle="一般 2"/>
    <tableColumn id="12" uniqueName="12" name="F12" queryTableFieldId="12" dataDxfId="1236" dataCellStyle="一般 2"/>
    <tableColumn id="13" uniqueName="13" name="F13" queryTableFieldId="13" dataDxfId="1235" dataCellStyle="一般 2"/>
    <tableColumn id="14" uniqueName="14" name="F14" queryTableFieldId="14" dataDxfId="1234" dataCellStyle="一般 2"/>
    <tableColumn id="15" uniqueName="15" name="F15" queryTableFieldId="15" dataDxfId="1233" dataCellStyle="一般 2"/>
    <tableColumn id="16" uniqueName="16" name="F16" queryTableFieldId="16" dataDxfId="1232" dataCellStyle="一般 2"/>
    <tableColumn id="17" uniqueName="17" name="F17" queryTableFieldId="17" dataDxfId="1231" dataCellStyle="一般 2"/>
    <tableColumn id="18" uniqueName="18" name="F18" queryTableFieldId="18" dataDxfId="1230" dataCellStyle="一般 2"/>
    <tableColumn id="19" uniqueName="19" name="F19" queryTableFieldId="19" dataDxfId="1229" dataCellStyle="一般 2"/>
    <tableColumn id="20" uniqueName="20" name="F20" queryTableFieldId="20" dataDxfId="1228" dataCellStyle="一般 2"/>
    <tableColumn id="21" uniqueName="21" name="F21" queryTableFieldId="21" dataDxfId="1227" dataCellStyle="一般 2"/>
    <tableColumn id="22" uniqueName="22" name="2024/6/24 14:52" queryTableFieldId="22" dataDxfId="1226" dataCellStyle="一般 2"/>
    <tableColumn id="23" uniqueName="23" name="F23" queryTableFieldId="23" dataDxfId="1225" dataCellStyle="一般 2"/>
    <tableColumn id="24" uniqueName="24" name="F24" queryTableFieldId="24" dataDxfId="1224" dataCellStyle="一般 2"/>
    <tableColumn id="25" uniqueName="25" name="F25" queryTableFieldId="25" dataDxfId="1223" dataCellStyle="一般 2"/>
    <tableColumn id="26" uniqueName="26" name="F26" queryTableFieldId="26" dataDxfId="1222" dataCellStyle="一般 2"/>
    <tableColumn id="27" uniqueName="27" name="F27" queryTableFieldId="27" dataDxfId="1221" dataCellStyle="一般 2"/>
    <tableColumn id="28" uniqueName="28" name="F28" queryTableFieldId="28" dataDxfId="1220" dataCellStyle="一般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表格_取樣回收每月庫存表_0620更新152225263245678691011121314151617181920212345678910111213141516171819202223242435678910111213141516171819202122234567891011121314151617181920234567891011121314910151617181922212323456789101213141516171118192021222425234567891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" ref="AG13:BH189" tableType="queryTable" totalsRowShown="0" headerRowDxfId="1127" dataDxfId="1126" headerRowCellStyle="一般 2" dataCellStyle="一般 2">
  <autoFilter ref="AG13:BH189"/>
  <tableColumns count="28">
    <tableColumn id="1" uniqueName="1" name="請直接以10進位，謝謝" queryTableFieldId="1" dataDxfId="1125" dataCellStyle="一般 2"/>
    <tableColumn id="2" uniqueName="2" name="F2" queryTableFieldId="2" dataDxfId="1124" dataCellStyle="一般 2"/>
    <tableColumn id="3" uniqueName="3" name="F3" queryTableFieldId="3" dataDxfId="1123" dataCellStyle="一般 2"/>
    <tableColumn id="4" uniqueName="4" name="F4" queryTableFieldId="4" dataDxfId="1122" dataCellStyle="一般 2"/>
    <tableColumn id="5" uniqueName="5" name="F5" queryTableFieldId="5" dataDxfId="1121" dataCellStyle="一般 2"/>
    <tableColumn id="6" uniqueName="6" name="F6" queryTableFieldId="6" dataDxfId="1120" dataCellStyle="一般 2"/>
    <tableColumn id="7" uniqueName="7" name="F7" queryTableFieldId="7" dataDxfId="1119" dataCellStyle="一般 2"/>
    <tableColumn id="8" uniqueName="8" name="F8" queryTableFieldId="8" dataDxfId="1118" dataCellStyle="一般 2"/>
    <tableColumn id="9" uniqueName="9" name="F9" queryTableFieldId="9" dataDxfId="1117" dataCellStyle="一般 2"/>
    <tableColumn id="10" uniqueName="10" name="F10" queryTableFieldId="10" dataDxfId="1116" dataCellStyle="一般 2"/>
    <tableColumn id="11" uniqueName="11" name="F11" queryTableFieldId="11" dataDxfId="1115" dataCellStyle="一般 2"/>
    <tableColumn id="12" uniqueName="12" name="F12" queryTableFieldId="12" dataDxfId="1114" dataCellStyle="一般 2"/>
    <tableColumn id="13" uniqueName="13" name="F13" queryTableFieldId="13" dataDxfId="1113" dataCellStyle="一般 2"/>
    <tableColumn id="14" uniqueName="14" name="F14" queryTableFieldId="14" dataDxfId="1112" dataCellStyle="一般 2"/>
    <tableColumn id="15" uniqueName="15" name="F15" queryTableFieldId="15" dataDxfId="1111" dataCellStyle="一般 2"/>
    <tableColumn id="16" uniqueName="16" name="F16" queryTableFieldId="16" dataDxfId="1110" dataCellStyle="一般 2"/>
    <tableColumn id="17" uniqueName="17" name="F17" queryTableFieldId="17" dataDxfId="1109" dataCellStyle="一般 2"/>
    <tableColumn id="18" uniqueName="18" name="F18" queryTableFieldId="18" dataDxfId="1108" dataCellStyle="一般 2"/>
    <tableColumn id="19" uniqueName="19" name="F19" queryTableFieldId="19" dataDxfId="1107" dataCellStyle="一般 2"/>
    <tableColumn id="20" uniqueName="20" name="F20" queryTableFieldId="20" dataDxfId="1106" dataCellStyle="一般 2"/>
    <tableColumn id="21" uniqueName="21" name="F21" queryTableFieldId="21" dataDxfId="1105" dataCellStyle="一般 2"/>
    <tableColumn id="22" uniqueName="22" name="2024/6/24 14:52" queryTableFieldId="22" dataDxfId="1104" dataCellStyle="一般 2"/>
    <tableColumn id="23" uniqueName="23" name="F23" queryTableFieldId="23" dataDxfId="1103" dataCellStyle="一般 2"/>
    <tableColumn id="24" uniqueName="24" name="F24" queryTableFieldId="24" dataDxfId="1102" dataCellStyle="一般 2"/>
    <tableColumn id="25" uniqueName="25" name="F25" queryTableFieldId="25" dataDxfId="1101" dataCellStyle="一般 2"/>
    <tableColumn id="26" uniqueName="26" name="F26" queryTableFieldId="26" dataDxfId="1100" dataCellStyle="一般 2"/>
    <tableColumn id="27" uniqueName="27" name="F27" queryTableFieldId="27" dataDxfId="1099" dataCellStyle="一般 2"/>
    <tableColumn id="28" uniqueName="28" name="F28" queryTableFieldId="28" dataDxfId="1098" dataCellStyle="一般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" ref="AG13:BH189" tableType="queryTable" totalsRowShown="0" headerRowDxfId="1005" dataDxfId="1004" headerRowCellStyle="一般 2" dataCellStyle="一般 2">
  <autoFilter ref="AG13:BH189"/>
  <tableColumns count="28">
    <tableColumn id="1" uniqueName="1" name="請直接以10進位，謝謝" queryTableFieldId="1" dataDxfId="1003" dataCellStyle="一般 2"/>
    <tableColumn id="2" uniqueName="2" name="F2" queryTableFieldId="2" dataDxfId="1002" dataCellStyle="一般 2"/>
    <tableColumn id="3" uniqueName="3" name="F3" queryTableFieldId="3" dataDxfId="1001" dataCellStyle="一般 2"/>
    <tableColumn id="4" uniqueName="4" name="F4" queryTableFieldId="4" dataDxfId="1000" dataCellStyle="一般 2"/>
    <tableColumn id="5" uniqueName="5" name="F5" queryTableFieldId="5" dataDxfId="999" dataCellStyle="一般 2"/>
    <tableColumn id="6" uniqueName="6" name="F6" queryTableFieldId="6" dataDxfId="998" dataCellStyle="一般 2"/>
    <tableColumn id="7" uniqueName="7" name="F7" queryTableFieldId="7" dataDxfId="997" dataCellStyle="一般 2"/>
    <tableColumn id="8" uniqueName="8" name="F8" queryTableFieldId="8" dataDxfId="996" dataCellStyle="一般 2"/>
    <tableColumn id="9" uniqueName="9" name="F9" queryTableFieldId="9" dataDxfId="995" dataCellStyle="一般 2"/>
    <tableColumn id="10" uniqueName="10" name="F10" queryTableFieldId="10" dataDxfId="994" dataCellStyle="一般 2"/>
    <tableColumn id="11" uniqueName="11" name="F11" queryTableFieldId="11" dataDxfId="993" dataCellStyle="一般 2"/>
    <tableColumn id="12" uniqueName="12" name="F12" queryTableFieldId="12" dataDxfId="992" dataCellStyle="一般 2"/>
    <tableColumn id="13" uniqueName="13" name="F13" queryTableFieldId="13" dataDxfId="991" dataCellStyle="一般 2"/>
    <tableColumn id="14" uniqueName="14" name="F14" queryTableFieldId="14" dataDxfId="990" dataCellStyle="一般 2"/>
    <tableColumn id="15" uniqueName="15" name="F15" queryTableFieldId="15" dataDxfId="989" dataCellStyle="一般 2"/>
    <tableColumn id="16" uniqueName="16" name="F16" queryTableFieldId="16" dataDxfId="988" dataCellStyle="一般 2"/>
    <tableColumn id="17" uniqueName="17" name="F17" queryTableFieldId="17" dataDxfId="987" dataCellStyle="一般 2"/>
    <tableColumn id="18" uniqueName="18" name="F18" queryTableFieldId="18" dataDxfId="986" dataCellStyle="一般 2"/>
    <tableColumn id="19" uniqueName="19" name="F19" queryTableFieldId="19" dataDxfId="985" dataCellStyle="一般 2"/>
    <tableColumn id="20" uniqueName="20" name="F20" queryTableFieldId="20" dataDxfId="984" dataCellStyle="一般 2"/>
    <tableColumn id="21" uniqueName="21" name="F21" queryTableFieldId="21" dataDxfId="983" dataCellStyle="一般 2"/>
    <tableColumn id="22" uniqueName="22" name="2024/6/24 14:52" queryTableFieldId="22" dataDxfId="982" dataCellStyle="一般 2"/>
    <tableColumn id="23" uniqueName="23" name="F23" queryTableFieldId="23" dataDxfId="981" dataCellStyle="一般 2"/>
    <tableColumn id="24" uniqueName="24" name="F24" queryTableFieldId="24" dataDxfId="980" dataCellStyle="一般 2"/>
    <tableColumn id="25" uniqueName="25" name="F25" queryTableFieldId="25" dataDxfId="979" dataCellStyle="一般 2"/>
    <tableColumn id="26" uniqueName="26" name="F26" queryTableFieldId="26" dataDxfId="978" dataCellStyle="一般 2"/>
    <tableColumn id="27" uniqueName="27" name="F27" queryTableFieldId="27" dataDxfId="977" dataCellStyle="一般 2"/>
    <tableColumn id="28" uniqueName="28" name="F28" queryTableFieldId="28" dataDxfId="976" dataCellStyle="一般 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" ref="AG13:BH189" tableType="queryTable" totalsRowShown="0" headerRowDxfId="883" dataDxfId="882" headerRowCellStyle="一般 2" dataCellStyle="一般 2">
  <autoFilter ref="AG13:BH189"/>
  <tableColumns count="28">
    <tableColumn id="1" uniqueName="1" name="請直接以10進位，謝謝" queryTableFieldId="1" dataDxfId="881" dataCellStyle="一般 2"/>
    <tableColumn id="2" uniqueName="2" name="F2" queryTableFieldId="2" dataDxfId="880" dataCellStyle="一般 2"/>
    <tableColumn id="3" uniqueName="3" name="F3" queryTableFieldId="3" dataDxfId="879" dataCellStyle="一般 2"/>
    <tableColumn id="4" uniqueName="4" name="F4" queryTableFieldId="4" dataDxfId="878" dataCellStyle="一般 2"/>
    <tableColumn id="5" uniqueName="5" name="F5" queryTableFieldId="5" dataDxfId="877" dataCellStyle="一般 2"/>
    <tableColumn id="6" uniqueName="6" name="F6" queryTableFieldId="6" dataDxfId="876" dataCellStyle="一般 2"/>
    <tableColumn id="7" uniqueName="7" name="F7" queryTableFieldId="7" dataDxfId="875" dataCellStyle="一般 2"/>
    <tableColumn id="8" uniqueName="8" name="F8" queryTableFieldId="8" dataDxfId="874" dataCellStyle="一般 2"/>
    <tableColumn id="9" uniqueName="9" name="F9" queryTableFieldId="9" dataDxfId="873" dataCellStyle="一般 2"/>
    <tableColumn id="10" uniqueName="10" name="F10" queryTableFieldId="10" dataDxfId="872" dataCellStyle="一般 2"/>
    <tableColumn id="11" uniqueName="11" name="F11" queryTableFieldId="11" dataDxfId="871" dataCellStyle="一般 2"/>
    <tableColumn id="12" uniqueName="12" name="F12" queryTableFieldId="12" dataDxfId="870" dataCellStyle="一般 2"/>
    <tableColumn id="13" uniqueName="13" name="F13" queryTableFieldId="13" dataDxfId="869" dataCellStyle="一般 2"/>
    <tableColumn id="14" uniqueName="14" name="F14" queryTableFieldId="14" dataDxfId="868" dataCellStyle="一般 2"/>
    <tableColumn id="15" uniqueName="15" name="F15" queryTableFieldId="15" dataDxfId="867" dataCellStyle="一般 2"/>
    <tableColumn id="16" uniqueName="16" name="F16" queryTableFieldId="16" dataDxfId="866" dataCellStyle="一般 2"/>
    <tableColumn id="17" uniqueName="17" name="F17" queryTableFieldId="17" dataDxfId="865" dataCellStyle="一般 2"/>
    <tableColumn id="18" uniqueName="18" name="F18" queryTableFieldId="18" dataDxfId="864" dataCellStyle="一般 2"/>
    <tableColumn id="19" uniqueName="19" name="F19" queryTableFieldId="19" dataDxfId="863" dataCellStyle="一般 2"/>
    <tableColumn id="20" uniqueName="20" name="F20" queryTableFieldId="20" dataDxfId="862" dataCellStyle="一般 2"/>
    <tableColumn id="21" uniqueName="21" name="F21" queryTableFieldId="21" dataDxfId="861" dataCellStyle="一般 2"/>
    <tableColumn id="22" uniqueName="22" name="2024/6/24 14:52" queryTableFieldId="22" dataDxfId="860" dataCellStyle="一般 2"/>
    <tableColumn id="23" uniqueName="23" name="F23" queryTableFieldId="23" dataDxfId="859" dataCellStyle="一般 2"/>
    <tableColumn id="24" uniqueName="24" name="F24" queryTableFieldId="24" dataDxfId="858" dataCellStyle="一般 2"/>
    <tableColumn id="25" uniqueName="25" name="F25" queryTableFieldId="25" dataDxfId="857" dataCellStyle="一般 2"/>
    <tableColumn id="26" uniqueName="26" name="F26" queryTableFieldId="26" dataDxfId="856" dataCellStyle="一般 2"/>
    <tableColumn id="27" uniqueName="27" name="F27" queryTableFieldId="27" dataDxfId="855" dataCellStyle="一般 2"/>
    <tableColumn id="28" uniqueName="28" name="F28" queryTableFieldId="28" dataDxfId="854" dataCellStyle="一般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" ref="AG13:BH189" tableType="queryTable" totalsRowShown="0" headerRowDxfId="761" dataDxfId="760" headerRowCellStyle="一般 2" dataCellStyle="一般 2">
  <autoFilter ref="AG13:BH189"/>
  <tableColumns count="28">
    <tableColumn id="1" uniqueName="1" name="請直接以10進位，謝謝" queryTableFieldId="1" dataDxfId="759" dataCellStyle="一般 2"/>
    <tableColumn id="2" uniqueName="2" name="F2" queryTableFieldId="2" dataDxfId="758" dataCellStyle="一般 2"/>
    <tableColumn id="3" uniqueName="3" name="F3" queryTableFieldId="3" dataDxfId="757" dataCellStyle="一般 2"/>
    <tableColumn id="4" uniqueName="4" name="F4" queryTableFieldId="4" dataDxfId="756" dataCellStyle="一般 2"/>
    <tableColumn id="5" uniqueName="5" name="F5" queryTableFieldId="5" dataDxfId="755" dataCellStyle="一般 2"/>
    <tableColumn id="6" uniqueName="6" name="F6" queryTableFieldId="6" dataDxfId="754" dataCellStyle="一般 2"/>
    <tableColumn id="7" uniqueName="7" name="F7" queryTableFieldId="7" dataDxfId="753" dataCellStyle="一般 2"/>
    <tableColumn id="8" uniqueName="8" name="F8" queryTableFieldId="8" dataDxfId="752" dataCellStyle="一般 2"/>
    <tableColumn id="9" uniqueName="9" name="F9" queryTableFieldId="9" dataDxfId="751" dataCellStyle="一般 2"/>
    <tableColumn id="10" uniqueName="10" name="F10" queryTableFieldId="10" dataDxfId="750" dataCellStyle="一般 2"/>
    <tableColumn id="11" uniqueName="11" name="F11" queryTableFieldId="11" dataDxfId="749" dataCellStyle="一般 2"/>
    <tableColumn id="12" uniqueName="12" name="F12" queryTableFieldId="12" dataDxfId="748" dataCellStyle="一般 2"/>
    <tableColumn id="13" uniqueName="13" name="F13" queryTableFieldId="13" dataDxfId="747" dataCellStyle="一般 2"/>
    <tableColumn id="14" uniqueName="14" name="F14" queryTableFieldId="14" dataDxfId="746" dataCellStyle="一般 2"/>
    <tableColumn id="15" uniqueName="15" name="F15" queryTableFieldId="15" dataDxfId="745" dataCellStyle="一般 2"/>
    <tableColumn id="16" uniqueName="16" name="F16" queryTableFieldId="16" dataDxfId="744" dataCellStyle="一般 2"/>
    <tableColumn id="17" uniqueName="17" name="F17" queryTableFieldId="17" dataDxfId="743" dataCellStyle="一般 2"/>
    <tableColumn id="18" uniqueName="18" name="F18" queryTableFieldId="18" dataDxfId="742" dataCellStyle="一般 2"/>
    <tableColumn id="19" uniqueName="19" name="F19" queryTableFieldId="19" dataDxfId="741" dataCellStyle="一般 2"/>
    <tableColumn id="20" uniqueName="20" name="F20" queryTableFieldId="20" dataDxfId="740" dataCellStyle="一般 2"/>
    <tableColumn id="21" uniqueName="21" name="F21" queryTableFieldId="21" dataDxfId="739" dataCellStyle="一般 2"/>
    <tableColumn id="22" uniqueName="22" name="2024/6/24 14:52" queryTableFieldId="22" dataDxfId="738" dataCellStyle="一般 2"/>
    <tableColumn id="23" uniqueName="23" name="F23" queryTableFieldId="23" dataDxfId="737" dataCellStyle="一般 2"/>
    <tableColumn id="24" uniqueName="24" name="F24" queryTableFieldId="24" dataDxfId="736" dataCellStyle="一般 2"/>
    <tableColumn id="25" uniqueName="25" name="F25" queryTableFieldId="25" dataDxfId="735" dataCellStyle="一般 2"/>
    <tableColumn id="26" uniqueName="26" name="F26" queryTableFieldId="26" dataDxfId="734" dataCellStyle="一般 2"/>
    <tableColumn id="27" uniqueName="27" name="F27" queryTableFieldId="27" dataDxfId="733" dataCellStyle="一般 2"/>
    <tableColumn id="28" uniqueName="28" name="F28" queryTableFieldId="28" dataDxfId="732" dataCellStyle="一般 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3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4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4" ref="AG13:BH189" tableType="queryTable" totalsRowShown="0" headerRowDxfId="639" dataDxfId="638" headerRowCellStyle="一般 2" dataCellStyle="一般 2">
  <autoFilter ref="AG13:BH189"/>
  <tableColumns count="28">
    <tableColumn id="1" uniqueName="1" name="請直接以10進位，謝謝" queryTableFieldId="1" dataDxfId="637" dataCellStyle="一般 2"/>
    <tableColumn id="2" uniqueName="2" name="F2" queryTableFieldId="2" dataDxfId="636" dataCellStyle="一般 2"/>
    <tableColumn id="3" uniqueName="3" name="F3" queryTableFieldId="3" dataDxfId="635" dataCellStyle="一般 2"/>
    <tableColumn id="4" uniqueName="4" name="F4" queryTableFieldId="4" dataDxfId="634" dataCellStyle="一般 2"/>
    <tableColumn id="5" uniqueName="5" name="F5" queryTableFieldId="5" dataDxfId="633" dataCellStyle="一般 2"/>
    <tableColumn id="6" uniqueName="6" name="F6" queryTableFieldId="6" dataDxfId="632" dataCellStyle="一般 2"/>
    <tableColumn id="7" uniqueName="7" name="F7" queryTableFieldId="7" dataDxfId="631" dataCellStyle="一般 2"/>
    <tableColumn id="8" uniqueName="8" name="F8" queryTableFieldId="8" dataDxfId="630" dataCellStyle="一般 2"/>
    <tableColumn id="9" uniqueName="9" name="F9" queryTableFieldId="9" dataDxfId="629" dataCellStyle="一般 2"/>
    <tableColumn id="10" uniqueName="10" name="F10" queryTableFieldId="10" dataDxfId="628" dataCellStyle="一般 2"/>
    <tableColumn id="11" uniqueName="11" name="F11" queryTableFieldId="11" dataDxfId="627" dataCellStyle="一般 2"/>
    <tableColumn id="12" uniqueName="12" name="F12" queryTableFieldId="12" dataDxfId="626" dataCellStyle="一般 2"/>
    <tableColumn id="13" uniqueName="13" name="F13" queryTableFieldId="13" dataDxfId="625" dataCellStyle="一般 2"/>
    <tableColumn id="14" uniqueName="14" name="F14" queryTableFieldId="14" dataDxfId="624" dataCellStyle="一般 2"/>
    <tableColumn id="15" uniqueName="15" name="F15" queryTableFieldId="15" dataDxfId="623" dataCellStyle="一般 2"/>
    <tableColumn id="16" uniqueName="16" name="F16" queryTableFieldId="16" dataDxfId="622" dataCellStyle="一般 2"/>
    <tableColumn id="17" uniqueName="17" name="F17" queryTableFieldId="17" dataDxfId="621" dataCellStyle="一般 2"/>
    <tableColumn id="18" uniqueName="18" name="F18" queryTableFieldId="18" dataDxfId="620" dataCellStyle="一般 2"/>
    <tableColumn id="19" uniqueName="19" name="F19" queryTableFieldId="19" dataDxfId="619" dataCellStyle="一般 2"/>
    <tableColumn id="20" uniqueName="20" name="F20" queryTableFieldId="20" dataDxfId="618" dataCellStyle="一般 2"/>
    <tableColumn id="21" uniqueName="21" name="F21" queryTableFieldId="21" dataDxfId="617" dataCellStyle="一般 2"/>
    <tableColumn id="22" uniqueName="22" name="2024/6/24 14:52" queryTableFieldId="22" dataDxfId="616" dataCellStyle="一般 2"/>
    <tableColumn id="23" uniqueName="23" name="F23" queryTableFieldId="23" dataDxfId="615" dataCellStyle="一般 2"/>
    <tableColumn id="24" uniqueName="24" name="F24" queryTableFieldId="24" dataDxfId="614" dataCellStyle="一般 2"/>
    <tableColumn id="25" uniqueName="25" name="F25" queryTableFieldId="25" dataDxfId="613" dataCellStyle="一般 2"/>
    <tableColumn id="26" uniqueName="26" name="F26" queryTableFieldId="26" dataDxfId="612" dataCellStyle="一般 2"/>
    <tableColumn id="27" uniqueName="27" name="F27" queryTableFieldId="27" dataDxfId="611" dataCellStyle="一般 2"/>
    <tableColumn id="28" uniqueName="28" name="F28" queryTableFieldId="28" dataDxfId="610" dataCellStyle="一般 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4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" ref="AG13:BH189" tableType="queryTable" totalsRowShown="0" headerRowDxfId="517" dataDxfId="516" headerRowCellStyle="一般 2" dataCellStyle="一般 2">
  <autoFilter ref="AG13:BH189"/>
  <tableColumns count="28">
    <tableColumn id="1" uniqueName="1" name="請直接以10進位，謝謝" queryTableFieldId="1" dataDxfId="515" dataCellStyle="一般 2"/>
    <tableColumn id="2" uniqueName="2" name="F2" queryTableFieldId="2" dataDxfId="514" dataCellStyle="一般 2"/>
    <tableColumn id="3" uniqueName="3" name="F3" queryTableFieldId="3" dataDxfId="513" dataCellStyle="一般 2"/>
    <tableColumn id="4" uniqueName="4" name="F4" queryTableFieldId="4" dataDxfId="512" dataCellStyle="一般 2"/>
    <tableColumn id="5" uniqueName="5" name="F5" queryTableFieldId="5" dataDxfId="511" dataCellStyle="一般 2"/>
    <tableColumn id="6" uniqueName="6" name="F6" queryTableFieldId="6" dataDxfId="510" dataCellStyle="一般 2"/>
    <tableColumn id="7" uniqueName="7" name="F7" queryTableFieldId="7" dataDxfId="509" dataCellStyle="一般 2"/>
    <tableColumn id="8" uniqueName="8" name="F8" queryTableFieldId="8" dataDxfId="508" dataCellStyle="一般 2"/>
    <tableColumn id="9" uniqueName="9" name="F9" queryTableFieldId="9" dataDxfId="507" dataCellStyle="一般 2"/>
    <tableColumn id="10" uniqueName="10" name="F10" queryTableFieldId="10" dataDxfId="506" dataCellStyle="一般 2"/>
    <tableColumn id="11" uniqueName="11" name="F11" queryTableFieldId="11" dataDxfId="505" dataCellStyle="一般 2"/>
    <tableColumn id="12" uniqueName="12" name="F12" queryTableFieldId="12" dataDxfId="504" dataCellStyle="一般 2"/>
    <tableColumn id="13" uniqueName="13" name="F13" queryTableFieldId="13" dataDxfId="503" dataCellStyle="一般 2"/>
    <tableColumn id="14" uniqueName="14" name="F14" queryTableFieldId="14" dataDxfId="502" dataCellStyle="一般 2"/>
    <tableColumn id="15" uniqueName="15" name="F15" queryTableFieldId="15" dataDxfId="501" dataCellStyle="一般 2"/>
    <tableColumn id="16" uniqueName="16" name="F16" queryTableFieldId="16" dataDxfId="500" dataCellStyle="一般 2"/>
    <tableColumn id="17" uniqueName="17" name="F17" queryTableFieldId="17" dataDxfId="499" dataCellStyle="一般 2"/>
    <tableColumn id="18" uniqueName="18" name="F18" queryTableFieldId="18" dataDxfId="498" dataCellStyle="一般 2"/>
    <tableColumn id="19" uniqueName="19" name="F19" queryTableFieldId="19" dataDxfId="497" dataCellStyle="一般 2"/>
    <tableColumn id="20" uniqueName="20" name="F20" queryTableFieldId="20" dataDxfId="496" dataCellStyle="一般 2"/>
    <tableColumn id="21" uniqueName="21" name="F21" queryTableFieldId="21" dataDxfId="495" dataCellStyle="一般 2"/>
    <tableColumn id="22" uniqueName="22" name="2024/6/24 14:52" queryTableFieldId="22" dataDxfId="494" dataCellStyle="一般 2"/>
    <tableColumn id="23" uniqueName="23" name="F23" queryTableFieldId="23" dataDxfId="493" dataCellStyle="一般 2"/>
    <tableColumn id="24" uniqueName="24" name="F24" queryTableFieldId="24" dataDxfId="492" dataCellStyle="一般 2"/>
    <tableColumn id="25" uniqueName="25" name="F25" queryTableFieldId="25" dataDxfId="491" dataCellStyle="一般 2"/>
    <tableColumn id="26" uniqueName="26" name="F26" queryTableFieldId="26" dataDxfId="490" dataCellStyle="一般 2"/>
    <tableColumn id="27" uniqueName="27" name="F27" queryTableFieldId="27" dataDxfId="489" dataCellStyle="一般 2"/>
    <tableColumn id="28" uniqueName="28" name="F28" queryTableFieldId="28" dataDxfId="488" dataCellStyle="一般 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5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" ref="AG13:BH189" tableType="queryTable" totalsRowShown="0" headerRowDxfId="395" dataDxfId="394" headerRowCellStyle="一般 2" dataCellStyle="一般 2">
  <autoFilter ref="AG13:BH189"/>
  <tableColumns count="28">
    <tableColumn id="1" uniqueName="1" name="請直接以10進位，謝謝" queryTableFieldId="1" dataDxfId="393" dataCellStyle="一般 2"/>
    <tableColumn id="2" uniqueName="2" name="F2" queryTableFieldId="2" dataDxfId="392" dataCellStyle="一般 2"/>
    <tableColumn id="3" uniqueName="3" name="F3" queryTableFieldId="3" dataDxfId="391" dataCellStyle="一般 2"/>
    <tableColumn id="4" uniqueName="4" name="F4" queryTableFieldId="4" dataDxfId="390" dataCellStyle="一般 2"/>
    <tableColumn id="5" uniqueName="5" name="F5" queryTableFieldId="5" dataDxfId="389" dataCellStyle="一般 2"/>
    <tableColumn id="6" uniqueName="6" name="F6" queryTableFieldId="6" dataDxfId="388" dataCellStyle="一般 2"/>
    <tableColumn id="7" uniqueName="7" name="F7" queryTableFieldId="7" dataDxfId="387" dataCellStyle="一般 2"/>
    <tableColumn id="8" uniqueName="8" name="F8" queryTableFieldId="8" dataDxfId="386" dataCellStyle="一般 2"/>
    <tableColumn id="9" uniqueName="9" name="F9" queryTableFieldId="9" dataDxfId="385" dataCellStyle="一般 2"/>
    <tableColumn id="10" uniqueName="10" name="F10" queryTableFieldId="10" dataDxfId="384" dataCellStyle="一般 2"/>
    <tableColumn id="11" uniqueName="11" name="F11" queryTableFieldId="11" dataDxfId="383" dataCellStyle="一般 2"/>
    <tableColumn id="12" uniqueName="12" name="F12" queryTableFieldId="12" dataDxfId="382" dataCellStyle="一般 2"/>
    <tableColumn id="13" uniqueName="13" name="F13" queryTableFieldId="13" dataDxfId="381" dataCellStyle="一般 2"/>
    <tableColumn id="14" uniqueName="14" name="F14" queryTableFieldId="14" dataDxfId="380" dataCellStyle="一般 2"/>
    <tableColumn id="15" uniqueName="15" name="F15" queryTableFieldId="15" dataDxfId="379" dataCellStyle="一般 2"/>
    <tableColumn id="16" uniqueName="16" name="F16" queryTableFieldId="16" dataDxfId="378" dataCellStyle="一般 2"/>
    <tableColumn id="17" uniqueName="17" name="F17" queryTableFieldId="17" dataDxfId="377" dataCellStyle="一般 2"/>
    <tableColumn id="18" uniqueName="18" name="F18" queryTableFieldId="18" dataDxfId="376" dataCellStyle="一般 2"/>
    <tableColumn id="19" uniqueName="19" name="F19" queryTableFieldId="19" dataDxfId="375" dataCellStyle="一般 2"/>
    <tableColumn id="20" uniqueName="20" name="F20" queryTableFieldId="20" dataDxfId="374" dataCellStyle="一般 2"/>
    <tableColumn id="21" uniqueName="21" name="F21" queryTableFieldId="21" dataDxfId="373" dataCellStyle="一般 2"/>
    <tableColumn id="22" uniqueName="22" name="2024/6/24 14:52" queryTableFieldId="22" dataDxfId="372" dataCellStyle="一般 2"/>
    <tableColumn id="23" uniqueName="23" name="F23" queryTableFieldId="23" dataDxfId="371" dataCellStyle="一般 2"/>
    <tableColumn id="24" uniqueName="24" name="F24" queryTableFieldId="24" dataDxfId="370" dataCellStyle="一般 2"/>
    <tableColumn id="25" uniqueName="25" name="F25" queryTableFieldId="25" dataDxfId="369" dataCellStyle="一般 2"/>
    <tableColumn id="26" uniqueName="26" name="F26" queryTableFieldId="26" dataDxfId="368" dataCellStyle="一般 2"/>
    <tableColumn id="27" uniqueName="27" name="F27" queryTableFieldId="27" dataDxfId="367" dataCellStyle="一般 2"/>
    <tableColumn id="28" uniqueName="28" name="F28" queryTableFieldId="28" dataDxfId="366" dataCellStyle="一般 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6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" ref="AG13:BH189" tableType="queryTable" totalsRowShown="0" headerRowDxfId="273" dataDxfId="272" headerRowCellStyle="一般 2" dataCellStyle="一般 2">
  <autoFilter ref="AG13:BH189"/>
  <tableColumns count="28">
    <tableColumn id="1" uniqueName="1" name="請直接以10進位，謝謝" queryTableFieldId="1" dataDxfId="271" dataCellStyle="一般 2"/>
    <tableColumn id="2" uniqueName="2" name="F2" queryTableFieldId="2" dataDxfId="270" dataCellStyle="一般 2"/>
    <tableColumn id="3" uniqueName="3" name="F3" queryTableFieldId="3" dataDxfId="269" dataCellStyle="一般 2"/>
    <tableColumn id="4" uniqueName="4" name="F4" queryTableFieldId="4" dataDxfId="268" dataCellStyle="一般 2"/>
    <tableColumn id="5" uniqueName="5" name="F5" queryTableFieldId="5" dataDxfId="267" dataCellStyle="一般 2"/>
    <tableColumn id="6" uniqueName="6" name="F6" queryTableFieldId="6" dataDxfId="266" dataCellStyle="一般 2"/>
    <tableColumn id="7" uniqueName="7" name="F7" queryTableFieldId="7" dataDxfId="265" dataCellStyle="一般 2"/>
    <tableColumn id="8" uniqueName="8" name="F8" queryTableFieldId="8" dataDxfId="264" dataCellStyle="一般 2"/>
    <tableColumn id="9" uniqueName="9" name="F9" queryTableFieldId="9" dataDxfId="263" dataCellStyle="一般 2"/>
    <tableColumn id="10" uniqueName="10" name="F10" queryTableFieldId="10" dataDxfId="262" dataCellStyle="一般 2"/>
    <tableColumn id="11" uniqueName="11" name="F11" queryTableFieldId="11" dataDxfId="261" dataCellStyle="一般 2"/>
    <tableColumn id="12" uniqueName="12" name="F12" queryTableFieldId="12" dataDxfId="260" dataCellStyle="一般 2"/>
    <tableColumn id="13" uniqueName="13" name="F13" queryTableFieldId="13" dataDxfId="259" dataCellStyle="一般 2"/>
    <tableColumn id="14" uniqueName="14" name="F14" queryTableFieldId="14" dataDxfId="258" dataCellStyle="一般 2"/>
    <tableColumn id="15" uniqueName="15" name="F15" queryTableFieldId="15" dataDxfId="257" dataCellStyle="一般 2"/>
    <tableColumn id="16" uniqueName="16" name="F16" queryTableFieldId="16" dataDxfId="256" dataCellStyle="一般 2"/>
    <tableColumn id="17" uniqueName="17" name="F17" queryTableFieldId="17" dataDxfId="255" dataCellStyle="一般 2"/>
    <tableColumn id="18" uniqueName="18" name="F18" queryTableFieldId="18" dataDxfId="254" dataCellStyle="一般 2"/>
    <tableColumn id="19" uniqueName="19" name="F19" queryTableFieldId="19" dataDxfId="253" dataCellStyle="一般 2"/>
    <tableColumn id="20" uniqueName="20" name="F20" queryTableFieldId="20" dataDxfId="252" dataCellStyle="一般 2"/>
    <tableColumn id="21" uniqueName="21" name="F21" queryTableFieldId="21" dataDxfId="251" dataCellStyle="一般 2"/>
    <tableColumn id="22" uniqueName="22" name="2024/6/24 14:52" queryTableFieldId="22" dataDxfId="250" dataCellStyle="一般 2"/>
    <tableColumn id="23" uniqueName="23" name="F23" queryTableFieldId="23" dataDxfId="249" dataCellStyle="一般 2"/>
    <tableColumn id="24" uniqueName="24" name="F24" queryTableFieldId="24" dataDxfId="248" dataCellStyle="一般 2"/>
    <tableColumn id="25" uniqueName="25" name="F25" queryTableFieldId="25" dataDxfId="247" dataCellStyle="一般 2"/>
    <tableColumn id="26" uniqueName="26" name="F26" queryTableFieldId="26" dataDxfId="246" dataCellStyle="一般 2"/>
    <tableColumn id="27" uniqueName="27" name="F27" queryTableFieldId="27" dataDxfId="245" dataCellStyle="一般 2"/>
    <tableColumn id="28" uniqueName="28" name="F28" queryTableFieldId="28" dataDxfId="244" dataCellStyle="一般 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7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" ref="AG13:BH189" tableType="queryTable" totalsRowShown="0" headerRowDxfId="151" dataDxfId="150" headerRowCellStyle="一般 2" dataCellStyle="一般 2">
  <autoFilter ref="AG13:BH189"/>
  <tableColumns count="28">
    <tableColumn id="1" uniqueName="1" name="請直接以10進位，謝謝" queryTableFieldId="1" dataDxfId="149" dataCellStyle="一般 2"/>
    <tableColumn id="2" uniqueName="2" name="F2" queryTableFieldId="2" dataDxfId="148" dataCellStyle="一般 2"/>
    <tableColumn id="3" uniqueName="3" name="F3" queryTableFieldId="3" dataDxfId="147" dataCellStyle="一般 2"/>
    <tableColumn id="4" uniqueName="4" name="F4" queryTableFieldId="4" dataDxfId="146" dataCellStyle="一般 2"/>
    <tableColumn id="5" uniqueName="5" name="F5" queryTableFieldId="5" dataDxfId="145" dataCellStyle="一般 2"/>
    <tableColumn id="6" uniqueName="6" name="F6" queryTableFieldId="6" dataDxfId="144" dataCellStyle="一般 2"/>
    <tableColumn id="7" uniqueName="7" name="F7" queryTableFieldId="7" dataDxfId="143" dataCellStyle="一般 2"/>
    <tableColumn id="8" uniqueName="8" name="F8" queryTableFieldId="8" dataDxfId="142" dataCellStyle="一般 2"/>
    <tableColumn id="9" uniqueName="9" name="F9" queryTableFieldId="9" dataDxfId="141" dataCellStyle="一般 2"/>
    <tableColumn id="10" uniqueName="10" name="F10" queryTableFieldId="10" dataDxfId="140" dataCellStyle="一般 2"/>
    <tableColumn id="11" uniqueName="11" name="F11" queryTableFieldId="11" dataDxfId="139" dataCellStyle="一般 2"/>
    <tableColumn id="12" uniqueName="12" name="F12" queryTableFieldId="12" dataDxfId="138" dataCellStyle="一般 2"/>
    <tableColumn id="13" uniqueName="13" name="F13" queryTableFieldId="13" dataDxfId="137" dataCellStyle="一般 2"/>
    <tableColumn id="14" uniqueName="14" name="F14" queryTableFieldId="14" dataDxfId="136" dataCellStyle="一般 2"/>
    <tableColumn id="15" uniqueName="15" name="F15" queryTableFieldId="15" dataDxfId="135" dataCellStyle="一般 2"/>
    <tableColumn id="16" uniqueName="16" name="F16" queryTableFieldId="16" dataDxfId="134" dataCellStyle="一般 2"/>
    <tableColumn id="17" uniqueName="17" name="F17" queryTableFieldId="17" dataDxfId="133" dataCellStyle="一般 2"/>
    <tableColumn id="18" uniqueName="18" name="F18" queryTableFieldId="18" dataDxfId="132" dataCellStyle="一般 2"/>
    <tableColumn id="19" uniqueName="19" name="F19" queryTableFieldId="19" dataDxfId="131" dataCellStyle="一般 2"/>
    <tableColumn id="20" uniqueName="20" name="F20" queryTableFieldId="20" dataDxfId="130" dataCellStyle="一般 2"/>
    <tableColumn id="21" uniqueName="21" name="F21" queryTableFieldId="21" dataDxfId="129" dataCellStyle="一般 2"/>
    <tableColumn id="22" uniqueName="22" name="2024/6/24 14:52" queryTableFieldId="22" dataDxfId="128" dataCellStyle="一般 2"/>
    <tableColumn id="23" uniqueName="23" name="F23" queryTableFieldId="23" dataDxfId="127" dataCellStyle="一般 2"/>
    <tableColumn id="24" uniqueName="24" name="F24" queryTableFieldId="24" dataDxfId="126" dataCellStyle="一般 2"/>
    <tableColumn id="25" uniqueName="25" name="F25" queryTableFieldId="25" dataDxfId="125" dataCellStyle="一般 2"/>
    <tableColumn id="26" uniqueName="26" name="F26" queryTableFieldId="26" dataDxfId="124" dataCellStyle="一般 2"/>
    <tableColumn id="27" uniqueName="27" name="F27" queryTableFieldId="27" dataDxfId="123" dataCellStyle="一般 2"/>
    <tableColumn id="28" uniqueName="28" name="F28" queryTableFieldId="28" dataDxfId="122" dataCellStyle="一般 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8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" ref="AG13:BH189" tableType="queryTable" totalsRowShown="0" headerRowDxfId="29" dataDxfId="28" headerRowCellStyle="一般 2" dataCellStyle="一般 2">
  <autoFilter ref="AG13:BH189"/>
  <tableColumns count="28">
    <tableColumn id="1" uniqueName="1" name="請直接以10進位，謝謝" queryTableFieldId="1" dataDxfId="27" dataCellStyle="一般 2"/>
    <tableColumn id="2" uniqueName="2" name="F2" queryTableFieldId="2" dataDxfId="26" dataCellStyle="一般 2"/>
    <tableColumn id="3" uniqueName="3" name="F3" queryTableFieldId="3" dataDxfId="25" dataCellStyle="一般 2"/>
    <tableColumn id="4" uniqueName="4" name="F4" queryTableFieldId="4" dataDxfId="24" dataCellStyle="一般 2"/>
    <tableColumn id="5" uniqueName="5" name="F5" queryTableFieldId="5" dataDxfId="23" dataCellStyle="一般 2"/>
    <tableColumn id="6" uniqueName="6" name="F6" queryTableFieldId="6" dataDxfId="22" dataCellStyle="一般 2"/>
    <tableColumn id="7" uniqueName="7" name="F7" queryTableFieldId="7" dataDxfId="21" dataCellStyle="一般 2"/>
    <tableColumn id="8" uniqueName="8" name="F8" queryTableFieldId="8" dataDxfId="20" dataCellStyle="一般 2"/>
    <tableColumn id="9" uniqueName="9" name="F9" queryTableFieldId="9" dataDxfId="19" dataCellStyle="一般 2"/>
    <tableColumn id="10" uniqueName="10" name="F10" queryTableFieldId="10" dataDxfId="18" dataCellStyle="一般 2"/>
    <tableColumn id="11" uniqueName="11" name="F11" queryTableFieldId="11" dataDxfId="17" dataCellStyle="一般 2"/>
    <tableColumn id="12" uniqueName="12" name="F12" queryTableFieldId="12" dataDxfId="16" dataCellStyle="一般 2"/>
    <tableColumn id="13" uniqueName="13" name="F13" queryTableFieldId="13" dataDxfId="15" dataCellStyle="一般 2"/>
    <tableColumn id="14" uniqueName="14" name="F14" queryTableFieldId="14" dataDxfId="14" dataCellStyle="一般 2"/>
    <tableColumn id="15" uniqueName="15" name="F15" queryTableFieldId="15" dataDxfId="13" dataCellStyle="一般 2"/>
    <tableColumn id="16" uniqueName="16" name="F16" queryTableFieldId="16" dataDxfId="12" dataCellStyle="一般 2"/>
    <tableColumn id="17" uniqueName="17" name="F17" queryTableFieldId="17" dataDxfId="11" dataCellStyle="一般 2"/>
    <tableColumn id="18" uniqueName="18" name="F18" queryTableFieldId="18" dataDxfId="10" dataCellStyle="一般 2"/>
    <tableColumn id="19" uniqueName="19" name="F19" queryTableFieldId="19" dataDxfId="9" dataCellStyle="一般 2"/>
    <tableColumn id="20" uniqueName="20" name="F20" queryTableFieldId="20" dataDxfId="8" dataCellStyle="一般 2"/>
    <tableColumn id="21" uniqueName="21" name="F21" queryTableFieldId="21" dataDxfId="7" dataCellStyle="一般 2"/>
    <tableColumn id="22" uniqueName="22" name="2024/6/24 14:52" queryTableFieldId="22" dataDxfId="6" dataCellStyle="一般 2"/>
    <tableColumn id="23" uniqueName="23" name="F23" queryTableFieldId="23" dataDxfId="5" dataCellStyle="一般 2"/>
    <tableColumn id="24" uniqueName="24" name="F24" queryTableFieldId="24" dataDxfId="4" dataCellStyle="一般 2"/>
    <tableColumn id="25" uniqueName="25" name="F25" queryTableFieldId="25" dataDxfId="3" dataCellStyle="一般 2"/>
    <tableColumn id="26" uniqueName="26" name="F26" queryTableFieldId="26" dataDxfId="2" dataCellStyle="一般 2"/>
    <tableColumn id="27" uniqueName="27" name="F27" queryTableFieldId="27" dataDxfId="1" dataCellStyle="一般 2"/>
    <tableColumn id="28" uniqueName="28" name="F28" queryTableFieldId="28" dataDxfId="0" dataCellStyle="一般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8357890-2BA6-4CC5-90A2-87AD6187BD32}">
  <we:reference id="wa104381026" version="1.2.0.0" store="zh-TW" storeType="OMEX"/>
  <we:alternateReferences>
    <we:reference id="WA104381026" version="1.2.0.0" store="WA10438102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5" Type="http://schemas.openxmlformats.org/officeDocument/2006/relationships/table" Target="../tables/table11.xml"/><Relationship Id="rId4" Type="http://schemas.openxmlformats.org/officeDocument/2006/relationships/ctrlProp" Target="../ctrlProps/ctrlProp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table" Target="../tables/table12.xml"/><Relationship Id="rId4" Type="http://schemas.openxmlformats.org/officeDocument/2006/relationships/ctrlProp" Target="../ctrlProps/ctrlProp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5" Type="http://schemas.openxmlformats.org/officeDocument/2006/relationships/table" Target="../tables/table13.xml"/><Relationship Id="rId4" Type="http://schemas.openxmlformats.org/officeDocument/2006/relationships/ctrlProp" Target="../ctrlProps/ctrlProp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5" Type="http://schemas.openxmlformats.org/officeDocument/2006/relationships/table" Target="../tables/table14.xml"/><Relationship Id="rId4" Type="http://schemas.openxmlformats.org/officeDocument/2006/relationships/ctrlProp" Target="../ctrlProps/ctrlProp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5" Type="http://schemas.openxmlformats.org/officeDocument/2006/relationships/table" Target="../tables/table15.xml"/><Relationship Id="rId4" Type="http://schemas.openxmlformats.org/officeDocument/2006/relationships/ctrlProp" Target="../ctrlProps/ctrlProp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5" Type="http://schemas.openxmlformats.org/officeDocument/2006/relationships/table" Target="../tables/table16.xml"/><Relationship Id="rId4" Type="http://schemas.openxmlformats.org/officeDocument/2006/relationships/ctrlProp" Target="../ctrlProps/ctrlProp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5" Type="http://schemas.openxmlformats.org/officeDocument/2006/relationships/table" Target="../tables/table17.xml"/><Relationship Id="rId4" Type="http://schemas.openxmlformats.org/officeDocument/2006/relationships/ctrlProp" Target="../ctrlProps/ctrlProp1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5" Type="http://schemas.openxmlformats.org/officeDocument/2006/relationships/table" Target="../tables/table18.xml"/><Relationship Id="rId4" Type="http://schemas.openxmlformats.org/officeDocument/2006/relationships/ctrlProp" Target="../ctrlProps/ctrlProp1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5" Type="http://schemas.openxmlformats.org/officeDocument/2006/relationships/table" Target="../tables/table19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1"/>
  <dimension ref="A1:X46"/>
  <sheetViews>
    <sheetView view="pageBreakPreview" topLeftCell="A24" zoomScale="80" zoomScaleNormal="100" zoomScaleSheetLayoutView="80" workbookViewId="0">
      <selection activeCell="I42" sqref="I42"/>
    </sheetView>
  </sheetViews>
  <sheetFormatPr defaultColWidth="9" defaultRowHeight="15.75"/>
  <cols>
    <col min="1" max="1" width="7.375" style="54" customWidth="1"/>
    <col min="2" max="2" width="8.625" style="54" customWidth="1"/>
    <col min="3" max="3" width="6.625" style="54" customWidth="1"/>
    <col min="4" max="4" width="7.375" style="54" customWidth="1"/>
    <col min="5" max="5" width="8.625" style="54" customWidth="1"/>
    <col min="6" max="6" width="6.625" style="54" customWidth="1"/>
    <col min="7" max="7" width="7.375" style="54" customWidth="1"/>
    <col min="8" max="8" width="8.625" style="54" customWidth="1"/>
    <col min="9" max="9" width="6.625" style="54" customWidth="1"/>
    <col min="10" max="10" width="7.375" style="54" customWidth="1"/>
    <col min="11" max="11" width="8.625" style="54" customWidth="1"/>
    <col min="12" max="12" width="6.625" style="54" customWidth="1"/>
    <col min="13" max="13" width="23.875" style="54" customWidth="1"/>
    <col min="14" max="14" width="17.625" style="54" customWidth="1"/>
    <col min="15" max="16" width="11.875" style="54" customWidth="1"/>
    <col min="17" max="17" width="17.5" style="63" customWidth="1"/>
    <col min="18" max="18" width="13.625" style="63" customWidth="1"/>
    <col min="19" max="19" width="14.375" style="63" customWidth="1"/>
    <col min="20" max="20" width="9" style="54"/>
    <col min="21" max="21" width="20.75" style="54" bestFit="1" customWidth="1"/>
    <col min="22" max="22" width="9" style="54"/>
    <col min="23" max="23" width="13.75" style="54" bestFit="1" customWidth="1"/>
    <col min="24" max="16384" width="9" style="54"/>
  </cols>
  <sheetData>
    <row r="1" spans="1:24" s="53" customFormat="1" ht="21" customHeight="1" thickBot="1">
      <c r="A1" s="161" t="s">
        <v>206</v>
      </c>
      <c r="B1" s="161"/>
      <c r="C1" s="111"/>
      <c r="D1" s="111"/>
      <c r="E1" s="112"/>
      <c r="F1" s="111"/>
      <c r="G1" s="113"/>
      <c r="H1" s="113"/>
      <c r="I1" s="113"/>
      <c r="J1" s="113"/>
      <c r="K1" s="113"/>
      <c r="L1" s="113"/>
      <c r="M1" s="113" t="s">
        <v>207</v>
      </c>
      <c r="Q1" s="55"/>
      <c r="R1" s="55"/>
      <c r="S1" s="55"/>
    </row>
    <row r="2" spans="1:24" s="59" customFormat="1" ht="25.7" customHeight="1" thickTop="1" thickBot="1">
      <c r="A2" s="114" t="s">
        <v>127</v>
      </c>
      <c r="B2" s="115" t="s">
        <v>32</v>
      </c>
      <c r="C2" s="116" t="s">
        <v>33</v>
      </c>
      <c r="D2" s="114" t="s">
        <v>31</v>
      </c>
      <c r="E2" s="115" t="s">
        <v>32</v>
      </c>
      <c r="F2" s="116" t="s">
        <v>227</v>
      </c>
      <c r="G2" s="114" t="s">
        <v>31</v>
      </c>
      <c r="H2" s="115" t="s">
        <v>32</v>
      </c>
      <c r="I2" s="117" t="s">
        <v>33</v>
      </c>
      <c r="J2" s="114" t="s">
        <v>31</v>
      </c>
      <c r="K2" s="115" t="s">
        <v>228</v>
      </c>
      <c r="L2" s="117" t="s">
        <v>33</v>
      </c>
      <c r="M2" s="118" t="s">
        <v>208</v>
      </c>
      <c r="N2" s="56"/>
      <c r="O2" s="56"/>
      <c r="P2" s="57" t="s">
        <v>173</v>
      </c>
      <c r="Q2" s="58" t="s">
        <v>174</v>
      </c>
      <c r="S2" s="60" t="s">
        <v>175</v>
      </c>
      <c r="U2" s="140" t="s">
        <v>176</v>
      </c>
      <c r="V2" s="139">
        <v>0.01</v>
      </c>
      <c r="W2" s="140" t="s">
        <v>188</v>
      </c>
      <c r="X2" s="61" t="s">
        <v>179</v>
      </c>
    </row>
    <row r="3" spans="1:24" s="53" customFormat="1" ht="22.15" customHeight="1" thickTop="1">
      <c r="A3" s="119">
        <v>601</v>
      </c>
      <c r="B3" s="120">
        <v>4100</v>
      </c>
      <c r="C3" s="121">
        <v>16</v>
      </c>
      <c r="D3" s="122" t="s">
        <v>89</v>
      </c>
      <c r="E3" s="120">
        <v>0</v>
      </c>
      <c r="F3" s="121">
        <v>8</v>
      </c>
      <c r="G3" s="119">
        <v>661</v>
      </c>
      <c r="H3" s="120">
        <v>1100</v>
      </c>
      <c r="I3" s="123">
        <v>16</v>
      </c>
      <c r="J3" s="119">
        <v>681</v>
      </c>
      <c r="K3" s="120">
        <v>2321</v>
      </c>
      <c r="L3" s="124">
        <v>15</v>
      </c>
      <c r="M3" s="162" t="s">
        <v>613</v>
      </c>
      <c r="N3" s="140" t="s">
        <v>176</v>
      </c>
      <c r="O3" s="140" t="s">
        <v>177</v>
      </c>
      <c r="P3" s="140" t="s">
        <v>178</v>
      </c>
      <c r="Q3" s="61" t="s">
        <v>179</v>
      </c>
      <c r="S3" s="53">
        <v>5900</v>
      </c>
      <c r="U3" s="140" t="s">
        <v>180</v>
      </c>
      <c r="V3" s="139">
        <v>0.01</v>
      </c>
      <c r="W3" s="140" t="s">
        <v>189</v>
      </c>
      <c r="X3" s="61" t="s">
        <v>182</v>
      </c>
    </row>
    <row r="4" spans="1:24" s="53" customFormat="1" ht="22.15" customHeight="1">
      <c r="A4" s="119">
        <v>602</v>
      </c>
      <c r="B4" s="120">
        <v>0</v>
      </c>
      <c r="C4" s="121">
        <v>15</v>
      </c>
      <c r="D4" s="122" t="s">
        <v>90</v>
      </c>
      <c r="E4" s="120">
        <v>1000</v>
      </c>
      <c r="F4" s="121">
        <v>16</v>
      </c>
      <c r="G4" s="119">
        <v>662</v>
      </c>
      <c r="H4" s="120">
        <v>2713</v>
      </c>
      <c r="I4" s="123">
        <v>16</v>
      </c>
      <c r="J4" s="119">
        <v>682</v>
      </c>
      <c r="K4" s="120">
        <v>1666</v>
      </c>
      <c r="L4" s="134">
        <v>15</v>
      </c>
      <c r="M4" s="163"/>
      <c r="N4" s="140" t="s">
        <v>180</v>
      </c>
      <c r="O4" s="140" t="s">
        <v>177</v>
      </c>
      <c r="P4" s="140" t="s">
        <v>181</v>
      </c>
      <c r="Q4" s="61" t="s">
        <v>182</v>
      </c>
      <c r="S4" s="53">
        <v>5600</v>
      </c>
      <c r="U4" s="62">
        <v>680690</v>
      </c>
      <c r="V4" s="139">
        <v>0.01</v>
      </c>
      <c r="W4" s="140" t="s">
        <v>190</v>
      </c>
      <c r="X4" s="61" t="s">
        <v>182</v>
      </c>
    </row>
    <row r="5" spans="1:24" s="53" customFormat="1" ht="22.15" customHeight="1">
      <c r="A5" s="119">
        <v>603</v>
      </c>
      <c r="B5" s="120">
        <v>6361</v>
      </c>
      <c r="C5" s="121">
        <v>18</v>
      </c>
      <c r="D5" s="122">
        <v>631</v>
      </c>
      <c r="E5" s="120">
        <v>5811</v>
      </c>
      <c r="F5" s="121">
        <v>17</v>
      </c>
      <c r="G5" s="119">
        <v>663</v>
      </c>
      <c r="H5" s="120">
        <v>3495</v>
      </c>
      <c r="I5" s="123">
        <v>19</v>
      </c>
      <c r="J5" s="119">
        <v>683</v>
      </c>
      <c r="K5" s="120">
        <v>1730</v>
      </c>
      <c r="L5" s="134">
        <v>16</v>
      </c>
      <c r="M5" s="163"/>
      <c r="N5" s="62">
        <v>680690</v>
      </c>
      <c r="O5" s="140" t="s">
        <v>177</v>
      </c>
      <c r="P5" s="140" t="s">
        <v>183</v>
      </c>
      <c r="Q5" s="61" t="s">
        <v>182</v>
      </c>
      <c r="S5" s="53">
        <v>4100</v>
      </c>
      <c r="U5" s="140" t="s">
        <v>184</v>
      </c>
      <c r="V5" s="139">
        <v>0.01</v>
      </c>
      <c r="W5" s="140" t="s">
        <v>191</v>
      </c>
      <c r="X5" s="61" t="s">
        <v>182</v>
      </c>
    </row>
    <row r="6" spans="1:24" s="53" customFormat="1" ht="22.15" customHeight="1">
      <c r="A6" s="119" t="s">
        <v>91</v>
      </c>
      <c r="B6" s="125">
        <v>8886</v>
      </c>
      <c r="C6" s="126">
        <v>16</v>
      </c>
      <c r="D6" s="127">
        <v>632</v>
      </c>
      <c r="E6" s="125">
        <v>1716</v>
      </c>
      <c r="F6" s="126">
        <v>16</v>
      </c>
      <c r="G6" s="127">
        <v>664</v>
      </c>
      <c r="H6" s="125">
        <v>5613</v>
      </c>
      <c r="I6" s="124">
        <v>16</v>
      </c>
      <c r="J6" s="127">
        <v>684</v>
      </c>
      <c r="K6" s="125">
        <v>2450</v>
      </c>
      <c r="L6" s="134">
        <v>15</v>
      </c>
      <c r="M6" s="163"/>
      <c r="N6" s="140" t="s">
        <v>184</v>
      </c>
      <c r="O6" s="140" t="s">
        <v>177</v>
      </c>
      <c r="P6" s="140" t="s">
        <v>185</v>
      </c>
      <c r="Q6" s="61" t="s">
        <v>182</v>
      </c>
      <c r="S6" s="53">
        <v>7000</v>
      </c>
      <c r="U6" s="140" t="s">
        <v>186</v>
      </c>
      <c r="V6" s="139">
        <v>0.01</v>
      </c>
      <c r="W6" s="140" t="s">
        <v>192</v>
      </c>
      <c r="X6" s="61" t="s">
        <v>182</v>
      </c>
    </row>
    <row r="7" spans="1:24" s="53" customFormat="1" ht="22.15" customHeight="1">
      <c r="A7" s="119" t="s">
        <v>92</v>
      </c>
      <c r="B7" s="125">
        <v>3503</v>
      </c>
      <c r="C7" s="126">
        <v>11</v>
      </c>
      <c r="D7" s="127">
        <v>633</v>
      </c>
      <c r="E7" s="125">
        <v>3538</v>
      </c>
      <c r="F7" s="126">
        <v>7</v>
      </c>
      <c r="G7" s="127">
        <v>665</v>
      </c>
      <c r="H7" s="125">
        <v>3386</v>
      </c>
      <c r="I7" s="124">
        <v>17</v>
      </c>
      <c r="J7" s="127">
        <v>685</v>
      </c>
      <c r="K7" s="125">
        <v>5612</v>
      </c>
      <c r="L7" s="134">
        <v>16</v>
      </c>
      <c r="M7" s="163"/>
      <c r="N7" s="140" t="s">
        <v>186</v>
      </c>
      <c r="O7" s="140" t="s">
        <v>177</v>
      </c>
      <c r="P7" s="140" t="s">
        <v>187</v>
      </c>
      <c r="Q7" s="61" t="s">
        <v>182</v>
      </c>
      <c r="S7" s="53">
        <v>11590</v>
      </c>
      <c r="X7" s="55"/>
    </row>
    <row r="8" spans="1:24" s="53" customFormat="1" ht="22.15" customHeight="1">
      <c r="A8" s="119">
        <v>611</v>
      </c>
      <c r="B8" s="125">
        <v>39.11</v>
      </c>
      <c r="C8" s="135">
        <v>25</v>
      </c>
      <c r="D8" s="127">
        <v>634</v>
      </c>
      <c r="E8" s="125">
        <v>7332</v>
      </c>
      <c r="F8" s="126">
        <v>14</v>
      </c>
      <c r="G8" s="127">
        <v>666</v>
      </c>
      <c r="H8" s="125">
        <v>4389</v>
      </c>
      <c r="I8" s="124">
        <v>15</v>
      </c>
      <c r="J8" s="127">
        <v>686</v>
      </c>
      <c r="K8" s="125">
        <v>5584</v>
      </c>
      <c r="L8" s="134">
        <v>16</v>
      </c>
      <c r="M8" s="163"/>
      <c r="N8" s="140" t="s">
        <v>197</v>
      </c>
      <c r="O8" s="140" t="s">
        <v>177</v>
      </c>
      <c r="P8" s="140" t="s">
        <v>198</v>
      </c>
      <c r="Q8" s="61" t="s">
        <v>182</v>
      </c>
      <c r="S8" s="53">
        <v>9200</v>
      </c>
    </row>
    <row r="9" spans="1:24" s="53" customFormat="1" ht="22.15" customHeight="1">
      <c r="A9" s="119">
        <v>612</v>
      </c>
      <c r="B9" s="125">
        <v>80.02</v>
      </c>
      <c r="C9" s="135">
        <v>25</v>
      </c>
      <c r="D9" s="127">
        <v>641</v>
      </c>
      <c r="E9" s="125">
        <v>255</v>
      </c>
      <c r="F9" s="126">
        <v>14</v>
      </c>
      <c r="G9" s="127">
        <v>667</v>
      </c>
      <c r="H9" s="125">
        <v>-1640</v>
      </c>
      <c r="I9" s="124">
        <v>17</v>
      </c>
      <c r="J9" s="127">
        <v>687</v>
      </c>
      <c r="K9" s="125">
        <v>4803</v>
      </c>
      <c r="L9" s="134">
        <v>15</v>
      </c>
      <c r="M9" s="163"/>
      <c r="N9" s="140" t="s">
        <v>199</v>
      </c>
      <c r="O9" s="140" t="s">
        <v>177</v>
      </c>
      <c r="P9" s="140" t="s">
        <v>200</v>
      </c>
      <c r="Q9" s="61" t="s">
        <v>182</v>
      </c>
      <c r="S9" s="53">
        <v>6800</v>
      </c>
    </row>
    <row r="10" spans="1:24" s="53" customFormat="1" ht="22.15" customHeight="1">
      <c r="A10" s="119">
        <v>613</v>
      </c>
      <c r="B10" s="125">
        <v>82.15</v>
      </c>
      <c r="C10" s="135">
        <v>25</v>
      </c>
      <c r="D10" s="127">
        <v>642</v>
      </c>
      <c r="E10" s="125">
        <v>3523</v>
      </c>
      <c r="F10" s="126">
        <v>21</v>
      </c>
      <c r="G10" s="127">
        <v>668</v>
      </c>
      <c r="H10" s="125">
        <v>-595</v>
      </c>
      <c r="I10" s="124">
        <v>15</v>
      </c>
      <c r="J10" s="127">
        <v>688</v>
      </c>
      <c r="K10" s="125">
        <v>5286</v>
      </c>
      <c r="L10" s="134">
        <v>15</v>
      </c>
      <c r="M10" s="163"/>
      <c r="N10" s="140" t="s">
        <v>201</v>
      </c>
      <c r="O10" s="139" t="s">
        <v>177</v>
      </c>
      <c r="P10" s="140" t="s">
        <v>202</v>
      </c>
      <c r="Q10" s="61" t="s">
        <v>182</v>
      </c>
      <c r="S10" s="53">
        <v>5500</v>
      </c>
    </row>
    <row r="11" spans="1:24" s="53" customFormat="1" ht="22.15" customHeight="1">
      <c r="A11" s="119">
        <v>614</v>
      </c>
      <c r="B11" s="125">
        <v>45.01</v>
      </c>
      <c r="C11" s="135">
        <v>25</v>
      </c>
      <c r="D11" s="127">
        <v>643</v>
      </c>
      <c r="E11" s="125">
        <v>1970</v>
      </c>
      <c r="F11" s="126">
        <v>16</v>
      </c>
      <c r="G11" s="127">
        <v>669</v>
      </c>
      <c r="H11" s="125">
        <v>940</v>
      </c>
      <c r="I11" s="124">
        <v>35</v>
      </c>
      <c r="J11" s="127">
        <v>689</v>
      </c>
      <c r="K11" s="125">
        <v>2061</v>
      </c>
      <c r="L11" s="134">
        <v>16</v>
      </c>
      <c r="M11" s="163"/>
      <c r="N11" s="140" t="s">
        <v>203</v>
      </c>
      <c r="O11" s="139" t="s">
        <v>177</v>
      </c>
      <c r="P11" s="140">
        <v>9.0746000000000002</v>
      </c>
      <c r="Q11" s="61" t="s">
        <v>182</v>
      </c>
      <c r="S11" s="53">
        <v>7100</v>
      </c>
    </row>
    <row r="12" spans="1:24" s="53" customFormat="1" ht="22.15" customHeight="1">
      <c r="A12" s="119">
        <v>621</v>
      </c>
      <c r="B12" s="125">
        <v>4992</v>
      </c>
      <c r="C12" s="126">
        <v>16</v>
      </c>
      <c r="D12" s="127">
        <v>645</v>
      </c>
      <c r="E12" s="125">
        <v>73</v>
      </c>
      <c r="F12" s="126">
        <v>16</v>
      </c>
      <c r="G12" s="127">
        <v>670</v>
      </c>
      <c r="H12" s="125">
        <v>-9901</v>
      </c>
      <c r="I12" s="124">
        <v>35</v>
      </c>
      <c r="J12" s="127">
        <v>690</v>
      </c>
      <c r="K12" s="125">
        <v>443</v>
      </c>
      <c r="L12" s="124">
        <v>17</v>
      </c>
      <c r="M12" s="163"/>
      <c r="N12" s="62" t="s">
        <v>204</v>
      </c>
      <c r="O12" s="139" t="s">
        <v>177</v>
      </c>
      <c r="P12" s="140">
        <v>9.0746000000000002</v>
      </c>
      <c r="Q12" s="61" t="s">
        <v>182</v>
      </c>
      <c r="S12" s="53">
        <v>5500</v>
      </c>
    </row>
    <row r="13" spans="1:24" s="53" customFormat="1" ht="22.15" customHeight="1">
      <c r="A13" s="119">
        <v>622</v>
      </c>
      <c r="B13" s="125">
        <v>5236</v>
      </c>
      <c r="C13" s="126">
        <v>17</v>
      </c>
      <c r="D13" s="127">
        <v>651</v>
      </c>
      <c r="E13" s="125">
        <v>1770</v>
      </c>
      <c r="F13" s="126">
        <v>16</v>
      </c>
      <c r="G13" s="127">
        <v>671</v>
      </c>
      <c r="H13" s="125">
        <v>0</v>
      </c>
      <c r="I13" s="124">
        <v>17</v>
      </c>
      <c r="J13" s="127">
        <v>691</v>
      </c>
      <c r="K13" s="125">
        <v>2766</v>
      </c>
      <c r="L13" s="134">
        <v>16</v>
      </c>
      <c r="M13" s="163"/>
      <c r="N13" s="165" t="s">
        <v>205</v>
      </c>
      <c r="O13" s="166" t="s">
        <v>177</v>
      </c>
      <c r="P13" s="167">
        <v>7.0686</v>
      </c>
      <c r="Q13" s="168" t="s">
        <v>182</v>
      </c>
      <c r="S13" s="160">
        <v>7000</v>
      </c>
    </row>
    <row r="14" spans="1:24" s="53" customFormat="1" ht="22.15" customHeight="1">
      <c r="A14" s="119">
        <v>623</v>
      </c>
      <c r="B14" s="125">
        <v>4119</v>
      </c>
      <c r="C14" s="126">
        <v>22</v>
      </c>
      <c r="D14" s="127">
        <v>652</v>
      </c>
      <c r="E14" s="125">
        <v>2576</v>
      </c>
      <c r="F14" s="126">
        <v>16</v>
      </c>
      <c r="G14" s="127">
        <v>672</v>
      </c>
      <c r="H14" s="125">
        <v>25</v>
      </c>
      <c r="I14" s="124">
        <v>14</v>
      </c>
      <c r="J14" s="127">
        <v>692</v>
      </c>
      <c r="K14" s="125">
        <v>3375</v>
      </c>
      <c r="L14" s="134">
        <v>16</v>
      </c>
      <c r="M14" s="163"/>
      <c r="N14" s="165"/>
      <c r="O14" s="166"/>
      <c r="P14" s="167"/>
      <c r="Q14" s="168"/>
      <c r="S14" s="160"/>
    </row>
    <row r="15" spans="1:24" s="53" customFormat="1" ht="22.15" customHeight="1">
      <c r="A15" s="122">
        <v>624</v>
      </c>
      <c r="B15" s="125">
        <v>6591</v>
      </c>
      <c r="C15" s="126">
        <v>16</v>
      </c>
      <c r="D15" s="128">
        <v>653</v>
      </c>
      <c r="E15" s="125">
        <v>2870</v>
      </c>
      <c r="F15" s="126">
        <v>13</v>
      </c>
      <c r="G15" s="127">
        <v>673</v>
      </c>
      <c r="H15" s="125">
        <v>746</v>
      </c>
      <c r="I15" s="124">
        <v>17</v>
      </c>
      <c r="J15" s="127">
        <v>693</v>
      </c>
      <c r="K15" s="125">
        <v>2646</v>
      </c>
      <c r="L15" s="134">
        <v>17</v>
      </c>
      <c r="M15" s="163"/>
      <c r="N15" s="165"/>
      <c r="O15" s="166"/>
      <c r="P15" s="167"/>
      <c r="Q15" s="168"/>
      <c r="R15" s="55"/>
      <c r="S15" s="160"/>
    </row>
    <row r="16" spans="1:24" s="53" customFormat="1" ht="22.15" customHeight="1">
      <c r="A16" s="122" t="s">
        <v>93</v>
      </c>
      <c r="B16" s="125">
        <v>0</v>
      </c>
      <c r="C16" s="126">
        <v>15</v>
      </c>
      <c r="D16" s="127">
        <v>654</v>
      </c>
      <c r="E16" s="125">
        <v>6</v>
      </c>
      <c r="F16" s="126">
        <v>15</v>
      </c>
      <c r="G16" s="127">
        <v>674</v>
      </c>
      <c r="H16" s="125">
        <v>6504</v>
      </c>
      <c r="I16" s="124">
        <v>15</v>
      </c>
      <c r="J16" s="127">
        <v>694</v>
      </c>
      <c r="K16" s="125">
        <v>6391</v>
      </c>
      <c r="L16" s="134">
        <v>16</v>
      </c>
      <c r="M16" s="163"/>
      <c r="Q16" s="55"/>
      <c r="R16" s="55"/>
      <c r="S16" s="55"/>
    </row>
    <row r="17" spans="1:19" s="53" customFormat="1" ht="22.15" customHeight="1">
      <c r="A17" s="122" t="s">
        <v>26</v>
      </c>
      <c r="B17" s="125">
        <v>0</v>
      </c>
      <c r="C17" s="126">
        <v>23</v>
      </c>
      <c r="D17" s="128">
        <v>655</v>
      </c>
      <c r="E17" s="125">
        <v>392</v>
      </c>
      <c r="F17" s="126">
        <v>17</v>
      </c>
      <c r="G17" s="127">
        <v>675</v>
      </c>
      <c r="H17" s="125">
        <v>63.82</v>
      </c>
      <c r="I17" s="134">
        <v>25</v>
      </c>
      <c r="J17" s="127">
        <v>695</v>
      </c>
      <c r="K17" s="125">
        <v>5070</v>
      </c>
      <c r="L17" s="134">
        <v>16</v>
      </c>
      <c r="M17" s="163"/>
      <c r="Q17" s="55"/>
      <c r="R17" s="55"/>
      <c r="S17" s="55"/>
    </row>
    <row r="18" spans="1:19" s="53" customFormat="1" ht="22.15" customHeight="1">
      <c r="A18" s="122" t="s">
        <v>27</v>
      </c>
      <c r="B18" s="125">
        <v>0</v>
      </c>
      <c r="C18" s="126">
        <v>10</v>
      </c>
      <c r="D18" s="127">
        <v>656</v>
      </c>
      <c r="E18" s="125">
        <v>1408</v>
      </c>
      <c r="F18" s="126">
        <v>19</v>
      </c>
      <c r="G18" s="127">
        <v>676</v>
      </c>
      <c r="H18" s="125">
        <v>5.41</v>
      </c>
      <c r="I18" s="134">
        <v>25</v>
      </c>
      <c r="J18" s="127">
        <v>696</v>
      </c>
      <c r="K18" s="125">
        <v>397</v>
      </c>
      <c r="L18" s="134">
        <v>17</v>
      </c>
      <c r="M18" s="163"/>
      <c r="Q18" s="55"/>
      <c r="R18" s="55"/>
      <c r="S18" s="55"/>
    </row>
    <row r="19" spans="1:19" s="53" customFormat="1" ht="22.15" customHeight="1">
      <c r="A19" s="122" t="s">
        <v>28</v>
      </c>
      <c r="B19" s="125">
        <v>0</v>
      </c>
      <c r="C19" s="126">
        <v>13</v>
      </c>
      <c r="D19" s="127">
        <v>657</v>
      </c>
      <c r="E19" s="125">
        <v>6527</v>
      </c>
      <c r="F19" s="126">
        <v>17</v>
      </c>
      <c r="G19" s="127">
        <v>677</v>
      </c>
      <c r="H19" s="125">
        <v>44.23</v>
      </c>
      <c r="I19" s="134">
        <v>25</v>
      </c>
      <c r="J19" s="127">
        <v>697</v>
      </c>
      <c r="K19" s="125">
        <v>4669</v>
      </c>
      <c r="L19" s="134">
        <v>17</v>
      </c>
      <c r="M19" s="163"/>
      <c r="Q19" s="55"/>
      <c r="R19" s="55"/>
      <c r="S19" s="55"/>
    </row>
    <row r="20" spans="1:19" s="53" customFormat="1" ht="22.15" customHeight="1">
      <c r="A20" s="122" t="s">
        <v>29</v>
      </c>
      <c r="B20" s="125">
        <v>6263</v>
      </c>
      <c r="C20" s="126">
        <v>16</v>
      </c>
      <c r="D20" s="128">
        <v>658</v>
      </c>
      <c r="E20" s="125">
        <v>3147</v>
      </c>
      <c r="F20" s="126">
        <v>18</v>
      </c>
      <c r="G20" s="127">
        <v>678</v>
      </c>
      <c r="H20" s="125">
        <v>90.92</v>
      </c>
      <c r="I20" s="134">
        <v>25</v>
      </c>
      <c r="J20" s="127">
        <v>698</v>
      </c>
      <c r="K20" s="125">
        <v>10559</v>
      </c>
      <c r="L20" s="134">
        <v>55</v>
      </c>
      <c r="M20" s="163"/>
      <c r="Q20" s="55"/>
      <c r="R20" s="55"/>
      <c r="S20" s="55"/>
    </row>
    <row r="21" spans="1:19" s="53" customFormat="1" ht="22.15" customHeight="1">
      <c r="A21" s="122" t="s">
        <v>30</v>
      </c>
      <c r="B21" s="125">
        <v>3251</v>
      </c>
      <c r="C21" s="126">
        <v>21</v>
      </c>
      <c r="D21" s="127">
        <v>659</v>
      </c>
      <c r="E21" s="125">
        <v>1585</v>
      </c>
      <c r="F21" s="126">
        <v>15</v>
      </c>
      <c r="G21" s="127">
        <v>680</v>
      </c>
      <c r="H21" s="125">
        <v>2151</v>
      </c>
      <c r="I21" s="134">
        <v>16</v>
      </c>
      <c r="J21" s="127">
        <v>699</v>
      </c>
      <c r="K21" s="125">
        <v>436</v>
      </c>
      <c r="L21" s="134">
        <v>16</v>
      </c>
      <c r="M21" s="163"/>
      <c r="Q21" s="55"/>
      <c r="R21" s="55"/>
      <c r="S21" s="55"/>
    </row>
    <row r="22" spans="1:19" s="53" customFormat="1" ht="22.15" customHeight="1" thickBot="1">
      <c r="A22" s="129" t="s">
        <v>94</v>
      </c>
      <c r="B22" s="130">
        <v>0</v>
      </c>
      <c r="C22" s="130">
        <v>17</v>
      </c>
      <c r="D22" s="131">
        <v>660</v>
      </c>
      <c r="E22" s="130">
        <v>233</v>
      </c>
      <c r="F22" s="132">
        <v>18</v>
      </c>
      <c r="G22" s="119"/>
      <c r="H22" s="120"/>
      <c r="I22" s="123"/>
      <c r="J22" s="119"/>
      <c r="K22" s="120"/>
      <c r="L22" s="123"/>
      <c r="M22" s="164"/>
      <c r="Q22" s="55"/>
      <c r="R22" s="55"/>
      <c r="S22" s="55"/>
    </row>
    <row r="23" spans="1:19" ht="36.6" customHeight="1" thickTop="1">
      <c r="A23" s="112"/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</row>
    <row r="24" spans="1:19" ht="21" customHeight="1" thickBot="1">
      <c r="A24" s="161"/>
      <c r="B24" s="161"/>
      <c r="C24" s="111"/>
      <c r="D24" s="111"/>
      <c r="E24" s="111"/>
      <c r="F24" s="111"/>
      <c r="G24" s="111"/>
      <c r="H24" s="111"/>
      <c r="I24" s="113"/>
      <c r="J24" s="111"/>
      <c r="K24" s="111"/>
      <c r="L24" s="113"/>
      <c r="M24" s="113" t="s">
        <v>209</v>
      </c>
    </row>
    <row r="25" spans="1:19" ht="20.100000000000001" customHeight="1" thickTop="1" thickBot="1">
      <c r="A25" s="114"/>
      <c r="B25" s="115" t="s">
        <v>193</v>
      </c>
      <c r="C25" s="116" t="s">
        <v>33</v>
      </c>
      <c r="D25" s="114" t="s">
        <v>31</v>
      </c>
      <c r="E25" s="115" t="s">
        <v>193</v>
      </c>
      <c r="F25" s="117" t="s">
        <v>33</v>
      </c>
      <c r="G25" s="114" t="s">
        <v>31</v>
      </c>
      <c r="H25" s="115" t="s">
        <v>32</v>
      </c>
      <c r="I25" s="117" t="s">
        <v>33</v>
      </c>
      <c r="J25" s="114" t="s">
        <v>31</v>
      </c>
      <c r="K25" s="115" t="s">
        <v>32</v>
      </c>
      <c r="L25" s="117" t="s">
        <v>33</v>
      </c>
      <c r="M25" s="118" t="s">
        <v>208</v>
      </c>
    </row>
    <row r="26" spans="1:19" ht="21.75" customHeight="1" thickTop="1">
      <c r="A26" s="119">
        <v>601</v>
      </c>
      <c r="B26" s="120">
        <v>4100</v>
      </c>
      <c r="C26" s="121">
        <v>17</v>
      </c>
      <c r="D26" s="122" t="s">
        <v>89</v>
      </c>
      <c r="E26" s="120">
        <v>0</v>
      </c>
      <c r="F26" s="121">
        <v>15</v>
      </c>
      <c r="G26" s="119">
        <v>661</v>
      </c>
      <c r="H26" s="120">
        <v>1100</v>
      </c>
      <c r="I26" s="123">
        <v>22</v>
      </c>
      <c r="J26" s="119">
        <v>681</v>
      </c>
      <c r="K26" s="120">
        <v>1879</v>
      </c>
      <c r="L26" s="124">
        <v>18</v>
      </c>
      <c r="M26" s="162"/>
    </row>
    <row r="27" spans="1:19" ht="21.75" customHeight="1">
      <c r="A27" s="119">
        <v>602</v>
      </c>
      <c r="B27" s="120">
        <v>0</v>
      </c>
      <c r="C27" s="121">
        <v>18</v>
      </c>
      <c r="D27" s="122" t="s">
        <v>90</v>
      </c>
      <c r="E27" s="120">
        <v>1000</v>
      </c>
      <c r="F27" s="121">
        <v>19</v>
      </c>
      <c r="G27" s="119">
        <v>662</v>
      </c>
      <c r="H27" s="120">
        <v>2718</v>
      </c>
      <c r="I27" s="123">
        <v>17</v>
      </c>
      <c r="J27" s="119">
        <v>682</v>
      </c>
      <c r="K27" s="120">
        <v>1623</v>
      </c>
      <c r="L27" s="134">
        <v>16</v>
      </c>
      <c r="M27" s="163"/>
    </row>
    <row r="28" spans="1:19" ht="21.75" customHeight="1">
      <c r="A28" s="119">
        <v>603</v>
      </c>
      <c r="B28" s="120">
        <v>7138</v>
      </c>
      <c r="C28" s="121">
        <v>19</v>
      </c>
      <c r="D28" s="122">
        <v>631</v>
      </c>
      <c r="E28" s="120">
        <v>4804</v>
      </c>
      <c r="F28" s="121">
        <v>18</v>
      </c>
      <c r="G28" s="119">
        <v>663</v>
      </c>
      <c r="H28" s="120">
        <v>3496</v>
      </c>
      <c r="I28" s="123">
        <v>21</v>
      </c>
      <c r="J28" s="119">
        <v>683</v>
      </c>
      <c r="K28" s="120">
        <v>1728</v>
      </c>
      <c r="L28" s="134">
        <v>17</v>
      </c>
      <c r="M28" s="163"/>
    </row>
    <row r="29" spans="1:19" ht="21.75" customHeight="1">
      <c r="A29" s="119" t="s">
        <v>91</v>
      </c>
      <c r="B29" s="125">
        <v>8886</v>
      </c>
      <c r="C29" s="126">
        <v>17</v>
      </c>
      <c r="D29" s="122">
        <v>632</v>
      </c>
      <c r="E29" s="125">
        <v>1714</v>
      </c>
      <c r="F29" s="126">
        <v>18</v>
      </c>
      <c r="G29" s="119">
        <v>664</v>
      </c>
      <c r="H29" s="125">
        <v>5618</v>
      </c>
      <c r="I29" s="124">
        <v>18</v>
      </c>
      <c r="J29" s="119">
        <v>684</v>
      </c>
      <c r="K29" s="125">
        <v>2449</v>
      </c>
      <c r="L29" s="134">
        <v>16</v>
      </c>
      <c r="M29" s="163"/>
    </row>
    <row r="30" spans="1:19" ht="21.75" customHeight="1">
      <c r="A30" s="119" t="s">
        <v>92</v>
      </c>
      <c r="B30" s="125">
        <v>3220</v>
      </c>
      <c r="C30" s="126">
        <v>13</v>
      </c>
      <c r="D30" s="122">
        <v>633</v>
      </c>
      <c r="E30" s="125">
        <v>3212</v>
      </c>
      <c r="F30" s="126">
        <v>8</v>
      </c>
      <c r="G30" s="119">
        <v>665</v>
      </c>
      <c r="H30" s="125">
        <v>3391</v>
      </c>
      <c r="I30" s="124">
        <v>19</v>
      </c>
      <c r="J30" s="119">
        <v>685</v>
      </c>
      <c r="K30" s="125">
        <v>5612</v>
      </c>
      <c r="L30" s="134">
        <v>17</v>
      </c>
      <c r="M30" s="163"/>
    </row>
    <row r="31" spans="1:19" ht="21.75" customHeight="1">
      <c r="A31" s="119">
        <v>611</v>
      </c>
      <c r="B31" s="120">
        <v>39.119999999999997</v>
      </c>
      <c r="C31" s="136">
        <v>25</v>
      </c>
      <c r="D31" s="122">
        <v>634</v>
      </c>
      <c r="E31" s="125">
        <v>7330</v>
      </c>
      <c r="F31" s="126">
        <v>16</v>
      </c>
      <c r="G31" s="119">
        <v>666</v>
      </c>
      <c r="H31" s="125">
        <v>6156</v>
      </c>
      <c r="I31" s="124">
        <v>17</v>
      </c>
      <c r="J31" s="119">
        <v>686</v>
      </c>
      <c r="K31" s="125">
        <v>5583</v>
      </c>
      <c r="L31" s="134">
        <v>17</v>
      </c>
      <c r="M31" s="163"/>
    </row>
    <row r="32" spans="1:19" ht="21.75" customHeight="1">
      <c r="A32" s="119">
        <v>612</v>
      </c>
      <c r="B32" s="120">
        <v>80.12</v>
      </c>
      <c r="C32" s="136">
        <v>25</v>
      </c>
      <c r="D32" s="122">
        <v>641</v>
      </c>
      <c r="E32" s="125">
        <v>241</v>
      </c>
      <c r="F32" s="126">
        <v>20</v>
      </c>
      <c r="G32" s="119">
        <v>667</v>
      </c>
      <c r="H32" s="125">
        <v>-1643</v>
      </c>
      <c r="I32" s="124">
        <v>17</v>
      </c>
      <c r="J32" s="119">
        <v>687</v>
      </c>
      <c r="K32" s="125">
        <v>4803</v>
      </c>
      <c r="L32" s="134">
        <v>16</v>
      </c>
      <c r="M32" s="163"/>
    </row>
    <row r="33" spans="1:13" ht="21.75" customHeight="1">
      <c r="A33" s="119">
        <v>613</v>
      </c>
      <c r="B33" s="120">
        <v>82.13</v>
      </c>
      <c r="C33" s="136">
        <v>25</v>
      </c>
      <c r="D33" s="122">
        <v>642</v>
      </c>
      <c r="E33" s="125">
        <v>3807</v>
      </c>
      <c r="F33" s="126">
        <v>28</v>
      </c>
      <c r="G33" s="119">
        <v>668</v>
      </c>
      <c r="H33" s="125">
        <v>-595</v>
      </c>
      <c r="I33" s="124">
        <v>18</v>
      </c>
      <c r="J33" s="119">
        <v>688</v>
      </c>
      <c r="K33" s="125">
        <v>5283</v>
      </c>
      <c r="L33" s="134">
        <v>16</v>
      </c>
      <c r="M33" s="163"/>
    </row>
    <row r="34" spans="1:13" ht="21.75" customHeight="1">
      <c r="A34" s="119">
        <v>614</v>
      </c>
      <c r="B34" s="125">
        <v>33.11</v>
      </c>
      <c r="C34" s="136">
        <v>25</v>
      </c>
      <c r="D34" s="122">
        <v>643</v>
      </c>
      <c r="E34" s="125">
        <v>3100</v>
      </c>
      <c r="F34" s="126">
        <v>17</v>
      </c>
      <c r="G34" s="119">
        <v>669</v>
      </c>
      <c r="H34" s="125">
        <v>938</v>
      </c>
      <c r="I34" s="124">
        <v>32</v>
      </c>
      <c r="J34" s="119">
        <v>689</v>
      </c>
      <c r="K34" s="125">
        <v>2059</v>
      </c>
      <c r="L34" s="134">
        <v>16</v>
      </c>
      <c r="M34" s="163"/>
    </row>
    <row r="35" spans="1:13" ht="21.75" customHeight="1">
      <c r="A35" s="119">
        <v>621</v>
      </c>
      <c r="B35" s="125">
        <v>4993</v>
      </c>
      <c r="C35" s="126">
        <v>18</v>
      </c>
      <c r="D35" s="122">
        <v>645</v>
      </c>
      <c r="E35" s="125">
        <v>73</v>
      </c>
      <c r="F35" s="126">
        <v>17</v>
      </c>
      <c r="G35" s="119">
        <v>670</v>
      </c>
      <c r="H35" s="125">
        <v>-9901</v>
      </c>
      <c r="I35" s="124">
        <v>32</v>
      </c>
      <c r="J35" s="119">
        <v>690</v>
      </c>
      <c r="K35" s="125">
        <v>439</v>
      </c>
      <c r="L35" s="124">
        <v>22</v>
      </c>
      <c r="M35" s="163"/>
    </row>
    <row r="36" spans="1:13" ht="21.75" customHeight="1">
      <c r="A36" s="119">
        <v>622</v>
      </c>
      <c r="B36" s="125">
        <v>5238</v>
      </c>
      <c r="C36" s="126">
        <v>18</v>
      </c>
      <c r="D36" s="119">
        <v>651</v>
      </c>
      <c r="E36" s="125">
        <v>1770</v>
      </c>
      <c r="F36" s="126">
        <v>18</v>
      </c>
      <c r="G36" s="119">
        <v>671</v>
      </c>
      <c r="H36" s="125">
        <v>0</v>
      </c>
      <c r="I36" s="124">
        <v>22</v>
      </c>
      <c r="J36" s="119">
        <v>691</v>
      </c>
      <c r="K36" s="125">
        <v>2966</v>
      </c>
      <c r="L36" s="134">
        <v>18</v>
      </c>
      <c r="M36" s="163"/>
    </row>
    <row r="37" spans="1:13" ht="21.75" customHeight="1">
      <c r="A37" s="119">
        <v>623</v>
      </c>
      <c r="B37" s="125">
        <v>3231</v>
      </c>
      <c r="C37" s="126">
        <v>23</v>
      </c>
      <c r="D37" s="119">
        <v>652</v>
      </c>
      <c r="E37" s="125">
        <v>2617</v>
      </c>
      <c r="F37" s="126">
        <v>18</v>
      </c>
      <c r="G37" s="119">
        <v>672</v>
      </c>
      <c r="H37" s="125">
        <v>25</v>
      </c>
      <c r="I37" s="124">
        <v>17</v>
      </c>
      <c r="J37" s="119">
        <v>692</v>
      </c>
      <c r="K37" s="125">
        <v>3373</v>
      </c>
      <c r="L37" s="134">
        <v>18</v>
      </c>
      <c r="M37" s="163"/>
    </row>
    <row r="38" spans="1:13" ht="21.75" customHeight="1">
      <c r="A38" s="122">
        <v>624</v>
      </c>
      <c r="B38" s="125">
        <v>6440</v>
      </c>
      <c r="C38" s="126">
        <v>19</v>
      </c>
      <c r="D38" s="133">
        <v>653</v>
      </c>
      <c r="E38" s="125">
        <v>2871</v>
      </c>
      <c r="F38" s="126">
        <v>15</v>
      </c>
      <c r="G38" s="119">
        <v>673</v>
      </c>
      <c r="H38" s="125">
        <v>744</v>
      </c>
      <c r="I38" s="124">
        <v>21</v>
      </c>
      <c r="J38" s="119">
        <v>693</v>
      </c>
      <c r="K38" s="125">
        <v>2644</v>
      </c>
      <c r="L38" s="134">
        <v>17</v>
      </c>
      <c r="M38" s="163"/>
    </row>
    <row r="39" spans="1:13" ht="21.75" customHeight="1">
      <c r="A39" s="122" t="s">
        <v>93</v>
      </c>
      <c r="B39" s="125">
        <v>0</v>
      </c>
      <c r="C39" s="126">
        <v>21</v>
      </c>
      <c r="D39" s="119">
        <v>654</v>
      </c>
      <c r="E39" s="125">
        <v>13</v>
      </c>
      <c r="F39" s="126">
        <v>19</v>
      </c>
      <c r="G39" s="119">
        <v>674</v>
      </c>
      <c r="H39" s="125">
        <v>6510</v>
      </c>
      <c r="I39" s="124">
        <v>17</v>
      </c>
      <c r="J39" s="119">
        <v>694</v>
      </c>
      <c r="K39" s="125">
        <v>6392</v>
      </c>
      <c r="L39" s="134">
        <v>17</v>
      </c>
      <c r="M39" s="163"/>
    </row>
    <row r="40" spans="1:13" ht="21.75" customHeight="1">
      <c r="A40" s="122" t="s">
        <v>26</v>
      </c>
      <c r="B40" s="125">
        <v>0</v>
      </c>
      <c r="C40" s="126">
        <v>25</v>
      </c>
      <c r="D40" s="133">
        <v>655</v>
      </c>
      <c r="E40" s="125">
        <v>391</v>
      </c>
      <c r="F40" s="126">
        <v>20</v>
      </c>
      <c r="G40" s="119">
        <v>675</v>
      </c>
      <c r="H40" s="120">
        <v>84.65</v>
      </c>
      <c r="I40" s="134">
        <v>25</v>
      </c>
      <c r="J40" s="119">
        <v>695</v>
      </c>
      <c r="K40" s="125">
        <v>5158</v>
      </c>
      <c r="L40" s="134">
        <v>17</v>
      </c>
      <c r="M40" s="163"/>
    </row>
    <row r="41" spans="1:13" ht="21.75" customHeight="1">
      <c r="A41" s="122" t="s">
        <v>27</v>
      </c>
      <c r="B41" s="125">
        <v>0</v>
      </c>
      <c r="C41" s="126">
        <v>13</v>
      </c>
      <c r="D41" s="119">
        <v>656</v>
      </c>
      <c r="E41" s="125">
        <v>1407</v>
      </c>
      <c r="F41" s="126">
        <v>19</v>
      </c>
      <c r="G41" s="119">
        <v>676</v>
      </c>
      <c r="H41" s="120">
        <v>8.81</v>
      </c>
      <c r="I41" s="134">
        <v>25</v>
      </c>
      <c r="J41" s="119">
        <v>696</v>
      </c>
      <c r="K41" s="125">
        <v>393</v>
      </c>
      <c r="L41" s="134">
        <v>18</v>
      </c>
      <c r="M41" s="163"/>
    </row>
    <row r="42" spans="1:13" ht="21.75" customHeight="1">
      <c r="A42" s="122" t="s">
        <v>28</v>
      </c>
      <c r="B42" s="125">
        <v>0</v>
      </c>
      <c r="C42" s="126">
        <v>20</v>
      </c>
      <c r="D42" s="119">
        <v>657</v>
      </c>
      <c r="E42" s="125">
        <v>6536</v>
      </c>
      <c r="F42" s="126">
        <v>18</v>
      </c>
      <c r="G42" s="119">
        <v>677</v>
      </c>
      <c r="H42" s="120">
        <v>44.23</v>
      </c>
      <c r="I42" s="134">
        <v>25</v>
      </c>
      <c r="J42" s="119">
        <v>697</v>
      </c>
      <c r="K42" s="125">
        <v>4420</v>
      </c>
      <c r="L42" s="134">
        <v>18</v>
      </c>
      <c r="M42" s="163"/>
    </row>
    <row r="43" spans="1:13" ht="21.75" customHeight="1">
      <c r="A43" s="122" t="s">
        <v>29</v>
      </c>
      <c r="B43" s="125">
        <v>5524</v>
      </c>
      <c r="C43" s="126">
        <v>17</v>
      </c>
      <c r="D43" s="133">
        <v>658</v>
      </c>
      <c r="E43" s="125">
        <v>203</v>
      </c>
      <c r="F43" s="126">
        <v>21</v>
      </c>
      <c r="G43" s="119">
        <v>678</v>
      </c>
      <c r="H43" s="120">
        <v>90.92</v>
      </c>
      <c r="I43" s="134">
        <v>25</v>
      </c>
      <c r="J43" s="119">
        <v>698</v>
      </c>
      <c r="K43" s="125">
        <v>10558</v>
      </c>
      <c r="L43" s="134">
        <v>53</v>
      </c>
      <c r="M43" s="163"/>
    </row>
    <row r="44" spans="1:13" ht="21.75" customHeight="1">
      <c r="A44" s="122" t="s">
        <v>30</v>
      </c>
      <c r="B44" s="125">
        <v>0</v>
      </c>
      <c r="C44" s="126">
        <v>24</v>
      </c>
      <c r="D44" s="119">
        <v>659</v>
      </c>
      <c r="E44" s="125">
        <v>2319</v>
      </c>
      <c r="F44" s="126">
        <v>17</v>
      </c>
      <c r="G44" s="119">
        <v>680</v>
      </c>
      <c r="H44" s="125">
        <v>2150</v>
      </c>
      <c r="I44" s="137">
        <v>18</v>
      </c>
      <c r="J44" s="119">
        <v>699</v>
      </c>
      <c r="K44" s="125">
        <v>702</v>
      </c>
      <c r="L44" s="134">
        <v>20</v>
      </c>
      <c r="M44" s="163"/>
    </row>
    <row r="45" spans="1:13" ht="21.75" customHeight="1" thickBot="1">
      <c r="A45" s="129" t="s">
        <v>94</v>
      </c>
      <c r="B45" s="130">
        <v>6650</v>
      </c>
      <c r="C45" s="130">
        <v>18</v>
      </c>
      <c r="D45" s="131">
        <v>660</v>
      </c>
      <c r="E45" s="130">
        <v>231</v>
      </c>
      <c r="F45" s="132">
        <v>20</v>
      </c>
      <c r="G45" s="119"/>
      <c r="H45" s="120"/>
      <c r="I45" s="123"/>
      <c r="J45" s="119"/>
      <c r="K45" s="120"/>
      <c r="L45" s="123"/>
      <c r="M45" s="164"/>
    </row>
    <row r="46" spans="1:13" ht="16.5" thickTop="1"/>
  </sheetData>
  <sheetProtection selectLockedCells="1"/>
  <mergeCells count="9">
    <mergeCell ref="S13:S15"/>
    <mergeCell ref="A24:B24"/>
    <mergeCell ref="M26:M45"/>
    <mergeCell ref="A1:B1"/>
    <mergeCell ref="M3:M22"/>
    <mergeCell ref="N13:N15"/>
    <mergeCell ref="O13:O15"/>
    <mergeCell ref="P13:P15"/>
    <mergeCell ref="Q13:Q15"/>
  </mergeCells>
  <phoneticPr fontId="2" type="noConversion"/>
  <dataValidations count="8">
    <dataValidation type="custom" errorStyle="warning" allowBlank="1" showInputMessage="1" showErrorMessage="1" error="***你在睡喔,醒醒好嗎" sqref="B38 B27 B15 E31 B29:B30 B6:B7 B4 E8">
      <formula1>B4&lt;=9100</formula1>
    </dataValidation>
    <dataValidation type="custom" errorStyle="warning" allowBlank="1" showInputMessage="1" showErrorMessage="1" error="***你在睡喔,醒醒好嗎" sqref="B8:B11 B31:B34 H17:H20 H40:H43">
      <formula1>B8&lt;=100</formula1>
    </dataValidation>
    <dataValidation type="custom" errorStyle="warning" allowBlank="1" showInputMessage="1" showErrorMessage="1" error="***你在睡喔,醒醒好嗎" sqref="B16:B22 E19:E22 B39:B45 E26:E27 E42:E45 H26:H39 E3:E4 H3:H16">
      <formula1>B3&lt;=7400</formula1>
    </dataValidation>
    <dataValidation type="custom" errorStyle="warning" allowBlank="1" showInputMessage="1" showErrorMessage="1" error="***你在睡喔,醒醒好嗎" sqref="E36:E41 E13:E18">
      <formula1>E13&lt;=5500</formula1>
    </dataValidation>
    <dataValidation type="custom" errorStyle="warning" allowBlank="1" showInputMessage="1" showErrorMessage="1" error="***你在睡喔,醒醒好嗎" sqref="H21 K35 H44 K12">
      <formula1>H12&lt;=4100</formula1>
    </dataValidation>
    <dataValidation type="custom" errorStyle="warning" allowBlank="1" showInputMessage="1" showErrorMessage="1" error="***你在睡喔,醒醒好嗎" sqref="E5:E6 K37:K40 B12:B13 B3 B26 B35:B36 E28:E29 B28 B5 K14:K17">
      <formula1>B3&lt;=7000</formula1>
    </dataValidation>
    <dataValidation type="custom" errorStyle="warning" allowBlank="1" showInputMessage="1" showErrorMessage="1" error="***你在睡喔,醒醒好嗎" sqref="K41:K44 K18:K21">
      <formula1>K18&lt;=12000</formula1>
    </dataValidation>
    <dataValidation type="custom" errorStyle="warning" allowBlank="1" showInputMessage="1" showErrorMessage="1" error="***你在睡喔,醒醒好嗎" sqref="K26:K34 E32:E35 E9:E12 B37 E30 K36 B14 E7 K13 K3:K11">
      <formula1>B3&lt;=5600</formula1>
    </dataValidation>
  </dataValidations>
  <printOptions horizontalCentered="1"/>
  <pageMargins left="0.39370078740157483" right="0.19685039370078741" top="0.19685039370078741" bottom="0" header="0" footer="0"/>
  <pageSetup paperSize="9" scale="73" pageOrder="overThenDown" orientation="landscape" horizontalDpi="180" verticalDpi="18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47682" r:id="rId4" name="CommandButton2">
          <controlPr autoLine="0" r:id="rId5">
            <anchor moveWithCells="1">
              <from>
                <xdr:col>13</xdr:col>
                <xdr:colOff>19050</xdr:colOff>
                <xdr:row>25</xdr:row>
                <xdr:rowOff>76200</xdr:rowOff>
              </from>
              <to>
                <xdr:col>14</xdr:col>
                <xdr:colOff>419100</xdr:colOff>
                <xdr:row>29</xdr:row>
                <xdr:rowOff>247650</xdr:rowOff>
              </to>
            </anchor>
          </controlPr>
        </control>
      </mc:Choice>
      <mc:Fallback>
        <control shapeId="2247682" r:id="rId4" name="CommandButton2"/>
      </mc:Fallback>
    </mc:AlternateContent>
    <mc:AlternateContent xmlns:mc="http://schemas.openxmlformats.org/markup-compatibility/2006">
      <mc:Choice Requires="x14">
        <control shapeId="2247681" r:id="rId6" name="CommandButton1">
          <controlPr autoLine="0" r:id="rId7">
            <anchor moveWithCells="1">
              <from>
                <xdr:col>13</xdr:col>
                <xdr:colOff>66675</xdr:colOff>
                <xdr:row>15</xdr:row>
                <xdr:rowOff>247650</xdr:rowOff>
              </from>
              <to>
                <xdr:col>14</xdr:col>
                <xdr:colOff>438150</xdr:colOff>
                <xdr:row>21</xdr:row>
                <xdr:rowOff>85725</xdr:rowOff>
              </to>
            </anchor>
          </controlPr>
        </control>
      </mc:Choice>
      <mc:Fallback>
        <control shapeId="2247681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pageSetUpPr fitToPage="1"/>
  </sheetPr>
  <dimension ref="A1:X94"/>
  <sheetViews>
    <sheetView showRuler="0" view="pageBreakPreview" zoomScale="60" zoomScaleNormal="60" workbookViewId="0">
      <pane ySplit="1" topLeftCell="A2" activePane="bottomLeft" state="frozen"/>
      <selection activeCell="K12" sqref="K12"/>
      <selection pane="bottomLeft" activeCell="N9" sqref="N9"/>
    </sheetView>
  </sheetViews>
  <sheetFormatPr defaultColWidth="9" defaultRowHeight="17.25"/>
  <cols>
    <col min="1" max="1" width="9.5" style="47" customWidth="1"/>
    <col min="2" max="10" width="10.625" style="47" customWidth="1"/>
    <col min="11" max="12" width="10.625" style="6" customWidth="1"/>
    <col min="13" max="13" width="10.625" style="50" customWidth="1"/>
    <col min="14" max="16" width="10.625" style="6" customWidth="1"/>
    <col min="17" max="17" width="12.875" style="47" customWidth="1"/>
    <col min="18" max="18" width="10.625" style="6" customWidth="1"/>
    <col min="19" max="19" width="10.625" style="47" customWidth="1"/>
    <col min="20" max="20" width="10.625" style="6" customWidth="1"/>
    <col min="21" max="21" width="10.625" style="51" customWidth="1"/>
    <col min="22" max="23" width="9.875" style="6" bestFit="1" customWidth="1"/>
    <col min="24" max="24" width="15.5" style="6" bestFit="1" customWidth="1"/>
    <col min="25" max="16384" width="9" style="6"/>
  </cols>
  <sheetData>
    <row r="1" spans="1:24" ht="49.15" customHeight="1">
      <c r="A1" s="1" t="s">
        <v>6</v>
      </c>
      <c r="B1" s="2" t="s">
        <v>7</v>
      </c>
      <c r="C1" s="2" t="s">
        <v>8</v>
      </c>
      <c r="D1" s="2" t="s">
        <v>9</v>
      </c>
      <c r="E1" s="2" t="s">
        <v>10</v>
      </c>
      <c r="F1" s="3" t="s">
        <v>11</v>
      </c>
      <c r="G1" s="2" t="s">
        <v>12</v>
      </c>
      <c r="H1" s="2" t="s">
        <v>13</v>
      </c>
      <c r="I1" s="2" t="s">
        <v>14</v>
      </c>
      <c r="J1" s="4" t="s">
        <v>15</v>
      </c>
      <c r="K1" s="2" t="s">
        <v>16</v>
      </c>
      <c r="L1" s="2" t="s">
        <v>17</v>
      </c>
      <c r="M1" s="2" t="s">
        <v>18</v>
      </c>
      <c r="N1" s="2" t="s">
        <v>19</v>
      </c>
      <c r="O1" s="4" t="s">
        <v>20</v>
      </c>
      <c r="P1" s="3" t="s">
        <v>21</v>
      </c>
      <c r="Q1" s="2" t="s">
        <v>80</v>
      </c>
      <c r="R1" s="2" t="s">
        <v>22</v>
      </c>
      <c r="S1" s="2" t="s">
        <v>23</v>
      </c>
      <c r="T1" s="2" t="s">
        <v>24</v>
      </c>
      <c r="U1" s="5" t="s">
        <v>25</v>
      </c>
      <c r="V1" s="5" t="s">
        <v>34</v>
      </c>
      <c r="W1" s="5" t="s">
        <v>38</v>
      </c>
      <c r="X1" s="5" t="s">
        <v>87</v>
      </c>
    </row>
    <row r="2" spans="1:24" s="13" customFormat="1" ht="26.45" customHeight="1" thickBot="1">
      <c r="A2" s="7">
        <v>1</v>
      </c>
      <c r="B2" s="8">
        <v>0.80020000000000002</v>
      </c>
      <c r="C2" s="8">
        <v>1.1264000000000001</v>
      </c>
      <c r="D2" s="8">
        <v>1.0450999999999999</v>
      </c>
      <c r="E2" s="8">
        <v>0.81089999999999995</v>
      </c>
      <c r="F2" s="9"/>
      <c r="G2" s="8">
        <v>0.80520000000000003</v>
      </c>
      <c r="H2" s="8">
        <v>0.93820000000000003</v>
      </c>
      <c r="I2" s="8">
        <v>1.0691999999999999</v>
      </c>
      <c r="J2" s="10">
        <v>0.98939999999999995</v>
      </c>
      <c r="K2" s="8">
        <v>0.96160000000000001</v>
      </c>
      <c r="L2" s="11">
        <v>0.95099999999999996</v>
      </c>
      <c r="M2" s="8"/>
      <c r="N2" s="11">
        <v>0.94899999999999995</v>
      </c>
      <c r="O2" s="11">
        <v>0.93500000000000005</v>
      </c>
      <c r="P2" s="9"/>
      <c r="Q2" s="27">
        <v>0.95454000000000006</v>
      </c>
      <c r="R2" s="8">
        <v>0.82220000000000004</v>
      </c>
      <c r="S2" s="12">
        <v>1.0519000000000001</v>
      </c>
      <c r="T2" s="8">
        <v>0.96960000000000002</v>
      </c>
      <c r="U2" s="8">
        <v>1.028</v>
      </c>
      <c r="V2" s="16">
        <v>0.96399999999999997</v>
      </c>
      <c r="W2" s="16">
        <v>0.97658999999999996</v>
      </c>
      <c r="X2" s="16">
        <v>0.81481000000000003</v>
      </c>
    </row>
    <row r="3" spans="1:24" s="13" customFormat="1" ht="26.45" customHeight="1" thickTop="1" thickBot="1">
      <c r="A3" s="7">
        <v>2</v>
      </c>
      <c r="B3" s="8">
        <v>0.79930000000000001</v>
      </c>
      <c r="C3" s="8">
        <v>1.1257999999999999</v>
      </c>
      <c r="D3" s="8">
        <v>1.0471999999999999</v>
      </c>
      <c r="E3" s="14">
        <v>0.81</v>
      </c>
      <c r="F3" s="9"/>
      <c r="G3" s="8">
        <v>0.80420000000000003</v>
      </c>
      <c r="H3" s="8">
        <v>0.93730000000000002</v>
      </c>
      <c r="I3" s="8">
        <v>1.0681</v>
      </c>
      <c r="J3" s="10">
        <v>0.98939999999999995</v>
      </c>
      <c r="K3" s="8">
        <v>0.9607</v>
      </c>
      <c r="L3" s="11">
        <v>0.96</v>
      </c>
      <c r="M3" s="8"/>
      <c r="N3" s="11">
        <v>0.94899999999999995</v>
      </c>
      <c r="O3" s="11">
        <v>0.93500000000000005</v>
      </c>
      <c r="P3" s="9"/>
      <c r="Q3" s="27">
        <v>0.95454000000000006</v>
      </c>
      <c r="R3" s="8">
        <v>0.82120000000000004</v>
      </c>
      <c r="S3" s="12">
        <v>1.0511999999999999</v>
      </c>
      <c r="T3" s="8">
        <v>0.96870000000000001</v>
      </c>
      <c r="U3" s="8">
        <v>1.028</v>
      </c>
      <c r="V3" s="16">
        <v>0.96399999999999997</v>
      </c>
      <c r="W3" s="16">
        <v>0.97658999999999996</v>
      </c>
      <c r="X3" s="16">
        <v>0.81481000000000003</v>
      </c>
    </row>
    <row r="4" spans="1:24" s="13" customFormat="1" ht="26.45" customHeight="1" thickTop="1" thickBot="1">
      <c r="A4" s="7">
        <v>3</v>
      </c>
      <c r="B4" s="8">
        <v>0.7984</v>
      </c>
      <c r="C4" s="8">
        <v>1.1251</v>
      </c>
      <c r="D4" s="8">
        <v>1.0463</v>
      </c>
      <c r="E4" s="8">
        <v>0.80910000000000004</v>
      </c>
      <c r="F4" s="9"/>
      <c r="G4" s="8">
        <v>0.80320000000000003</v>
      </c>
      <c r="H4" s="8">
        <v>0.93630000000000002</v>
      </c>
      <c r="I4" s="14">
        <v>1.0669999999999999</v>
      </c>
      <c r="J4" s="10">
        <v>0.98939999999999995</v>
      </c>
      <c r="K4" s="8">
        <v>0.95989999999999998</v>
      </c>
      <c r="L4" s="11">
        <v>0.95899999999999996</v>
      </c>
      <c r="M4" s="8"/>
      <c r="N4" s="11">
        <v>0.94899999999999995</v>
      </c>
      <c r="O4" s="11">
        <v>0.93500000000000005</v>
      </c>
      <c r="P4" s="9"/>
      <c r="Q4" s="27">
        <v>0.95454000000000006</v>
      </c>
      <c r="R4" s="8">
        <v>0.82020000000000004</v>
      </c>
      <c r="S4" s="12">
        <v>1.0504</v>
      </c>
      <c r="T4" s="8">
        <v>0.96789999999999998</v>
      </c>
      <c r="U4" s="8">
        <v>1.028</v>
      </c>
      <c r="V4" s="16">
        <v>0.96399999999999997</v>
      </c>
      <c r="W4" s="16">
        <v>0.97658999999999996</v>
      </c>
      <c r="X4" s="16">
        <v>0.81481000000000003</v>
      </c>
    </row>
    <row r="5" spans="1:24" s="13" customFormat="1" ht="24" customHeight="1" thickTop="1" thickBot="1">
      <c r="A5" s="7">
        <v>4</v>
      </c>
      <c r="B5" s="8">
        <v>0.79749999999999999</v>
      </c>
      <c r="C5" s="8">
        <v>1.1245000000000001</v>
      </c>
      <c r="D5" s="8">
        <v>1.0454000000000001</v>
      </c>
      <c r="E5" s="8">
        <v>0.80820000000000003</v>
      </c>
      <c r="F5" s="9"/>
      <c r="G5" s="8">
        <v>0.80220000000000002</v>
      </c>
      <c r="H5" s="8">
        <v>0.93530000000000002</v>
      </c>
      <c r="I5" s="8">
        <v>1.0659000000000001</v>
      </c>
      <c r="J5" s="10">
        <v>0.98939999999999995</v>
      </c>
      <c r="K5" s="8">
        <v>0.95899999999999996</v>
      </c>
      <c r="L5" s="11">
        <v>0.95799999999999996</v>
      </c>
      <c r="M5" s="8"/>
      <c r="N5" s="11">
        <v>0.94899999999999995</v>
      </c>
      <c r="O5" s="11">
        <v>0.93500000000000005</v>
      </c>
      <c r="P5" s="9"/>
      <c r="Q5" s="27">
        <v>0.95454000000000006</v>
      </c>
      <c r="R5" s="8">
        <v>0.81920000000000004</v>
      </c>
      <c r="S5" s="12">
        <v>1.0497000000000001</v>
      </c>
      <c r="T5" s="8">
        <v>0.96699999999999997</v>
      </c>
      <c r="U5" s="8">
        <v>1.028</v>
      </c>
      <c r="V5" s="16">
        <v>0.96399999999999997</v>
      </c>
      <c r="W5" s="16">
        <v>0.97658999999999996</v>
      </c>
      <c r="X5" s="16">
        <v>0.81481000000000003</v>
      </c>
    </row>
    <row r="6" spans="1:24" ht="22.5" customHeight="1" thickTop="1" thickBot="1">
      <c r="A6" s="15">
        <v>5</v>
      </c>
      <c r="B6" s="16">
        <v>0.79659999999999997</v>
      </c>
      <c r="C6" s="16">
        <v>1.1237999999999999</v>
      </c>
      <c r="D6" s="16">
        <v>1.0445</v>
      </c>
      <c r="E6" s="16">
        <v>0.80730000000000002</v>
      </c>
      <c r="F6" s="17"/>
      <c r="G6" s="16">
        <v>0.80120000000000002</v>
      </c>
      <c r="H6" s="16">
        <v>0.93440000000000001</v>
      </c>
      <c r="I6" s="16">
        <v>1.0648</v>
      </c>
      <c r="J6" s="16">
        <v>0.98939999999999995</v>
      </c>
      <c r="K6" s="16">
        <v>0.95820000000000005</v>
      </c>
      <c r="L6" s="16">
        <v>0.95699999999999996</v>
      </c>
      <c r="M6" s="18"/>
      <c r="N6" s="18">
        <v>0.94899999999999995</v>
      </c>
      <c r="O6" s="18">
        <v>0.93500000000000005</v>
      </c>
      <c r="P6" s="19"/>
      <c r="Q6" s="27">
        <v>0.95454000000000006</v>
      </c>
      <c r="R6" s="18">
        <v>0.81820000000000004</v>
      </c>
      <c r="S6" s="20">
        <v>1.0488</v>
      </c>
      <c r="T6" s="16">
        <v>0.96609999999999996</v>
      </c>
      <c r="U6" s="16">
        <v>1.028</v>
      </c>
      <c r="V6" s="16">
        <v>0.96399999999999997</v>
      </c>
      <c r="W6" s="16">
        <v>0.97658999999999996</v>
      </c>
      <c r="X6" s="16">
        <v>0.81481000000000003</v>
      </c>
    </row>
    <row r="7" spans="1:24" ht="22.5" customHeight="1" thickTop="1" thickBot="1">
      <c r="A7" s="21">
        <v>6</v>
      </c>
      <c r="B7" s="22">
        <v>0.79569999999999996</v>
      </c>
      <c r="C7" s="22">
        <v>1.123</v>
      </c>
      <c r="D7" s="22">
        <v>1.0436000000000001</v>
      </c>
      <c r="E7" s="22">
        <v>0.80620000000000003</v>
      </c>
      <c r="F7" s="22"/>
      <c r="G7" s="22">
        <v>0.80020000000000002</v>
      </c>
      <c r="H7" s="22">
        <v>0.93340000000000001</v>
      </c>
      <c r="I7" s="22">
        <v>1.0637000000000001</v>
      </c>
      <c r="J7" s="22">
        <v>0.98939999999999995</v>
      </c>
      <c r="K7" s="22">
        <v>0.95730000000000004</v>
      </c>
      <c r="L7" s="22">
        <v>0.95599999999999996</v>
      </c>
      <c r="M7" s="16">
        <v>0.88029999999999997</v>
      </c>
      <c r="N7" s="23">
        <v>0.94799999999999995</v>
      </c>
      <c r="O7" s="23">
        <v>0.93500000000000005</v>
      </c>
      <c r="P7" s="24"/>
      <c r="Q7" s="27">
        <v>0.95454000000000006</v>
      </c>
      <c r="R7" s="23">
        <v>0.81720000000000004</v>
      </c>
      <c r="S7" s="25">
        <v>1.0481</v>
      </c>
      <c r="T7" s="22">
        <v>0.96509999999999996</v>
      </c>
      <c r="U7" s="8">
        <v>1.028</v>
      </c>
      <c r="V7" s="16">
        <v>0.96399999999999997</v>
      </c>
      <c r="W7" s="16">
        <v>0.9758</v>
      </c>
      <c r="X7" s="16">
        <v>0.81481000000000003</v>
      </c>
    </row>
    <row r="8" spans="1:24" ht="22.5" customHeight="1" thickTop="1" thickBot="1">
      <c r="A8" s="26">
        <v>7</v>
      </c>
      <c r="B8" s="27">
        <v>0.79479999999999995</v>
      </c>
      <c r="C8" s="27">
        <v>1.1222000000000001</v>
      </c>
      <c r="D8" s="27">
        <v>1.0427</v>
      </c>
      <c r="E8" s="27">
        <v>0.80510000000000004</v>
      </c>
      <c r="F8" s="27"/>
      <c r="G8" s="28">
        <v>0.79920000000000002</v>
      </c>
      <c r="H8" s="28">
        <v>0.9325</v>
      </c>
      <c r="I8" s="28">
        <v>1.0625</v>
      </c>
      <c r="J8" s="28">
        <v>0.98939999999999995</v>
      </c>
      <c r="K8" s="28">
        <v>0.95640000000000003</v>
      </c>
      <c r="L8" s="28">
        <v>0.95499999999999996</v>
      </c>
      <c r="M8" s="22">
        <v>0.88029999999999997</v>
      </c>
      <c r="N8" s="28">
        <v>0.94799999999999995</v>
      </c>
      <c r="O8" s="28">
        <v>0.93500000000000005</v>
      </c>
      <c r="P8" s="29"/>
      <c r="Q8" s="27">
        <v>0.95454000000000006</v>
      </c>
      <c r="R8" s="28">
        <v>0.81620000000000004</v>
      </c>
      <c r="S8" s="25">
        <v>1.0472999999999999</v>
      </c>
      <c r="T8" s="22">
        <v>0.96430000000000005</v>
      </c>
      <c r="U8" s="8">
        <v>1.028</v>
      </c>
      <c r="V8" s="16">
        <v>0.96399999999999997</v>
      </c>
      <c r="W8" s="16">
        <v>0.97501000000000004</v>
      </c>
      <c r="X8" s="16">
        <v>0.81481000000000003</v>
      </c>
    </row>
    <row r="9" spans="1:24" ht="22.5" customHeight="1" thickTop="1" thickBot="1">
      <c r="A9" s="26">
        <v>8</v>
      </c>
      <c r="B9" s="27">
        <v>0.79400000000000004</v>
      </c>
      <c r="C9" s="27">
        <v>1.1214</v>
      </c>
      <c r="D9" s="27">
        <v>1.0418000000000001</v>
      </c>
      <c r="E9" s="27">
        <v>0.80389999999999995</v>
      </c>
      <c r="F9" s="27"/>
      <c r="G9" s="27">
        <v>0.79820000000000002</v>
      </c>
      <c r="H9" s="27">
        <v>0.93149999999999999</v>
      </c>
      <c r="I9" s="27">
        <v>1.0613999999999999</v>
      </c>
      <c r="J9" s="27">
        <v>0.98939999999999995</v>
      </c>
      <c r="K9" s="27">
        <v>0.9556</v>
      </c>
      <c r="L9" s="27">
        <v>0.95399999999999996</v>
      </c>
      <c r="M9" s="27">
        <v>0.88029999999999997</v>
      </c>
      <c r="N9" s="28">
        <v>0.94799999999999995</v>
      </c>
      <c r="O9" s="28">
        <v>0.93500000000000005</v>
      </c>
      <c r="P9" s="29"/>
      <c r="Q9" s="27">
        <v>0.95454000000000006</v>
      </c>
      <c r="R9" s="28">
        <v>0.81520000000000004</v>
      </c>
      <c r="S9" s="27">
        <v>1.0465</v>
      </c>
      <c r="T9" s="22">
        <v>0.96330000000000005</v>
      </c>
      <c r="U9" s="8">
        <v>1.028</v>
      </c>
      <c r="V9" s="16">
        <v>0.96399999999999997</v>
      </c>
      <c r="W9" s="16">
        <v>0.97422000000000009</v>
      </c>
      <c r="X9" s="16">
        <v>0.81481000000000003</v>
      </c>
    </row>
    <row r="10" spans="1:24" ht="22.5" customHeight="1" thickTop="1" thickBot="1">
      <c r="A10" s="26">
        <v>9</v>
      </c>
      <c r="B10" s="27">
        <v>0.79310000000000003</v>
      </c>
      <c r="C10" s="27">
        <v>1.1206</v>
      </c>
      <c r="D10" s="27">
        <v>1.0408999999999999</v>
      </c>
      <c r="E10" s="27">
        <v>0.80269999999999997</v>
      </c>
      <c r="F10" s="27"/>
      <c r="G10" s="27">
        <v>0.79720000000000002</v>
      </c>
      <c r="H10" s="27">
        <v>0.93059999999999998</v>
      </c>
      <c r="I10" s="27">
        <v>1.0603</v>
      </c>
      <c r="J10" s="27">
        <v>0.98939999999999995</v>
      </c>
      <c r="K10" s="27">
        <v>0.95469999999999999</v>
      </c>
      <c r="L10" s="27">
        <v>0.95299999999999996</v>
      </c>
      <c r="M10" s="27">
        <v>0.88029999999999997</v>
      </c>
      <c r="N10" s="27">
        <v>0.94799999999999995</v>
      </c>
      <c r="O10" s="27">
        <v>0.93400000000000005</v>
      </c>
      <c r="P10" s="30"/>
      <c r="Q10" s="27">
        <v>0.95454000000000006</v>
      </c>
      <c r="R10" s="27">
        <v>0.81420000000000003</v>
      </c>
      <c r="S10" s="27">
        <v>1.0458000000000001</v>
      </c>
      <c r="T10" s="27">
        <v>0.96230000000000004</v>
      </c>
      <c r="U10" s="8">
        <v>1.028</v>
      </c>
      <c r="V10" s="16">
        <v>0.96399999999999997</v>
      </c>
      <c r="W10" s="16">
        <v>0.97343000000000013</v>
      </c>
      <c r="X10" s="16">
        <v>0.81481000000000003</v>
      </c>
    </row>
    <row r="11" spans="1:24" ht="22.5" customHeight="1" thickTop="1" thickBot="1">
      <c r="A11" s="15">
        <v>10</v>
      </c>
      <c r="B11" s="16">
        <v>0.7923</v>
      </c>
      <c r="C11" s="16">
        <v>1.1197999999999999</v>
      </c>
      <c r="D11" s="16">
        <v>1.04</v>
      </c>
      <c r="E11" s="16">
        <v>0.80159999999999998</v>
      </c>
      <c r="F11" s="16">
        <v>0.94240000000000002</v>
      </c>
      <c r="G11" s="16">
        <v>0.97619999999999996</v>
      </c>
      <c r="H11" s="16">
        <v>0.92969999999999997</v>
      </c>
      <c r="I11" s="16">
        <v>1.0528999999999999</v>
      </c>
      <c r="J11" s="16">
        <v>0.98850000000000005</v>
      </c>
      <c r="K11" s="16">
        <v>0.95379999999999998</v>
      </c>
      <c r="L11" s="16">
        <v>0.95199999999999996</v>
      </c>
      <c r="M11" s="16">
        <v>0.88029999999999997</v>
      </c>
      <c r="N11" s="16">
        <v>0.94799999999999995</v>
      </c>
      <c r="O11" s="16">
        <v>0.93400000000000005</v>
      </c>
      <c r="P11" s="16">
        <v>0.94511999999999996</v>
      </c>
      <c r="Q11" s="27">
        <v>0.95454000000000006</v>
      </c>
      <c r="R11" s="16">
        <v>0.81320000000000003</v>
      </c>
      <c r="S11" s="16">
        <v>1.0449999999999999</v>
      </c>
      <c r="T11" s="16">
        <v>0.96140000000000003</v>
      </c>
      <c r="U11" s="16">
        <v>1.028</v>
      </c>
      <c r="V11" s="16">
        <v>0.96399999999999997</v>
      </c>
      <c r="W11" s="16">
        <v>0.97264000000000017</v>
      </c>
      <c r="X11" s="16">
        <v>0.81481000000000003</v>
      </c>
    </row>
    <row r="12" spans="1:24" ht="22.5" customHeight="1" thickTop="1" thickBot="1">
      <c r="A12" s="21">
        <v>11</v>
      </c>
      <c r="B12" s="22">
        <v>0.79139999999999999</v>
      </c>
      <c r="C12" s="22">
        <v>1.119</v>
      </c>
      <c r="D12" s="22">
        <v>1.0390999999999999</v>
      </c>
      <c r="E12" s="22">
        <v>0.8004</v>
      </c>
      <c r="F12" s="22">
        <v>0.94155</v>
      </c>
      <c r="G12" s="22">
        <v>0.97519999999999996</v>
      </c>
      <c r="H12" s="22">
        <v>0.92869999999999997</v>
      </c>
      <c r="I12" s="22">
        <v>1.0580000000000001</v>
      </c>
      <c r="J12" s="22">
        <v>0.98770000000000002</v>
      </c>
      <c r="K12" s="22">
        <v>0.95299999999999996</v>
      </c>
      <c r="L12" s="22">
        <v>0.95099999999999996</v>
      </c>
      <c r="M12" s="22">
        <v>0.88029999999999997</v>
      </c>
      <c r="N12" s="22">
        <v>0.94</v>
      </c>
      <c r="O12" s="22">
        <v>0.93400000000000005</v>
      </c>
      <c r="P12" s="22">
        <v>0.94420000000000004</v>
      </c>
      <c r="Q12" s="27">
        <v>0.95454000000000006</v>
      </c>
      <c r="R12" s="31">
        <v>0.81220000000000003</v>
      </c>
      <c r="S12" s="22">
        <v>1.0442</v>
      </c>
      <c r="T12" s="22">
        <v>0.96040000000000003</v>
      </c>
      <c r="U12" s="8">
        <v>1.028</v>
      </c>
      <c r="V12" s="16">
        <v>0.96399999999999997</v>
      </c>
      <c r="W12" s="16">
        <v>0.97192000000000012</v>
      </c>
      <c r="X12" s="16">
        <v>0.8145</v>
      </c>
    </row>
    <row r="13" spans="1:24" ht="22.5" customHeight="1" thickTop="1" thickBot="1">
      <c r="A13" s="26">
        <v>12</v>
      </c>
      <c r="B13" s="27">
        <v>0.79059999999999997</v>
      </c>
      <c r="C13" s="27">
        <v>1.1182000000000001</v>
      </c>
      <c r="D13" s="27">
        <v>1.0383</v>
      </c>
      <c r="E13" s="27">
        <v>0.79930000000000001</v>
      </c>
      <c r="F13" s="27">
        <v>0.94059999999999999</v>
      </c>
      <c r="G13" s="27">
        <v>0.97419999999999995</v>
      </c>
      <c r="H13" s="27">
        <v>0.92769999999999997</v>
      </c>
      <c r="I13" s="27">
        <v>1.0569</v>
      </c>
      <c r="J13" s="27">
        <v>0.9869</v>
      </c>
      <c r="K13" s="27">
        <v>0.95209999999999995</v>
      </c>
      <c r="L13" s="27">
        <v>0.95</v>
      </c>
      <c r="M13" s="27">
        <v>0.88029999999999997</v>
      </c>
      <c r="N13" s="27">
        <v>0.94</v>
      </c>
      <c r="O13" s="27">
        <v>0.93400000000000005</v>
      </c>
      <c r="P13" s="27">
        <v>0.94320999999999999</v>
      </c>
      <c r="Q13" s="27">
        <v>0.95454000000000006</v>
      </c>
      <c r="R13" s="27">
        <v>0.81120000000000003</v>
      </c>
      <c r="S13" s="27">
        <v>1.0434000000000001</v>
      </c>
      <c r="T13" s="22">
        <v>0.96050000000000002</v>
      </c>
      <c r="U13" s="8">
        <v>1.028</v>
      </c>
      <c r="V13" s="16">
        <v>0.96399999999999997</v>
      </c>
      <c r="W13" s="16">
        <v>0.97120000000000006</v>
      </c>
      <c r="X13" s="16">
        <v>0.81410000000000005</v>
      </c>
    </row>
    <row r="14" spans="1:24" ht="22.5" customHeight="1" thickTop="1" thickBot="1">
      <c r="A14" s="26">
        <v>13</v>
      </c>
      <c r="B14" s="27">
        <v>0.78969999999999996</v>
      </c>
      <c r="C14" s="27">
        <v>1.1173999999999999</v>
      </c>
      <c r="D14" s="27">
        <v>1.0374000000000001</v>
      </c>
      <c r="E14" s="27">
        <v>0.79810000000000003</v>
      </c>
      <c r="F14" s="27">
        <v>0.93964999999999999</v>
      </c>
      <c r="G14" s="27">
        <v>0.97319999999999995</v>
      </c>
      <c r="H14" s="27">
        <v>0.92669999999999997</v>
      </c>
      <c r="I14" s="27">
        <v>1.0558000000000001</v>
      </c>
      <c r="J14" s="27">
        <v>0.98609999999999998</v>
      </c>
      <c r="K14" s="27">
        <v>0.95130000000000003</v>
      </c>
      <c r="L14" s="27">
        <v>0.94899999999999995</v>
      </c>
      <c r="M14" s="27">
        <v>0.88029999999999997</v>
      </c>
      <c r="N14" s="27">
        <v>0.94</v>
      </c>
      <c r="O14" s="27">
        <v>0.93400000000000005</v>
      </c>
      <c r="P14" s="27">
        <v>0.94220999999999999</v>
      </c>
      <c r="Q14" s="27">
        <v>0.95454000000000006</v>
      </c>
      <c r="R14" s="27">
        <v>0.81020000000000003</v>
      </c>
      <c r="S14" s="27">
        <v>1.0427</v>
      </c>
      <c r="T14" s="22">
        <v>0.95950000000000002</v>
      </c>
      <c r="U14" s="8">
        <v>1.028</v>
      </c>
      <c r="V14" s="16">
        <v>0.96399999999999997</v>
      </c>
      <c r="W14" s="16">
        <v>0.97048000000000001</v>
      </c>
      <c r="X14" s="16">
        <v>0.81369999999999998</v>
      </c>
    </row>
    <row r="15" spans="1:24" ht="22.5" customHeight="1" thickTop="1" thickBot="1">
      <c r="A15" s="32">
        <v>14</v>
      </c>
      <c r="B15" s="33">
        <v>0.78890000000000005</v>
      </c>
      <c r="C15" s="33">
        <v>1.1166</v>
      </c>
      <c r="D15" s="33">
        <v>1.0365</v>
      </c>
      <c r="E15" s="27">
        <v>0.79700000000000004</v>
      </c>
      <c r="F15" s="27">
        <v>0.93937999999999999</v>
      </c>
      <c r="G15" s="27">
        <v>0.97219999999999995</v>
      </c>
      <c r="H15" s="27">
        <v>0.92569999999999997</v>
      </c>
      <c r="I15" s="27">
        <v>1.0556000000000001</v>
      </c>
      <c r="J15" s="27">
        <v>0.98529999999999995</v>
      </c>
      <c r="K15" s="27">
        <v>0.95040000000000002</v>
      </c>
      <c r="L15" s="27">
        <v>0.94799999999999995</v>
      </c>
      <c r="M15" s="27">
        <v>0.88029999999999997</v>
      </c>
      <c r="N15" s="27">
        <v>0.94</v>
      </c>
      <c r="O15" s="27">
        <v>0.93400000000000005</v>
      </c>
      <c r="P15" s="27">
        <v>0.94116999999999995</v>
      </c>
      <c r="Q15" s="27">
        <v>0.95454000000000006</v>
      </c>
      <c r="R15" s="27">
        <v>0.80920000000000003</v>
      </c>
      <c r="S15" s="27">
        <v>1.0419</v>
      </c>
      <c r="T15" s="27">
        <v>0.95850000000000002</v>
      </c>
      <c r="U15" s="8">
        <v>1.028</v>
      </c>
      <c r="V15" s="16">
        <v>0.96399999999999997</v>
      </c>
      <c r="W15" s="16">
        <v>0.96975999999999996</v>
      </c>
      <c r="X15" s="16">
        <v>0.81330000000000002</v>
      </c>
    </row>
    <row r="16" spans="1:24" ht="22.5" customHeight="1" thickTop="1" thickBot="1">
      <c r="A16" s="15">
        <v>15</v>
      </c>
      <c r="B16" s="16">
        <v>0.78800000000000003</v>
      </c>
      <c r="C16" s="16">
        <v>1.1157999999999999</v>
      </c>
      <c r="D16" s="16">
        <v>1.0356000000000001</v>
      </c>
      <c r="E16" s="16">
        <v>0.79469999999999996</v>
      </c>
      <c r="F16" s="16">
        <v>0.93791999999999998</v>
      </c>
      <c r="G16" s="16">
        <v>0.97119999999999995</v>
      </c>
      <c r="H16" s="16">
        <v>0.92469999999999997</v>
      </c>
      <c r="I16" s="16">
        <v>1.0535000000000001</v>
      </c>
      <c r="J16" s="16">
        <v>0.98450000000000004</v>
      </c>
      <c r="K16" s="34">
        <v>0.94950000000000001</v>
      </c>
      <c r="L16" s="16">
        <v>0.94699999999999995</v>
      </c>
      <c r="M16" s="16">
        <v>0.88029999999999997</v>
      </c>
      <c r="N16" s="16">
        <v>0.94</v>
      </c>
      <c r="O16" s="16">
        <v>0.93400000000000005</v>
      </c>
      <c r="P16" s="16">
        <v>0.94037000000000004</v>
      </c>
      <c r="Q16" s="27">
        <v>0.95454000000000006</v>
      </c>
      <c r="R16" s="16">
        <v>0.80830000000000002</v>
      </c>
      <c r="S16" s="16">
        <v>1.0411999999999999</v>
      </c>
      <c r="T16" s="16">
        <v>0.95750000000000002</v>
      </c>
      <c r="U16" s="16">
        <v>1.028</v>
      </c>
      <c r="V16" s="16">
        <v>0.96399999999999997</v>
      </c>
      <c r="W16" s="16">
        <v>0.9690399999999999</v>
      </c>
      <c r="X16" s="16">
        <v>0.81293000000000004</v>
      </c>
    </row>
    <row r="17" spans="1:24" ht="22.5" customHeight="1" thickTop="1" thickBot="1">
      <c r="A17" s="21">
        <v>16</v>
      </c>
      <c r="B17" s="22">
        <v>0.78720000000000001</v>
      </c>
      <c r="C17" s="22">
        <v>1.1152</v>
      </c>
      <c r="D17" s="22">
        <v>1.0347999999999999</v>
      </c>
      <c r="E17" s="22">
        <v>0.79359999999999997</v>
      </c>
      <c r="F17" s="22">
        <v>0.93676999999999999</v>
      </c>
      <c r="G17" s="22">
        <v>0.97</v>
      </c>
      <c r="H17" s="22">
        <v>0.92369999999999997</v>
      </c>
      <c r="I17" s="22">
        <v>1.0524</v>
      </c>
      <c r="J17" s="22">
        <v>0.98370000000000002</v>
      </c>
      <c r="K17" s="35">
        <v>0.9486</v>
      </c>
      <c r="L17" s="22">
        <v>0.94599999999999995</v>
      </c>
      <c r="M17" s="22">
        <v>0.88029999999999997</v>
      </c>
      <c r="N17" s="22">
        <v>0.94</v>
      </c>
      <c r="O17" s="22">
        <v>0.93400000000000005</v>
      </c>
      <c r="P17" s="22">
        <v>0.93915999999999999</v>
      </c>
      <c r="Q17" s="27">
        <v>0.9536</v>
      </c>
      <c r="R17" s="22">
        <v>0.80740000000000001</v>
      </c>
      <c r="S17" s="22">
        <v>1.0404</v>
      </c>
      <c r="T17" s="22">
        <v>0.95650000000000002</v>
      </c>
      <c r="U17" s="8">
        <v>1.028</v>
      </c>
      <c r="V17" s="16">
        <v>0.96399999999999997</v>
      </c>
      <c r="W17" s="16">
        <v>0.96829999999999994</v>
      </c>
      <c r="X17" s="16">
        <v>0.81200000000000006</v>
      </c>
    </row>
    <row r="18" spans="1:24" ht="22.5" customHeight="1" thickTop="1" thickBot="1">
      <c r="A18" s="26">
        <v>17</v>
      </c>
      <c r="B18" s="27">
        <v>0.78639999999999999</v>
      </c>
      <c r="C18" s="27">
        <v>1.1145</v>
      </c>
      <c r="D18" s="27">
        <v>1.0339</v>
      </c>
      <c r="E18" s="27">
        <v>0.79249999999999998</v>
      </c>
      <c r="F18" s="27">
        <v>0.93696999999999997</v>
      </c>
      <c r="G18" s="27">
        <v>0.96899999999999997</v>
      </c>
      <c r="H18" s="27">
        <v>0.92269999999999996</v>
      </c>
      <c r="I18" s="27">
        <v>1.0516000000000001</v>
      </c>
      <c r="J18" s="27">
        <v>0.98260000000000003</v>
      </c>
      <c r="K18" s="36">
        <v>0.94779999999999998</v>
      </c>
      <c r="L18" s="27">
        <v>0.94499999999999995</v>
      </c>
      <c r="M18" s="27">
        <v>0.88029999999999997</v>
      </c>
      <c r="N18" s="27">
        <v>0.94</v>
      </c>
      <c r="O18" s="27">
        <v>0.93400000000000005</v>
      </c>
      <c r="P18" s="27">
        <v>0.93815000000000004</v>
      </c>
      <c r="Q18" s="27">
        <v>0.95279999999999998</v>
      </c>
      <c r="R18" s="27">
        <v>0.80649999999999999</v>
      </c>
      <c r="S18" s="27">
        <v>1.0397000000000001</v>
      </c>
      <c r="T18" s="22">
        <v>0.95489999999999997</v>
      </c>
      <c r="U18" s="8">
        <v>1.028</v>
      </c>
      <c r="V18" s="16">
        <v>0.96399999999999997</v>
      </c>
      <c r="W18" s="16">
        <v>0.96755999999999998</v>
      </c>
      <c r="X18" s="16">
        <v>0.81110000000000004</v>
      </c>
    </row>
    <row r="19" spans="1:24" ht="22.5" customHeight="1" thickTop="1" thickBot="1">
      <c r="A19" s="26">
        <v>18</v>
      </c>
      <c r="B19" s="27">
        <v>0.78569999999999995</v>
      </c>
      <c r="C19" s="27">
        <v>1.1138999999999999</v>
      </c>
      <c r="D19" s="27">
        <v>1.0330999999999999</v>
      </c>
      <c r="E19" s="27">
        <v>0.79139999999999999</v>
      </c>
      <c r="F19" s="27">
        <v>0.93486000000000002</v>
      </c>
      <c r="G19" s="27">
        <v>0.96799999999999997</v>
      </c>
      <c r="H19" s="27">
        <v>0.92169999999999996</v>
      </c>
      <c r="I19" s="27">
        <v>1.0506</v>
      </c>
      <c r="J19" s="27">
        <v>0.98209999999999997</v>
      </c>
      <c r="K19" s="36">
        <v>0.94689999999999996</v>
      </c>
      <c r="L19" s="27">
        <v>0.94399999999999995</v>
      </c>
      <c r="M19" s="27">
        <v>0.88029999999999997</v>
      </c>
      <c r="N19" s="27">
        <v>0.94</v>
      </c>
      <c r="O19" s="27">
        <v>0.93400000000000005</v>
      </c>
      <c r="P19" s="27">
        <v>0.93713999999999997</v>
      </c>
      <c r="Q19" s="27">
        <v>0.95201000000000002</v>
      </c>
      <c r="R19" s="37">
        <v>0.80569999999999997</v>
      </c>
      <c r="S19" s="27">
        <v>1.0389999999999999</v>
      </c>
      <c r="T19" s="22">
        <v>0.95320000000000005</v>
      </c>
      <c r="U19" s="8">
        <v>1.028</v>
      </c>
      <c r="V19" s="16">
        <v>0.96399999999999997</v>
      </c>
      <c r="W19" s="16">
        <v>0.96682000000000001</v>
      </c>
      <c r="X19" s="16">
        <v>0.81020000000000003</v>
      </c>
    </row>
    <row r="20" spans="1:24" ht="22.5" customHeight="1" thickTop="1" thickBot="1">
      <c r="A20" s="26">
        <v>19</v>
      </c>
      <c r="B20" s="27">
        <v>0.78490000000000004</v>
      </c>
      <c r="C20" s="27">
        <v>1.1132</v>
      </c>
      <c r="D20" s="27">
        <v>1.0322</v>
      </c>
      <c r="E20" s="27">
        <v>0.7903</v>
      </c>
      <c r="F20" s="27">
        <v>0.93391000000000002</v>
      </c>
      <c r="G20" s="27">
        <v>0.96699999999999997</v>
      </c>
      <c r="H20" s="27">
        <v>0.92069999999999996</v>
      </c>
      <c r="I20" s="27">
        <v>1.0494000000000001</v>
      </c>
      <c r="J20" s="27">
        <v>0.98129999999999995</v>
      </c>
      <c r="K20" s="36">
        <v>0.94599999999999995</v>
      </c>
      <c r="L20" s="27">
        <v>0.94299999999999995</v>
      </c>
      <c r="M20" s="27">
        <v>0.88029999999999997</v>
      </c>
      <c r="N20" s="27">
        <v>0.94</v>
      </c>
      <c r="O20" s="27">
        <v>0.93400000000000005</v>
      </c>
      <c r="P20" s="27">
        <v>0.93613000000000002</v>
      </c>
      <c r="Q20" s="27">
        <v>0.95123000000000002</v>
      </c>
      <c r="R20" s="37">
        <v>0.80479999999999996</v>
      </c>
      <c r="S20" s="27">
        <v>1.0371999999999999</v>
      </c>
      <c r="T20" s="22">
        <v>0.9516</v>
      </c>
      <c r="U20" s="8">
        <v>1.028</v>
      </c>
      <c r="V20" s="16">
        <v>0.96399999999999997</v>
      </c>
      <c r="W20" s="16">
        <v>0.96608000000000005</v>
      </c>
      <c r="X20" s="16">
        <v>0.80920000000000003</v>
      </c>
    </row>
    <row r="21" spans="1:24" ht="22.5" customHeight="1" thickTop="1" thickBot="1">
      <c r="A21" s="38">
        <v>20</v>
      </c>
      <c r="B21" s="28">
        <v>0.78410000000000002</v>
      </c>
      <c r="C21" s="28">
        <v>1.1126</v>
      </c>
      <c r="D21" s="28">
        <v>1.0314000000000001</v>
      </c>
      <c r="E21" s="18">
        <v>0.78920000000000001</v>
      </c>
      <c r="F21" s="16">
        <v>0.93288000000000004</v>
      </c>
      <c r="G21" s="18">
        <v>0.96589999999999998</v>
      </c>
      <c r="H21" s="18">
        <v>0.91969999999999996</v>
      </c>
      <c r="I21" s="18">
        <v>1.0483</v>
      </c>
      <c r="J21" s="18">
        <v>0.98050000000000004</v>
      </c>
      <c r="K21" s="39">
        <v>0.94520000000000004</v>
      </c>
      <c r="L21" s="18">
        <v>0.94199999999999995</v>
      </c>
      <c r="M21" s="40">
        <v>0.88029999999999997</v>
      </c>
      <c r="N21" s="18">
        <v>0.94</v>
      </c>
      <c r="O21" s="18">
        <v>0.93</v>
      </c>
      <c r="P21" s="16">
        <v>0.93506</v>
      </c>
      <c r="Q21" s="27">
        <v>0.95038</v>
      </c>
      <c r="R21" s="41">
        <v>0.80369999999999997</v>
      </c>
      <c r="S21" s="18">
        <v>1.0363899999999999</v>
      </c>
      <c r="T21" s="16">
        <v>0.95</v>
      </c>
      <c r="U21" s="16">
        <v>1.028</v>
      </c>
      <c r="V21" s="16">
        <v>0.96399999999999997</v>
      </c>
      <c r="W21" s="16">
        <v>0.96534000000000009</v>
      </c>
      <c r="X21" s="16">
        <v>0.80813999999999997</v>
      </c>
    </row>
    <row r="22" spans="1:24" ht="22.5" customHeight="1" thickTop="1" thickBot="1">
      <c r="A22" s="42">
        <v>21</v>
      </c>
      <c r="B22" s="43">
        <v>0.78320000000000001</v>
      </c>
      <c r="C22" s="43">
        <v>1.1119000000000001</v>
      </c>
      <c r="D22" s="43">
        <v>1.0305</v>
      </c>
      <c r="E22" s="22">
        <v>0.78800000000000003</v>
      </c>
      <c r="F22" s="22">
        <v>0.93198000000000003</v>
      </c>
      <c r="G22" s="22">
        <v>0.96489999999999998</v>
      </c>
      <c r="H22" s="22">
        <v>0.91879999999999995</v>
      </c>
      <c r="I22" s="22">
        <v>1.0469999999999999</v>
      </c>
      <c r="J22" s="22">
        <v>0.97960000000000003</v>
      </c>
      <c r="K22" s="35">
        <v>0.94430000000000003</v>
      </c>
      <c r="L22" s="22">
        <v>0.94099999999999995</v>
      </c>
      <c r="M22" s="44">
        <v>0.87909999999999999</v>
      </c>
      <c r="N22" s="22">
        <v>0.94</v>
      </c>
      <c r="O22" s="22">
        <v>0.93</v>
      </c>
      <c r="P22" s="16">
        <v>0.93506</v>
      </c>
      <c r="Q22" s="27">
        <v>0.94969000000000003</v>
      </c>
      <c r="R22" s="31">
        <v>0.80289999999999995</v>
      </c>
      <c r="S22" s="22">
        <v>1.03566</v>
      </c>
      <c r="T22" s="22">
        <v>0.94889999999999997</v>
      </c>
      <c r="U22" s="8">
        <v>1.028</v>
      </c>
      <c r="V22" s="8">
        <v>0.96079999999999999</v>
      </c>
      <c r="W22" s="52">
        <v>0.96470000000000011</v>
      </c>
      <c r="X22" s="52">
        <v>0.80730000000000002</v>
      </c>
    </row>
    <row r="23" spans="1:24" ht="22.5" customHeight="1" thickTop="1">
      <c r="A23" s="26">
        <v>22</v>
      </c>
      <c r="B23" s="27">
        <v>0.7823</v>
      </c>
      <c r="C23" s="27">
        <v>1.1111</v>
      </c>
      <c r="D23" s="27">
        <v>1.0295000000000001</v>
      </c>
      <c r="E23" s="27">
        <v>0.78680000000000005</v>
      </c>
      <c r="F23" s="27">
        <v>0.93115999999999999</v>
      </c>
      <c r="G23" s="27">
        <v>0.96379999999999999</v>
      </c>
      <c r="H23" s="27">
        <v>0.91779999999999995</v>
      </c>
      <c r="I23" s="27">
        <v>1.0454000000000001</v>
      </c>
      <c r="J23" s="27">
        <v>0.9788</v>
      </c>
      <c r="K23" s="36">
        <v>0.94330000000000003</v>
      </c>
      <c r="L23" s="27">
        <v>0.94</v>
      </c>
      <c r="M23" s="45">
        <v>0.878</v>
      </c>
      <c r="N23" s="27">
        <v>0.93200000000000005</v>
      </c>
      <c r="O23" s="27">
        <v>0.93</v>
      </c>
      <c r="P23" s="27">
        <v>0.93327000000000004</v>
      </c>
      <c r="Q23" s="27">
        <v>0.94908999999999999</v>
      </c>
      <c r="R23" s="37">
        <v>0.80179999999999996</v>
      </c>
      <c r="S23" s="27">
        <v>1.0349299999999999</v>
      </c>
      <c r="T23" s="22">
        <v>0.94730000000000003</v>
      </c>
      <c r="U23" s="8">
        <v>1.028</v>
      </c>
      <c r="V23" s="8">
        <v>0.96079999999999999</v>
      </c>
      <c r="W23" s="52">
        <v>0.96406000000000014</v>
      </c>
      <c r="X23" s="52">
        <v>0.80669999999999997</v>
      </c>
    </row>
    <row r="24" spans="1:24" ht="22.5" customHeight="1">
      <c r="A24" s="26">
        <v>23</v>
      </c>
      <c r="B24" s="27">
        <v>0.78139999999999998</v>
      </c>
      <c r="C24" s="27">
        <v>1.1104000000000001</v>
      </c>
      <c r="D24" s="27">
        <v>1.0286</v>
      </c>
      <c r="E24" s="27">
        <v>0.78559999999999997</v>
      </c>
      <c r="F24" s="27">
        <v>0.93006999999999995</v>
      </c>
      <c r="G24" s="27">
        <v>0.96220000000000006</v>
      </c>
      <c r="H24" s="27">
        <v>0.91669999999999996</v>
      </c>
      <c r="I24" s="27">
        <v>1.0448999999999999</v>
      </c>
      <c r="J24" s="27">
        <v>0.97799999999999998</v>
      </c>
      <c r="K24" s="36">
        <v>0.94240000000000002</v>
      </c>
      <c r="L24" s="27">
        <v>0.93899999999999995</v>
      </c>
      <c r="M24" s="45">
        <v>0.877</v>
      </c>
      <c r="N24" s="27">
        <v>0.93200000000000005</v>
      </c>
      <c r="O24" s="27">
        <v>0.93</v>
      </c>
      <c r="P24" s="27">
        <v>0.93208999999999997</v>
      </c>
      <c r="Q24" s="27">
        <v>0.94820000000000004</v>
      </c>
      <c r="R24" s="37">
        <v>0.80089999999999995</v>
      </c>
      <c r="S24" s="27">
        <v>1.0341899999999999</v>
      </c>
      <c r="T24" s="22">
        <v>0.94599999999999995</v>
      </c>
      <c r="U24" s="8">
        <v>1.0269999999999999</v>
      </c>
      <c r="V24" s="8">
        <v>0.96079999999999999</v>
      </c>
      <c r="W24" s="52">
        <v>0.96342000000000017</v>
      </c>
      <c r="X24" s="52">
        <v>0.80610000000000004</v>
      </c>
    </row>
    <row r="25" spans="1:24" ht="22.5" customHeight="1">
      <c r="A25" s="26">
        <v>24</v>
      </c>
      <c r="B25" s="27">
        <v>0.78049999999999997</v>
      </c>
      <c r="C25" s="27">
        <v>1.1095999999999999</v>
      </c>
      <c r="D25" s="27">
        <v>1.0276000000000001</v>
      </c>
      <c r="E25" s="27">
        <v>0.78439999999999999</v>
      </c>
      <c r="F25" s="27">
        <v>0.92910000000000004</v>
      </c>
      <c r="G25" s="27">
        <v>0.96120000000000005</v>
      </c>
      <c r="H25" s="27">
        <v>0.91569999999999996</v>
      </c>
      <c r="I25" s="27">
        <v>1.0437000000000001</v>
      </c>
      <c r="J25" s="27">
        <v>0.97719999999999996</v>
      </c>
      <c r="K25" s="36">
        <v>0.9415</v>
      </c>
      <c r="L25" s="27">
        <v>0.93799999999999994</v>
      </c>
      <c r="M25" s="45">
        <v>0.87590000000000001</v>
      </c>
      <c r="N25" s="27">
        <v>0.93200000000000005</v>
      </c>
      <c r="O25" s="27">
        <v>0.93</v>
      </c>
      <c r="P25" s="27">
        <v>0.93159999999999998</v>
      </c>
      <c r="Q25" s="27">
        <v>0.94747000000000003</v>
      </c>
      <c r="R25" s="37">
        <v>0.8</v>
      </c>
      <c r="S25" s="27">
        <v>1.03346</v>
      </c>
      <c r="T25" s="22">
        <v>0.9446</v>
      </c>
      <c r="U25" s="8">
        <v>1.026</v>
      </c>
      <c r="V25" s="8">
        <v>0.96079999999999999</v>
      </c>
      <c r="W25" s="52">
        <v>0.96278000000000019</v>
      </c>
      <c r="X25" s="52">
        <v>0.80549999999999999</v>
      </c>
    </row>
    <row r="26" spans="1:24" ht="22.5" customHeight="1" thickBot="1">
      <c r="A26" s="46">
        <v>25</v>
      </c>
      <c r="B26" s="18">
        <v>0.77959999999999996</v>
      </c>
      <c r="C26" s="18">
        <v>1.1089</v>
      </c>
      <c r="D26" s="18">
        <v>1.0266999999999999</v>
      </c>
      <c r="E26" s="18">
        <v>0.78320000000000001</v>
      </c>
      <c r="F26" s="16">
        <v>0.92813000000000001</v>
      </c>
      <c r="G26" s="18">
        <v>0.96020000000000005</v>
      </c>
      <c r="H26" s="18">
        <v>0.91469999999999996</v>
      </c>
      <c r="I26" s="18">
        <v>1.0423</v>
      </c>
      <c r="J26" s="18">
        <v>0.97640000000000005</v>
      </c>
      <c r="K26" s="39">
        <v>0.9405</v>
      </c>
      <c r="L26" s="18">
        <v>0.93700000000000006</v>
      </c>
      <c r="M26" s="40">
        <v>0.87509999999999999</v>
      </c>
      <c r="N26" s="18">
        <v>0.93</v>
      </c>
      <c r="O26" s="18">
        <v>0.92600000000000005</v>
      </c>
      <c r="P26" s="16">
        <v>0.93084</v>
      </c>
      <c r="Q26" s="27">
        <v>0.94674000000000003</v>
      </c>
      <c r="R26" s="41">
        <v>0.79910000000000003</v>
      </c>
      <c r="S26" s="18">
        <v>1.0327299999999999</v>
      </c>
      <c r="T26" s="16">
        <v>0.94330000000000003</v>
      </c>
      <c r="U26" s="16">
        <v>1.0249999999999999</v>
      </c>
      <c r="V26" s="8">
        <v>0.96079999999999999</v>
      </c>
      <c r="W26" s="52">
        <v>0.96214000000000022</v>
      </c>
      <c r="X26" s="52">
        <v>0.80493999999999999</v>
      </c>
    </row>
    <row r="27" spans="1:24" ht="22.5" customHeight="1" thickTop="1" thickBot="1">
      <c r="A27" s="21">
        <v>26</v>
      </c>
      <c r="B27" s="22">
        <v>0.77869999999999995</v>
      </c>
      <c r="C27" s="22">
        <v>1.1081000000000001</v>
      </c>
      <c r="D27" s="22">
        <v>1.0258</v>
      </c>
      <c r="E27" s="22">
        <v>0.78210000000000002</v>
      </c>
      <c r="F27" s="22">
        <v>0.92717000000000005</v>
      </c>
      <c r="G27" s="22">
        <v>0.95899999999999996</v>
      </c>
      <c r="H27" s="22">
        <v>0.91390000000000005</v>
      </c>
      <c r="I27" s="22">
        <v>1.0409999999999999</v>
      </c>
      <c r="J27" s="22">
        <v>0.97550000000000003</v>
      </c>
      <c r="K27" s="35">
        <v>0.93959999999999999</v>
      </c>
      <c r="L27" s="22">
        <v>0.93600000000000005</v>
      </c>
      <c r="M27" s="44">
        <v>0.87409999999999999</v>
      </c>
      <c r="N27" s="22">
        <v>0.93</v>
      </c>
      <c r="O27" s="22">
        <v>0.92600000000000005</v>
      </c>
      <c r="P27" s="22">
        <v>0.92906</v>
      </c>
      <c r="Q27" s="27">
        <v>0.94603000000000004</v>
      </c>
      <c r="R27" s="31">
        <v>0.79820000000000002</v>
      </c>
      <c r="S27" s="22">
        <v>1.031998</v>
      </c>
      <c r="T27" s="22">
        <v>0.94220000000000004</v>
      </c>
      <c r="U27" s="8">
        <v>1.024</v>
      </c>
      <c r="V27" s="16">
        <v>0.95760000000000001</v>
      </c>
      <c r="W27" s="52">
        <v>0.96155000000000024</v>
      </c>
      <c r="X27" s="52">
        <v>0.80459999999999998</v>
      </c>
    </row>
    <row r="28" spans="1:24" ht="22.5" customHeight="1" thickTop="1" thickBot="1">
      <c r="A28" s="26">
        <v>27</v>
      </c>
      <c r="B28" s="27">
        <v>0.77790000000000004</v>
      </c>
      <c r="C28" s="27">
        <v>1.1073999999999999</v>
      </c>
      <c r="D28" s="27">
        <v>1.0247999999999999</v>
      </c>
      <c r="E28" s="27">
        <v>0.78100000000000003</v>
      </c>
      <c r="F28" s="27">
        <v>0.92620999999999998</v>
      </c>
      <c r="G28" s="27">
        <v>0.95799999999999996</v>
      </c>
      <c r="H28" s="27">
        <v>0.91290000000000004</v>
      </c>
      <c r="I28" s="27">
        <v>1.04</v>
      </c>
      <c r="J28" s="27">
        <v>0.97470000000000001</v>
      </c>
      <c r="K28" s="36">
        <v>0.93869999999999998</v>
      </c>
      <c r="L28" s="27">
        <v>0.93500000000000005</v>
      </c>
      <c r="M28" s="45">
        <v>0.87309999999999999</v>
      </c>
      <c r="N28" s="27">
        <v>0.93</v>
      </c>
      <c r="O28" s="27">
        <v>0.92600000000000005</v>
      </c>
      <c r="P28" s="27">
        <v>0.92805000000000004</v>
      </c>
      <c r="Q28" s="27">
        <v>0.94532000000000005</v>
      </c>
      <c r="R28" s="37">
        <v>0.79720000000000002</v>
      </c>
      <c r="S28" s="27">
        <v>1.031266</v>
      </c>
      <c r="T28" s="22">
        <v>0.94120000000000004</v>
      </c>
      <c r="U28" s="8">
        <v>1.0229999999999999</v>
      </c>
      <c r="V28" s="16">
        <v>0.95760000000000001</v>
      </c>
      <c r="W28" s="52">
        <v>0.96096000000000026</v>
      </c>
      <c r="X28" s="52">
        <v>0.80430000000000001</v>
      </c>
    </row>
    <row r="29" spans="1:24" ht="22.5" customHeight="1" thickTop="1" thickBot="1">
      <c r="A29" s="26">
        <v>28</v>
      </c>
      <c r="B29" s="27">
        <v>0.77700000000000002</v>
      </c>
      <c r="C29" s="27">
        <v>1.1066</v>
      </c>
      <c r="D29" s="27">
        <v>1.0239</v>
      </c>
      <c r="E29" s="27">
        <v>0.77980000000000005</v>
      </c>
      <c r="F29" s="27">
        <v>0.92527000000000004</v>
      </c>
      <c r="G29" s="27">
        <v>0.95699999999999996</v>
      </c>
      <c r="H29" s="27">
        <v>0.91200000000000003</v>
      </c>
      <c r="I29" s="27">
        <v>1.0388999999999999</v>
      </c>
      <c r="J29" s="27">
        <v>0.97389999999999999</v>
      </c>
      <c r="K29" s="36">
        <v>0.93779999999999997</v>
      </c>
      <c r="L29" s="27">
        <v>0.93400000000000005</v>
      </c>
      <c r="M29" s="45">
        <v>0.872</v>
      </c>
      <c r="N29" s="27">
        <v>0.93</v>
      </c>
      <c r="O29" s="27">
        <v>0.92600000000000005</v>
      </c>
      <c r="P29" s="27">
        <v>0.92706</v>
      </c>
      <c r="Q29" s="27">
        <v>0.94462000000000002</v>
      </c>
      <c r="R29" s="37">
        <v>0.79630000000000001</v>
      </c>
      <c r="S29" s="27">
        <v>1.0305340000000001</v>
      </c>
      <c r="T29" s="22">
        <v>0.94010000000000005</v>
      </c>
      <c r="U29" s="8">
        <v>1.022</v>
      </c>
      <c r="V29" s="16">
        <v>0.95760000000000001</v>
      </c>
      <c r="W29" s="52">
        <v>0.96037000000000028</v>
      </c>
      <c r="X29" s="52">
        <v>0.80400000000000005</v>
      </c>
    </row>
    <row r="30" spans="1:24" ht="22.5" customHeight="1" thickTop="1" thickBot="1">
      <c r="A30" s="26">
        <v>29</v>
      </c>
      <c r="B30" s="27">
        <v>0.7762</v>
      </c>
      <c r="C30" s="27">
        <v>1.1059000000000001</v>
      </c>
      <c r="D30" s="27">
        <v>1.0228999999999999</v>
      </c>
      <c r="E30" s="27">
        <v>0.77869999999999995</v>
      </c>
      <c r="F30" s="27">
        <v>0.92430000000000001</v>
      </c>
      <c r="G30" s="27">
        <v>0.95589999999999997</v>
      </c>
      <c r="H30" s="27">
        <v>0.91100000000000003</v>
      </c>
      <c r="I30" s="27">
        <v>1.0377000000000001</v>
      </c>
      <c r="J30" s="27">
        <v>0.97309999999999997</v>
      </c>
      <c r="K30" s="36">
        <v>0.93689999999999996</v>
      </c>
      <c r="L30" s="27">
        <v>0.93300000000000005</v>
      </c>
      <c r="M30" s="45">
        <v>0.871</v>
      </c>
      <c r="N30" s="27">
        <v>0.93</v>
      </c>
      <c r="O30" s="27">
        <v>0.92600000000000005</v>
      </c>
      <c r="P30" s="27">
        <v>0.92603000000000002</v>
      </c>
      <c r="Q30" s="27">
        <v>0.94393000000000005</v>
      </c>
      <c r="R30" s="37">
        <v>0.79549999999999998</v>
      </c>
      <c r="S30" s="27">
        <v>1.0298020000000001</v>
      </c>
      <c r="T30" s="22">
        <v>0.93910000000000005</v>
      </c>
      <c r="U30" s="8">
        <v>1.0209999999999999</v>
      </c>
      <c r="V30" s="16">
        <v>0.95760000000000001</v>
      </c>
      <c r="W30" s="52">
        <v>0.9597800000000003</v>
      </c>
      <c r="X30" s="52">
        <v>0.80369999999999997</v>
      </c>
    </row>
    <row r="31" spans="1:24" ht="22.5" customHeight="1" thickTop="1" thickBot="1">
      <c r="A31" s="38">
        <v>30</v>
      </c>
      <c r="B31" s="28">
        <v>0.77529999999999999</v>
      </c>
      <c r="C31" s="28">
        <v>1.1051</v>
      </c>
      <c r="D31" s="28">
        <v>1.022</v>
      </c>
      <c r="E31" s="18">
        <v>0.77759999999999996</v>
      </c>
      <c r="F31" s="16">
        <v>0.92340999999999995</v>
      </c>
      <c r="G31" s="18">
        <v>0.95469999999999999</v>
      </c>
      <c r="H31" s="18">
        <v>0.91</v>
      </c>
      <c r="I31" s="18">
        <v>1.0366</v>
      </c>
      <c r="J31" s="18">
        <v>0.97230000000000005</v>
      </c>
      <c r="K31" s="39">
        <v>0.93600000000000005</v>
      </c>
      <c r="L31" s="18">
        <v>0.93200000000000005</v>
      </c>
      <c r="M31" s="40">
        <v>0.86990000000000001</v>
      </c>
      <c r="N31" s="18">
        <v>0.93</v>
      </c>
      <c r="O31" s="18">
        <v>0.92200000000000004</v>
      </c>
      <c r="P31" s="16">
        <v>0.92508999999999997</v>
      </c>
      <c r="Q31" s="27">
        <v>0.94333</v>
      </c>
      <c r="R31" s="41">
        <v>0.79459999999999997</v>
      </c>
      <c r="S31" s="18">
        <v>1.0289999999999999</v>
      </c>
      <c r="T31" s="16">
        <v>0.93810000000000004</v>
      </c>
      <c r="U31" s="16">
        <v>1.02</v>
      </c>
      <c r="V31" s="16">
        <v>0.95760000000000001</v>
      </c>
      <c r="W31" s="52">
        <v>0.95919000000000032</v>
      </c>
      <c r="X31" s="52">
        <v>0.80335999999999996</v>
      </c>
    </row>
    <row r="32" spans="1:24" ht="22.5" customHeight="1" thickTop="1" thickBot="1">
      <c r="A32" s="42">
        <v>31</v>
      </c>
      <c r="B32" s="43">
        <v>0.77439999999999998</v>
      </c>
      <c r="C32" s="43">
        <v>1.1041000000000001</v>
      </c>
      <c r="D32" s="43">
        <v>1.0210999999999999</v>
      </c>
      <c r="E32" s="22">
        <v>0.77644999999999997</v>
      </c>
      <c r="F32" s="22">
        <v>0.92235</v>
      </c>
      <c r="G32" s="22">
        <v>0.95370999999999995</v>
      </c>
      <c r="H32" s="22">
        <v>0.90905000000000002</v>
      </c>
      <c r="I32" s="22">
        <v>1.0355099999999999</v>
      </c>
      <c r="J32" s="22">
        <v>0.97140000000000004</v>
      </c>
      <c r="K32" s="35">
        <v>0.93510000000000004</v>
      </c>
      <c r="L32" s="22">
        <v>0.93100000000000005</v>
      </c>
      <c r="M32" s="44">
        <v>0.86887000000000003</v>
      </c>
      <c r="N32" s="22">
        <v>0.93</v>
      </c>
      <c r="O32" s="22">
        <v>0.92279999999999995</v>
      </c>
      <c r="P32" s="22">
        <v>0.92406999999999995</v>
      </c>
      <c r="Q32" s="27">
        <v>0.94257999999999997</v>
      </c>
      <c r="R32" s="31">
        <v>0.79379999999999995</v>
      </c>
      <c r="S32" s="22">
        <v>1.028268</v>
      </c>
      <c r="T32" s="22">
        <v>0.93710000000000004</v>
      </c>
      <c r="U32" s="8">
        <v>1.0189999999999999</v>
      </c>
      <c r="V32" s="16">
        <v>0.95760000000000001</v>
      </c>
      <c r="W32" s="52">
        <v>0.95860000000000034</v>
      </c>
      <c r="X32" s="52">
        <v>0.80249999999999999</v>
      </c>
    </row>
    <row r="33" spans="1:24" ht="22.5" customHeight="1" thickTop="1" thickBot="1">
      <c r="A33" s="26">
        <v>32</v>
      </c>
      <c r="B33" s="27">
        <v>0.77349999999999997</v>
      </c>
      <c r="C33" s="27">
        <v>1.103</v>
      </c>
      <c r="D33" s="27">
        <v>1.0202</v>
      </c>
      <c r="E33" s="27">
        <v>0.77532000000000001</v>
      </c>
      <c r="F33" s="27">
        <v>0.9214</v>
      </c>
      <c r="G33" s="27">
        <v>0.95264000000000004</v>
      </c>
      <c r="H33" s="27">
        <v>0.90808</v>
      </c>
      <c r="I33" s="27">
        <v>1.0344</v>
      </c>
      <c r="J33" s="27">
        <v>0.97060000000000002</v>
      </c>
      <c r="K33" s="36">
        <v>0.93420000000000003</v>
      </c>
      <c r="L33" s="27">
        <v>0.93</v>
      </c>
      <c r="M33" s="45">
        <v>0.86782000000000004</v>
      </c>
      <c r="N33" s="27">
        <v>0.93</v>
      </c>
      <c r="O33" s="27">
        <v>0.92200000000000004</v>
      </c>
      <c r="P33" s="27">
        <v>0.92298000000000002</v>
      </c>
      <c r="Q33" s="27">
        <v>0.94189999999999996</v>
      </c>
      <c r="R33" s="37">
        <v>0.79300000000000004</v>
      </c>
      <c r="S33" s="27">
        <v>1.027536</v>
      </c>
      <c r="T33" s="22">
        <v>0.93600000000000005</v>
      </c>
      <c r="U33" s="8">
        <v>1.018</v>
      </c>
      <c r="V33" s="16">
        <v>0.95760000000000001</v>
      </c>
      <c r="W33" s="52">
        <v>0.95801000000000036</v>
      </c>
      <c r="X33" s="52">
        <v>0.80159999999999998</v>
      </c>
    </row>
    <row r="34" spans="1:24" ht="22.5" customHeight="1" thickTop="1" thickBot="1">
      <c r="A34" s="26">
        <v>33</v>
      </c>
      <c r="B34" s="27">
        <v>0.77270000000000005</v>
      </c>
      <c r="C34" s="27">
        <v>1.1020000000000001</v>
      </c>
      <c r="D34" s="27">
        <v>1.0194000000000001</v>
      </c>
      <c r="E34" s="27">
        <v>0.77419000000000004</v>
      </c>
      <c r="F34" s="27">
        <v>0.92042999999999997</v>
      </c>
      <c r="G34" s="27">
        <v>0.95157000000000003</v>
      </c>
      <c r="H34" s="27">
        <v>0.90710999999999997</v>
      </c>
      <c r="I34" s="27">
        <v>1.03329</v>
      </c>
      <c r="J34" s="27">
        <v>0.9698</v>
      </c>
      <c r="K34" s="36">
        <v>0.93330000000000002</v>
      </c>
      <c r="L34" s="27">
        <v>0.92900000000000005</v>
      </c>
      <c r="M34" s="45">
        <v>0.86677000000000004</v>
      </c>
      <c r="N34" s="27">
        <v>0.93</v>
      </c>
      <c r="O34" s="27">
        <v>0.92120000000000002</v>
      </c>
      <c r="P34" s="27">
        <v>0.92198999999999998</v>
      </c>
      <c r="Q34" s="27">
        <v>0.94125000000000003</v>
      </c>
      <c r="R34" s="37">
        <v>0.7923</v>
      </c>
      <c r="S34" s="27">
        <v>1.0268040000000001</v>
      </c>
      <c r="T34" s="22">
        <v>0.93500000000000005</v>
      </c>
      <c r="U34" s="8">
        <v>1.0169999999999999</v>
      </c>
      <c r="V34" s="16">
        <v>0.95760000000000001</v>
      </c>
      <c r="W34" s="52">
        <v>0.95742000000000038</v>
      </c>
      <c r="X34" s="52">
        <v>0.80069999999999997</v>
      </c>
    </row>
    <row r="35" spans="1:24" ht="22.5" customHeight="1" thickTop="1" thickBot="1">
      <c r="A35" s="26">
        <v>34</v>
      </c>
      <c r="B35" s="27">
        <v>0.77180000000000004</v>
      </c>
      <c r="C35" s="27">
        <v>1.1009</v>
      </c>
      <c r="D35" s="27">
        <v>1.0185</v>
      </c>
      <c r="E35" s="27">
        <v>0.77305999999999997</v>
      </c>
      <c r="F35" s="27">
        <v>0.91946000000000006</v>
      </c>
      <c r="G35" s="27">
        <v>0.95050000000000001</v>
      </c>
      <c r="H35" s="27">
        <v>0.90613999999999995</v>
      </c>
      <c r="I35" s="27">
        <v>1.0321800000000001</v>
      </c>
      <c r="J35" s="27">
        <v>0.96899999999999997</v>
      </c>
      <c r="K35" s="36">
        <v>0.93240000000000001</v>
      </c>
      <c r="L35" s="27">
        <v>0.92800000000000005</v>
      </c>
      <c r="M35" s="45">
        <v>0.86572000000000005</v>
      </c>
      <c r="N35" s="27">
        <v>0.93</v>
      </c>
      <c r="O35" s="27">
        <v>0.9204</v>
      </c>
      <c r="P35" s="27">
        <v>0.92093999999999998</v>
      </c>
      <c r="Q35" s="27">
        <v>0.94059000000000004</v>
      </c>
      <c r="R35" s="37">
        <v>0.79159999999999997</v>
      </c>
      <c r="S35" s="27">
        <f>S34-0.000732</f>
        <v>1.0260720000000001</v>
      </c>
      <c r="T35" s="22">
        <v>0.93400000000000005</v>
      </c>
      <c r="U35" s="8">
        <v>1.016</v>
      </c>
      <c r="V35" s="16">
        <v>0.95760000000000001</v>
      </c>
      <c r="W35" s="52">
        <v>0.9568300000000004</v>
      </c>
      <c r="X35" s="52">
        <v>0.79979999999999996</v>
      </c>
    </row>
    <row r="36" spans="1:24" ht="22.5" customHeight="1" thickTop="1" thickBot="1">
      <c r="A36" s="46">
        <v>35</v>
      </c>
      <c r="B36" s="18">
        <v>0.77090000000000003</v>
      </c>
      <c r="C36" s="18">
        <v>1.0999000000000001</v>
      </c>
      <c r="D36" s="18">
        <v>1.0176000000000001</v>
      </c>
      <c r="E36" s="18">
        <v>0.77193000000000001</v>
      </c>
      <c r="F36" s="16">
        <v>0.91851000000000005</v>
      </c>
      <c r="G36" s="18">
        <v>0.94943</v>
      </c>
      <c r="H36" s="18">
        <v>0.90517000000000003</v>
      </c>
      <c r="I36" s="18">
        <v>1.0310699999999999</v>
      </c>
      <c r="J36" s="18">
        <v>0.96819999999999995</v>
      </c>
      <c r="K36" s="39">
        <v>0.93149999999999999</v>
      </c>
      <c r="L36" s="18">
        <v>0.92700000000000005</v>
      </c>
      <c r="M36" s="40">
        <v>0.86467000000000005</v>
      </c>
      <c r="N36" s="18">
        <v>0.93</v>
      </c>
      <c r="O36" s="18">
        <v>0.91959999999999997</v>
      </c>
      <c r="P36" s="16">
        <v>0.91995000000000005</v>
      </c>
      <c r="Q36" s="27">
        <v>0.93994</v>
      </c>
      <c r="R36" s="41">
        <v>0.79079999999999995</v>
      </c>
      <c r="S36" s="18">
        <f>S35-0.000732</f>
        <v>1.0253400000000001</v>
      </c>
      <c r="T36" s="16">
        <v>0.93300000000000005</v>
      </c>
      <c r="U36" s="16">
        <v>1.0149999999999999</v>
      </c>
      <c r="V36" s="16">
        <v>0.95760000000000001</v>
      </c>
      <c r="W36" s="52">
        <v>0.95624000000000042</v>
      </c>
      <c r="X36" s="52">
        <v>0.79900000000000004</v>
      </c>
    </row>
    <row r="37" spans="1:24" ht="22.5" customHeight="1" thickTop="1" thickBot="1">
      <c r="A37" s="21">
        <v>36</v>
      </c>
      <c r="B37" s="22">
        <v>0.77</v>
      </c>
      <c r="C37" s="22">
        <v>1.0988</v>
      </c>
      <c r="D37" s="22">
        <v>1.0166999999999999</v>
      </c>
      <c r="E37" s="22">
        <v>0.77080000000000004</v>
      </c>
      <c r="F37" s="22">
        <v>0.91754999999999998</v>
      </c>
      <c r="G37" s="22">
        <v>0.94835999999999998</v>
      </c>
      <c r="H37" s="22">
        <v>0.9042</v>
      </c>
      <c r="I37" s="22">
        <v>1.02996</v>
      </c>
      <c r="J37" s="22">
        <v>0.96730000000000005</v>
      </c>
      <c r="K37" s="35">
        <v>0.93059999999999998</v>
      </c>
      <c r="L37" s="22">
        <v>0.92600000000000005</v>
      </c>
      <c r="M37" s="44">
        <v>0.86362000000000005</v>
      </c>
      <c r="N37" s="22">
        <v>0.93</v>
      </c>
      <c r="O37" s="22">
        <v>0.91879999999999995</v>
      </c>
      <c r="P37" s="22">
        <v>0.91888999999999998</v>
      </c>
      <c r="Q37" s="27">
        <v>0.93930000000000002</v>
      </c>
      <c r="R37" s="31">
        <v>0.79008</v>
      </c>
      <c r="S37" s="22">
        <f t="shared" ref="S37:S51" si="0">S36-0.000732</f>
        <v>1.0246080000000002</v>
      </c>
      <c r="T37" s="22">
        <v>0.93194666666666703</v>
      </c>
      <c r="U37" s="8">
        <v>1.0142</v>
      </c>
      <c r="V37" s="16">
        <v>0.95760000000000001</v>
      </c>
      <c r="W37" s="52">
        <v>0.95565000000000044</v>
      </c>
      <c r="X37" s="52">
        <v>0.7984</v>
      </c>
    </row>
    <row r="38" spans="1:24" ht="22.5" customHeight="1" thickTop="1" thickBot="1">
      <c r="A38" s="26">
        <v>37</v>
      </c>
      <c r="B38" s="27">
        <v>0.76910000000000001</v>
      </c>
      <c r="C38" s="27">
        <v>1.0978000000000001</v>
      </c>
      <c r="D38" s="27">
        <v>1.0158</v>
      </c>
      <c r="E38" s="27">
        <v>0.76929999999999998</v>
      </c>
      <c r="F38" s="27">
        <v>0.91654000000000002</v>
      </c>
      <c r="G38" s="27">
        <v>0.94699999999999995</v>
      </c>
      <c r="H38" s="27">
        <v>0.90310000000000001</v>
      </c>
      <c r="I38" s="27">
        <v>1.0287999999999999</v>
      </c>
      <c r="J38" s="27">
        <v>0.96650000000000003</v>
      </c>
      <c r="K38" s="36">
        <v>0.92979999999999996</v>
      </c>
      <c r="L38" s="27">
        <v>0.92500000000000004</v>
      </c>
      <c r="M38" s="45">
        <v>0.86270000000000002</v>
      </c>
      <c r="N38" s="27">
        <v>0.92600000000000005</v>
      </c>
      <c r="O38" s="27">
        <v>0.92200000000000004</v>
      </c>
      <c r="P38" s="27">
        <v>0.91785000000000005</v>
      </c>
      <c r="Q38" s="27">
        <v>0.93864999999999998</v>
      </c>
      <c r="R38" s="37">
        <v>0.78934000000000004</v>
      </c>
      <c r="S38" s="27">
        <f t="shared" si="0"/>
        <v>1.0238760000000002</v>
      </c>
      <c r="T38" s="22">
        <v>0.930922424242424</v>
      </c>
      <c r="U38" s="8">
        <v>1.0134000000000001</v>
      </c>
      <c r="V38" s="16">
        <v>0.95760000000000001</v>
      </c>
      <c r="W38" s="52">
        <v>0.95506000000000046</v>
      </c>
      <c r="X38" s="52">
        <v>0.79779999999999995</v>
      </c>
    </row>
    <row r="39" spans="1:24" ht="22.5" customHeight="1" thickTop="1" thickBot="1">
      <c r="A39" s="26">
        <v>38</v>
      </c>
      <c r="B39" s="27">
        <v>0.76829999999999998</v>
      </c>
      <c r="C39" s="27">
        <v>1.0967</v>
      </c>
      <c r="D39" s="27">
        <v>1.0149999999999999</v>
      </c>
      <c r="E39" s="27">
        <v>0.7681</v>
      </c>
      <c r="F39" s="27">
        <v>0.91556999999999999</v>
      </c>
      <c r="G39" s="27">
        <v>0.94589999999999996</v>
      </c>
      <c r="H39" s="27">
        <v>0.90210000000000001</v>
      </c>
      <c r="I39" s="27">
        <v>1.0277000000000001</v>
      </c>
      <c r="J39" s="27">
        <v>0.9657</v>
      </c>
      <c r="K39" s="36">
        <v>0.92889999999999995</v>
      </c>
      <c r="L39" s="27">
        <v>0.92400000000000004</v>
      </c>
      <c r="M39" s="45">
        <v>0.86170000000000002</v>
      </c>
      <c r="N39" s="27">
        <v>0.92600000000000005</v>
      </c>
      <c r="O39" s="27">
        <v>0.92200000000000004</v>
      </c>
      <c r="P39" s="27">
        <v>0.91686000000000001</v>
      </c>
      <c r="Q39" s="27">
        <v>0.93801999999999996</v>
      </c>
      <c r="R39" s="37">
        <v>0.78859999999999997</v>
      </c>
      <c r="S39" s="27">
        <f t="shared" si="0"/>
        <v>1.0231440000000003</v>
      </c>
      <c r="T39" s="22">
        <v>0.92989818181818196</v>
      </c>
      <c r="U39" s="8">
        <v>1.0125999999999999</v>
      </c>
      <c r="V39" s="16">
        <v>0.95760000000000001</v>
      </c>
      <c r="W39" s="52">
        <v>0.95447000000000048</v>
      </c>
      <c r="X39" s="52">
        <v>0.79720000000000002</v>
      </c>
    </row>
    <row r="40" spans="1:24" ht="22.5" customHeight="1" thickTop="1" thickBot="1">
      <c r="A40" s="26">
        <v>39</v>
      </c>
      <c r="B40" s="27">
        <v>0.76739999999999997</v>
      </c>
      <c r="C40" s="27">
        <v>1.0956999999999999</v>
      </c>
      <c r="D40" s="27">
        <v>1.0141</v>
      </c>
      <c r="E40" s="27">
        <v>0.76700000000000002</v>
      </c>
      <c r="F40" s="27">
        <v>0.91459999999999997</v>
      </c>
      <c r="G40" s="27">
        <v>0.94489999999999996</v>
      </c>
      <c r="H40" s="27">
        <v>0.90110000000000001</v>
      </c>
      <c r="I40" s="27">
        <v>1.0265</v>
      </c>
      <c r="J40" s="27">
        <v>0.96489999999999998</v>
      </c>
      <c r="K40" s="36">
        <v>0.92810000000000004</v>
      </c>
      <c r="L40" s="27">
        <v>0.92300000000000004</v>
      </c>
      <c r="M40" s="45">
        <v>0.86070000000000002</v>
      </c>
      <c r="N40" s="27">
        <v>0.92600000000000005</v>
      </c>
      <c r="O40" s="27">
        <v>0.92200000000000004</v>
      </c>
      <c r="P40" s="27">
        <v>0.91579999999999995</v>
      </c>
      <c r="Q40" s="27">
        <v>0.93740000000000001</v>
      </c>
      <c r="R40" s="37">
        <v>0.78786</v>
      </c>
      <c r="S40" s="27">
        <f t="shared" si="0"/>
        <v>1.0224120000000003</v>
      </c>
      <c r="T40" s="22">
        <v>0.92887393939393903</v>
      </c>
      <c r="U40" s="8">
        <v>1.0118</v>
      </c>
      <c r="V40" s="16">
        <v>0.95760000000000001</v>
      </c>
      <c r="W40" s="52">
        <v>0.95388000000000051</v>
      </c>
      <c r="X40" s="52">
        <v>0.79659999999999997</v>
      </c>
    </row>
    <row r="41" spans="1:24" ht="22.5" customHeight="1" thickTop="1" thickBot="1">
      <c r="A41" s="46">
        <v>40</v>
      </c>
      <c r="B41" s="18">
        <v>0.76649999999999996</v>
      </c>
      <c r="C41" s="18">
        <v>1.0946</v>
      </c>
      <c r="D41" s="18">
        <v>1.0132000000000001</v>
      </c>
      <c r="E41" s="18">
        <v>0.76580000000000004</v>
      </c>
      <c r="F41" s="16">
        <v>0.91366000000000003</v>
      </c>
      <c r="G41" s="18">
        <v>0.94389999999999996</v>
      </c>
      <c r="H41" s="18">
        <v>0.9002</v>
      </c>
      <c r="I41" s="18">
        <v>1.0254000000000001</v>
      </c>
      <c r="J41" s="18">
        <v>0.96409999999999996</v>
      </c>
      <c r="K41" s="39">
        <v>0.92720000000000002</v>
      </c>
      <c r="L41" s="18">
        <v>0.92200000000000004</v>
      </c>
      <c r="M41" s="40">
        <v>0.85970000000000002</v>
      </c>
      <c r="N41" s="18">
        <v>0.92600000000000005</v>
      </c>
      <c r="O41" s="18">
        <v>0.92200000000000004</v>
      </c>
      <c r="P41" s="16">
        <v>0.91478000000000004</v>
      </c>
      <c r="Q41" s="27">
        <v>0.93681999999999999</v>
      </c>
      <c r="R41" s="41">
        <v>0.78712000000000004</v>
      </c>
      <c r="S41" s="18">
        <f t="shared" si="0"/>
        <v>1.0216800000000004</v>
      </c>
      <c r="T41" s="16">
        <v>0.92784969696969699</v>
      </c>
      <c r="U41" s="16">
        <v>1.0109999999999999</v>
      </c>
      <c r="V41" s="16">
        <v>0.95760000000000001</v>
      </c>
      <c r="W41" s="52">
        <v>0.95329000000000053</v>
      </c>
      <c r="X41" s="52">
        <v>0.79620000000000002</v>
      </c>
    </row>
    <row r="42" spans="1:24" ht="22.5" customHeight="1" thickTop="1" thickBot="1">
      <c r="A42" s="21">
        <v>41</v>
      </c>
      <c r="B42" s="22">
        <v>0.76559999999999995</v>
      </c>
      <c r="C42" s="22">
        <v>1.0935999999999999</v>
      </c>
      <c r="D42" s="22">
        <v>1.0123</v>
      </c>
      <c r="E42" s="22">
        <v>0.76459999999999995</v>
      </c>
      <c r="F42" s="22">
        <v>0.91269</v>
      </c>
      <c r="G42" s="22">
        <v>0.94289999999999996</v>
      </c>
      <c r="H42" s="22">
        <v>0.8992</v>
      </c>
      <c r="I42" s="22">
        <v>1.0265</v>
      </c>
      <c r="J42" s="22">
        <v>0.96330000000000005</v>
      </c>
      <c r="K42" s="22">
        <v>0.9264</v>
      </c>
      <c r="L42" s="22">
        <v>0.92100000000000004</v>
      </c>
      <c r="M42" s="44">
        <v>0.85870000000000002</v>
      </c>
      <c r="N42" s="22">
        <v>0.92600000000000005</v>
      </c>
      <c r="O42" s="22">
        <v>0.92200000000000004</v>
      </c>
      <c r="P42" s="22">
        <v>0.91374999999999995</v>
      </c>
      <c r="Q42" s="27">
        <v>0.93681999999999999</v>
      </c>
      <c r="R42" s="31">
        <v>0.78637999999999997</v>
      </c>
      <c r="S42" s="22">
        <f t="shared" si="0"/>
        <v>1.0209480000000004</v>
      </c>
      <c r="T42" s="22">
        <v>0.92682545454545395</v>
      </c>
      <c r="U42" s="8">
        <v>1.0098</v>
      </c>
      <c r="V42" s="16">
        <v>0.95760000000000001</v>
      </c>
      <c r="W42" s="52">
        <v>0.95329000000000053</v>
      </c>
      <c r="X42" s="52">
        <v>0.79620000000000002</v>
      </c>
    </row>
    <row r="43" spans="1:24" ht="22.5" customHeight="1" thickTop="1" thickBot="1">
      <c r="A43" s="26">
        <v>42</v>
      </c>
      <c r="B43" s="27">
        <v>0.76470000000000005</v>
      </c>
      <c r="C43" s="27">
        <v>1.0925</v>
      </c>
      <c r="D43" s="27">
        <v>1.0114000000000001</v>
      </c>
      <c r="E43" s="27">
        <v>0.76349999999999996</v>
      </c>
      <c r="F43" s="27">
        <v>0.91171999999999997</v>
      </c>
      <c r="G43" s="22">
        <v>0.94189999999999996</v>
      </c>
      <c r="H43" s="22">
        <v>0.8982</v>
      </c>
      <c r="I43" s="22">
        <v>1.0277000000000001</v>
      </c>
      <c r="J43" s="27">
        <v>0.96250000000000002</v>
      </c>
      <c r="K43" s="22">
        <v>0.92549999999999999</v>
      </c>
      <c r="L43" s="22">
        <v>0.92</v>
      </c>
      <c r="M43" s="45">
        <v>0.85770000000000002</v>
      </c>
      <c r="N43" s="22">
        <v>0.92600000000000005</v>
      </c>
      <c r="O43" s="27">
        <v>0.92200000000000004</v>
      </c>
      <c r="P43" s="27">
        <v>0.91273000000000004</v>
      </c>
      <c r="Q43" s="27">
        <v>0.93681999999999999</v>
      </c>
      <c r="R43" s="37">
        <v>0.78564000000000001</v>
      </c>
      <c r="S43" s="27">
        <f t="shared" si="0"/>
        <v>1.0202160000000005</v>
      </c>
      <c r="T43" s="22">
        <v>0.92580121212121202</v>
      </c>
      <c r="U43" s="8">
        <v>1.0085999999999999</v>
      </c>
      <c r="V43" s="16">
        <v>0.95760000000000001</v>
      </c>
      <c r="W43" s="52">
        <v>0.95329000000000053</v>
      </c>
      <c r="X43" s="52">
        <v>0.79620000000000002</v>
      </c>
    </row>
    <row r="44" spans="1:24" ht="22.5" customHeight="1" thickTop="1" thickBot="1">
      <c r="A44" s="26">
        <v>43</v>
      </c>
      <c r="B44" s="27">
        <v>0.76390000000000002</v>
      </c>
      <c r="C44" s="27">
        <v>1.0914999999999999</v>
      </c>
      <c r="D44" s="27">
        <v>1.0105999999999999</v>
      </c>
      <c r="E44" s="27">
        <v>0.76229999999999998</v>
      </c>
      <c r="F44" s="27">
        <v>0.91073000000000004</v>
      </c>
      <c r="G44" s="27">
        <v>0.94089999999999996</v>
      </c>
      <c r="H44" s="27">
        <v>0.8972</v>
      </c>
      <c r="I44" s="27">
        <v>1.0287999999999999</v>
      </c>
      <c r="J44" s="27">
        <v>0.9617</v>
      </c>
      <c r="K44" s="27">
        <v>0.92459999999999998</v>
      </c>
      <c r="L44" s="27">
        <v>0.91900000000000004</v>
      </c>
      <c r="M44" s="45">
        <v>0.85670000000000002</v>
      </c>
      <c r="N44" s="22">
        <v>0.92600000000000005</v>
      </c>
      <c r="O44" s="27">
        <v>0.92200000000000004</v>
      </c>
      <c r="P44" s="27">
        <v>0.91168000000000005</v>
      </c>
      <c r="Q44" s="27">
        <v>0.93681999999999999</v>
      </c>
      <c r="R44" s="37">
        <v>0.78490000000000004</v>
      </c>
      <c r="S44" s="27">
        <f t="shared" si="0"/>
        <v>1.0194840000000005</v>
      </c>
      <c r="T44" s="22">
        <v>0.92477696969696899</v>
      </c>
      <c r="U44" s="8">
        <v>1.0074000000000001</v>
      </c>
      <c r="V44" s="16">
        <v>0.95760000000000001</v>
      </c>
      <c r="W44" s="52">
        <v>0.95329000000000053</v>
      </c>
      <c r="X44" s="52">
        <v>0.79620000000000002</v>
      </c>
    </row>
    <row r="45" spans="1:24" ht="22.5" customHeight="1" thickTop="1" thickBot="1">
      <c r="A45" s="26">
        <v>44</v>
      </c>
      <c r="B45" s="27">
        <v>0.76300000000000001</v>
      </c>
      <c r="C45" s="27">
        <v>1.0904</v>
      </c>
      <c r="D45" s="27">
        <v>1.0097</v>
      </c>
      <c r="E45" s="27">
        <v>0.76119999999999999</v>
      </c>
      <c r="F45" s="27">
        <v>0.90983999999999998</v>
      </c>
      <c r="G45" s="27">
        <v>0.93389999999999995</v>
      </c>
      <c r="H45" s="22">
        <v>0.8962</v>
      </c>
      <c r="I45" s="22">
        <v>1.0299</v>
      </c>
      <c r="J45" s="27">
        <v>0.96089999999999998</v>
      </c>
      <c r="K45" s="27">
        <v>0.92369999999999997</v>
      </c>
      <c r="L45" s="27">
        <v>0.91800000000000004</v>
      </c>
      <c r="M45" s="45">
        <v>0.85570000000000002</v>
      </c>
      <c r="N45" s="22">
        <v>0.92600000000000005</v>
      </c>
      <c r="O45" s="27">
        <v>0.92200000000000004</v>
      </c>
      <c r="P45" s="27">
        <v>0.91064999999999996</v>
      </c>
      <c r="Q45" s="27">
        <v>0.93681999999999999</v>
      </c>
      <c r="R45" s="37">
        <v>0.78415999999999997</v>
      </c>
      <c r="S45" s="27">
        <f t="shared" si="0"/>
        <v>1.0187520000000005</v>
      </c>
      <c r="T45" s="22">
        <v>0.92375272727272695</v>
      </c>
      <c r="U45" s="8">
        <v>1.0062</v>
      </c>
      <c r="V45" s="16">
        <v>0.95760000000000001</v>
      </c>
      <c r="W45" s="52">
        <v>0.95329000000000053</v>
      </c>
      <c r="X45" s="52">
        <v>0.79620000000000002</v>
      </c>
    </row>
    <row r="46" spans="1:24" ht="22.5" customHeight="1" thickTop="1" thickBot="1">
      <c r="A46" s="46">
        <v>45</v>
      </c>
      <c r="B46" s="18">
        <v>0.7621</v>
      </c>
      <c r="C46" s="18">
        <v>1.0893999999999999</v>
      </c>
      <c r="D46" s="18">
        <v>1.0087999999999999</v>
      </c>
      <c r="E46" s="18">
        <v>0.76</v>
      </c>
      <c r="F46" s="16">
        <v>0.90878000000000003</v>
      </c>
      <c r="G46" s="18">
        <v>0.93889999999999996</v>
      </c>
      <c r="H46" s="18">
        <v>0.8952</v>
      </c>
      <c r="I46" s="18">
        <v>1.0310999999999999</v>
      </c>
      <c r="J46" s="18">
        <v>0.96009999999999995</v>
      </c>
      <c r="K46" s="18">
        <v>0.92279999999999995</v>
      </c>
      <c r="L46" s="18">
        <v>0.91700000000000004</v>
      </c>
      <c r="M46" s="40">
        <v>0.85470000000000002</v>
      </c>
      <c r="N46" s="16">
        <v>0.92600000000000005</v>
      </c>
      <c r="O46" s="18">
        <v>0.92200000000000004</v>
      </c>
      <c r="P46" s="16">
        <v>0.90963000000000005</v>
      </c>
      <c r="Q46" s="27">
        <v>0.93681999999999999</v>
      </c>
      <c r="R46" s="41">
        <v>0.78342000000000001</v>
      </c>
      <c r="S46" s="18">
        <f t="shared" si="0"/>
        <v>1.0180200000000006</v>
      </c>
      <c r="T46" s="16">
        <v>0.92272848484848502</v>
      </c>
      <c r="U46" s="16">
        <v>1.0049999999999999</v>
      </c>
      <c r="V46" s="16">
        <v>0.95760000000000001</v>
      </c>
      <c r="W46" s="52">
        <v>0.95329000000000053</v>
      </c>
      <c r="X46" s="52">
        <v>0.79620000000000002</v>
      </c>
    </row>
    <row r="47" spans="1:24" ht="18.75" thickTop="1" thickBot="1">
      <c r="A47" s="47">
        <v>46</v>
      </c>
      <c r="B47" s="22">
        <v>0.76124999999999998</v>
      </c>
      <c r="C47" s="22">
        <v>1.08833</v>
      </c>
      <c r="D47" s="22">
        <v>1.0079499999999999</v>
      </c>
      <c r="E47" s="22">
        <v>0.75887000000000004</v>
      </c>
      <c r="F47" s="22">
        <v>0.90781999999999996</v>
      </c>
      <c r="G47" s="22">
        <v>0.93489999999999995</v>
      </c>
      <c r="H47" s="22">
        <v>0.89419999999999999</v>
      </c>
      <c r="I47" s="22">
        <v>1.0322199999999999</v>
      </c>
      <c r="J47" s="22">
        <v>0.95930000000000004</v>
      </c>
      <c r="K47" s="22">
        <v>0.92190000000000005</v>
      </c>
      <c r="L47" s="22">
        <v>0.91600000000000004</v>
      </c>
      <c r="M47" s="44">
        <v>0.85370000000000001</v>
      </c>
      <c r="N47" s="22">
        <v>0.92600000000000005</v>
      </c>
      <c r="O47" s="22">
        <v>0.92200000000000004</v>
      </c>
      <c r="P47" s="22">
        <v>0.90856000000000003</v>
      </c>
      <c r="Q47" s="27">
        <v>0.93681999999999999</v>
      </c>
      <c r="R47" s="31">
        <v>0.78268000000000004</v>
      </c>
      <c r="S47" s="22">
        <f t="shared" si="0"/>
        <v>1.0172880000000006</v>
      </c>
      <c r="T47" s="22">
        <v>0.92170424242424398</v>
      </c>
      <c r="U47" s="8">
        <v>1.0038</v>
      </c>
      <c r="V47" s="16">
        <v>0.95760000000000001</v>
      </c>
      <c r="W47" s="52">
        <v>0.95329000000000053</v>
      </c>
      <c r="X47" s="52">
        <v>0.79620000000000002</v>
      </c>
    </row>
    <row r="48" spans="1:24" ht="18.75" thickTop="1" thickBot="1">
      <c r="A48" s="47">
        <v>47</v>
      </c>
      <c r="B48" s="27">
        <v>0.76037999999999994</v>
      </c>
      <c r="C48" s="27">
        <v>1.08728</v>
      </c>
      <c r="D48" s="27">
        <v>1.00708</v>
      </c>
      <c r="E48" s="27">
        <v>0.75771999999999995</v>
      </c>
      <c r="F48" s="27">
        <v>0.90683000000000002</v>
      </c>
      <c r="G48" s="22">
        <v>0.93330000000000002</v>
      </c>
      <c r="H48" s="22">
        <v>0.89319999999999999</v>
      </c>
      <c r="I48" s="22">
        <v>1.0333600000000001</v>
      </c>
      <c r="J48" s="27">
        <v>0.95850000000000002</v>
      </c>
      <c r="K48" s="22">
        <v>0.92100000000000004</v>
      </c>
      <c r="L48" s="22">
        <v>0.91500000000000004</v>
      </c>
      <c r="M48" s="45">
        <v>0.85270000000000001</v>
      </c>
      <c r="N48" s="22">
        <v>0.92600000000000005</v>
      </c>
      <c r="O48" s="27">
        <v>0.92200000000000004</v>
      </c>
      <c r="P48" s="27">
        <v>0.90751999999999999</v>
      </c>
      <c r="Q48" s="27">
        <v>0.93681999999999999</v>
      </c>
      <c r="R48" s="37">
        <v>0.78193999999999997</v>
      </c>
      <c r="S48" s="27">
        <f t="shared" si="0"/>
        <v>1.0165560000000007</v>
      </c>
      <c r="T48" s="22">
        <v>0.92068000000000205</v>
      </c>
      <c r="U48" s="8">
        <v>1.0025999999999999</v>
      </c>
      <c r="V48" s="16">
        <v>0.95760000000000001</v>
      </c>
      <c r="W48" s="52">
        <v>0.95329000000000053</v>
      </c>
      <c r="X48" s="52">
        <v>0.79620000000000002</v>
      </c>
    </row>
    <row r="49" spans="1:24" ht="18.75" thickTop="1" thickBot="1">
      <c r="A49" s="47">
        <v>48</v>
      </c>
      <c r="B49" s="27">
        <v>0.75951000000000002</v>
      </c>
      <c r="C49" s="27">
        <v>1.08623</v>
      </c>
      <c r="D49" s="27">
        <v>1.00621</v>
      </c>
      <c r="E49" s="27">
        <v>0.75656999999999996</v>
      </c>
      <c r="F49" s="27">
        <v>0.90585000000000004</v>
      </c>
      <c r="G49" s="27">
        <v>0.93169999999999997</v>
      </c>
      <c r="H49" s="27">
        <v>0.89219999999999999</v>
      </c>
      <c r="I49" s="27">
        <v>1.0345</v>
      </c>
      <c r="J49" s="27">
        <v>0.9577</v>
      </c>
      <c r="K49" s="27">
        <v>0.92010000000000003</v>
      </c>
      <c r="L49" s="27">
        <v>0.91400000000000003</v>
      </c>
      <c r="M49" s="45">
        <v>0.85170000000000001</v>
      </c>
      <c r="N49" s="22">
        <v>0.92600000000000005</v>
      </c>
      <c r="O49" s="27">
        <v>0.92200000000000004</v>
      </c>
      <c r="P49" s="27">
        <v>0.90647999999999995</v>
      </c>
      <c r="Q49" s="27">
        <v>0.93681999999999999</v>
      </c>
      <c r="R49" s="37">
        <v>0.78120000000000001</v>
      </c>
      <c r="S49" s="27">
        <f t="shared" si="0"/>
        <v>1.0158240000000007</v>
      </c>
      <c r="T49" s="22">
        <v>0.91965575757576001</v>
      </c>
      <c r="U49" s="8">
        <v>1.0014000000000001</v>
      </c>
      <c r="V49" s="16">
        <v>0.95760000000000001</v>
      </c>
      <c r="W49" s="52">
        <v>0.95329000000000053</v>
      </c>
      <c r="X49" s="52">
        <v>0.79620000000000002</v>
      </c>
    </row>
    <row r="50" spans="1:24" ht="18.75" thickTop="1" thickBot="1">
      <c r="A50" s="47">
        <v>49</v>
      </c>
      <c r="B50" s="27">
        <v>0.75863999999999998</v>
      </c>
      <c r="C50" s="27">
        <v>1.08518</v>
      </c>
      <c r="D50" s="27">
        <v>1.0053399999999999</v>
      </c>
      <c r="E50" s="27">
        <v>0.75541999999999998</v>
      </c>
      <c r="F50" s="27">
        <v>0.90488000000000002</v>
      </c>
      <c r="G50" s="27">
        <v>0.93010000000000004</v>
      </c>
      <c r="H50" s="22">
        <v>0.89119999999999999</v>
      </c>
      <c r="I50" s="22">
        <v>1.0356399999999999</v>
      </c>
      <c r="J50" s="27">
        <v>0.95689999999999997</v>
      </c>
      <c r="K50" s="27">
        <v>0.91920000000000002</v>
      </c>
      <c r="L50" s="27">
        <v>0.91300000000000003</v>
      </c>
      <c r="M50" s="45">
        <v>0.85070000000000001</v>
      </c>
      <c r="N50" s="22">
        <v>0.92600000000000005</v>
      </c>
      <c r="O50" s="27">
        <v>0.92200000000000004</v>
      </c>
      <c r="P50" s="27">
        <v>0.90542999999999996</v>
      </c>
      <c r="Q50" s="27">
        <v>0.93681999999999999</v>
      </c>
      <c r="R50" s="37">
        <v>0.78046000000000004</v>
      </c>
      <c r="S50" s="27">
        <f t="shared" si="0"/>
        <v>1.0150920000000008</v>
      </c>
      <c r="T50" s="22">
        <v>0.91863151515151897</v>
      </c>
      <c r="U50" s="8">
        <v>1.0002</v>
      </c>
      <c r="V50" s="16">
        <v>0.95760000000000001</v>
      </c>
      <c r="W50" s="52">
        <v>0.95329000000000053</v>
      </c>
      <c r="X50" s="52">
        <v>0.79620000000000002</v>
      </c>
    </row>
    <row r="51" spans="1:24" ht="18.75" thickTop="1" thickBot="1">
      <c r="A51" s="48">
        <v>50</v>
      </c>
      <c r="B51" s="18">
        <v>0.75777000000000005</v>
      </c>
      <c r="C51" s="18">
        <v>1.08413</v>
      </c>
      <c r="D51" s="18">
        <v>1.00447</v>
      </c>
      <c r="E51" s="18">
        <v>0.75427</v>
      </c>
      <c r="F51" s="16">
        <v>0.90390999999999999</v>
      </c>
      <c r="G51" s="18">
        <v>0.92849999999999999</v>
      </c>
      <c r="H51" s="18">
        <v>0.89019999999999999</v>
      </c>
      <c r="I51" s="18">
        <v>1.03678</v>
      </c>
      <c r="J51" s="18">
        <v>0.95609999999999995</v>
      </c>
      <c r="K51" s="18">
        <v>0.91830000000000001</v>
      </c>
      <c r="L51" s="18">
        <v>0.91200000000000003</v>
      </c>
      <c r="M51" s="40">
        <v>0.84970000000000001</v>
      </c>
      <c r="N51" s="16">
        <v>0.92600000000000005</v>
      </c>
      <c r="O51" s="18">
        <v>0.92200000000000004</v>
      </c>
      <c r="P51" s="16">
        <v>0.90439000000000003</v>
      </c>
      <c r="Q51" s="27">
        <v>0.93681999999999999</v>
      </c>
      <c r="R51" s="41">
        <v>0.77971999999999997</v>
      </c>
      <c r="S51" s="18">
        <f t="shared" si="0"/>
        <v>1.0143600000000008</v>
      </c>
      <c r="T51" s="16">
        <v>0.91760727272727705</v>
      </c>
      <c r="U51" s="16">
        <v>0.999</v>
      </c>
      <c r="V51" s="16">
        <v>0.95760000000000001</v>
      </c>
      <c r="W51" s="52">
        <v>0.95329000000000053</v>
      </c>
      <c r="X51" s="52">
        <v>0.79620000000000002</v>
      </c>
    </row>
    <row r="52" spans="1:24" ht="18" thickTop="1">
      <c r="B52" s="49"/>
      <c r="C52" s="49"/>
      <c r="D52" s="49"/>
      <c r="E52" s="49"/>
      <c r="F52" s="49"/>
      <c r="G52" s="49"/>
      <c r="H52" s="49"/>
      <c r="I52" s="49"/>
      <c r="J52" s="49"/>
      <c r="U52" s="8"/>
    </row>
    <row r="53" spans="1:24">
      <c r="U53" s="8"/>
    </row>
    <row r="54" spans="1:24">
      <c r="U54" s="8"/>
    </row>
    <row r="55" spans="1:24">
      <c r="U55" s="8"/>
    </row>
    <row r="56" spans="1:24">
      <c r="U56" s="8"/>
    </row>
    <row r="57" spans="1:24">
      <c r="U57" s="8"/>
    </row>
    <row r="58" spans="1:24">
      <c r="U58" s="8"/>
    </row>
    <row r="59" spans="1:24">
      <c r="U59" s="8"/>
    </row>
    <row r="60" spans="1:24">
      <c r="U60" s="8"/>
    </row>
    <row r="61" spans="1:24">
      <c r="U61" s="8"/>
    </row>
    <row r="62" spans="1:24">
      <c r="U62" s="8"/>
    </row>
    <row r="63" spans="1:24">
      <c r="U63" s="8"/>
    </row>
    <row r="64" spans="1:24">
      <c r="U64" s="8"/>
    </row>
    <row r="65" spans="21:21">
      <c r="U65" s="8"/>
    </row>
    <row r="66" spans="21:21">
      <c r="U66" s="8"/>
    </row>
    <row r="67" spans="21:21">
      <c r="U67" s="8"/>
    </row>
    <row r="68" spans="21:21">
      <c r="U68" s="8"/>
    </row>
    <row r="69" spans="21:21">
      <c r="U69" s="8"/>
    </row>
    <row r="70" spans="21:21">
      <c r="U70" s="8"/>
    </row>
    <row r="71" spans="21:21">
      <c r="U71" s="8"/>
    </row>
    <row r="72" spans="21:21">
      <c r="U72" s="8"/>
    </row>
    <row r="73" spans="21:21">
      <c r="U73" s="8"/>
    </row>
    <row r="74" spans="21:21">
      <c r="U74" s="8"/>
    </row>
    <row r="75" spans="21:21">
      <c r="U75" s="8"/>
    </row>
    <row r="76" spans="21:21">
      <c r="U76" s="8"/>
    </row>
    <row r="77" spans="21:21">
      <c r="U77" s="8"/>
    </row>
    <row r="78" spans="21:21">
      <c r="U78" s="8"/>
    </row>
    <row r="79" spans="21:21">
      <c r="U79" s="8"/>
    </row>
    <row r="80" spans="21:21">
      <c r="U80" s="8"/>
    </row>
    <row r="81" spans="21:21">
      <c r="U81" s="8"/>
    </row>
    <row r="82" spans="21:21">
      <c r="U82" s="8"/>
    </row>
    <row r="83" spans="21:21">
      <c r="U83" s="8"/>
    </row>
    <row r="84" spans="21:21">
      <c r="U84" s="8"/>
    </row>
    <row r="85" spans="21:21">
      <c r="U85" s="8"/>
    </row>
    <row r="86" spans="21:21">
      <c r="U86" s="8"/>
    </row>
    <row r="87" spans="21:21">
      <c r="U87" s="8"/>
    </row>
    <row r="88" spans="21:21">
      <c r="U88" s="8"/>
    </row>
    <row r="89" spans="21:21">
      <c r="U89" s="8"/>
    </row>
    <row r="90" spans="21:21">
      <c r="U90" s="8"/>
    </row>
    <row r="91" spans="21:21">
      <c r="U91" s="8"/>
    </row>
    <row r="92" spans="21:21">
      <c r="U92" s="8"/>
    </row>
    <row r="93" spans="21:21">
      <c r="U93" s="8"/>
    </row>
    <row r="94" spans="21:21">
      <c r="U94" s="8"/>
    </row>
  </sheetData>
  <phoneticPr fontId="2" type="noConversion"/>
  <pageMargins left="0.42" right="0.2" top="0.36" bottom="0.43" header="0.5" footer="0.5"/>
  <pageSetup paperSize="9" scale="48" orientation="landscape" verticalDpi="18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45">
    <pageSetUpPr fitToPage="1"/>
  </sheetPr>
  <dimension ref="A1:CU223"/>
  <sheetViews>
    <sheetView view="pageBreakPreview" topLeftCell="B1" zoomScale="70" zoomScaleNormal="100" zoomScaleSheetLayoutView="70" workbookViewId="0">
      <selection activeCell="X10" sqref="X10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36" t="s" ph="1">
        <v>195</v>
      </c>
      <c r="C1" s="236" ph="1"/>
      <c r="D1" s="236" ph="1"/>
      <c r="E1" s="236" ph="1"/>
      <c r="F1" s="236" ph="1"/>
      <c r="G1" s="236" ph="1"/>
      <c r="H1" s="236" ph="1"/>
      <c r="I1" s="236" ph="1"/>
      <c r="J1" s="236" ph="1"/>
      <c r="K1" s="236" ph="1"/>
      <c r="L1" s="236" ph="1"/>
      <c r="M1" s="236" ph="1"/>
      <c r="N1" s="236" ph="1"/>
      <c r="O1" s="236" ph="1"/>
      <c r="P1" s="236" ph="1"/>
      <c r="Q1" s="236" ph="1"/>
      <c r="R1" s="236" ph="1"/>
      <c r="S1" s="236" ph="1"/>
      <c r="T1" s="236" ph="1"/>
      <c r="U1" s="236" ph="1"/>
      <c r="V1" s="236" ph="1"/>
      <c r="W1" s="236" ph="1"/>
      <c r="X1" s="236" ph="1"/>
      <c r="Y1" s="236" ph="1"/>
      <c r="Z1" s="236" ph="1"/>
      <c r="AA1" s="236" ph="1"/>
      <c r="AB1" s="236" ph="1"/>
      <c r="AC1" s="236" ph="1"/>
      <c r="AD1" s="236" ph="1"/>
      <c r="AE1" s="236" ph="1"/>
    </row>
    <row r="2" spans="1:99" s="66" customFormat="1" ht="24" customHeight="1" ph="1">
      <c r="B2" s="237" t="s" ph="1">
        <v>99</v>
      </c>
      <c r="C2" s="237" ph="1"/>
      <c r="D2" s="237" ph="1"/>
      <c r="E2" s="237" ph="1"/>
      <c r="F2" s="237" ph="1"/>
      <c r="G2" s="237" ph="1"/>
      <c r="H2" s="237" ph="1"/>
      <c r="I2" s="237" ph="1"/>
      <c r="J2" s="237" ph="1"/>
      <c r="K2" s="237" ph="1"/>
      <c r="L2" s="237" ph="1"/>
      <c r="M2" s="237" ph="1"/>
      <c r="N2" s="237" ph="1"/>
      <c r="O2" s="237" ph="1"/>
      <c r="P2" s="237" ph="1"/>
      <c r="Q2" s="237" ph="1"/>
      <c r="R2" s="237" ph="1"/>
      <c r="S2" s="237" ph="1"/>
      <c r="T2" s="237" ph="1"/>
      <c r="U2" s="237" ph="1"/>
      <c r="V2" s="237" ph="1"/>
      <c r="W2" s="237" ph="1"/>
      <c r="X2" s="237" ph="1"/>
      <c r="Y2" s="237" ph="1"/>
      <c r="Z2" s="237" ph="1"/>
      <c r="AA2" s="237" ph="1"/>
      <c r="AB2" s="237" ph="1"/>
      <c r="AC2" s="237" ph="1"/>
      <c r="AD2" s="237" ph="1"/>
      <c r="AE2" s="237" ph="1"/>
    </row>
    <row r="3" spans="1:99" ht="21" customHeight="1" ph="1">
      <c r="B3" s="238" ph="1">
        <v>45657</v>
      </c>
      <c r="C3" s="238"/>
      <c r="D3" s="238"/>
      <c r="E3" s="238"/>
      <c r="F3" s="238"/>
      <c r="G3" s="238"/>
      <c r="H3" s="238"/>
      <c r="I3" s="238"/>
      <c r="J3" s="238"/>
      <c r="K3" s="238"/>
      <c r="L3" s="238"/>
      <c r="M3" s="238"/>
      <c r="N3" s="238"/>
      <c r="O3" s="238"/>
      <c r="P3" s="238"/>
      <c r="Q3" s="238"/>
      <c r="R3" s="238"/>
      <c r="S3" s="238"/>
      <c r="T3" s="238"/>
      <c r="U3" s="238"/>
      <c r="V3" s="238"/>
      <c r="W3" s="238"/>
      <c r="X3" s="238"/>
      <c r="Y3" s="238"/>
      <c r="Z3" s="238"/>
      <c r="AA3" s="238"/>
      <c r="AB3" s="238"/>
      <c r="AC3" s="238"/>
      <c r="AD3" s="238"/>
      <c r="AE3" s="238"/>
    </row>
    <row r="4" spans="1:99" s="69" customFormat="1" ph="1">
      <c r="A4" s="65" ph="1"/>
      <c r="B4" s="217" t="s" ph="1">
        <v>37</v>
      </c>
      <c r="C4" s="67" t="s" ph="1">
        <v>210</v>
      </c>
      <c r="D4" s="68" t="s" ph="1">
        <v>45</v>
      </c>
      <c r="E4" s="68" t="s" ph="1">
        <v>46</v>
      </c>
      <c r="F4" s="68" t="s" ph="1">
        <v>39</v>
      </c>
      <c r="G4" s="68" t="s" ph="1">
        <v>47</v>
      </c>
      <c r="H4" s="68" t="s" ph="1">
        <v>48</v>
      </c>
      <c r="I4" s="68" t="s" ph="1">
        <v>133</v>
      </c>
      <c r="J4" s="68" t="s" ph="1">
        <v>49</v>
      </c>
      <c r="K4" s="68" t="s" ph="1">
        <v>134</v>
      </c>
      <c r="L4" s="68" t="s" ph="1">
        <v>135</v>
      </c>
      <c r="M4" s="68" t="s" ph="1">
        <v>50</v>
      </c>
      <c r="N4" s="68" t="s" ph="1">
        <v>51</v>
      </c>
      <c r="O4" s="68" t="s" ph="1">
        <v>137</v>
      </c>
      <c r="P4" s="68" t="s" ph="1">
        <v>139</v>
      </c>
      <c r="Q4" s="68" t="s" ph="1">
        <v>140</v>
      </c>
      <c r="R4" s="68" t="s" ph="1">
        <v>141</v>
      </c>
      <c r="S4" s="68" t="s" ph="1">
        <v>142</v>
      </c>
      <c r="T4" s="68" t="s" ph="1">
        <v>143</v>
      </c>
      <c r="U4" s="68" t="s" ph="1">
        <v>144</v>
      </c>
      <c r="V4" s="68" t="s" ph="1">
        <v>145</v>
      </c>
      <c r="W4" s="68" t="s" ph="1">
        <v>146</v>
      </c>
      <c r="X4" s="68" t="s" ph="1">
        <v>147</v>
      </c>
      <c r="Y4" s="68" t="s" ph="1">
        <v>148</v>
      </c>
      <c r="Z4" s="68" t="s" ph="1">
        <v>52</v>
      </c>
      <c r="AA4" s="68" t="s" ph="1">
        <v>149</v>
      </c>
      <c r="AB4" s="68" t="s" ph="1">
        <v>150</v>
      </c>
      <c r="AC4" s="68" t="s" ph="1">
        <v>151</v>
      </c>
      <c r="AD4" s="68" t="s" ph="1">
        <v>40</v>
      </c>
      <c r="AE4" s="68" t="s" ph="1">
        <v>152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7" ph="1"/>
      <c r="C5" s="67" t="s" ph="1">
        <v>36</v>
      </c>
      <c r="D5" s="70" t="s" ph="1">
        <v>194</v>
      </c>
      <c r="E5" s="70" t="s" ph="1">
        <v>55</v>
      </c>
      <c r="F5" s="70" t="s" ph="1">
        <v>130</v>
      </c>
      <c r="G5" s="70" t="s" ph="1">
        <v>56</v>
      </c>
      <c r="H5" s="70" t="s" ph="1">
        <v>56</v>
      </c>
      <c r="I5" s="70" t="s" ph="1">
        <v>57</v>
      </c>
      <c r="J5" s="70" t="s" ph="1">
        <v>58</v>
      </c>
      <c r="K5" s="70" t="s" ph="1">
        <v>59</v>
      </c>
      <c r="L5" s="70" t="s" ph="1">
        <v>136</v>
      </c>
      <c r="M5" s="70" t="s" ph="1">
        <v>60</v>
      </c>
      <c r="N5" s="70" t="s" ph="1">
        <v>61</v>
      </c>
      <c r="O5" s="70" t="s" ph="1">
        <v>138</v>
      </c>
      <c r="P5" s="70" t="s" ph="1">
        <v>88</v>
      </c>
      <c r="Q5" s="70" t="s" ph="1">
        <v>96</v>
      </c>
      <c r="R5" s="70" t="s" ph="1">
        <v>96</v>
      </c>
      <c r="S5" s="70" t="s" ph="1">
        <v>96</v>
      </c>
      <c r="T5" s="70" t="s" ph="1">
        <v>96</v>
      </c>
      <c r="U5" s="70" t="s" ph="1">
        <v>96</v>
      </c>
      <c r="V5" s="70" t="s" ph="1">
        <v>96</v>
      </c>
      <c r="W5" s="70" t="s" ph="1">
        <v>96</v>
      </c>
      <c r="X5" s="70" t="s" ph="1">
        <v>96</v>
      </c>
      <c r="Y5" s="70" t="s" ph="1">
        <v>96</v>
      </c>
      <c r="Z5" s="70" t="s" ph="1">
        <v>95</v>
      </c>
      <c r="AA5" s="70" t="s" ph="1">
        <v>62</v>
      </c>
      <c r="AB5" s="70" t="s" ph="1">
        <v>62</v>
      </c>
      <c r="AC5" s="70" t="s" ph="1">
        <v>222</v>
      </c>
      <c r="AD5" s="70" t="s" ph="1">
        <v>83</v>
      </c>
      <c r="AE5" s="70" t="s" ph="1">
        <v>153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5" ph="1">
        <v>0.33333333333333331</v>
      </c>
      <c r="C6" s="143" t="s" ph="1">
        <v>211</v>
      </c>
      <c r="D6" s="71">
        <v>494</v>
      </c>
      <c r="E6" s="71">
        <v>0</v>
      </c>
      <c r="F6" s="71">
        <v>6480</v>
      </c>
      <c r="G6" s="71">
        <v>8897</v>
      </c>
      <c r="H6" s="71">
        <v>5949</v>
      </c>
      <c r="I6" s="71">
        <v>39.130000000000003</v>
      </c>
      <c r="J6" s="71">
        <v>63.88</v>
      </c>
      <c r="K6" s="71">
        <v>9.3000000000000007</v>
      </c>
      <c r="L6" s="71">
        <v>55.64</v>
      </c>
      <c r="M6" s="71">
        <v>6261</v>
      </c>
      <c r="N6" s="71">
        <v>2500</v>
      </c>
      <c r="O6" s="71">
        <v>3121</v>
      </c>
      <c r="P6" s="71">
        <v>1368</v>
      </c>
      <c r="Q6" s="71">
        <v>0</v>
      </c>
      <c r="R6" s="71">
        <v>0</v>
      </c>
      <c r="S6" s="71">
        <v>0</v>
      </c>
      <c r="T6" s="71">
        <v>0</v>
      </c>
      <c r="U6" s="71">
        <v>2074</v>
      </c>
      <c r="V6" s="71">
        <v>5476</v>
      </c>
      <c r="W6" s="71">
        <v>5887</v>
      </c>
      <c r="X6" s="71">
        <v>5600</v>
      </c>
      <c r="Y6" s="71">
        <v>0</v>
      </c>
      <c r="Z6" s="71">
        <v>2461</v>
      </c>
      <c r="AA6" s="71">
        <v>0</v>
      </c>
      <c r="AB6" s="71">
        <v>2935</v>
      </c>
      <c r="AC6" s="71">
        <v>9037</v>
      </c>
      <c r="AD6" s="71">
        <v>2172</v>
      </c>
      <c r="AE6" s="71">
        <v>4007</v>
      </c>
    </row>
    <row r="7" spans="1:99" s="72" customFormat="1" ht="22.5" ph="1">
      <c r="B7" s="235" ph="1"/>
      <c r="C7" s="68" t="s" ph="1">
        <v>212</v>
      </c>
      <c r="D7" s="73" ph="1">
        <f>D6*33.183*LOOKUP(D8,密度!$A$2:$A$50,密度!$Q$2:$Q$50)</f>
        <v>15618.680625599998</v>
      </c>
      <c r="E7" s="73" ph="1">
        <f>E6*51.53*LOOKUP(E8,密度!$A$2:$A$50,密度!$I$2:$I$50)</f>
        <v>0</v>
      </c>
      <c r="F7" s="73" ph="1">
        <f>F6*33.183*LOOKUP(F8,密度!$A$2:$A$50,密度!$C$2:$C$50)</f>
        <v>239646.29868000001</v>
      </c>
      <c r="G7" s="73" ph="1">
        <f xml:space="preserve"> (G6+2)*51.53*LOOKUP(G8,密度!$A$2:$A$50,密度!$B$2:$B$50)</f>
        <v>360982.73798400001</v>
      </c>
      <c r="H7" s="73" ph="1">
        <f>(H6)*51.53*LOOKUP(H8,密度!$A$2:$A$50,密度!$B$2:$B$50)</f>
        <v>242605.22905800003</v>
      </c>
      <c r="I7" s="73" ph="1">
        <f>I6*290.8*1.0267</f>
        <v>11682.8234068</v>
      </c>
      <c r="J7" s="73" ph="1">
        <f>J6*290.8*0.7892</f>
        <v>14660.4191168</v>
      </c>
      <c r="K7" s="73" ph="1">
        <f>K6*290.8*1.1126</f>
        <v>3008.9599440000006</v>
      </c>
      <c r="L7" s="73" ph="1">
        <f>L6*290.8*0.777</f>
        <v>12571.947024000001</v>
      </c>
      <c r="M7" s="73" ph="1">
        <f>M6*33.183*LOOKUP(M8,密度!$A$2:$A$50,密度!$D$2:$D$50)</f>
        <v>214635.57805529999</v>
      </c>
      <c r="N7" s="73" ph="1">
        <f>N6*33.183*LOOKUP(N8,密度!$A$2:$A$50,密度!$E$2:$E$50)</f>
        <v>65561.312250000003</v>
      </c>
      <c r="O7" s="73" ph="1">
        <f>O6*20.428*LOOKUP(O8,密度!$A$2:$A$50,密度!$C$2:$C$50)</f>
        <v>70839.056046800004</v>
      </c>
      <c r="P7" s="73" ph="1">
        <f>P6*51.53*LOOKUP(P8,密度!$A$2:$A$50,密度!$B$2:$B$50)</f>
        <v>55492.121088000007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13809.980368799999</v>
      </c>
      <c r="V7" s="73" ph="1">
        <f>V6*1.5*1.5*3.1416*LOOKUP(V8,密度!$A$2:$A$50,密度!$L$2:$L$50)</f>
        <v>36462.609691199999</v>
      </c>
      <c r="W7" s="73" ph="1">
        <f>W6*1.5*1.5*3.1416*LOOKUP(W8,密度!$A$2:$A$50,密度!$L$2:$L$50)</f>
        <v>39324.141549</v>
      </c>
      <c r="X7" s="73" ph="1">
        <f>X6*1.5*1.5*3.1416*LOOKUP(X8,密度!$A$2:$A$50,密度!$L$2:$L$50)</f>
        <v>37684.120319999995</v>
      </c>
      <c r="Y7" s="73" ph="1">
        <f>Y6*1.5*1.5*3.1416*LOOKUP(Y8,密度!$A$2:$A$50,密度!$L$2:$L$50)</f>
        <v>0</v>
      </c>
      <c r="Z7" s="73" ph="1">
        <f>Z6*33.183*LOOKUP(Z8,密度!$A$2:$A$50,密度!$L$2:$L$50)</f>
        <v>77498.531487</v>
      </c>
      <c r="AA7" s="73" ph="1">
        <f>AA6*33.183*LOOKUP(AA8,密度!$A$2:$A$50,密度!$D$2:$D$50)</f>
        <v>0</v>
      </c>
      <c r="AB7" s="73" ph="1">
        <f>AB6*20.428*LOOKUP(AB8,密度!$A$2:$A$50,密度!$D$2:$D$50)</f>
        <v>62516.308885999999</v>
      </c>
      <c r="AC7" s="73" ph="1">
        <f>AC6*51.53*LOOKUP(AC8,密度!$A$2:$A$50,密度!$Q$2:$Q$50)</f>
        <v>444069.21529600001</v>
      </c>
      <c r="AD7" s="73" ph="1">
        <f>AD6*20.428*LOOKUP(AD8,密度!$A$2:$A$50,密度!$V$2:$V$50)</f>
        <v>42772.309824000004</v>
      </c>
      <c r="AE7" s="73" ph="1">
        <f>AE6*20.428</f>
        <v>81854.995999999999</v>
      </c>
    </row>
    <row r="8" spans="1:99" ph="1">
      <c r="B8" s="235" ph="1"/>
      <c r="C8" s="68" t="s" ph="1">
        <v>213</v>
      </c>
      <c r="D8" s="74">
        <v>17</v>
      </c>
      <c r="E8" s="74">
        <v>17</v>
      </c>
      <c r="F8" s="74">
        <v>17</v>
      </c>
      <c r="G8" s="74">
        <v>16</v>
      </c>
      <c r="H8" s="74">
        <v>11</v>
      </c>
      <c r="I8" s="74">
        <v>25</v>
      </c>
      <c r="J8" s="74">
        <v>25</v>
      </c>
      <c r="K8" s="74">
        <v>25</v>
      </c>
      <c r="L8" s="74">
        <v>25</v>
      </c>
      <c r="M8" s="74">
        <v>18</v>
      </c>
      <c r="N8" s="74">
        <v>19</v>
      </c>
      <c r="O8" s="74">
        <v>22</v>
      </c>
      <c r="P8" s="74">
        <v>16</v>
      </c>
      <c r="Q8" s="74">
        <v>16</v>
      </c>
      <c r="R8" s="74">
        <v>21</v>
      </c>
      <c r="S8" s="74">
        <v>11</v>
      </c>
      <c r="T8" s="74">
        <v>12</v>
      </c>
      <c r="U8" s="74">
        <v>20</v>
      </c>
      <c r="V8" s="74">
        <v>20</v>
      </c>
      <c r="W8" s="74">
        <v>17</v>
      </c>
      <c r="X8" s="74">
        <v>10</v>
      </c>
      <c r="Y8" s="74">
        <v>16</v>
      </c>
      <c r="Z8" s="74">
        <v>13</v>
      </c>
      <c r="AA8" s="74">
        <v>16</v>
      </c>
      <c r="AB8" s="74">
        <v>7</v>
      </c>
      <c r="AC8" s="74">
        <v>16</v>
      </c>
      <c r="AD8" s="74">
        <v>15</v>
      </c>
      <c r="AE8" s="74">
        <v>20</v>
      </c>
    </row>
    <row r="9" spans="1:99" ph="1">
      <c r="B9" s="235" ph="1">
        <v>0.66666666666666663</v>
      </c>
      <c r="C9" s="143" t="s" ph="1">
        <v>214</v>
      </c>
      <c r="D9" s="71">
        <v>181</v>
      </c>
      <c r="E9" s="71">
        <v>0</v>
      </c>
      <c r="F9" s="71">
        <v>6479</v>
      </c>
      <c r="G9" s="71">
        <v>8900</v>
      </c>
      <c r="H9" s="71">
        <v>7709</v>
      </c>
      <c r="I9" s="71">
        <v>39.18</v>
      </c>
      <c r="J9" s="71">
        <v>26.14</v>
      </c>
      <c r="K9" s="71">
        <v>9.15</v>
      </c>
      <c r="L9" s="71">
        <v>21.03</v>
      </c>
      <c r="M9" s="71">
        <v>6263</v>
      </c>
      <c r="N9" s="71">
        <v>3186</v>
      </c>
      <c r="O9" s="71">
        <v>3121</v>
      </c>
      <c r="P9" s="71">
        <v>1232</v>
      </c>
      <c r="Q9" s="71">
        <v>0</v>
      </c>
      <c r="R9" s="71">
        <v>0</v>
      </c>
      <c r="S9" s="71">
        <v>0</v>
      </c>
      <c r="T9" s="71">
        <v>0</v>
      </c>
      <c r="U9" s="71">
        <v>0</v>
      </c>
      <c r="V9" s="71">
        <v>3407</v>
      </c>
      <c r="W9" s="71">
        <v>5895</v>
      </c>
      <c r="X9" s="71">
        <v>5600</v>
      </c>
      <c r="Y9" s="71">
        <v>6071</v>
      </c>
      <c r="Z9" s="71">
        <v>944</v>
      </c>
      <c r="AA9" s="71">
        <v>0</v>
      </c>
      <c r="AB9" s="71">
        <v>2935</v>
      </c>
      <c r="AC9" s="71">
        <v>9040</v>
      </c>
      <c r="AD9" s="71">
        <v>2172</v>
      </c>
      <c r="AE9" s="71">
        <v>3979</v>
      </c>
    </row>
    <row r="10" spans="1:99" s="72" customFormat="1" ht="22.5" ph="1">
      <c r="B10" s="235" ph="1"/>
      <c r="C10" s="143" t="s" ph="1">
        <v>212</v>
      </c>
      <c r="D10" s="73" ph="1">
        <f>D9*33.183*LOOKUP(D11,密度!$A$2:$A$50,密度!$Q$2:$Q$50)</f>
        <v>5708.0991767400001</v>
      </c>
      <c r="E10" s="73" ph="1">
        <f>E9*51.53*LOOKUP(E11,密度!$A$2:$A$50,密度!$I$2:$I$50)</f>
        <v>0</v>
      </c>
      <c r="F10" s="73" ph="1">
        <f>F9*33.183*LOOKUP(F11,密度!$A$2:$A$50,密度!$C$2:$C$50)</f>
        <v>239609.31622650003</v>
      </c>
      <c r="G10" s="73" ph="1">
        <f xml:space="preserve"> (G9+2)*51.53*LOOKUP(G11,密度!$A$2:$A$50,密度!$B$2:$B$50)</f>
        <v>362664.07943599997</v>
      </c>
      <c r="H10" s="73" ph="1">
        <f>(H9)*51.53*LOOKUP(H11,密度!$A$2:$A$50,密度!$B$2:$B$50)</f>
        <v>314061.71516199998</v>
      </c>
      <c r="I10" s="73" ph="1">
        <f>I9*290.8*1.0267</f>
        <v>11697.751624799999</v>
      </c>
      <c r="J10" s="73" ph="1">
        <f>J9*290.8*0.7892</f>
        <v>5999.1132704000001</v>
      </c>
      <c r="K10" s="73" ph="1">
        <f>K9*290.8*1.1126</f>
        <v>2960.4283320000004</v>
      </c>
      <c r="L10" s="73" ph="1">
        <f>L9*290.8*0.777</f>
        <v>4751.7621480000007</v>
      </c>
      <c r="M10" s="73" ph="1">
        <f>M9*33.183*LOOKUP(M11,密度!$A$2:$A$50,密度!$D$2:$D$50)</f>
        <v>214704.14076989997</v>
      </c>
      <c r="N10" s="73" ph="1">
        <f>N9*33.183*LOOKUP(N11,密度!$A$2:$A$50,密度!$E$2:$E$50)</f>
        <v>83435.043189600008</v>
      </c>
      <c r="O10" s="73" ph="1">
        <f>O9*20.428*LOOKUP(O11,密度!$A$2:$A$50,密度!$C$2:$C$50)</f>
        <v>70839.056046800004</v>
      </c>
      <c r="P10" s="73" ph="1">
        <f>P9*51.53*LOOKUP(P11,密度!$A$2:$A$50,密度!$B$2:$B$50)</f>
        <v>49924.572543999995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22589.591547599997</v>
      </c>
      <c r="W10" s="73" ph="1">
        <f>W9*1.5*1.5*3.1416*LOOKUP(W11,密度!$A$2:$A$50,密度!$L$2:$L$50)</f>
        <v>39419.249561999997</v>
      </c>
      <c r="X10" s="73" ph="1">
        <f>X9*1.5*1.5*3.1416*LOOKUP(X11,密度!$A$2:$A$50,密度!$L$2:$L$50)</f>
        <v>37248.694559999996</v>
      </c>
      <c r="Y10" s="73" ph="1">
        <f>Y9*1.5*1.5*3.1416*LOOKUP(Y11,密度!$A$2:$A$50,密度!$L$2:$L$50)</f>
        <v>40510.316246399998</v>
      </c>
      <c r="Z10" s="73" ph="1">
        <f>Z9*33.183*LOOKUP(Z11,密度!$A$2:$A$50,密度!$L$2:$L$50)</f>
        <v>29695.864895999999</v>
      </c>
      <c r="AA10" s="73" ph="1">
        <f>AA9*33.183*LOOKUP(AA11,密度!$A$2:$A$50,密度!$D$2:$D$50)</f>
        <v>0</v>
      </c>
      <c r="AB10" s="73" ph="1">
        <f>AB9*20.428*LOOKUP(AB11,密度!$A$2:$A$50,密度!$D$2:$D$50)</f>
        <v>62408.387761999998</v>
      </c>
      <c r="AC10" s="73" ph="1">
        <f>AC9*51.53*LOOKUP(AC11,密度!$A$2:$A$50,密度!$Q$2:$Q$50)</f>
        <v>444654.51364800002</v>
      </c>
      <c r="AD10" s="73" ph="1">
        <f>AD9*20.428*LOOKUP(AD11,密度!$A$2:$A$50,密度!$V$2:$V$50)</f>
        <v>42772.309824000004</v>
      </c>
      <c r="AE10" s="73" ph="1">
        <f>AE9*20.428</f>
        <v>81283.012000000002</v>
      </c>
    </row>
    <row r="11" spans="1:99" ph="1">
      <c r="A11" s="64" t="s" ph="1">
        <v>196</v>
      </c>
      <c r="B11" s="235" ph="1"/>
      <c r="C11" s="143" t="s" ph="1">
        <v>213</v>
      </c>
      <c r="D11" s="74">
        <v>20</v>
      </c>
      <c r="E11" s="74">
        <v>20</v>
      </c>
      <c r="F11" s="74">
        <v>17</v>
      </c>
      <c r="G11" s="74">
        <v>12</v>
      </c>
      <c r="H11" s="74">
        <v>12</v>
      </c>
      <c r="I11" s="74">
        <v>25</v>
      </c>
      <c r="J11" s="74">
        <v>25</v>
      </c>
      <c r="K11" s="74">
        <v>25</v>
      </c>
      <c r="L11" s="74">
        <v>25</v>
      </c>
      <c r="M11" s="74">
        <v>18</v>
      </c>
      <c r="N11" s="74">
        <v>20</v>
      </c>
      <c r="O11" s="74">
        <v>22</v>
      </c>
      <c r="P11" s="74">
        <v>17</v>
      </c>
      <c r="Q11" s="74">
        <v>20</v>
      </c>
      <c r="R11" s="74">
        <v>22</v>
      </c>
      <c r="S11" s="74">
        <v>14</v>
      </c>
      <c r="T11" s="74">
        <v>21</v>
      </c>
      <c r="U11" s="74">
        <v>17</v>
      </c>
      <c r="V11" s="74">
        <v>24</v>
      </c>
      <c r="W11" s="74">
        <v>16</v>
      </c>
      <c r="X11" s="74">
        <v>21</v>
      </c>
      <c r="Y11" s="74">
        <v>18</v>
      </c>
      <c r="Z11" s="74">
        <v>14</v>
      </c>
      <c r="AA11" s="74">
        <v>13</v>
      </c>
      <c r="AB11" s="74">
        <v>9</v>
      </c>
      <c r="AC11" s="74">
        <v>14</v>
      </c>
      <c r="AD11" s="74">
        <v>17</v>
      </c>
      <c r="AE11" s="74">
        <v>21</v>
      </c>
    </row>
    <row r="12" spans="1:99" ht="9.9499999999999993" customHeight="1" ph="1"/>
    <row r="13" spans="1:99" s="72" customFormat="1" ht="29.25" customHeight="1" ph="1">
      <c r="B13" s="212" t="s" ph="1">
        <v>37</v>
      </c>
      <c r="C13" s="143" t="s" ph="1">
        <v>210</v>
      </c>
      <c r="D13" s="76" t="s" ph="1">
        <v>53</v>
      </c>
      <c r="E13" s="76" t="s" ph="1">
        <v>54</v>
      </c>
      <c r="F13" s="76" t="s" ph="1">
        <v>66</v>
      </c>
      <c r="G13" s="76" t="s" ph="1">
        <v>67</v>
      </c>
      <c r="H13" s="76" t="s" ph="1">
        <v>154</v>
      </c>
      <c r="I13" s="76" t="s" ph="1">
        <v>68</v>
      </c>
      <c r="J13" s="76" t="s" ph="1">
        <v>155</v>
      </c>
      <c r="K13" s="76" t="s" ph="1">
        <v>63</v>
      </c>
      <c r="L13" s="76" t="s" ph="1">
        <v>69</v>
      </c>
      <c r="M13" s="76" t="s" ph="1">
        <v>70</v>
      </c>
      <c r="N13" s="76" t="s" ph="1">
        <v>156</v>
      </c>
      <c r="O13" s="76" t="s" ph="1">
        <v>64</v>
      </c>
      <c r="P13" s="76" t="s" ph="1">
        <v>71</v>
      </c>
      <c r="Q13" s="76" t="s" ph="1">
        <v>72</v>
      </c>
      <c r="R13" s="76" t="s" ph="1">
        <v>73</v>
      </c>
      <c r="S13" s="76" t="s" ph="1">
        <v>74</v>
      </c>
      <c r="T13" s="76" t="s" ph="1">
        <v>75</v>
      </c>
      <c r="U13" s="76" t="s" ph="1">
        <v>76</v>
      </c>
      <c r="V13" s="76" t="s" ph="1">
        <v>157</v>
      </c>
      <c r="W13" s="76" t="s" ph="1">
        <v>158</v>
      </c>
      <c r="X13" s="76" t="s" ph="1">
        <v>159</v>
      </c>
      <c r="Y13" s="105" t="s" ph="1">
        <v>77</v>
      </c>
      <c r="Z13" s="76" t="s" ph="1">
        <v>86</v>
      </c>
      <c r="AA13" s="76" t="s" ph="1">
        <v>160</v>
      </c>
      <c r="AB13" s="76" t="s" ph="1">
        <v>161</v>
      </c>
      <c r="AC13" s="76" t="s" ph="1">
        <v>162</v>
      </c>
      <c r="AD13" s="76" t="s" ph="1">
        <v>163</v>
      </c>
      <c r="AE13" s="76" t="s" ph="1">
        <v>164</v>
      </c>
      <c r="AG13" s="72" t="s" ph="1">
        <v>369</v>
      </c>
      <c r="AH13" s="72" t="s" ph="1">
        <v>232</v>
      </c>
      <c r="AI13" s="72" t="s" ph="1">
        <v>233</v>
      </c>
      <c r="AJ13" s="72" t="s" ph="1">
        <v>234</v>
      </c>
      <c r="AK13" s="72" t="s" ph="1">
        <v>235</v>
      </c>
      <c r="AL13" s="72" t="s" ph="1">
        <v>236</v>
      </c>
      <c r="AM13" s="72" t="s" ph="1">
        <v>237</v>
      </c>
      <c r="AN13" s="72" t="s" ph="1">
        <v>238</v>
      </c>
      <c r="AO13" s="72" t="s" ph="1">
        <v>239</v>
      </c>
      <c r="AP13" s="72" t="s" ph="1">
        <v>240</v>
      </c>
      <c r="AQ13" s="72" t="s" ph="1">
        <v>241</v>
      </c>
      <c r="AR13" s="72" t="s" ph="1">
        <v>242</v>
      </c>
      <c r="AS13" s="72" t="s" ph="1">
        <v>243</v>
      </c>
      <c r="AT13" s="72" t="s" ph="1">
        <v>244</v>
      </c>
      <c r="AU13" s="72" t="s" ph="1">
        <v>245</v>
      </c>
      <c r="AV13" s="72" t="s" ph="1">
        <v>246</v>
      </c>
      <c r="AW13" s="72" t="s" ph="1">
        <v>247</v>
      </c>
      <c r="AX13" s="72" t="s" ph="1">
        <v>248</v>
      </c>
      <c r="AY13" s="72" t="s" ph="1">
        <v>370</v>
      </c>
      <c r="AZ13" s="72" t="s" ph="1">
        <v>249</v>
      </c>
      <c r="BA13" s="72" t="s" ph="1">
        <v>250</v>
      </c>
      <c r="BB13" s="72" t="s" ph="1">
        <v>635</v>
      </c>
      <c r="BC13" s="72" t="s" ph="1">
        <v>251</v>
      </c>
      <c r="BD13" s="72" t="s" ph="1">
        <v>371</v>
      </c>
      <c r="BE13" s="72" t="s" ph="1">
        <v>372</v>
      </c>
      <c r="BF13" s="72" t="s" ph="1">
        <v>373</v>
      </c>
      <c r="BG13" s="72" t="s" ph="1">
        <v>374</v>
      </c>
      <c r="BH13" s="72" t="s" ph="1">
        <v>375</v>
      </c>
    </row>
    <row r="14" spans="1:99" s="72" customFormat="1" ht="24" ph="1">
      <c r="B14" s="213" ph="1"/>
      <c r="C14" s="67" t="s" ph="1">
        <v>36</v>
      </c>
      <c r="D14" s="77" t="s" ph="1">
        <v>131</v>
      </c>
      <c r="E14" s="77" t="s" ph="1">
        <v>131</v>
      </c>
      <c r="F14" s="77" t="s" ph="1">
        <v>650</v>
      </c>
      <c r="G14" s="77" t="s" ph="1">
        <v>220</v>
      </c>
      <c r="H14" s="77" t="s" ph="1">
        <v>648</v>
      </c>
      <c r="I14" s="77" t="s" ph="1">
        <v>65</v>
      </c>
      <c r="J14" s="77" t="s" ph="1">
        <v>230</v>
      </c>
      <c r="K14" s="77" t="s" ph="1">
        <v>226</v>
      </c>
      <c r="L14" s="77" t="s" ph="1">
        <v>41</v>
      </c>
      <c r="M14" s="104" t="s" ph="1">
        <v>225</v>
      </c>
      <c r="N14" s="104" t="s" ph="1">
        <v>221</v>
      </c>
      <c r="O14" s="104" t="s" ph="1">
        <v>229</v>
      </c>
      <c r="P14" s="77" t="s" ph="1">
        <v>82</v>
      </c>
      <c r="Q14" s="77" t="s" ph="1">
        <v>82</v>
      </c>
      <c r="R14" s="88" t="s" ph="1">
        <v>7</v>
      </c>
      <c r="S14" s="77" t="s" ph="1">
        <v>82</v>
      </c>
      <c r="T14" s="77" t="s" ph="1">
        <v>98</v>
      </c>
      <c r="U14" s="77" t="s" ph="1">
        <v>103</v>
      </c>
      <c r="V14" s="77" t="s" ph="1">
        <v>649</v>
      </c>
      <c r="W14" s="77" t="s" ph="1">
        <v>223</v>
      </c>
      <c r="X14" s="77" t="s" ph="1">
        <v>78</v>
      </c>
      <c r="Y14" s="144" t="s" ph="1">
        <v>0</v>
      </c>
      <c r="Z14" s="77" t="s" ph="1">
        <v>62</v>
      </c>
      <c r="AA14" s="77" t="s" ph="1">
        <v>88</v>
      </c>
      <c r="AB14" s="145" t="s" ph="1">
        <v>653</v>
      </c>
      <c r="AC14" s="145" t="s" ph="1">
        <v>653</v>
      </c>
      <c r="AD14" s="77" t="s" ph="1">
        <v>136</v>
      </c>
      <c r="AE14" s="77" t="s" ph="1">
        <v>136</v>
      </c>
      <c r="AG14" s="72" t="s" ph="1">
        <v>252</v>
      </c>
      <c r="AI14" s="72" t="s" ph="1">
        <v>253</v>
      </c>
      <c r="AJ14" s="72" t="s" ph="1">
        <v>376</v>
      </c>
      <c r="AK14" s="72" t="s" ph="1">
        <v>254</v>
      </c>
      <c r="AM14" s="72" t="s" ph="1">
        <v>256</v>
      </c>
      <c r="AN14" s="72" t="s" ph="1">
        <v>254</v>
      </c>
      <c r="AO14" s="72" t="s" ph="1">
        <v>255</v>
      </c>
      <c r="AP14" s="72" t="s" ph="1">
        <v>256</v>
      </c>
      <c r="AQ14" s="72" t="s" ph="1">
        <v>254</v>
      </c>
      <c r="AR14" s="72" t="s" ph="1">
        <v>255</v>
      </c>
      <c r="AS14" s="72" t="s" ph="1">
        <v>256</v>
      </c>
      <c r="AT14" s="72" t="s" ph="1">
        <v>254</v>
      </c>
      <c r="AU14" s="72" t="s" ph="1">
        <v>255</v>
      </c>
      <c r="AV14" s="72" t="s" ph="1">
        <v>256</v>
      </c>
      <c r="AW14" s="72" t="s" ph="1">
        <v>254</v>
      </c>
      <c r="AX14" s="72" t="s" ph="1">
        <v>255</v>
      </c>
      <c r="AY14" s="72" t="s" ph="1">
        <v>256</v>
      </c>
      <c r="AZ14" s="72" t="s" ph="1">
        <v>255</v>
      </c>
    </row>
    <row r="15" spans="1:99" ph="1">
      <c r="B15" s="214" ph="1">
        <v>0.33333333333333331</v>
      </c>
      <c r="C15" s="143" t="s" ph="1">
        <v>211</v>
      </c>
      <c r="D15" s="78">
        <v>2426</v>
      </c>
      <c r="E15" s="78">
        <v>4503</v>
      </c>
      <c r="F15" s="78">
        <v>2201</v>
      </c>
      <c r="G15" s="78">
        <v>2106</v>
      </c>
      <c r="H15" s="78">
        <v>1077</v>
      </c>
      <c r="I15" s="78">
        <v>10</v>
      </c>
      <c r="J15" s="78">
        <v>2888</v>
      </c>
      <c r="K15" s="78">
        <v>1816</v>
      </c>
      <c r="L15" s="78">
        <v>2742</v>
      </c>
      <c r="M15" s="78">
        <v>5584</v>
      </c>
      <c r="N15" s="78">
        <v>5621</v>
      </c>
      <c r="O15" s="78">
        <v>100</v>
      </c>
      <c r="P15" s="78">
        <v>1718</v>
      </c>
      <c r="Q15" s="78">
        <v>6086</v>
      </c>
      <c r="R15" s="78">
        <v>3495</v>
      </c>
      <c r="S15" s="78">
        <v>5617</v>
      </c>
      <c r="T15" s="78">
        <v>6696</v>
      </c>
      <c r="U15" s="78">
        <v>1760</v>
      </c>
      <c r="V15" s="78">
        <v>4946</v>
      </c>
      <c r="W15" s="78">
        <v>-592</v>
      </c>
      <c r="X15" s="78">
        <v>1192</v>
      </c>
      <c r="Y15" s="106">
        <v>-9903</v>
      </c>
      <c r="Z15" s="78">
        <v>0</v>
      </c>
      <c r="AA15" s="78">
        <v>33</v>
      </c>
      <c r="AB15" s="78" ph="1">
        <v>6280</v>
      </c>
      <c r="AC15" s="78">
        <v>6506</v>
      </c>
      <c r="AD15" s="78">
        <v>64.86</v>
      </c>
      <c r="AE15" s="78">
        <v>5.44</v>
      </c>
      <c r="AG15" s="64" t="s" ph="1">
        <v>258</v>
      </c>
      <c r="AH15" s="64" ph="1">
        <v>1</v>
      </c>
      <c r="AI15" s="64" t="s" ph="1">
        <v>377</v>
      </c>
      <c r="AK15" s="64" t="s" ph="1">
        <v>631</v>
      </c>
      <c r="AM15" s="64" t="s" ph="1">
        <v>379</v>
      </c>
      <c r="AZ15" s="64" t="s" ph="1">
        <v>260</v>
      </c>
      <c r="BA15" s="64" ph="1">
        <v>0</v>
      </c>
    </row>
    <row r="16" spans="1:99" s="72" customFormat="1" ht="22.5" ph="1">
      <c r="B16" s="215" ph="1"/>
      <c r="C16" s="143" t="s" ph="1">
        <v>212</v>
      </c>
      <c r="D16" s="73" ph="1">
        <f>D15*7.0686*LOOKUP(D17,密度!$A$2:$A$50,密度!$L$2:$L$50)</f>
        <v>16153.815031199998</v>
      </c>
      <c r="E16" s="73" ph="1">
        <f>E15*7.0686*LOOKUP(E17,密度!$A$2:$A$50,密度!$L$2:$L$50)</f>
        <v>29983.7712636</v>
      </c>
      <c r="F16" s="73" ph="1">
        <f>F15*9.0746*LOOKUP(F17,密度!$A$2:$A$50,密度!$L$2:$L$50)</f>
        <v>18794.776118599999</v>
      </c>
      <c r="G16" s="73" ph="1">
        <f>G15*9.0746*LOOKUP(G17,密度!$A$2:$A$50,密度!$B$2:$B$50)</f>
        <v>15015.597241319998</v>
      </c>
      <c r="H16" s="73" ph="1">
        <f>H15*9.0746*LOOKUP(H17,密度!$A$2:$A$50,密度!$L$2:$L$50)</f>
        <v>9274.9036457999991</v>
      </c>
      <c r="I16" s="73" ph="1">
        <f>I15*9.0746*LOOKUP(I17,密度!$A$2:$A$50,密度!$U$2:$U$50)</f>
        <v>93.286888000000019</v>
      </c>
      <c r="J16" s="73" ph="1">
        <f>J15*9.0746*LOOKUP(J17,密度!$A$2:$A$50,密度!$L$2:$L$50)</f>
        <v>24661.2055568</v>
      </c>
      <c r="K16" s="73" ph="1">
        <f>K15*9.0746*LOOKUP(K17,密度!$A$2:$A$50,密度!$C$2:$C$50)</f>
        <v>18356.48564304</v>
      </c>
      <c r="L16" s="73" ph="1">
        <f>L15*9.0746*LOOKUP(L17,密度!$A$2:$A$50,密度!$E$2:$E$50)</f>
        <v>19664.681793960001</v>
      </c>
      <c r="M16" s="73" ph="1">
        <f>M15*9.0746*LOOKUP(M17,密度!$A$2:$A$50,密度!$M$2:$M$50)</f>
        <v>44607.060201920001</v>
      </c>
      <c r="N16" s="73" ph="1">
        <f>N15*9.0746*LOOKUP(N17,密度!$A$2:$A$50,密度!$M$2:$M$50)</f>
        <v>44902.62990598</v>
      </c>
      <c r="O16" s="73" ph="1">
        <f>O15*9.0746*LOOKUP(O17,密度!$A$2:$A$50,密度!$G$2:$G$50)</f>
        <v>876.51561400000003</v>
      </c>
      <c r="P16" s="73" ph="1">
        <f ca="1">P15*9.0746*LOOKUP(P17,密度!$A$2:$A$51,密度!$Q$2:$Q$50)</f>
        <v>14796.467611852</v>
      </c>
      <c r="Q16" s="73" ph="1">
        <f>Q15*9.0746*LOOKUP(Q17,密度!$A$2:$A$50,密度!$Q$2:$Q$50)</f>
        <v>52487.601465927997</v>
      </c>
      <c r="R16" s="73" ph="1">
        <f>MAX(R15*9.0746*LOOKUP(R17,密度!$A$2:$A$50,密度!$B$2:$B$50),0)</f>
        <v>24893.674122300003</v>
      </c>
      <c r="S16" s="73" ph="1">
        <f>S15*9.0746*LOOKUP(S17,密度!$A$2:$A$50,密度!$Q$2:$Q$50)</f>
        <v>48606.926091519999</v>
      </c>
      <c r="T16" s="73" ph="1">
        <f>T15*9.0746*LOOKUP(T17,密度!$A$2:$A$50,密度!$O$2:$O$50)</f>
        <v>56753.129174400005</v>
      </c>
      <c r="U16" s="73" ph="1">
        <f>U15*9.0746*LOOKUP(U17,密度!$A$2:$A$50,密度!$H$2:$H$50)</f>
        <v>14720.743523199999</v>
      </c>
      <c r="V16" s="73" ph="1">
        <f>MAX(5600*LOOKUP(V17,密度!$A$2:$A$50,密度!$Q$2:$Q$50)+V15*9.0476*LOOKUP(V17,密度!$A$2:$A$50,密度!$Q$2:$Q$50),0)</f>
        <v>47851.09090324799</v>
      </c>
      <c r="W16" s="73" ph="1">
        <f>MAX(5600*LOOKUP(W17,密度!$A$2:$A$50,密度!$Q$2:$Q$50)+W15*9.0476*LOOKUP(W17,密度!$A$2:$A$50,密度!$Q$2:$Q$50),0)</f>
        <v>232.11983980800051</v>
      </c>
      <c r="X16" s="73" ph="1">
        <f>MAX(5600*LOOKUP(X17,密度!$A$2:$A$50,密度!$I$2:$I$50)+X15*9.0476*LOOKUP(X17,密度!$A$2:$A$50,密度!$I$2:$I$50),0)</f>
        <v>16838.596475839997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235.28713625999998</v>
      </c>
      <c r="AB16" s="73" ph="1">
        <f>AB15*9.0746*LOOKUP(AB17,密度!$A$2:$A$50,密度!$L$2:$L$50)</f>
        <v>53797.132672</v>
      </c>
      <c r="AC16" s="73" ph="1">
        <f>AC15*9.0746*LOOKUP(AC17,密度!$A$2:$A$50,密度!$L$2:$L$50)</f>
        <v>55910.262177199998</v>
      </c>
      <c r="AD16" s="73" ph="1">
        <f>AD15*268.68*LOOKUP(AD17,密度!$A$2:$A$50,密度!B2:B50)+IF(AD15&lt;=0,0,1566*LOOKUP(AD17,密度!$A$2:$A$50,密度!B2:B50))</f>
        <v>14806.619110080001</v>
      </c>
      <c r="AE16" s="73" ph="1">
        <f>AE15*268.68*LOOKUP(AE17,密度!$A$2:$A$50,密度!B2:B50)+IF(AE15&lt;=0,0,1566*LOOKUP(AE17,密度!$A$2:$A$50,密度!B2:B50))</f>
        <v>2360.3319283199999</v>
      </c>
      <c r="AH16" s="72" ph="1">
        <v>2</v>
      </c>
      <c r="AI16" s="72" t="s" ph="1">
        <v>381</v>
      </c>
      <c r="AZ16" s="72" t="s" ph="1">
        <v>260</v>
      </c>
      <c r="BA16" s="72" ph="1">
        <v>0</v>
      </c>
    </row>
    <row r="17" spans="1:57" ph="1">
      <c r="A17" s="64" t="s" ph="1">
        <v>85</v>
      </c>
      <c r="B17" s="216" ph="1"/>
      <c r="C17" s="79" t="s" ph="1">
        <v>213</v>
      </c>
      <c r="D17" s="74">
        <v>20</v>
      </c>
      <c r="E17" s="74">
        <v>20</v>
      </c>
      <c r="F17" s="74">
        <v>21</v>
      </c>
      <c r="G17" s="74">
        <v>18</v>
      </c>
      <c r="H17" s="74">
        <v>13</v>
      </c>
      <c r="I17" s="74">
        <v>16</v>
      </c>
      <c r="J17" s="74">
        <v>21</v>
      </c>
      <c r="K17" s="74">
        <v>18</v>
      </c>
      <c r="L17" s="74">
        <v>19</v>
      </c>
      <c r="M17" s="74">
        <v>19</v>
      </c>
      <c r="N17" s="74">
        <v>18</v>
      </c>
      <c r="O17" s="74">
        <v>20</v>
      </c>
      <c r="P17" s="74">
        <v>22</v>
      </c>
      <c r="Q17" s="74">
        <v>20</v>
      </c>
      <c r="R17" s="74">
        <v>19</v>
      </c>
      <c r="S17" s="74">
        <v>16</v>
      </c>
      <c r="T17" s="74">
        <v>16</v>
      </c>
      <c r="U17" s="74">
        <v>18</v>
      </c>
      <c r="V17" s="74">
        <v>20</v>
      </c>
      <c r="W17" s="74">
        <v>18</v>
      </c>
      <c r="X17" s="74">
        <v>38</v>
      </c>
      <c r="Y17" s="108">
        <v>38</v>
      </c>
      <c r="Z17" s="74">
        <v>17</v>
      </c>
      <c r="AA17" s="74">
        <v>18</v>
      </c>
      <c r="AB17" s="74">
        <v>18</v>
      </c>
      <c r="AC17" s="74">
        <v>15</v>
      </c>
      <c r="AD17" s="74">
        <v>25</v>
      </c>
      <c r="AE17" s="74">
        <v>25</v>
      </c>
      <c r="AH17" s="64" ph="1">
        <v>3</v>
      </c>
      <c r="AI17" s="64" t="s" ph="1">
        <v>382</v>
      </c>
      <c r="AK17" s="64" t="s" ph="1">
        <v>614</v>
      </c>
      <c r="AL17" s="64" ph="1">
        <v>80</v>
      </c>
      <c r="AM17" s="64" t="s" ph="1">
        <v>379</v>
      </c>
      <c r="AZ17" s="64" t="s" ph="1">
        <v>260</v>
      </c>
      <c r="BA17" s="64" ph="1">
        <v>80</v>
      </c>
      <c r="BD17" s="64" t="s" ph="1">
        <v>258</v>
      </c>
      <c r="BE17" s="64" ph="1">
        <v>2270</v>
      </c>
    </row>
    <row r="18" spans="1:57" ph="1">
      <c r="B18" s="214" ph="1">
        <v>0.66666666666666663</v>
      </c>
      <c r="C18" s="79" t="s" ph="1">
        <v>214</v>
      </c>
      <c r="D18" s="71">
        <v>850</v>
      </c>
      <c r="E18" s="71">
        <v>5506</v>
      </c>
      <c r="F18" s="71">
        <v>2201</v>
      </c>
      <c r="G18" s="71">
        <v>2137</v>
      </c>
      <c r="H18" s="71">
        <v>1078</v>
      </c>
      <c r="I18" s="71">
        <v>10</v>
      </c>
      <c r="J18" s="71">
        <v>2897</v>
      </c>
      <c r="K18" s="71">
        <v>1816</v>
      </c>
      <c r="L18" s="71">
        <v>4076</v>
      </c>
      <c r="M18" s="71">
        <v>4113</v>
      </c>
      <c r="N18" s="71">
        <v>5015</v>
      </c>
      <c r="O18" s="71">
        <v>121</v>
      </c>
      <c r="P18" s="71">
        <v>2800</v>
      </c>
      <c r="Q18" s="71">
        <v>6090</v>
      </c>
      <c r="R18" s="71">
        <v>3500</v>
      </c>
      <c r="S18" s="71">
        <v>5623</v>
      </c>
      <c r="T18" s="71">
        <v>5353</v>
      </c>
      <c r="U18" s="71">
        <v>1760</v>
      </c>
      <c r="V18" s="71">
        <v>4946</v>
      </c>
      <c r="W18" s="71">
        <v>-592</v>
      </c>
      <c r="X18" s="71">
        <v>1099</v>
      </c>
      <c r="Y18" s="109">
        <v>-9904</v>
      </c>
      <c r="Z18" s="71">
        <v>0</v>
      </c>
      <c r="AA18" s="71">
        <v>33</v>
      </c>
      <c r="AB18" s="71">
        <v>6290</v>
      </c>
      <c r="AC18" s="71">
        <v>6514</v>
      </c>
      <c r="AD18" s="71">
        <v>84.56</v>
      </c>
      <c r="AE18" s="71">
        <v>12.02</v>
      </c>
      <c r="AH18" s="64" ph="1">
        <v>4</v>
      </c>
      <c r="AI18" s="64" t="s" ph="1">
        <v>384</v>
      </c>
      <c r="AJ18" s="64" t="s" ph="1">
        <v>632</v>
      </c>
      <c r="AK18" s="64" t="s" ph="1">
        <v>631</v>
      </c>
      <c r="AL18" s="64" ph="1">
        <v>740</v>
      </c>
      <c r="AM18" s="64" t="s" ph="1">
        <v>383</v>
      </c>
      <c r="AZ18" s="64" t="s" ph="1">
        <v>260</v>
      </c>
      <c r="BA18" s="64" ph="1">
        <v>740</v>
      </c>
    </row>
    <row r="19" spans="1:57" s="72" customFormat="1" ht="22.5" ph="1">
      <c r="B19" s="215" ph="1"/>
      <c r="C19" s="143" t="s" ph="1">
        <v>212</v>
      </c>
      <c r="D19" s="73" ph="1">
        <f>D18*7.0686*LOOKUP(D20,密度!$A$2:$A$50,密度!$L$2:$L$50)</f>
        <v>5665.8363300000001</v>
      </c>
      <c r="E19" s="73" ph="1">
        <f>E18*7.0686*LOOKUP(E20,密度!$A$2:$A$50,密度!$L$2:$L$50)</f>
        <v>36701.288038799998</v>
      </c>
      <c r="F19" s="73" ph="1">
        <f>F18*9.0746*LOOKUP(F20,密度!$A$2:$A$50,密度!$L$2:$L$50)</f>
        <v>18794.776118599999</v>
      </c>
      <c r="G19" s="73" ph="1">
        <f>G18*9.0746*LOOKUP(G20,密度!$A$2:$A$50,密度!$B$2:$B$50)</f>
        <v>15221.110614980002</v>
      </c>
      <c r="H19" s="73" ph="1">
        <f>H18*9.0746*LOOKUP(H20,密度!$A$2:$A$50,密度!$L$2:$L$50)</f>
        <v>9263.9506035999984</v>
      </c>
      <c r="I19" s="73" ph="1">
        <f>I18*9.0746*LOOKUP(I20,密度!$A$2:$A$50,密度!$U$2:$U$50)</f>
        <v>93.286888000000019</v>
      </c>
      <c r="J19" s="73" ph="1">
        <f>J18*9.0746*LOOKUP(J20,密度!$A$2:$A$50,密度!$L$2:$L$50)</f>
        <v>24711.769227999997</v>
      </c>
      <c r="K19" s="73" ph="1">
        <f>K18*9.0746*LOOKUP(K20,密度!$A$2:$A$50,密度!$C$2:$C$50)</f>
        <v>18344.950011519999</v>
      </c>
      <c r="L19" s="73" ph="1">
        <f>L18*9.0746*LOOKUP(L20,密度!$A$2:$A$50,密度!$E$2:$E$50)</f>
        <v>29231.671404880002</v>
      </c>
      <c r="M19" s="73" ph="1">
        <f>M18*9.0746*LOOKUP(M20,密度!$A$2:$A$50,密度!$M$2:$M$50)</f>
        <v>32856.167372939999</v>
      </c>
      <c r="N19" s="73" ph="1">
        <f>N18*9.0746*LOOKUP(N20,密度!$A$2:$A$50,密度!$M$2:$M$50)</f>
        <v>40061.677455699995</v>
      </c>
      <c r="O19" s="73" ph="1">
        <f>O18*9.0746*LOOKUP(O20,密度!$A$2:$A$50,密度!$G$2:$G$50)</f>
        <v>1059.4858663399998</v>
      </c>
      <c r="P19" s="73" ph="1">
        <f ca="1">P18*9.0746*LOOKUP(P20,密度!$A$2:$A$51,密度!$Q$2:$Q$50)</f>
        <v>24209.580864</v>
      </c>
      <c r="Q19" s="73" ph="1">
        <f>Q18*9.0746*LOOKUP(Q20,密度!$A$2:$A$50,密度!$Q$2:$Q$50)</f>
        <v>52569.073406219999</v>
      </c>
      <c r="R19" s="73" ph="1">
        <f>MAX(R18*9.0746*LOOKUP(R20,密度!$A$2:$A$50,密度!$B$2:$B$50),0)</f>
        <v>24875.293520000003</v>
      </c>
      <c r="S19" s="73" ph="1">
        <f>S18*9.0746*LOOKUP(S20,密度!$A$2:$A$50,密度!$Q$2:$Q$50)</f>
        <v>48577.715226357999</v>
      </c>
      <c r="T19" s="73" ph="1">
        <f>T18*9.0746*LOOKUP(T20,密度!$A$2:$A$50,密度!$O$2:$O$50)</f>
        <v>45370.295769200005</v>
      </c>
      <c r="U19" s="73" ph="1">
        <f>U18*9.0746*LOOKUP(U20,密度!$A$2:$A$50,密度!$H$2:$H$50)</f>
        <v>14736.7148192</v>
      </c>
      <c r="V19" s="73" ph="1">
        <f>MAX(5600*LOOKUP(V20,密度!$A$2:$A$50,密度!$Q$2:$Q$50)+V18*9.0476*LOOKUP(V20,密度!$A$2:$A$50,密度!$Q$2:$Q$50),0)</f>
        <v>47893.887918407992</v>
      </c>
      <c r="W19" s="73" ph="1">
        <f>MAX(5600*LOOKUP(W20,密度!$A$2:$A$50,密度!$Q$2:$Q$50)+W18*9.0476*LOOKUP(W20,密度!$A$2:$A$50,密度!$Q$2:$Q$50),0)</f>
        <v>231.92965958400055</v>
      </c>
      <c r="X19" s="73" ph="1">
        <f>MAX(5600*LOOKUP(X20,密度!$A$2:$A$50,密度!$I$2:$I$50)+X18*9.0476*LOOKUP(X20,密度!$A$2:$A$50,密度!$I$2:$I$50),0)</f>
        <v>15990.959797119998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235.73632895999998</v>
      </c>
      <c r="AB19" s="73" ph="1">
        <f>AB18*9.0746*LOOKUP(AB20,密度!$A$2:$A$50,密度!$L$2:$L$50)</f>
        <v>53825.717662000003</v>
      </c>
      <c r="AC19" s="73" ph="1">
        <f>AC18*9.0746*LOOKUP(AC20,密度!$A$2:$A$50,密度!$L$2:$L$50)</f>
        <v>55919.899402399999</v>
      </c>
      <c r="AD19" s="73" ph="1">
        <f>AD18*268.68*LOOKUP(AD20,密度!$A$2:$A$50,密度!B5:B53)+IF(AD18&lt;=0,0,1566*LOOKUP(AD20,密度!$A$2:$A$50,密度!B5:B53))</f>
        <v>18869.896281599998</v>
      </c>
      <c r="AE19" s="73" ph="1">
        <f>AE18*268.68*LOOKUP(AE20,密度!$A$2:$A$50,密度!B5:B53)+IF(AE18&lt;=0,0,1566*LOOKUP(AE20,密度!$A$2:$A$50,密度!B5:B53))</f>
        <v>3726.1296071999996</v>
      </c>
      <c r="AH19" s="72" ph="1">
        <v>5</v>
      </c>
      <c r="AI19" s="72" t="s" ph="1">
        <v>385</v>
      </c>
      <c r="AZ19" s="72" t="s" ph="1">
        <v>260</v>
      </c>
      <c r="BA19" s="72" ph="1">
        <v>0</v>
      </c>
      <c r="BD19" s="72" t="s" ph="1">
        <v>386</v>
      </c>
      <c r="BE19" s="72" ph="1">
        <v>1440</v>
      </c>
    </row>
    <row r="20" spans="1:57" ph="1">
      <c r="A20" s="72" ph="1"/>
      <c r="B20" s="215" ph="1"/>
      <c r="C20" s="80" t="s" ph="1">
        <v>213</v>
      </c>
      <c r="D20" s="81">
        <v>19</v>
      </c>
      <c r="E20" s="81">
        <v>19</v>
      </c>
      <c r="F20" s="81">
        <v>21</v>
      </c>
      <c r="G20" s="81">
        <v>19</v>
      </c>
      <c r="H20" s="81">
        <v>15</v>
      </c>
      <c r="I20" s="81">
        <v>20</v>
      </c>
      <c r="J20" s="81">
        <v>22</v>
      </c>
      <c r="K20" s="81">
        <v>19</v>
      </c>
      <c r="L20" s="81">
        <v>19</v>
      </c>
      <c r="M20" s="81">
        <v>19</v>
      </c>
      <c r="N20" s="81">
        <v>19</v>
      </c>
      <c r="O20" s="81">
        <v>21</v>
      </c>
      <c r="P20" s="81">
        <v>17</v>
      </c>
      <c r="Q20" s="81">
        <v>19</v>
      </c>
      <c r="R20" s="81">
        <v>21</v>
      </c>
      <c r="S20" s="81">
        <v>18</v>
      </c>
      <c r="T20" s="81">
        <v>18</v>
      </c>
      <c r="U20" s="81">
        <v>17</v>
      </c>
      <c r="V20" s="81">
        <v>19</v>
      </c>
      <c r="W20" s="81">
        <v>19</v>
      </c>
      <c r="X20" s="81">
        <v>37</v>
      </c>
      <c r="Y20" s="110">
        <v>37</v>
      </c>
      <c r="Z20" s="81">
        <v>20</v>
      </c>
      <c r="AA20" s="81">
        <v>16</v>
      </c>
      <c r="AB20" s="81">
        <v>19</v>
      </c>
      <c r="AC20" s="81">
        <v>16</v>
      </c>
      <c r="AD20" s="81">
        <v>25</v>
      </c>
      <c r="AE20" s="81">
        <v>25</v>
      </c>
      <c r="AH20" s="64" ph="1">
        <v>6</v>
      </c>
      <c r="AI20" s="64" t="s" ph="1">
        <v>387</v>
      </c>
      <c r="AZ20" s="64" t="s" ph="1">
        <v>260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388</v>
      </c>
      <c r="AZ21" s="64" t="s" ph="1">
        <v>260</v>
      </c>
      <c r="BA21" s="64" ph="1">
        <v>0</v>
      </c>
      <c r="BD21" s="64" t="s" ph="1">
        <v>276</v>
      </c>
      <c r="BE21" s="64" ph="1">
        <v>730</v>
      </c>
    </row>
    <row r="22" spans="1:57" ph="1">
      <c r="A22" s="72" ph="1"/>
      <c r="B22" s="213" t="s" ph="1">
        <v>37</v>
      </c>
      <c r="C22" s="85" t="s" ph="1">
        <v>210</v>
      </c>
      <c r="D22" s="86" t="s" ph="1">
        <v>104</v>
      </c>
      <c r="E22" s="86" t="s" ph="1">
        <v>105</v>
      </c>
      <c r="F22" s="86" t="s" ph="1">
        <v>106</v>
      </c>
      <c r="G22" s="86" t="s" ph="1">
        <v>107</v>
      </c>
      <c r="H22" s="86" t="s" ph="1">
        <v>108</v>
      </c>
      <c r="I22" s="86" t="s" ph="1">
        <v>109</v>
      </c>
      <c r="J22" s="86" t="s" ph="1">
        <v>110</v>
      </c>
      <c r="K22" s="86" t="s" ph="1">
        <v>111</v>
      </c>
      <c r="L22" s="86" t="s" ph="1">
        <v>112</v>
      </c>
      <c r="M22" s="86" t="s" ph="1">
        <v>113</v>
      </c>
      <c r="N22" s="86" t="s" ph="1">
        <v>114</v>
      </c>
      <c r="O22" s="86" t="s" ph="1">
        <v>115</v>
      </c>
      <c r="P22" s="86" t="s" ph="1">
        <v>116</v>
      </c>
      <c r="Q22" s="87" t="s" ph="1">
        <v>117</v>
      </c>
      <c r="R22" s="86" t="s" ph="1">
        <v>118</v>
      </c>
      <c r="S22" s="86" t="s" ph="1">
        <v>119</v>
      </c>
      <c r="T22" s="86" t="s" ph="1">
        <v>120</v>
      </c>
      <c r="U22" s="86" t="s" ph="1">
        <v>121</v>
      </c>
      <c r="V22" s="86" t="s" ph="1">
        <v>122</v>
      </c>
      <c r="W22" s="86" t="s" ph="1">
        <v>123</v>
      </c>
      <c r="X22" s="86" t="s" ph="1">
        <v>124</v>
      </c>
      <c r="Y22" s="86" t="s" ph="1">
        <v>126</v>
      </c>
      <c r="Z22" s="223" t="s" ph="1">
        <v>79</v>
      </c>
      <c r="AA22" s="224"/>
      <c r="AB22" s="224"/>
      <c r="AC22" s="224"/>
      <c r="AD22" s="224"/>
      <c r="AE22" s="225"/>
      <c r="AH22" s="64" ph="1">
        <v>8</v>
      </c>
      <c r="AI22" s="64" t="s" ph="1">
        <v>389</v>
      </c>
      <c r="AZ22" s="64" t="s" ph="1">
        <v>260</v>
      </c>
      <c r="BA22" s="64" ph="1">
        <v>0</v>
      </c>
    </row>
    <row r="23" spans="1:57" ph="1">
      <c r="A23" s="72" ph="1"/>
      <c r="B23" s="217" ph="1"/>
      <c r="C23" s="67" t="s" ph="1">
        <v>36</v>
      </c>
      <c r="D23" s="88" t="s" ph="1">
        <v>128</v>
      </c>
      <c r="E23" s="88" t="s" ph="1">
        <v>125</v>
      </c>
      <c r="F23" s="88" t="s" ph="1">
        <v>224</v>
      </c>
      <c r="G23" s="88" t="s" ph="1">
        <v>165</v>
      </c>
      <c r="H23" s="88" t="s" ph="1">
        <v>165</v>
      </c>
      <c r="I23" s="88" t="s" ph="1">
        <v>166</v>
      </c>
      <c r="J23" s="88" t="s" ph="1">
        <v>167</v>
      </c>
      <c r="K23" s="88" t="s" ph="1">
        <v>129</v>
      </c>
      <c r="L23" s="88" t="s" ph="1">
        <v>129</v>
      </c>
      <c r="M23" s="88" t="s" ph="1">
        <v>167</v>
      </c>
      <c r="N23" s="88" t="s" ph="1">
        <v>167</v>
      </c>
      <c r="O23" s="88" t="s" ph="1">
        <v>132</v>
      </c>
      <c r="P23" s="88" t="s" ph="1">
        <v>168</v>
      </c>
      <c r="Q23" s="89" t="s" ph="1">
        <v>168</v>
      </c>
      <c r="R23" s="88" t="s" ph="1">
        <v>169</v>
      </c>
      <c r="S23" s="88" t="s" ph="1">
        <v>170</v>
      </c>
      <c r="T23" s="88" t="s" ph="1">
        <v>651</v>
      </c>
      <c r="U23" s="88" t="s" ph="1">
        <v>171</v>
      </c>
      <c r="V23" s="88" t="s" ph="1">
        <v>172</v>
      </c>
      <c r="W23" s="88" t="s" ph="1">
        <v>170</v>
      </c>
      <c r="X23" s="88" t="s" ph="1">
        <v>231</v>
      </c>
      <c r="Y23" s="88" t="s" ph="1">
        <v>97</v>
      </c>
      <c r="Z23" s="226" t="s" ph="1">
        <v>654</v>
      </c>
      <c r="AA23" s="227"/>
      <c r="AB23" s="227"/>
      <c r="AC23" s="227"/>
      <c r="AD23" s="227"/>
      <c r="AE23" s="228"/>
      <c r="AH23" s="64" ph="1">
        <v>9</v>
      </c>
      <c r="AI23" s="64" t="s" ph="1">
        <v>390</v>
      </c>
      <c r="AZ23" s="64" t="s" ph="1">
        <v>260</v>
      </c>
      <c r="BA23" s="64" ph="1">
        <v>0</v>
      </c>
      <c r="BD23" s="64" t="s" ph="1">
        <v>282</v>
      </c>
      <c r="BE23" s="64" ph="1">
        <v>890</v>
      </c>
    </row>
    <row r="24" spans="1:57" ph="1">
      <c r="A24" s="72" ph="1"/>
      <c r="B24" s="235" ph="1">
        <v>0.33333333333333331</v>
      </c>
      <c r="C24" s="143" t="s" ph="1">
        <v>211</v>
      </c>
      <c r="D24" s="71">
        <v>44.26</v>
      </c>
      <c r="E24" s="71">
        <v>97.6</v>
      </c>
      <c r="F24" s="71">
        <v>2153</v>
      </c>
      <c r="G24" s="71">
        <v>3079</v>
      </c>
      <c r="H24" s="71">
        <v>3095</v>
      </c>
      <c r="I24" s="71">
        <v>2537</v>
      </c>
      <c r="J24" s="71">
        <v>2448</v>
      </c>
      <c r="K24" s="71">
        <v>2823</v>
      </c>
      <c r="L24" s="71">
        <v>5073</v>
      </c>
      <c r="M24" s="71">
        <v>1384</v>
      </c>
      <c r="N24" s="71">
        <v>868</v>
      </c>
      <c r="O24" s="71">
        <v>2054</v>
      </c>
      <c r="P24" s="71">
        <v>2480</v>
      </c>
      <c r="Q24" s="90">
        <v>2242</v>
      </c>
      <c r="R24" s="71">
        <v>2015</v>
      </c>
      <c r="S24" s="71">
        <v>182</v>
      </c>
      <c r="T24" s="71">
        <v>6394</v>
      </c>
      <c r="U24" s="71">
        <v>4506</v>
      </c>
      <c r="V24" s="71">
        <v>5850</v>
      </c>
      <c r="W24" s="71">
        <v>10073</v>
      </c>
      <c r="X24" s="71">
        <v>11119</v>
      </c>
      <c r="Y24" s="71">
        <v>3837</v>
      </c>
      <c r="Z24" s="229"/>
      <c r="AA24" s="230"/>
      <c r="AB24" s="230"/>
      <c r="AC24" s="230"/>
      <c r="AD24" s="230"/>
      <c r="AE24" s="231"/>
      <c r="AH24" s="64" ph="1">
        <v>10</v>
      </c>
      <c r="AI24" s="64" t="s" ph="1">
        <v>391</v>
      </c>
      <c r="AZ24" s="64" t="s" ph="1">
        <v>260</v>
      </c>
      <c r="BA24" s="64" ph="1">
        <v>0</v>
      </c>
    </row>
    <row r="25" spans="1:57" ph="1">
      <c r="A25" s="72" ph="1"/>
      <c r="B25" s="235" ph="1"/>
      <c r="C25" s="68" t="s" ph="1">
        <v>212</v>
      </c>
      <c r="D25" s="91" ph="1">
        <f>D24*268.68*LOOKUP(D26,密度!$A$2:$A$50,密度!$Q$2:$Q$50)+IF(D24&lt;=0,0,1566*LOOKUP(D26,密度!$A$2:$A$50,密度!$Q$2:$Q$50))</f>
        <v>12741.015607632</v>
      </c>
      <c r="E25" s="91" ph="1">
        <f>E24*268.68*LOOKUP(E26,密度!$A$2:$A$50,密度!$C$2:$C$50)+IF(E24&lt;=0,0,1566*LOOKUP(E26,密度!$A$2:$A$50,密度!$C$2:$C$50))</f>
        <v>30815.4083952</v>
      </c>
      <c r="F25" s="91" ph="1">
        <f>F24*11.702*LOOKUP(F26,密度!$A$2:$A$50,密度!$Q$2:$Q$50)</f>
        <v>24049.068303240001</v>
      </c>
      <c r="G25" s="91" ph="1">
        <f>G24*18.322*LOOKUP(G26,密度!$A$2:$A$50,密度!$B$2:$B$50)</f>
        <v>44408.658393599995</v>
      </c>
      <c r="H25" s="91" ph="1">
        <f>H24*18.322*LOOKUP(H26,密度!$A$2:$A$50,密度!$B$2:$B$50)</f>
        <v>44639.427647999997</v>
      </c>
      <c r="I25" s="91" ph="1">
        <f>I24*18.322*LOOKUP(I26,密度!$A$2:$A$50,密度!$Q$2:$Q$50)</f>
        <v>44369.800729559996</v>
      </c>
      <c r="J25" s="91" ph="1">
        <f>J24*18.322*LOOKUP(J26,密度!$A$2:$A$50,密度!$Q$2:$Q$50)</f>
        <v>42771.111321600001</v>
      </c>
      <c r="K25" s="91" ph="1">
        <f>K24*18.322*LOOKUP(K26,密度!$A$2:$A$50,密度!$Q$2:$Q$50)</f>
        <v>49371.678147240003</v>
      </c>
      <c r="L25" s="91" ph="1">
        <f>L24*18.322*LOOKUP(L26,密度!$A$2:$A$50,密度!$Q$2:$Q$50)</f>
        <v>88560.383716799988</v>
      </c>
      <c r="M25" s="91" ph="1">
        <f>M24*18.322*LOOKUP(M26,密度!$A$2:$A$50,密度!$Q$2:$Q$50)</f>
        <v>24204.88932192</v>
      </c>
      <c r="N25" s="91" ph="1">
        <f>N24*18.322*LOOKUP(N26,密度!$A$2:$A$50,密度!$Q$2:$Q$50)</f>
        <v>15180.52307184</v>
      </c>
      <c r="O25" s="91" ph="1">
        <f>O24*18.322*LOOKUP(O26,密度!$A$2:$A$50,密度!$C$2:$C$50)</f>
        <v>41968.754297599997</v>
      </c>
      <c r="P25" s="91" ph="1">
        <f>P24*11.702*LOOKUP(P26,密度!$A$2:$A$50,密度!$B$2:$B$50)</f>
        <v>22868.516480000002</v>
      </c>
      <c r="Q25" s="92" ph="1">
        <f>Q24*18.322*LOOKUP(Q26,密度!$A$2:$A$50,密度!$B$2:$B$50)</f>
        <v>32406.374243600003</v>
      </c>
      <c r="R25" s="91" ph="1">
        <f>R24*35.891*LOOKUP(R26,密度!$A$2:$A$50,密度!$C$2:$C$50)</f>
        <v>80651.671047999989</v>
      </c>
      <c r="S25" s="91" ph="1">
        <f>S24*35.891*LOOKUP(S26,密度!$A$2:$A$50,密度!$B$2:$B$50)</f>
        <v>5147.343656</v>
      </c>
      <c r="T25" s="91" ph="1">
        <f>T24*35.891*LOOKUP(T26,密度!$A$2:$A$50,密度!$Q$2:$Q$50)</f>
        <v>218655.26505119997</v>
      </c>
      <c r="U25" s="91" ph="1">
        <f>U24*35.891</f>
        <v>161724.84599999999</v>
      </c>
      <c r="V25" s="91" ph="1">
        <f>V24*47.051*LOOKUP(V26,密度!$A$2:$A$50,密度!$B$2:$B$50)</f>
        <v>216675.50112000003</v>
      </c>
      <c r="W25" s="91" ph="1">
        <f>W24*47.051*LOOKUP(W26,密度!$A$2:$A$50,密度!$B$2:$B$50)</f>
        <v>372378.3688611</v>
      </c>
      <c r="X25" s="91" ph="1">
        <f>X24*47.051*LOOKUP(X26,密度!$A$2:$A$50,密度!$I$2:$I$50)</f>
        <v>539430.34714590001</v>
      </c>
      <c r="Y25" s="91" ph="1">
        <f>Y24*47.051*LOOKUP(Y26,密度!$A$2:$A$50,密度!$L$2:$L$50)</f>
        <v>170785.81390199999</v>
      </c>
      <c r="Z25" s="229"/>
      <c r="AA25" s="230"/>
      <c r="AB25" s="230"/>
      <c r="AC25" s="230"/>
      <c r="AD25" s="230"/>
      <c r="AE25" s="231"/>
      <c r="AH25" s="64" ph="1">
        <v>11</v>
      </c>
      <c r="AI25" s="64" t="s" ph="1">
        <v>392</v>
      </c>
      <c r="AZ25" s="64" t="s" ph="1">
        <v>260</v>
      </c>
      <c r="BA25" s="64" ph="1">
        <v>0</v>
      </c>
      <c r="BD25" s="64" t="s" ph="1">
        <v>285</v>
      </c>
      <c r="BE25" s="64" ph="1">
        <v>8920</v>
      </c>
    </row>
    <row r="26" spans="1:57" ph="1">
      <c r="A26" s="72" ph="1"/>
      <c r="B26" s="235" ph="1"/>
      <c r="C26" s="68" t="s" ph="1">
        <v>213</v>
      </c>
      <c r="D26" s="74">
        <v>25</v>
      </c>
      <c r="E26" s="74">
        <v>25</v>
      </c>
      <c r="F26" s="74">
        <v>15</v>
      </c>
      <c r="G26" s="74">
        <v>16</v>
      </c>
      <c r="H26" s="74">
        <v>16</v>
      </c>
      <c r="I26" s="74">
        <v>14</v>
      </c>
      <c r="J26" s="74">
        <v>16</v>
      </c>
      <c r="K26" s="74">
        <v>15</v>
      </c>
      <c r="L26" s="74">
        <v>17</v>
      </c>
      <c r="M26" s="74">
        <v>14</v>
      </c>
      <c r="N26" s="74">
        <v>14</v>
      </c>
      <c r="O26" s="74">
        <v>16</v>
      </c>
      <c r="P26" s="74">
        <v>15</v>
      </c>
      <c r="Q26" s="93">
        <v>14</v>
      </c>
      <c r="R26" s="74">
        <v>16</v>
      </c>
      <c r="S26" s="74">
        <v>15</v>
      </c>
      <c r="T26" s="74">
        <v>17</v>
      </c>
      <c r="U26" s="74">
        <v>16</v>
      </c>
      <c r="V26" s="74">
        <v>16</v>
      </c>
      <c r="W26" s="74">
        <v>18</v>
      </c>
      <c r="X26" s="74">
        <v>45</v>
      </c>
      <c r="Y26" s="74">
        <v>16</v>
      </c>
      <c r="Z26" s="229"/>
      <c r="AA26" s="230"/>
      <c r="AB26" s="230"/>
      <c r="AC26" s="230"/>
      <c r="AD26" s="230"/>
      <c r="AE26" s="231"/>
      <c r="AH26" s="64" ph="1">
        <v>12</v>
      </c>
      <c r="AI26" s="64" t="s" ph="1">
        <v>393</v>
      </c>
      <c r="AZ26" s="64" t="s" ph="1">
        <v>260</v>
      </c>
      <c r="BA26" s="64" ph="1">
        <v>0</v>
      </c>
    </row>
    <row r="27" spans="1:57" ph="1">
      <c r="A27" s="72" ph="1"/>
      <c r="B27" s="235" ph="1">
        <v>0.66666666666666663</v>
      </c>
      <c r="C27" s="143" t="s" ph="1">
        <v>214</v>
      </c>
      <c r="D27" s="71">
        <v>44.32</v>
      </c>
      <c r="E27" s="71">
        <v>97.64</v>
      </c>
      <c r="F27" s="71">
        <v>2154</v>
      </c>
      <c r="G27" s="71">
        <v>2625</v>
      </c>
      <c r="H27" s="71">
        <v>2765</v>
      </c>
      <c r="I27" s="71">
        <v>2537</v>
      </c>
      <c r="J27" s="71">
        <v>2448</v>
      </c>
      <c r="K27" s="71">
        <v>3485</v>
      </c>
      <c r="L27" s="71">
        <v>5073</v>
      </c>
      <c r="M27" s="71">
        <v>1384</v>
      </c>
      <c r="N27" s="71">
        <v>867</v>
      </c>
      <c r="O27" s="71">
        <v>2053</v>
      </c>
      <c r="P27" s="71">
        <v>2484</v>
      </c>
      <c r="Q27" s="90">
        <v>2508</v>
      </c>
      <c r="R27" s="71">
        <v>2014</v>
      </c>
      <c r="S27" s="71">
        <v>180</v>
      </c>
      <c r="T27" s="71">
        <v>6395</v>
      </c>
      <c r="U27" s="71">
        <v>4626</v>
      </c>
      <c r="V27" s="71">
        <v>5852</v>
      </c>
      <c r="W27" s="71">
        <v>11504</v>
      </c>
      <c r="X27" s="71">
        <v>11124</v>
      </c>
      <c r="Y27" s="71">
        <v>4465</v>
      </c>
      <c r="Z27" s="229"/>
      <c r="AA27" s="230"/>
      <c r="AB27" s="230"/>
      <c r="AC27" s="230"/>
      <c r="AD27" s="230"/>
      <c r="AE27" s="231"/>
      <c r="AH27" s="64" ph="1">
        <v>13</v>
      </c>
      <c r="AI27" s="64" t="s" ph="1">
        <v>394</v>
      </c>
      <c r="AZ27" s="64" t="s" ph="1">
        <v>260</v>
      </c>
      <c r="BA27" s="64" ph="1">
        <v>0</v>
      </c>
      <c r="BD27" s="64" t="s" ph="1">
        <v>339</v>
      </c>
      <c r="BE27" s="64" ph="1">
        <v>7100</v>
      </c>
    </row>
    <row r="28" spans="1:57" ph="1">
      <c r="A28" s="72" ph="1"/>
      <c r="B28" s="235" ph="1"/>
      <c r="C28" s="143" t="s" ph="1">
        <v>212</v>
      </c>
      <c r="D28" s="91" ph="1">
        <f>D27*268.68*LOOKUP(D29,密度!$A$2:$A$50,密度!$Q$2:$Q$50)+IF(D27&lt;=0,0,1566*LOOKUP(D29,密度!$A$2:$A$50,密度!$Q$2:$Q$50))</f>
        <v>12756.277813824001</v>
      </c>
      <c r="E28" s="91" ph="1">
        <f>E27*268.68*LOOKUP(E29,密度!$A$2:$A$50,密度!$C$2:$C$50)+IF(E27&lt;=0,0,1566*LOOKUP(E29,密度!$A$2:$A$50,密度!$C$2:$C$50))</f>
        <v>30827.325965280001</v>
      </c>
      <c r="F28" s="91" ph="1">
        <f>F27*11.702*LOOKUP(F29,密度!$A$2:$A$50,密度!$Q$2:$Q$50)</f>
        <v>24036.544588799999</v>
      </c>
      <c r="G28" s="91" ph="1">
        <f>G27*18.322*LOOKUP(G29,密度!$A$2:$A$50,密度!$B$2:$B$50)</f>
        <v>37942.342725000002</v>
      </c>
      <c r="H28" s="91" ph="1">
        <f>H27*18.322*LOOKUP(H29,密度!$A$2:$A$50,密度!$B$2:$B$50)</f>
        <v>39920.340039999995</v>
      </c>
      <c r="I28" s="91" ph="1">
        <f>I27*18.322*LOOKUP(I29,密度!$A$2:$A$50,密度!$Q$2:$Q$50)</f>
        <v>44326.106790399994</v>
      </c>
      <c r="J28" s="91" ph="1">
        <f>J27*18.322*LOOKUP(J29,密度!$A$2:$A$50,密度!$Q$2:$Q$50)</f>
        <v>42735.229516799998</v>
      </c>
      <c r="K28" s="91" ph="1">
        <f>K27*18.322*LOOKUP(K29,密度!$A$2:$A$50,密度!$Q$2:$Q$50)</f>
        <v>60838.347576</v>
      </c>
      <c r="L28" s="91" ph="1">
        <f>L27*18.322*LOOKUP(L29,密度!$A$2:$A$50,密度!$Q$2:$Q$50)</f>
        <v>88634.741721599989</v>
      </c>
      <c r="M28" s="91" ph="1">
        <f>M27*18.322*LOOKUP(M29,密度!$A$2:$A$50,密度!$Q$2:$Q$50)</f>
        <v>24204.88932192</v>
      </c>
      <c r="N28" s="91" ph="1">
        <f>N27*18.322*LOOKUP(N29,密度!$A$2:$A$50,密度!$Q$2:$Q$50)</f>
        <v>15163.03398996</v>
      </c>
      <c r="O28" s="91" ph="1">
        <f>O27*18.322*LOOKUP(O29,密度!$A$2:$A$50,密度!$C$2:$C$50)</f>
        <v>41921.991056999999</v>
      </c>
      <c r="P28" s="91" ph="1">
        <f>P27*11.702*LOOKUP(P29,密度!$A$2:$A$50,密度!$B$2:$B$50)</f>
        <v>22882.146969599999</v>
      </c>
      <c r="Q28" s="92" ph="1">
        <f>Q27*18.322*LOOKUP(Q29,密度!$A$2:$A$50,密度!$B$2:$B$50)</f>
        <v>36209.841888000003</v>
      </c>
      <c r="R28" s="91" ph="1">
        <f>R27*35.891*LOOKUP(R29,密度!$A$2:$A$50,密度!$C$2:$C$50)</f>
        <v>80561.046273</v>
      </c>
      <c r="S28" s="91" ph="1">
        <f>S27*35.891*LOOKUP(S29,密度!$A$2:$A$50,密度!$B$2:$B$50)</f>
        <v>5075.9205659999998</v>
      </c>
      <c r="T28" s="91" ph="1">
        <f>T27*35.891*LOOKUP(T29,密度!$A$2:$A$50,密度!$Q$2:$Q$50)</f>
        <v>218873.08035199999</v>
      </c>
      <c r="U28" s="91" ph="1">
        <f>U27*35.891</f>
        <v>166031.766</v>
      </c>
      <c r="V28" s="91" ph="1">
        <f>V27*47.051*LOOKUP(V29,密度!$A$2:$A$50,密度!$B$2:$B$50)</f>
        <v>216336.56453639999</v>
      </c>
      <c r="W28" s="91" ph="1">
        <f>W27*47.051*LOOKUP(W29,密度!$A$2:$A$50,密度!$B$2:$B$50)</f>
        <v>425658.4272256</v>
      </c>
      <c r="X28" s="91" ph="1">
        <f>X27*47.051*LOOKUP(X29,密度!$A$2:$A$50,密度!$I$2:$I$50)</f>
        <v>539044.84418760007</v>
      </c>
      <c r="Y28" s="91" ph="1">
        <f>Y27*47.051*LOOKUP(Y29,密度!$A$2:$A$50,密度!$L$2:$L$50)</f>
        <v>198738.24838999999</v>
      </c>
      <c r="Z28" s="229"/>
      <c r="AA28" s="230"/>
      <c r="AB28" s="230"/>
      <c r="AC28" s="230"/>
      <c r="AD28" s="230"/>
      <c r="AE28" s="231"/>
      <c r="AH28" s="64" ph="1">
        <v>14</v>
      </c>
      <c r="AI28" s="64" t="s" ph="1">
        <v>395</v>
      </c>
      <c r="AZ28" s="64" t="s" ph="1">
        <v>260</v>
      </c>
      <c r="BA28" s="64" ph="1">
        <v>0</v>
      </c>
    </row>
    <row r="29" spans="1:57" ph="1">
      <c r="A29" s="72" ph="1"/>
      <c r="B29" s="235" ph="1"/>
      <c r="C29" s="143" t="s" ph="1">
        <v>213</v>
      </c>
      <c r="D29" s="74">
        <v>25</v>
      </c>
      <c r="E29" s="74">
        <v>25</v>
      </c>
      <c r="F29" s="74">
        <v>16</v>
      </c>
      <c r="G29" s="74">
        <v>14</v>
      </c>
      <c r="H29" s="74">
        <v>15</v>
      </c>
      <c r="I29" s="74">
        <v>16</v>
      </c>
      <c r="J29" s="74">
        <v>17</v>
      </c>
      <c r="K29" s="74">
        <v>17</v>
      </c>
      <c r="L29" s="74">
        <v>16</v>
      </c>
      <c r="M29" s="74">
        <v>15</v>
      </c>
      <c r="N29" s="74">
        <v>14</v>
      </c>
      <c r="O29" s="74">
        <v>17</v>
      </c>
      <c r="P29" s="74">
        <v>16</v>
      </c>
      <c r="Q29" s="93">
        <v>15</v>
      </c>
      <c r="R29" s="74">
        <v>17</v>
      </c>
      <c r="S29" s="74">
        <v>18</v>
      </c>
      <c r="T29" s="74">
        <v>16</v>
      </c>
      <c r="U29" s="74">
        <v>17</v>
      </c>
      <c r="V29" s="74">
        <v>18</v>
      </c>
      <c r="W29" s="74">
        <v>17</v>
      </c>
      <c r="X29" s="74">
        <v>44</v>
      </c>
      <c r="Y29" s="74">
        <v>16</v>
      </c>
      <c r="Z29" s="232"/>
      <c r="AA29" s="233"/>
      <c r="AB29" s="233"/>
      <c r="AC29" s="233"/>
      <c r="AD29" s="233"/>
      <c r="AE29" s="234"/>
      <c r="AH29" s="64" ph="1">
        <v>15</v>
      </c>
      <c r="AI29" s="64" t="s" ph="1">
        <v>396</v>
      </c>
      <c r="AZ29" s="64" t="s" ph="1">
        <v>260</v>
      </c>
      <c r="BA29" s="64" ph="1">
        <v>0</v>
      </c>
      <c r="BD29" s="64" t="s" ph="1">
        <v>397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398</v>
      </c>
      <c r="AZ30" s="64" t="s" ph="1">
        <v>260</v>
      </c>
      <c r="BA30" s="64" ph="1">
        <v>0</v>
      </c>
    </row>
    <row r="31" spans="1:57" ht="28.5" ph="1">
      <c r="A31" s="64"/>
      <c r="B31" s="218" t="s" ph="1">
        <v>35</v>
      </c>
      <c r="C31" s="219" ph="1"/>
      <c r="D31" s="222" t="s" ph="1">
        <v>9</v>
      </c>
      <c r="E31" s="197" ph="1"/>
      <c r="F31" s="198" ph="1"/>
      <c r="G31" s="222" t="s" ph="1">
        <v>18</v>
      </c>
      <c r="H31" s="197" ph="1"/>
      <c r="I31" s="198" ph="1"/>
      <c r="J31" s="196" t="s" ph="1">
        <v>1</v>
      </c>
      <c r="K31" s="197" ph="1"/>
      <c r="L31" s="198" ph="1"/>
      <c r="M31" s="196" t="s" ph="1">
        <v>7</v>
      </c>
      <c r="N31" s="197" ph="1"/>
      <c r="O31" s="198" ph="1"/>
      <c r="P31" s="196" t="s" ph="1">
        <v>42</v>
      </c>
      <c r="Q31" s="197"/>
      <c r="R31" s="198"/>
      <c r="S31" s="196" t="s" ph="1">
        <v>2</v>
      </c>
      <c r="T31" s="197"/>
      <c r="U31" s="198"/>
      <c r="V31" s="196" t="s" ph="1">
        <v>81</v>
      </c>
      <c r="W31" s="197" ph="1"/>
      <c r="X31" s="198" ph="1"/>
      <c r="Y31" s="196" t="s" ph="1">
        <v>3</v>
      </c>
      <c r="Z31" s="197" ph="1"/>
      <c r="AA31" s="198" ph="1"/>
      <c r="AB31" s="199" t="s">
        <v>43</v>
      </c>
      <c r="AC31" s="200"/>
      <c r="AD31" s="200"/>
      <c r="AE31" s="201"/>
      <c r="AH31" s="64" ph="1">
        <v>17</v>
      </c>
      <c r="AI31" s="64" t="s" ph="1">
        <v>399</v>
      </c>
      <c r="AZ31" s="64" t="s" ph="1">
        <v>260</v>
      </c>
      <c r="BA31" s="64" ph="1">
        <v>0</v>
      </c>
      <c r="BD31" s="64" t="s" ph="1">
        <v>400</v>
      </c>
      <c r="BE31" s="64" ph="1">
        <v>9310</v>
      </c>
    </row>
    <row r="32" spans="1:57" ph="1">
      <c r="A32" s="64"/>
      <c r="B32" s="220" ph="1"/>
      <c r="C32" s="221" ph="1"/>
      <c r="D32" s="96" t="s" ph="1">
        <v>4</v>
      </c>
      <c r="E32" s="143" t="s" ph="1">
        <v>5</v>
      </c>
      <c r="F32" s="142" t="s" ph="1">
        <v>44</v>
      </c>
      <c r="G32" s="97" t="s" ph="1">
        <v>4</v>
      </c>
      <c r="H32" s="143" t="s" ph="1">
        <v>5</v>
      </c>
      <c r="I32" s="142" t="s" ph="1">
        <v>44</v>
      </c>
      <c r="J32" s="97" t="s" ph="1">
        <v>4</v>
      </c>
      <c r="K32" s="143" t="s" ph="1">
        <v>5</v>
      </c>
      <c r="L32" s="142" t="s" ph="1">
        <v>44</v>
      </c>
      <c r="M32" s="97" t="s" ph="1">
        <v>4</v>
      </c>
      <c r="N32" s="143" t="s" ph="1">
        <v>5</v>
      </c>
      <c r="O32" s="142" t="s" ph="1">
        <v>44</v>
      </c>
      <c r="P32" s="97" t="s" ph="1">
        <v>4</v>
      </c>
      <c r="Q32" s="98" t="s" ph="1">
        <v>5</v>
      </c>
      <c r="R32" s="99" t="s" ph="1">
        <v>44</v>
      </c>
      <c r="S32" s="97" t="s" ph="1">
        <v>4</v>
      </c>
      <c r="T32" s="143" t="s" ph="1">
        <v>5</v>
      </c>
      <c r="U32" s="99" t="s" ph="1">
        <v>44</v>
      </c>
      <c r="V32" s="97" t="s" ph="1">
        <v>4</v>
      </c>
      <c r="W32" s="143" t="s" ph="1">
        <v>5</v>
      </c>
      <c r="X32" s="99" t="s" ph="1">
        <v>44</v>
      </c>
      <c r="Y32" s="100" t="s" ph="1">
        <v>4</v>
      </c>
      <c r="Z32" s="143" t="s" ph="1">
        <v>5</v>
      </c>
      <c r="AA32" s="142" t="s" ph="1">
        <v>44</v>
      </c>
      <c r="AB32" s="97" t="s" ph="1">
        <v>102</v>
      </c>
      <c r="AC32" s="143" t="s" ph="1">
        <v>101</v>
      </c>
      <c r="AD32" s="202" t="s" ph="1">
        <v>100</v>
      </c>
      <c r="AE32" s="203"/>
      <c r="AH32" s="64" ph="1">
        <v>18</v>
      </c>
      <c r="AI32" s="64" t="s" ph="1">
        <v>401</v>
      </c>
      <c r="AZ32" s="64" t="s" ph="1">
        <v>260</v>
      </c>
      <c r="BA32" s="64" ph="1">
        <v>0</v>
      </c>
    </row>
    <row r="33" spans="1:57" ph="1">
      <c r="A33" s="64"/>
      <c r="B33" s="204" t="s" ph="1">
        <v>215</v>
      </c>
      <c r="C33" s="205" ph="1"/>
      <c r="D33" s="184" ph="1">
        <f>AA10+AB10+Z19</f>
        <v>62408.387761999998</v>
      </c>
      <c r="E33" s="184" ph="1">
        <f>M10+I10</f>
        <v>226401.89239469997</v>
      </c>
      <c r="F33" s="208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表格_取樣回收每月庫存表_0620更新152225263245678691011121314151617181920212345678910111213141516171819202223242435678910111213141516171819202122234567891011121314151617181920234567891011121314910151617181922212323456789101213141516171118192021222425[[#This Row],[F25]]</f>
        <v>3880</v>
      </c>
      <c r="G33" s="210" ph="1">
        <v>0</v>
      </c>
      <c r="H33" s="184" ph="1">
        <f>N19</f>
        <v>40061.677455699995</v>
      </c>
      <c r="I33" s="188" ph="1">
        <v>0</v>
      </c>
      <c r="J33" s="192" ph="1">
        <f>F10+O28</f>
        <v>281531.30728350003</v>
      </c>
      <c r="K33" s="184" ph="1">
        <f>O10+K10+E28+R28</f>
        <v>185187.85661707999</v>
      </c>
      <c r="L33" s="194" ph="1">
        <f>BE27</f>
        <v>7100</v>
      </c>
      <c r="M33" s="192" ph="1">
        <f>G10+H10+W28+S28</f>
        <v>1107460.1423895999</v>
      </c>
      <c r="N33" s="184" ph="1">
        <f>L10+P10++G28+H28+V28</f>
        <v>348875.5819934</v>
      </c>
      <c r="O33" s="188" ph="1">
        <f>BE17</f>
        <v>2270</v>
      </c>
      <c r="P33" s="192" ph="1">
        <f>L19</f>
        <v>29231.671404880002</v>
      </c>
      <c r="Q33" s="184" ph="1">
        <f>J10+N10</f>
        <v>89434.156460000013</v>
      </c>
      <c r="R33" s="188" ph="1">
        <f>BE23</f>
        <v>890</v>
      </c>
      <c r="S33" s="192" ph="1">
        <f>E10+X28</f>
        <v>539044.84418760007</v>
      </c>
      <c r="T33" s="184" ph="1">
        <f>X19</f>
        <v>15990.959797119998</v>
      </c>
      <c r="U33" s="173" ph="1">
        <f>BE21</f>
        <v>730</v>
      </c>
      <c r="V33" s="186" ph="1">
        <f ca="1">P19+Q19+S19+M28+N28+J28</f>
        <v>207459.522325258</v>
      </c>
      <c r="W33" s="186" ph="1">
        <f>D28+F28+V19+T28</f>
        <v>303559.790673032</v>
      </c>
      <c r="X33" s="188" ph="1">
        <f>BE29+BE31</f>
        <v>10200</v>
      </c>
      <c r="Y33" s="190" ph="1">
        <f>+Q10+R10+S10+T10+U10+V10+W10+X10+Y10</f>
        <v>139767.85191599999</v>
      </c>
      <c r="Z33" s="171" ph="1">
        <f>D10+T19+U19+Y28+Z10</f>
        <v>294249.22305114003</v>
      </c>
      <c r="AA33" s="173" ph="1">
        <f>BE19</f>
        <v>1440</v>
      </c>
      <c r="AB33" s="175" ph="1">
        <f>I19</f>
        <v>93.286888000000019</v>
      </c>
      <c r="AC33" s="177" ph="1">
        <f>AD10</f>
        <v>42772.309824000004</v>
      </c>
      <c r="AD33" s="179" ph="1">
        <v>0</v>
      </c>
      <c r="AE33" s="180"/>
      <c r="AH33" s="64" ph="1">
        <v>19</v>
      </c>
      <c r="AI33" s="64" t="s" ph="1">
        <v>402</v>
      </c>
      <c r="AJ33" s="64" t="s" ph="1">
        <v>636</v>
      </c>
      <c r="AK33" s="64" t="s" ph="1">
        <v>633</v>
      </c>
      <c r="AL33" s="64" ph="1">
        <v>730</v>
      </c>
      <c r="AM33" s="64" t="s" ph="1">
        <v>383</v>
      </c>
      <c r="AZ33" s="64" t="s" ph="1">
        <v>260</v>
      </c>
      <c r="BA33" s="64" ph="1">
        <v>730</v>
      </c>
      <c r="BD33" s="64" t="s" ph="1">
        <v>334</v>
      </c>
      <c r="BE33" s="64" ph="1">
        <v>3880</v>
      </c>
    </row>
    <row r="34" spans="1:57" ph="1">
      <c r="A34" s="64"/>
      <c r="B34" s="206" ph="1"/>
      <c r="C34" s="207" ph="1"/>
      <c r="D34" s="185" ph="1"/>
      <c r="E34" s="185" ph="1"/>
      <c r="F34" s="209" ph="1"/>
      <c r="G34" s="211" ph="1"/>
      <c r="H34" s="185" ph="1"/>
      <c r="I34" s="189" ph="1"/>
      <c r="J34" s="193" ph="1"/>
      <c r="K34" s="185" ph="1"/>
      <c r="L34" s="195" ph="1"/>
      <c r="M34" s="193" ph="1"/>
      <c r="N34" s="185" ph="1"/>
      <c r="O34" s="189" ph="1"/>
      <c r="P34" s="193" ph="1"/>
      <c r="Q34" s="185" ph="1"/>
      <c r="R34" s="189" ph="1"/>
      <c r="S34" s="193" ph="1"/>
      <c r="T34" s="185"/>
      <c r="U34" s="174"/>
      <c r="V34" s="187" ph="1"/>
      <c r="W34" s="187" ph="1"/>
      <c r="X34" s="189" ph="1"/>
      <c r="Y34" s="191" ph="1"/>
      <c r="Z34" s="172" ph="1"/>
      <c r="AA34" s="174" ph="1"/>
      <c r="AB34" s="176"/>
      <c r="AC34" s="178"/>
      <c r="AD34" s="181"/>
      <c r="AE34" s="182"/>
      <c r="AH34" s="64" ph="1">
        <v>20</v>
      </c>
      <c r="AI34" s="64" t="s" ph="1">
        <v>403</v>
      </c>
      <c r="AJ34" s="64" t="s" ph="1">
        <v>637</v>
      </c>
      <c r="AK34" s="64" t="s" ph="1">
        <v>633</v>
      </c>
      <c r="AL34" s="64" ph="1">
        <v>720</v>
      </c>
      <c r="AM34" s="64" t="s" ph="1">
        <v>383</v>
      </c>
      <c r="AZ34" s="64" t="s" ph="1">
        <v>260</v>
      </c>
      <c r="BA34" s="64" ph="1">
        <v>720</v>
      </c>
    </row>
    <row r="35" spans="1:57" ph="1">
      <c r="A35" s="64"/>
      <c r="AC35" s="183" t="s" ph="1">
        <v>84</v>
      </c>
      <c r="AD35" s="183"/>
      <c r="AE35" s="183"/>
      <c r="AH35" s="64" ph="1">
        <v>21</v>
      </c>
      <c r="AI35" s="64" t="s" ph="1">
        <v>404</v>
      </c>
      <c r="AZ35" s="64" t="s" ph="1">
        <v>260</v>
      </c>
      <c r="BA35" s="64" ph="1">
        <v>0</v>
      </c>
      <c r="BD35" s="64" t="s" ph="1">
        <v>405</v>
      </c>
      <c r="BE35" s="64" ph="1">
        <v>2030</v>
      </c>
    </row>
    <row r="36" spans="1:57" ht="28.5" ph="1">
      <c r="A36" s="64"/>
      <c r="B36" s="103" t="s" ph="1">
        <v>216</v>
      </c>
      <c r="I36" s="169" t="s" ph="1">
        <v>217</v>
      </c>
      <c r="J36" s="169" ph="1"/>
      <c r="K36" s="101" ph="1"/>
      <c r="P36" s="101" ph="1"/>
      <c r="R36" s="169" t="s" ph="1">
        <v>218</v>
      </c>
      <c r="S36" s="169" ph="1"/>
      <c r="Y36" s="102" ph="1"/>
      <c r="Z36" s="141" t="s" ph="1">
        <v>219</v>
      </c>
      <c r="AA36" s="141" ph="1"/>
      <c r="AB36" s="170" t="s" ph="1">
        <v>652</v>
      </c>
      <c r="AC36" s="170" ph="1"/>
      <c r="AD36" s="170" ph="1"/>
      <c r="AE36" s="170" ph="1"/>
      <c r="BA36" s="64" ph="1">
        <v>2270</v>
      </c>
    </row>
    <row r="37" spans="1:57" s="141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1" t="s" ph="1">
        <v>386</v>
      </c>
      <c r="AI37" s="141" t="s" ph="1">
        <v>253</v>
      </c>
      <c r="AJ37" s="141" t="s" ph="1">
        <v>254</v>
      </c>
      <c r="AK37" s="141" t="s" ph="1">
        <v>255</v>
      </c>
      <c r="AM37" s="141" t="s" ph="1">
        <v>254</v>
      </c>
      <c r="AN37" s="141" t="s" ph="1">
        <v>255</v>
      </c>
      <c r="AO37" s="141" t="s" ph="1">
        <v>256</v>
      </c>
      <c r="AP37" s="141" t="s" ph="1">
        <v>254</v>
      </c>
      <c r="AQ37" s="141" t="s" ph="1">
        <v>255</v>
      </c>
      <c r="AR37" s="141" t="s" ph="1">
        <v>256</v>
      </c>
      <c r="AS37" s="141" t="s" ph="1">
        <v>254</v>
      </c>
      <c r="AT37" s="141" t="s" ph="1">
        <v>255</v>
      </c>
      <c r="AU37" s="141" t="s" ph="1">
        <v>256</v>
      </c>
      <c r="AV37" s="141" t="s" ph="1">
        <v>254</v>
      </c>
      <c r="AW37" s="141" t="s" ph="1">
        <v>255</v>
      </c>
      <c r="AX37" s="141" t="s" ph="1">
        <v>256</v>
      </c>
      <c r="AY37" s="141" t="s" ph="1">
        <v>255</v>
      </c>
      <c r="AZ37" s="141" t="s" ph="1">
        <v>257</v>
      </c>
      <c r="BD37" s="141" t="s" ph="1">
        <v>349</v>
      </c>
      <c r="BE37" s="141" ph="1">
        <v>0</v>
      </c>
    </row>
    <row r="38" spans="1:57" ph="1">
      <c r="AE38" s="64" ph="1"/>
      <c r="AH38" s="64" ph="1">
        <v>1</v>
      </c>
      <c r="AI38" s="64" t="s" ph="1">
        <v>406</v>
      </c>
      <c r="AY38" s="64" t="s" ph="1">
        <v>260</v>
      </c>
      <c r="AZ38" s="64" t="s" ph="1">
        <v>411</v>
      </c>
    </row>
    <row r="39" spans="1:57" ph="1">
      <c r="AH39" s="64" ph="1">
        <v>2</v>
      </c>
      <c r="AI39" s="64" t="s" ph="1">
        <v>408</v>
      </c>
      <c r="AJ39" s="64" t="s" ph="1">
        <v>380</v>
      </c>
      <c r="AK39" s="64" t="s" ph="1">
        <v>409</v>
      </c>
      <c r="AM39" s="64" t="s" ph="1">
        <v>614</v>
      </c>
      <c r="AN39" s="64" t="s" ph="1">
        <v>272</v>
      </c>
      <c r="AO39" s="64" t="s" ph="1">
        <v>407</v>
      </c>
      <c r="AY39" s="64" t="s" ph="1">
        <v>260</v>
      </c>
      <c r="AZ39" s="64" t="s" ph="1">
        <v>543</v>
      </c>
    </row>
    <row r="40" spans="1:57" ph="1">
      <c r="AH40" s="64" ph="1">
        <v>3</v>
      </c>
      <c r="AI40" s="64" t="s" ph="1">
        <v>410</v>
      </c>
      <c r="AJ40" s="64" t="s" ph="1">
        <v>614</v>
      </c>
      <c r="AK40" s="64" t="s" ph="1">
        <v>615</v>
      </c>
      <c r="AY40" s="64" t="s" ph="1">
        <v>260</v>
      </c>
      <c r="AZ40" s="64" t="s" ph="1">
        <v>615</v>
      </c>
    </row>
    <row r="41" spans="1:57" ph="1">
      <c r="AH41" s="64" ph="1">
        <v>4</v>
      </c>
      <c r="AI41" s="64" t="s" ph="1">
        <v>412</v>
      </c>
      <c r="AJ41" s="64" t="s" ph="1">
        <v>616</v>
      </c>
      <c r="AK41" s="64" t="s" ph="1">
        <v>617</v>
      </c>
      <c r="AM41" s="64" t="s" ph="1">
        <v>618</v>
      </c>
      <c r="AY41" s="64" t="s" ph="1">
        <v>260</v>
      </c>
      <c r="AZ41" s="64" t="s" ph="1">
        <v>617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413</v>
      </c>
      <c r="AY42" s="64" t="s" ph="1">
        <v>260</v>
      </c>
      <c r="AZ42" s="64" t="s" ph="1">
        <v>411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414</v>
      </c>
      <c r="AY43" s="64" t="s" ph="1">
        <v>260</v>
      </c>
      <c r="AZ43" s="64" t="s" ph="1">
        <v>411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415</v>
      </c>
      <c r="AV44" s="64" t="s" ph="1">
        <v>261</v>
      </c>
      <c r="AY44" s="64" t="s" ph="1">
        <v>260</v>
      </c>
      <c r="AZ44" s="64" t="s" ph="1">
        <v>411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416</v>
      </c>
      <c r="AV45" s="64" t="s" ph="1">
        <v>261</v>
      </c>
      <c r="AY45" s="64" t="s" ph="1">
        <v>260</v>
      </c>
      <c r="AZ45" s="64" t="s" ph="1">
        <v>411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417</v>
      </c>
      <c r="AV46" s="64" t="s" ph="1">
        <v>261</v>
      </c>
      <c r="AY46" s="64" t="s" ph="1">
        <v>260</v>
      </c>
      <c r="AZ46" s="64" t="s" ph="1">
        <v>411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418</v>
      </c>
      <c r="AV47" s="64" t="s" ph="1">
        <v>261</v>
      </c>
      <c r="AY47" s="64" t="s" ph="1">
        <v>260</v>
      </c>
      <c r="AZ47" s="64" t="s" ph="1">
        <v>411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619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276</v>
      </c>
      <c r="AI49" s="64" t="s" ph="1">
        <v>253</v>
      </c>
      <c r="AJ49" s="64" t="s" ph="1">
        <v>254</v>
      </c>
      <c r="AK49" s="64" t="s" ph="1">
        <v>255</v>
      </c>
      <c r="AM49" s="64" t="s" ph="1">
        <v>254</v>
      </c>
      <c r="AN49" s="64" t="s" ph="1">
        <v>255</v>
      </c>
      <c r="AO49" s="64" t="s" ph="1">
        <v>256</v>
      </c>
      <c r="AP49" s="64" t="s" ph="1">
        <v>254</v>
      </c>
      <c r="AQ49" s="64" t="s" ph="1">
        <v>255</v>
      </c>
      <c r="AR49" s="64" t="s" ph="1">
        <v>256</v>
      </c>
      <c r="AS49" s="64" t="s" ph="1">
        <v>254</v>
      </c>
      <c r="AT49" s="64" t="s" ph="1">
        <v>255</v>
      </c>
      <c r="AU49" s="64" t="s" ph="1">
        <v>256</v>
      </c>
      <c r="AV49" s="64" t="s" ph="1">
        <v>254</v>
      </c>
      <c r="AW49" s="64" t="s" ph="1">
        <v>255</v>
      </c>
      <c r="AX49" s="64" t="s" ph="1">
        <v>256</v>
      </c>
      <c r="AY49" s="64" t="s" ph="1">
        <v>255</v>
      </c>
      <c r="AZ49" s="64" t="s" ph="1">
        <v>257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419</v>
      </c>
      <c r="AY50" s="64" t="s" ph="1">
        <v>260</v>
      </c>
      <c r="AZ50" s="64" t="s" ph="1">
        <v>411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420</v>
      </c>
      <c r="AY51" s="64" t="s" ph="1">
        <v>260</v>
      </c>
      <c r="AZ51" s="64" t="s" ph="1">
        <v>411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421</v>
      </c>
      <c r="AJ52" s="64" t="s" ph="1">
        <v>378</v>
      </c>
      <c r="AK52" s="64" t="s" ph="1">
        <v>272</v>
      </c>
      <c r="AM52" s="64" t="s" ph="1">
        <v>380</v>
      </c>
      <c r="AN52" s="64" t="s" ph="1">
        <v>344</v>
      </c>
      <c r="AO52" s="64" t="s" ph="1">
        <v>277</v>
      </c>
      <c r="AP52" s="64" t="s" ph="1">
        <v>614</v>
      </c>
      <c r="AQ52" s="64" t="s" ph="1">
        <v>326</v>
      </c>
      <c r="AR52" s="64" t="s" ph="1">
        <v>277</v>
      </c>
      <c r="AY52" s="64" t="s" ph="1">
        <v>260</v>
      </c>
      <c r="AZ52" s="64" t="s" ph="1">
        <v>620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422</v>
      </c>
      <c r="AY53" s="64" t="s" ph="1">
        <v>260</v>
      </c>
      <c r="AZ53" s="64" t="s" ph="1">
        <v>411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423</v>
      </c>
      <c r="AJ54" s="64" t="s" ph="1">
        <v>378</v>
      </c>
      <c r="AK54" s="64" t="s" ph="1">
        <v>263</v>
      </c>
      <c r="AM54" s="64" t="s" ph="1">
        <v>380</v>
      </c>
      <c r="AN54" s="64" t="s" ph="1">
        <v>268</v>
      </c>
      <c r="AO54" s="64" t="s" ph="1">
        <v>277</v>
      </c>
      <c r="AP54" s="64" t="s" ph="1">
        <v>614</v>
      </c>
      <c r="AQ54" s="64" t="s" ph="1">
        <v>284</v>
      </c>
      <c r="AR54" s="64" t="s" ph="1">
        <v>277</v>
      </c>
      <c r="AY54" s="64" t="s" ph="1">
        <v>260</v>
      </c>
      <c r="AZ54" s="64" t="s" ph="1">
        <v>278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424</v>
      </c>
      <c r="AY55" s="64" t="s" ph="1">
        <v>260</v>
      </c>
      <c r="AZ55" s="64" t="s" ph="1">
        <v>411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425</v>
      </c>
      <c r="AY56" s="64" t="s" ph="1">
        <v>260</v>
      </c>
      <c r="AZ56" s="64" t="s" ph="1">
        <v>411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426</v>
      </c>
      <c r="AY57" s="64" t="s" ph="1">
        <v>260</v>
      </c>
      <c r="AZ57" s="64" t="s" ph="1">
        <v>411</v>
      </c>
    </row>
    <row r="58" spans="16:52" ph="1">
      <c r="P58" s="64"/>
      <c r="AN58" s="64" t="s" ph="1">
        <v>261</v>
      </c>
      <c r="AZ58" s="64" t="s" ph="1">
        <v>621</v>
      </c>
    </row>
    <row r="59" spans="16:52" ph="1">
      <c r="V59" s="64"/>
      <c r="AG59" s="64" t="s" ph="1">
        <v>279</v>
      </c>
      <c r="AI59" s="64" t="s" ph="1">
        <v>253</v>
      </c>
      <c r="AJ59" s="64" t="s" ph="1">
        <v>254</v>
      </c>
      <c r="AK59" s="64" t="s" ph="1">
        <v>255</v>
      </c>
      <c r="AM59" s="64" t="s" ph="1">
        <v>254</v>
      </c>
      <c r="AN59" s="64" t="s" ph="1">
        <v>255</v>
      </c>
      <c r="AO59" s="64" t="s" ph="1">
        <v>256</v>
      </c>
      <c r="AP59" s="64" t="s" ph="1">
        <v>254</v>
      </c>
      <c r="AQ59" s="64" t="s" ph="1">
        <v>255</v>
      </c>
      <c r="AR59" s="64" t="s" ph="1">
        <v>256</v>
      </c>
      <c r="AS59" s="64" t="s" ph="1">
        <v>254</v>
      </c>
      <c r="AT59" s="64" t="s" ph="1">
        <v>255</v>
      </c>
      <c r="AU59" s="64" t="s" ph="1">
        <v>256</v>
      </c>
      <c r="AV59" s="64" t="s" ph="1">
        <v>254</v>
      </c>
      <c r="AW59" s="64" t="s" ph="1">
        <v>255</v>
      </c>
      <c r="AX59" s="64" t="s" ph="1">
        <v>256</v>
      </c>
      <c r="AY59" s="64" t="s" ph="1">
        <v>255</v>
      </c>
      <c r="AZ59" s="64" t="s" ph="1">
        <v>257</v>
      </c>
    </row>
    <row r="60" spans="16:52" ph="1">
      <c r="R60" s="64"/>
      <c r="S60" s="64"/>
      <c r="T60" s="64"/>
      <c r="AH60" s="64" ph="1">
        <v>1</v>
      </c>
      <c r="AI60" s="64" t="s" ph="1">
        <v>427</v>
      </c>
      <c r="AY60" s="64" t="s" ph="1">
        <v>260</v>
      </c>
      <c r="AZ60" s="64" t="s" ph="1">
        <v>411</v>
      </c>
    </row>
    <row r="61" spans="16:52" ph="1">
      <c r="AH61" s="64" ph="1">
        <v>2</v>
      </c>
      <c r="AI61" s="64" t="s" ph="1">
        <v>428</v>
      </c>
      <c r="AS61" s="64" t="s" ph="1">
        <v>261</v>
      </c>
      <c r="AY61" s="64" t="s" ph="1">
        <v>260</v>
      </c>
      <c r="AZ61" s="64" t="s" ph="1">
        <v>411</v>
      </c>
    </row>
    <row r="62" spans="16:52" ph="1">
      <c r="AZ62" s="64" t="s" ph="1">
        <v>429</v>
      </c>
    </row>
    <row r="63" spans="16:52" ph="1">
      <c r="AG63" s="64" t="s" ph="1">
        <v>282</v>
      </c>
      <c r="AI63" s="64" t="s" ph="1">
        <v>253</v>
      </c>
      <c r="AJ63" s="64" t="s" ph="1">
        <v>254</v>
      </c>
      <c r="AK63" s="64" t="s" ph="1">
        <v>255</v>
      </c>
      <c r="AM63" s="64" t="s" ph="1">
        <v>254</v>
      </c>
      <c r="AN63" s="64" t="s" ph="1">
        <v>255</v>
      </c>
      <c r="AO63" s="64" t="s" ph="1">
        <v>256</v>
      </c>
      <c r="AP63" s="64" t="s" ph="1">
        <v>254</v>
      </c>
      <c r="AQ63" s="64" t="s" ph="1">
        <v>255</v>
      </c>
      <c r="AR63" s="64" t="s" ph="1">
        <v>256</v>
      </c>
      <c r="AS63" s="64" t="s" ph="1">
        <v>254</v>
      </c>
      <c r="AT63" s="64" t="s" ph="1">
        <v>255</v>
      </c>
      <c r="AU63" s="64" t="s" ph="1">
        <v>256</v>
      </c>
      <c r="AV63" s="64" t="s" ph="1">
        <v>254</v>
      </c>
      <c r="AW63" s="64" t="s" ph="1">
        <v>255</v>
      </c>
      <c r="AX63" s="64" t="s" ph="1">
        <v>256</v>
      </c>
      <c r="AY63" s="64" t="s" ph="1">
        <v>255</v>
      </c>
      <c r="AZ63" s="64" t="s" ph="1">
        <v>257</v>
      </c>
    </row>
    <row r="64" spans="16:52" ph="1">
      <c r="AH64" s="64" ph="1">
        <v>1</v>
      </c>
      <c r="AI64" s="64" t="s" ph="1">
        <v>430</v>
      </c>
      <c r="AJ64" s="64" t="s" ph="1">
        <v>431</v>
      </c>
      <c r="AK64" s="64" t="s" ph="1">
        <v>432</v>
      </c>
      <c r="AY64" s="64" t="s" ph="1">
        <v>260</v>
      </c>
      <c r="AZ64" s="64" t="s" ph="1">
        <v>432</v>
      </c>
    </row>
    <row r="65" spans="33:52" ph="1">
      <c r="AH65" s="64" ph="1">
        <v>2</v>
      </c>
      <c r="AI65" s="64" t="s" ph="1">
        <v>433</v>
      </c>
      <c r="AY65" s="64" t="s" ph="1">
        <v>260</v>
      </c>
      <c r="AZ65" s="64" t="s" ph="1">
        <v>411</v>
      </c>
    </row>
    <row r="66" spans="33:52" ph="1">
      <c r="AH66" s="64" ph="1">
        <v>3</v>
      </c>
      <c r="AI66" s="64" t="s" ph="1">
        <v>434</v>
      </c>
      <c r="AY66" s="64" t="s" ph="1">
        <v>260</v>
      </c>
      <c r="AZ66" s="64" t="s" ph="1">
        <v>411</v>
      </c>
    </row>
    <row r="67" spans="33:52" ph="1">
      <c r="AH67" s="64" ph="1">
        <v>4</v>
      </c>
      <c r="AI67" s="64" t="s" ph="1">
        <v>435</v>
      </c>
      <c r="AY67" s="64" t="s" ph="1">
        <v>260</v>
      </c>
      <c r="AZ67" s="64" t="s" ph="1">
        <v>411</v>
      </c>
    </row>
    <row r="68" spans="33:52" ph="1">
      <c r="AH68" s="64" ph="1">
        <v>5</v>
      </c>
      <c r="AI68" s="64" t="s" ph="1">
        <v>436</v>
      </c>
      <c r="AY68" s="64" t="s" ph="1">
        <v>260</v>
      </c>
      <c r="AZ68" s="64" t="s" ph="1">
        <v>411</v>
      </c>
    </row>
    <row r="69" spans="33:52" ph="1">
      <c r="AH69" s="64" ph="1">
        <v>6</v>
      </c>
      <c r="AI69" s="64" t="s" ph="1">
        <v>437</v>
      </c>
      <c r="AY69" s="64" t="s" ph="1">
        <v>260</v>
      </c>
      <c r="AZ69" s="64" t="s" ph="1">
        <v>411</v>
      </c>
    </row>
    <row r="70" spans="33:52" ph="1">
      <c r="AI70" s="64" t="s" ph="1">
        <v>438</v>
      </c>
      <c r="AY70" s="64" t="s" ph="1">
        <v>260</v>
      </c>
      <c r="AZ70" s="64" t="s" ph="1">
        <v>411</v>
      </c>
    </row>
    <row r="71" spans="33:52" ph="1">
      <c r="AH71" s="64" ph="1">
        <v>7</v>
      </c>
      <c r="AI71" s="64" t="s" ph="1">
        <v>439</v>
      </c>
      <c r="AJ71" s="64" t="s" ph="1">
        <v>378</v>
      </c>
      <c r="AK71" s="64" t="s" ph="1">
        <v>272</v>
      </c>
      <c r="AM71" s="64" t="s" ph="1">
        <v>380</v>
      </c>
      <c r="AN71" s="64" t="s" ph="1">
        <v>272</v>
      </c>
      <c r="AO71" s="64" t="s" ph="1">
        <v>440</v>
      </c>
      <c r="AP71" s="64" t="s" ph="1">
        <v>614</v>
      </c>
      <c r="AQ71" s="64" t="s" ph="1">
        <v>263</v>
      </c>
      <c r="AR71" s="64" t="s" ph="1">
        <v>440</v>
      </c>
      <c r="AY71" s="64" t="s" ph="1">
        <v>260</v>
      </c>
      <c r="AZ71" s="64" t="s" ph="1">
        <v>622</v>
      </c>
    </row>
    <row r="72" spans="33:52" ph="1">
      <c r="AZ72" s="64" t="s" ph="1">
        <v>623</v>
      </c>
    </row>
    <row r="73" spans="33:52" ph="1">
      <c r="AG73" s="64" t="s" ph="1">
        <v>285</v>
      </c>
      <c r="AI73" s="64" t="s" ph="1">
        <v>253</v>
      </c>
      <c r="AJ73" s="64" t="s" ph="1">
        <v>254</v>
      </c>
      <c r="AK73" s="64" t="s" ph="1">
        <v>255</v>
      </c>
      <c r="AM73" s="64" t="s" ph="1">
        <v>254</v>
      </c>
      <c r="AN73" s="64" t="s" ph="1">
        <v>255</v>
      </c>
      <c r="AO73" s="64" t="s" ph="1">
        <v>256</v>
      </c>
      <c r="AP73" s="64" t="s" ph="1">
        <v>254</v>
      </c>
      <c r="AQ73" s="64" t="s" ph="1">
        <v>255</v>
      </c>
      <c r="AR73" s="64" t="s" ph="1">
        <v>256</v>
      </c>
      <c r="AS73" s="64" t="s" ph="1">
        <v>254</v>
      </c>
      <c r="AT73" s="64" t="s" ph="1">
        <v>255</v>
      </c>
      <c r="AU73" s="64" t="s" ph="1">
        <v>256</v>
      </c>
      <c r="AV73" s="64" t="s" ph="1">
        <v>254</v>
      </c>
      <c r="AW73" s="64" t="s" ph="1">
        <v>255</v>
      </c>
      <c r="AX73" s="64" t="s" ph="1">
        <v>256</v>
      </c>
      <c r="AY73" s="64" t="s" ph="1">
        <v>255</v>
      </c>
      <c r="AZ73" s="64" t="s" ph="1">
        <v>257</v>
      </c>
    </row>
    <row r="74" spans="33:52" ph="1">
      <c r="AH74" s="64" ph="1">
        <v>1</v>
      </c>
      <c r="AI74" s="64" t="s" ph="1">
        <v>441</v>
      </c>
      <c r="AJ74" s="64" t="s" ph="1">
        <v>286</v>
      </c>
      <c r="AK74" s="64" t="s" ph="1">
        <v>268</v>
      </c>
      <c r="AM74" s="64" t="s" ph="1">
        <v>288</v>
      </c>
      <c r="AN74" s="64" t="s" ph="1">
        <v>298</v>
      </c>
      <c r="AO74" s="64" t="s" ph="1">
        <v>287</v>
      </c>
      <c r="AP74" s="64" t="s" ph="1">
        <v>289</v>
      </c>
      <c r="AQ74" s="64" t="s" ph="1">
        <v>266</v>
      </c>
      <c r="AR74" s="64" t="s" ph="1">
        <v>287</v>
      </c>
      <c r="AS74" s="64" t="s" ph="1">
        <v>259</v>
      </c>
      <c r="AT74" s="64" t="s" ph="1">
        <v>261</v>
      </c>
      <c r="AV74" s="64" t="s" ph="1">
        <v>442</v>
      </c>
      <c r="AW74" s="64" t="s" ph="1">
        <v>443</v>
      </c>
      <c r="AX74" s="64" t="s" ph="1">
        <v>444</v>
      </c>
      <c r="AY74" s="64" t="s" ph="1">
        <v>260</v>
      </c>
      <c r="AZ74" s="64" t="s" ph="1">
        <v>445</v>
      </c>
    </row>
    <row r="75" spans="33:52" ph="1">
      <c r="AJ75" s="64" t="s" ph="1">
        <v>291</v>
      </c>
      <c r="AK75" s="64" t="s" ph="1">
        <v>344</v>
      </c>
      <c r="AM75" s="64" t="s" ph="1">
        <v>289</v>
      </c>
      <c r="AN75" s="64" t="s" ph="1">
        <v>269</v>
      </c>
      <c r="AO75" s="64" t="s" ph="1">
        <v>287</v>
      </c>
      <c r="AS75" s="64" t="s" ph="1">
        <v>259</v>
      </c>
      <c r="AT75" s="64" t="s" ph="1">
        <v>290</v>
      </c>
    </row>
    <row r="76" spans="33:52" ph="1">
      <c r="AJ76" s="64" t="s" ph="1">
        <v>291</v>
      </c>
      <c r="AK76" s="64" t="s" ph="1">
        <v>284</v>
      </c>
      <c r="AM76" s="64" t="s" ph="1">
        <v>289</v>
      </c>
      <c r="AN76" s="64" t="s" ph="1">
        <v>272</v>
      </c>
      <c r="AO76" s="64" t="s" ph="1">
        <v>287</v>
      </c>
      <c r="AS76" s="64" t="s" ph="1">
        <v>259</v>
      </c>
      <c r="AT76" s="64" t="s" ph="1">
        <v>290</v>
      </c>
    </row>
    <row r="77" spans="33:52" ph="1">
      <c r="AJ77" s="64" t="s" ph="1">
        <v>327</v>
      </c>
      <c r="AK77" s="64" t="s" ph="1">
        <v>284</v>
      </c>
      <c r="AM77" s="64" t="s" ph="1">
        <v>328</v>
      </c>
      <c r="AN77" s="64" t="s" ph="1">
        <v>267</v>
      </c>
      <c r="AO77" s="64" t="s" ph="1">
        <v>287</v>
      </c>
      <c r="AS77" s="64" t="s" ph="1">
        <v>259</v>
      </c>
      <c r="AT77" s="64" t="s" ph="1">
        <v>329</v>
      </c>
    </row>
    <row r="78" spans="33:52" ph="1">
      <c r="AH78" s="64" ph="1">
        <v>2</v>
      </c>
      <c r="AI78" s="64" t="s" ph="1">
        <v>293</v>
      </c>
      <c r="AJ78" s="64" t="s" ph="1">
        <v>294</v>
      </c>
      <c r="AK78" s="64" t="s" ph="1">
        <v>263</v>
      </c>
      <c r="AM78" s="64" t="s" ph="1">
        <v>295</v>
      </c>
      <c r="AN78" s="64" t="s" ph="1">
        <v>298</v>
      </c>
      <c r="AO78" s="64" t="s" ph="1">
        <v>287</v>
      </c>
      <c r="AP78" s="64" t="s" ph="1">
        <v>296</v>
      </c>
      <c r="AQ78" s="64" t="s" ph="1">
        <v>342</v>
      </c>
      <c r="AR78" s="64" t="s" ph="1">
        <v>287</v>
      </c>
      <c r="AS78" s="64" t="s" ph="1">
        <v>297</v>
      </c>
      <c r="AT78" s="64" t="s" ph="1">
        <v>298</v>
      </c>
      <c r="AU78" s="64" t="s" ph="1">
        <v>287</v>
      </c>
      <c r="AV78" s="64" t="s" ph="1">
        <v>299</v>
      </c>
      <c r="AW78" s="64" t="s" ph="1">
        <v>287</v>
      </c>
      <c r="AY78" s="64" t="s" ph="1">
        <v>260</v>
      </c>
      <c r="AZ78" s="64" t="s" ph="1">
        <v>446</v>
      </c>
    </row>
    <row r="79" spans="33:52" ph="1">
      <c r="AJ79" s="64" t="s" ph="1">
        <v>289</v>
      </c>
      <c r="AK79" s="64" t="s" ph="1">
        <v>300</v>
      </c>
      <c r="AM79" s="64" t="s" ph="1">
        <v>301</v>
      </c>
      <c r="AN79" s="64" t="s" ph="1">
        <v>269</v>
      </c>
      <c r="AO79" s="64" t="s" ph="1">
        <v>287</v>
      </c>
      <c r="AP79" s="64" t="s" ph="1">
        <v>302</v>
      </c>
      <c r="AQ79" s="64" t="s" ph="1">
        <v>267</v>
      </c>
      <c r="AR79" s="64" t="s" ph="1">
        <v>303</v>
      </c>
      <c r="AS79" s="64" t="s" ph="1">
        <v>259</v>
      </c>
      <c r="AT79" s="64" t="s" ph="1">
        <v>304</v>
      </c>
      <c r="AV79" s="64" t="s" ph="1">
        <v>447</v>
      </c>
      <c r="AW79" s="64" t="s" ph="1">
        <v>346</v>
      </c>
      <c r="AX79" s="64" t="s" ph="1">
        <v>444</v>
      </c>
    </row>
    <row r="80" spans="33:52" ph="1">
      <c r="AH80" s="64" ph="1">
        <v>3</v>
      </c>
      <c r="AI80" s="64" t="s" ph="1">
        <v>305</v>
      </c>
      <c r="AJ80" s="64" t="s" ph="1">
        <v>306</v>
      </c>
      <c r="AK80" s="64" t="s" ph="1">
        <v>307</v>
      </c>
      <c r="AM80" s="64" t="s" ph="1">
        <v>308</v>
      </c>
      <c r="AN80" s="64" t="s" ph="1">
        <v>298</v>
      </c>
      <c r="AO80" s="64" t="s" ph="1">
        <v>287</v>
      </c>
      <c r="AP80" s="64" t="s" ph="1">
        <v>309</v>
      </c>
      <c r="AQ80" s="64" t="s" ph="1">
        <v>272</v>
      </c>
      <c r="AR80" s="64" t="s" ph="1">
        <v>287</v>
      </c>
      <c r="AS80" s="64" t="s" ph="1">
        <v>310</v>
      </c>
      <c r="AT80" s="64" t="s" ph="1">
        <v>271</v>
      </c>
      <c r="AU80" s="64" t="s" ph="1">
        <v>287</v>
      </c>
      <c r="AV80" s="64" t="s" ph="1">
        <v>311</v>
      </c>
      <c r="AW80" s="64" t="s" ph="1">
        <v>287</v>
      </c>
      <c r="AY80" s="64" t="s" ph="1">
        <v>260</v>
      </c>
      <c r="AZ80" s="64" t="s" ph="1">
        <v>448</v>
      </c>
    </row>
    <row r="81" spans="34:52" ph="1">
      <c r="AJ81" s="64" t="s" ph="1">
        <v>312</v>
      </c>
      <c r="AK81" s="64" t="s" ph="1">
        <v>266</v>
      </c>
      <c r="AM81" s="64" t="s" ph="1">
        <v>313</v>
      </c>
      <c r="AN81" s="64" t="s" ph="1">
        <v>269</v>
      </c>
      <c r="AO81" s="64" t="s" ph="1">
        <v>287</v>
      </c>
      <c r="AP81" s="64" t="s" ph="1">
        <v>314</v>
      </c>
      <c r="AQ81" s="64" t="s" ph="1">
        <v>298</v>
      </c>
      <c r="AR81" s="64" t="s" ph="1">
        <v>287</v>
      </c>
      <c r="AS81" s="64" t="s" ph="1">
        <v>315</v>
      </c>
      <c r="AT81" s="64" t="s" ph="1">
        <v>316</v>
      </c>
      <c r="AU81" s="64" t="s" ph="1">
        <v>287</v>
      </c>
      <c r="AV81" s="64" t="s" ph="1">
        <v>317</v>
      </c>
    </row>
    <row r="82" spans="34:52" ph="1">
      <c r="AJ82" s="64" t="s" ph="1">
        <v>318</v>
      </c>
      <c r="AK82" s="64" t="s" ph="1">
        <v>266</v>
      </c>
      <c r="AM82" s="64" t="s" ph="1">
        <v>319</v>
      </c>
      <c r="AN82" s="64" t="s" ph="1">
        <v>316</v>
      </c>
      <c r="AO82" s="64" t="s" ph="1">
        <v>320</v>
      </c>
      <c r="AP82" s="64" t="s" ph="1">
        <v>321</v>
      </c>
      <c r="AQ82" s="64" t="s" ph="1">
        <v>298</v>
      </c>
      <c r="AR82" s="64" t="s" ph="1">
        <v>287</v>
      </c>
      <c r="AS82" s="64" t="s" ph="1">
        <v>322</v>
      </c>
      <c r="AT82" s="64" t="s" ph="1">
        <v>273</v>
      </c>
      <c r="AU82" s="64" t="s" ph="1">
        <v>287</v>
      </c>
      <c r="AV82" s="64" t="s" ph="1">
        <v>447</v>
      </c>
      <c r="AW82" s="64" t="s" ph="1">
        <v>347</v>
      </c>
      <c r="AX82" s="64" t="s" ph="1">
        <v>444</v>
      </c>
    </row>
    <row r="83" spans="34:52" ph="1">
      <c r="AJ83" s="64" t="s" ph="1">
        <v>323</v>
      </c>
      <c r="AK83" s="64" t="s" ph="1">
        <v>340</v>
      </c>
      <c r="AM83" s="64" t="s" ph="1">
        <v>324</v>
      </c>
      <c r="AN83" s="64" t="s" ph="1">
        <v>272</v>
      </c>
      <c r="AO83" s="64" t="s" ph="1">
        <v>303</v>
      </c>
      <c r="AP83" s="64" t="s" ph="1">
        <v>325</v>
      </c>
      <c r="AQ83" s="64" t="s" ph="1">
        <v>326</v>
      </c>
      <c r="AR83" s="64" t="s" ph="1">
        <v>303</v>
      </c>
      <c r="AS83" s="64" t="s" ph="1">
        <v>449</v>
      </c>
      <c r="AT83" s="64" t="s" ph="1">
        <v>298</v>
      </c>
      <c r="AU83" s="64" t="s" ph="1">
        <v>303</v>
      </c>
      <c r="AV83" s="64" t="s" ph="1">
        <v>450</v>
      </c>
      <c r="AW83" s="64" t="s" ph="1">
        <v>347</v>
      </c>
      <c r="AX83" s="64" t="s" ph="1">
        <v>451</v>
      </c>
    </row>
    <row r="84" spans="34:52" ph="1">
      <c r="AH84" s="64" ph="1">
        <v>4</v>
      </c>
      <c r="AI84" s="64" t="s" ph="1">
        <v>330</v>
      </c>
      <c r="AJ84" s="64" t="s" ph="1">
        <v>270</v>
      </c>
      <c r="AK84" s="64" t="s" ph="1">
        <v>273</v>
      </c>
      <c r="AM84" s="64" t="s" ph="1">
        <v>274</v>
      </c>
      <c r="AN84" s="64" t="s" ph="1">
        <v>267</v>
      </c>
      <c r="AO84" s="64" t="s" ph="1">
        <v>303</v>
      </c>
      <c r="AP84" s="64" t="s" ph="1">
        <v>332</v>
      </c>
      <c r="AQ84" s="64" t="s" ph="1">
        <v>266</v>
      </c>
      <c r="AR84" s="64" t="s" ph="1">
        <v>303</v>
      </c>
      <c r="AS84" s="64" t="s" ph="1">
        <v>332</v>
      </c>
      <c r="AT84" s="64" t="s" ph="1">
        <v>268</v>
      </c>
      <c r="AU84" s="64" t="s" ph="1">
        <v>303</v>
      </c>
      <c r="AY84" s="64" t="s" ph="1">
        <v>260</v>
      </c>
      <c r="AZ84" s="64" t="s" ph="1">
        <v>452</v>
      </c>
    </row>
    <row r="85" spans="34:52" ph="1">
      <c r="AJ85" s="64" t="s" ph="1">
        <v>262</v>
      </c>
      <c r="AK85" s="64" t="s" ph="1">
        <v>266</v>
      </c>
      <c r="AM85" s="64" t="s" ph="1">
        <v>453</v>
      </c>
      <c r="AN85" s="64" t="s" ph="1">
        <v>273</v>
      </c>
      <c r="AO85" s="64" t="s" ph="1">
        <v>303</v>
      </c>
      <c r="AP85" s="64" t="s" ph="1">
        <v>454</v>
      </c>
      <c r="AQ85" s="64" t="s" ph="1">
        <v>269</v>
      </c>
      <c r="AR85" s="64" t="s" ph="1">
        <v>303</v>
      </c>
      <c r="AS85" s="64" t="s" ph="1">
        <v>455</v>
      </c>
      <c r="AT85" s="64" t="s" ph="1">
        <v>269</v>
      </c>
      <c r="AU85" s="64" t="s" ph="1">
        <v>303</v>
      </c>
    </row>
    <row r="86" spans="34:52" ph="1">
      <c r="AJ86" s="64" t="s" ph="1">
        <v>456</v>
      </c>
      <c r="AK86" s="64" t="s" ph="1">
        <v>275</v>
      </c>
      <c r="AM86" s="64" t="s" ph="1">
        <v>457</v>
      </c>
      <c r="AN86" s="64" t="s" ph="1">
        <v>316</v>
      </c>
      <c r="AO86" s="64" t="s" ph="1">
        <v>303</v>
      </c>
      <c r="AP86" s="64" t="s" ph="1">
        <v>458</v>
      </c>
      <c r="AQ86" s="64" t="s" ph="1">
        <v>263</v>
      </c>
      <c r="AR86" s="64" t="s" ph="1">
        <v>303</v>
      </c>
      <c r="AS86" s="64" t="s" ph="1">
        <v>459</v>
      </c>
      <c r="AT86" s="64" t="s" ph="1">
        <v>281</v>
      </c>
      <c r="AU86" s="64" t="s" ph="1">
        <v>303</v>
      </c>
    </row>
    <row r="87" spans="34:52" ph="1">
      <c r="AJ87" s="64" t="s" ph="1">
        <v>460</v>
      </c>
      <c r="AK87" s="64" t="s" ph="1">
        <v>316</v>
      </c>
      <c r="AM87" s="64" t="s" ph="1">
        <v>447</v>
      </c>
      <c r="AN87" s="64" t="s" ph="1">
        <v>461</v>
      </c>
      <c r="AO87" s="64" t="s" ph="1">
        <v>444</v>
      </c>
    </row>
    <row r="88" spans="34:52" ph="1">
      <c r="AH88" s="64" ph="1">
        <v>5</v>
      </c>
      <c r="AI88" s="64" t="s" ph="1">
        <v>333</v>
      </c>
      <c r="AJ88" s="64" t="s" ph="1">
        <v>462</v>
      </c>
      <c r="AK88" s="64" t="s" ph="1">
        <v>316</v>
      </c>
      <c r="AM88" s="64" t="s" ph="1">
        <v>463</v>
      </c>
      <c r="AN88" s="64" t="s" ph="1">
        <v>316</v>
      </c>
      <c r="AO88" s="64" t="s" ph="1">
        <v>303</v>
      </c>
      <c r="AP88" s="64" t="s" ph="1">
        <v>464</v>
      </c>
      <c r="AQ88" s="64" t="s" ph="1">
        <v>266</v>
      </c>
      <c r="AR88" s="64" t="s" ph="1">
        <v>303</v>
      </c>
      <c r="AS88" s="64" t="s" ph="1">
        <v>465</v>
      </c>
      <c r="AT88" s="64" t="s" ph="1">
        <v>316</v>
      </c>
      <c r="AU88" s="64" t="s" ph="1">
        <v>303</v>
      </c>
      <c r="AV88" s="64" t="s" ph="1">
        <v>466</v>
      </c>
      <c r="AW88" s="64" t="s" ph="1">
        <v>271</v>
      </c>
      <c r="AX88" s="64" t="s" ph="1">
        <v>303</v>
      </c>
      <c r="AY88" s="64" t="s" ph="1">
        <v>260</v>
      </c>
      <c r="AZ88" s="64" t="s" ph="1">
        <v>467</v>
      </c>
    </row>
    <row r="89" spans="34:52" ph="1">
      <c r="AJ89" s="64" t="s" ph="1">
        <v>468</v>
      </c>
      <c r="AK89" s="64" t="s" ph="1">
        <v>269</v>
      </c>
      <c r="AM89" s="64" t="s" ph="1">
        <v>469</v>
      </c>
      <c r="AN89" s="64" t="s" ph="1">
        <v>272</v>
      </c>
      <c r="AO89" s="64" t="s" ph="1">
        <v>303</v>
      </c>
      <c r="AP89" s="64" t="s" ph="1">
        <v>470</v>
      </c>
      <c r="AQ89" s="64" t="s" ph="1">
        <v>281</v>
      </c>
      <c r="AR89" s="64" t="s" ph="1">
        <v>303</v>
      </c>
      <c r="AS89" s="64" t="s" ph="1">
        <v>471</v>
      </c>
      <c r="AT89" s="64" t="s" ph="1">
        <v>316</v>
      </c>
      <c r="AU89" s="64" t="s" ph="1">
        <v>303</v>
      </c>
      <c r="AV89" s="64" t="s" ph="1">
        <v>472</v>
      </c>
      <c r="AW89" s="64" t="s" ph="1">
        <v>298</v>
      </c>
      <c r="AX89" s="64" t="s" ph="1">
        <v>331</v>
      </c>
    </row>
    <row r="90" spans="34:52" ph="1">
      <c r="AJ90" s="64" t="s" ph="1">
        <v>473</v>
      </c>
      <c r="AK90" s="64" t="s" ph="1">
        <v>272</v>
      </c>
      <c r="AM90" s="64" t="s" ph="1">
        <v>474</v>
      </c>
      <c r="AN90" s="64" t="s" ph="1">
        <v>269</v>
      </c>
      <c r="AO90" s="64" t="s" ph="1">
        <v>303</v>
      </c>
      <c r="AP90" s="64" t="s" ph="1">
        <v>475</v>
      </c>
      <c r="AQ90" s="64" t="s" ph="1">
        <v>338</v>
      </c>
      <c r="AR90" s="64" t="s" ph="1">
        <v>303</v>
      </c>
      <c r="AS90" s="64" t="s" ph="1">
        <v>476</v>
      </c>
      <c r="AT90" s="64" t="s" ph="1">
        <v>326</v>
      </c>
      <c r="AU90" s="64" t="s" ph="1">
        <v>303</v>
      </c>
      <c r="AV90" s="64" t="s" ph="1">
        <v>477</v>
      </c>
      <c r="AW90" s="64" t="s" ph="1">
        <v>263</v>
      </c>
      <c r="AX90" s="64" t="s" ph="1">
        <v>303</v>
      </c>
    </row>
    <row r="91" spans="34:52" ph="1">
      <c r="AJ91" s="64" t="s" ph="1">
        <v>478</v>
      </c>
      <c r="AK91" s="64" t="s" ph="1">
        <v>316</v>
      </c>
      <c r="AM91" s="64" t="s" ph="1">
        <v>479</v>
      </c>
      <c r="AN91" s="64" t="s" ph="1">
        <v>283</v>
      </c>
      <c r="AO91" s="64" t="s" ph="1">
        <v>303</v>
      </c>
      <c r="AP91" s="64" t="s" ph="1">
        <v>480</v>
      </c>
      <c r="AQ91" s="64" t="s" ph="1">
        <v>263</v>
      </c>
      <c r="AS91" s="64" t="s" ph="1">
        <v>447</v>
      </c>
      <c r="AT91" s="64" t="s" ph="1">
        <v>443</v>
      </c>
      <c r="AU91" s="64" t="s" ph="1">
        <v>444</v>
      </c>
    </row>
    <row r="92" spans="34:52" ph="1">
      <c r="AH92" s="64" ph="1">
        <v>6</v>
      </c>
      <c r="AI92" s="64" t="s" ph="1">
        <v>481</v>
      </c>
      <c r="AJ92" s="64" t="s" ph="1">
        <v>482</v>
      </c>
      <c r="AK92" s="64" t="s" ph="1">
        <v>411</v>
      </c>
      <c r="AM92" s="64" t="s" ph="1">
        <v>483</v>
      </c>
      <c r="AN92" s="64" t="s" ph="1">
        <v>271</v>
      </c>
      <c r="AO92" s="64" t="s" ph="1">
        <v>303</v>
      </c>
      <c r="AP92" s="64" t="s" ph="1">
        <v>484</v>
      </c>
      <c r="AQ92" s="64" t="s" ph="1">
        <v>343</v>
      </c>
      <c r="AR92" s="64" t="s" ph="1">
        <v>303</v>
      </c>
      <c r="AS92" s="64" t="s" ph="1">
        <v>485</v>
      </c>
      <c r="AT92" s="64" t="s" ph="1">
        <v>316</v>
      </c>
      <c r="AU92" s="64" t="s" ph="1">
        <v>303</v>
      </c>
      <c r="AV92" s="64" t="s" ph="1">
        <v>486</v>
      </c>
      <c r="AW92" s="64" t="s" ph="1">
        <v>272</v>
      </c>
      <c r="AX92" s="64" t="s" ph="1">
        <v>303</v>
      </c>
      <c r="AY92" s="64" t="s" ph="1">
        <v>260</v>
      </c>
      <c r="AZ92" s="64" t="s" ph="1">
        <v>467</v>
      </c>
    </row>
    <row r="93" spans="34:52" ph="1">
      <c r="AJ93" s="64" t="s" ph="1">
        <v>487</v>
      </c>
      <c r="AK93" s="64" t="s" ph="1">
        <v>266</v>
      </c>
      <c r="AM93" s="64" t="s" ph="1">
        <v>488</v>
      </c>
      <c r="AN93" s="64" t="s" ph="1">
        <v>271</v>
      </c>
      <c r="AO93" s="64" t="s" ph="1">
        <v>303</v>
      </c>
      <c r="AP93" s="64" t="s" ph="1">
        <v>489</v>
      </c>
      <c r="AQ93" s="64" t="s" ph="1">
        <v>275</v>
      </c>
      <c r="AR93" s="64" t="s" ph="1">
        <v>303</v>
      </c>
      <c r="AS93" s="64" t="s" ph="1">
        <v>490</v>
      </c>
      <c r="AT93" s="64" t="s" ph="1">
        <v>281</v>
      </c>
      <c r="AU93" s="64" t="s" ph="1">
        <v>303</v>
      </c>
      <c r="AV93" s="64" t="s" ph="1">
        <v>491</v>
      </c>
      <c r="AW93" s="64" t="s" ph="1">
        <v>275</v>
      </c>
      <c r="AX93" s="64" t="s" ph="1">
        <v>303</v>
      </c>
    </row>
    <row r="94" spans="34:52" ph="1">
      <c r="AJ94" s="64" t="s" ph="1">
        <v>492</v>
      </c>
      <c r="AK94" s="64" t="s" ph="1">
        <v>338</v>
      </c>
      <c r="AM94" s="64" t="s" ph="1">
        <v>493</v>
      </c>
      <c r="AN94" s="64" t="s" ph="1">
        <v>275</v>
      </c>
      <c r="AO94" s="64" t="s" ph="1">
        <v>303</v>
      </c>
      <c r="AP94" s="64" t="s" ph="1">
        <v>494</v>
      </c>
      <c r="AQ94" s="64" t="s" ph="1">
        <v>283</v>
      </c>
      <c r="AR94" s="64" t="s" ph="1">
        <v>303</v>
      </c>
      <c r="AS94" s="64" t="s" ph="1">
        <v>495</v>
      </c>
      <c r="AT94" s="64" t="s" ph="1">
        <v>269</v>
      </c>
      <c r="AU94" s="64" t="s" ph="1">
        <v>303</v>
      </c>
      <c r="AV94" s="64" t="s" ph="1">
        <v>496</v>
      </c>
      <c r="AW94" s="64" t="s" ph="1">
        <v>269</v>
      </c>
      <c r="AX94" s="64" t="s" ph="1">
        <v>303</v>
      </c>
    </row>
    <row r="95" spans="34:52" ph="1">
      <c r="AJ95" s="64" t="s" ph="1">
        <v>497</v>
      </c>
      <c r="AK95" s="64" t="s" ph="1">
        <v>343</v>
      </c>
    </row>
    <row r="96" spans="34:52" ph="1">
      <c r="AH96" s="64" ph="1">
        <v>7</v>
      </c>
      <c r="AI96" s="64" t="s" ph="1">
        <v>498</v>
      </c>
      <c r="AJ96" s="64" t="s" ph="1">
        <v>497</v>
      </c>
      <c r="AK96" s="64" t="s" ph="1">
        <v>298</v>
      </c>
      <c r="AM96" s="64" t="s" ph="1">
        <v>499</v>
      </c>
      <c r="AN96" s="64" t="s" ph="1">
        <v>272</v>
      </c>
      <c r="AO96" s="64" t="s" ph="1">
        <v>303</v>
      </c>
      <c r="AP96" s="64" t="s" ph="1">
        <v>500</v>
      </c>
      <c r="AQ96" s="64" t="s" ph="1">
        <v>316</v>
      </c>
      <c r="AR96" s="64" t="s" ph="1">
        <v>331</v>
      </c>
      <c r="AS96" s="64" t="s" ph="1">
        <v>501</v>
      </c>
      <c r="AT96" s="64" t="s" ph="1">
        <v>275</v>
      </c>
      <c r="AU96" s="64" t="s" ph="1">
        <v>331</v>
      </c>
      <c r="AV96" s="64" t="s" ph="1">
        <v>502</v>
      </c>
      <c r="AW96" s="64" t="s" ph="1">
        <v>271</v>
      </c>
      <c r="AX96" s="64" t="s" ph="1">
        <v>331</v>
      </c>
      <c r="AY96" s="64" t="s" ph="1">
        <v>260</v>
      </c>
      <c r="AZ96" s="64" t="s" ph="1">
        <v>503</v>
      </c>
    </row>
    <row r="97" spans="33:52" ph="1">
      <c r="AJ97" s="64" t="s" ph="1">
        <v>504</v>
      </c>
      <c r="AK97" s="64" t="s" ph="1">
        <v>326</v>
      </c>
      <c r="AM97" s="64" t="s" ph="1">
        <v>505</v>
      </c>
      <c r="AN97" s="64" t="s" ph="1">
        <v>269</v>
      </c>
      <c r="AO97" s="64" t="s" ph="1">
        <v>303</v>
      </c>
      <c r="AP97" s="64" t="s" ph="1">
        <v>506</v>
      </c>
      <c r="AQ97" s="64" t="s" ph="1">
        <v>263</v>
      </c>
      <c r="AR97" s="64" t="s" ph="1">
        <v>331</v>
      </c>
      <c r="AS97" s="64" t="s" ph="1">
        <v>507</v>
      </c>
      <c r="AT97" s="64" t="s" ph="1">
        <v>266</v>
      </c>
      <c r="AU97" s="64" t="s" ph="1">
        <v>331</v>
      </c>
      <c r="AV97" s="64" t="s" ph="1">
        <v>508</v>
      </c>
      <c r="AW97" s="64" t="s" ph="1">
        <v>272</v>
      </c>
      <c r="AX97" s="64" t="s" ph="1">
        <v>331</v>
      </c>
    </row>
    <row r="98" spans="33:52" ph="1">
      <c r="AJ98" s="64" t="s" ph="1">
        <v>509</v>
      </c>
      <c r="AK98" s="64" t="s" ph="1">
        <v>275</v>
      </c>
      <c r="AM98" s="64" t="s" ph="1">
        <v>510</v>
      </c>
      <c r="AN98" s="64" t="s" ph="1">
        <v>283</v>
      </c>
      <c r="AO98" s="64" t="s" ph="1">
        <v>303</v>
      </c>
      <c r="AP98" s="64" t="s" ph="1">
        <v>511</v>
      </c>
      <c r="AQ98" s="64" t="s" ph="1">
        <v>263</v>
      </c>
      <c r="AR98" s="64" t="s" ph="1">
        <v>331</v>
      </c>
      <c r="AS98" s="64" t="s" ph="1">
        <v>512</v>
      </c>
      <c r="AT98" s="64" t="s" ph="1">
        <v>343</v>
      </c>
      <c r="AU98" s="64" t="s" ph="1">
        <v>331</v>
      </c>
      <c r="AV98" s="64" t="s" ph="1">
        <v>513</v>
      </c>
      <c r="AW98" s="64" t="s" ph="1">
        <v>266</v>
      </c>
      <c r="AX98" s="64" t="s" ph="1">
        <v>331</v>
      </c>
    </row>
    <row r="99" spans="33:52" ph="1">
      <c r="AH99" s="64" ph="1">
        <v>8</v>
      </c>
      <c r="AI99" s="64" t="s" ph="1">
        <v>514</v>
      </c>
      <c r="AJ99" s="64" t="s" ph="1">
        <v>515</v>
      </c>
      <c r="AK99" s="64" t="s" ph="1">
        <v>411</v>
      </c>
      <c r="AM99" s="64" t="s" ph="1">
        <v>516</v>
      </c>
      <c r="AN99" s="64" t="s" ph="1">
        <v>298</v>
      </c>
      <c r="AO99" s="64" t="s" ph="1">
        <v>303</v>
      </c>
      <c r="AP99" s="64" t="s" ph="1">
        <v>517</v>
      </c>
      <c r="AQ99" s="64" t="s" ph="1">
        <v>268</v>
      </c>
      <c r="AR99" s="64" t="s" ph="1">
        <v>331</v>
      </c>
      <c r="AS99" s="64" t="s" ph="1">
        <v>518</v>
      </c>
      <c r="AT99" s="64" t="s" ph="1">
        <v>283</v>
      </c>
      <c r="AU99" s="64" t="s" ph="1">
        <v>331</v>
      </c>
      <c r="AV99" s="64" t="s" ph="1">
        <v>519</v>
      </c>
      <c r="AW99" s="64" t="s" ph="1">
        <v>268</v>
      </c>
      <c r="AX99" s="64" t="s" ph="1">
        <v>331</v>
      </c>
      <c r="AY99" s="64" t="s" ph="1">
        <v>260</v>
      </c>
      <c r="AZ99" s="64" t="s" ph="1">
        <v>520</v>
      </c>
    </row>
    <row r="100" spans="33:52" ph="1">
      <c r="AJ100" s="64" t="s" ph="1">
        <v>521</v>
      </c>
      <c r="AK100" s="64" t="s" ph="1">
        <v>266</v>
      </c>
      <c r="AM100" s="64" t="s" ph="1">
        <v>522</v>
      </c>
      <c r="AN100" s="64" t="s" ph="1">
        <v>338</v>
      </c>
      <c r="AO100" s="64" t="s" ph="1">
        <v>303</v>
      </c>
      <c r="AP100" s="64" t="s" ph="1">
        <v>523</v>
      </c>
      <c r="AQ100" s="64" t="s" ph="1">
        <v>344</v>
      </c>
      <c r="AR100" s="64" t="s" ph="1">
        <v>331</v>
      </c>
      <c r="AS100" s="64" t="s" ph="1">
        <v>524</v>
      </c>
      <c r="AT100" s="64" t="s" ph="1">
        <v>411</v>
      </c>
      <c r="AU100" s="64" t="s" ph="1">
        <v>303</v>
      </c>
      <c r="AV100" s="64" t="s" ph="1">
        <v>525</v>
      </c>
      <c r="AW100" s="64" t="s" ph="1">
        <v>411</v>
      </c>
      <c r="AX100" s="64" t="s" ph="1">
        <v>303</v>
      </c>
    </row>
    <row r="101" spans="33:52" ph="1">
      <c r="AJ101" s="64" t="s" ph="1">
        <v>526</v>
      </c>
      <c r="AK101" s="64" t="s" ph="1">
        <v>411</v>
      </c>
      <c r="AM101" s="64" t="s" ph="1">
        <v>527</v>
      </c>
      <c r="AN101" s="64" t="s" ph="1">
        <v>269</v>
      </c>
      <c r="AO101" s="64" t="s" ph="1">
        <v>303</v>
      </c>
      <c r="AP101" s="64" t="s" ph="1">
        <v>528</v>
      </c>
      <c r="AQ101" s="64" t="s" ph="1">
        <v>281</v>
      </c>
      <c r="AR101" s="64" t="s" ph="1">
        <v>331</v>
      </c>
      <c r="AS101" s="64" t="s" ph="1">
        <v>529</v>
      </c>
      <c r="AT101" s="64" t="s" ph="1">
        <v>338</v>
      </c>
      <c r="AU101" s="64" t="s" ph="1">
        <v>331</v>
      </c>
      <c r="AV101" s="64" t="s" ph="1">
        <v>530</v>
      </c>
      <c r="AW101" s="64" t="s" ph="1">
        <v>269</v>
      </c>
      <c r="AX101" s="64" t="s" ph="1">
        <v>303</v>
      </c>
    </row>
    <row r="102" spans="33:52" ph="1">
      <c r="AJ102" s="64" t="s" ph="1">
        <v>531</v>
      </c>
      <c r="AK102" s="64" t="s" ph="1">
        <v>266</v>
      </c>
      <c r="AM102" s="64" t="s" ph="1">
        <v>532</v>
      </c>
      <c r="AN102" s="64" t="s" ph="1">
        <v>275</v>
      </c>
      <c r="AO102" s="64" t="s" ph="1">
        <v>303</v>
      </c>
      <c r="AP102" s="64" t="s" ph="1">
        <v>533</v>
      </c>
      <c r="AQ102" s="64" t="s" ph="1">
        <v>281</v>
      </c>
      <c r="AR102" s="64" t="s" ph="1">
        <v>303</v>
      </c>
      <c r="AS102" s="64" t="s" ph="1">
        <v>534</v>
      </c>
      <c r="AT102" s="64" t="s" ph="1">
        <v>298</v>
      </c>
      <c r="AU102" s="64" t="s" ph="1">
        <v>303</v>
      </c>
      <c r="AV102" s="64" t="s" ph="1">
        <v>535</v>
      </c>
      <c r="AW102" s="64" t="s" ph="1">
        <v>316</v>
      </c>
      <c r="AX102" s="64" t="s" ph="1">
        <v>303</v>
      </c>
    </row>
    <row r="103" spans="33:52" ph="1">
      <c r="AH103" s="64" ph="1">
        <v>9</v>
      </c>
      <c r="AI103" s="64" t="s" ph="1">
        <v>536</v>
      </c>
      <c r="AJ103" s="64" t="s" ph="1">
        <v>537</v>
      </c>
      <c r="AK103" s="64" t="s" ph="1">
        <v>411</v>
      </c>
      <c r="AM103" s="64" t="s" ph="1">
        <v>538</v>
      </c>
      <c r="AN103" s="64" t="s" ph="1">
        <v>326</v>
      </c>
      <c r="AO103" s="64" t="s" ph="1">
        <v>303</v>
      </c>
      <c r="AP103" s="64" t="s" ph="1">
        <v>380</v>
      </c>
      <c r="AQ103" s="64" t="s" ph="1">
        <v>269</v>
      </c>
      <c r="AR103" s="64" t="s" ph="1">
        <v>303</v>
      </c>
      <c r="AS103" s="64" t="s" ph="1">
        <v>614</v>
      </c>
      <c r="AT103" s="64" t="s" ph="1">
        <v>411</v>
      </c>
      <c r="AU103" s="64" t="s" ph="1">
        <v>303</v>
      </c>
      <c r="AY103" s="64" t="s" ph="1">
        <v>260</v>
      </c>
      <c r="AZ103" s="64" t="s" ph="1">
        <v>268</v>
      </c>
    </row>
    <row r="104" spans="33:52" ph="1">
      <c r="AZ104" s="64" t="s" ph="1">
        <v>539</v>
      </c>
    </row>
    <row r="105" spans="33:52" ph="1">
      <c r="AG105" s="64" t="s" ph="1">
        <v>339</v>
      </c>
      <c r="AI105" s="64" t="s" ph="1">
        <v>253</v>
      </c>
      <c r="AJ105" s="64" t="s" ph="1">
        <v>254</v>
      </c>
      <c r="AK105" s="64" t="s" ph="1">
        <v>255</v>
      </c>
      <c r="AM105" s="64" t="s" ph="1">
        <v>254</v>
      </c>
      <c r="AN105" s="64" t="s" ph="1">
        <v>255</v>
      </c>
      <c r="AO105" s="64" t="s" ph="1">
        <v>256</v>
      </c>
      <c r="AP105" s="64" t="s" ph="1">
        <v>254</v>
      </c>
      <c r="AQ105" s="64" t="s" ph="1">
        <v>255</v>
      </c>
      <c r="AR105" s="64" t="s" ph="1">
        <v>256</v>
      </c>
      <c r="AS105" s="64" t="s" ph="1">
        <v>254</v>
      </c>
      <c r="AT105" s="64" t="s" ph="1">
        <v>255</v>
      </c>
      <c r="AU105" s="64" t="s" ph="1">
        <v>256</v>
      </c>
      <c r="AV105" s="64" t="s" ph="1">
        <v>254</v>
      </c>
      <c r="AW105" s="64" t="s" ph="1">
        <v>255</v>
      </c>
      <c r="AX105" s="64" t="s" ph="1">
        <v>256</v>
      </c>
      <c r="AZ105" s="64" t="s" ph="1">
        <v>257</v>
      </c>
    </row>
    <row r="106" spans="33:52" ph="1">
      <c r="AH106" s="64" ph="1">
        <v>1</v>
      </c>
      <c r="AI106" s="64" t="s" ph="1">
        <v>540</v>
      </c>
      <c r="AJ106" s="64" t="s" ph="1">
        <v>614</v>
      </c>
      <c r="AK106" s="64" t="s" ph="1">
        <v>275</v>
      </c>
      <c r="AZ106" s="64" t="s" ph="1">
        <v>275</v>
      </c>
    </row>
    <row r="107" spans="33:52" ph="1">
      <c r="AH107" s="64" ph="1">
        <v>2</v>
      </c>
      <c r="AI107" s="64" t="s" ph="1">
        <v>541</v>
      </c>
      <c r="AJ107" s="64" t="s" ph="1">
        <v>542</v>
      </c>
      <c r="AK107" s="64" t="s" ph="1">
        <v>272</v>
      </c>
      <c r="AM107" s="64" t="s" ph="1">
        <v>378</v>
      </c>
      <c r="AN107" s="64" t="s" ph="1">
        <v>543</v>
      </c>
      <c r="AO107" s="64" t="s" ph="1">
        <v>544</v>
      </c>
      <c r="AP107" s="64" t="s" ph="1">
        <v>380</v>
      </c>
      <c r="AQ107" s="64" t="s" ph="1">
        <v>348</v>
      </c>
      <c r="AR107" s="64" t="s" ph="1">
        <v>544</v>
      </c>
      <c r="AS107" s="64" t="s" ph="1">
        <v>614</v>
      </c>
      <c r="AT107" s="64" t="s" ph="1">
        <v>543</v>
      </c>
      <c r="AU107" s="64" t="s" ph="1">
        <v>544</v>
      </c>
      <c r="AY107" s="64" t="s" ph="1">
        <v>260</v>
      </c>
      <c r="AZ107" s="64" t="s" ph="1">
        <v>624</v>
      </c>
    </row>
    <row r="108" spans="33:52" ph="1">
      <c r="AH108" s="64" ph="1">
        <v>3</v>
      </c>
      <c r="AI108" s="64" t="s" ph="1">
        <v>545</v>
      </c>
      <c r="AY108" s="64" t="s" ph="1">
        <v>260</v>
      </c>
      <c r="AZ108" s="64" t="s" ph="1">
        <v>411</v>
      </c>
    </row>
    <row r="109" spans="33:52" ph="1">
      <c r="AH109" s="64" ph="1">
        <v>4</v>
      </c>
      <c r="AI109" s="64" t="s" ph="1">
        <v>546</v>
      </c>
      <c r="AY109" s="64" t="s" ph="1">
        <v>260</v>
      </c>
      <c r="AZ109" s="64" t="s" ph="1">
        <v>411</v>
      </c>
    </row>
    <row r="110" spans="33:52" ph="1">
      <c r="AH110" s="64" ph="1">
        <v>5</v>
      </c>
      <c r="AI110" s="64" t="s" ph="1">
        <v>547</v>
      </c>
      <c r="AY110" s="64" t="s" ph="1">
        <v>260</v>
      </c>
      <c r="AZ110" s="64" t="s" ph="1">
        <v>411</v>
      </c>
    </row>
    <row r="111" spans="33:52" ph="1">
      <c r="AH111" s="64" ph="1">
        <v>6</v>
      </c>
      <c r="AI111" s="64" t="s" ph="1">
        <v>625</v>
      </c>
      <c r="AJ111" s="64" t="s" ph="1">
        <v>530</v>
      </c>
      <c r="AK111" s="64" t="s" ph="1">
        <v>269</v>
      </c>
      <c r="AM111" s="64" t="s" ph="1">
        <v>531</v>
      </c>
      <c r="AN111" s="64" t="s" ph="1">
        <v>263</v>
      </c>
      <c r="AO111" s="64" t="s" ph="1">
        <v>544</v>
      </c>
      <c r="AP111" s="64" t="s" ph="1">
        <v>532</v>
      </c>
      <c r="AQ111" s="64" t="s" ph="1">
        <v>272</v>
      </c>
      <c r="AR111" s="64" t="s" ph="1">
        <v>544</v>
      </c>
      <c r="AS111" s="64" t="s" ph="1">
        <v>533</v>
      </c>
      <c r="AT111" s="64" t="s" ph="1">
        <v>281</v>
      </c>
      <c r="AU111" s="64" t="s" ph="1">
        <v>544</v>
      </c>
      <c r="AV111" s="64" t="s" ph="1">
        <v>534</v>
      </c>
      <c r="AW111" s="64" t="s" ph="1">
        <v>271</v>
      </c>
      <c r="AX111" s="64" t="s" ph="1">
        <v>544</v>
      </c>
      <c r="AY111" s="64" t="s" ph="1">
        <v>260</v>
      </c>
      <c r="AZ111" s="64" t="s" ph="1">
        <v>548</v>
      </c>
    </row>
    <row r="112" spans="33:52" ph="1">
      <c r="AJ112" s="64" t="s" ph="1">
        <v>535</v>
      </c>
      <c r="AK112" s="64" t="s" ph="1">
        <v>316</v>
      </c>
      <c r="AM112" s="64" t="s" ph="1">
        <v>537</v>
      </c>
      <c r="AN112" s="64" t="s" ph="1">
        <v>340</v>
      </c>
      <c r="AO112" s="64" t="s" ph="1">
        <v>544</v>
      </c>
      <c r="AP112" s="64" t="s" ph="1">
        <v>538</v>
      </c>
      <c r="AQ112" s="64" t="s" ph="1">
        <v>549</v>
      </c>
      <c r="AR112" s="64" t="s" ph="1">
        <v>544</v>
      </c>
      <c r="AS112" s="64" t="s" ph="1">
        <v>550</v>
      </c>
      <c r="AT112" s="64" t="s" ph="1">
        <v>292</v>
      </c>
      <c r="AU112" s="64" t="s" ph="1">
        <v>544</v>
      </c>
      <c r="AV112" s="64" t="s" ph="1">
        <v>551</v>
      </c>
      <c r="AW112" s="64" t="s" ph="1">
        <v>338</v>
      </c>
      <c r="AX112" s="64" t="s" ph="1">
        <v>544</v>
      </c>
    </row>
    <row r="113" spans="33:52" ph="1">
      <c r="AH113" s="64" ph="1">
        <v>7</v>
      </c>
      <c r="AI113" s="64" t="s" ph="1">
        <v>552</v>
      </c>
      <c r="AJ113" s="64" t="s" ph="1">
        <v>633</v>
      </c>
      <c r="AK113" s="64" t="s" ph="1">
        <v>638</v>
      </c>
      <c r="AY113" s="64" t="s" ph="1">
        <v>260</v>
      </c>
      <c r="AZ113" s="64" t="s" ph="1">
        <v>638</v>
      </c>
    </row>
    <row r="114" spans="33:52" ph="1">
      <c r="AH114" s="64" ph="1">
        <v>8</v>
      </c>
      <c r="AI114" s="64" t="s" ph="1">
        <v>553</v>
      </c>
      <c r="AJ114" s="64" t="s" ph="1">
        <v>633</v>
      </c>
      <c r="AK114" s="64" t="s" ph="1">
        <v>639</v>
      </c>
      <c r="AY114" s="64" t="s" ph="1">
        <v>260</v>
      </c>
      <c r="AZ114" s="64" t="s" ph="1">
        <v>639</v>
      </c>
    </row>
    <row r="115" spans="33:52" ph="1">
      <c r="AH115" s="64" ph="1">
        <v>9</v>
      </c>
      <c r="AI115" s="64" t="s" ph="1">
        <v>554</v>
      </c>
      <c r="AJ115" s="64" t="s" ph="1">
        <v>633</v>
      </c>
      <c r="AK115" s="64" t="s" ph="1">
        <v>639</v>
      </c>
      <c r="AY115" s="64" t="s" ph="1">
        <v>260</v>
      </c>
      <c r="AZ115" s="64" t="s" ph="1">
        <v>639</v>
      </c>
    </row>
    <row r="116" spans="33:52" ph="1">
      <c r="AH116" s="64" ph="1">
        <v>10</v>
      </c>
      <c r="AI116" s="64" t="s" ph="1">
        <v>555</v>
      </c>
      <c r="AJ116" s="64" t="s" ph="1">
        <v>633</v>
      </c>
      <c r="AK116" s="64" t="s" ph="1">
        <v>639</v>
      </c>
      <c r="AY116" s="64" t="s" ph="1">
        <v>260</v>
      </c>
      <c r="AZ116" s="64" t="s" ph="1">
        <v>639</v>
      </c>
    </row>
    <row r="117" spans="33:52" ph="1">
      <c r="AH117" s="64" ph="1">
        <v>11</v>
      </c>
      <c r="AI117" s="64" t="s" ph="1">
        <v>556</v>
      </c>
      <c r="AJ117" s="64" t="s" ph="1">
        <v>633</v>
      </c>
      <c r="AK117" s="64" t="s" ph="1">
        <v>639</v>
      </c>
      <c r="AY117" s="64" t="s" ph="1">
        <v>260</v>
      </c>
      <c r="AZ117" s="64" t="s" ph="1">
        <v>639</v>
      </c>
    </row>
    <row r="118" spans="33:52" ph="1">
      <c r="AZ118" s="64" t="s" ph="1">
        <v>640</v>
      </c>
    </row>
    <row r="119" spans="33:52" ph="1">
      <c r="AI119" s="64" t="s" ph="1">
        <v>253</v>
      </c>
      <c r="AJ119" s="64" t="s" ph="1">
        <v>254</v>
      </c>
      <c r="AK119" s="64" t="s" ph="1">
        <v>255</v>
      </c>
      <c r="AM119" s="64" t="s" ph="1">
        <v>254</v>
      </c>
      <c r="AN119" s="64" t="s" ph="1">
        <v>255</v>
      </c>
      <c r="AO119" s="64" t="s" ph="1">
        <v>256</v>
      </c>
      <c r="AP119" s="64" t="s" ph="1">
        <v>254</v>
      </c>
      <c r="AQ119" s="64" t="s" ph="1">
        <v>255</v>
      </c>
      <c r="AR119" s="64" t="s" ph="1">
        <v>256</v>
      </c>
      <c r="AS119" s="64" t="s" ph="1">
        <v>254</v>
      </c>
      <c r="AT119" s="64" t="s" ph="1">
        <v>255</v>
      </c>
      <c r="AU119" s="64" t="s" ph="1">
        <v>256</v>
      </c>
      <c r="AV119" s="64" t="s" ph="1">
        <v>254</v>
      </c>
      <c r="AW119" s="64" t="s" ph="1">
        <v>255</v>
      </c>
      <c r="AX119" s="64" t="s" ph="1">
        <v>256</v>
      </c>
      <c r="AY119" s="64" t="s" ph="1">
        <v>255</v>
      </c>
      <c r="AZ119" s="64" t="s" ph="1">
        <v>257</v>
      </c>
    </row>
    <row r="120" spans="33:52" ph="1">
      <c r="AG120" s="64" t="s" ph="1">
        <v>397</v>
      </c>
      <c r="AH120" s="64" ph="1">
        <v>1</v>
      </c>
      <c r="AI120" s="64" t="s" ph="1">
        <v>557</v>
      </c>
      <c r="AJ120" s="64" t="s" ph="1">
        <v>631</v>
      </c>
      <c r="AK120" s="64" t="s" ph="1">
        <v>411</v>
      </c>
      <c r="AY120" s="64" t="s" ph="1">
        <v>260</v>
      </c>
      <c r="AZ120" s="64" t="s" ph="1">
        <v>411</v>
      </c>
    </row>
    <row r="121" spans="33:52" ph="1">
      <c r="AH121" s="64" ph="1">
        <v>2</v>
      </c>
      <c r="AI121" s="64" t="s" ph="1">
        <v>558</v>
      </c>
      <c r="AY121" s="64" t="s" ph="1">
        <v>260</v>
      </c>
      <c r="AZ121" s="64" t="s" ph="1">
        <v>411</v>
      </c>
    </row>
    <row r="122" spans="33:52" ph="1">
      <c r="AH122" s="64" ph="1">
        <v>3</v>
      </c>
      <c r="AI122" s="64" t="s" ph="1">
        <v>559</v>
      </c>
      <c r="AJ122" s="64" t="s" ph="1">
        <v>614</v>
      </c>
      <c r="AK122" s="64" t="s" ph="1">
        <v>626</v>
      </c>
      <c r="AM122" s="64" t="s" ph="1">
        <v>641</v>
      </c>
      <c r="AN122" s="64" t="s" ph="1">
        <v>634</v>
      </c>
      <c r="AO122" s="64" t="s" ph="1">
        <v>109</v>
      </c>
      <c r="AY122" s="64" t="s" ph="1">
        <v>260</v>
      </c>
      <c r="AZ122" s="64" t="s" ph="1">
        <v>623</v>
      </c>
    </row>
    <row r="123" spans="33:52" ph="1">
      <c r="AY123" s="64" t="s" ph="1">
        <v>260</v>
      </c>
      <c r="AZ123" s="64" t="s" ph="1">
        <v>623</v>
      </c>
    </row>
    <row r="124" spans="33:52" ph="1">
      <c r="AG124" s="64" t="s" ph="1">
        <v>400</v>
      </c>
      <c r="AH124" s="64" ph="1">
        <v>4</v>
      </c>
      <c r="AI124" s="64" t="s" ph="1">
        <v>560</v>
      </c>
      <c r="AJ124" s="64" t="s" ph="1">
        <v>561</v>
      </c>
      <c r="AK124" s="64" t="s" ph="1">
        <v>562</v>
      </c>
      <c r="AY124" s="64" t="s" ph="1">
        <v>260</v>
      </c>
      <c r="AZ124" s="64" t="s" ph="1">
        <v>562</v>
      </c>
    </row>
    <row r="125" spans="33:52" ph="1">
      <c r="AH125" s="64" ph="1">
        <v>5</v>
      </c>
      <c r="AI125" s="64" t="s" ph="1">
        <v>563</v>
      </c>
      <c r="AJ125" s="64" t="s" ph="1">
        <v>561</v>
      </c>
      <c r="AK125" s="64" t="s" ph="1">
        <v>562</v>
      </c>
      <c r="AY125" s="64" t="s" ph="1">
        <v>260</v>
      </c>
      <c r="AZ125" s="64" t="s" ph="1">
        <v>562</v>
      </c>
    </row>
    <row r="126" spans="33:52" ph="1">
      <c r="AH126" s="64" ph="1">
        <v>6</v>
      </c>
      <c r="AI126" s="64" t="s" ph="1">
        <v>564</v>
      </c>
      <c r="AJ126" s="64" t="s" ph="1">
        <v>633</v>
      </c>
      <c r="AK126" s="64" t="s" ph="1">
        <v>642</v>
      </c>
      <c r="AY126" s="64" t="s" ph="1">
        <v>260</v>
      </c>
      <c r="AZ126" s="64" t="s" ph="1">
        <v>642</v>
      </c>
    </row>
    <row r="127" spans="33:52" ph="1">
      <c r="AH127" s="64" ph="1">
        <v>7</v>
      </c>
      <c r="AI127" s="64" t="s" ph="1">
        <v>565</v>
      </c>
      <c r="AJ127" s="64" t="s" ph="1">
        <v>633</v>
      </c>
      <c r="AK127" s="64" t="s" ph="1">
        <v>643</v>
      </c>
      <c r="AY127" s="64" t="s" ph="1">
        <v>260</v>
      </c>
      <c r="AZ127" s="64" t="s" ph="1">
        <v>643</v>
      </c>
    </row>
    <row r="128" spans="33:52" ph="1">
      <c r="AH128" s="64" ph="1">
        <v>8</v>
      </c>
      <c r="AI128" s="64" t="s" ph="1">
        <v>566</v>
      </c>
      <c r="AY128" s="64" t="s" ph="1">
        <v>260</v>
      </c>
      <c r="AZ128" s="64" t="s" ph="1">
        <v>411</v>
      </c>
    </row>
    <row r="129" spans="33:52" ph="1">
      <c r="AH129" s="64" ph="1">
        <v>9</v>
      </c>
      <c r="AI129" s="64" t="s" ph="1">
        <v>567</v>
      </c>
      <c r="AY129" s="64" t="s" ph="1">
        <v>260</v>
      </c>
      <c r="AZ129" s="64" t="s" ph="1">
        <v>411</v>
      </c>
    </row>
    <row r="130" spans="33:52" ph="1">
      <c r="AH130" s="64" ph="1">
        <v>10</v>
      </c>
      <c r="AI130" s="64" t="s" ph="1">
        <v>568</v>
      </c>
      <c r="AY130" s="64" t="s" ph="1">
        <v>260</v>
      </c>
      <c r="AZ130" s="64" t="s" ph="1">
        <v>411</v>
      </c>
    </row>
    <row r="131" spans="33:52" ph="1">
      <c r="AH131" s="64" ph="1">
        <v>11</v>
      </c>
      <c r="AI131" s="64" t="s" ph="1">
        <v>569</v>
      </c>
      <c r="AJ131" s="64" t="s" ph="1">
        <v>627</v>
      </c>
      <c r="AK131" s="64" t="s" ph="1">
        <v>623</v>
      </c>
      <c r="AY131" s="64" t="s" ph="1">
        <v>260</v>
      </c>
      <c r="AZ131" s="64" t="s" ph="1">
        <v>623</v>
      </c>
    </row>
    <row r="132" spans="33:52" ph="1">
      <c r="AH132" s="64" ph="1">
        <v>12</v>
      </c>
      <c r="AI132" s="64" t="s" ph="1">
        <v>570</v>
      </c>
      <c r="AJ132" s="64" t="s" ph="1">
        <v>627</v>
      </c>
      <c r="AK132" s="64" t="s" ph="1">
        <v>562</v>
      </c>
      <c r="AY132" s="64" t="s" ph="1">
        <v>260</v>
      </c>
      <c r="AZ132" s="64" t="s" ph="1">
        <v>562</v>
      </c>
    </row>
    <row r="133" spans="33:52" ph="1">
      <c r="AH133" s="64" ph="1">
        <v>13</v>
      </c>
      <c r="AI133" s="64" t="s" ph="1">
        <v>571</v>
      </c>
      <c r="AJ133" s="64" t="s" ph="1">
        <v>627</v>
      </c>
      <c r="AK133" s="64" t="s" ph="1">
        <v>628</v>
      </c>
      <c r="AY133" s="64" t="s" ph="1">
        <v>260</v>
      </c>
      <c r="AZ133" s="64" t="s" ph="1">
        <v>628</v>
      </c>
    </row>
    <row r="134" spans="33:52" ph="1">
      <c r="AH134" s="64" ph="1">
        <v>14</v>
      </c>
      <c r="AI134" s="64" t="s" ph="1">
        <v>572</v>
      </c>
      <c r="AJ134" s="64" t="s" ph="1">
        <v>627</v>
      </c>
      <c r="AK134" s="64" t="s" ph="1">
        <v>629</v>
      </c>
      <c r="AY134" s="64" t="s" ph="1">
        <v>260</v>
      </c>
      <c r="AZ134" s="64" t="s" ph="1">
        <v>629</v>
      </c>
    </row>
    <row r="135" spans="33:52" ph="1">
      <c r="AH135" s="64" ph="1">
        <v>15</v>
      </c>
      <c r="AI135" s="64" t="s" ph="1">
        <v>573</v>
      </c>
      <c r="AJ135" s="64" t="s" ph="1">
        <v>627</v>
      </c>
      <c r="AK135" s="64" t="s" ph="1">
        <v>630</v>
      </c>
      <c r="AY135" s="64" t="s" ph="1">
        <v>260</v>
      </c>
      <c r="AZ135" s="64" t="s" ph="1">
        <v>630</v>
      </c>
    </row>
    <row r="136" spans="33:52" ph="1">
      <c r="AZ136" s="64" t="s" ph="1">
        <v>644</v>
      </c>
    </row>
    <row r="137" spans="33:52" ph="1">
      <c r="AG137" s="64" t="s" ph="1">
        <v>334</v>
      </c>
      <c r="AI137" s="64" t="s" ph="1">
        <v>253</v>
      </c>
      <c r="AJ137" s="64" t="s" ph="1">
        <v>254</v>
      </c>
      <c r="AK137" s="64" t="s" ph="1">
        <v>255</v>
      </c>
      <c r="AM137" s="64" t="s" ph="1">
        <v>254</v>
      </c>
      <c r="AN137" s="64" t="s" ph="1">
        <v>255</v>
      </c>
      <c r="AO137" s="64" t="s" ph="1">
        <v>256</v>
      </c>
      <c r="AP137" s="64" t="s" ph="1">
        <v>254</v>
      </c>
      <c r="AQ137" s="64" t="s" ph="1">
        <v>255</v>
      </c>
      <c r="AR137" s="64" t="s" ph="1">
        <v>256</v>
      </c>
      <c r="AS137" s="64" t="s" ph="1">
        <v>254</v>
      </c>
      <c r="AT137" s="64" t="s" ph="1">
        <v>255</v>
      </c>
      <c r="AU137" s="64" t="s" ph="1">
        <v>256</v>
      </c>
      <c r="AV137" s="64" t="s" ph="1">
        <v>254</v>
      </c>
      <c r="AW137" s="64" t="s" ph="1">
        <v>255</v>
      </c>
      <c r="AX137" s="64" t="s" ph="1">
        <v>256</v>
      </c>
      <c r="AY137" s="64" t="s" ph="1">
        <v>255</v>
      </c>
      <c r="AZ137" s="64" t="s" ph="1">
        <v>257</v>
      </c>
    </row>
    <row r="138" spans="33:52" ph="1">
      <c r="AH138" s="64" ph="1">
        <v>1</v>
      </c>
      <c r="AI138" s="64" t="s" ph="1">
        <v>574</v>
      </c>
      <c r="AJ138" s="64" t="s" ph="1">
        <v>575</v>
      </c>
      <c r="AK138" s="64" t="s" ph="1">
        <v>576</v>
      </c>
      <c r="AY138" s="64" t="s" ph="1">
        <v>260</v>
      </c>
      <c r="AZ138" s="64" t="s" ph="1">
        <v>576</v>
      </c>
    </row>
    <row r="139" spans="33:52" ph="1">
      <c r="AH139" s="64" ph="1">
        <v>2</v>
      </c>
      <c r="AI139" s="64" t="s" ph="1">
        <v>577</v>
      </c>
      <c r="AJ139" s="64" t="s" ph="1">
        <v>633</v>
      </c>
      <c r="AK139" s="64" t="s" ph="1">
        <v>645</v>
      </c>
      <c r="AY139" s="64" t="s" ph="1">
        <v>260</v>
      </c>
      <c r="AZ139" s="64" t="s" ph="1">
        <v>645</v>
      </c>
    </row>
    <row r="140" spans="33:52" ph="1">
      <c r="AH140" s="64" ph="1">
        <v>3</v>
      </c>
      <c r="AI140" s="64" t="s" ph="1">
        <v>578</v>
      </c>
      <c r="AJ140" s="64" t="s" ph="1">
        <v>531</v>
      </c>
      <c r="AK140" s="64" t="s" ph="1">
        <v>343</v>
      </c>
      <c r="AM140" s="64" t="s" ph="1">
        <v>532</v>
      </c>
      <c r="AN140" s="64" t="s" ph="1">
        <v>263</v>
      </c>
      <c r="AO140" s="64" t="s" ph="1">
        <v>579</v>
      </c>
      <c r="AP140" s="64" t="s" ph="1">
        <v>533</v>
      </c>
      <c r="AQ140" s="64" t="s" ph="1">
        <v>280</v>
      </c>
      <c r="AR140" s="64" t="s" ph="1">
        <v>579</v>
      </c>
      <c r="AS140" s="64" t="s" ph="1">
        <v>534</v>
      </c>
      <c r="AT140" s="64" t="s" ph="1">
        <v>273</v>
      </c>
      <c r="AU140" s="64" t="s" ph="1">
        <v>579</v>
      </c>
      <c r="AV140" s="64" t="s" ph="1">
        <v>535</v>
      </c>
      <c r="AW140" s="64" t="s" ph="1">
        <v>266</v>
      </c>
      <c r="AX140" s="64" t="s" ph="1">
        <v>579</v>
      </c>
      <c r="AY140" s="64" t="s" ph="1">
        <v>260</v>
      </c>
      <c r="AZ140" s="64" t="s" ph="1">
        <v>335</v>
      </c>
    </row>
    <row r="141" spans="33:52" ph="1">
      <c r="AJ141" s="64" t="s" ph="1">
        <v>537</v>
      </c>
      <c r="AK141" s="64" t="s" ph="1">
        <v>266</v>
      </c>
      <c r="AM141" s="64" t="s" ph="1">
        <v>538</v>
      </c>
      <c r="AN141" s="64" t="s" ph="1">
        <v>269</v>
      </c>
      <c r="AO141" s="64" t="s" ph="1">
        <v>579</v>
      </c>
      <c r="AP141" s="64" t="s" ph="1">
        <v>550</v>
      </c>
      <c r="AQ141" s="64" t="s" ph="1">
        <v>338</v>
      </c>
      <c r="AR141" s="64" t="s" ph="1">
        <v>579</v>
      </c>
      <c r="AS141" s="64" t="s" ph="1">
        <v>542</v>
      </c>
      <c r="AT141" s="64" t="s" ph="1">
        <v>266</v>
      </c>
      <c r="AU141" s="64" t="s" ph="1">
        <v>579</v>
      </c>
      <c r="AV141" s="64" t="s" ph="1">
        <v>378</v>
      </c>
      <c r="AW141" s="64" t="s" ph="1">
        <v>272</v>
      </c>
      <c r="AX141" s="64" t="s" ph="1">
        <v>579</v>
      </c>
    </row>
    <row r="142" spans="33:52" ph="1">
      <c r="AJ142" s="64" t="s" ph="1">
        <v>580</v>
      </c>
      <c r="AK142" s="64" t="s" ph="1">
        <v>283</v>
      </c>
    </row>
    <row r="143" spans="33:52" ph="1">
      <c r="AH143" s="64" ph="1">
        <v>4</v>
      </c>
      <c r="AI143" s="64" t="s" ph="1">
        <v>581</v>
      </c>
      <c r="AJ143" s="64" t="s" ph="1">
        <v>561</v>
      </c>
      <c r="AK143" s="64" t="s" ph="1">
        <v>582</v>
      </c>
      <c r="AY143" s="64" t="s" ph="1">
        <v>260</v>
      </c>
      <c r="AZ143" s="64" t="s" ph="1">
        <v>582</v>
      </c>
    </row>
    <row r="144" spans="33:52" ph="1">
      <c r="AH144" s="64" ph="1">
        <v>5</v>
      </c>
      <c r="AI144" s="64" t="s" ph="1">
        <v>583</v>
      </c>
      <c r="AY144" s="64" t="s" ph="1">
        <v>260</v>
      </c>
      <c r="AZ144" s="64" t="s" ph="1">
        <v>411</v>
      </c>
    </row>
    <row r="145" spans="33:52" ph="1">
      <c r="AH145" s="64" ph="1">
        <v>6</v>
      </c>
      <c r="AI145" s="64" t="s" ph="1">
        <v>584</v>
      </c>
      <c r="AY145" s="64" t="s" ph="1">
        <v>260</v>
      </c>
      <c r="AZ145" s="64" t="s" ph="1">
        <v>411</v>
      </c>
    </row>
    <row r="146" spans="33:52" ph="1">
      <c r="AH146" s="64" ph="1">
        <v>7</v>
      </c>
      <c r="AI146" s="64" t="s" ph="1">
        <v>585</v>
      </c>
      <c r="AY146" s="64" t="s" ph="1">
        <v>260</v>
      </c>
      <c r="AZ146" s="64" t="s" ph="1">
        <v>411</v>
      </c>
    </row>
    <row r="147" spans="33:52" ph="1">
      <c r="AH147" s="64" ph="1">
        <v>8</v>
      </c>
      <c r="AI147" s="64" t="s" ph="1">
        <v>586</v>
      </c>
      <c r="AY147" s="64" t="s" ph="1">
        <v>260</v>
      </c>
      <c r="AZ147" s="64" t="s" ph="1">
        <v>411</v>
      </c>
    </row>
    <row r="148" spans="33:52" ph="1">
      <c r="AH148" s="64" ph="1">
        <v>9</v>
      </c>
      <c r="AI148" s="64" t="s" ph="1">
        <v>587</v>
      </c>
      <c r="AY148" s="64" t="s" ph="1">
        <v>260</v>
      </c>
      <c r="AZ148" s="64" t="s" ph="1">
        <v>411</v>
      </c>
    </row>
    <row r="149" spans="33:52" ph="1">
      <c r="AH149" s="64" ph="1">
        <v>10</v>
      </c>
      <c r="AI149" s="64" t="s" ph="1">
        <v>588</v>
      </c>
      <c r="AY149" s="64" t="s" ph="1">
        <v>260</v>
      </c>
      <c r="AZ149" s="64" t="s" ph="1">
        <v>411</v>
      </c>
    </row>
    <row r="150" spans="33:52" ph="1">
      <c r="AH150" s="64" ph="1">
        <v>11</v>
      </c>
      <c r="AI150" s="64" t="s" ph="1">
        <v>589</v>
      </c>
      <c r="AY150" s="64" t="s" ph="1">
        <v>260</v>
      </c>
      <c r="AZ150" s="64" t="s" ph="1">
        <v>411</v>
      </c>
    </row>
    <row r="151" spans="33:52" ph="1">
      <c r="AH151" s="64" ph="1">
        <v>12</v>
      </c>
      <c r="AI151" s="64" t="s" ph="1">
        <v>590</v>
      </c>
      <c r="AY151" s="64" t="s" ph="1">
        <v>260</v>
      </c>
      <c r="AZ151" s="64" t="s" ph="1">
        <v>411</v>
      </c>
    </row>
    <row r="152" spans="33:52" ph="1">
      <c r="AH152" s="64" ph="1">
        <v>13</v>
      </c>
      <c r="AI152" s="64" t="s" ph="1">
        <v>591</v>
      </c>
      <c r="AY152" s="64" t="s" ph="1">
        <v>260</v>
      </c>
      <c r="AZ152" s="64" t="s" ph="1">
        <v>411</v>
      </c>
    </row>
    <row r="153" spans="33:52" ph="1">
      <c r="AH153" s="64" ph="1">
        <v>14</v>
      </c>
      <c r="AI153" s="64" t="s" ph="1">
        <v>592</v>
      </c>
      <c r="AY153" s="64" t="s" ph="1">
        <v>260</v>
      </c>
      <c r="AZ153" s="64" t="s" ph="1">
        <v>411</v>
      </c>
    </row>
    <row r="154" spans="33:52" ph="1">
      <c r="AH154" s="64" ph="1">
        <v>15</v>
      </c>
      <c r="AI154" s="64" t="s" ph="1">
        <v>593</v>
      </c>
      <c r="AY154" s="64" t="s" ph="1">
        <v>260</v>
      </c>
      <c r="AZ154" s="64" t="s" ph="1">
        <v>411</v>
      </c>
    </row>
    <row r="155" spans="33:52" ph="1">
      <c r="AH155" s="64" ph="1">
        <v>16</v>
      </c>
      <c r="AI155" s="64" t="s" ph="1">
        <v>594</v>
      </c>
      <c r="AJ155" s="64" t="s" ph="1">
        <v>380</v>
      </c>
      <c r="AK155" s="64" t="s" ph="1">
        <v>275</v>
      </c>
      <c r="AM155" s="64" t="s" ph="1">
        <v>614</v>
      </c>
      <c r="AN155" s="64" t="s" ph="1">
        <v>326</v>
      </c>
      <c r="AO155" s="64" t="s" ph="1">
        <v>579</v>
      </c>
      <c r="AY155" s="64" t="s" ph="1">
        <v>260</v>
      </c>
      <c r="AZ155" s="64" t="s" ph="1">
        <v>267</v>
      </c>
    </row>
    <row r="156" spans="33:52" ph="1">
      <c r="AZ156" s="64" t="s" ph="1">
        <v>646</v>
      </c>
    </row>
    <row r="157" spans="33:52" ph="1">
      <c r="AG157" s="64" t="s" ph="1">
        <v>595</v>
      </c>
      <c r="AI157" s="64" t="s" ph="1">
        <v>253</v>
      </c>
      <c r="AJ157" s="64" t="s" ph="1">
        <v>254</v>
      </c>
      <c r="AK157" s="64" t="s" ph="1">
        <v>255</v>
      </c>
      <c r="AM157" s="64" t="s" ph="1">
        <v>254</v>
      </c>
      <c r="AN157" s="64" t="s" ph="1">
        <v>255</v>
      </c>
      <c r="AO157" s="64" t="s" ph="1">
        <v>256</v>
      </c>
      <c r="AP157" s="64" t="s" ph="1">
        <v>254</v>
      </c>
      <c r="AQ157" s="64" t="s" ph="1">
        <v>255</v>
      </c>
      <c r="AR157" s="64" t="s" ph="1">
        <v>256</v>
      </c>
      <c r="AS157" s="64" t="s" ph="1">
        <v>254</v>
      </c>
      <c r="AT157" s="64" t="s" ph="1">
        <v>255</v>
      </c>
      <c r="AU157" s="64" t="s" ph="1">
        <v>256</v>
      </c>
      <c r="AV157" s="64" t="s" ph="1">
        <v>254</v>
      </c>
      <c r="AW157" s="64" t="s" ph="1">
        <v>255</v>
      </c>
      <c r="AX157" s="64" t="s" ph="1">
        <v>256</v>
      </c>
      <c r="AY157" s="64" t="s" ph="1">
        <v>255</v>
      </c>
      <c r="AZ157" s="64" t="s" ph="1">
        <v>257</v>
      </c>
    </row>
    <row r="158" spans="33:52" ph="1">
      <c r="AH158" s="64" ph="1">
        <v>1</v>
      </c>
      <c r="AI158" s="64" t="s" ph="1">
        <v>596</v>
      </c>
      <c r="AY158" s="64" t="s" ph="1">
        <v>260</v>
      </c>
      <c r="AZ158" s="64" t="s" ph="1">
        <v>411</v>
      </c>
    </row>
    <row r="159" spans="33:52" ph="1">
      <c r="AH159" s="64" ph="1">
        <v>2</v>
      </c>
      <c r="AI159" s="64" t="s" ph="1">
        <v>597</v>
      </c>
      <c r="AY159" s="64" t="s" ph="1">
        <v>260</v>
      </c>
      <c r="AZ159" s="64" t="s" ph="1">
        <v>411</v>
      </c>
    </row>
    <row r="160" spans="33:52" ph="1">
      <c r="AZ160" s="64" t="s" ph="1">
        <v>429</v>
      </c>
    </row>
    <row r="161" spans="33:52" ph="1">
      <c r="AG161" s="64" t="s" ph="1">
        <v>405</v>
      </c>
      <c r="AI161" s="64" t="s" ph="1">
        <v>253</v>
      </c>
      <c r="AJ161" s="64" t="s" ph="1">
        <v>254</v>
      </c>
      <c r="AK161" s="64" t="s" ph="1">
        <v>255</v>
      </c>
      <c r="AM161" s="64" t="s" ph="1">
        <v>254</v>
      </c>
      <c r="AN161" s="64" t="s" ph="1">
        <v>255</v>
      </c>
      <c r="AO161" s="64" t="s" ph="1">
        <v>256</v>
      </c>
      <c r="AP161" s="64" t="s" ph="1">
        <v>254</v>
      </c>
      <c r="AQ161" s="64" t="s" ph="1">
        <v>255</v>
      </c>
      <c r="AR161" s="64" t="s" ph="1">
        <v>256</v>
      </c>
      <c r="AS161" s="64" t="s" ph="1">
        <v>254</v>
      </c>
      <c r="AT161" s="64" t="s" ph="1">
        <v>255</v>
      </c>
      <c r="AU161" s="64" t="s" ph="1">
        <v>256</v>
      </c>
      <c r="AV161" s="64" t="s" ph="1">
        <v>254</v>
      </c>
      <c r="AW161" s="64" t="s" ph="1">
        <v>255</v>
      </c>
      <c r="AX161" s="64" t="s" ph="1">
        <v>256</v>
      </c>
      <c r="AY161" s="64" t="s" ph="1">
        <v>255</v>
      </c>
      <c r="AZ161" s="64" t="s" ph="1">
        <v>257</v>
      </c>
    </row>
    <row r="162" spans="33:52" ph="1">
      <c r="AH162" s="64" ph="1">
        <v>1</v>
      </c>
      <c r="AI162" s="64" t="s" ph="1">
        <v>598</v>
      </c>
      <c r="AJ162" s="64" t="s" ph="1">
        <v>599</v>
      </c>
      <c r="AK162" s="64" t="s" ph="1">
        <v>543</v>
      </c>
      <c r="AM162" s="64" t="s" ph="1">
        <v>600</v>
      </c>
      <c r="AN162" s="64" t="s" ph="1">
        <v>264</v>
      </c>
      <c r="AO162" s="64" t="s" ph="1">
        <v>601</v>
      </c>
      <c r="AY162" s="64" t="s" ph="1">
        <v>260</v>
      </c>
      <c r="AZ162" s="64" t="s" ph="1">
        <v>336</v>
      </c>
    </row>
    <row r="163" spans="33:52" ph="1">
      <c r="AH163" s="64" ph="1">
        <v>2</v>
      </c>
      <c r="AI163" s="64" t="s" ph="1">
        <v>602</v>
      </c>
      <c r="AJ163" s="64" t="s" ph="1">
        <v>599</v>
      </c>
      <c r="AK163" s="64" t="s" ph="1">
        <v>432</v>
      </c>
      <c r="AY163" s="64" t="s" ph="1">
        <v>260</v>
      </c>
      <c r="AZ163" s="64" t="s" ph="1">
        <v>432</v>
      </c>
    </row>
    <row r="164" spans="33:52" ph="1">
      <c r="AH164" s="64" ph="1">
        <v>3</v>
      </c>
      <c r="AI164" s="64" t="s" ph="1">
        <v>603</v>
      </c>
      <c r="AJ164" s="64" t="s" ph="1">
        <v>599</v>
      </c>
      <c r="AK164" s="64" t="s" ph="1">
        <v>336</v>
      </c>
      <c r="AY164" s="64" t="s" ph="1">
        <v>260</v>
      </c>
      <c r="AZ164" s="64" t="s" ph="1">
        <v>336</v>
      </c>
    </row>
    <row r="165" spans="33:52" ph="1">
      <c r="AH165" s="64" ph="1">
        <v>4</v>
      </c>
      <c r="AI165" s="64" t="s" ph="1">
        <v>604</v>
      </c>
      <c r="AY165" s="64" t="s" ph="1">
        <v>260</v>
      </c>
      <c r="AZ165" s="64" t="s" ph="1">
        <v>411</v>
      </c>
    </row>
    <row r="166" spans="33:52" ph="1">
      <c r="AH166" s="64" ph="1">
        <v>5</v>
      </c>
      <c r="AI166" s="64" t="s" ph="1">
        <v>605</v>
      </c>
      <c r="AY166" s="64" t="s" ph="1">
        <v>260</v>
      </c>
      <c r="AZ166" s="64" t="s" ph="1">
        <v>411</v>
      </c>
    </row>
    <row r="167" spans="33:52" ph="1">
      <c r="AZ167" s="64" t="s" ph="1">
        <v>606</v>
      </c>
    </row>
    <row r="168" spans="33:52" ph="1">
      <c r="AG168" s="64" t="s" ph="1">
        <v>349</v>
      </c>
      <c r="AI168" s="64" t="s" ph="1">
        <v>253</v>
      </c>
      <c r="AJ168" s="64" t="s" ph="1">
        <v>254</v>
      </c>
      <c r="AK168" s="64" t="s" ph="1">
        <v>255</v>
      </c>
      <c r="AM168" s="64" t="s" ph="1">
        <v>254</v>
      </c>
      <c r="AN168" s="64" t="s" ph="1">
        <v>255</v>
      </c>
      <c r="AO168" s="64" t="s" ph="1">
        <v>256</v>
      </c>
      <c r="AP168" s="64" t="s" ph="1">
        <v>254</v>
      </c>
      <c r="AQ168" s="64" t="s" ph="1">
        <v>255</v>
      </c>
      <c r="AR168" s="64" t="s" ph="1">
        <v>256</v>
      </c>
      <c r="AS168" s="64" t="s" ph="1">
        <v>254</v>
      </c>
      <c r="AT168" s="64" t="s" ph="1">
        <v>255</v>
      </c>
      <c r="AU168" s="64" t="s" ph="1">
        <v>256</v>
      </c>
      <c r="AV168" s="64" t="s" ph="1">
        <v>254</v>
      </c>
      <c r="AW168" s="64" t="s" ph="1">
        <v>255</v>
      </c>
      <c r="AX168" s="64" t="s" ph="1">
        <v>256</v>
      </c>
      <c r="AY168" s="64" t="s" ph="1">
        <v>255</v>
      </c>
      <c r="AZ168" s="64" t="s" ph="1">
        <v>257</v>
      </c>
    </row>
    <row r="169" spans="33:52" ph="1">
      <c r="AH169" s="64" ph="1">
        <v>1</v>
      </c>
      <c r="AI169" s="64" t="s" ph="1">
        <v>607</v>
      </c>
      <c r="AY169" s="64" t="s" ph="1">
        <v>260</v>
      </c>
      <c r="AZ169" s="64" t="s" ph="1">
        <v>411</v>
      </c>
    </row>
    <row r="170" spans="33:52" ph="1">
      <c r="AH170" s="64" ph="1">
        <v>2</v>
      </c>
      <c r="AI170" s="64" t="s" ph="1">
        <v>608</v>
      </c>
      <c r="AY170" s="64" t="s" ph="1">
        <v>260</v>
      </c>
      <c r="AZ170" s="64" t="s" ph="1">
        <v>411</v>
      </c>
    </row>
    <row r="171" spans="33:52" ph="1">
      <c r="AH171" s="64" ph="1">
        <v>3</v>
      </c>
      <c r="AI171" s="64" t="s" ph="1">
        <v>609</v>
      </c>
      <c r="AY171" s="64" t="s" ph="1">
        <v>260</v>
      </c>
      <c r="AZ171" s="64" t="s" ph="1">
        <v>411</v>
      </c>
    </row>
    <row r="172" spans="33:52" ph="1">
      <c r="AH172" s="64" ph="1">
        <v>4</v>
      </c>
      <c r="AI172" s="64" t="s" ph="1">
        <v>610</v>
      </c>
      <c r="AY172" s="64" t="s" ph="1">
        <v>260</v>
      </c>
      <c r="AZ172" s="64" t="s" ph="1">
        <v>411</v>
      </c>
    </row>
    <row r="173" spans="33:52" ph="1">
      <c r="AH173" s="64" ph="1">
        <v>5</v>
      </c>
      <c r="AI173" s="64" t="s" ph="1">
        <v>611</v>
      </c>
      <c r="AY173" s="64" t="s" ph="1">
        <v>260</v>
      </c>
      <c r="AZ173" s="64" t="s" ph="1">
        <v>411</v>
      </c>
    </row>
    <row r="174" spans="33:52" ph="1">
      <c r="AZ174" s="64" t="s" ph="1">
        <v>429</v>
      </c>
    </row>
    <row r="175" spans="33:52" ph="1">
      <c r="AJ175" s="64" t="s" ph="1">
        <v>350</v>
      </c>
    </row>
    <row r="176" spans="33:52" ph="1">
      <c r="AJ176" s="64" t="s" ph="1">
        <v>351</v>
      </c>
      <c r="AK176" s="64" t="s" ph="1">
        <v>352</v>
      </c>
      <c r="AM176" s="64" t="s" ph="1">
        <v>353</v>
      </c>
      <c r="AO176" s="64" t="s" ph="1">
        <v>354</v>
      </c>
      <c r="AP176" s="64" t="s" ph="1">
        <v>355</v>
      </c>
      <c r="AQ176" s="64" t="s" ph="1">
        <v>345</v>
      </c>
      <c r="AR176" s="64" t="s" ph="1">
        <v>265</v>
      </c>
    </row>
    <row r="177" spans="36:56" ph="1">
      <c r="AJ177" s="64" t="s" ph="1">
        <v>647</v>
      </c>
      <c r="AK177" s="64" t="s" ph="1">
        <v>356</v>
      </c>
      <c r="AO177" s="64" t="s" ph="1">
        <v>356</v>
      </c>
      <c r="AP177" s="64" t="s" ph="1">
        <v>356</v>
      </c>
      <c r="AQ177" s="64" t="s" ph="1">
        <v>357</v>
      </c>
      <c r="AR177" s="64" t="s" ph="1">
        <v>358</v>
      </c>
    </row>
    <row r="179" spans="36:56" ph="1">
      <c r="AJ179" s="64" t="s" ph="1">
        <v>359</v>
      </c>
      <c r="AK179" s="64" t="s" ph="1">
        <v>360</v>
      </c>
      <c r="AM179" s="64" t="s" ph="1">
        <v>361</v>
      </c>
      <c r="AN179" s="64" t="s" ph="1">
        <v>337</v>
      </c>
      <c r="AO179" s="64" t="s" ph="1">
        <v>362</v>
      </c>
      <c r="AP179" s="64" t="s" ph="1">
        <v>341</v>
      </c>
      <c r="AQ179" s="64" t="s" ph="1">
        <v>363</v>
      </c>
      <c r="AR179" s="64" t="s" ph="1">
        <v>364</v>
      </c>
    </row>
    <row r="180" spans="36:56" ph="1">
      <c r="AJ180" s="64" t="s" ph="1">
        <v>356</v>
      </c>
      <c r="AK180" s="64" t="s" ph="1">
        <v>356</v>
      </c>
      <c r="AL180" s="64" ph="1">
        <v>116</v>
      </c>
      <c r="AM180" s="64" t="s" ph="1">
        <v>356</v>
      </c>
      <c r="AN180" s="64" t="s" ph="1">
        <v>365</v>
      </c>
      <c r="AO180" s="64" t="s" ph="1">
        <v>356</v>
      </c>
      <c r="AP180" s="64" t="s" ph="1">
        <v>366</v>
      </c>
      <c r="AQ180" s="64" t="s" ph="1">
        <v>367</v>
      </c>
      <c r="AR180" s="64" t="s" ph="1">
        <v>368</v>
      </c>
    </row>
    <row r="189" spans="36:56" ph="1">
      <c r="BD189" s="64" t="s" ph="1">
        <v>612</v>
      </c>
    </row>
    <row r="223" spans="18:18" ph="1">
      <c r="R223" s="138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317" priority="92">
      <formula>ABS(D$7-D$10)&gt;=1000</formula>
    </cfRule>
  </conditionalFormatting>
  <conditionalFormatting sqref="E4 E6:E11">
    <cfRule type="expression" dxfId="2316" priority="91">
      <formula>ABS(E$7-E$10)&gt;=1000</formula>
    </cfRule>
  </conditionalFormatting>
  <conditionalFormatting sqref="F4:F11">
    <cfRule type="expression" dxfId="2315" priority="90">
      <formula>ABS(F$7-F$10)&gt;=1000</formula>
    </cfRule>
  </conditionalFormatting>
  <conditionalFormatting sqref="G4:G11">
    <cfRule type="expression" dxfId="2314" priority="89">
      <formula>ABS(G$7-G$10)&gt;=1000</formula>
    </cfRule>
  </conditionalFormatting>
  <conditionalFormatting sqref="H4:H11">
    <cfRule type="expression" dxfId="2313" priority="88">
      <formula>ABS(H$7-H$10)&gt;=1000</formula>
    </cfRule>
  </conditionalFormatting>
  <conditionalFormatting sqref="I4:I11">
    <cfRule type="expression" dxfId="2312" priority="87">
      <formula>ABS(I$7-I$10)&gt;=1000</formula>
    </cfRule>
  </conditionalFormatting>
  <conditionalFormatting sqref="J4:J11">
    <cfRule type="expression" dxfId="2311" priority="86">
      <formula>ABS(J$7-J$10)&gt;=1000</formula>
    </cfRule>
  </conditionalFormatting>
  <conditionalFormatting sqref="K4:K11">
    <cfRule type="expression" dxfId="2310" priority="85">
      <formula>ABS(K$7-K$10)&gt;=1000</formula>
    </cfRule>
  </conditionalFormatting>
  <conditionalFormatting sqref="L4:L11">
    <cfRule type="expression" dxfId="2309" priority="84">
      <formula>ABS(L$7-L$10)&gt;=1000</formula>
    </cfRule>
  </conditionalFormatting>
  <conditionalFormatting sqref="M4:M11">
    <cfRule type="expression" dxfId="2308" priority="83">
      <formula>ABS(M$7-M$10)&gt;=1000</formula>
    </cfRule>
  </conditionalFormatting>
  <conditionalFormatting sqref="N4:N11">
    <cfRule type="expression" dxfId="2307" priority="82">
      <formula>ABS(N$7-N$10)&gt;=1000</formula>
    </cfRule>
  </conditionalFormatting>
  <conditionalFormatting sqref="O4:O11">
    <cfRule type="expression" dxfId="2306" priority="81">
      <formula>ABS(O$7-O$10)&gt;=1000</formula>
    </cfRule>
  </conditionalFormatting>
  <conditionalFormatting sqref="P4:P11">
    <cfRule type="expression" dxfId="2305" priority="80">
      <formula>ABS(P$7-P$10)&gt;=1000</formula>
    </cfRule>
  </conditionalFormatting>
  <conditionalFormatting sqref="Q4:Q11">
    <cfRule type="expression" dxfId="2304" priority="79">
      <formula>ABS(Q$7-Q$10)&gt;=1000</formula>
    </cfRule>
  </conditionalFormatting>
  <conditionalFormatting sqref="R4:R11">
    <cfRule type="expression" dxfId="2303" priority="78">
      <formula>ABS(R$7-R$10)&gt;=1000</formula>
    </cfRule>
  </conditionalFormatting>
  <conditionalFormatting sqref="S4:S11">
    <cfRule type="expression" dxfId="2302" priority="77">
      <formula>ABS(S$7-S$10)&gt;=1000</formula>
    </cfRule>
  </conditionalFormatting>
  <conditionalFormatting sqref="T4:T9 T11">
    <cfRule type="expression" dxfId="2301" priority="76">
      <formula>ABS(T$7-T$10)&gt;=1000</formula>
    </cfRule>
  </conditionalFormatting>
  <conditionalFormatting sqref="U4:U9 U11">
    <cfRule type="expression" dxfId="2300" priority="75">
      <formula>ABS(U$7-U$10)&gt;=1000</formula>
    </cfRule>
  </conditionalFormatting>
  <conditionalFormatting sqref="V4:V9 V11">
    <cfRule type="expression" dxfId="2299" priority="74">
      <formula>ABS(V$7-V$10)&gt;=1000</formula>
    </cfRule>
  </conditionalFormatting>
  <conditionalFormatting sqref="W4:W9 W11">
    <cfRule type="expression" dxfId="2298" priority="73">
      <formula>ABS(W$7-W$10)&gt;=1000</formula>
    </cfRule>
  </conditionalFormatting>
  <conditionalFormatting sqref="X4:X9 X11">
    <cfRule type="expression" dxfId="2297" priority="72">
      <formula>ABS(X$7-X$10)&gt;=1000</formula>
    </cfRule>
  </conditionalFormatting>
  <conditionalFormatting sqref="Y4:Y9 Y11">
    <cfRule type="expression" dxfId="2296" priority="71">
      <formula>ABS(Y$7-Y$10)&gt;=1000</formula>
    </cfRule>
  </conditionalFormatting>
  <conditionalFormatting sqref="Z4:Z11">
    <cfRule type="expression" dxfId="2295" priority="70">
      <formula>ABS(Z$7-Z$10)&gt;=1000</formula>
    </cfRule>
  </conditionalFormatting>
  <conditionalFormatting sqref="AA4:AA11">
    <cfRule type="expression" dxfId="2294" priority="69">
      <formula>ABS(AA$7-AA$10)&gt;=1000</formula>
    </cfRule>
  </conditionalFormatting>
  <conditionalFormatting sqref="AB4:AB11">
    <cfRule type="expression" dxfId="2293" priority="68">
      <formula>ABS(AB$7-AB$10)&gt;=1000</formula>
    </cfRule>
  </conditionalFormatting>
  <conditionalFormatting sqref="AC4 AC6:AC11">
    <cfRule type="expression" dxfId="2292" priority="67">
      <formula>ABS(AC$7-AC$10)&gt;=1000</formula>
    </cfRule>
  </conditionalFormatting>
  <conditionalFormatting sqref="AD4:AD11">
    <cfRule type="expression" dxfId="2291" priority="66">
      <formula>ABS(AD$7-AD$10)&gt;=1000</formula>
    </cfRule>
  </conditionalFormatting>
  <conditionalFormatting sqref="AE4:AE11">
    <cfRule type="expression" dxfId="2290" priority="65">
      <formula>ABS(AE$7-AE$10)&gt;=1000</formula>
    </cfRule>
  </conditionalFormatting>
  <conditionalFormatting sqref="D13:D20">
    <cfRule type="expression" dxfId="2289" priority="64">
      <formula>ABS(D$16-D$19)&gt;=1000</formula>
    </cfRule>
  </conditionalFormatting>
  <conditionalFormatting sqref="E13:E20">
    <cfRule type="expression" dxfId="2288" priority="63">
      <formula>ABS(E$16-E$19)&gt;=1000</formula>
    </cfRule>
  </conditionalFormatting>
  <conditionalFormatting sqref="F13 F15:F20">
    <cfRule type="expression" dxfId="2287" priority="62">
      <formula>ABS(F$16-F$19)&gt;=1000</formula>
    </cfRule>
  </conditionalFormatting>
  <conditionalFormatting sqref="G13:G20">
    <cfRule type="expression" dxfId="2286" priority="61">
      <formula>ABS(G$16-G$19)&gt;=1000</formula>
    </cfRule>
  </conditionalFormatting>
  <conditionalFormatting sqref="H13:H20">
    <cfRule type="expression" dxfId="2285" priority="60">
      <formula>ABS(H$16-H$19)&gt;=1000</formula>
    </cfRule>
  </conditionalFormatting>
  <conditionalFormatting sqref="I13:I20">
    <cfRule type="expression" dxfId="2284" priority="59">
      <formula>ABS(I$16-I$19)&gt;=1000</formula>
    </cfRule>
  </conditionalFormatting>
  <conditionalFormatting sqref="J13:J20">
    <cfRule type="expression" dxfId="2283" priority="58">
      <formula>ABS(J$16-J$19)&gt;=1000</formula>
    </cfRule>
  </conditionalFormatting>
  <conditionalFormatting sqref="L13:L20">
    <cfRule type="expression" dxfId="2282" priority="57">
      <formula>ABS(L$16-L$19)&gt;=1000</formula>
    </cfRule>
  </conditionalFormatting>
  <conditionalFormatting sqref="M13 M15 M17:M18 M20">
    <cfRule type="expression" dxfId="2281" priority="56">
      <formula>ABS(M$16-M$19)&gt;=1000</formula>
    </cfRule>
  </conditionalFormatting>
  <conditionalFormatting sqref="N13:N20">
    <cfRule type="expression" dxfId="2280" priority="55">
      <formula>ABS(N$16-N$19)&gt;=1000</formula>
    </cfRule>
  </conditionalFormatting>
  <conditionalFormatting sqref="O13:O20">
    <cfRule type="expression" dxfId="2279" priority="54">
      <formula>ABS(O$16-O$19)&gt;=1000</formula>
    </cfRule>
  </conditionalFormatting>
  <conditionalFormatting sqref="P13:P20">
    <cfRule type="expression" dxfId="2278" priority="53">
      <formula>ABS(P$16-P$19)&gt;=1000</formula>
    </cfRule>
  </conditionalFormatting>
  <conditionalFormatting sqref="Q13 Q15:Q20">
    <cfRule type="expression" dxfId="2277" priority="52">
      <formula>ABS(Q$16-Q$19)&gt;=1000</formula>
    </cfRule>
  </conditionalFormatting>
  <conditionalFormatting sqref="R13:R20">
    <cfRule type="expression" dxfId="2276" priority="51">
      <formula>ABS(R$16-R$19)&gt;=1000</formula>
    </cfRule>
  </conditionalFormatting>
  <conditionalFormatting sqref="S13:S20">
    <cfRule type="expression" dxfId="2275" priority="50">
      <formula>ABS(S$16-S$19)&gt;=1000</formula>
    </cfRule>
  </conditionalFormatting>
  <conditionalFormatting sqref="T13:T20">
    <cfRule type="expression" dxfId="2274" priority="49">
      <formula>ABS(T$16-T$19)&gt;=1000</formula>
    </cfRule>
  </conditionalFormatting>
  <conditionalFormatting sqref="U13:U20">
    <cfRule type="expression" dxfId="2273" priority="48">
      <formula>ABS(U$16-U$19)&gt;=1000</formula>
    </cfRule>
  </conditionalFormatting>
  <conditionalFormatting sqref="V13:V20">
    <cfRule type="expression" dxfId="2272" priority="47">
      <formula>ABS(V$16-V$19)&gt;=1000</formula>
    </cfRule>
  </conditionalFormatting>
  <conditionalFormatting sqref="W13 W15:W18 W20">
    <cfRule type="expression" dxfId="2271" priority="46">
      <formula>ABS(W$16-W$19)&gt;=1000</formula>
    </cfRule>
  </conditionalFormatting>
  <conditionalFormatting sqref="X13 X15:X20 Y19">
    <cfRule type="expression" dxfId="2270" priority="45">
      <formula>ABS(X$16-X$19)&gt;=1000</formula>
    </cfRule>
  </conditionalFormatting>
  <conditionalFormatting sqref="Y13 Y15:Y18 Y20">
    <cfRule type="expression" dxfId="2269" priority="44">
      <formula>ABS(Y$16-Y$19)&gt;=1000</formula>
    </cfRule>
  </conditionalFormatting>
  <conditionalFormatting sqref="Z13:Z20">
    <cfRule type="expression" dxfId="2268" priority="43">
      <formula>ABS(Z$16-Z$19)&gt;=1000</formula>
    </cfRule>
  </conditionalFormatting>
  <conditionalFormatting sqref="AA13:AA20">
    <cfRule type="expression" dxfId="2267" priority="42">
      <formula>ABS(AA$16-AA$19)&gt;=1000</formula>
    </cfRule>
  </conditionalFormatting>
  <conditionalFormatting sqref="AB13 AB15:AB20">
    <cfRule type="expression" dxfId="2266" priority="41">
      <formula>ABS(AB$16-AB$19)&gt;=1000</formula>
    </cfRule>
  </conditionalFormatting>
  <conditionalFormatting sqref="AC13 AC15:AC20">
    <cfRule type="expression" dxfId="2265" priority="40">
      <formula>ABS(AC$16-AC$19)&gt;=1000</formula>
    </cfRule>
  </conditionalFormatting>
  <conditionalFormatting sqref="AD13:AD20">
    <cfRule type="expression" dxfId="2264" priority="39">
      <formula>ABS(AD$16-AD$19)&gt;=1000</formula>
    </cfRule>
  </conditionalFormatting>
  <conditionalFormatting sqref="AE13:AE20">
    <cfRule type="expression" dxfId="2263" priority="38">
      <formula>ABS(AE$16-AE$19)&gt;=1000</formula>
    </cfRule>
  </conditionalFormatting>
  <conditionalFormatting sqref="D22:D29">
    <cfRule type="expression" dxfId="2262" priority="37">
      <formula>ABS(D$25-D$28)&gt;=1000</formula>
    </cfRule>
  </conditionalFormatting>
  <conditionalFormatting sqref="E22:E29">
    <cfRule type="expression" dxfId="2261" priority="36">
      <formula>ABS(E$25-E$28)&gt;=1000</formula>
    </cfRule>
  </conditionalFormatting>
  <conditionalFormatting sqref="F22:F29">
    <cfRule type="expression" dxfId="2260" priority="35">
      <formula>ABS(F$25-F$28)&gt;=1000</formula>
    </cfRule>
  </conditionalFormatting>
  <conditionalFormatting sqref="G22:G29">
    <cfRule type="expression" dxfId="2259" priority="34">
      <formula>ABS(G$25-G$28)&gt;=1000</formula>
    </cfRule>
  </conditionalFormatting>
  <conditionalFormatting sqref="H22:H29">
    <cfRule type="expression" dxfId="2258" priority="33">
      <formula>ABS(H$25-H$28)&gt;=1000</formula>
    </cfRule>
  </conditionalFormatting>
  <conditionalFormatting sqref="I22 I24:I29">
    <cfRule type="expression" dxfId="2257" priority="32">
      <formula>ABS(I$25-I$28)&gt;=1000</formula>
    </cfRule>
  </conditionalFormatting>
  <conditionalFormatting sqref="J22:J29 K22">
    <cfRule type="expression" dxfId="2256" priority="31">
      <formula>ABS(J$25-J$28)&gt;=1000</formula>
    </cfRule>
  </conditionalFormatting>
  <conditionalFormatting sqref="K23:K29 L25 L28">
    <cfRule type="expression" dxfId="2255" priority="30">
      <formula>ABS(K$25-K$28)&gt;=1000</formula>
    </cfRule>
  </conditionalFormatting>
  <conditionalFormatting sqref="L22:L24 L26:L27 L29">
    <cfRule type="expression" dxfId="2254" priority="29">
      <formula>ABS(L$25-L$28)&gt;=1000</formula>
    </cfRule>
  </conditionalFormatting>
  <conditionalFormatting sqref="M22:M29">
    <cfRule type="expression" dxfId="2253" priority="28">
      <formula>ABS(M$25-M$28)&gt;=1000</formula>
    </cfRule>
  </conditionalFormatting>
  <conditionalFormatting sqref="N22:N29">
    <cfRule type="expression" dxfId="2252" priority="27">
      <formula>ABS(N$25-N$28)&gt;=1000</formula>
    </cfRule>
  </conditionalFormatting>
  <conditionalFormatting sqref="O22:O29">
    <cfRule type="expression" dxfId="2251" priority="26">
      <formula>ABS(O$25-O$28)&gt;=1000</formula>
    </cfRule>
  </conditionalFormatting>
  <conditionalFormatting sqref="P22:P29">
    <cfRule type="expression" dxfId="2250" priority="25">
      <formula>ABS(P$25-P$28)&gt;=1000</formula>
    </cfRule>
  </conditionalFormatting>
  <conditionalFormatting sqref="Q22:Q29">
    <cfRule type="expression" dxfId="2249" priority="24">
      <formula>ABS(Q$25-Q$28)&gt;=1000</formula>
    </cfRule>
  </conditionalFormatting>
  <conditionalFormatting sqref="R22:R29">
    <cfRule type="expression" dxfId="2248" priority="23">
      <formula>ABS(R$25-R$28)&gt;=1000</formula>
    </cfRule>
  </conditionalFormatting>
  <conditionalFormatting sqref="S22:S29">
    <cfRule type="expression" dxfId="2247" priority="22">
      <formula>ABS(S$25-S$28)&gt;=1000</formula>
    </cfRule>
  </conditionalFormatting>
  <conditionalFormatting sqref="T22:T29">
    <cfRule type="expression" dxfId="2246" priority="21">
      <formula>ABS(T$25-T$28)&gt;=1000</formula>
    </cfRule>
  </conditionalFormatting>
  <conditionalFormatting sqref="U22:U29">
    <cfRule type="expression" dxfId="2245" priority="20">
      <formula>ABS(U$25-U$28)&gt;=1000</formula>
    </cfRule>
  </conditionalFormatting>
  <conditionalFormatting sqref="V22:V29">
    <cfRule type="expression" dxfId="2244" priority="19">
      <formula>ABS(V$25-V$28)&gt;=1000</formula>
    </cfRule>
  </conditionalFormatting>
  <conditionalFormatting sqref="W22:W29">
    <cfRule type="expression" dxfId="2243" priority="18">
      <formula>ABS(W$25-W$28)&gt;=1000</formula>
    </cfRule>
  </conditionalFormatting>
  <conditionalFormatting sqref="X22:X29">
    <cfRule type="expression" dxfId="2242" priority="17">
      <formula>ABS(X$25-X$28)&gt;=1000</formula>
    </cfRule>
  </conditionalFormatting>
  <conditionalFormatting sqref="Y22:Y29">
    <cfRule type="expression" dxfId="2241" priority="16">
      <formula>ABS(Y$25-Y$28)&gt;=1000</formula>
    </cfRule>
  </conditionalFormatting>
  <conditionalFormatting sqref="I23">
    <cfRule type="expression" dxfId="2240" priority="15">
      <formula>ABS(I$25-I$28)&gt;=1000</formula>
    </cfRule>
  </conditionalFormatting>
  <conditionalFormatting sqref="F14">
    <cfRule type="expression" dxfId="2239" priority="14">
      <formula>ABS(F$16-F$19)&gt;=1000</formula>
    </cfRule>
  </conditionalFormatting>
  <conditionalFormatting sqref="Q14">
    <cfRule type="expression" dxfId="2238" priority="13">
      <formula>ABS(Q$16-Q$19)&gt;=1000</formula>
    </cfRule>
  </conditionalFormatting>
  <conditionalFormatting sqref="W14">
    <cfRule type="expression" dxfId="2237" priority="12">
      <formula>ABS(W$16-W$19)&gt;=1000</formula>
    </cfRule>
  </conditionalFormatting>
  <conditionalFormatting sqref="Y14">
    <cfRule type="expression" dxfId="2236" priority="11">
      <formula>ABS(Y$16-Y$19)&gt;=1000</formula>
    </cfRule>
  </conditionalFormatting>
  <conditionalFormatting sqref="X14">
    <cfRule type="expression" dxfId="2235" priority="10">
      <formula>ABS(X$16-X$19)&gt;=1000</formula>
    </cfRule>
  </conditionalFormatting>
  <conditionalFormatting sqref="T10:Y10">
    <cfRule type="expression" dxfId="2234" priority="9">
      <formula>ABS(T$7-T$10)&gt;=1000</formula>
    </cfRule>
  </conditionalFormatting>
  <conditionalFormatting sqref="W19">
    <cfRule type="expression" dxfId="2233" priority="8">
      <formula>ABS(W$16-W$19)&gt;=1000</formula>
    </cfRule>
  </conditionalFormatting>
  <conditionalFormatting sqref="AC5">
    <cfRule type="expression" dxfId="2232" priority="7">
      <formula>ABS(AC$7-AC$10)&gt;=1000</formula>
    </cfRule>
  </conditionalFormatting>
  <conditionalFormatting sqref="M14">
    <cfRule type="expression" dxfId="2231" priority="6">
      <formula>ABS(M$16-M$19)&gt;=1000</formula>
    </cfRule>
  </conditionalFormatting>
  <conditionalFormatting sqref="M16">
    <cfRule type="expression" dxfId="2230" priority="5">
      <formula>ABS(M$16-M$19)&gt;=1000</formula>
    </cfRule>
  </conditionalFormatting>
  <conditionalFormatting sqref="M19">
    <cfRule type="expression" dxfId="2229" priority="4">
      <formula>ABS(M$16-M$19)&gt;=1000</formula>
    </cfRule>
  </conditionalFormatting>
  <conditionalFormatting sqref="K13:K20">
    <cfRule type="expression" dxfId="2228" priority="3">
      <formula>ABS(K$16-K$19)&gt;=1000</formula>
    </cfRule>
  </conditionalFormatting>
  <conditionalFormatting sqref="AB14:AC14">
    <cfRule type="expression" dxfId="2227" priority="2">
      <formula>ABS(AB$7-AB$10)&gt;=1000</formula>
    </cfRule>
  </conditionalFormatting>
  <conditionalFormatting sqref="E5">
    <cfRule type="expression" dxfId="2226" priority="1">
      <formula>ABS(E$7-E$10)&gt;=1000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827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46">
    <pageSetUpPr fitToPage="1"/>
  </sheetPr>
  <dimension ref="A1:CU223"/>
  <sheetViews>
    <sheetView view="pageBreakPreview" zoomScale="70" zoomScaleNormal="100" zoomScaleSheetLayoutView="70" workbookViewId="0">
      <selection activeCell="D7" sqref="D7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36" t="s" ph="1">
        <v>195</v>
      </c>
      <c r="C1" s="236" ph="1"/>
      <c r="D1" s="236" ph="1"/>
      <c r="E1" s="236" ph="1"/>
      <c r="F1" s="236" ph="1"/>
      <c r="G1" s="236" ph="1"/>
      <c r="H1" s="236" ph="1"/>
      <c r="I1" s="236" ph="1"/>
      <c r="J1" s="236" ph="1"/>
      <c r="K1" s="236" ph="1"/>
      <c r="L1" s="236" ph="1"/>
      <c r="M1" s="236" ph="1"/>
      <c r="N1" s="236" ph="1"/>
      <c r="O1" s="236" ph="1"/>
      <c r="P1" s="236" ph="1"/>
      <c r="Q1" s="236" ph="1"/>
      <c r="R1" s="236" ph="1"/>
      <c r="S1" s="236" ph="1"/>
      <c r="T1" s="236" ph="1"/>
      <c r="U1" s="236" ph="1"/>
      <c r="V1" s="236" ph="1"/>
      <c r="W1" s="236" ph="1"/>
      <c r="X1" s="236" ph="1"/>
      <c r="Y1" s="236" ph="1"/>
      <c r="Z1" s="236" ph="1"/>
      <c r="AA1" s="236" ph="1"/>
      <c r="AB1" s="236" ph="1"/>
      <c r="AC1" s="236" ph="1"/>
      <c r="AD1" s="236" ph="1"/>
      <c r="AE1" s="236" ph="1"/>
    </row>
    <row r="2" spans="1:99" s="66" customFormat="1" ht="24" customHeight="1" ph="1">
      <c r="B2" s="237" t="s" ph="1">
        <v>99</v>
      </c>
      <c r="C2" s="237" ph="1"/>
      <c r="D2" s="237" ph="1"/>
      <c r="E2" s="237" ph="1"/>
      <c r="F2" s="237" ph="1"/>
      <c r="G2" s="237" ph="1"/>
      <c r="H2" s="237" ph="1"/>
      <c r="I2" s="237" ph="1"/>
      <c r="J2" s="237" ph="1"/>
      <c r="K2" s="237" ph="1"/>
      <c r="L2" s="237" ph="1"/>
      <c r="M2" s="237" ph="1"/>
      <c r="N2" s="237" ph="1"/>
      <c r="O2" s="237" ph="1"/>
      <c r="P2" s="237" ph="1"/>
      <c r="Q2" s="237" ph="1"/>
      <c r="R2" s="237" ph="1"/>
      <c r="S2" s="237" ph="1"/>
      <c r="T2" s="237" ph="1"/>
      <c r="U2" s="237" ph="1"/>
      <c r="V2" s="237" ph="1"/>
      <c r="W2" s="237" ph="1"/>
      <c r="X2" s="237" ph="1"/>
      <c r="Y2" s="237" ph="1"/>
      <c r="Z2" s="237" ph="1"/>
      <c r="AA2" s="237" ph="1"/>
      <c r="AB2" s="237" ph="1"/>
      <c r="AC2" s="237" ph="1"/>
      <c r="AD2" s="237" ph="1"/>
      <c r="AE2" s="237" ph="1"/>
    </row>
    <row r="3" spans="1:99" ht="21" customHeight="1" ph="1">
      <c r="B3" s="238" ph="1">
        <v>45658</v>
      </c>
      <c r="C3" s="238"/>
      <c r="D3" s="238"/>
      <c r="E3" s="238"/>
      <c r="F3" s="238"/>
      <c r="G3" s="238"/>
      <c r="H3" s="238"/>
      <c r="I3" s="238"/>
      <c r="J3" s="238"/>
      <c r="K3" s="238"/>
      <c r="L3" s="238"/>
      <c r="M3" s="238"/>
      <c r="N3" s="238"/>
      <c r="O3" s="238"/>
      <c r="P3" s="238"/>
      <c r="Q3" s="238"/>
      <c r="R3" s="238"/>
      <c r="S3" s="238"/>
      <c r="T3" s="238"/>
      <c r="U3" s="238"/>
      <c r="V3" s="238"/>
      <c r="W3" s="238"/>
      <c r="X3" s="238"/>
      <c r="Y3" s="238"/>
      <c r="Z3" s="238"/>
      <c r="AA3" s="238"/>
      <c r="AB3" s="238"/>
      <c r="AC3" s="238"/>
      <c r="AD3" s="238"/>
      <c r="AE3" s="238"/>
    </row>
    <row r="4" spans="1:99" s="69" customFormat="1" ph="1">
      <c r="A4" s="65" ph="1"/>
      <c r="B4" s="217" t="s" ph="1">
        <v>37</v>
      </c>
      <c r="C4" s="67" t="s" ph="1">
        <v>210</v>
      </c>
      <c r="D4" s="68" t="s" ph="1">
        <v>45</v>
      </c>
      <c r="E4" s="68" t="s" ph="1">
        <v>46</v>
      </c>
      <c r="F4" s="68" t="s" ph="1">
        <v>39</v>
      </c>
      <c r="G4" s="68" t="s" ph="1">
        <v>47</v>
      </c>
      <c r="H4" s="68" t="s" ph="1">
        <v>48</v>
      </c>
      <c r="I4" s="68" t="s" ph="1">
        <v>133</v>
      </c>
      <c r="J4" s="68" t="s" ph="1">
        <v>49</v>
      </c>
      <c r="K4" s="68" t="s" ph="1">
        <v>134</v>
      </c>
      <c r="L4" s="68" t="s" ph="1">
        <v>135</v>
      </c>
      <c r="M4" s="68" t="s" ph="1">
        <v>50</v>
      </c>
      <c r="N4" s="68" t="s" ph="1">
        <v>51</v>
      </c>
      <c r="O4" s="68" t="s" ph="1">
        <v>137</v>
      </c>
      <c r="P4" s="68" t="s" ph="1">
        <v>139</v>
      </c>
      <c r="Q4" s="68" t="s" ph="1">
        <v>140</v>
      </c>
      <c r="R4" s="68" t="s" ph="1">
        <v>141</v>
      </c>
      <c r="S4" s="68" t="s" ph="1">
        <v>142</v>
      </c>
      <c r="T4" s="68" t="s" ph="1">
        <v>143</v>
      </c>
      <c r="U4" s="68" t="s" ph="1">
        <v>144</v>
      </c>
      <c r="V4" s="68" t="s" ph="1">
        <v>145</v>
      </c>
      <c r="W4" s="68" t="s" ph="1">
        <v>146</v>
      </c>
      <c r="X4" s="68" t="s" ph="1">
        <v>147</v>
      </c>
      <c r="Y4" s="68" t="s" ph="1">
        <v>148</v>
      </c>
      <c r="Z4" s="68" t="s" ph="1">
        <v>52</v>
      </c>
      <c r="AA4" s="68" t="s" ph="1">
        <v>149</v>
      </c>
      <c r="AB4" s="68" t="s" ph="1">
        <v>150</v>
      </c>
      <c r="AC4" s="68" t="s" ph="1">
        <v>151</v>
      </c>
      <c r="AD4" s="68" t="s" ph="1">
        <v>40</v>
      </c>
      <c r="AE4" s="68" t="s" ph="1">
        <v>152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7" ph="1"/>
      <c r="C5" s="67" t="s" ph="1">
        <v>36</v>
      </c>
      <c r="D5" s="70" t="s" ph="1">
        <v>194</v>
      </c>
      <c r="E5" s="70" t="s" ph="1">
        <v>55</v>
      </c>
      <c r="F5" s="70" t="s" ph="1">
        <v>130</v>
      </c>
      <c r="G5" s="70" t="s" ph="1">
        <v>56</v>
      </c>
      <c r="H5" s="70" t="s" ph="1">
        <v>56</v>
      </c>
      <c r="I5" s="70" t="s" ph="1">
        <v>57</v>
      </c>
      <c r="J5" s="70" t="s" ph="1">
        <v>58</v>
      </c>
      <c r="K5" s="70" t="s" ph="1">
        <v>59</v>
      </c>
      <c r="L5" s="70" t="s" ph="1">
        <v>136</v>
      </c>
      <c r="M5" s="70" t="s" ph="1">
        <v>60</v>
      </c>
      <c r="N5" s="70" t="s" ph="1">
        <v>61</v>
      </c>
      <c r="O5" s="70" t="s" ph="1">
        <v>138</v>
      </c>
      <c r="P5" s="70" t="s" ph="1">
        <v>88</v>
      </c>
      <c r="Q5" s="70" t="s" ph="1">
        <v>96</v>
      </c>
      <c r="R5" s="70" t="s" ph="1">
        <v>96</v>
      </c>
      <c r="S5" s="70" t="s" ph="1">
        <v>96</v>
      </c>
      <c r="T5" s="70" t="s" ph="1">
        <v>96</v>
      </c>
      <c r="U5" s="70" t="s" ph="1">
        <v>96</v>
      </c>
      <c r="V5" s="70" t="s" ph="1">
        <v>96</v>
      </c>
      <c r="W5" s="70" t="s" ph="1">
        <v>96</v>
      </c>
      <c r="X5" s="70" t="s" ph="1">
        <v>96</v>
      </c>
      <c r="Y5" s="70" t="s" ph="1">
        <v>96</v>
      </c>
      <c r="Z5" s="70" t="s" ph="1">
        <v>95</v>
      </c>
      <c r="AA5" s="70" t="s" ph="1">
        <v>62</v>
      </c>
      <c r="AB5" s="70" t="s" ph="1">
        <v>62</v>
      </c>
      <c r="AC5" s="70" t="s" ph="1">
        <v>222</v>
      </c>
      <c r="AD5" s="70" t="s" ph="1">
        <v>83</v>
      </c>
      <c r="AE5" s="70" t="s" ph="1">
        <v>153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5" ph="1">
        <v>0.33333333333333331</v>
      </c>
      <c r="C6" s="146" t="s" ph="1">
        <v>211</v>
      </c>
      <c r="D6" s="71">
        <v>245</v>
      </c>
      <c r="E6" s="71">
        <v>0</v>
      </c>
      <c r="F6" s="71">
        <v>6477</v>
      </c>
      <c r="G6" s="71">
        <v>8898</v>
      </c>
      <c r="H6" s="71">
        <v>7136</v>
      </c>
      <c r="I6" s="71">
        <v>39.11</v>
      </c>
      <c r="J6" s="71">
        <v>67.319999999999993</v>
      </c>
      <c r="K6" s="71">
        <v>9.1199999999999992</v>
      </c>
      <c r="L6" s="71">
        <v>57.96</v>
      </c>
      <c r="M6" s="71">
        <v>6262</v>
      </c>
      <c r="N6" s="71">
        <v>3586</v>
      </c>
      <c r="O6" s="71">
        <v>3120</v>
      </c>
      <c r="P6" s="71">
        <v>1328</v>
      </c>
      <c r="Q6" s="71">
        <v>0</v>
      </c>
      <c r="R6" s="71">
        <v>0</v>
      </c>
      <c r="S6" s="71">
        <v>0</v>
      </c>
      <c r="T6" s="71">
        <v>0</v>
      </c>
      <c r="U6" s="71">
        <v>0</v>
      </c>
      <c r="V6" s="71">
        <v>0</v>
      </c>
      <c r="W6" s="71">
        <v>4950</v>
      </c>
      <c r="X6" s="71">
        <v>5540</v>
      </c>
      <c r="Y6" s="71">
        <v>6070</v>
      </c>
      <c r="Z6" s="71">
        <v>960</v>
      </c>
      <c r="AA6" s="71">
        <v>0</v>
      </c>
      <c r="AB6" s="71">
        <v>2935</v>
      </c>
      <c r="AC6" s="71">
        <v>9040</v>
      </c>
      <c r="AD6" s="71">
        <v>2165</v>
      </c>
      <c r="AE6" s="71">
        <v>3977</v>
      </c>
    </row>
    <row r="7" spans="1:99" s="72" customFormat="1" ht="22.5" ph="1">
      <c r="B7" s="235" ph="1"/>
      <c r="C7" s="68" t="s" ph="1">
        <v>212</v>
      </c>
      <c r="D7" s="73" ph="1">
        <f>D6*33.183*LOOKUP(D8,密度!$A$2:$A$50,密度!$Q$2:$Q$50)</f>
        <v>7752.6106559999998</v>
      </c>
      <c r="E7" s="73" ph="1">
        <f>E6*51.53*LOOKUP(E8,密度!$A$2:$A$50,密度!$I$2:$I$50)</f>
        <v>0</v>
      </c>
      <c r="F7" s="73" ph="1">
        <f>F6*33.183*LOOKUP(F8,密度!$A$2:$A$50,密度!$C$2:$C$50)</f>
        <v>239535.35131950001</v>
      </c>
      <c r="G7" s="73" ph="1">
        <f xml:space="preserve"> (G6+2)*51.53*LOOKUP(G8,密度!$A$2:$A$50,密度!$B$2:$B$50)</f>
        <v>361023.30239999999</v>
      </c>
      <c r="H7" s="73" ph="1">
        <f>(H6)*51.53*LOOKUP(H8,密度!$A$2:$A$50,密度!$B$2:$B$50)</f>
        <v>289467.67257600004</v>
      </c>
      <c r="I7" s="73" ph="1">
        <f>I6*290.8*1.0267</f>
        <v>11676.8521196</v>
      </c>
      <c r="J7" s="73" ph="1">
        <f>J6*290.8*0.7892</f>
        <v>15449.896915199999</v>
      </c>
      <c r="K7" s="73" ph="1">
        <f>K6*290.8*1.1126</f>
        <v>2950.7220096000001</v>
      </c>
      <c r="L7" s="73" ph="1">
        <f>L6*290.8*0.777</f>
        <v>13096.154736</v>
      </c>
      <c r="M7" s="73" ph="1">
        <f>M6*33.183*LOOKUP(M8,密度!$A$2:$A$50,密度!$D$2:$D$50)</f>
        <v>215023.1057208</v>
      </c>
      <c r="N7" s="73" ph="1">
        <f>N6*33.183*LOOKUP(N8,密度!$A$2:$A$50,密度!$E$2:$E$50)</f>
        <v>93910.2526296</v>
      </c>
      <c r="O7" s="73" ph="1">
        <f>O6*20.428*LOOKUP(O8,密度!$A$2:$A$50,密度!$C$2:$C$50)</f>
        <v>70911.961536000003</v>
      </c>
      <c r="P7" s="73" ph="1">
        <f>P6*51.53*LOOKUP(P8,密度!$A$2:$A$50,密度!$B$2:$B$50)</f>
        <v>53924.289920000003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32995.164509999995</v>
      </c>
      <c r="X7" s="73" ph="1">
        <f>X6*1.5*1.5*3.1416*LOOKUP(X8,密度!$A$2:$A$50,密度!$L$2:$L$50)</f>
        <v>37280.361887999999</v>
      </c>
      <c r="Y7" s="73" ph="1">
        <f>Y6*1.5*1.5*3.1416*LOOKUP(Y8,密度!$A$2:$A$50,密度!$L$2:$L$50)</f>
        <v>40417.830684</v>
      </c>
      <c r="Z7" s="73" ph="1">
        <f>Z6*33.183*LOOKUP(Z8,密度!$A$2:$A$50,密度!$L$2:$L$50)</f>
        <v>30262.896000000001</v>
      </c>
      <c r="AA7" s="73" ph="1">
        <f>AA6*33.183*LOOKUP(AA8,密度!$A$2:$A$50,密度!$D$2:$D$50)</f>
        <v>0</v>
      </c>
      <c r="AB7" s="73" ph="1">
        <f>AB6*20.428*LOOKUP(AB8,密度!$A$2:$A$50,密度!$D$2:$D$50)</f>
        <v>62516.308885999999</v>
      </c>
      <c r="AC7" s="73" ph="1">
        <f>AC6*51.53*LOOKUP(AC8,密度!$A$2:$A$50,密度!$Q$2:$Q$50)</f>
        <v>442716.65585600003</v>
      </c>
      <c r="AD7" s="73" ph="1">
        <f>AD6*20.428*LOOKUP(AD8,密度!$A$2:$A$50,密度!$V$2:$V$50)</f>
        <v>42634.46168</v>
      </c>
      <c r="AE7" s="73" ph="1">
        <f>AE6*20.428</f>
        <v>81242.156000000003</v>
      </c>
    </row>
    <row r="8" spans="1:99" ph="1">
      <c r="B8" s="235" ph="1"/>
      <c r="C8" s="68" t="s" ph="1">
        <v>213</v>
      </c>
      <c r="D8" s="74">
        <v>16</v>
      </c>
      <c r="E8" s="74">
        <v>16</v>
      </c>
      <c r="F8" s="74">
        <v>17</v>
      </c>
      <c r="G8" s="74">
        <v>16</v>
      </c>
      <c r="H8" s="74">
        <v>16</v>
      </c>
      <c r="I8" s="74">
        <v>25</v>
      </c>
      <c r="J8" s="74">
        <v>25</v>
      </c>
      <c r="K8" s="74">
        <v>25</v>
      </c>
      <c r="L8" s="74">
        <v>25</v>
      </c>
      <c r="M8" s="74">
        <v>16</v>
      </c>
      <c r="N8" s="74">
        <v>20</v>
      </c>
      <c r="O8" s="74">
        <v>20</v>
      </c>
      <c r="P8" s="74">
        <v>15</v>
      </c>
      <c r="Q8" s="74">
        <v>15</v>
      </c>
      <c r="R8" s="74">
        <v>23</v>
      </c>
      <c r="S8" s="74">
        <v>11</v>
      </c>
      <c r="T8" s="74">
        <v>12</v>
      </c>
      <c r="U8" s="74">
        <v>15</v>
      </c>
      <c r="V8" s="74">
        <v>21</v>
      </c>
      <c r="W8" s="74">
        <v>19</v>
      </c>
      <c r="X8" s="74">
        <v>10</v>
      </c>
      <c r="Y8" s="74">
        <v>20</v>
      </c>
      <c r="Z8" s="74">
        <v>12</v>
      </c>
      <c r="AA8" s="74">
        <v>15</v>
      </c>
      <c r="AB8" s="74">
        <v>7</v>
      </c>
      <c r="AC8" s="74">
        <v>20</v>
      </c>
      <c r="AD8" s="74">
        <v>15</v>
      </c>
      <c r="AE8" s="74">
        <v>20</v>
      </c>
    </row>
    <row r="9" spans="1:99" ph="1">
      <c r="B9" s="235" ph="1">
        <v>0.66666666666666663</v>
      </c>
      <c r="C9" s="146" t="s" ph="1">
        <v>214</v>
      </c>
      <c r="D9" s="71">
        <v>181</v>
      </c>
      <c r="E9" s="71">
        <v>0</v>
      </c>
      <c r="F9" s="71">
        <v>6479</v>
      </c>
      <c r="G9" s="71">
        <v>8900</v>
      </c>
      <c r="H9" s="71">
        <v>7709</v>
      </c>
      <c r="I9" s="71">
        <v>39.18</v>
      </c>
      <c r="J9" s="71">
        <v>26.14</v>
      </c>
      <c r="K9" s="71">
        <v>9.15</v>
      </c>
      <c r="L9" s="71">
        <v>21.03</v>
      </c>
      <c r="M9" s="71">
        <v>6263</v>
      </c>
      <c r="N9" s="71">
        <v>3186</v>
      </c>
      <c r="O9" s="71">
        <v>3121</v>
      </c>
      <c r="P9" s="71">
        <v>1232</v>
      </c>
      <c r="Q9" s="71">
        <v>0</v>
      </c>
      <c r="R9" s="71">
        <v>0</v>
      </c>
      <c r="S9" s="71">
        <v>0</v>
      </c>
      <c r="T9" s="71">
        <v>0</v>
      </c>
      <c r="U9" s="71">
        <v>0</v>
      </c>
      <c r="V9" s="71">
        <v>3407</v>
      </c>
      <c r="W9" s="71">
        <v>5895</v>
      </c>
      <c r="X9" s="71">
        <v>5600</v>
      </c>
      <c r="Y9" s="71">
        <v>6071</v>
      </c>
      <c r="Z9" s="71">
        <v>944</v>
      </c>
      <c r="AA9" s="71">
        <v>0</v>
      </c>
      <c r="AB9" s="71">
        <v>2935</v>
      </c>
      <c r="AC9" s="71">
        <v>9040</v>
      </c>
      <c r="AD9" s="71">
        <v>2172</v>
      </c>
      <c r="AE9" s="71">
        <v>3979</v>
      </c>
    </row>
    <row r="10" spans="1:99" s="72" customFormat="1" ht="22.5" ph="1">
      <c r="B10" s="235" ph="1"/>
      <c r="C10" s="146" t="s" ph="1">
        <v>212</v>
      </c>
      <c r="D10" s="73" ph="1">
        <f>D9*33.183*LOOKUP(D11,密度!$A$2:$A$50,密度!$Q$2:$Q$50)</f>
        <v>5708.0991767400001</v>
      </c>
      <c r="E10" s="73" ph="1">
        <f>E9*51.53*LOOKUP(E11,密度!$A$2:$A$50,密度!$I$2:$I$50)</f>
        <v>0</v>
      </c>
      <c r="F10" s="73" ph="1">
        <f>F9*33.183*LOOKUP(F11,密度!$A$2:$A$50,密度!$C$2:$C$50)</f>
        <v>239609.31622650003</v>
      </c>
      <c r="G10" s="73" ph="1">
        <f xml:space="preserve"> (G9+2)*51.53*LOOKUP(G11,密度!$A$2:$A$50,密度!$B$2:$B$50)</f>
        <v>362664.07943599997</v>
      </c>
      <c r="H10" s="73" ph="1">
        <f>(H9)*51.53*LOOKUP(H11,密度!$A$2:$A$50,密度!$B$2:$B$50)</f>
        <v>314061.71516199998</v>
      </c>
      <c r="I10" s="73" ph="1">
        <f>I9*290.8*1.0267</f>
        <v>11697.751624799999</v>
      </c>
      <c r="J10" s="73" ph="1">
        <f>J9*290.8*0.7892</f>
        <v>5999.1132704000001</v>
      </c>
      <c r="K10" s="73" ph="1">
        <f>K9*290.8*1.1126</f>
        <v>2960.4283320000004</v>
      </c>
      <c r="L10" s="73" ph="1">
        <f>L9*290.8*0.777</f>
        <v>4751.7621480000007</v>
      </c>
      <c r="M10" s="73" ph="1">
        <f>M9*33.183*LOOKUP(M11,密度!$A$2:$A$50,密度!$D$2:$D$50)</f>
        <v>214704.14076989997</v>
      </c>
      <c r="N10" s="73" ph="1">
        <f>N9*33.183*LOOKUP(N11,密度!$A$2:$A$50,密度!$E$2:$E$50)</f>
        <v>83435.043189600008</v>
      </c>
      <c r="O10" s="73" ph="1">
        <f>O9*20.428*LOOKUP(O11,密度!$A$2:$A$50,密度!$C$2:$C$50)</f>
        <v>70839.056046800004</v>
      </c>
      <c r="P10" s="73" ph="1">
        <f>P9*51.53*LOOKUP(P11,密度!$A$2:$A$50,密度!$B$2:$B$50)</f>
        <v>49924.572543999995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22589.591547599997</v>
      </c>
      <c r="W10" s="73" ph="1">
        <f>W9*1.5*1.5*3.1416*LOOKUP(W11,密度!$A$2:$A$50,密度!$L$2:$L$50)</f>
        <v>39419.249561999997</v>
      </c>
      <c r="X10" s="73" ph="1">
        <f>X9*1.5*1.5*3.1416*LOOKUP(X11,密度!$A$2:$A$50,密度!$L$2:$L$50)</f>
        <v>37248.694559999996</v>
      </c>
      <c r="Y10" s="73" ph="1">
        <f>Y9*1.5*1.5*3.1416*LOOKUP(Y11,密度!$A$2:$A$50,密度!$L$2:$L$50)</f>
        <v>40510.316246399998</v>
      </c>
      <c r="Z10" s="73" ph="1">
        <f>Z9*33.183*LOOKUP(Z11,密度!$A$2:$A$50,密度!$L$2:$L$50)</f>
        <v>29695.864895999999</v>
      </c>
      <c r="AA10" s="73" ph="1">
        <f>AA9*33.183*LOOKUP(AA11,密度!$A$2:$A$50,密度!$D$2:$D$50)</f>
        <v>0</v>
      </c>
      <c r="AB10" s="73" ph="1">
        <f>AB9*20.428*LOOKUP(AB11,密度!$A$2:$A$50,密度!$D$2:$D$50)</f>
        <v>62408.387761999998</v>
      </c>
      <c r="AC10" s="73" ph="1">
        <f>AC9*51.53*LOOKUP(AC11,密度!$A$2:$A$50,密度!$Q$2:$Q$50)</f>
        <v>444654.51364800002</v>
      </c>
      <c r="AD10" s="73" ph="1">
        <f>AD9*20.428*LOOKUP(AD11,密度!$A$2:$A$50,密度!$V$2:$V$50)</f>
        <v>42772.309824000004</v>
      </c>
      <c r="AE10" s="73" ph="1">
        <f>AE9*20.428</f>
        <v>81283.012000000002</v>
      </c>
    </row>
    <row r="11" spans="1:99" ph="1">
      <c r="A11" s="64" t="s" ph="1">
        <v>196</v>
      </c>
      <c r="B11" s="235" ph="1"/>
      <c r="C11" s="146" t="s" ph="1">
        <v>213</v>
      </c>
      <c r="D11" s="74">
        <v>20</v>
      </c>
      <c r="E11" s="74">
        <v>20</v>
      </c>
      <c r="F11" s="74">
        <v>17</v>
      </c>
      <c r="G11" s="74">
        <v>12</v>
      </c>
      <c r="H11" s="74">
        <v>12</v>
      </c>
      <c r="I11" s="74">
        <v>25</v>
      </c>
      <c r="J11" s="74">
        <v>25</v>
      </c>
      <c r="K11" s="74">
        <v>25</v>
      </c>
      <c r="L11" s="74">
        <v>25</v>
      </c>
      <c r="M11" s="74">
        <v>18</v>
      </c>
      <c r="N11" s="74">
        <v>20</v>
      </c>
      <c r="O11" s="74">
        <v>22</v>
      </c>
      <c r="P11" s="74">
        <v>17</v>
      </c>
      <c r="Q11" s="74">
        <v>20</v>
      </c>
      <c r="R11" s="74">
        <v>22</v>
      </c>
      <c r="S11" s="74">
        <v>14</v>
      </c>
      <c r="T11" s="74">
        <v>21</v>
      </c>
      <c r="U11" s="74">
        <v>17</v>
      </c>
      <c r="V11" s="74">
        <v>24</v>
      </c>
      <c r="W11" s="74">
        <v>16</v>
      </c>
      <c r="X11" s="74">
        <v>21</v>
      </c>
      <c r="Y11" s="74">
        <v>18</v>
      </c>
      <c r="Z11" s="74">
        <v>14</v>
      </c>
      <c r="AA11" s="74">
        <v>13</v>
      </c>
      <c r="AB11" s="74">
        <v>9</v>
      </c>
      <c r="AC11" s="74">
        <v>14</v>
      </c>
      <c r="AD11" s="74">
        <v>17</v>
      </c>
      <c r="AE11" s="74">
        <v>21</v>
      </c>
    </row>
    <row r="12" spans="1:99" ht="9.9499999999999993" customHeight="1" ph="1"/>
    <row r="13" spans="1:99" s="72" customFormat="1" ht="29.25" customHeight="1" ph="1">
      <c r="B13" s="212" t="s" ph="1">
        <v>37</v>
      </c>
      <c r="C13" s="146" t="s" ph="1">
        <v>210</v>
      </c>
      <c r="D13" s="76" t="s" ph="1">
        <v>53</v>
      </c>
      <c r="E13" s="76" t="s" ph="1">
        <v>54</v>
      </c>
      <c r="F13" s="76" t="s" ph="1">
        <v>66</v>
      </c>
      <c r="G13" s="76" t="s" ph="1">
        <v>67</v>
      </c>
      <c r="H13" s="76" t="s" ph="1">
        <v>154</v>
      </c>
      <c r="I13" s="76" t="s" ph="1">
        <v>68</v>
      </c>
      <c r="J13" s="76" t="s" ph="1">
        <v>155</v>
      </c>
      <c r="K13" s="76" t="s" ph="1">
        <v>63</v>
      </c>
      <c r="L13" s="76" t="s" ph="1">
        <v>69</v>
      </c>
      <c r="M13" s="76" t="s" ph="1">
        <v>70</v>
      </c>
      <c r="N13" s="76" t="s" ph="1">
        <v>156</v>
      </c>
      <c r="O13" s="76" t="s" ph="1">
        <v>64</v>
      </c>
      <c r="P13" s="76" t="s" ph="1">
        <v>71</v>
      </c>
      <c r="Q13" s="76" t="s" ph="1">
        <v>72</v>
      </c>
      <c r="R13" s="76" t="s" ph="1">
        <v>73</v>
      </c>
      <c r="S13" s="76" t="s" ph="1">
        <v>74</v>
      </c>
      <c r="T13" s="76" t="s" ph="1">
        <v>75</v>
      </c>
      <c r="U13" s="76" t="s" ph="1">
        <v>76</v>
      </c>
      <c r="V13" s="76" t="s" ph="1">
        <v>157</v>
      </c>
      <c r="W13" s="76" t="s" ph="1">
        <v>158</v>
      </c>
      <c r="X13" s="76" t="s" ph="1">
        <v>159</v>
      </c>
      <c r="Y13" s="105" t="s" ph="1">
        <v>77</v>
      </c>
      <c r="Z13" s="76" t="s" ph="1">
        <v>86</v>
      </c>
      <c r="AA13" s="76" t="s" ph="1">
        <v>160</v>
      </c>
      <c r="AB13" s="76" t="s" ph="1">
        <v>161</v>
      </c>
      <c r="AC13" s="76" t="s" ph="1">
        <v>162</v>
      </c>
      <c r="AD13" s="76" t="s" ph="1">
        <v>163</v>
      </c>
      <c r="AE13" s="76" t="s" ph="1">
        <v>164</v>
      </c>
      <c r="AG13" s="72" t="s" ph="1">
        <v>369</v>
      </c>
      <c r="AH13" s="72" t="s" ph="1">
        <v>232</v>
      </c>
      <c r="AI13" s="72" t="s" ph="1">
        <v>233</v>
      </c>
      <c r="AJ13" s="72" t="s" ph="1">
        <v>234</v>
      </c>
      <c r="AK13" s="72" t="s" ph="1">
        <v>235</v>
      </c>
      <c r="AL13" s="72" t="s" ph="1">
        <v>236</v>
      </c>
      <c r="AM13" s="72" t="s" ph="1">
        <v>237</v>
      </c>
      <c r="AN13" s="72" t="s" ph="1">
        <v>238</v>
      </c>
      <c r="AO13" s="72" t="s" ph="1">
        <v>239</v>
      </c>
      <c r="AP13" s="72" t="s" ph="1">
        <v>240</v>
      </c>
      <c r="AQ13" s="72" t="s" ph="1">
        <v>241</v>
      </c>
      <c r="AR13" s="72" t="s" ph="1">
        <v>242</v>
      </c>
      <c r="AS13" s="72" t="s" ph="1">
        <v>243</v>
      </c>
      <c r="AT13" s="72" t="s" ph="1">
        <v>244</v>
      </c>
      <c r="AU13" s="72" t="s" ph="1">
        <v>245</v>
      </c>
      <c r="AV13" s="72" t="s" ph="1">
        <v>246</v>
      </c>
      <c r="AW13" s="72" t="s" ph="1">
        <v>247</v>
      </c>
      <c r="AX13" s="72" t="s" ph="1">
        <v>248</v>
      </c>
      <c r="AY13" s="72" t="s" ph="1">
        <v>370</v>
      </c>
      <c r="AZ13" s="72" t="s" ph="1">
        <v>249</v>
      </c>
      <c r="BA13" s="72" t="s" ph="1">
        <v>250</v>
      </c>
      <c r="BB13" s="72" t="s" ph="1">
        <v>635</v>
      </c>
      <c r="BC13" s="72" t="s" ph="1">
        <v>251</v>
      </c>
      <c r="BD13" s="72" t="s" ph="1">
        <v>371</v>
      </c>
      <c r="BE13" s="72" t="s" ph="1">
        <v>372</v>
      </c>
      <c r="BF13" s="72" t="s" ph="1">
        <v>373</v>
      </c>
      <c r="BG13" s="72" t="s" ph="1">
        <v>374</v>
      </c>
      <c r="BH13" s="72" t="s" ph="1">
        <v>375</v>
      </c>
    </row>
    <row r="14" spans="1:99" s="72" customFormat="1" ht="24" ph="1">
      <c r="B14" s="213" ph="1"/>
      <c r="C14" s="67" t="s" ph="1">
        <v>36</v>
      </c>
      <c r="D14" s="77" t="s" ph="1">
        <v>131</v>
      </c>
      <c r="E14" s="77" t="s" ph="1">
        <v>131</v>
      </c>
      <c r="F14" s="77" t="s" ph="1">
        <v>650</v>
      </c>
      <c r="G14" s="77" t="s" ph="1">
        <v>220</v>
      </c>
      <c r="H14" s="77" t="s" ph="1">
        <v>648</v>
      </c>
      <c r="I14" s="77" t="s" ph="1">
        <v>65</v>
      </c>
      <c r="J14" s="77" t="s" ph="1">
        <v>230</v>
      </c>
      <c r="K14" s="77" t="s" ph="1">
        <v>226</v>
      </c>
      <c r="L14" s="77" t="s" ph="1">
        <v>41</v>
      </c>
      <c r="M14" s="104" t="s" ph="1">
        <v>225</v>
      </c>
      <c r="N14" s="104" t="s" ph="1">
        <v>221</v>
      </c>
      <c r="O14" s="104" t="s" ph="1">
        <v>229</v>
      </c>
      <c r="P14" s="77" t="s" ph="1">
        <v>82</v>
      </c>
      <c r="Q14" s="77" t="s" ph="1">
        <v>82</v>
      </c>
      <c r="R14" s="88" t="s" ph="1">
        <v>7</v>
      </c>
      <c r="S14" s="77" t="s" ph="1">
        <v>82</v>
      </c>
      <c r="T14" s="77" t="s" ph="1">
        <v>98</v>
      </c>
      <c r="U14" s="77" t="s" ph="1">
        <v>103</v>
      </c>
      <c r="V14" s="77" t="s" ph="1">
        <v>649</v>
      </c>
      <c r="W14" s="77" t="s" ph="1">
        <v>223</v>
      </c>
      <c r="X14" s="77" t="s" ph="1">
        <v>78</v>
      </c>
      <c r="Y14" s="144" t="s" ph="1">
        <v>0</v>
      </c>
      <c r="Z14" s="77" t="s" ph="1">
        <v>62</v>
      </c>
      <c r="AA14" s="77" t="s" ph="1">
        <v>88</v>
      </c>
      <c r="AB14" s="145" t="s" ph="1">
        <v>653</v>
      </c>
      <c r="AC14" s="145" t="s" ph="1">
        <v>653</v>
      </c>
      <c r="AD14" s="77" t="s" ph="1">
        <v>136</v>
      </c>
      <c r="AE14" s="77" t="s" ph="1">
        <v>136</v>
      </c>
      <c r="AG14" s="72" t="s" ph="1">
        <v>252</v>
      </c>
      <c r="AI14" s="72" t="s" ph="1">
        <v>253</v>
      </c>
      <c r="AJ14" s="72" t="s" ph="1">
        <v>376</v>
      </c>
      <c r="AK14" s="72" t="s" ph="1">
        <v>254</v>
      </c>
      <c r="AM14" s="72" t="s" ph="1">
        <v>256</v>
      </c>
      <c r="AN14" s="72" t="s" ph="1">
        <v>254</v>
      </c>
      <c r="AO14" s="72" t="s" ph="1">
        <v>255</v>
      </c>
      <c r="AP14" s="72" t="s" ph="1">
        <v>256</v>
      </c>
      <c r="AQ14" s="72" t="s" ph="1">
        <v>254</v>
      </c>
      <c r="AR14" s="72" t="s" ph="1">
        <v>255</v>
      </c>
      <c r="AS14" s="72" t="s" ph="1">
        <v>256</v>
      </c>
      <c r="AT14" s="72" t="s" ph="1">
        <v>254</v>
      </c>
      <c r="AU14" s="72" t="s" ph="1">
        <v>255</v>
      </c>
      <c r="AV14" s="72" t="s" ph="1">
        <v>256</v>
      </c>
      <c r="AW14" s="72" t="s" ph="1">
        <v>254</v>
      </c>
      <c r="AX14" s="72" t="s" ph="1">
        <v>255</v>
      </c>
      <c r="AY14" s="72" t="s" ph="1">
        <v>256</v>
      </c>
      <c r="AZ14" s="72" t="s" ph="1">
        <v>255</v>
      </c>
    </row>
    <row r="15" spans="1:99" ph="1">
      <c r="B15" s="214" ph="1">
        <v>0.33333333333333331</v>
      </c>
      <c r="C15" s="146" t="s" ph="1">
        <v>211</v>
      </c>
      <c r="D15" s="78">
        <v>900</v>
      </c>
      <c r="E15" s="78">
        <v>5496</v>
      </c>
      <c r="F15" s="78">
        <v>2280</v>
      </c>
      <c r="G15" s="78">
        <v>2180</v>
      </c>
      <c r="H15" s="78">
        <v>1000</v>
      </c>
      <c r="I15" s="78">
        <v>10</v>
      </c>
      <c r="J15" s="78">
        <v>1000</v>
      </c>
      <c r="K15" s="78">
        <v>1840</v>
      </c>
      <c r="L15" s="78">
        <v>1620</v>
      </c>
      <c r="M15" s="78">
        <v>6040</v>
      </c>
      <c r="N15" s="78">
        <v>3852</v>
      </c>
      <c r="O15" s="78">
        <v>1193</v>
      </c>
      <c r="P15" s="78">
        <v>3429</v>
      </c>
      <c r="Q15" s="78">
        <v>6083</v>
      </c>
      <c r="R15" s="78">
        <v>3496</v>
      </c>
      <c r="S15" s="78">
        <v>5618</v>
      </c>
      <c r="T15" s="78">
        <v>4466</v>
      </c>
      <c r="U15" s="78">
        <v>1759</v>
      </c>
      <c r="V15" s="78">
        <v>4945</v>
      </c>
      <c r="W15" s="78">
        <v>-593</v>
      </c>
      <c r="X15" s="78">
        <v>1119</v>
      </c>
      <c r="Y15" s="106">
        <v>-9904</v>
      </c>
      <c r="Z15" s="78">
        <v>0</v>
      </c>
      <c r="AA15" s="78">
        <v>31</v>
      </c>
      <c r="AB15" s="78" ph="1">
        <v>6280</v>
      </c>
      <c r="AC15" s="78">
        <v>6507</v>
      </c>
      <c r="AD15" s="78">
        <v>5.56</v>
      </c>
      <c r="AE15" s="78">
        <v>70.81</v>
      </c>
      <c r="AG15" s="64" t="s" ph="1">
        <v>258</v>
      </c>
      <c r="AH15" s="64" ph="1">
        <v>1</v>
      </c>
      <c r="AI15" s="64" t="s" ph="1">
        <v>377</v>
      </c>
      <c r="AK15" s="64" t="s" ph="1">
        <v>631</v>
      </c>
      <c r="AM15" s="64" t="s" ph="1">
        <v>379</v>
      </c>
      <c r="AZ15" s="64" t="s" ph="1">
        <v>260</v>
      </c>
      <c r="BA15" s="64" ph="1">
        <v>0</v>
      </c>
    </row>
    <row r="16" spans="1:99" s="72" customFormat="1" ht="22.5" ph="1">
      <c r="B16" s="215" ph="1"/>
      <c r="C16" s="146" t="s" ph="1">
        <v>212</v>
      </c>
      <c r="D16" s="73" ph="1">
        <f>D15*7.0686*LOOKUP(D17,密度!$A$2:$A$50,密度!$L$2:$L$50)</f>
        <v>5992.7590799999998</v>
      </c>
      <c r="E16" s="73" ph="1">
        <f>E15*7.0686*LOOKUP(E17,密度!$A$2:$A$50,密度!$L$2:$L$50)</f>
        <v>36790.027243199998</v>
      </c>
      <c r="F16" s="73" ph="1">
        <f>F15*9.0746*LOOKUP(F17,密度!$A$2:$A$50,密度!$L$2:$L$50)</f>
        <v>19572.823247999997</v>
      </c>
      <c r="G16" s="73" ph="1">
        <f>G15*9.0746*LOOKUP(G17,密度!$A$2:$A$50,密度!$B$2:$B$50)</f>
        <v>15588.710864000001</v>
      </c>
      <c r="H16" s="73" ph="1">
        <f>H15*9.0746*LOOKUP(H17,密度!$A$2:$A$50,密度!$L$2:$L$50)</f>
        <v>8602.7207999999991</v>
      </c>
      <c r="I16" s="73" ph="1">
        <f>I15*9.0746*LOOKUP(I17,密度!$A$2:$A$50,密度!$U$2:$U$50)</f>
        <v>93.286888000000019</v>
      </c>
      <c r="J16" s="73" ph="1">
        <f>J15*9.0746*LOOKUP(J17,密度!$A$2:$A$50,密度!$L$2:$L$50)</f>
        <v>8575.4969999999994</v>
      </c>
      <c r="K16" s="73" ph="1">
        <f>K15*9.0746*LOOKUP(K17,密度!$A$2:$A$50,密度!$C$2:$C$50)</f>
        <v>18609.100728000001</v>
      </c>
      <c r="L16" s="73" ph="1">
        <f>L15*9.0746*LOOKUP(L17,密度!$A$2:$A$50,密度!$E$2:$E$50)</f>
        <v>11650.425210000001</v>
      </c>
      <c r="M16" s="73" ph="1">
        <f>M15*9.0746*LOOKUP(M17,密度!$A$2:$A$50,密度!$M$2:$M$50)</f>
        <v>48249.757095200002</v>
      </c>
      <c r="N16" s="73" ph="1">
        <f>N15*9.0746*LOOKUP(N17,密度!$A$2:$A$50,密度!$M$2:$M$50)</f>
        <v>30771.202703759998</v>
      </c>
      <c r="O16" s="73" ph="1">
        <f>O15*9.0746*LOOKUP(O17,密度!$A$2:$A$50,密度!$G$2:$G$50)</f>
        <v>10479.5658704</v>
      </c>
      <c r="P16" s="73" ph="1">
        <f ca="1">P15*9.0746*LOOKUP(P17,密度!$A$2:$A$51,密度!$Q$2:$Q$50)</f>
        <v>29572.787615292</v>
      </c>
      <c r="Q16" s="73" ph="1">
        <f>Q15*9.0746*LOOKUP(Q17,密度!$A$2:$A$50,密度!$Q$2:$Q$50)</f>
        <v>52691.363804772001</v>
      </c>
      <c r="R16" s="73" ph="1">
        <f>MAX(R15*9.0746*LOOKUP(R17,密度!$A$2:$A$50,密度!$B$2:$B$50),0)</f>
        <v>24875.416934560002</v>
      </c>
      <c r="S16" s="73" ph="1">
        <f>S15*9.0746*LOOKUP(S17,密度!$A$2:$A$50,密度!$Q$2:$Q$50)</f>
        <v>48663.501866712002</v>
      </c>
      <c r="T16" s="73" ph="1">
        <f>T15*9.0746*LOOKUP(T17,密度!$A$2:$A$50,密度!$O$2:$O$50)</f>
        <v>37852.370802400001</v>
      </c>
      <c r="U16" s="73" ph="1">
        <f>U15*9.0746*LOOKUP(U17,密度!$A$2:$A$50,密度!$H$2:$H$50)</f>
        <v>14760.26612858</v>
      </c>
      <c r="V16" s="73" ph="1">
        <f>MAX(5600*LOOKUP(V17,密度!$A$2:$A$50,密度!$Q$2:$Q$50)+V15*9.0476*LOOKUP(V17,密度!$A$2:$A$50,密度!$Q$2:$Q$50),0)</f>
        <v>47885.281569859995</v>
      </c>
      <c r="W16" s="73" ph="1">
        <f>MAX(5600*LOOKUP(W17,密度!$A$2:$A$50,密度!$Q$2:$Q$50)+W15*9.0476*LOOKUP(W17,密度!$A$2:$A$50,密度!$Q$2:$Q$50),0)</f>
        <v>223.32331103600063</v>
      </c>
      <c r="X16" s="73" ph="1">
        <f>MAX(5600*LOOKUP(X17,密度!$A$2:$A$50,密度!$I$2:$I$50)+X15*9.0476*LOOKUP(X17,密度!$A$2:$A$50,密度!$I$2:$I$50),0)</f>
        <v>16212.817294907996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221.67432880000004</v>
      </c>
      <c r="AB16" s="73" ph="1">
        <f>AB15*9.0746*LOOKUP(AB17,密度!$A$2:$A$50,密度!$L$2:$L$50)</f>
        <v>53797.132672</v>
      </c>
      <c r="AC16" s="73" ph="1">
        <f>AC15*9.0746*LOOKUP(AC17,密度!$A$2:$A$50,密度!$L$2:$L$50)</f>
        <v>55918.855823400001</v>
      </c>
      <c r="AD16" s="73" ph="1">
        <f>AD15*268.68*LOOKUP(AD17,密度!$A$2:$A$50,密度!B2:B50)+IF(AD15&lt;=0,0,1566*LOOKUP(AD17,密度!$A$2:$A$50,密度!B2:B50))</f>
        <v>2385.46747968</v>
      </c>
      <c r="AE16" s="73" ph="1">
        <f>AE15*268.68*LOOKUP(AE17,密度!$A$2:$A$50,密度!B2:B50)+IF(AE15&lt;=0,0,1566*LOOKUP(AE17,密度!$A$2:$A$50,密度!B2:B50))</f>
        <v>16052.92353168</v>
      </c>
      <c r="AH16" s="72" ph="1">
        <v>2</v>
      </c>
      <c r="AI16" s="72" t="s" ph="1">
        <v>381</v>
      </c>
      <c r="AZ16" s="72" t="s" ph="1">
        <v>260</v>
      </c>
      <c r="BA16" s="72" ph="1">
        <v>0</v>
      </c>
    </row>
    <row r="17" spans="1:57" ph="1">
      <c r="A17" s="64" t="s" ph="1">
        <v>85</v>
      </c>
      <c r="B17" s="216" ph="1"/>
      <c r="C17" s="79" t="s" ph="1">
        <v>213</v>
      </c>
      <c r="D17" s="74">
        <v>20</v>
      </c>
      <c r="E17" s="74">
        <v>15</v>
      </c>
      <c r="F17" s="74">
        <v>16</v>
      </c>
      <c r="G17" s="74">
        <v>15</v>
      </c>
      <c r="H17" s="74">
        <v>14</v>
      </c>
      <c r="I17" s="74">
        <v>15</v>
      </c>
      <c r="J17" s="74">
        <v>17</v>
      </c>
      <c r="K17" s="74">
        <v>17</v>
      </c>
      <c r="L17" s="74">
        <v>17</v>
      </c>
      <c r="M17" s="74">
        <v>17</v>
      </c>
      <c r="N17" s="74">
        <v>16</v>
      </c>
      <c r="O17" s="74">
        <v>18</v>
      </c>
      <c r="P17" s="74">
        <v>20</v>
      </c>
      <c r="Q17" s="74">
        <v>15</v>
      </c>
      <c r="R17" s="74">
        <v>20</v>
      </c>
      <c r="S17" s="74">
        <v>15</v>
      </c>
      <c r="T17" s="74">
        <v>16</v>
      </c>
      <c r="U17" s="74">
        <v>15</v>
      </c>
      <c r="V17" s="74">
        <v>19</v>
      </c>
      <c r="W17" s="74">
        <v>19</v>
      </c>
      <c r="X17" s="74">
        <v>35</v>
      </c>
      <c r="Y17" s="108">
        <v>35</v>
      </c>
      <c r="Z17" s="74">
        <v>17</v>
      </c>
      <c r="AA17" s="74">
        <v>15</v>
      </c>
      <c r="AB17" s="74">
        <v>18</v>
      </c>
      <c r="AC17" s="74">
        <v>15</v>
      </c>
      <c r="AD17" s="74">
        <v>25</v>
      </c>
      <c r="AE17" s="74">
        <v>25</v>
      </c>
      <c r="AH17" s="64" ph="1">
        <v>3</v>
      </c>
      <c r="AI17" s="64" t="s" ph="1">
        <v>382</v>
      </c>
      <c r="AK17" s="64" t="s" ph="1">
        <v>614</v>
      </c>
      <c r="AL17" s="64" ph="1">
        <v>80</v>
      </c>
      <c r="AM17" s="64" t="s" ph="1">
        <v>379</v>
      </c>
      <c r="AZ17" s="64" t="s" ph="1">
        <v>260</v>
      </c>
      <c r="BA17" s="64" ph="1">
        <v>80</v>
      </c>
      <c r="BD17" s="64" t="s" ph="1">
        <v>258</v>
      </c>
      <c r="BE17" s="64" ph="1">
        <v>2270</v>
      </c>
    </row>
    <row r="18" spans="1:57" ph="1">
      <c r="B18" s="214" ph="1">
        <v>0.66666666666666663</v>
      </c>
      <c r="C18" s="79" t="s" ph="1">
        <v>214</v>
      </c>
      <c r="D18" s="71">
        <v>850</v>
      </c>
      <c r="E18" s="71">
        <v>5506</v>
      </c>
      <c r="F18" s="71">
        <v>2201</v>
      </c>
      <c r="G18" s="71">
        <v>2137</v>
      </c>
      <c r="H18" s="71">
        <v>1078</v>
      </c>
      <c r="I18" s="71">
        <v>10</v>
      </c>
      <c r="J18" s="71">
        <v>2897</v>
      </c>
      <c r="K18" s="71">
        <v>1816</v>
      </c>
      <c r="L18" s="71">
        <v>4076</v>
      </c>
      <c r="M18" s="71">
        <v>4113</v>
      </c>
      <c r="N18" s="71">
        <v>5015</v>
      </c>
      <c r="O18" s="71">
        <v>121</v>
      </c>
      <c r="P18" s="71">
        <v>2800</v>
      </c>
      <c r="Q18" s="71">
        <v>6090</v>
      </c>
      <c r="R18" s="71">
        <v>3500</v>
      </c>
      <c r="S18" s="71">
        <v>5623</v>
      </c>
      <c r="T18" s="71">
        <v>5353</v>
      </c>
      <c r="U18" s="71">
        <v>1760</v>
      </c>
      <c r="V18" s="71">
        <v>4946</v>
      </c>
      <c r="W18" s="71">
        <v>-592</v>
      </c>
      <c r="X18" s="71">
        <v>1099</v>
      </c>
      <c r="Y18" s="109">
        <v>-9904</v>
      </c>
      <c r="Z18" s="71">
        <v>0</v>
      </c>
      <c r="AA18" s="71">
        <v>33</v>
      </c>
      <c r="AB18" s="71">
        <v>6290</v>
      </c>
      <c r="AC18" s="71">
        <v>6514</v>
      </c>
      <c r="AD18" s="71">
        <v>84.56</v>
      </c>
      <c r="AE18" s="71">
        <v>12.02</v>
      </c>
      <c r="AH18" s="64" ph="1">
        <v>4</v>
      </c>
      <c r="AI18" s="64" t="s" ph="1">
        <v>384</v>
      </c>
      <c r="AJ18" s="64" t="s" ph="1">
        <v>632</v>
      </c>
      <c r="AK18" s="64" t="s" ph="1">
        <v>631</v>
      </c>
      <c r="AL18" s="64" ph="1">
        <v>740</v>
      </c>
      <c r="AM18" s="64" t="s" ph="1">
        <v>383</v>
      </c>
      <c r="AZ18" s="64" t="s" ph="1">
        <v>260</v>
      </c>
      <c r="BA18" s="64" ph="1">
        <v>740</v>
      </c>
    </row>
    <row r="19" spans="1:57" s="72" customFormat="1" ht="22.5" ph="1">
      <c r="B19" s="215" ph="1"/>
      <c r="C19" s="146" t="s" ph="1">
        <v>212</v>
      </c>
      <c r="D19" s="73" ph="1">
        <f>D18*7.0686*LOOKUP(D20,密度!$A$2:$A$50,密度!$L$2:$L$50)</f>
        <v>5665.8363300000001</v>
      </c>
      <c r="E19" s="73" ph="1">
        <f>E18*7.0686*LOOKUP(E20,密度!$A$2:$A$50,密度!$L$2:$L$50)</f>
        <v>36701.288038799998</v>
      </c>
      <c r="F19" s="73" ph="1">
        <f>F18*9.0746*LOOKUP(F20,密度!$A$2:$A$50,密度!$L$2:$L$50)</f>
        <v>18794.776118599999</v>
      </c>
      <c r="G19" s="73" ph="1">
        <f>G18*9.0746*LOOKUP(G20,密度!$A$2:$A$50,密度!$B$2:$B$50)</f>
        <v>15221.110614980002</v>
      </c>
      <c r="H19" s="73" ph="1">
        <f>H18*9.0746*LOOKUP(H20,密度!$A$2:$A$50,密度!$L$2:$L$50)</f>
        <v>9263.9506035999984</v>
      </c>
      <c r="I19" s="73" ph="1">
        <f>I18*9.0746*LOOKUP(I20,密度!$A$2:$A$50,密度!$U$2:$U$50)</f>
        <v>93.286888000000019</v>
      </c>
      <c r="J19" s="73" ph="1">
        <f>J18*9.0746*LOOKUP(J20,密度!$A$2:$A$50,密度!$L$2:$L$50)</f>
        <v>24711.769227999997</v>
      </c>
      <c r="K19" s="73" ph="1">
        <f>K18*9.0746*LOOKUP(K20,密度!$A$2:$A$50,密度!$C$2:$C$50)</f>
        <v>18344.950011519999</v>
      </c>
      <c r="L19" s="73" ph="1">
        <f>L18*9.0746*LOOKUP(L20,密度!$A$2:$A$50,密度!$E$2:$E$50)</f>
        <v>29231.671404880002</v>
      </c>
      <c r="M19" s="73" ph="1">
        <f>M18*9.0746*LOOKUP(M20,密度!$A$2:$A$50,密度!$M$2:$M$50)</f>
        <v>32856.167372939999</v>
      </c>
      <c r="N19" s="73" ph="1">
        <f>N18*9.0746*LOOKUP(N20,密度!$A$2:$A$50,密度!$M$2:$M$50)</f>
        <v>40061.677455699995</v>
      </c>
      <c r="O19" s="73" ph="1">
        <f>O18*9.0746*LOOKUP(O20,密度!$A$2:$A$50,密度!$G$2:$G$50)</f>
        <v>1059.4858663399998</v>
      </c>
      <c r="P19" s="73" ph="1">
        <f ca="1">P18*9.0746*LOOKUP(P20,密度!$A$2:$A$51,密度!$Q$2:$Q$50)</f>
        <v>24209.580864</v>
      </c>
      <c r="Q19" s="73" ph="1">
        <f>Q18*9.0746*LOOKUP(Q20,密度!$A$2:$A$50,密度!$Q$2:$Q$50)</f>
        <v>52569.073406219999</v>
      </c>
      <c r="R19" s="73" ph="1">
        <f>MAX(R18*9.0746*LOOKUP(R20,密度!$A$2:$A$50,密度!$B$2:$B$50),0)</f>
        <v>24875.293520000003</v>
      </c>
      <c r="S19" s="73" ph="1">
        <f>S18*9.0746*LOOKUP(S20,密度!$A$2:$A$50,密度!$Q$2:$Q$50)</f>
        <v>48577.715226357999</v>
      </c>
      <c r="T19" s="73" ph="1">
        <f>T18*9.0746*LOOKUP(T20,密度!$A$2:$A$50,密度!$O$2:$O$50)</f>
        <v>45370.295769200005</v>
      </c>
      <c r="U19" s="73" ph="1">
        <f>U18*9.0746*LOOKUP(U20,密度!$A$2:$A$50,密度!$H$2:$H$50)</f>
        <v>14736.7148192</v>
      </c>
      <c r="V19" s="73" ph="1">
        <f>MAX(5600*LOOKUP(V20,密度!$A$2:$A$50,密度!$Q$2:$Q$50)+V18*9.0476*LOOKUP(V20,密度!$A$2:$A$50,密度!$Q$2:$Q$50),0)</f>
        <v>47893.887918407992</v>
      </c>
      <c r="W19" s="73" ph="1">
        <f>MAX(5600*LOOKUP(W20,密度!$A$2:$A$50,密度!$Q$2:$Q$50)+W18*9.0476*LOOKUP(W20,密度!$A$2:$A$50,密度!$Q$2:$Q$50),0)</f>
        <v>231.92965958400055</v>
      </c>
      <c r="X19" s="73" ph="1">
        <f>MAX(5600*LOOKUP(X20,密度!$A$2:$A$50,密度!$I$2:$I$50)+X18*9.0476*LOOKUP(X20,密度!$A$2:$A$50,密度!$I$2:$I$50),0)</f>
        <v>15990.959797119998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235.73632895999998</v>
      </c>
      <c r="AB19" s="73" ph="1">
        <f>AB18*9.0746*LOOKUP(AB20,密度!$A$2:$A$50,密度!$L$2:$L$50)</f>
        <v>53825.717662000003</v>
      </c>
      <c r="AC19" s="73" ph="1">
        <f>AC18*9.0746*LOOKUP(AC20,密度!$A$2:$A$50,密度!$L$2:$L$50)</f>
        <v>55919.899402399999</v>
      </c>
      <c r="AD19" s="73" ph="1">
        <f>AD18*268.68*LOOKUP(AD20,密度!$A$2:$A$50,密度!B5:B53)+IF(AD18&lt;=0,0,1566*LOOKUP(AD20,密度!$A$2:$A$50,密度!B5:B53))</f>
        <v>18869.896281599998</v>
      </c>
      <c r="AE19" s="73" ph="1">
        <f>AE18*268.68*LOOKUP(AE20,密度!$A$2:$A$50,密度!B5:B53)+IF(AE18&lt;=0,0,1566*LOOKUP(AE20,密度!$A$2:$A$50,密度!B5:B53))</f>
        <v>3726.1296071999996</v>
      </c>
      <c r="AH19" s="72" ph="1">
        <v>5</v>
      </c>
      <c r="AI19" s="72" t="s" ph="1">
        <v>385</v>
      </c>
      <c r="AZ19" s="72" t="s" ph="1">
        <v>260</v>
      </c>
      <c r="BA19" s="72" ph="1">
        <v>0</v>
      </c>
      <c r="BD19" s="72" t="s" ph="1">
        <v>386</v>
      </c>
      <c r="BE19" s="72" ph="1">
        <v>1440</v>
      </c>
    </row>
    <row r="20" spans="1:57" ph="1">
      <c r="A20" s="72" ph="1"/>
      <c r="B20" s="215" ph="1"/>
      <c r="C20" s="80" t="s" ph="1">
        <v>213</v>
      </c>
      <c r="D20" s="81">
        <v>19</v>
      </c>
      <c r="E20" s="81">
        <v>19</v>
      </c>
      <c r="F20" s="81">
        <v>21</v>
      </c>
      <c r="G20" s="81">
        <v>19</v>
      </c>
      <c r="H20" s="81">
        <v>15</v>
      </c>
      <c r="I20" s="81">
        <v>20</v>
      </c>
      <c r="J20" s="81">
        <v>22</v>
      </c>
      <c r="K20" s="81">
        <v>19</v>
      </c>
      <c r="L20" s="81">
        <v>19</v>
      </c>
      <c r="M20" s="81">
        <v>19</v>
      </c>
      <c r="N20" s="81">
        <v>19</v>
      </c>
      <c r="O20" s="81">
        <v>21</v>
      </c>
      <c r="P20" s="81">
        <v>17</v>
      </c>
      <c r="Q20" s="81">
        <v>19</v>
      </c>
      <c r="R20" s="81">
        <v>21</v>
      </c>
      <c r="S20" s="81">
        <v>18</v>
      </c>
      <c r="T20" s="81">
        <v>18</v>
      </c>
      <c r="U20" s="81">
        <v>17</v>
      </c>
      <c r="V20" s="81">
        <v>19</v>
      </c>
      <c r="W20" s="81">
        <v>19</v>
      </c>
      <c r="X20" s="81">
        <v>37</v>
      </c>
      <c r="Y20" s="110">
        <v>37</v>
      </c>
      <c r="Z20" s="81">
        <v>20</v>
      </c>
      <c r="AA20" s="81">
        <v>16</v>
      </c>
      <c r="AB20" s="81">
        <v>19</v>
      </c>
      <c r="AC20" s="81">
        <v>16</v>
      </c>
      <c r="AD20" s="81">
        <v>25</v>
      </c>
      <c r="AE20" s="81">
        <v>25</v>
      </c>
      <c r="AH20" s="64" ph="1">
        <v>6</v>
      </c>
      <c r="AI20" s="64" t="s" ph="1">
        <v>387</v>
      </c>
      <c r="AZ20" s="64" t="s" ph="1">
        <v>260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388</v>
      </c>
      <c r="AZ21" s="64" t="s" ph="1">
        <v>260</v>
      </c>
      <c r="BA21" s="64" ph="1">
        <v>0</v>
      </c>
      <c r="BD21" s="64" t="s" ph="1">
        <v>276</v>
      </c>
      <c r="BE21" s="64" ph="1">
        <v>730</v>
      </c>
    </row>
    <row r="22" spans="1:57" ph="1">
      <c r="A22" s="72" ph="1"/>
      <c r="B22" s="213" t="s" ph="1">
        <v>37</v>
      </c>
      <c r="C22" s="85" t="s" ph="1">
        <v>210</v>
      </c>
      <c r="D22" s="86" t="s" ph="1">
        <v>104</v>
      </c>
      <c r="E22" s="86" t="s" ph="1">
        <v>105</v>
      </c>
      <c r="F22" s="86" t="s" ph="1">
        <v>106</v>
      </c>
      <c r="G22" s="86" t="s" ph="1">
        <v>107</v>
      </c>
      <c r="H22" s="86" t="s" ph="1">
        <v>108</v>
      </c>
      <c r="I22" s="86" t="s" ph="1">
        <v>109</v>
      </c>
      <c r="J22" s="86" t="s" ph="1">
        <v>110</v>
      </c>
      <c r="K22" s="86" t="s" ph="1">
        <v>111</v>
      </c>
      <c r="L22" s="86" t="s" ph="1">
        <v>112</v>
      </c>
      <c r="M22" s="86" t="s" ph="1">
        <v>113</v>
      </c>
      <c r="N22" s="86" t="s" ph="1">
        <v>114</v>
      </c>
      <c r="O22" s="86" t="s" ph="1">
        <v>115</v>
      </c>
      <c r="P22" s="86" t="s" ph="1">
        <v>116</v>
      </c>
      <c r="Q22" s="87" t="s" ph="1">
        <v>117</v>
      </c>
      <c r="R22" s="86" t="s" ph="1">
        <v>118</v>
      </c>
      <c r="S22" s="86" t="s" ph="1">
        <v>119</v>
      </c>
      <c r="T22" s="86" t="s" ph="1">
        <v>120</v>
      </c>
      <c r="U22" s="86" t="s" ph="1">
        <v>121</v>
      </c>
      <c r="V22" s="86" t="s" ph="1">
        <v>122</v>
      </c>
      <c r="W22" s="86" t="s" ph="1">
        <v>123</v>
      </c>
      <c r="X22" s="86" t="s" ph="1">
        <v>124</v>
      </c>
      <c r="Y22" s="86" t="s" ph="1">
        <v>126</v>
      </c>
      <c r="Z22" s="223" t="s" ph="1">
        <v>79</v>
      </c>
      <c r="AA22" s="224"/>
      <c r="AB22" s="224"/>
      <c r="AC22" s="224"/>
      <c r="AD22" s="224"/>
      <c r="AE22" s="225"/>
      <c r="AH22" s="64" ph="1">
        <v>8</v>
      </c>
      <c r="AI22" s="64" t="s" ph="1">
        <v>389</v>
      </c>
      <c r="AZ22" s="64" t="s" ph="1">
        <v>260</v>
      </c>
      <c r="BA22" s="64" ph="1">
        <v>0</v>
      </c>
    </row>
    <row r="23" spans="1:57" ph="1">
      <c r="A23" s="72" ph="1"/>
      <c r="B23" s="217" ph="1"/>
      <c r="C23" s="67" t="s" ph="1">
        <v>36</v>
      </c>
      <c r="D23" s="88" t="s" ph="1">
        <v>128</v>
      </c>
      <c r="E23" s="88" t="s" ph="1">
        <v>125</v>
      </c>
      <c r="F23" s="88" t="s" ph="1">
        <v>224</v>
      </c>
      <c r="G23" s="88" t="s" ph="1">
        <v>165</v>
      </c>
      <c r="H23" s="88" t="s" ph="1">
        <v>165</v>
      </c>
      <c r="I23" s="88" t="s" ph="1">
        <v>166</v>
      </c>
      <c r="J23" s="88" t="s" ph="1">
        <v>167</v>
      </c>
      <c r="K23" s="88" t="s" ph="1">
        <v>129</v>
      </c>
      <c r="L23" s="88" t="s" ph="1">
        <v>129</v>
      </c>
      <c r="M23" s="88" t="s" ph="1">
        <v>167</v>
      </c>
      <c r="N23" s="88" t="s" ph="1">
        <v>167</v>
      </c>
      <c r="O23" s="88" t="s" ph="1">
        <v>132</v>
      </c>
      <c r="P23" s="88" t="s" ph="1">
        <v>168</v>
      </c>
      <c r="Q23" s="89" t="s" ph="1">
        <v>168</v>
      </c>
      <c r="R23" s="88" t="s" ph="1">
        <v>169</v>
      </c>
      <c r="S23" s="88" t="s" ph="1">
        <v>170</v>
      </c>
      <c r="T23" s="88" t="s" ph="1">
        <v>651</v>
      </c>
      <c r="U23" s="88" t="s" ph="1">
        <v>171</v>
      </c>
      <c r="V23" s="88" t="s" ph="1">
        <v>172</v>
      </c>
      <c r="W23" s="88" t="s" ph="1">
        <v>170</v>
      </c>
      <c r="X23" s="88" t="s" ph="1">
        <v>231</v>
      </c>
      <c r="Y23" s="88" t="s" ph="1">
        <v>97</v>
      </c>
      <c r="Z23" s="226" t="s" ph="1">
        <v>654</v>
      </c>
      <c r="AA23" s="227"/>
      <c r="AB23" s="227"/>
      <c r="AC23" s="227"/>
      <c r="AD23" s="227"/>
      <c r="AE23" s="228"/>
      <c r="AH23" s="64" ph="1">
        <v>9</v>
      </c>
      <c r="AI23" s="64" t="s" ph="1">
        <v>390</v>
      </c>
      <c r="AZ23" s="64" t="s" ph="1">
        <v>260</v>
      </c>
      <c r="BA23" s="64" ph="1">
        <v>0</v>
      </c>
      <c r="BD23" s="64" t="s" ph="1">
        <v>282</v>
      </c>
      <c r="BE23" s="64" ph="1">
        <v>890</v>
      </c>
    </row>
    <row r="24" spans="1:57" ph="1">
      <c r="A24" s="72" ph="1"/>
      <c r="B24" s="235" ph="1">
        <v>0.33333333333333331</v>
      </c>
      <c r="C24" s="146" t="s" ph="1">
        <v>211</v>
      </c>
      <c r="D24" s="71">
        <v>44.21</v>
      </c>
      <c r="E24" s="71">
        <v>97.62</v>
      </c>
      <c r="F24" s="71">
        <v>2146</v>
      </c>
      <c r="G24" s="71">
        <v>3691</v>
      </c>
      <c r="H24" s="71">
        <v>2729</v>
      </c>
      <c r="I24" s="71">
        <v>2536</v>
      </c>
      <c r="J24" s="71">
        <v>2449</v>
      </c>
      <c r="K24" s="71">
        <v>3481</v>
      </c>
      <c r="L24" s="71">
        <v>5073</v>
      </c>
      <c r="M24" s="71">
        <v>1384</v>
      </c>
      <c r="N24" s="71">
        <v>868</v>
      </c>
      <c r="O24" s="71">
        <v>2054</v>
      </c>
      <c r="P24" s="71">
        <v>2481</v>
      </c>
      <c r="Q24" s="90">
        <v>2609</v>
      </c>
      <c r="R24" s="71">
        <v>1985</v>
      </c>
      <c r="S24" s="71">
        <v>182</v>
      </c>
      <c r="T24" s="71">
        <v>6394</v>
      </c>
      <c r="U24" s="71">
        <v>4809</v>
      </c>
      <c r="V24" s="71">
        <v>5850</v>
      </c>
      <c r="W24" s="71">
        <v>11504</v>
      </c>
      <c r="X24" s="71">
        <v>11134</v>
      </c>
      <c r="Y24" s="71">
        <v>5081</v>
      </c>
      <c r="Z24" s="229"/>
      <c r="AA24" s="230"/>
      <c r="AB24" s="230"/>
      <c r="AC24" s="230"/>
      <c r="AD24" s="230"/>
      <c r="AE24" s="231"/>
      <c r="AH24" s="64" ph="1">
        <v>10</v>
      </c>
      <c r="AI24" s="64" t="s" ph="1">
        <v>391</v>
      </c>
      <c r="AZ24" s="64" t="s" ph="1">
        <v>260</v>
      </c>
      <c r="BA24" s="64" ph="1">
        <v>0</v>
      </c>
    </row>
    <row r="25" spans="1:57" ph="1">
      <c r="A25" s="72" ph="1"/>
      <c r="B25" s="235" ph="1"/>
      <c r="C25" s="68" t="s" ph="1">
        <v>212</v>
      </c>
      <c r="D25" s="91" ph="1">
        <f>D24*268.68*LOOKUP(D26,密度!$A$2:$A$50,密度!$Q$2:$Q$50)+IF(D24&lt;=0,0,1566*LOOKUP(D26,密度!$A$2:$A$50,密度!$Q$2:$Q$50))</f>
        <v>12728.297102472001</v>
      </c>
      <c r="E25" s="91" ph="1">
        <f>E24*268.68*LOOKUP(E26,密度!$A$2:$A$50,密度!$C$2:$C$50)+IF(E24&lt;=0,0,1566*LOOKUP(E26,密度!$A$2:$A$50,密度!$C$2:$C$50))</f>
        <v>30821.367180240002</v>
      </c>
      <c r="F25" s="91" ph="1">
        <f>F24*11.702*LOOKUP(F26,密度!$A$2:$A$50,密度!$Q$2:$Q$50)</f>
        <v>23907.343508919999</v>
      </c>
      <c r="G25" s="91" ph="1">
        <f>G24*18.322*LOOKUP(G26,密度!$A$2:$A$50,密度!$B$2:$B$50)</f>
        <v>53181.481172799991</v>
      </c>
      <c r="H25" s="91" ph="1">
        <f>H24*18.322*LOOKUP(H26,密度!$A$2:$A$50,密度!$B$2:$B$50)</f>
        <v>39320.580363199995</v>
      </c>
      <c r="I25" s="91" ph="1">
        <f>I24*18.322*LOOKUP(I26,密度!$A$2:$A$50,密度!$Q$2:$Q$50)</f>
        <v>44308.634931199995</v>
      </c>
      <c r="J25" s="91" ph="1">
        <f>J24*18.322*LOOKUP(J26,密度!$A$2:$A$50,密度!$Q$2:$Q$50)</f>
        <v>42788.5831808</v>
      </c>
      <c r="K25" s="91" ph="1">
        <f>K24*18.322*LOOKUP(K26,密度!$A$2:$A$50,密度!$Q$2:$Q$50)</f>
        <v>60768.518769599999</v>
      </c>
      <c r="L25" s="91" ph="1">
        <f>L24*18.322*LOOKUP(L26,密度!$A$2:$A$50,密度!$Q$2:$Q$50)</f>
        <v>88634.741721599989</v>
      </c>
      <c r="M25" s="91" ph="1">
        <f>M24*18.322*LOOKUP(M26,密度!$A$2:$A$50,密度!$Q$2:$Q$50)</f>
        <v>24181.053132799996</v>
      </c>
      <c r="N25" s="91" ph="1">
        <f>N24*18.322*LOOKUP(N26,密度!$A$2:$A$50,密度!$Q$2:$Q$50)</f>
        <v>15165.5737856</v>
      </c>
      <c r="O25" s="91" ph="1">
        <f>O24*18.322*LOOKUP(O26,密度!$A$2:$A$50,密度!$C$2:$C$50)</f>
        <v>41968.754297599997</v>
      </c>
      <c r="P25" s="91" ph="1">
        <f>P24*11.702*LOOKUP(P26,密度!$A$2:$A$50,密度!$B$2:$B$50)</f>
        <v>22831.285396799998</v>
      </c>
      <c r="Q25" s="92" ph="1">
        <f>Q24*18.322*LOOKUP(Q26,密度!$A$2:$A$50,密度!$B$2:$B$50)</f>
        <v>37591.5698672</v>
      </c>
      <c r="R25" s="91" ph="1">
        <f>R24*35.891*LOOKUP(R26,密度!$A$2:$A$50,密度!$C$2:$C$50)</f>
        <v>79450.901751999991</v>
      </c>
      <c r="S25" s="91" ph="1">
        <f>S24*35.891*LOOKUP(S26,密度!$A$2:$A$50,密度!$B$2:$B$50)</f>
        <v>5136.8921967999995</v>
      </c>
      <c r="T25" s="91" ph="1">
        <f>T24*35.891*LOOKUP(T26,密度!$A$2:$A$50,密度!$Q$2:$Q$50)</f>
        <v>218655.26505119997</v>
      </c>
      <c r="U25" s="91" ph="1">
        <f>U24*35.891</f>
        <v>172599.81899999999</v>
      </c>
      <c r="V25" s="91" ph="1">
        <f>V24*47.051*LOOKUP(V26,密度!$A$2:$A$50,密度!$B$2:$B$50)</f>
        <v>216675.50112000003</v>
      </c>
      <c r="W25" s="91" ph="1">
        <f>W24*47.051*LOOKUP(W26,密度!$A$2:$A$50,密度!$B$2:$B$50)</f>
        <v>426091.44698880002</v>
      </c>
      <c r="X25" s="91" ph="1">
        <f>X24*47.051*LOOKUP(X26,密度!$A$2:$A$50,密度!$I$2:$I$50)</f>
        <v>542536.41232375999</v>
      </c>
      <c r="Y25" s="91" ph="1">
        <f>Y24*47.051*LOOKUP(Y26,密度!$A$2:$A$50,密度!$L$2:$L$50)</f>
        <v>225917.49379500002</v>
      </c>
      <c r="Z25" s="229"/>
      <c r="AA25" s="230"/>
      <c r="AB25" s="230"/>
      <c r="AC25" s="230"/>
      <c r="AD25" s="230"/>
      <c r="AE25" s="231"/>
      <c r="AH25" s="64" ph="1">
        <v>11</v>
      </c>
      <c r="AI25" s="64" t="s" ph="1">
        <v>392</v>
      </c>
      <c r="AZ25" s="64" t="s" ph="1">
        <v>260</v>
      </c>
      <c r="BA25" s="64" ph="1">
        <v>0</v>
      </c>
      <c r="BD25" s="64" t="s" ph="1">
        <v>285</v>
      </c>
      <c r="BE25" s="64" ph="1">
        <v>8920</v>
      </c>
    </row>
    <row r="26" spans="1:57" ph="1">
      <c r="A26" s="72" ph="1"/>
      <c r="B26" s="235" ph="1"/>
      <c r="C26" s="68" t="s" ph="1">
        <v>213</v>
      </c>
      <c r="D26" s="74">
        <v>25</v>
      </c>
      <c r="E26" s="74">
        <v>25</v>
      </c>
      <c r="F26" s="74">
        <v>18</v>
      </c>
      <c r="G26" s="74">
        <v>17</v>
      </c>
      <c r="H26" s="74">
        <v>17</v>
      </c>
      <c r="I26" s="74">
        <v>16</v>
      </c>
      <c r="J26" s="74">
        <v>16</v>
      </c>
      <c r="K26" s="74">
        <v>17</v>
      </c>
      <c r="L26" s="74">
        <v>16</v>
      </c>
      <c r="M26" s="74">
        <v>16</v>
      </c>
      <c r="N26" s="74">
        <v>16</v>
      </c>
      <c r="O26" s="74">
        <v>16</v>
      </c>
      <c r="P26" s="74">
        <v>17</v>
      </c>
      <c r="Q26" s="93">
        <v>17</v>
      </c>
      <c r="R26" s="74">
        <v>16</v>
      </c>
      <c r="S26" s="74">
        <v>17</v>
      </c>
      <c r="T26" s="74">
        <v>17</v>
      </c>
      <c r="U26" s="74">
        <v>17</v>
      </c>
      <c r="V26" s="74">
        <v>16</v>
      </c>
      <c r="W26" s="74">
        <v>16</v>
      </c>
      <c r="X26" s="74">
        <v>50</v>
      </c>
      <c r="Y26" s="74">
        <v>17</v>
      </c>
      <c r="Z26" s="229"/>
      <c r="AA26" s="230"/>
      <c r="AB26" s="230"/>
      <c r="AC26" s="230"/>
      <c r="AD26" s="230"/>
      <c r="AE26" s="231"/>
      <c r="AH26" s="64" ph="1">
        <v>12</v>
      </c>
      <c r="AI26" s="64" t="s" ph="1">
        <v>393</v>
      </c>
      <c r="AZ26" s="64" t="s" ph="1">
        <v>260</v>
      </c>
      <c r="BA26" s="64" ph="1">
        <v>0</v>
      </c>
    </row>
    <row r="27" spans="1:57" ph="1">
      <c r="A27" s="72" ph="1"/>
      <c r="B27" s="235" ph="1">
        <v>0.66666666666666663</v>
      </c>
      <c r="C27" s="146" t="s" ph="1">
        <v>214</v>
      </c>
      <c r="D27" s="71">
        <v>44.32</v>
      </c>
      <c r="E27" s="71">
        <v>97.64</v>
      </c>
      <c r="F27" s="71">
        <v>2154</v>
      </c>
      <c r="G27" s="71">
        <v>2625</v>
      </c>
      <c r="H27" s="71">
        <v>2765</v>
      </c>
      <c r="I27" s="71">
        <v>2537</v>
      </c>
      <c r="J27" s="71">
        <v>2448</v>
      </c>
      <c r="K27" s="71">
        <v>3485</v>
      </c>
      <c r="L27" s="71">
        <v>5073</v>
      </c>
      <c r="M27" s="71">
        <v>1384</v>
      </c>
      <c r="N27" s="71">
        <v>867</v>
      </c>
      <c r="O27" s="71">
        <v>2053</v>
      </c>
      <c r="P27" s="71">
        <v>2484</v>
      </c>
      <c r="Q27" s="90">
        <v>2508</v>
      </c>
      <c r="R27" s="71">
        <v>2014</v>
      </c>
      <c r="S27" s="71">
        <v>180</v>
      </c>
      <c r="T27" s="71">
        <v>6395</v>
      </c>
      <c r="U27" s="71">
        <v>4626</v>
      </c>
      <c r="V27" s="71">
        <v>5852</v>
      </c>
      <c r="W27" s="71">
        <v>11504</v>
      </c>
      <c r="X27" s="71">
        <v>11124</v>
      </c>
      <c r="Y27" s="71">
        <v>4465</v>
      </c>
      <c r="Z27" s="229"/>
      <c r="AA27" s="230"/>
      <c r="AB27" s="230"/>
      <c r="AC27" s="230"/>
      <c r="AD27" s="230"/>
      <c r="AE27" s="231"/>
      <c r="AH27" s="64" ph="1">
        <v>13</v>
      </c>
      <c r="AI27" s="64" t="s" ph="1">
        <v>394</v>
      </c>
      <c r="AZ27" s="64" t="s" ph="1">
        <v>260</v>
      </c>
      <c r="BA27" s="64" ph="1">
        <v>0</v>
      </c>
      <c r="BD27" s="64" t="s" ph="1">
        <v>339</v>
      </c>
      <c r="BE27" s="64" ph="1">
        <v>7100</v>
      </c>
    </row>
    <row r="28" spans="1:57" ph="1">
      <c r="A28" s="72" ph="1"/>
      <c r="B28" s="235" ph="1"/>
      <c r="C28" s="146" t="s" ph="1">
        <v>212</v>
      </c>
      <c r="D28" s="91" ph="1">
        <f>D27*268.68*LOOKUP(D29,密度!$A$2:$A$50,密度!$Q$2:$Q$50)+IF(D27&lt;=0,0,1566*LOOKUP(D29,密度!$A$2:$A$50,密度!$Q$2:$Q$50))</f>
        <v>12756.277813824001</v>
      </c>
      <c r="E28" s="91" ph="1">
        <f>E27*268.68*LOOKUP(E29,密度!$A$2:$A$50,密度!$C$2:$C$50)+IF(E27&lt;=0,0,1566*LOOKUP(E29,密度!$A$2:$A$50,密度!$C$2:$C$50))</f>
        <v>30827.325965280001</v>
      </c>
      <c r="F28" s="91" ph="1">
        <f>F27*11.702*LOOKUP(F29,密度!$A$2:$A$50,密度!$Q$2:$Q$50)</f>
        <v>24036.544588799999</v>
      </c>
      <c r="G28" s="91" ph="1">
        <f>G27*18.322*LOOKUP(G29,密度!$A$2:$A$50,密度!$B$2:$B$50)</f>
        <v>37942.342725000002</v>
      </c>
      <c r="H28" s="91" ph="1">
        <f>H27*18.322*LOOKUP(H29,密度!$A$2:$A$50,密度!$B$2:$B$50)</f>
        <v>39920.340039999995</v>
      </c>
      <c r="I28" s="91" ph="1">
        <f>I27*18.322*LOOKUP(I29,密度!$A$2:$A$50,密度!$Q$2:$Q$50)</f>
        <v>44326.106790399994</v>
      </c>
      <c r="J28" s="91" ph="1">
        <f>J27*18.322*LOOKUP(J29,密度!$A$2:$A$50,密度!$Q$2:$Q$50)</f>
        <v>42735.229516799998</v>
      </c>
      <c r="K28" s="91" ph="1">
        <f>K27*18.322*LOOKUP(K29,密度!$A$2:$A$50,密度!$Q$2:$Q$50)</f>
        <v>60838.347576</v>
      </c>
      <c r="L28" s="91" ph="1">
        <f>L27*18.322*LOOKUP(L29,密度!$A$2:$A$50,密度!$Q$2:$Q$50)</f>
        <v>88634.741721599989</v>
      </c>
      <c r="M28" s="91" ph="1">
        <f>M27*18.322*LOOKUP(M29,密度!$A$2:$A$50,密度!$Q$2:$Q$50)</f>
        <v>24204.88932192</v>
      </c>
      <c r="N28" s="91" ph="1">
        <f>N27*18.322*LOOKUP(N29,密度!$A$2:$A$50,密度!$Q$2:$Q$50)</f>
        <v>15163.03398996</v>
      </c>
      <c r="O28" s="91" ph="1">
        <f>O27*18.322*LOOKUP(O29,密度!$A$2:$A$50,密度!$C$2:$C$50)</f>
        <v>41921.991056999999</v>
      </c>
      <c r="P28" s="91" ph="1">
        <f>P27*11.702*LOOKUP(P29,密度!$A$2:$A$50,密度!$B$2:$B$50)</f>
        <v>22882.146969599999</v>
      </c>
      <c r="Q28" s="92" ph="1">
        <f>Q27*18.322*LOOKUP(Q29,密度!$A$2:$A$50,密度!$B$2:$B$50)</f>
        <v>36209.841888000003</v>
      </c>
      <c r="R28" s="91" ph="1">
        <f>R27*35.891*LOOKUP(R29,密度!$A$2:$A$50,密度!$C$2:$C$50)</f>
        <v>80561.046273</v>
      </c>
      <c r="S28" s="91" ph="1">
        <f>S27*35.891*LOOKUP(S29,密度!$A$2:$A$50,密度!$B$2:$B$50)</f>
        <v>5075.9205659999998</v>
      </c>
      <c r="T28" s="91" ph="1">
        <f>T27*35.891*LOOKUP(T29,密度!$A$2:$A$50,密度!$Q$2:$Q$50)</f>
        <v>218873.08035199999</v>
      </c>
      <c r="U28" s="91" ph="1">
        <f>U27*35.891</f>
        <v>166031.766</v>
      </c>
      <c r="V28" s="91" ph="1">
        <f>V27*47.051*LOOKUP(V29,密度!$A$2:$A$50,密度!$B$2:$B$50)</f>
        <v>216336.56453639999</v>
      </c>
      <c r="W28" s="91" ph="1">
        <f>W27*47.051*LOOKUP(W29,密度!$A$2:$A$50,密度!$B$2:$B$50)</f>
        <v>425658.4272256</v>
      </c>
      <c r="X28" s="91" ph="1">
        <f>X27*47.051*LOOKUP(X29,密度!$A$2:$A$50,密度!$I$2:$I$50)</f>
        <v>539044.84418760007</v>
      </c>
      <c r="Y28" s="91" ph="1">
        <f>Y27*47.051*LOOKUP(Y29,密度!$A$2:$A$50,密度!$L$2:$L$50)</f>
        <v>198738.24838999999</v>
      </c>
      <c r="Z28" s="229"/>
      <c r="AA28" s="230"/>
      <c r="AB28" s="230"/>
      <c r="AC28" s="230"/>
      <c r="AD28" s="230"/>
      <c r="AE28" s="231"/>
      <c r="AH28" s="64" ph="1">
        <v>14</v>
      </c>
      <c r="AI28" s="64" t="s" ph="1">
        <v>395</v>
      </c>
      <c r="AZ28" s="64" t="s" ph="1">
        <v>260</v>
      </c>
      <c r="BA28" s="64" ph="1">
        <v>0</v>
      </c>
    </row>
    <row r="29" spans="1:57" ph="1">
      <c r="A29" s="72" ph="1"/>
      <c r="B29" s="235" ph="1"/>
      <c r="C29" s="146" t="s" ph="1">
        <v>213</v>
      </c>
      <c r="D29" s="74">
        <v>25</v>
      </c>
      <c r="E29" s="74">
        <v>25</v>
      </c>
      <c r="F29" s="74">
        <v>16</v>
      </c>
      <c r="G29" s="74">
        <v>14</v>
      </c>
      <c r="H29" s="74">
        <v>15</v>
      </c>
      <c r="I29" s="74">
        <v>16</v>
      </c>
      <c r="J29" s="74">
        <v>17</v>
      </c>
      <c r="K29" s="74">
        <v>17</v>
      </c>
      <c r="L29" s="74">
        <v>16</v>
      </c>
      <c r="M29" s="74">
        <v>15</v>
      </c>
      <c r="N29" s="74">
        <v>14</v>
      </c>
      <c r="O29" s="74">
        <v>17</v>
      </c>
      <c r="P29" s="74">
        <v>16</v>
      </c>
      <c r="Q29" s="93">
        <v>15</v>
      </c>
      <c r="R29" s="74">
        <v>17</v>
      </c>
      <c r="S29" s="74">
        <v>18</v>
      </c>
      <c r="T29" s="74">
        <v>16</v>
      </c>
      <c r="U29" s="74">
        <v>17</v>
      </c>
      <c r="V29" s="74">
        <v>18</v>
      </c>
      <c r="W29" s="74">
        <v>17</v>
      </c>
      <c r="X29" s="74">
        <v>44</v>
      </c>
      <c r="Y29" s="74">
        <v>16</v>
      </c>
      <c r="Z29" s="232"/>
      <c r="AA29" s="233"/>
      <c r="AB29" s="233"/>
      <c r="AC29" s="233"/>
      <c r="AD29" s="233"/>
      <c r="AE29" s="234"/>
      <c r="AH29" s="64" ph="1">
        <v>15</v>
      </c>
      <c r="AI29" s="64" t="s" ph="1">
        <v>396</v>
      </c>
      <c r="AZ29" s="64" t="s" ph="1">
        <v>260</v>
      </c>
      <c r="BA29" s="64" ph="1">
        <v>0</v>
      </c>
      <c r="BD29" s="64" t="s" ph="1">
        <v>397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398</v>
      </c>
      <c r="AZ30" s="64" t="s" ph="1">
        <v>260</v>
      </c>
      <c r="BA30" s="64" ph="1">
        <v>0</v>
      </c>
    </row>
    <row r="31" spans="1:57" ht="28.5" ph="1">
      <c r="A31" s="64"/>
      <c r="B31" s="218" t="s" ph="1">
        <v>35</v>
      </c>
      <c r="C31" s="219" ph="1"/>
      <c r="D31" s="222" t="s" ph="1">
        <v>9</v>
      </c>
      <c r="E31" s="197" ph="1"/>
      <c r="F31" s="198" ph="1"/>
      <c r="G31" s="222" t="s" ph="1">
        <v>18</v>
      </c>
      <c r="H31" s="197" ph="1"/>
      <c r="I31" s="198" ph="1"/>
      <c r="J31" s="196" t="s" ph="1">
        <v>1</v>
      </c>
      <c r="K31" s="197" ph="1"/>
      <c r="L31" s="198" ph="1"/>
      <c r="M31" s="196" t="s" ph="1">
        <v>7</v>
      </c>
      <c r="N31" s="197" ph="1"/>
      <c r="O31" s="198" ph="1"/>
      <c r="P31" s="196" t="s" ph="1">
        <v>42</v>
      </c>
      <c r="Q31" s="197"/>
      <c r="R31" s="198"/>
      <c r="S31" s="196" t="s" ph="1">
        <v>2</v>
      </c>
      <c r="T31" s="197"/>
      <c r="U31" s="198"/>
      <c r="V31" s="196" t="s" ph="1">
        <v>81</v>
      </c>
      <c r="W31" s="197" ph="1"/>
      <c r="X31" s="198" ph="1"/>
      <c r="Y31" s="196" t="s" ph="1">
        <v>3</v>
      </c>
      <c r="Z31" s="197" ph="1"/>
      <c r="AA31" s="198" ph="1"/>
      <c r="AB31" s="199" t="s">
        <v>43</v>
      </c>
      <c r="AC31" s="200"/>
      <c r="AD31" s="200"/>
      <c r="AE31" s="201"/>
      <c r="AH31" s="64" ph="1">
        <v>17</v>
      </c>
      <c r="AI31" s="64" t="s" ph="1">
        <v>399</v>
      </c>
      <c r="AZ31" s="64" t="s" ph="1">
        <v>260</v>
      </c>
      <c r="BA31" s="64" ph="1">
        <v>0</v>
      </c>
      <c r="BD31" s="64" t="s" ph="1">
        <v>400</v>
      </c>
      <c r="BE31" s="64" ph="1">
        <v>9310</v>
      </c>
    </row>
    <row r="32" spans="1:57" ph="1">
      <c r="A32" s="64"/>
      <c r="B32" s="220" ph="1"/>
      <c r="C32" s="221" ph="1"/>
      <c r="D32" s="96" t="s" ph="1">
        <v>4</v>
      </c>
      <c r="E32" s="146" t="s" ph="1">
        <v>5</v>
      </c>
      <c r="F32" s="147" t="s" ph="1">
        <v>44</v>
      </c>
      <c r="G32" s="97" t="s" ph="1">
        <v>4</v>
      </c>
      <c r="H32" s="146" t="s" ph="1">
        <v>5</v>
      </c>
      <c r="I32" s="147" t="s" ph="1">
        <v>44</v>
      </c>
      <c r="J32" s="97" t="s" ph="1">
        <v>4</v>
      </c>
      <c r="K32" s="146" t="s" ph="1">
        <v>5</v>
      </c>
      <c r="L32" s="147" t="s" ph="1">
        <v>44</v>
      </c>
      <c r="M32" s="97" t="s" ph="1">
        <v>4</v>
      </c>
      <c r="N32" s="146" t="s" ph="1">
        <v>5</v>
      </c>
      <c r="O32" s="147" t="s" ph="1">
        <v>44</v>
      </c>
      <c r="P32" s="97" t="s" ph="1">
        <v>4</v>
      </c>
      <c r="Q32" s="98" t="s" ph="1">
        <v>5</v>
      </c>
      <c r="R32" s="99" t="s" ph="1">
        <v>44</v>
      </c>
      <c r="S32" s="97" t="s" ph="1">
        <v>4</v>
      </c>
      <c r="T32" s="146" t="s" ph="1">
        <v>5</v>
      </c>
      <c r="U32" s="99" t="s" ph="1">
        <v>44</v>
      </c>
      <c r="V32" s="97" t="s" ph="1">
        <v>4</v>
      </c>
      <c r="W32" s="146" t="s" ph="1">
        <v>5</v>
      </c>
      <c r="X32" s="99" t="s" ph="1">
        <v>44</v>
      </c>
      <c r="Y32" s="100" t="s" ph="1">
        <v>4</v>
      </c>
      <c r="Z32" s="146" t="s" ph="1">
        <v>5</v>
      </c>
      <c r="AA32" s="147" t="s" ph="1">
        <v>44</v>
      </c>
      <c r="AB32" s="97" t="s" ph="1">
        <v>102</v>
      </c>
      <c r="AC32" s="146" t="s" ph="1">
        <v>101</v>
      </c>
      <c r="AD32" s="202" t="s" ph="1">
        <v>100</v>
      </c>
      <c r="AE32" s="203"/>
      <c r="AH32" s="64" ph="1">
        <v>18</v>
      </c>
      <c r="AI32" s="64" t="s" ph="1">
        <v>401</v>
      </c>
      <c r="AZ32" s="64" t="s" ph="1">
        <v>260</v>
      </c>
      <c r="BA32" s="64" ph="1">
        <v>0</v>
      </c>
    </row>
    <row r="33" spans="1:57" ph="1">
      <c r="A33" s="64"/>
      <c r="B33" s="204" t="s" ph="1">
        <v>215</v>
      </c>
      <c r="C33" s="205" ph="1"/>
      <c r="D33" s="184" ph="1">
        <f>AA10+AB10+Z19</f>
        <v>62408.387761999998</v>
      </c>
      <c r="E33" s="184" ph="1">
        <f>M10+I10</f>
        <v>226401.89239469997</v>
      </c>
      <c r="F33" s="208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表格_取樣回收每月庫存表_0620更新1522252632456786910111213141516171819202123456789101112131415161718192022232424356789101112131415161718192021222345678910111213141516171819202345678910111213149101516171819222123234567891012131415161711181920212224252[[#This Row],[F25]]</f>
        <v>3880</v>
      </c>
      <c r="G33" s="210" ph="1">
        <v>0</v>
      </c>
      <c r="H33" s="184" ph="1">
        <f>N19</f>
        <v>40061.677455699995</v>
      </c>
      <c r="I33" s="188" ph="1">
        <v>0</v>
      </c>
      <c r="J33" s="192" ph="1">
        <f>F10+O28</f>
        <v>281531.30728350003</v>
      </c>
      <c r="K33" s="184" ph="1">
        <f>O10+K10+E28+R28</f>
        <v>185187.85661707999</v>
      </c>
      <c r="L33" s="194" ph="1">
        <f>BE27</f>
        <v>7100</v>
      </c>
      <c r="M33" s="192" ph="1">
        <f>G10+H10+W28+S28</f>
        <v>1107460.1423895999</v>
      </c>
      <c r="N33" s="184" ph="1">
        <f>L10+P10++G28+H28+V28</f>
        <v>348875.5819934</v>
      </c>
      <c r="O33" s="188" ph="1">
        <f>BE17</f>
        <v>2270</v>
      </c>
      <c r="P33" s="192" ph="1">
        <f>L19</f>
        <v>29231.671404880002</v>
      </c>
      <c r="Q33" s="184" ph="1">
        <f>J10+N10</f>
        <v>89434.156460000013</v>
      </c>
      <c r="R33" s="188" ph="1">
        <f>BE23</f>
        <v>890</v>
      </c>
      <c r="S33" s="192" ph="1">
        <f>E10+X28</f>
        <v>539044.84418760007</v>
      </c>
      <c r="T33" s="184" ph="1">
        <f>X19</f>
        <v>15990.959797119998</v>
      </c>
      <c r="U33" s="173" ph="1">
        <f>BE21</f>
        <v>730</v>
      </c>
      <c r="V33" s="186" ph="1">
        <f ca="1">P19+Q19+S19+M28+N28+J28</f>
        <v>207459.522325258</v>
      </c>
      <c r="W33" s="186" ph="1">
        <f>D28+F28+V19+T28</f>
        <v>303559.790673032</v>
      </c>
      <c r="X33" s="188" ph="1">
        <f>BE29+BE31</f>
        <v>10200</v>
      </c>
      <c r="Y33" s="190" ph="1">
        <f>+Q10+R10+S10+T10+U10+V10+W10+X10+Y10</f>
        <v>139767.85191599999</v>
      </c>
      <c r="Z33" s="171" ph="1">
        <f>D10+T19+U19+Y28+Z10</f>
        <v>294249.22305114003</v>
      </c>
      <c r="AA33" s="173" ph="1">
        <f>BE19</f>
        <v>1440</v>
      </c>
      <c r="AB33" s="175" ph="1">
        <f>I19</f>
        <v>93.286888000000019</v>
      </c>
      <c r="AC33" s="177" ph="1">
        <f>AD10</f>
        <v>42772.309824000004</v>
      </c>
      <c r="AD33" s="179" ph="1">
        <v>0</v>
      </c>
      <c r="AE33" s="180"/>
      <c r="AH33" s="64" ph="1">
        <v>19</v>
      </c>
      <c r="AI33" s="64" t="s" ph="1">
        <v>402</v>
      </c>
      <c r="AJ33" s="64" t="s" ph="1">
        <v>636</v>
      </c>
      <c r="AK33" s="64" t="s" ph="1">
        <v>633</v>
      </c>
      <c r="AL33" s="64" ph="1">
        <v>730</v>
      </c>
      <c r="AM33" s="64" t="s" ph="1">
        <v>383</v>
      </c>
      <c r="AZ33" s="64" t="s" ph="1">
        <v>260</v>
      </c>
      <c r="BA33" s="64" ph="1">
        <v>730</v>
      </c>
      <c r="BD33" s="64" t="s" ph="1">
        <v>334</v>
      </c>
      <c r="BE33" s="64" ph="1">
        <v>3880</v>
      </c>
    </row>
    <row r="34" spans="1:57" ph="1">
      <c r="A34" s="64"/>
      <c r="B34" s="206" ph="1"/>
      <c r="C34" s="207" ph="1"/>
      <c r="D34" s="185" ph="1"/>
      <c r="E34" s="185" ph="1"/>
      <c r="F34" s="209" ph="1"/>
      <c r="G34" s="211" ph="1"/>
      <c r="H34" s="185" ph="1"/>
      <c r="I34" s="189" ph="1"/>
      <c r="J34" s="193" ph="1"/>
      <c r="K34" s="185" ph="1"/>
      <c r="L34" s="195" ph="1"/>
      <c r="M34" s="193" ph="1"/>
      <c r="N34" s="185" ph="1"/>
      <c r="O34" s="189" ph="1"/>
      <c r="P34" s="193" ph="1"/>
      <c r="Q34" s="185" ph="1"/>
      <c r="R34" s="189" ph="1"/>
      <c r="S34" s="193" ph="1"/>
      <c r="T34" s="185"/>
      <c r="U34" s="174"/>
      <c r="V34" s="187" ph="1"/>
      <c r="W34" s="187" ph="1"/>
      <c r="X34" s="189" ph="1"/>
      <c r="Y34" s="191" ph="1"/>
      <c r="Z34" s="172" ph="1"/>
      <c r="AA34" s="174" ph="1"/>
      <c r="AB34" s="176"/>
      <c r="AC34" s="178"/>
      <c r="AD34" s="181"/>
      <c r="AE34" s="182"/>
      <c r="AH34" s="64" ph="1">
        <v>20</v>
      </c>
      <c r="AI34" s="64" t="s" ph="1">
        <v>403</v>
      </c>
      <c r="AJ34" s="64" t="s" ph="1">
        <v>637</v>
      </c>
      <c r="AK34" s="64" t="s" ph="1">
        <v>633</v>
      </c>
      <c r="AL34" s="64" ph="1">
        <v>720</v>
      </c>
      <c r="AM34" s="64" t="s" ph="1">
        <v>383</v>
      </c>
      <c r="AZ34" s="64" t="s" ph="1">
        <v>260</v>
      </c>
      <c r="BA34" s="64" ph="1">
        <v>720</v>
      </c>
    </row>
    <row r="35" spans="1:57" ph="1">
      <c r="A35" s="64"/>
      <c r="AC35" s="183" t="s" ph="1">
        <v>84</v>
      </c>
      <c r="AD35" s="183"/>
      <c r="AE35" s="183"/>
      <c r="AH35" s="64" ph="1">
        <v>21</v>
      </c>
      <c r="AI35" s="64" t="s" ph="1">
        <v>404</v>
      </c>
      <c r="AZ35" s="64" t="s" ph="1">
        <v>260</v>
      </c>
      <c r="BA35" s="64" ph="1">
        <v>0</v>
      </c>
      <c r="BD35" s="64" t="s" ph="1">
        <v>405</v>
      </c>
      <c r="BE35" s="64" ph="1">
        <v>2030</v>
      </c>
    </row>
    <row r="36" spans="1:57" ht="28.5" ph="1">
      <c r="A36" s="64"/>
      <c r="B36" s="103" t="s" ph="1">
        <v>216</v>
      </c>
      <c r="I36" s="169" t="s" ph="1">
        <v>217</v>
      </c>
      <c r="J36" s="169" ph="1"/>
      <c r="K36" s="101" ph="1"/>
      <c r="P36" s="101" ph="1"/>
      <c r="R36" s="169" t="s" ph="1">
        <v>218</v>
      </c>
      <c r="S36" s="169" ph="1"/>
      <c r="Y36" s="102" ph="1"/>
      <c r="Z36" s="148" t="s" ph="1">
        <v>219</v>
      </c>
      <c r="AA36" s="148" ph="1"/>
      <c r="AB36" s="170" t="s" ph="1">
        <v>652</v>
      </c>
      <c r="AC36" s="170" ph="1"/>
      <c r="AD36" s="170" ph="1"/>
      <c r="AE36" s="170" ph="1"/>
      <c r="BA36" s="64" ph="1">
        <v>2270</v>
      </c>
    </row>
    <row r="37" spans="1:57" s="148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8" t="s" ph="1">
        <v>386</v>
      </c>
      <c r="AI37" s="148" t="s" ph="1">
        <v>253</v>
      </c>
      <c r="AJ37" s="148" t="s" ph="1">
        <v>254</v>
      </c>
      <c r="AK37" s="148" t="s" ph="1">
        <v>255</v>
      </c>
      <c r="AM37" s="148" t="s" ph="1">
        <v>254</v>
      </c>
      <c r="AN37" s="148" t="s" ph="1">
        <v>255</v>
      </c>
      <c r="AO37" s="148" t="s" ph="1">
        <v>256</v>
      </c>
      <c r="AP37" s="148" t="s" ph="1">
        <v>254</v>
      </c>
      <c r="AQ37" s="148" t="s" ph="1">
        <v>255</v>
      </c>
      <c r="AR37" s="148" t="s" ph="1">
        <v>256</v>
      </c>
      <c r="AS37" s="148" t="s" ph="1">
        <v>254</v>
      </c>
      <c r="AT37" s="148" t="s" ph="1">
        <v>255</v>
      </c>
      <c r="AU37" s="148" t="s" ph="1">
        <v>256</v>
      </c>
      <c r="AV37" s="148" t="s" ph="1">
        <v>254</v>
      </c>
      <c r="AW37" s="148" t="s" ph="1">
        <v>255</v>
      </c>
      <c r="AX37" s="148" t="s" ph="1">
        <v>256</v>
      </c>
      <c r="AY37" s="148" t="s" ph="1">
        <v>255</v>
      </c>
      <c r="AZ37" s="148" t="s" ph="1">
        <v>257</v>
      </c>
      <c r="BD37" s="148" t="s" ph="1">
        <v>349</v>
      </c>
      <c r="BE37" s="148" ph="1">
        <v>0</v>
      </c>
    </row>
    <row r="38" spans="1:57" ph="1">
      <c r="AE38" s="64" ph="1"/>
      <c r="AH38" s="64" ph="1">
        <v>1</v>
      </c>
      <c r="AI38" s="64" t="s" ph="1">
        <v>406</v>
      </c>
      <c r="AY38" s="64" t="s" ph="1">
        <v>260</v>
      </c>
      <c r="AZ38" s="64" t="s" ph="1">
        <v>411</v>
      </c>
    </row>
    <row r="39" spans="1:57" ph="1">
      <c r="AH39" s="64" ph="1">
        <v>2</v>
      </c>
      <c r="AI39" s="64" t="s" ph="1">
        <v>408</v>
      </c>
      <c r="AJ39" s="64" t="s" ph="1">
        <v>380</v>
      </c>
      <c r="AK39" s="64" t="s" ph="1">
        <v>409</v>
      </c>
      <c r="AM39" s="64" t="s" ph="1">
        <v>614</v>
      </c>
      <c r="AN39" s="64" t="s" ph="1">
        <v>272</v>
      </c>
      <c r="AO39" s="64" t="s" ph="1">
        <v>407</v>
      </c>
      <c r="AY39" s="64" t="s" ph="1">
        <v>260</v>
      </c>
      <c r="AZ39" s="64" t="s" ph="1">
        <v>543</v>
      </c>
    </row>
    <row r="40" spans="1:57" ph="1">
      <c r="AH40" s="64" ph="1">
        <v>3</v>
      </c>
      <c r="AI40" s="64" t="s" ph="1">
        <v>410</v>
      </c>
      <c r="AJ40" s="64" t="s" ph="1">
        <v>614</v>
      </c>
      <c r="AK40" s="64" t="s" ph="1">
        <v>615</v>
      </c>
      <c r="AY40" s="64" t="s" ph="1">
        <v>260</v>
      </c>
      <c r="AZ40" s="64" t="s" ph="1">
        <v>615</v>
      </c>
    </row>
    <row r="41" spans="1:57" ph="1">
      <c r="AH41" s="64" ph="1">
        <v>4</v>
      </c>
      <c r="AI41" s="64" t="s" ph="1">
        <v>412</v>
      </c>
      <c r="AJ41" s="64" t="s" ph="1">
        <v>616</v>
      </c>
      <c r="AK41" s="64" t="s" ph="1">
        <v>617</v>
      </c>
      <c r="AM41" s="64" t="s" ph="1">
        <v>618</v>
      </c>
      <c r="AY41" s="64" t="s" ph="1">
        <v>260</v>
      </c>
      <c r="AZ41" s="64" t="s" ph="1">
        <v>617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413</v>
      </c>
      <c r="AY42" s="64" t="s" ph="1">
        <v>260</v>
      </c>
      <c r="AZ42" s="64" t="s" ph="1">
        <v>411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414</v>
      </c>
      <c r="AY43" s="64" t="s" ph="1">
        <v>260</v>
      </c>
      <c r="AZ43" s="64" t="s" ph="1">
        <v>411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415</v>
      </c>
      <c r="AV44" s="64" t="s" ph="1">
        <v>261</v>
      </c>
      <c r="AY44" s="64" t="s" ph="1">
        <v>260</v>
      </c>
      <c r="AZ44" s="64" t="s" ph="1">
        <v>411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416</v>
      </c>
      <c r="AV45" s="64" t="s" ph="1">
        <v>261</v>
      </c>
      <c r="AY45" s="64" t="s" ph="1">
        <v>260</v>
      </c>
      <c r="AZ45" s="64" t="s" ph="1">
        <v>411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417</v>
      </c>
      <c r="AV46" s="64" t="s" ph="1">
        <v>261</v>
      </c>
      <c r="AY46" s="64" t="s" ph="1">
        <v>260</v>
      </c>
      <c r="AZ46" s="64" t="s" ph="1">
        <v>411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418</v>
      </c>
      <c r="AV47" s="64" t="s" ph="1">
        <v>261</v>
      </c>
      <c r="AY47" s="64" t="s" ph="1">
        <v>260</v>
      </c>
      <c r="AZ47" s="64" t="s" ph="1">
        <v>411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619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276</v>
      </c>
      <c r="AI49" s="64" t="s" ph="1">
        <v>253</v>
      </c>
      <c r="AJ49" s="64" t="s" ph="1">
        <v>254</v>
      </c>
      <c r="AK49" s="64" t="s" ph="1">
        <v>255</v>
      </c>
      <c r="AM49" s="64" t="s" ph="1">
        <v>254</v>
      </c>
      <c r="AN49" s="64" t="s" ph="1">
        <v>255</v>
      </c>
      <c r="AO49" s="64" t="s" ph="1">
        <v>256</v>
      </c>
      <c r="AP49" s="64" t="s" ph="1">
        <v>254</v>
      </c>
      <c r="AQ49" s="64" t="s" ph="1">
        <v>255</v>
      </c>
      <c r="AR49" s="64" t="s" ph="1">
        <v>256</v>
      </c>
      <c r="AS49" s="64" t="s" ph="1">
        <v>254</v>
      </c>
      <c r="AT49" s="64" t="s" ph="1">
        <v>255</v>
      </c>
      <c r="AU49" s="64" t="s" ph="1">
        <v>256</v>
      </c>
      <c r="AV49" s="64" t="s" ph="1">
        <v>254</v>
      </c>
      <c r="AW49" s="64" t="s" ph="1">
        <v>255</v>
      </c>
      <c r="AX49" s="64" t="s" ph="1">
        <v>256</v>
      </c>
      <c r="AY49" s="64" t="s" ph="1">
        <v>255</v>
      </c>
      <c r="AZ49" s="64" t="s" ph="1">
        <v>257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419</v>
      </c>
      <c r="AY50" s="64" t="s" ph="1">
        <v>260</v>
      </c>
      <c r="AZ50" s="64" t="s" ph="1">
        <v>411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420</v>
      </c>
      <c r="AY51" s="64" t="s" ph="1">
        <v>260</v>
      </c>
      <c r="AZ51" s="64" t="s" ph="1">
        <v>411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421</v>
      </c>
      <c r="AJ52" s="64" t="s" ph="1">
        <v>378</v>
      </c>
      <c r="AK52" s="64" t="s" ph="1">
        <v>272</v>
      </c>
      <c r="AM52" s="64" t="s" ph="1">
        <v>380</v>
      </c>
      <c r="AN52" s="64" t="s" ph="1">
        <v>344</v>
      </c>
      <c r="AO52" s="64" t="s" ph="1">
        <v>277</v>
      </c>
      <c r="AP52" s="64" t="s" ph="1">
        <v>614</v>
      </c>
      <c r="AQ52" s="64" t="s" ph="1">
        <v>326</v>
      </c>
      <c r="AR52" s="64" t="s" ph="1">
        <v>277</v>
      </c>
      <c r="AY52" s="64" t="s" ph="1">
        <v>260</v>
      </c>
      <c r="AZ52" s="64" t="s" ph="1">
        <v>620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422</v>
      </c>
      <c r="AY53" s="64" t="s" ph="1">
        <v>260</v>
      </c>
      <c r="AZ53" s="64" t="s" ph="1">
        <v>411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423</v>
      </c>
      <c r="AJ54" s="64" t="s" ph="1">
        <v>378</v>
      </c>
      <c r="AK54" s="64" t="s" ph="1">
        <v>263</v>
      </c>
      <c r="AM54" s="64" t="s" ph="1">
        <v>380</v>
      </c>
      <c r="AN54" s="64" t="s" ph="1">
        <v>268</v>
      </c>
      <c r="AO54" s="64" t="s" ph="1">
        <v>277</v>
      </c>
      <c r="AP54" s="64" t="s" ph="1">
        <v>614</v>
      </c>
      <c r="AQ54" s="64" t="s" ph="1">
        <v>284</v>
      </c>
      <c r="AR54" s="64" t="s" ph="1">
        <v>277</v>
      </c>
      <c r="AY54" s="64" t="s" ph="1">
        <v>260</v>
      </c>
      <c r="AZ54" s="64" t="s" ph="1">
        <v>278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424</v>
      </c>
      <c r="AY55" s="64" t="s" ph="1">
        <v>260</v>
      </c>
      <c r="AZ55" s="64" t="s" ph="1">
        <v>411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425</v>
      </c>
      <c r="AY56" s="64" t="s" ph="1">
        <v>260</v>
      </c>
      <c r="AZ56" s="64" t="s" ph="1">
        <v>411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426</v>
      </c>
      <c r="AY57" s="64" t="s" ph="1">
        <v>260</v>
      </c>
      <c r="AZ57" s="64" t="s" ph="1">
        <v>411</v>
      </c>
    </row>
    <row r="58" spans="16:52" ph="1">
      <c r="P58" s="64"/>
      <c r="AN58" s="64" t="s" ph="1">
        <v>261</v>
      </c>
      <c r="AZ58" s="64" t="s" ph="1">
        <v>621</v>
      </c>
    </row>
    <row r="59" spans="16:52" ph="1">
      <c r="V59" s="64"/>
      <c r="AG59" s="64" t="s" ph="1">
        <v>279</v>
      </c>
      <c r="AI59" s="64" t="s" ph="1">
        <v>253</v>
      </c>
      <c r="AJ59" s="64" t="s" ph="1">
        <v>254</v>
      </c>
      <c r="AK59" s="64" t="s" ph="1">
        <v>255</v>
      </c>
      <c r="AM59" s="64" t="s" ph="1">
        <v>254</v>
      </c>
      <c r="AN59" s="64" t="s" ph="1">
        <v>255</v>
      </c>
      <c r="AO59" s="64" t="s" ph="1">
        <v>256</v>
      </c>
      <c r="AP59" s="64" t="s" ph="1">
        <v>254</v>
      </c>
      <c r="AQ59" s="64" t="s" ph="1">
        <v>255</v>
      </c>
      <c r="AR59" s="64" t="s" ph="1">
        <v>256</v>
      </c>
      <c r="AS59" s="64" t="s" ph="1">
        <v>254</v>
      </c>
      <c r="AT59" s="64" t="s" ph="1">
        <v>255</v>
      </c>
      <c r="AU59" s="64" t="s" ph="1">
        <v>256</v>
      </c>
      <c r="AV59" s="64" t="s" ph="1">
        <v>254</v>
      </c>
      <c r="AW59" s="64" t="s" ph="1">
        <v>255</v>
      </c>
      <c r="AX59" s="64" t="s" ph="1">
        <v>256</v>
      </c>
      <c r="AY59" s="64" t="s" ph="1">
        <v>255</v>
      </c>
      <c r="AZ59" s="64" t="s" ph="1">
        <v>257</v>
      </c>
    </row>
    <row r="60" spans="16:52" ph="1">
      <c r="R60" s="64"/>
      <c r="S60" s="64"/>
      <c r="T60" s="64"/>
      <c r="AH60" s="64" ph="1">
        <v>1</v>
      </c>
      <c r="AI60" s="64" t="s" ph="1">
        <v>427</v>
      </c>
      <c r="AY60" s="64" t="s" ph="1">
        <v>260</v>
      </c>
      <c r="AZ60" s="64" t="s" ph="1">
        <v>411</v>
      </c>
    </row>
    <row r="61" spans="16:52" ph="1">
      <c r="AH61" s="64" ph="1">
        <v>2</v>
      </c>
      <c r="AI61" s="64" t="s" ph="1">
        <v>428</v>
      </c>
      <c r="AS61" s="64" t="s" ph="1">
        <v>261</v>
      </c>
      <c r="AY61" s="64" t="s" ph="1">
        <v>260</v>
      </c>
      <c r="AZ61" s="64" t="s" ph="1">
        <v>411</v>
      </c>
    </row>
    <row r="62" spans="16:52" ph="1">
      <c r="AZ62" s="64" t="s" ph="1">
        <v>429</v>
      </c>
    </row>
    <row r="63" spans="16:52" ph="1">
      <c r="AG63" s="64" t="s" ph="1">
        <v>282</v>
      </c>
      <c r="AI63" s="64" t="s" ph="1">
        <v>253</v>
      </c>
      <c r="AJ63" s="64" t="s" ph="1">
        <v>254</v>
      </c>
      <c r="AK63" s="64" t="s" ph="1">
        <v>255</v>
      </c>
      <c r="AM63" s="64" t="s" ph="1">
        <v>254</v>
      </c>
      <c r="AN63" s="64" t="s" ph="1">
        <v>255</v>
      </c>
      <c r="AO63" s="64" t="s" ph="1">
        <v>256</v>
      </c>
      <c r="AP63" s="64" t="s" ph="1">
        <v>254</v>
      </c>
      <c r="AQ63" s="64" t="s" ph="1">
        <v>255</v>
      </c>
      <c r="AR63" s="64" t="s" ph="1">
        <v>256</v>
      </c>
      <c r="AS63" s="64" t="s" ph="1">
        <v>254</v>
      </c>
      <c r="AT63" s="64" t="s" ph="1">
        <v>255</v>
      </c>
      <c r="AU63" s="64" t="s" ph="1">
        <v>256</v>
      </c>
      <c r="AV63" s="64" t="s" ph="1">
        <v>254</v>
      </c>
      <c r="AW63" s="64" t="s" ph="1">
        <v>255</v>
      </c>
      <c r="AX63" s="64" t="s" ph="1">
        <v>256</v>
      </c>
      <c r="AY63" s="64" t="s" ph="1">
        <v>255</v>
      </c>
      <c r="AZ63" s="64" t="s" ph="1">
        <v>257</v>
      </c>
    </row>
    <row r="64" spans="16:52" ph="1">
      <c r="AH64" s="64" ph="1">
        <v>1</v>
      </c>
      <c r="AI64" s="64" t="s" ph="1">
        <v>430</v>
      </c>
      <c r="AJ64" s="64" t="s" ph="1">
        <v>431</v>
      </c>
      <c r="AK64" s="64" t="s" ph="1">
        <v>432</v>
      </c>
      <c r="AY64" s="64" t="s" ph="1">
        <v>260</v>
      </c>
      <c r="AZ64" s="64" t="s" ph="1">
        <v>432</v>
      </c>
    </row>
    <row r="65" spans="33:52" ph="1">
      <c r="AH65" s="64" ph="1">
        <v>2</v>
      </c>
      <c r="AI65" s="64" t="s" ph="1">
        <v>433</v>
      </c>
      <c r="AY65" s="64" t="s" ph="1">
        <v>260</v>
      </c>
      <c r="AZ65" s="64" t="s" ph="1">
        <v>411</v>
      </c>
    </row>
    <row r="66" spans="33:52" ph="1">
      <c r="AH66" s="64" ph="1">
        <v>3</v>
      </c>
      <c r="AI66" s="64" t="s" ph="1">
        <v>434</v>
      </c>
      <c r="AY66" s="64" t="s" ph="1">
        <v>260</v>
      </c>
      <c r="AZ66" s="64" t="s" ph="1">
        <v>411</v>
      </c>
    </row>
    <row r="67" spans="33:52" ph="1">
      <c r="AH67" s="64" ph="1">
        <v>4</v>
      </c>
      <c r="AI67" s="64" t="s" ph="1">
        <v>435</v>
      </c>
      <c r="AY67" s="64" t="s" ph="1">
        <v>260</v>
      </c>
      <c r="AZ67" s="64" t="s" ph="1">
        <v>411</v>
      </c>
    </row>
    <row r="68" spans="33:52" ph="1">
      <c r="AH68" s="64" ph="1">
        <v>5</v>
      </c>
      <c r="AI68" s="64" t="s" ph="1">
        <v>436</v>
      </c>
      <c r="AY68" s="64" t="s" ph="1">
        <v>260</v>
      </c>
      <c r="AZ68" s="64" t="s" ph="1">
        <v>411</v>
      </c>
    </row>
    <row r="69" spans="33:52" ph="1">
      <c r="AH69" s="64" ph="1">
        <v>6</v>
      </c>
      <c r="AI69" s="64" t="s" ph="1">
        <v>437</v>
      </c>
      <c r="AY69" s="64" t="s" ph="1">
        <v>260</v>
      </c>
      <c r="AZ69" s="64" t="s" ph="1">
        <v>411</v>
      </c>
    </row>
    <row r="70" spans="33:52" ph="1">
      <c r="AI70" s="64" t="s" ph="1">
        <v>438</v>
      </c>
      <c r="AY70" s="64" t="s" ph="1">
        <v>260</v>
      </c>
      <c r="AZ70" s="64" t="s" ph="1">
        <v>411</v>
      </c>
    </row>
    <row r="71" spans="33:52" ph="1">
      <c r="AH71" s="64" ph="1">
        <v>7</v>
      </c>
      <c r="AI71" s="64" t="s" ph="1">
        <v>439</v>
      </c>
      <c r="AJ71" s="64" t="s" ph="1">
        <v>378</v>
      </c>
      <c r="AK71" s="64" t="s" ph="1">
        <v>272</v>
      </c>
      <c r="AM71" s="64" t="s" ph="1">
        <v>380</v>
      </c>
      <c r="AN71" s="64" t="s" ph="1">
        <v>272</v>
      </c>
      <c r="AO71" s="64" t="s" ph="1">
        <v>440</v>
      </c>
      <c r="AP71" s="64" t="s" ph="1">
        <v>614</v>
      </c>
      <c r="AQ71" s="64" t="s" ph="1">
        <v>263</v>
      </c>
      <c r="AR71" s="64" t="s" ph="1">
        <v>440</v>
      </c>
      <c r="AY71" s="64" t="s" ph="1">
        <v>260</v>
      </c>
      <c r="AZ71" s="64" t="s" ph="1">
        <v>622</v>
      </c>
    </row>
    <row r="72" spans="33:52" ph="1">
      <c r="AZ72" s="64" t="s" ph="1">
        <v>623</v>
      </c>
    </row>
    <row r="73" spans="33:52" ph="1">
      <c r="AG73" s="64" t="s" ph="1">
        <v>285</v>
      </c>
      <c r="AI73" s="64" t="s" ph="1">
        <v>253</v>
      </c>
      <c r="AJ73" s="64" t="s" ph="1">
        <v>254</v>
      </c>
      <c r="AK73" s="64" t="s" ph="1">
        <v>255</v>
      </c>
      <c r="AM73" s="64" t="s" ph="1">
        <v>254</v>
      </c>
      <c r="AN73" s="64" t="s" ph="1">
        <v>255</v>
      </c>
      <c r="AO73" s="64" t="s" ph="1">
        <v>256</v>
      </c>
      <c r="AP73" s="64" t="s" ph="1">
        <v>254</v>
      </c>
      <c r="AQ73" s="64" t="s" ph="1">
        <v>255</v>
      </c>
      <c r="AR73" s="64" t="s" ph="1">
        <v>256</v>
      </c>
      <c r="AS73" s="64" t="s" ph="1">
        <v>254</v>
      </c>
      <c r="AT73" s="64" t="s" ph="1">
        <v>255</v>
      </c>
      <c r="AU73" s="64" t="s" ph="1">
        <v>256</v>
      </c>
      <c r="AV73" s="64" t="s" ph="1">
        <v>254</v>
      </c>
      <c r="AW73" s="64" t="s" ph="1">
        <v>255</v>
      </c>
      <c r="AX73" s="64" t="s" ph="1">
        <v>256</v>
      </c>
      <c r="AY73" s="64" t="s" ph="1">
        <v>255</v>
      </c>
      <c r="AZ73" s="64" t="s" ph="1">
        <v>257</v>
      </c>
    </row>
    <row r="74" spans="33:52" ph="1">
      <c r="AH74" s="64" ph="1">
        <v>1</v>
      </c>
      <c r="AI74" s="64" t="s" ph="1">
        <v>441</v>
      </c>
      <c r="AJ74" s="64" t="s" ph="1">
        <v>286</v>
      </c>
      <c r="AK74" s="64" t="s" ph="1">
        <v>268</v>
      </c>
      <c r="AM74" s="64" t="s" ph="1">
        <v>288</v>
      </c>
      <c r="AN74" s="64" t="s" ph="1">
        <v>298</v>
      </c>
      <c r="AO74" s="64" t="s" ph="1">
        <v>287</v>
      </c>
      <c r="AP74" s="64" t="s" ph="1">
        <v>289</v>
      </c>
      <c r="AQ74" s="64" t="s" ph="1">
        <v>266</v>
      </c>
      <c r="AR74" s="64" t="s" ph="1">
        <v>287</v>
      </c>
      <c r="AS74" s="64" t="s" ph="1">
        <v>259</v>
      </c>
      <c r="AT74" s="64" t="s" ph="1">
        <v>261</v>
      </c>
      <c r="AV74" s="64" t="s" ph="1">
        <v>442</v>
      </c>
      <c r="AW74" s="64" t="s" ph="1">
        <v>443</v>
      </c>
      <c r="AX74" s="64" t="s" ph="1">
        <v>444</v>
      </c>
      <c r="AY74" s="64" t="s" ph="1">
        <v>260</v>
      </c>
      <c r="AZ74" s="64" t="s" ph="1">
        <v>445</v>
      </c>
    </row>
    <row r="75" spans="33:52" ph="1">
      <c r="AJ75" s="64" t="s" ph="1">
        <v>291</v>
      </c>
      <c r="AK75" s="64" t="s" ph="1">
        <v>344</v>
      </c>
      <c r="AM75" s="64" t="s" ph="1">
        <v>289</v>
      </c>
      <c r="AN75" s="64" t="s" ph="1">
        <v>269</v>
      </c>
      <c r="AO75" s="64" t="s" ph="1">
        <v>287</v>
      </c>
      <c r="AS75" s="64" t="s" ph="1">
        <v>259</v>
      </c>
      <c r="AT75" s="64" t="s" ph="1">
        <v>290</v>
      </c>
    </row>
    <row r="76" spans="33:52" ph="1">
      <c r="AJ76" s="64" t="s" ph="1">
        <v>291</v>
      </c>
      <c r="AK76" s="64" t="s" ph="1">
        <v>284</v>
      </c>
      <c r="AM76" s="64" t="s" ph="1">
        <v>289</v>
      </c>
      <c r="AN76" s="64" t="s" ph="1">
        <v>272</v>
      </c>
      <c r="AO76" s="64" t="s" ph="1">
        <v>287</v>
      </c>
      <c r="AS76" s="64" t="s" ph="1">
        <v>259</v>
      </c>
      <c r="AT76" s="64" t="s" ph="1">
        <v>290</v>
      </c>
    </row>
    <row r="77" spans="33:52" ph="1">
      <c r="AJ77" s="64" t="s" ph="1">
        <v>327</v>
      </c>
      <c r="AK77" s="64" t="s" ph="1">
        <v>284</v>
      </c>
      <c r="AM77" s="64" t="s" ph="1">
        <v>328</v>
      </c>
      <c r="AN77" s="64" t="s" ph="1">
        <v>267</v>
      </c>
      <c r="AO77" s="64" t="s" ph="1">
        <v>287</v>
      </c>
      <c r="AS77" s="64" t="s" ph="1">
        <v>259</v>
      </c>
      <c r="AT77" s="64" t="s" ph="1">
        <v>329</v>
      </c>
    </row>
    <row r="78" spans="33:52" ph="1">
      <c r="AH78" s="64" ph="1">
        <v>2</v>
      </c>
      <c r="AI78" s="64" t="s" ph="1">
        <v>293</v>
      </c>
      <c r="AJ78" s="64" t="s" ph="1">
        <v>294</v>
      </c>
      <c r="AK78" s="64" t="s" ph="1">
        <v>263</v>
      </c>
      <c r="AM78" s="64" t="s" ph="1">
        <v>295</v>
      </c>
      <c r="AN78" s="64" t="s" ph="1">
        <v>298</v>
      </c>
      <c r="AO78" s="64" t="s" ph="1">
        <v>287</v>
      </c>
      <c r="AP78" s="64" t="s" ph="1">
        <v>296</v>
      </c>
      <c r="AQ78" s="64" t="s" ph="1">
        <v>342</v>
      </c>
      <c r="AR78" s="64" t="s" ph="1">
        <v>287</v>
      </c>
      <c r="AS78" s="64" t="s" ph="1">
        <v>297</v>
      </c>
      <c r="AT78" s="64" t="s" ph="1">
        <v>298</v>
      </c>
      <c r="AU78" s="64" t="s" ph="1">
        <v>287</v>
      </c>
      <c r="AV78" s="64" t="s" ph="1">
        <v>299</v>
      </c>
      <c r="AW78" s="64" t="s" ph="1">
        <v>287</v>
      </c>
      <c r="AY78" s="64" t="s" ph="1">
        <v>260</v>
      </c>
      <c r="AZ78" s="64" t="s" ph="1">
        <v>446</v>
      </c>
    </row>
    <row r="79" spans="33:52" ph="1">
      <c r="AJ79" s="64" t="s" ph="1">
        <v>289</v>
      </c>
      <c r="AK79" s="64" t="s" ph="1">
        <v>300</v>
      </c>
      <c r="AM79" s="64" t="s" ph="1">
        <v>301</v>
      </c>
      <c r="AN79" s="64" t="s" ph="1">
        <v>269</v>
      </c>
      <c r="AO79" s="64" t="s" ph="1">
        <v>287</v>
      </c>
      <c r="AP79" s="64" t="s" ph="1">
        <v>302</v>
      </c>
      <c r="AQ79" s="64" t="s" ph="1">
        <v>267</v>
      </c>
      <c r="AR79" s="64" t="s" ph="1">
        <v>303</v>
      </c>
      <c r="AS79" s="64" t="s" ph="1">
        <v>259</v>
      </c>
      <c r="AT79" s="64" t="s" ph="1">
        <v>304</v>
      </c>
      <c r="AV79" s="64" t="s" ph="1">
        <v>447</v>
      </c>
      <c r="AW79" s="64" t="s" ph="1">
        <v>346</v>
      </c>
      <c r="AX79" s="64" t="s" ph="1">
        <v>444</v>
      </c>
    </row>
    <row r="80" spans="33:52" ph="1">
      <c r="AH80" s="64" ph="1">
        <v>3</v>
      </c>
      <c r="AI80" s="64" t="s" ph="1">
        <v>305</v>
      </c>
      <c r="AJ80" s="64" t="s" ph="1">
        <v>306</v>
      </c>
      <c r="AK80" s="64" t="s" ph="1">
        <v>307</v>
      </c>
      <c r="AM80" s="64" t="s" ph="1">
        <v>308</v>
      </c>
      <c r="AN80" s="64" t="s" ph="1">
        <v>298</v>
      </c>
      <c r="AO80" s="64" t="s" ph="1">
        <v>287</v>
      </c>
      <c r="AP80" s="64" t="s" ph="1">
        <v>309</v>
      </c>
      <c r="AQ80" s="64" t="s" ph="1">
        <v>272</v>
      </c>
      <c r="AR80" s="64" t="s" ph="1">
        <v>287</v>
      </c>
      <c r="AS80" s="64" t="s" ph="1">
        <v>310</v>
      </c>
      <c r="AT80" s="64" t="s" ph="1">
        <v>271</v>
      </c>
      <c r="AU80" s="64" t="s" ph="1">
        <v>287</v>
      </c>
      <c r="AV80" s="64" t="s" ph="1">
        <v>311</v>
      </c>
      <c r="AW80" s="64" t="s" ph="1">
        <v>287</v>
      </c>
      <c r="AY80" s="64" t="s" ph="1">
        <v>260</v>
      </c>
      <c r="AZ80" s="64" t="s" ph="1">
        <v>448</v>
      </c>
    </row>
    <row r="81" spans="34:52" ph="1">
      <c r="AJ81" s="64" t="s" ph="1">
        <v>312</v>
      </c>
      <c r="AK81" s="64" t="s" ph="1">
        <v>266</v>
      </c>
      <c r="AM81" s="64" t="s" ph="1">
        <v>313</v>
      </c>
      <c r="AN81" s="64" t="s" ph="1">
        <v>269</v>
      </c>
      <c r="AO81" s="64" t="s" ph="1">
        <v>287</v>
      </c>
      <c r="AP81" s="64" t="s" ph="1">
        <v>314</v>
      </c>
      <c r="AQ81" s="64" t="s" ph="1">
        <v>298</v>
      </c>
      <c r="AR81" s="64" t="s" ph="1">
        <v>287</v>
      </c>
      <c r="AS81" s="64" t="s" ph="1">
        <v>315</v>
      </c>
      <c r="AT81" s="64" t="s" ph="1">
        <v>316</v>
      </c>
      <c r="AU81" s="64" t="s" ph="1">
        <v>287</v>
      </c>
      <c r="AV81" s="64" t="s" ph="1">
        <v>317</v>
      </c>
    </row>
    <row r="82" spans="34:52" ph="1">
      <c r="AJ82" s="64" t="s" ph="1">
        <v>318</v>
      </c>
      <c r="AK82" s="64" t="s" ph="1">
        <v>266</v>
      </c>
      <c r="AM82" s="64" t="s" ph="1">
        <v>319</v>
      </c>
      <c r="AN82" s="64" t="s" ph="1">
        <v>316</v>
      </c>
      <c r="AO82" s="64" t="s" ph="1">
        <v>320</v>
      </c>
      <c r="AP82" s="64" t="s" ph="1">
        <v>321</v>
      </c>
      <c r="AQ82" s="64" t="s" ph="1">
        <v>298</v>
      </c>
      <c r="AR82" s="64" t="s" ph="1">
        <v>287</v>
      </c>
      <c r="AS82" s="64" t="s" ph="1">
        <v>322</v>
      </c>
      <c r="AT82" s="64" t="s" ph="1">
        <v>273</v>
      </c>
      <c r="AU82" s="64" t="s" ph="1">
        <v>287</v>
      </c>
      <c r="AV82" s="64" t="s" ph="1">
        <v>447</v>
      </c>
      <c r="AW82" s="64" t="s" ph="1">
        <v>347</v>
      </c>
      <c r="AX82" s="64" t="s" ph="1">
        <v>444</v>
      </c>
    </row>
    <row r="83" spans="34:52" ph="1">
      <c r="AJ83" s="64" t="s" ph="1">
        <v>323</v>
      </c>
      <c r="AK83" s="64" t="s" ph="1">
        <v>340</v>
      </c>
      <c r="AM83" s="64" t="s" ph="1">
        <v>324</v>
      </c>
      <c r="AN83" s="64" t="s" ph="1">
        <v>272</v>
      </c>
      <c r="AO83" s="64" t="s" ph="1">
        <v>303</v>
      </c>
      <c r="AP83" s="64" t="s" ph="1">
        <v>325</v>
      </c>
      <c r="AQ83" s="64" t="s" ph="1">
        <v>326</v>
      </c>
      <c r="AR83" s="64" t="s" ph="1">
        <v>303</v>
      </c>
      <c r="AS83" s="64" t="s" ph="1">
        <v>449</v>
      </c>
      <c r="AT83" s="64" t="s" ph="1">
        <v>298</v>
      </c>
      <c r="AU83" s="64" t="s" ph="1">
        <v>303</v>
      </c>
      <c r="AV83" s="64" t="s" ph="1">
        <v>450</v>
      </c>
      <c r="AW83" s="64" t="s" ph="1">
        <v>347</v>
      </c>
      <c r="AX83" s="64" t="s" ph="1">
        <v>451</v>
      </c>
    </row>
    <row r="84" spans="34:52" ph="1">
      <c r="AH84" s="64" ph="1">
        <v>4</v>
      </c>
      <c r="AI84" s="64" t="s" ph="1">
        <v>330</v>
      </c>
      <c r="AJ84" s="64" t="s" ph="1">
        <v>270</v>
      </c>
      <c r="AK84" s="64" t="s" ph="1">
        <v>273</v>
      </c>
      <c r="AM84" s="64" t="s" ph="1">
        <v>274</v>
      </c>
      <c r="AN84" s="64" t="s" ph="1">
        <v>267</v>
      </c>
      <c r="AO84" s="64" t="s" ph="1">
        <v>303</v>
      </c>
      <c r="AP84" s="64" t="s" ph="1">
        <v>332</v>
      </c>
      <c r="AQ84" s="64" t="s" ph="1">
        <v>266</v>
      </c>
      <c r="AR84" s="64" t="s" ph="1">
        <v>303</v>
      </c>
      <c r="AS84" s="64" t="s" ph="1">
        <v>332</v>
      </c>
      <c r="AT84" s="64" t="s" ph="1">
        <v>268</v>
      </c>
      <c r="AU84" s="64" t="s" ph="1">
        <v>303</v>
      </c>
      <c r="AY84" s="64" t="s" ph="1">
        <v>260</v>
      </c>
      <c r="AZ84" s="64" t="s" ph="1">
        <v>452</v>
      </c>
    </row>
    <row r="85" spans="34:52" ph="1">
      <c r="AJ85" s="64" t="s" ph="1">
        <v>262</v>
      </c>
      <c r="AK85" s="64" t="s" ph="1">
        <v>266</v>
      </c>
      <c r="AM85" s="64" t="s" ph="1">
        <v>453</v>
      </c>
      <c r="AN85" s="64" t="s" ph="1">
        <v>273</v>
      </c>
      <c r="AO85" s="64" t="s" ph="1">
        <v>303</v>
      </c>
      <c r="AP85" s="64" t="s" ph="1">
        <v>454</v>
      </c>
      <c r="AQ85" s="64" t="s" ph="1">
        <v>269</v>
      </c>
      <c r="AR85" s="64" t="s" ph="1">
        <v>303</v>
      </c>
      <c r="AS85" s="64" t="s" ph="1">
        <v>455</v>
      </c>
      <c r="AT85" s="64" t="s" ph="1">
        <v>269</v>
      </c>
      <c r="AU85" s="64" t="s" ph="1">
        <v>303</v>
      </c>
    </row>
    <row r="86" spans="34:52" ph="1">
      <c r="AJ86" s="64" t="s" ph="1">
        <v>456</v>
      </c>
      <c r="AK86" s="64" t="s" ph="1">
        <v>275</v>
      </c>
      <c r="AM86" s="64" t="s" ph="1">
        <v>457</v>
      </c>
      <c r="AN86" s="64" t="s" ph="1">
        <v>316</v>
      </c>
      <c r="AO86" s="64" t="s" ph="1">
        <v>303</v>
      </c>
      <c r="AP86" s="64" t="s" ph="1">
        <v>458</v>
      </c>
      <c r="AQ86" s="64" t="s" ph="1">
        <v>263</v>
      </c>
      <c r="AR86" s="64" t="s" ph="1">
        <v>303</v>
      </c>
      <c r="AS86" s="64" t="s" ph="1">
        <v>459</v>
      </c>
      <c r="AT86" s="64" t="s" ph="1">
        <v>281</v>
      </c>
      <c r="AU86" s="64" t="s" ph="1">
        <v>303</v>
      </c>
    </row>
    <row r="87" spans="34:52" ph="1">
      <c r="AJ87" s="64" t="s" ph="1">
        <v>460</v>
      </c>
      <c r="AK87" s="64" t="s" ph="1">
        <v>316</v>
      </c>
      <c r="AM87" s="64" t="s" ph="1">
        <v>447</v>
      </c>
      <c r="AN87" s="64" t="s" ph="1">
        <v>461</v>
      </c>
      <c r="AO87" s="64" t="s" ph="1">
        <v>444</v>
      </c>
    </row>
    <row r="88" spans="34:52" ph="1">
      <c r="AH88" s="64" ph="1">
        <v>5</v>
      </c>
      <c r="AI88" s="64" t="s" ph="1">
        <v>333</v>
      </c>
      <c r="AJ88" s="64" t="s" ph="1">
        <v>462</v>
      </c>
      <c r="AK88" s="64" t="s" ph="1">
        <v>316</v>
      </c>
      <c r="AM88" s="64" t="s" ph="1">
        <v>463</v>
      </c>
      <c r="AN88" s="64" t="s" ph="1">
        <v>316</v>
      </c>
      <c r="AO88" s="64" t="s" ph="1">
        <v>303</v>
      </c>
      <c r="AP88" s="64" t="s" ph="1">
        <v>464</v>
      </c>
      <c r="AQ88" s="64" t="s" ph="1">
        <v>266</v>
      </c>
      <c r="AR88" s="64" t="s" ph="1">
        <v>303</v>
      </c>
      <c r="AS88" s="64" t="s" ph="1">
        <v>465</v>
      </c>
      <c r="AT88" s="64" t="s" ph="1">
        <v>316</v>
      </c>
      <c r="AU88" s="64" t="s" ph="1">
        <v>303</v>
      </c>
      <c r="AV88" s="64" t="s" ph="1">
        <v>466</v>
      </c>
      <c r="AW88" s="64" t="s" ph="1">
        <v>271</v>
      </c>
      <c r="AX88" s="64" t="s" ph="1">
        <v>303</v>
      </c>
      <c r="AY88" s="64" t="s" ph="1">
        <v>260</v>
      </c>
      <c r="AZ88" s="64" t="s" ph="1">
        <v>467</v>
      </c>
    </row>
    <row r="89" spans="34:52" ph="1">
      <c r="AJ89" s="64" t="s" ph="1">
        <v>468</v>
      </c>
      <c r="AK89" s="64" t="s" ph="1">
        <v>269</v>
      </c>
      <c r="AM89" s="64" t="s" ph="1">
        <v>469</v>
      </c>
      <c r="AN89" s="64" t="s" ph="1">
        <v>272</v>
      </c>
      <c r="AO89" s="64" t="s" ph="1">
        <v>303</v>
      </c>
      <c r="AP89" s="64" t="s" ph="1">
        <v>470</v>
      </c>
      <c r="AQ89" s="64" t="s" ph="1">
        <v>281</v>
      </c>
      <c r="AR89" s="64" t="s" ph="1">
        <v>303</v>
      </c>
      <c r="AS89" s="64" t="s" ph="1">
        <v>471</v>
      </c>
      <c r="AT89" s="64" t="s" ph="1">
        <v>316</v>
      </c>
      <c r="AU89" s="64" t="s" ph="1">
        <v>303</v>
      </c>
      <c r="AV89" s="64" t="s" ph="1">
        <v>472</v>
      </c>
      <c r="AW89" s="64" t="s" ph="1">
        <v>298</v>
      </c>
      <c r="AX89" s="64" t="s" ph="1">
        <v>331</v>
      </c>
    </row>
    <row r="90" spans="34:52" ph="1">
      <c r="AJ90" s="64" t="s" ph="1">
        <v>473</v>
      </c>
      <c r="AK90" s="64" t="s" ph="1">
        <v>272</v>
      </c>
      <c r="AM90" s="64" t="s" ph="1">
        <v>474</v>
      </c>
      <c r="AN90" s="64" t="s" ph="1">
        <v>269</v>
      </c>
      <c r="AO90" s="64" t="s" ph="1">
        <v>303</v>
      </c>
      <c r="AP90" s="64" t="s" ph="1">
        <v>475</v>
      </c>
      <c r="AQ90" s="64" t="s" ph="1">
        <v>338</v>
      </c>
      <c r="AR90" s="64" t="s" ph="1">
        <v>303</v>
      </c>
      <c r="AS90" s="64" t="s" ph="1">
        <v>476</v>
      </c>
      <c r="AT90" s="64" t="s" ph="1">
        <v>326</v>
      </c>
      <c r="AU90" s="64" t="s" ph="1">
        <v>303</v>
      </c>
      <c r="AV90" s="64" t="s" ph="1">
        <v>477</v>
      </c>
      <c r="AW90" s="64" t="s" ph="1">
        <v>263</v>
      </c>
      <c r="AX90" s="64" t="s" ph="1">
        <v>303</v>
      </c>
    </row>
    <row r="91" spans="34:52" ph="1">
      <c r="AJ91" s="64" t="s" ph="1">
        <v>478</v>
      </c>
      <c r="AK91" s="64" t="s" ph="1">
        <v>316</v>
      </c>
      <c r="AM91" s="64" t="s" ph="1">
        <v>479</v>
      </c>
      <c r="AN91" s="64" t="s" ph="1">
        <v>283</v>
      </c>
      <c r="AO91" s="64" t="s" ph="1">
        <v>303</v>
      </c>
      <c r="AP91" s="64" t="s" ph="1">
        <v>480</v>
      </c>
      <c r="AQ91" s="64" t="s" ph="1">
        <v>263</v>
      </c>
      <c r="AS91" s="64" t="s" ph="1">
        <v>447</v>
      </c>
      <c r="AT91" s="64" t="s" ph="1">
        <v>443</v>
      </c>
      <c r="AU91" s="64" t="s" ph="1">
        <v>444</v>
      </c>
    </row>
    <row r="92" spans="34:52" ph="1">
      <c r="AH92" s="64" ph="1">
        <v>6</v>
      </c>
      <c r="AI92" s="64" t="s" ph="1">
        <v>481</v>
      </c>
      <c r="AJ92" s="64" t="s" ph="1">
        <v>482</v>
      </c>
      <c r="AK92" s="64" t="s" ph="1">
        <v>411</v>
      </c>
      <c r="AM92" s="64" t="s" ph="1">
        <v>483</v>
      </c>
      <c r="AN92" s="64" t="s" ph="1">
        <v>271</v>
      </c>
      <c r="AO92" s="64" t="s" ph="1">
        <v>303</v>
      </c>
      <c r="AP92" s="64" t="s" ph="1">
        <v>484</v>
      </c>
      <c r="AQ92" s="64" t="s" ph="1">
        <v>343</v>
      </c>
      <c r="AR92" s="64" t="s" ph="1">
        <v>303</v>
      </c>
      <c r="AS92" s="64" t="s" ph="1">
        <v>485</v>
      </c>
      <c r="AT92" s="64" t="s" ph="1">
        <v>316</v>
      </c>
      <c r="AU92" s="64" t="s" ph="1">
        <v>303</v>
      </c>
      <c r="AV92" s="64" t="s" ph="1">
        <v>486</v>
      </c>
      <c r="AW92" s="64" t="s" ph="1">
        <v>272</v>
      </c>
      <c r="AX92" s="64" t="s" ph="1">
        <v>303</v>
      </c>
      <c r="AY92" s="64" t="s" ph="1">
        <v>260</v>
      </c>
      <c r="AZ92" s="64" t="s" ph="1">
        <v>467</v>
      </c>
    </row>
    <row r="93" spans="34:52" ph="1">
      <c r="AJ93" s="64" t="s" ph="1">
        <v>487</v>
      </c>
      <c r="AK93" s="64" t="s" ph="1">
        <v>266</v>
      </c>
      <c r="AM93" s="64" t="s" ph="1">
        <v>488</v>
      </c>
      <c r="AN93" s="64" t="s" ph="1">
        <v>271</v>
      </c>
      <c r="AO93" s="64" t="s" ph="1">
        <v>303</v>
      </c>
      <c r="AP93" s="64" t="s" ph="1">
        <v>489</v>
      </c>
      <c r="AQ93" s="64" t="s" ph="1">
        <v>275</v>
      </c>
      <c r="AR93" s="64" t="s" ph="1">
        <v>303</v>
      </c>
      <c r="AS93" s="64" t="s" ph="1">
        <v>490</v>
      </c>
      <c r="AT93" s="64" t="s" ph="1">
        <v>281</v>
      </c>
      <c r="AU93" s="64" t="s" ph="1">
        <v>303</v>
      </c>
      <c r="AV93" s="64" t="s" ph="1">
        <v>491</v>
      </c>
      <c r="AW93" s="64" t="s" ph="1">
        <v>275</v>
      </c>
      <c r="AX93" s="64" t="s" ph="1">
        <v>303</v>
      </c>
    </row>
    <row r="94" spans="34:52" ph="1">
      <c r="AJ94" s="64" t="s" ph="1">
        <v>492</v>
      </c>
      <c r="AK94" s="64" t="s" ph="1">
        <v>338</v>
      </c>
      <c r="AM94" s="64" t="s" ph="1">
        <v>493</v>
      </c>
      <c r="AN94" s="64" t="s" ph="1">
        <v>275</v>
      </c>
      <c r="AO94" s="64" t="s" ph="1">
        <v>303</v>
      </c>
      <c r="AP94" s="64" t="s" ph="1">
        <v>494</v>
      </c>
      <c r="AQ94" s="64" t="s" ph="1">
        <v>283</v>
      </c>
      <c r="AR94" s="64" t="s" ph="1">
        <v>303</v>
      </c>
      <c r="AS94" s="64" t="s" ph="1">
        <v>495</v>
      </c>
      <c r="AT94" s="64" t="s" ph="1">
        <v>269</v>
      </c>
      <c r="AU94" s="64" t="s" ph="1">
        <v>303</v>
      </c>
      <c r="AV94" s="64" t="s" ph="1">
        <v>496</v>
      </c>
      <c r="AW94" s="64" t="s" ph="1">
        <v>269</v>
      </c>
      <c r="AX94" s="64" t="s" ph="1">
        <v>303</v>
      </c>
    </row>
    <row r="95" spans="34:52" ph="1">
      <c r="AJ95" s="64" t="s" ph="1">
        <v>497</v>
      </c>
      <c r="AK95" s="64" t="s" ph="1">
        <v>343</v>
      </c>
    </row>
    <row r="96" spans="34:52" ph="1">
      <c r="AH96" s="64" ph="1">
        <v>7</v>
      </c>
      <c r="AI96" s="64" t="s" ph="1">
        <v>498</v>
      </c>
      <c r="AJ96" s="64" t="s" ph="1">
        <v>497</v>
      </c>
      <c r="AK96" s="64" t="s" ph="1">
        <v>298</v>
      </c>
      <c r="AM96" s="64" t="s" ph="1">
        <v>499</v>
      </c>
      <c r="AN96" s="64" t="s" ph="1">
        <v>272</v>
      </c>
      <c r="AO96" s="64" t="s" ph="1">
        <v>303</v>
      </c>
      <c r="AP96" s="64" t="s" ph="1">
        <v>500</v>
      </c>
      <c r="AQ96" s="64" t="s" ph="1">
        <v>316</v>
      </c>
      <c r="AR96" s="64" t="s" ph="1">
        <v>331</v>
      </c>
      <c r="AS96" s="64" t="s" ph="1">
        <v>501</v>
      </c>
      <c r="AT96" s="64" t="s" ph="1">
        <v>275</v>
      </c>
      <c r="AU96" s="64" t="s" ph="1">
        <v>331</v>
      </c>
      <c r="AV96" s="64" t="s" ph="1">
        <v>502</v>
      </c>
      <c r="AW96" s="64" t="s" ph="1">
        <v>271</v>
      </c>
      <c r="AX96" s="64" t="s" ph="1">
        <v>331</v>
      </c>
      <c r="AY96" s="64" t="s" ph="1">
        <v>260</v>
      </c>
      <c r="AZ96" s="64" t="s" ph="1">
        <v>503</v>
      </c>
    </row>
    <row r="97" spans="33:52" ph="1">
      <c r="AJ97" s="64" t="s" ph="1">
        <v>504</v>
      </c>
      <c r="AK97" s="64" t="s" ph="1">
        <v>326</v>
      </c>
      <c r="AM97" s="64" t="s" ph="1">
        <v>505</v>
      </c>
      <c r="AN97" s="64" t="s" ph="1">
        <v>269</v>
      </c>
      <c r="AO97" s="64" t="s" ph="1">
        <v>303</v>
      </c>
      <c r="AP97" s="64" t="s" ph="1">
        <v>506</v>
      </c>
      <c r="AQ97" s="64" t="s" ph="1">
        <v>263</v>
      </c>
      <c r="AR97" s="64" t="s" ph="1">
        <v>331</v>
      </c>
      <c r="AS97" s="64" t="s" ph="1">
        <v>507</v>
      </c>
      <c r="AT97" s="64" t="s" ph="1">
        <v>266</v>
      </c>
      <c r="AU97" s="64" t="s" ph="1">
        <v>331</v>
      </c>
      <c r="AV97" s="64" t="s" ph="1">
        <v>508</v>
      </c>
      <c r="AW97" s="64" t="s" ph="1">
        <v>272</v>
      </c>
      <c r="AX97" s="64" t="s" ph="1">
        <v>331</v>
      </c>
    </row>
    <row r="98" spans="33:52" ph="1">
      <c r="AJ98" s="64" t="s" ph="1">
        <v>509</v>
      </c>
      <c r="AK98" s="64" t="s" ph="1">
        <v>275</v>
      </c>
      <c r="AM98" s="64" t="s" ph="1">
        <v>510</v>
      </c>
      <c r="AN98" s="64" t="s" ph="1">
        <v>283</v>
      </c>
      <c r="AO98" s="64" t="s" ph="1">
        <v>303</v>
      </c>
      <c r="AP98" s="64" t="s" ph="1">
        <v>511</v>
      </c>
      <c r="AQ98" s="64" t="s" ph="1">
        <v>263</v>
      </c>
      <c r="AR98" s="64" t="s" ph="1">
        <v>331</v>
      </c>
      <c r="AS98" s="64" t="s" ph="1">
        <v>512</v>
      </c>
      <c r="AT98" s="64" t="s" ph="1">
        <v>343</v>
      </c>
      <c r="AU98" s="64" t="s" ph="1">
        <v>331</v>
      </c>
      <c r="AV98" s="64" t="s" ph="1">
        <v>513</v>
      </c>
      <c r="AW98" s="64" t="s" ph="1">
        <v>266</v>
      </c>
      <c r="AX98" s="64" t="s" ph="1">
        <v>331</v>
      </c>
    </row>
    <row r="99" spans="33:52" ph="1">
      <c r="AH99" s="64" ph="1">
        <v>8</v>
      </c>
      <c r="AI99" s="64" t="s" ph="1">
        <v>514</v>
      </c>
      <c r="AJ99" s="64" t="s" ph="1">
        <v>515</v>
      </c>
      <c r="AK99" s="64" t="s" ph="1">
        <v>411</v>
      </c>
      <c r="AM99" s="64" t="s" ph="1">
        <v>516</v>
      </c>
      <c r="AN99" s="64" t="s" ph="1">
        <v>298</v>
      </c>
      <c r="AO99" s="64" t="s" ph="1">
        <v>303</v>
      </c>
      <c r="AP99" s="64" t="s" ph="1">
        <v>517</v>
      </c>
      <c r="AQ99" s="64" t="s" ph="1">
        <v>268</v>
      </c>
      <c r="AR99" s="64" t="s" ph="1">
        <v>331</v>
      </c>
      <c r="AS99" s="64" t="s" ph="1">
        <v>518</v>
      </c>
      <c r="AT99" s="64" t="s" ph="1">
        <v>283</v>
      </c>
      <c r="AU99" s="64" t="s" ph="1">
        <v>331</v>
      </c>
      <c r="AV99" s="64" t="s" ph="1">
        <v>519</v>
      </c>
      <c r="AW99" s="64" t="s" ph="1">
        <v>268</v>
      </c>
      <c r="AX99" s="64" t="s" ph="1">
        <v>331</v>
      </c>
      <c r="AY99" s="64" t="s" ph="1">
        <v>260</v>
      </c>
      <c r="AZ99" s="64" t="s" ph="1">
        <v>520</v>
      </c>
    </row>
    <row r="100" spans="33:52" ph="1">
      <c r="AJ100" s="64" t="s" ph="1">
        <v>521</v>
      </c>
      <c r="AK100" s="64" t="s" ph="1">
        <v>266</v>
      </c>
      <c r="AM100" s="64" t="s" ph="1">
        <v>522</v>
      </c>
      <c r="AN100" s="64" t="s" ph="1">
        <v>338</v>
      </c>
      <c r="AO100" s="64" t="s" ph="1">
        <v>303</v>
      </c>
      <c r="AP100" s="64" t="s" ph="1">
        <v>523</v>
      </c>
      <c r="AQ100" s="64" t="s" ph="1">
        <v>344</v>
      </c>
      <c r="AR100" s="64" t="s" ph="1">
        <v>331</v>
      </c>
      <c r="AS100" s="64" t="s" ph="1">
        <v>524</v>
      </c>
      <c r="AT100" s="64" t="s" ph="1">
        <v>411</v>
      </c>
      <c r="AU100" s="64" t="s" ph="1">
        <v>303</v>
      </c>
      <c r="AV100" s="64" t="s" ph="1">
        <v>525</v>
      </c>
      <c r="AW100" s="64" t="s" ph="1">
        <v>411</v>
      </c>
      <c r="AX100" s="64" t="s" ph="1">
        <v>303</v>
      </c>
    </row>
    <row r="101" spans="33:52" ph="1">
      <c r="AJ101" s="64" t="s" ph="1">
        <v>526</v>
      </c>
      <c r="AK101" s="64" t="s" ph="1">
        <v>411</v>
      </c>
      <c r="AM101" s="64" t="s" ph="1">
        <v>527</v>
      </c>
      <c r="AN101" s="64" t="s" ph="1">
        <v>269</v>
      </c>
      <c r="AO101" s="64" t="s" ph="1">
        <v>303</v>
      </c>
      <c r="AP101" s="64" t="s" ph="1">
        <v>528</v>
      </c>
      <c r="AQ101" s="64" t="s" ph="1">
        <v>281</v>
      </c>
      <c r="AR101" s="64" t="s" ph="1">
        <v>331</v>
      </c>
      <c r="AS101" s="64" t="s" ph="1">
        <v>529</v>
      </c>
      <c r="AT101" s="64" t="s" ph="1">
        <v>338</v>
      </c>
      <c r="AU101" s="64" t="s" ph="1">
        <v>331</v>
      </c>
      <c r="AV101" s="64" t="s" ph="1">
        <v>530</v>
      </c>
      <c r="AW101" s="64" t="s" ph="1">
        <v>269</v>
      </c>
      <c r="AX101" s="64" t="s" ph="1">
        <v>303</v>
      </c>
    </row>
    <row r="102" spans="33:52" ph="1">
      <c r="AJ102" s="64" t="s" ph="1">
        <v>531</v>
      </c>
      <c r="AK102" s="64" t="s" ph="1">
        <v>266</v>
      </c>
      <c r="AM102" s="64" t="s" ph="1">
        <v>532</v>
      </c>
      <c r="AN102" s="64" t="s" ph="1">
        <v>275</v>
      </c>
      <c r="AO102" s="64" t="s" ph="1">
        <v>303</v>
      </c>
      <c r="AP102" s="64" t="s" ph="1">
        <v>533</v>
      </c>
      <c r="AQ102" s="64" t="s" ph="1">
        <v>281</v>
      </c>
      <c r="AR102" s="64" t="s" ph="1">
        <v>303</v>
      </c>
      <c r="AS102" s="64" t="s" ph="1">
        <v>534</v>
      </c>
      <c r="AT102" s="64" t="s" ph="1">
        <v>298</v>
      </c>
      <c r="AU102" s="64" t="s" ph="1">
        <v>303</v>
      </c>
      <c r="AV102" s="64" t="s" ph="1">
        <v>535</v>
      </c>
      <c r="AW102" s="64" t="s" ph="1">
        <v>316</v>
      </c>
      <c r="AX102" s="64" t="s" ph="1">
        <v>303</v>
      </c>
    </row>
    <row r="103" spans="33:52" ph="1">
      <c r="AH103" s="64" ph="1">
        <v>9</v>
      </c>
      <c r="AI103" s="64" t="s" ph="1">
        <v>536</v>
      </c>
      <c r="AJ103" s="64" t="s" ph="1">
        <v>537</v>
      </c>
      <c r="AK103" s="64" t="s" ph="1">
        <v>411</v>
      </c>
      <c r="AM103" s="64" t="s" ph="1">
        <v>538</v>
      </c>
      <c r="AN103" s="64" t="s" ph="1">
        <v>326</v>
      </c>
      <c r="AO103" s="64" t="s" ph="1">
        <v>303</v>
      </c>
      <c r="AP103" s="64" t="s" ph="1">
        <v>380</v>
      </c>
      <c r="AQ103" s="64" t="s" ph="1">
        <v>269</v>
      </c>
      <c r="AR103" s="64" t="s" ph="1">
        <v>303</v>
      </c>
      <c r="AS103" s="64" t="s" ph="1">
        <v>614</v>
      </c>
      <c r="AT103" s="64" t="s" ph="1">
        <v>411</v>
      </c>
      <c r="AU103" s="64" t="s" ph="1">
        <v>303</v>
      </c>
      <c r="AY103" s="64" t="s" ph="1">
        <v>260</v>
      </c>
      <c r="AZ103" s="64" t="s" ph="1">
        <v>268</v>
      </c>
    </row>
    <row r="104" spans="33:52" ph="1">
      <c r="AZ104" s="64" t="s" ph="1">
        <v>539</v>
      </c>
    </row>
    <row r="105" spans="33:52" ph="1">
      <c r="AG105" s="64" t="s" ph="1">
        <v>339</v>
      </c>
      <c r="AI105" s="64" t="s" ph="1">
        <v>253</v>
      </c>
      <c r="AJ105" s="64" t="s" ph="1">
        <v>254</v>
      </c>
      <c r="AK105" s="64" t="s" ph="1">
        <v>255</v>
      </c>
      <c r="AM105" s="64" t="s" ph="1">
        <v>254</v>
      </c>
      <c r="AN105" s="64" t="s" ph="1">
        <v>255</v>
      </c>
      <c r="AO105" s="64" t="s" ph="1">
        <v>256</v>
      </c>
      <c r="AP105" s="64" t="s" ph="1">
        <v>254</v>
      </c>
      <c r="AQ105" s="64" t="s" ph="1">
        <v>255</v>
      </c>
      <c r="AR105" s="64" t="s" ph="1">
        <v>256</v>
      </c>
      <c r="AS105" s="64" t="s" ph="1">
        <v>254</v>
      </c>
      <c r="AT105" s="64" t="s" ph="1">
        <v>255</v>
      </c>
      <c r="AU105" s="64" t="s" ph="1">
        <v>256</v>
      </c>
      <c r="AV105" s="64" t="s" ph="1">
        <v>254</v>
      </c>
      <c r="AW105" s="64" t="s" ph="1">
        <v>255</v>
      </c>
      <c r="AX105" s="64" t="s" ph="1">
        <v>256</v>
      </c>
      <c r="AZ105" s="64" t="s" ph="1">
        <v>257</v>
      </c>
    </row>
    <row r="106" spans="33:52" ph="1">
      <c r="AH106" s="64" ph="1">
        <v>1</v>
      </c>
      <c r="AI106" s="64" t="s" ph="1">
        <v>540</v>
      </c>
      <c r="AJ106" s="64" t="s" ph="1">
        <v>614</v>
      </c>
      <c r="AK106" s="64" t="s" ph="1">
        <v>275</v>
      </c>
      <c r="AZ106" s="64" t="s" ph="1">
        <v>275</v>
      </c>
    </row>
    <row r="107" spans="33:52" ph="1">
      <c r="AH107" s="64" ph="1">
        <v>2</v>
      </c>
      <c r="AI107" s="64" t="s" ph="1">
        <v>541</v>
      </c>
      <c r="AJ107" s="64" t="s" ph="1">
        <v>542</v>
      </c>
      <c r="AK107" s="64" t="s" ph="1">
        <v>272</v>
      </c>
      <c r="AM107" s="64" t="s" ph="1">
        <v>378</v>
      </c>
      <c r="AN107" s="64" t="s" ph="1">
        <v>543</v>
      </c>
      <c r="AO107" s="64" t="s" ph="1">
        <v>544</v>
      </c>
      <c r="AP107" s="64" t="s" ph="1">
        <v>380</v>
      </c>
      <c r="AQ107" s="64" t="s" ph="1">
        <v>348</v>
      </c>
      <c r="AR107" s="64" t="s" ph="1">
        <v>544</v>
      </c>
      <c r="AS107" s="64" t="s" ph="1">
        <v>614</v>
      </c>
      <c r="AT107" s="64" t="s" ph="1">
        <v>543</v>
      </c>
      <c r="AU107" s="64" t="s" ph="1">
        <v>544</v>
      </c>
      <c r="AY107" s="64" t="s" ph="1">
        <v>260</v>
      </c>
      <c r="AZ107" s="64" t="s" ph="1">
        <v>624</v>
      </c>
    </row>
    <row r="108" spans="33:52" ph="1">
      <c r="AH108" s="64" ph="1">
        <v>3</v>
      </c>
      <c r="AI108" s="64" t="s" ph="1">
        <v>545</v>
      </c>
      <c r="AY108" s="64" t="s" ph="1">
        <v>260</v>
      </c>
      <c r="AZ108" s="64" t="s" ph="1">
        <v>411</v>
      </c>
    </row>
    <row r="109" spans="33:52" ph="1">
      <c r="AH109" s="64" ph="1">
        <v>4</v>
      </c>
      <c r="AI109" s="64" t="s" ph="1">
        <v>546</v>
      </c>
      <c r="AY109" s="64" t="s" ph="1">
        <v>260</v>
      </c>
      <c r="AZ109" s="64" t="s" ph="1">
        <v>411</v>
      </c>
    </row>
    <row r="110" spans="33:52" ph="1">
      <c r="AH110" s="64" ph="1">
        <v>5</v>
      </c>
      <c r="AI110" s="64" t="s" ph="1">
        <v>547</v>
      </c>
      <c r="AY110" s="64" t="s" ph="1">
        <v>260</v>
      </c>
      <c r="AZ110" s="64" t="s" ph="1">
        <v>411</v>
      </c>
    </row>
    <row r="111" spans="33:52" ph="1">
      <c r="AH111" s="64" ph="1">
        <v>6</v>
      </c>
      <c r="AI111" s="64" t="s" ph="1">
        <v>625</v>
      </c>
      <c r="AJ111" s="64" t="s" ph="1">
        <v>530</v>
      </c>
      <c r="AK111" s="64" t="s" ph="1">
        <v>269</v>
      </c>
      <c r="AM111" s="64" t="s" ph="1">
        <v>531</v>
      </c>
      <c r="AN111" s="64" t="s" ph="1">
        <v>263</v>
      </c>
      <c r="AO111" s="64" t="s" ph="1">
        <v>544</v>
      </c>
      <c r="AP111" s="64" t="s" ph="1">
        <v>532</v>
      </c>
      <c r="AQ111" s="64" t="s" ph="1">
        <v>272</v>
      </c>
      <c r="AR111" s="64" t="s" ph="1">
        <v>544</v>
      </c>
      <c r="AS111" s="64" t="s" ph="1">
        <v>533</v>
      </c>
      <c r="AT111" s="64" t="s" ph="1">
        <v>281</v>
      </c>
      <c r="AU111" s="64" t="s" ph="1">
        <v>544</v>
      </c>
      <c r="AV111" s="64" t="s" ph="1">
        <v>534</v>
      </c>
      <c r="AW111" s="64" t="s" ph="1">
        <v>271</v>
      </c>
      <c r="AX111" s="64" t="s" ph="1">
        <v>544</v>
      </c>
      <c r="AY111" s="64" t="s" ph="1">
        <v>260</v>
      </c>
      <c r="AZ111" s="64" t="s" ph="1">
        <v>548</v>
      </c>
    </row>
    <row r="112" spans="33:52" ph="1">
      <c r="AJ112" s="64" t="s" ph="1">
        <v>535</v>
      </c>
      <c r="AK112" s="64" t="s" ph="1">
        <v>316</v>
      </c>
      <c r="AM112" s="64" t="s" ph="1">
        <v>537</v>
      </c>
      <c r="AN112" s="64" t="s" ph="1">
        <v>340</v>
      </c>
      <c r="AO112" s="64" t="s" ph="1">
        <v>544</v>
      </c>
      <c r="AP112" s="64" t="s" ph="1">
        <v>538</v>
      </c>
      <c r="AQ112" s="64" t="s" ph="1">
        <v>549</v>
      </c>
      <c r="AR112" s="64" t="s" ph="1">
        <v>544</v>
      </c>
      <c r="AS112" s="64" t="s" ph="1">
        <v>550</v>
      </c>
      <c r="AT112" s="64" t="s" ph="1">
        <v>292</v>
      </c>
      <c r="AU112" s="64" t="s" ph="1">
        <v>544</v>
      </c>
      <c r="AV112" s="64" t="s" ph="1">
        <v>551</v>
      </c>
      <c r="AW112" s="64" t="s" ph="1">
        <v>338</v>
      </c>
      <c r="AX112" s="64" t="s" ph="1">
        <v>544</v>
      </c>
    </row>
    <row r="113" spans="33:52" ph="1">
      <c r="AH113" s="64" ph="1">
        <v>7</v>
      </c>
      <c r="AI113" s="64" t="s" ph="1">
        <v>552</v>
      </c>
      <c r="AJ113" s="64" t="s" ph="1">
        <v>633</v>
      </c>
      <c r="AK113" s="64" t="s" ph="1">
        <v>638</v>
      </c>
      <c r="AY113" s="64" t="s" ph="1">
        <v>260</v>
      </c>
      <c r="AZ113" s="64" t="s" ph="1">
        <v>638</v>
      </c>
    </row>
    <row r="114" spans="33:52" ph="1">
      <c r="AH114" s="64" ph="1">
        <v>8</v>
      </c>
      <c r="AI114" s="64" t="s" ph="1">
        <v>553</v>
      </c>
      <c r="AJ114" s="64" t="s" ph="1">
        <v>633</v>
      </c>
      <c r="AK114" s="64" t="s" ph="1">
        <v>639</v>
      </c>
      <c r="AY114" s="64" t="s" ph="1">
        <v>260</v>
      </c>
      <c r="AZ114" s="64" t="s" ph="1">
        <v>639</v>
      </c>
    </row>
    <row r="115" spans="33:52" ph="1">
      <c r="AH115" s="64" ph="1">
        <v>9</v>
      </c>
      <c r="AI115" s="64" t="s" ph="1">
        <v>554</v>
      </c>
      <c r="AJ115" s="64" t="s" ph="1">
        <v>633</v>
      </c>
      <c r="AK115" s="64" t="s" ph="1">
        <v>639</v>
      </c>
      <c r="AY115" s="64" t="s" ph="1">
        <v>260</v>
      </c>
      <c r="AZ115" s="64" t="s" ph="1">
        <v>639</v>
      </c>
    </row>
    <row r="116" spans="33:52" ph="1">
      <c r="AH116" s="64" ph="1">
        <v>10</v>
      </c>
      <c r="AI116" s="64" t="s" ph="1">
        <v>555</v>
      </c>
      <c r="AJ116" s="64" t="s" ph="1">
        <v>633</v>
      </c>
      <c r="AK116" s="64" t="s" ph="1">
        <v>639</v>
      </c>
      <c r="AY116" s="64" t="s" ph="1">
        <v>260</v>
      </c>
      <c r="AZ116" s="64" t="s" ph="1">
        <v>639</v>
      </c>
    </row>
    <row r="117" spans="33:52" ph="1">
      <c r="AH117" s="64" ph="1">
        <v>11</v>
      </c>
      <c r="AI117" s="64" t="s" ph="1">
        <v>556</v>
      </c>
      <c r="AJ117" s="64" t="s" ph="1">
        <v>633</v>
      </c>
      <c r="AK117" s="64" t="s" ph="1">
        <v>639</v>
      </c>
      <c r="AY117" s="64" t="s" ph="1">
        <v>260</v>
      </c>
      <c r="AZ117" s="64" t="s" ph="1">
        <v>639</v>
      </c>
    </row>
    <row r="118" spans="33:52" ph="1">
      <c r="AZ118" s="64" t="s" ph="1">
        <v>640</v>
      </c>
    </row>
    <row r="119" spans="33:52" ph="1">
      <c r="AI119" s="64" t="s" ph="1">
        <v>253</v>
      </c>
      <c r="AJ119" s="64" t="s" ph="1">
        <v>254</v>
      </c>
      <c r="AK119" s="64" t="s" ph="1">
        <v>255</v>
      </c>
      <c r="AM119" s="64" t="s" ph="1">
        <v>254</v>
      </c>
      <c r="AN119" s="64" t="s" ph="1">
        <v>255</v>
      </c>
      <c r="AO119" s="64" t="s" ph="1">
        <v>256</v>
      </c>
      <c r="AP119" s="64" t="s" ph="1">
        <v>254</v>
      </c>
      <c r="AQ119" s="64" t="s" ph="1">
        <v>255</v>
      </c>
      <c r="AR119" s="64" t="s" ph="1">
        <v>256</v>
      </c>
      <c r="AS119" s="64" t="s" ph="1">
        <v>254</v>
      </c>
      <c r="AT119" s="64" t="s" ph="1">
        <v>255</v>
      </c>
      <c r="AU119" s="64" t="s" ph="1">
        <v>256</v>
      </c>
      <c r="AV119" s="64" t="s" ph="1">
        <v>254</v>
      </c>
      <c r="AW119" s="64" t="s" ph="1">
        <v>255</v>
      </c>
      <c r="AX119" s="64" t="s" ph="1">
        <v>256</v>
      </c>
      <c r="AY119" s="64" t="s" ph="1">
        <v>255</v>
      </c>
      <c r="AZ119" s="64" t="s" ph="1">
        <v>257</v>
      </c>
    </row>
    <row r="120" spans="33:52" ph="1">
      <c r="AG120" s="64" t="s" ph="1">
        <v>397</v>
      </c>
      <c r="AH120" s="64" ph="1">
        <v>1</v>
      </c>
      <c r="AI120" s="64" t="s" ph="1">
        <v>557</v>
      </c>
      <c r="AJ120" s="64" t="s" ph="1">
        <v>631</v>
      </c>
      <c r="AK120" s="64" t="s" ph="1">
        <v>411</v>
      </c>
      <c r="AY120" s="64" t="s" ph="1">
        <v>260</v>
      </c>
      <c r="AZ120" s="64" t="s" ph="1">
        <v>411</v>
      </c>
    </row>
    <row r="121" spans="33:52" ph="1">
      <c r="AH121" s="64" ph="1">
        <v>2</v>
      </c>
      <c r="AI121" s="64" t="s" ph="1">
        <v>558</v>
      </c>
      <c r="AY121" s="64" t="s" ph="1">
        <v>260</v>
      </c>
      <c r="AZ121" s="64" t="s" ph="1">
        <v>411</v>
      </c>
    </row>
    <row r="122" spans="33:52" ph="1">
      <c r="AH122" s="64" ph="1">
        <v>3</v>
      </c>
      <c r="AI122" s="64" t="s" ph="1">
        <v>559</v>
      </c>
      <c r="AJ122" s="64" t="s" ph="1">
        <v>614</v>
      </c>
      <c r="AK122" s="64" t="s" ph="1">
        <v>626</v>
      </c>
      <c r="AM122" s="64" t="s" ph="1">
        <v>641</v>
      </c>
      <c r="AN122" s="64" t="s" ph="1">
        <v>634</v>
      </c>
      <c r="AO122" s="64" t="s" ph="1">
        <v>109</v>
      </c>
      <c r="AY122" s="64" t="s" ph="1">
        <v>260</v>
      </c>
      <c r="AZ122" s="64" t="s" ph="1">
        <v>623</v>
      </c>
    </row>
    <row r="123" spans="33:52" ph="1">
      <c r="AY123" s="64" t="s" ph="1">
        <v>260</v>
      </c>
      <c r="AZ123" s="64" t="s" ph="1">
        <v>623</v>
      </c>
    </row>
    <row r="124" spans="33:52" ph="1">
      <c r="AG124" s="64" t="s" ph="1">
        <v>400</v>
      </c>
      <c r="AH124" s="64" ph="1">
        <v>4</v>
      </c>
      <c r="AI124" s="64" t="s" ph="1">
        <v>560</v>
      </c>
      <c r="AJ124" s="64" t="s" ph="1">
        <v>561</v>
      </c>
      <c r="AK124" s="64" t="s" ph="1">
        <v>562</v>
      </c>
      <c r="AY124" s="64" t="s" ph="1">
        <v>260</v>
      </c>
      <c r="AZ124" s="64" t="s" ph="1">
        <v>562</v>
      </c>
    </row>
    <row r="125" spans="33:52" ph="1">
      <c r="AH125" s="64" ph="1">
        <v>5</v>
      </c>
      <c r="AI125" s="64" t="s" ph="1">
        <v>563</v>
      </c>
      <c r="AJ125" s="64" t="s" ph="1">
        <v>561</v>
      </c>
      <c r="AK125" s="64" t="s" ph="1">
        <v>562</v>
      </c>
      <c r="AY125" s="64" t="s" ph="1">
        <v>260</v>
      </c>
      <c r="AZ125" s="64" t="s" ph="1">
        <v>562</v>
      </c>
    </row>
    <row r="126" spans="33:52" ph="1">
      <c r="AH126" s="64" ph="1">
        <v>6</v>
      </c>
      <c r="AI126" s="64" t="s" ph="1">
        <v>564</v>
      </c>
      <c r="AJ126" s="64" t="s" ph="1">
        <v>633</v>
      </c>
      <c r="AK126" s="64" t="s" ph="1">
        <v>642</v>
      </c>
      <c r="AY126" s="64" t="s" ph="1">
        <v>260</v>
      </c>
      <c r="AZ126" s="64" t="s" ph="1">
        <v>642</v>
      </c>
    </row>
    <row r="127" spans="33:52" ph="1">
      <c r="AH127" s="64" ph="1">
        <v>7</v>
      </c>
      <c r="AI127" s="64" t="s" ph="1">
        <v>565</v>
      </c>
      <c r="AJ127" s="64" t="s" ph="1">
        <v>633</v>
      </c>
      <c r="AK127" s="64" t="s" ph="1">
        <v>643</v>
      </c>
      <c r="AY127" s="64" t="s" ph="1">
        <v>260</v>
      </c>
      <c r="AZ127" s="64" t="s" ph="1">
        <v>643</v>
      </c>
    </row>
    <row r="128" spans="33:52" ph="1">
      <c r="AH128" s="64" ph="1">
        <v>8</v>
      </c>
      <c r="AI128" s="64" t="s" ph="1">
        <v>566</v>
      </c>
      <c r="AY128" s="64" t="s" ph="1">
        <v>260</v>
      </c>
      <c r="AZ128" s="64" t="s" ph="1">
        <v>411</v>
      </c>
    </row>
    <row r="129" spans="33:52" ph="1">
      <c r="AH129" s="64" ph="1">
        <v>9</v>
      </c>
      <c r="AI129" s="64" t="s" ph="1">
        <v>567</v>
      </c>
      <c r="AY129" s="64" t="s" ph="1">
        <v>260</v>
      </c>
      <c r="AZ129" s="64" t="s" ph="1">
        <v>411</v>
      </c>
    </row>
    <row r="130" spans="33:52" ph="1">
      <c r="AH130" s="64" ph="1">
        <v>10</v>
      </c>
      <c r="AI130" s="64" t="s" ph="1">
        <v>568</v>
      </c>
      <c r="AY130" s="64" t="s" ph="1">
        <v>260</v>
      </c>
      <c r="AZ130" s="64" t="s" ph="1">
        <v>411</v>
      </c>
    </row>
    <row r="131" spans="33:52" ph="1">
      <c r="AH131" s="64" ph="1">
        <v>11</v>
      </c>
      <c r="AI131" s="64" t="s" ph="1">
        <v>569</v>
      </c>
      <c r="AJ131" s="64" t="s" ph="1">
        <v>627</v>
      </c>
      <c r="AK131" s="64" t="s" ph="1">
        <v>623</v>
      </c>
      <c r="AY131" s="64" t="s" ph="1">
        <v>260</v>
      </c>
      <c r="AZ131" s="64" t="s" ph="1">
        <v>623</v>
      </c>
    </row>
    <row r="132" spans="33:52" ph="1">
      <c r="AH132" s="64" ph="1">
        <v>12</v>
      </c>
      <c r="AI132" s="64" t="s" ph="1">
        <v>570</v>
      </c>
      <c r="AJ132" s="64" t="s" ph="1">
        <v>627</v>
      </c>
      <c r="AK132" s="64" t="s" ph="1">
        <v>562</v>
      </c>
      <c r="AY132" s="64" t="s" ph="1">
        <v>260</v>
      </c>
      <c r="AZ132" s="64" t="s" ph="1">
        <v>562</v>
      </c>
    </row>
    <row r="133" spans="33:52" ph="1">
      <c r="AH133" s="64" ph="1">
        <v>13</v>
      </c>
      <c r="AI133" s="64" t="s" ph="1">
        <v>571</v>
      </c>
      <c r="AJ133" s="64" t="s" ph="1">
        <v>627</v>
      </c>
      <c r="AK133" s="64" t="s" ph="1">
        <v>628</v>
      </c>
      <c r="AY133" s="64" t="s" ph="1">
        <v>260</v>
      </c>
      <c r="AZ133" s="64" t="s" ph="1">
        <v>628</v>
      </c>
    </row>
    <row r="134" spans="33:52" ph="1">
      <c r="AH134" s="64" ph="1">
        <v>14</v>
      </c>
      <c r="AI134" s="64" t="s" ph="1">
        <v>572</v>
      </c>
      <c r="AJ134" s="64" t="s" ph="1">
        <v>627</v>
      </c>
      <c r="AK134" s="64" t="s" ph="1">
        <v>629</v>
      </c>
      <c r="AY134" s="64" t="s" ph="1">
        <v>260</v>
      </c>
      <c r="AZ134" s="64" t="s" ph="1">
        <v>629</v>
      </c>
    </row>
    <row r="135" spans="33:52" ph="1">
      <c r="AH135" s="64" ph="1">
        <v>15</v>
      </c>
      <c r="AI135" s="64" t="s" ph="1">
        <v>573</v>
      </c>
      <c r="AJ135" s="64" t="s" ph="1">
        <v>627</v>
      </c>
      <c r="AK135" s="64" t="s" ph="1">
        <v>630</v>
      </c>
      <c r="AY135" s="64" t="s" ph="1">
        <v>260</v>
      </c>
      <c r="AZ135" s="64" t="s" ph="1">
        <v>630</v>
      </c>
    </row>
    <row r="136" spans="33:52" ph="1">
      <c r="AZ136" s="64" t="s" ph="1">
        <v>644</v>
      </c>
    </row>
    <row r="137" spans="33:52" ph="1">
      <c r="AG137" s="64" t="s" ph="1">
        <v>334</v>
      </c>
      <c r="AI137" s="64" t="s" ph="1">
        <v>253</v>
      </c>
      <c r="AJ137" s="64" t="s" ph="1">
        <v>254</v>
      </c>
      <c r="AK137" s="64" t="s" ph="1">
        <v>255</v>
      </c>
      <c r="AM137" s="64" t="s" ph="1">
        <v>254</v>
      </c>
      <c r="AN137" s="64" t="s" ph="1">
        <v>255</v>
      </c>
      <c r="AO137" s="64" t="s" ph="1">
        <v>256</v>
      </c>
      <c r="AP137" s="64" t="s" ph="1">
        <v>254</v>
      </c>
      <c r="AQ137" s="64" t="s" ph="1">
        <v>255</v>
      </c>
      <c r="AR137" s="64" t="s" ph="1">
        <v>256</v>
      </c>
      <c r="AS137" s="64" t="s" ph="1">
        <v>254</v>
      </c>
      <c r="AT137" s="64" t="s" ph="1">
        <v>255</v>
      </c>
      <c r="AU137" s="64" t="s" ph="1">
        <v>256</v>
      </c>
      <c r="AV137" s="64" t="s" ph="1">
        <v>254</v>
      </c>
      <c r="AW137" s="64" t="s" ph="1">
        <v>255</v>
      </c>
      <c r="AX137" s="64" t="s" ph="1">
        <v>256</v>
      </c>
      <c r="AY137" s="64" t="s" ph="1">
        <v>255</v>
      </c>
      <c r="AZ137" s="64" t="s" ph="1">
        <v>257</v>
      </c>
    </row>
    <row r="138" spans="33:52" ph="1">
      <c r="AH138" s="64" ph="1">
        <v>1</v>
      </c>
      <c r="AI138" s="64" t="s" ph="1">
        <v>574</v>
      </c>
      <c r="AJ138" s="64" t="s" ph="1">
        <v>575</v>
      </c>
      <c r="AK138" s="64" t="s" ph="1">
        <v>576</v>
      </c>
      <c r="AY138" s="64" t="s" ph="1">
        <v>260</v>
      </c>
      <c r="AZ138" s="64" t="s" ph="1">
        <v>576</v>
      </c>
    </row>
    <row r="139" spans="33:52" ph="1">
      <c r="AH139" s="64" ph="1">
        <v>2</v>
      </c>
      <c r="AI139" s="64" t="s" ph="1">
        <v>577</v>
      </c>
      <c r="AJ139" s="64" t="s" ph="1">
        <v>633</v>
      </c>
      <c r="AK139" s="64" t="s" ph="1">
        <v>645</v>
      </c>
      <c r="AY139" s="64" t="s" ph="1">
        <v>260</v>
      </c>
      <c r="AZ139" s="64" t="s" ph="1">
        <v>645</v>
      </c>
    </row>
    <row r="140" spans="33:52" ph="1">
      <c r="AH140" s="64" ph="1">
        <v>3</v>
      </c>
      <c r="AI140" s="64" t="s" ph="1">
        <v>578</v>
      </c>
      <c r="AJ140" s="64" t="s" ph="1">
        <v>531</v>
      </c>
      <c r="AK140" s="64" t="s" ph="1">
        <v>343</v>
      </c>
      <c r="AM140" s="64" t="s" ph="1">
        <v>532</v>
      </c>
      <c r="AN140" s="64" t="s" ph="1">
        <v>263</v>
      </c>
      <c r="AO140" s="64" t="s" ph="1">
        <v>579</v>
      </c>
      <c r="AP140" s="64" t="s" ph="1">
        <v>533</v>
      </c>
      <c r="AQ140" s="64" t="s" ph="1">
        <v>280</v>
      </c>
      <c r="AR140" s="64" t="s" ph="1">
        <v>579</v>
      </c>
      <c r="AS140" s="64" t="s" ph="1">
        <v>534</v>
      </c>
      <c r="AT140" s="64" t="s" ph="1">
        <v>273</v>
      </c>
      <c r="AU140" s="64" t="s" ph="1">
        <v>579</v>
      </c>
      <c r="AV140" s="64" t="s" ph="1">
        <v>535</v>
      </c>
      <c r="AW140" s="64" t="s" ph="1">
        <v>266</v>
      </c>
      <c r="AX140" s="64" t="s" ph="1">
        <v>579</v>
      </c>
      <c r="AY140" s="64" t="s" ph="1">
        <v>260</v>
      </c>
      <c r="AZ140" s="64" t="s" ph="1">
        <v>335</v>
      </c>
    </row>
    <row r="141" spans="33:52" ph="1">
      <c r="AJ141" s="64" t="s" ph="1">
        <v>537</v>
      </c>
      <c r="AK141" s="64" t="s" ph="1">
        <v>266</v>
      </c>
      <c r="AM141" s="64" t="s" ph="1">
        <v>538</v>
      </c>
      <c r="AN141" s="64" t="s" ph="1">
        <v>269</v>
      </c>
      <c r="AO141" s="64" t="s" ph="1">
        <v>579</v>
      </c>
      <c r="AP141" s="64" t="s" ph="1">
        <v>550</v>
      </c>
      <c r="AQ141" s="64" t="s" ph="1">
        <v>338</v>
      </c>
      <c r="AR141" s="64" t="s" ph="1">
        <v>579</v>
      </c>
      <c r="AS141" s="64" t="s" ph="1">
        <v>542</v>
      </c>
      <c r="AT141" s="64" t="s" ph="1">
        <v>266</v>
      </c>
      <c r="AU141" s="64" t="s" ph="1">
        <v>579</v>
      </c>
      <c r="AV141" s="64" t="s" ph="1">
        <v>378</v>
      </c>
      <c r="AW141" s="64" t="s" ph="1">
        <v>272</v>
      </c>
      <c r="AX141" s="64" t="s" ph="1">
        <v>579</v>
      </c>
    </row>
    <row r="142" spans="33:52" ph="1">
      <c r="AJ142" s="64" t="s" ph="1">
        <v>580</v>
      </c>
      <c r="AK142" s="64" t="s" ph="1">
        <v>283</v>
      </c>
    </row>
    <row r="143" spans="33:52" ph="1">
      <c r="AH143" s="64" ph="1">
        <v>4</v>
      </c>
      <c r="AI143" s="64" t="s" ph="1">
        <v>581</v>
      </c>
      <c r="AJ143" s="64" t="s" ph="1">
        <v>561</v>
      </c>
      <c r="AK143" s="64" t="s" ph="1">
        <v>582</v>
      </c>
      <c r="AY143" s="64" t="s" ph="1">
        <v>260</v>
      </c>
      <c r="AZ143" s="64" t="s" ph="1">
        <v>582</v>
      </c>
    </row>
    <row r="144" spans="33:52" ph="1">
      <c r="AH144" s="64" ph="1">
        <v>5</v>
      </c>
      <c r="AI144" s="64" t="s" ph="1">
        <v>583</v>
      </c>
      <c r="AY144" s="64" t="s" ph="1">
        <v>260</v>
      </c>
      <c r="AZ144" s="64" t="s" ph="1">
        <v>411</v>
      </c>
    </row>
    <row r="145" spans="33:52" ph="1">
      <c r="AH145" s="64" ph="1">
        <v>6</v>
      </c>
      <c r="AI145" s="64" t="s" ph="1">
        <v>584</v>
      </c>
      <c r="AY145" s="64" t="s" ph="1">
        <v>260</v>
      </c>
      <c r="AZ145" s="64" t="s" ph="1">
        <v>411</v>
      </c>
    </row>
    <row r="146" spans="33:52" ph="1">
      <c r="AH146" s="64" ph="1">
        <v>7</v>
      </c>
      <c r="AI146" s="64" t="s" ph="1">
        <v>585</v>
      </c>
      <c r="AY146" s="64" t="s" ph="1">
        <v>260</v>
      </c>
      <c r="AZ146" s="64" t="s" ph="1">
        <v>411</v>
      </c>
    </row>
    <row r="147" spans="33:52" ph="1">
      <c r="AH147" s="64" ph="1">
        <v>8</v>
      </c>
      <c r="AI147" s="64" t="s" ph="1">
        <v>586</v>
      </c>
      <c r="AY147" s="64" t="s" ph="1">
        <v>260</v>
      </c>
      <c r="AZ147" s="64" t="s" ph="1">
        <v>411</v>
      </c>
    </row>
    <row r="148" spans="33:52" ph="1">
      <c r="AH148" s="64" ph="1">
        <v>9</v>
      </c>
      <c r="AI148" s="64" t="s" ph="1">
        <v>587</v>
      </c>
      <c r="AY148" s="64" t="s" ph="1">
        <v>260</v>
      </c>
      <c r="AZ148" s="64" t="s" ph="1">
        <v>411</v>
      </c>
    </row>
    <row r="149" spans="33:52" ph="1">
      <c r="AH149" s="64" ph="1">
        <v>10</v>
      </c>
      <c r="AI149" s="64" t="s" ph="1">
        <v>588</v>
      </c>
      <c r="AY149" s="64" t="s" ph="1">
        <v>260</v>
      </c>
      <c r="AZ149" s="64" t="s" ph="1">
        <v>411</v>
      </c>
    </row>
    <row r="150" spans="33:52" ph="1">
      <c r="AH150" s="64" ph="1">
        <v>11</v>
      </c>
      <c r="AI150" s="64" t="s" ph="1">
        <v>589</v>
      </c>
      <c r="AY150" s="64" t="s" ph="1">
        <v>260</v>
      </c>
      <c r="AZ150" s="64" t="s" ph="1">
        <v>411</v>
      </c>
    </row>
    <row r="151" spans="33:52" ph="1">
      <c r="AH151" s="64" ph="1">
        <v>12</v>
      </c>
      <c r="AI151" s="64" t="s" ph="1">
        <v>590</v>
      </c>
      <c r="AY151" s="64" t="s" ph="1">
        <v>260</v>
      </c>
      <c r="AZ151" s="64" t="s" ph="1">
        <v>411</v>
      </c>
    </row>
    <row r="152" spans="33:52" ph="1">
      <c r="AH152" s="64" ph="1">
        <v>13</v>
      </c>
      <c r="AI152" s="64" t="s" ph="1">
        <v>591</v>
      </c>
      <c r="AY152" s="64" t="s" ph="1">
        <v>260</v>
      </c>
      <c r="AZ152" s="64" t="s" ph="1">
        <v>411</v>
      </c>
    </row>
    <row r="153" spans="33:52" ph="1">
      <c r="AH153" s="64" ph="1">
        <v>14</v>
      </c>
      <c r="AI153" s="64" t="s" ph="1">
        <v>592</v>
      </c>
      <c r="AY153" s="64" t="s" ph="1">
        <v>260</v>
      </c>
      <c r="AZ153" s="64" t="s" ph="1">
        <v>411</v>
      </c>
    </row>
    <row r="154" spans="33:52" ph="1">
      <c r="AH154" s="64" ph="1">
        <v>15</v>
      </c>
      <c r="AI154" s="64" t="s" ph="1">
        <v>593</v>
      </c>
      <c r="AY154" s="64" t="s" ph="1">
        <v>260</v>
      </c>
      <c r="AZ154" s="64" t="s" ph="1">
        <v>411</v>
      </c>
    </row>
    <row r="155" spans="33:52" ph="1">
      <c r="AH155" s="64" ph="1">
        <v>16</v>
      </c>
      <c r="AI155" s="64" t="s" ph="1">
        <v>594</v>
      </c>
      <c r="AJ155" s="64" t="s" ph="1">
        <v>380</v>
      </c>
      <c r="AK155" s="64" t="s" ph="1">
        <v>275</v>
      </c>
      <c r="AM155" s="64" t="s" ph="1">
        <v>614</v>
      </c>
      <c r="AN155" s="64" t="s" ph="1">
        <v>326</v>
      </c>
      <c r="AO155" s="64" t="s" ph="1">
        <v>579</v>
      </c>
      <c r="AY155" s="64" t="s" ph="1">
        <v>260</v>
      </c>
      <c r="AZ155" s="64" t="s" ph="1">
        <v>267</v>
      </c>
    </row>
    <row r="156" spans="33:52" ph="1">
      <c r="AZ156" s="64" t="s" ph="1">
        <v>646</v>
      </c>
    </row>
    <row r="157" spans="33:52" ph="1">
      <c r="AG157" s="64" t="s" ph="1">
        <v>595</v>
      </c>
      <c r="AI157" s="64" t="s" ph="1">
        <v>253</v>
      </c>
      <c r="AJ157" s="64" t="s" ph="1">
        <v>254</v>
      </c>
      <c r="AK157" s="64" t="s" ph="1">
        <v>255</v>
      </c>
      <c r="AM157" s="64" t="s" ph="1">
        <v>254</v>
      </c>
      <c r="AN157" s="64" t="s" ph="1">
        <v>255</v>
      </c>
      <c r="AO157" s="64" t="s" ph="1">
        <v>256</v>
      </c>
      <c r="AP157" s="64" t="s" ph="1">
        <v>254</v>
      </c>
      <c r="AQ157" s="64" t="s" ph="1">
        <v>255</v>
      </c>
      <c r="AR157" s="64" t="s" ph="1">
        <v>256</v>
      </c>
      <c r="AS157" s="64" t="s" ph="1">
        <v>254</v>
      </c>
      <c r="AT157" s="64" t="s" ph="1">
        <v>255</v>
      </c>
      <c r="AU157" s="64" t="s" ph="1">
        <v>256</v>
      </c>
      <c r="AV157" s="64" t="s" ph="1">
        <v>254</v>
      </c>
      <c r="AW157" s="64" t="s" ph="1">
        <v>255</v>
      </c>
      <c r="AX157" s="64" t="s" ph="1">
        <v>256</v>
      </c>
      <c r="AY157" s="64" t="s" ph="1">
        <v>255</v>
      </c>
      <c r="AZ157" s="64" t="s" ph="1">
        <v>257</v>
      </c>
    </row>
    <row r="158" spans="33:52" ph="1">
      <c r="AH158" s="64" ph="1">
        <v>1</v>
      </c>
      <c r="AI158" s="64" t="s" ph="1">
        <v>596</v>
      </c>
      <c r="AY158" s="64" t="s" ph="1">
        <v>260</v>
      </c>
      <c r="AZ158" s="64" t="s" ph="1">
        <v>411</v>
      </c>
    </row>
    <row r="159" spans="33:52" ph="1">
      <c r="AH159" s="64" ph="1">
        <v>2</v>
      </c>
      <c r="AI159" s="64" t="s" ph="1">
        <v>597</v>
      </c>
      <c r="AY159" s="64" t="s" ph="1">
        <v>260</v>
      </c>
      <c r="AZ159" s="64" t="s" ph="1">
        <v>411</v>
      </c>
    </row>
    <row r="160" spans="33:52" ph="1">
      <c r="AZ160" s="64" t="s" ph="1">
        <v>429</v>
      </c>
    </row>
    <row r="161" spans="33:52" ph="1">
      <c r="AG161" s="64" t="s" ph="1">
        <v>405</v>
      </c>
      <c r="AI161" s="64" t="s" ph="1">
        <v>253</v>
      </c>
      <c r="AJ161" s="64" t="s" ph="1">
        <v>254</v>
      </c>
      <c r="AK161" s="64" t="s" ph="1">
        <v>255</v>
      </c>
      <c r="AM161" s="64" t="s" ph="1">
        <v>254</v>
      </c>
      <c r="AN161" s="64" t="s" ph="1">
        <v>255</v>
      </c>
      <c r="AO161" s="64" t="s" ph="1">
        <v>256</v>
      </c>
      <c r="AP161" s="64" t="s" ph="1">
        <v>254</v>
      </c>
      <c r="AQ161" s="64" t="s" ph="1">
        <v>255</v>
      </c>
      <c r="AR161" s="64" t="s" ph="1">
        <v>256</v>
      </c>
      <c r="AS161" s="64" t="s" ph="1">
        <v>254</v>
      </c>
      <c r="AT161" s="64" t="s" ph="1">
        <v>255</v>
      </c>
      <c r="AU161" s="64" t="s" ph="1">
        <v>256</v>
      </c>
      <c r="AV161" s="64" t="s" ph="1">
        <v>254</v>
      </c>
      <c r="AW161" s="64" t="s" ph="1">
        <v>255</v>
      </c>
      <c r="AX161" s="64" t="s" ph="1">
        <v>256</v>
      </c>
      <c r="AY161" s="64" t="s" ph="1">
        <v>255</v>
      </c>
      <c r="AZ161" s="64" t="s" ph="1">
        <v>257</v>
      </c>
    </row>
    <row r="162" spans="33:52" ph="1">
      <c r="AH162" s="64" ph="1">
        <v>1</v>
      </c>
      <c r="AI162" s="64" t="s" ph="1">
        <v>598</v>
      </c>
      <c r="AJ162" s="64" t="s" ph="1">
        <v>599</v>
      </c>
      <c r="AK162" s="64" t="s" ph="1">
        <v>543</v>
      </c>
      <c r="AM162" s="64" t="s" ph="1">
        <v>600</v>
      </c>
      <c r="AN162" s="64" t="s" ph="1">
        <v>264</v>
      </c>
      <c r="AO162" s="64" t="s" ph="1">
        <v>601</v>
      </c>
      <c r="AY162" s="64" t="s" ph="1">
        <v>260</v>
      </c>
      <c r="AZ162" s="64" t="s" ph="1">
        <v>336</v>
      </c>
    </row>
    <row r="163" spans="33:52" ph="1">
      <c r="AH163" s="64" ph="1">
        <v>2</v>
      </c>
      <c r="AI163" s="64" t="s" ph="1">
        <v>602</v>
      </c>
      <c r="AJ163" s="64" t="s" ph="1">
        <v>599</v>
      </c>
      <c r="AK163" s="64" t="s" ph="1">
        <v>432</v>
      </c>
      <c r="AY163" s="64" t="s" ph="1">
        <v>260</v>
      </c>
      <c r="AZ163" s="64" t="s" ph="1">
        <v>432</v>
      </c>
    </row>
    <row r="164" spans="33:52" ph="1">
      <c r="AH164" s="64" ph="1">
        <v>3</v>
      </c>
      <c r="AI164" s="64" t="s" ph="1">
        <v>603</v>
      </c>
      <c r="AJ164" s="64" t="s" ph="1">
        <v>599</v>
      </c>
      <c r="AK164" s="64" t="s" ph="1">
        <v>336</v>
      </c>
      <c r="AY164" s="64" t="s" ph="1">
        <v>260</v>
      </c>
      <c r="AZ164" s="64" t="s" ph="1">
        <v>336</v>
      </c>
    </row>
    <row r="165" spans="33:52" ph="1">
      <c r="AH165" s="64" ph="1">
        <v>4</v>
      </c>
      <c r="AI165" s="64" t="s" ph="1">
        <v>604</v>
      </c>
      <c r="AY165" s="64" t="s" ph="1">
        <v>260</v>
      </c>
      <c r="AZ165" s="64" t="s" ph="1">
        <v>411</v>
      </c>
    </row>
    <row r="166" spans="33:52" ph="1">
      <c r="AH166" s="64" ph="1">
        <v>5</v>
      </c>
      <c r="AI166" s="64" t="s" ph="1">
        <v>605</v>
      </c>
      <c r="AY166" s="64" t="s" ph="1">
        <v>260</v>
      </c>
      <c r="AZ166" s="64" t="s" ph="1">
        <v>411</v>
      </c>
    </row>
    <row r="167" spans="33:52" ph="1">
      <c r="AZ167" s="64" t="s" ph="1">
        <v>606</v>
      </c>
    </row>
    <row r="168" spans="33:52" ph="1">
      <c r="AG168" s="64" t="s" ph="1">
        <v>349</v>
      </c>
      <c r="AI168" s="64" t="s" ph="1">
        <v>253</v>
      </c>
      <c r="AJ168" s="64" t="s" ph="1">
        <v>254</v>
      </c>
      <c r="AK168" s="64" t="s" ph="1">
        <v>255</v>
      </c>
      <c r="AM168" s="64" t="s" ph="1">
        <v>254</v>
      </c>
      <c r="AN168" s="64" t="s" ph="1">
        <v>255</v>
      </c>
      <c r="AO168" s="64" t="s" ph="1">
        <v>256</v>
      </c>
      <c r="AP168" s="64" t="s" ph="1">
        <v>254</v>
      </c>
      <c r="AQ168" s="64" t="s" ph="1">
        <v>255</v>
      </c>
      <c r="AR168" s="64" t="s" ph="1">
        <v>256</v>
      </c>
      <c r="AS168" s="64" t="s" ph="1">
        <v>254</v>
      </c>
      <c r="AT168" s="64" t="s" ph="1">
        <v>255</v>
      </c>
      <c r="AU168" s="64" t="s" ph="1">
        <v>256</v>
      </c>
      <c r="AV168" s="64" t="s" ph="1">
        <v>254</v>
      </c>
      <c r="AW168" s="64" t="s" ph="1">
        <v>255</v>
      </c>
      <c r="AX168" s="64" t="s" ph="1">
        <v>256</v>
      </c>
      <c r="AY168" s="64" t="s" ph="1">
        <v>255</v>
      </c>
      <c r="AZ168" s="64" t="s" ph="1">
        <v>257</v>
      </c>
    </row>
    <row r="169" spans="33:52" ph="1">
      <c r="AH169" s="64" ph="1">
        <v>1</v>
      </c>
      <c r="AI169" s="64" t="s" ph="1">
        <v>607</v>
      </c>
      <c r="AY169" s="64" t="s" ph="1">
        <v>260</v>
      </c>
      <c r="AZ169" s="64" t="s" ph="1">
        <v>411</v>
      </c>
    </row>
    <row r="170" spans="33:52" ph="1">
      <c r="AH170" s="64" ph="1">
        <v>2</v>
      </c>
      <c r="AI170" s="64" t="s" ph="1">
        <v>608</v>
      </c>
      <c r="AY170" s="64" t="s" ph="1">
        <v>260</v>
      </c>
      <c r="AZ170" s="64" t="s" ph="1">
        <v>411</v>
      </c>
    </row>
    <row r="171" spans="33:52" ph="1">
      <c r="AH171" s="64" ph="1">
        <v>3</v>
      </c>
      <c r="AI171" s="64" t="s" ph="1">
        <v>609</v>
      </c>
      <c r="AY171" s="64" t="s" ph="1">
        <v>260</v>
      </c>
      <c r="AZ171" s="64" t="s" ph="1">
        <v>411</v>
      </c>
    </row>
    <row r="172" spans="33:52" ph="1">
      <c r="AH172" s="64" ph="1">
        <v>4</v>
      </c>
      <c r="AI172" s="64" t="s" ph="1">
        <v>610</v>
      </c>
      <c r="AY172" s="64" t="s" ph="1">
        <v>260</v>
      </c>
      <c r="AZ172" s="64" t="s" ph="1">
        <v>411</v>
      </c>
    </row>
    <row r="173" spans="33:52" ph="1">
      <c r="AH173" s="64" ph="1">
        <v>5</v>
      </c>
      <c r="AI173" s="64" t="s" ph="1">
        <v>611</v>
      </c>
      <c r="AY173" s="64" t="s" ph="1">
        <v>260</v>
      </c>
      <c r="AZ173" s="64" t="s" ph="1">
        <v>411</v>
      </c>
    </row>
    <row r="174" spans="33:52" ph="1">
      <c r="AZ174" s="64" t="s" ph="1">
        <v>429</v>
      </c>
    </row>
    <row r="175" spans="33:52" ph="1">
      <c r="AJ175" s="64" t="s" ph="1">
        <v>350</v>
      </c>
    </row>
    <row r="176" spans="33:52" ph="1">
      <c r="AJ176" s="64" t="s" ph="1">
        <v>351</v>
      </c>
      <c r="AK176" s="64" t="s" ph="1">
        <v>352</v>
      </c>
      <c r="AM176" s="64" t="s" ph="1">
        <v>353</v>
      </c>
      <c r="AO176" s="64" t="s" ph="1">
        <v>354</v>
      </c>
      <c r="AP176" s="64" t="s" ph="1">
        <v>355</v>
      </c>
      <c r="AQ176" s="64" t="s" ph="1">
        <v>345</v>
      </c>
      <c r="AR176" s="64" t="s" ph="1">
        <v>265</v>
      </c>
    </row>
    <row r="177" spans="36:56" ph="1">
      <c r="AJ177" s="64" t="s" ph="1">
        <v>647</v>
      </c>
      <c r="AK177" s="64" t="s" ph="1">
        <v>356</v>
      </c>
      <c r="AO177" s="64" t="s" ph="1">
        <v>356</v>
      </c>
      <c r="AP177" s="64" t="s" ph="1">
        <v>356</v>
      </c>
      <c r="AQ177" s="64" t="s" ph="1">
        <v>357</v>
      </c>
      <c r="AR177" s="64" t="s" ph="1">
        <v>358</v>
      </c>
    </row>
    <row r="179" spans="36:56" ph="1">
      <c r="AJ179" s="64" t="s" ph="1">
        <v>359</v>
      </c>
      <c r="AK179" s="64" t="s" ph="1">
        <v>360</v>
      </c>
      <c r="AM179" s="64" t="s" ph="1">
        <v>361</v>
      </c>
      <c r="AN179" s="64" t="s" ph="1">
        <v>337</v>
      </c>
      <c r="AO179" s="64" t="s" ph="1">
        <v>362</v>
      </c>
      <c r="AP179" s="64" t="s" ph="1">
        <v>341</v>
      </c>
      <c r="AQ179" s="64" t="s" ph="1">
        <v>363</v>
      </c>
      <c r="AR179" s="64" t="s" ph="1">
        <v>364</v>
      </c>
    </row>
    <row r="180" spans="36:56" ph="1">
      <c r="AJ180" s="64" t="s" ph="1">
        <v>356</v>
      </c>
      <c r="AK180" s="64" t="s" ph="1">
        <v>356</v>
      </c>
      <c r="AL180" s="64" ph="1">
        <v>116</v>
      </c>
      <c r="AM180" s="64" t="s" ph="1">
        <v>356</v>
      </c>
      <c r="AN180" s="64" t="s" ph="1">
        <v>365</v>
      </c>
      <c r="AO180" s="64" t="s" ph="1">
        <v>356</v>
      </c>
      <c r="AP180" s="64" t="s" ph="1">
        <v>366</v>
      </c>
      <c r="AQ180" s="64" t="s" ph="1">
        <v>367</v>
      </c>
      <c r="AR180" s="64" t="s" ph="1">
        <v>368</v>
      </c>
    </row>
    <row r="189" spans="36:56" ph="1">
      <c r="BD189" s="64" t="s" ph="1">
        <v>612</v>
      </c>
    </row>
    <row r="223" spans="18:18" ph="1">
      <c r="R223" s="138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195" priority="92">
      <formula>ABS(D$7-D$10)&gt;=1000</formula>
    </cfRule>
  </conditionalFormatting>
  <conditionalFormatting sqref="E4 E6:E11">
    <cfRule type="expression" dxfId="2194" priority="91">
      <formula>ABS(E$7-E$10)&gt;=1000</formula>
    </cfRule>
  </conditionalFormatting>
  <conditionalFormatting sqref="F4:F11">
    <cfRule type="expression" dxfId="2193" priority="90">
      <formula>ABS(F$7-F$10)&gt;=1000</formula>
    </cfRule>
  </conditionalFormatting>
  <conditionalFormatting sqref="G4:G11">
    <cfRule type="expression" dxfId="2192" priority="89">
      <formula>ABS(G$7-G$10)&gt;=1000</formula>
    </cfRule>
  </conditionalFormatting>
  <conditionalFormatting sqref="H4:H11">
    <cfRule type="expression" dxfId="2191" priority="88">
      <formula>ABS(H$7-H$10)&gt;=1000</formula>
    </cfRule>
  </conditionalFormatting>
  <conditionalFormatting sqref="I4:I11">
    <cfRule type="expression" dxfId="2190" priority="87">
      <formula>ABS(I$7-I$10)&gt;=1000</formula>
    </cfRule>
  </conditionalFormatting>
  <conditionalFormatting sqref="J4:J11">
    <cfRule type="expression" dxfId="2189" priority="86">
      <formula>ABS(J$7-J$10)&gt;=1000</formula>
    </cfRule>
  </conditionalFormatting>
  <conditionalFormatting sqref="K4:K11">
    <cfRule type="expression" dxfId="2188" priority="85">
      <formula>ABS(K$7-K$10)&gt;=1000</formula>
    </cfRule>
  </conditionalFormatting>
  <conditionalFormatting sqref="L4:L11">
    <cfRule type="expression" dxfId="2187" priority="84">
      <formula>ABS(L$7-L$10)&gt;=1000</formula>
    </cfRule>
  </conditionalFormatting>
  <conditionalFormatting sqref="M4:M11">
    <cfRule type="expression" dxfId="2186" priority="83">
      <formula>ABS(M$7-M$10)&gt;=1000</formula>
    </cfRule>
  </conditionalFormatting>
  <conditionalFormatting sqref="N4:N11">
    <cfRule type="expression" dxfId="2185" priority="82">
      <formula>ABS(N$7-N$10)&gt;=1000</formula>
    </cfRule>
  </conditionalFormatting>
  <conditionalFormatting sqref="O4:O11">
    <cfRule type="expression" dxfId="2184" priority="81">
      <formula>ABS(O$7-O$10)&gt;=1000</formula>
    </cfRule>
  </conditionalFormatting>
  <conditionalFormatting sqref="P4:P11">
    <cfRule type="expression" dxfId="2183" priority="80">
      <formula>ABS(P$7-P$10)&gt;=1000</formula>
    </cfRule>
  </conditionalFormatting>
  <conditionalFormatting sqref="Q4:Q11">
    <cfRule type="expression" dxfId="2182" priority="79">
      <formula>ABS(Q$7-Q$10)&gt;=1000</formula>
    </cfRule>
  </conditionalFormatting>
  <conditionalFormatting sqref="R4:R11">
    <cfRule type="expression" dxfId="2181" priority="78">
      <formula>ABS(R$7-R$10)&gt;=1000</formula>
    </cfRule>
  </conditionalFormatting>
  <conditionalFormatting sqref="S4:S11">
    <cfRule type="expression" dxfId="2180" priority="77">
      <formula>ABS(S$7-S$10)&gt;=1000</formula>
    </cfRule>
  </conditionalFormatting>
  <conditionalFormatting sqref="T4:T9 T11">
    <cfRule type="expression" dxfId="2179" priority="76">
      <formula>ABS(T$7-T$10)&gt;=1000</formula>
    </cfRule>
  </conditionalFormatting>
  <conditionalFormatting sqref="U4:U9 U11">
    <cfRule type="expression" dxfId="2178" priority="75">
      <formula>ABS(U$7-U$10)&gt;=1000</formula>
    </cfRule>
  </conditionalFormatting>
  <conditionalFormatting sqref="V4:V9 V11">
    <cfRule type="expression" dxfId="2177" priority="74">
      <formula>ABS(V$7-V$10)&gt;=1000</formula>
    </cfRule>
  </conditionalFormatting>
  <conditionalFormatting sqref="W4:W9 W11">
    <cfRule type="expression" dxfId="2176" priority="73">
      <formula>ABS(W$7-W$10)&gt;=1000</formula>
    </cfRule>
  </conditionalFormatting>
  <conditionalFormatting sqref="X4:X9 X11">
    <cfRule type="expression" dxfId="2175" priority="72">
      <formula>ABS(X$7-X$10)&gt;=1000</formula>
    </cfRule>
  </conditionalFormatting>
  <conditionalFormatting sqref="Y4:Y9 Y11">
    <cfRule type="expression" dxfId="2174" priority="71">
      <formula>ABS(Y$7-Y$10)&gt;=1000</formula>
    </cfRule>
  </conditionalFormatting>
  <conditionalFormatting sqref="Z4:Z11">
    <cfRule type="expression" dxfId="2173" priority="70">
      <formula>ABS(Z$7-Z$10)&gt;=1000</formula>
    </cfRule>
  </conditionalFormatting>
  <conditionalFormatting sqref="AA4:AA11">
    <cfRule type="expression" dxfId="2172" priority="69">
      <formula>ABS(AA$7-AA$10)&gt;=1000</formula>
    </cfRule>
  </conditionalFormatting>
  <conditionalFormatting sqref="AB4:AB11">
    <cfRule type="expression" dxfId="2171" priority="68">
      <formula>ABS(AB$7-AB$10)&gt;=1000</formula>
    </cfRule>
  </conditionalFormatting>
  <conditionalFormatting sqref="AC4 AC6:AC11">
    <cfRule type="expression" dxfId="2170" priority="67">
      <formula>ABS(AC$7-AC$10)&gt;=1000</formula>
    </cfRule>
  </conditionalFormatting>
  <conditionalFormatting sqref="AD4:AD11">
    <cfRule type="expression" dxfId="2169" priority="66">
      <formula>ABS(AD$7-AD$10)&gt;=1000</formula>
    </cfRule>
  </conditionalFormatting>
  <conditionalFormatting sqref="AE4:AE11">
    <cfRule type="expression" dxfId="2168" priority="65">
      <formula>ABS(AE$7-AE$10)&gt;=1000</formula>
    </cfRule>
  </conditionalFormatting>
  <conditionalFormatting sqref="D13:D20">
    <cfRule type="expression" dxfId="2167" priority="64">
      <formula>ABS(D$16-D$19)&gt;=1000</formula>
    </cfRule>
  </conditionalFormatting>
  <conditionalFormatting sqref="E13:E20">
    <cfRule type="expression" dxfId="2166" priority="63">
      <formula>ABS(E$16-E$19)&gt;=1000</formula>
    </cfRule>
  </conditionalFormatting>
  <conditionalFormatting sqref="F13 F15:F20">
    <cfRule type="expression" dxfId="2165" priority="62">
      <formula>ABS(F$16-F$19)&gt;=1000</formula>
    </cfRule>
  </conditionalFormatting>
  <conditionalFormatting sqref="G13:G20">
    <cfRule type="expression" dxfId="2164" priority="61">
      <formula>ABS(G$16-G$19)&gt;=1000</formula>
    </cfRule>
  </conditionalFormatting>
  <conditionalFormatting sqref="H13:H20">
    <cfRule type="expression" dxfId="2163" priority="60">
      <formula>ABS(H$16-H$19)&gt;=1000</formula>
    </cfRule>
  </conditionalFormatting>
  <conditionalFormatting sqref="I13:I20">
    <cfRule type="expression" dxfId="2162" priority="59">
      <formula>ABS(I$16-I$19)&gt;=1000</formula>
    </cfRule>
  </conditionalFormatting>
  <conditionalFormatting sqref="J13:J20">
    <cfRule type="expression" dxfId="2161" priority="58">
      <formula>ABS(J$16-J$19)&gt;=1000</formula>
    </cfRule>
  </conditionalFormatting>
  <conditionalFormatting sqref="L13:L20">
    <cfRule type="expression" dxfId="2160" priority="57">
      <formula>ABS(L$16-L$19)&gt;=1000</formula>
    </cfRule>
  </conditionalFormatting>
  <conditionalFormatting sqref="M13 M15 M17:M18 M20">
    <cfRule type="expression" dxfId="2159" priority="56">
      <formula>ABS(M$16-M$19)&gt;=1000</formula>
    </cfRule>
  </conditionalFormatting>
  <conditionalFormatting sqref="N13:N20">
    <cfRule type="expression" dxfId="2158" priority="55">
      <formula>ABS(N$16-N$19)&gt;=1000</formula>
    </cfRule>
  </conditionalFormatting>
  <conditionalFormatting sqref="O13:O20">
    <cfRule type="expression" dxfId="2157" priority="54">
      <formula>ABS(O$16-O$19)&gt;=1000</formula>
    </cfRule>
  </conditionalFormatting>
  <conditionalFormatting sqref="P13:P20">
    <cfRule type="expression" dxfId="2156" priority="53">
      <formula>ABS(P$16-P$19)&gt;=1000</formula>
    </cfRule>
  </conditionalFormatting>
  <conditionalFormatting sqref="Q13 Q15:Q20">
    <cfRule type="expression" dxfId="2155" priority="52">
      <formula>ABS(Q$16-Q$19)&gt;=1000</formula>
    </cfRule>
  </conditionalFormatting>
  <conditionalFormatting sqref="R13:R20">
    <cfRule type="expression" dxfId="2154" priority="51">
      <formula>ABS(R$16-R$19)&gt;=1000</formula>
    </cfRule>
  </conditionalFormatting>
  <conditionalFormatting sqref="S13:S20">
    <cfRule type="expression" dxfId="2153" priority="50">
      <formula>ABS(S$16-S$19)&gt;=1000</formula>
    </cfRule>
  </conditionalFormatting>
  <conditionalFormatting sqref="T13:T20">
    <cfRule type="expression" dxfId="2152" priority="49">
      <formula>ABS(T$16-T$19)&gt;=1000</formula>
    </cfRule>
  </conditionalFormatting>
  <conditionalFormatting sqref="U13:U20">
    <cfRule type="expression" dxfId="2151" priority="48">
      <formula>ABS(U$16-U$19)&gt;=1000</formula>
    </cfRule>
  </conditionalFormatting>
  <conditionalFormatting sqref="V13:V20">
    <cfRule type="expression" dxfId="2150" priority="47">
      <formula>ABS(V$16-V$19)&gt;=1000</formula>
    </cfRule>
  </conditionalFormatting>
  <conditionalFormatting sqref="W13 W15:W18 W20">
    <cfRule type="expression" dxfId="2149" priority="46">
      <formula>ABS(W$16-W$19)&gt;=1000</formula>
    </cfRule>
  </conditionalFormatting>
  <conditionalFormatting sqref="X13 X15:X20 Y19">
    <cfRule type="expression" dxfId="2148" priority="45">
      <formula>ABS(X$16-X$19)&gt;=1000</formula>
    </cfRule>
  </conditionalFormatting>
  <conditionalFormatting sqref="Y13 Y15:Y18 Y20">
    <cfRule type="expression" dxfId="2147" priority="44">
      <formula>ABS(Y$16-Y$19)&gt;=1000</formula>
    </cfRule>
  </conditionalFormatting>
  <conditionalFormatting sqref="Z13:Z20">
    <cfRule type="expression" dxfId="2146" priority="43">
      <formula>ABS(Z$16-Z$19)&gt;=1000</formula>
    </cfRule>
  </conditionalFormatting>
  <conditionalFormatting sqref="AA13:AA20">
    <cfRule type="expression" dxfId="2145" priority="42">
      <formula>ABS(AA$16-AA$19)&gt;=1000</formula>
    </cfRule>
  </conditionalFormatting>
  <conditionalFormatting sqref="AB13 AB15:AB20">
    <cfRule type="expression" dxfId="2144" priority="41">
      <formula>ABS(AB$16-AB$19)&gt;=1000</formula>
    </cfRule>
  </conditionalFormatting>
  <conditionalFormatting sqref="AC13 AC15:AC20">
    <cfRule type="expression" dxfId="2143" priority="40">
      <formula>ABS(AC$16-AC$19)&gt;=1000</formula>
    </cfRule>
  </conditionalFormatting>
  <conditionalFormatting sqref="AD13:AD20">
    <cfRule type="expression" dxfId="2142" priority="39">
      <formula>ABS(AD$16-AD$19)&gt;=1000</formula>
    </cfRule>
  </conditionalFormatting>
  <conditionalFormatting sqref="AE13:AE20">
    <cfRule type="expression" dxfId="2141" priority="38">
      <formula>ABS(AE$16-AE$19)&gt;=1000</formula>
    </cfRule>
  </conditionalFormatting>
  <conditionalFormatting sqref="D22:D29">
    <cfRule type="expression" dxfId="2140" priority="37">
      <formula>ABS(D$25-D$28)&gt;=1000</formula>
    </cfRule>
  </conditionalFormatting>
  <conditionalFormatting sqref="E22:E29">
    <cfRule type="expression" dxfId="2139" priority="36">
      <formula>ABS(E$25-E$28)&gt;=1000</formula>
    </cfRule>
  </conditionalFormatting>
  <conditionalFormatting sqref="F22:F29">
    <cfRule type="expression" dxfId="2138" priority="35">
      <formula>ABS(F$25-F$28)&gt;=1000</formula>
    </cfRule>
  </conditionalFormatting>
  <conditionalFormatting sqref="G22:G29">
    <cfRule type="expression" dxfId="2137" priority="34">
      <formula>ABS(G$25-G$28)&gt;=1000</formula>
    </cfRule>
  </conditionalFormatting>
  <conditionalFormatting sqref="H22:H29">
    <cfRule type="expression" dxfId="2136" priority="33">
      <formula>ABS(H$25-H$28)&gt;=1000</formula>
    </cfRule>
  </conditionalFormatting>
  <conditionalFormatting sqref="I22 I24:I29">
    <cfRule type="expression" dxfId="2135" priority="32">
      <formula>ABS(I$25-I$28)&gt;=1000</formula>
    </cfRule>
  </conditionalFormatting>
  <conditionalFormatting sqref="J22:J29 K22">
    <cfRule type="expression" dxfId="2134" priority="31">
      <formula>ABS(J$25-J$28)&gt;=1000</formula>
    </cfRule>
  </conditionalFormatting>
  <conditionalFormatting sqref="K23:K29 L25 L28">
    <cfRule type="expression" dxfId="2133" priority="30">
      <formula>ABS(K$25-K$28)&gt;=1000</formula>
    </cfRule>
  </conditionalFormatting>
  <conditionalFormatting sqref="L22:L24 L26:L27 L29">
    <cfRule type="expression" dxfId="2132" priority="29">
      <formula>ABS(L$25-L$28)&gt;=1000</formula>
    </cfRule>
  </conditionalFormatting>
  <conditionalFormatting sqref="M22:M29">
    <cfRule type="expression" dxfId="2131" priority="28">
      <formula>ABS(M$25-M$28)&gt;=1000</formula>
    </cfRule>
  </conditionalFormatting>
  <conditionalFormatting sqref="N22:N29">
    <cfRule type="expression" dxfId="2130" priority="27">
      <formula>ABS(N$25-N$28)&gt;=1000</formula>
    </cfRule>
  </conditionalFormatting>
  <conditionalFormatting sqref="O22:O29">
    <cfRule type="expression" dxfId="2129" priority="26">
      <formula>ABS(O$25-O$28)&gt;=1000</formula>
    </cfRule>
  </conditionalFormatting>
  <conditionalFormatting sqref="P22:P29">
    <cfRule type="expression" dxfId="2128" priority="25">
      <formula>ABS(P$25-P$28)&gt;=1000</formula>
    </cfRule>
  </conditionalFormatting>
  <conditionalFormatting sqref="Q22:Q29">
    <cfRule type="expression" dxfId="2127" priority="24">
      <formula>ABS(Q$25-Q$28)&gt;=1000</formula>
    </cfRule>
  </conditionalFormatting>
  <conditionalFormatting sqref="R22:R29">
    <cfRule type="expression" dxfId="2126" priority="23">
      <formula>ABS(R$25-R$28)&gt;=1000</formula>
    </cfRule>
  </conditionalFormatting>
  <conditionalFormatting sqref="S22:S29">
    <cfRule type="expression" dxfId="2125" priority="22">
      <formula>ABS(S$25-S$28)&gt;=1000</formula>
    </cfRule>
  </conditionalFormatting>
  <conditionalFormatting sqref="T22:T29">
    <cfRule type="expression" dxfId="2124" priority="21">
      <formula>ABS(T$25-T$28)&gt;=1000</formula>
    </cfRule>
  </conditionalFormatting>
  <conditionalFormatting sqref="U22:U29">
    <cfRule type="expression" dxfId="2123" priority="20">
      <formula>ABS(U$25-U$28)&gt;=1000</formula>
    </cfRule>
  </conditionalFormatting>
  <conditionalFormatting sqref="V22:V29">
    <cfRule type="expression" dxfId="2122" priority="19">
      <formula>ABS(V$25-V$28)&gt;=1000</formula>
    </cfRule>
  </conditionalFormatting>
  <conditionalFormatting sqref="W22:W29">
    <cfRule type="expression" dxfId="2121" priority="18">
      <formula>ABS(W$25-W$28)&gt;=1000</formula>
    </cfRule>
  </conditionalFormatting>
  <conditionalFormatting sqref="X22:X29">
    <cfRule type="expression" dxfId="2120" priority="17">
      <formula>ABS(X$25-X$28)&gt;=1000</formula>
    </cfRule>
  </conditionalFormatting>
  <conditionalFormatting sqref="Y22:Y29">
    <cfRule type="expression" dxfId="2119" priority="16">
      <formula>ABS(Y$25-Y$28)&gt;=1000</formula>
    </cfRule>
  </conditionalFormatting>
  <conditionalFormatting sqref="I23">
    <cfRule type="expression" dxfId="2118" priority="15">
      <formula>ABS(I$25-I$28)&gt;=1000</formula>
    </cfRule>
  </conditionalFormatting>
  <conditionalFormatting sqref="F14">
    <cfRule type="expression" dxfId="2117" priority="14">
      <formula>ABS(F$16-F$19)&gt;=1000</formula>
    </cfRule>
  </conditionalFormatting>
  <conditionalFormatting sqref="Q14">
    <cfRule type="expression" dxfId="2116" priority="13">
      <formula>ABS(Q$16-Q$19)&gt;=1000</formula>
    </cfRule>
  </conditionalFormatting>
  <conditionalFormatting sqref="W14">
    <cfRule type="expression" dxfId="2115" priority="12">
      <formula>ABS(W$16-W$19)&gt;=1000</formula>
    </cfRule>
  </conditionalFormatting>
  <conditionalFormatting sqref="Y14">
    <cfRule type="expression" dxfId="2114" priority="11">
      <formula>ABS(Y$16-Y$19)&gt;=1000</formula>
    </cfRule>
  </conditionalFormatting>
  <conditionalFormatting sqref="X14">
    <cfRule type="expression" dxfId="2113" priority="10">
      <formula>ABS(X$16-X$19)&gt;=1000</formula>
    </cfRule>
  </conditionalFormatting>
  <conditionalFormatting sqref="T10:Y10">
    <cfRule type="expression" dxfId="2112" priority="9">
      <formula>ABS(T$7-T$10)&gt;=1000</formula>
    </cfRule>
  </conditionalFormatting>
  <conditionalFormatting sqref="W19">
    <cfRule type="expression" dxfId="2111" priority="8">
      <formula>ABS(W$16-W$19)&gt;=1000</formula>
    </cfRule>
  </conditionalFormatting>
  <conditionalFormatting sqref="AC5">
    <cfRule type="expression" dxfId="2110" priority="7">
      <formula>ABS(AC$7-AC$10)&gt;=1000</formula>
    </cfRule>
  </conditionalFormatting>
  <conditionalFormatting sqref="M14">
    <cfRule type="expression" dxfId="2109" priority="6">
      <formula>ABS(M$16-M$19)&gt;=1000</formula>
    </cfRule>
  </conditionalFormatting>
  <conditionalFormatting sqref="M16">
    <cfRule type="expression" dxfId="2108" priority="5">
      <formula>ABS(M$16-M$19)&gt;=1000</formula>
    </cfRule>
  </conditionalFormatting>
  <conditionalFormatting sqref="M19">
    <cfRule type="expression" dxfId="2107" priority="4">
      <formula>ABS(M$16-M$19)&gt;=1000</formula>
    </cfRule>
  </conditionalFormatting>
  <conditionalFormatting sqref="K13:K20">
    <cfRule type="expression" dxfId="2106" priority="3">
      <formula>ABS(K$16-K$19)&gt;=1000</formula>
    </cfRule>
  </conditionalFormatting>
  <conditionalFormatting sqref="AB14:AC14">
    <cfRule type="expression" dxfId="2105" priority="2">
      <formula>ABS(AB$7-AB$10)&gt;=1000</formula>
    </cfRule>
  </conditionalFormatting>
  <conditionalFormatting sqref="E5">
    <cfRule type="expression" dxfId="2104" priority="1">
      <formula>ABS(E$7-E$10)&gt;=1000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6032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47">
    <pageSetUpPr fitToPage="1"/>
  </sheetPr>
  <dimension ref="A1:CU223"/>
  <sheetViews>
    <sheetView view="pageBreakPreview" zoomScale="70" zoomScaleNormal="100" zoomScaleSheetLayoutView="70" workbookViewId="0">
      <selection activeCell="R9" sqref="R9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36" t="s" ph="1">
        <v>195</v>
      </c>
      <c r="C1" s="236" ph="1"/>
      <c r="D1" s="236" ph="1"/>
      <c r="E1" s="236" ph="1"/>
      <c r="F1" s="236" ph="1"/>
      <c r="G1" s="236" ph="1"/>
      <c r="H1" s="236" ph="1"/>
      <c r="I1" s="236" ph="1"/>
      <c r="J1" s="236" ph="1"/>
      <c r="K1" s="236" ph="1"/>
      <c r="L1" s="236" ph="1"/>
      <c r="M1" s="236" ph="1"/>
      <c r="N1" s="236" ph="1"/>
      <c r="O1" s="236" ph="1"/>
      <c r="P1" s="236" ph="1"/>
      <c r="Q1" s="236" ph="1"/>
      <c r="R1" s="236" ph="1"/>
      <c r="S1" s="236" ph="1"/>
      <c r="T1" s="236" ph="1"/>
      <c r="U1" s="236" ph="1"/>
      <c r="V1" s="236" ph="1"/>
      <c r="W1" s="236" ph="1"/>
      <c r="X1" s="236" ph="1"/>
      <c r="Y1" s="236" ph="1"/>
      <c r="Z1" s="236" ph="1"/>
      <c r="AA1" s="236" ph="1"/>
      <c r="AB1" s="236" ph="1"/>
      <c r="AC1" s="236" ph="1"/>
      <c r="AD1" s="236" ph="1"/>
      <c r="AE1" s="236" ph="1"/>
    </row>
    <row r="2" spans="1:99" s="66" customFormat="1" ht="24" customHeight="1" ph="1">
      <c r="B2" s="237" t="s" ph="1">
        <v>99</v>
      </c>
      <c r="C2" s="237" ph="1"/>
      <c r="D2" s="237" ph="1"/>
      <c r="E2" s="237" ph="1"/>
      <c r="F2" s="237" ph="1"/>
      <c r="G2" s="237" ph="1"/>
      <c r="H2" s="237" ph="1"/>
      <c r="I2" s="237" ph="1"/>
      <c r="J2" s="237" ph="1"/>
      <c r="K2" s="237" ph="1"/>
      <c r="L2" s="237" ph="1"/>
      <c r="M2" s="237" ph="1"/>
      <c r="N2" s="237" ph="1"/>
      <c r="O2" s="237" ph="1"/>
      <c r="P2" s="237" ph="1"/>
      <c r="Q2" s="237" ph="1"/>
      <c r="R2" s="237" ph="1"/>
      <c r="S2" s="237" ph="1"/>
      <c r="T2" s="237" ph="1"/>
      <c r="U2" s="237" ph="1"/>
      <c r="V2" s="237" ph="1"/>
      <c r="W2" s="237" ph="1"/>
      <c r="X2" s="237" ph="1"/>
      <c r="Y2" s="237" ph="1"/>
      <c r="Z2" s="237" ph="1"/>
      <c r="AA2" s="237" ph="1"/>
      <c r="AB2" s="237" ph="1"/>
      <c r="AC2" s="237" ph="1"/>
      <c r="AD2" s="237" ph="1"/>
      <c r="AE2" s="237" ph="1"/>
    </row>
    <row r="3" spans="1:99" ht="21" customHeight="1" ph="1">
      <c r="B3" s="238" ph="1">
        <v>45659</v>
      </c>
      <c r="C3" s="238"/>
      <c r="D3" s="238"/>
      <c r="E3" s="238"/>
      <c r="F3" s="238"/>
      <c r="G3" s="238"/>
      <c r="H3" s="238"/>
      <c r="I3" s="238"/>
      <c r="J3" s="238"/>
      <c r="K3" s="238"/>
      <c r="L3" s="238"/>
      <c r="M3" s="238"/>
      <c r="N3" s="238"/>
      <c r="O3" s="238"/>
      <c r="P3" s="238"/>
      <c r="Q3" s="238"/>
      <c r="R3" s="238"/>
      <c r="S3" s="238"/>
      <c r="T3" s="238"/>
      <c r="U3" s="238"/>
      <c r="V3" s="238"/>
      <c r="W3" s="238"/>
      <c r="X3" s="238"/>
      <c r="Y3" s="238"/>
      <c r="Z3" s="238"/>
      <c r="AA3" s="238"/>
      <c r="AB3" s="238"/>
      <c r="AC3" s="238"/>
      <c r="AD3" s="238"/>
      <c r="AE3" s="238"/>
    </row>
    <row r="4" spans="1:99" s="69" customFormat="1" ph="1">
      <c r="A4" s="65" ph="1"/>
      <c r="B4" s="217" t="s" ph="1">
        <v>37</v>
      </c>
      <c r="C4" s="67" t="s" ph="1">
        <v>210</v>
      </c>
      <c r="D4" s="68" t="s" ph="1">
        <v>45</v>
      </c>
      <c r="E4" s="68" t="s" ph="1">
        <v>46</v>
      </c>
      <c r="F4" s="68" t="s" ph="1">
        <v>39</v>
      </c>
      <c r="G4" s="68" t="s" ph="1">
        <v>47</v>
      </c>
      <c r="H4" s="68" t="s" ph="1">
        <v>48</v>
      </c>
      <c r="I4" s="68" t="s" ph="1">
        <v>133</v>
      </c>
      <c r="J4" s="68" t="s" ph="1">
        <v>49</v>
      </c>
      <c r="K4" s="68" t="s" ph="1">
        <v>134</v>
      </c>
      <c r="L4" s="68" t="s" ph="1">
        <v>135</v>
      </c>
      <c r="M4" s="68" t="s" ph="1">
        <v>50</v>
      </c>
      <c r="N4" s="68" t="s" ph="1">
        <v>51</v>
      </c>
      <c r="O4" s="68" t="s" ph="1">
        <v>137</v>
      </c>
      <c r="P4" s="68" t="s" ph="1">
        <v>139</v>
      </c>
      <c r="Q4" s="68" t="s" ph="1">
        <v>140</v>
      </c>
      <c r="R4" s="68" t="s" ph="1">
        <v>141</v>
      </c>
      <c r="S4" s="68" t="s" ph="1">
        <v>142</v>
      </c>
      <c r="T4" s="68" t="s" ph="1">
        <v>143</v>
      </c>
      <c r="U4" s="68" t="s" ph="1">
        <v>144</v>
      </c>
      <c r="V4" s="68" t="s" ph="1">
        <v>145</v>
      </c>
      <c r="W4" s="68" t="s" ph="1">
        <v>146</v>
      </c>
      <c r="X4" s="68" t="s" ph="1">
        <v>147</v>
      </c>
      <c r="Y4" s="68" t="s" ph="1">
        <v>148</v>
      </c>
      <c r="Z4" s="68" t="s" ph="1">
        <v>52</v>
      </c>
      <c r="AA4" s="68" t="s" ph="1">
        <v>149</v>
      </c>
      <c r="AB4" s="68" t="s" ph="1">
        <v>150</v>
      </c>
      <c r="AC4" s="68" t="s" ph="1">
        <v>151</v>
      </c>
      <c r="AD4" s="68" t="s" ph="1">
        <v>40</v>
      </c>
      <c r="AE4" s="68" t="s" ph="1">
        <v>152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7" ph="1"/>
      <c r="C5" s="67" t="s" ph="1">
        <v>36</v>
      </c>
      <c r="D5" s="70" t="s" ph="1">
        <v>194</v>
      </c>
      <c r="E5" s="70" t="s" ph="1">
        <v>55</v>
      </c>
      <c r="F5" s="70" t="s" ph="1">
        <v>130</v>
      </c>
      <c r="G5" s="70" t="s" ph="1">
        <v>56</v>
      </c>
      <c r="H5" s="70" t="s" ph="1">
        <v>56</v>
      </c>
      <c r="I5" s="70" t="s" ph="1">
        <v>57</v>
      </c>
      <c r="J5" s="70" t="s" ph="1">
        <v>58</v>
      </c>
      <c r="K5" s="70" t="s" ph="1">
        <v>59</v>
      </c>
      <c r="L5" s="70" t="s" ph="1">
        <v>136</v>
      </c>
      <c r="M5" s="70" t="s" ph="1">
        <v>60</v>
      </c>
      <c r="N5" s="70" t="s" ph="1">
        <v>61</v>
      </c>
      <c r="O5" s="70" t="s" ph="1">
        <v>138</v>
      </c>
      <c r="P5" s="70" t="s" ph="1">
        <v>88</v>
      </c>
      <c r="Q5" s="70" t="s" ph="1">
        <v>96</v>
      </c>
      <c r="R5" s="70" t="s" ph="1">
        <v>96</v>
      </c>
      <c r="S5" s="70" t="s" ph="1">
        <v>96</v>
      </c>
      <c r="T5" s="70" t="s" ph="1">
        <v>96</v>
      </c>
      <c r="U5" s="70" t="s" ph="1">
        <v>96</v>
      </c>
      <c r="V5" s="70" t="s" ph="1">
        <v>96</v>
      </c>
      <c r="W5" s="70" t="s" ph="1">
        <v>96</v>
      </c>
      <c r="X5" s="70" t="s" ph="1">
        <v>96</v>
      </c>
      <c r="Y5" s="70" t="s" ph="1">
        <v>96</v>
      </c>
      <c r="Z5" s="70" t="s" ph="1">
        <v>95</v>
      </c>
      <c r="AA5" s="70" t="s" ph="1">
        <v>62</v>
      </c>
      <c r="AB5" s="70" t="s" ph="1">
        <v>62</v>
      </c>
      <c r="AC5" s="70" t="s" ph="1">
        <v>222</v>
      </c>
      <c r="AD5" s="70" t="s" ph="1">
        <v>83</v>
      </c>
      <c r="AE5" s="70" t="s" ph="1">
        <v>153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5" ph="1">
        <v>0.33333333333333331</v>
      </c>
      <c r="C6" s="146" t="s" ph="1">
        <v>211</v>
      </c>
      <c r="D6" s="71">
        <v>770</v>
      </c>
      <c r="E6" s="71">
        <v>0</v>
      </c>
      <c r="F6" s="71">
        <v>6475</v>
      </c>
      <c r="G6" s="71">
        <v>8897</v>
      </c>
      <c r="H6" s="71">
        <v>6272</v>
      </c>
      <c r="I6" s="71">
        <v>39.1</v>
      </c>
      <c r="J6" s="71">
        <v>64.56</v>
      </c>
      <c r="K6" s="71">
        <v>9.2100000000000009</v>
      </c>
      <c r="L6" s="71">
        <v>52.34</v>
      </c>
      <c r="M6" s="71">
        <v>6262</v>
      </c>
      <c r="N6" s="71">
        <v>4652</v>
      </c>
      <c r="O6" s="71">
        <v>3120</v>
      </c>
      <c r="P6" s="71">
        <v>1406</v>
      </c>
      <c r="Q6" s="71">
        <v>3023</v>
      </c>
      <c r="R6" s="71">
        <v>0</v>
      </c>
      <c r="S6" s="71">
        <v>0</v>
      </c>
      <c r="T6" s="71">
        <v>0</v>
      </c>
      <c r="U6" s="71">
        <v>0</v>
      </c>
      <c r="V6" s="71">
        <v>0</v>
      </c>
      <c r="W6" s="71">
        <v>0</v>
      </c>
      <c r="X6" s="71">
        <v>4700</v>
      </c>
      <c r="Y6" s="71">
        <v>6059</v>
      </c>
      <c r="Z6" s="71">
        <v>2749</v>
      </c>
      <c r="AA6" s="71">
        <v>0</v>
      </c>
      <c r="AB6" s="71">
        <v>2935</v>
      </c>
      <c r="AC6" s="71">
        <v>8638</v>
      </c>
      <c r="AD6" s="71">
        <v>2152</v>
      </c>
      <c r="AE6" s="71">
        <v>3663</v>
      </c>
    </row>
    <row r="7" spans="1:99" s="72" customFormat="1" ht="22.5" ph="1">
      <c r="B7" s="235" ph="1"/>
      <c r="C7" s="68" t="s" ph="1">
        <v>212</v>
      </c>
      <c r="D7" s="73" ph="1">
        <f>D6*33.183*LOOKUP(D8,密度!$A$2:$A$50,密度!$Q$2:$Q$50)</f>
        <v>24389.3656314</v>
      </c>
      <c r="E7" s="73" ph="1">
        <f>E6*51.53*LOOKUP(E8,密度!$A$2:$A$50,密度!$I$2:$I$50)</f>
        <v>0</v>
      </c>
      <c r="F7" s="73" ph="1">
        <f>F6*33.183*LOOKUP(F8,密度!$A$2:$A$50,密度!$C$2:$C$50)</f>
        <v>239611.78835999998</v>
      </c>
      <c r="G7" s="73" ph="1">
        <f xml:space="preserve"> (G6+2)*51.53*LOOKUP(G8,密度!$A$2:$A$50,密度!$B$2:$B$50)</f>
        <v>360982.73798400001</v>
      </c>
      <c r="H7" s="73" ph="1">
        <f>(H6)*51.53*LOOKUP(H8,密度!$A$2:$A$50,密度!$B$2:$B$50)</f>
        <v>256068.31756800003</v>
      </c>
      <c r="I7" s="73" ph="1">
        <f>I6*290.8*1.0267</f>
        <v>11673.866475999999</v>
      </c>
      <c r="J7" s="73" ph="1">
        <f>J6*290.8*0.7892</f>
        <v>14816.478681600001</v>
      </c>
      <c r="K7" s="73" ph="1">
        <f>K6*290.8*1.1126</f>
        <v>2979.8409768000006</v>
      </c>
      <c r="L7" s="73" ph="1">
        <f>L6*290.8*0.777</f>
        <v>11826.306744000001</v>
      </c>
      <c r="M7" s="73" ph="1">
        <f>M6*33.183*LOOKUP(M8,密度!$A$2:$A$50,密度!$D$2:$D$50)</f>
        <v>215023.1057208</v>
      </c>
      <c r="N7" s="73" ph="1">
        <f>N6*33.183*LOOKUP(N8,密度!$A$2:$A$50,密度!$E$2:$E$50)</f>
        <v>121996.4898348</v>
      </c>
      <c r="O7" s="73" ph="1">
        <f>O6*20.428*LOOKUP(O8,密度!$A$2:$A$50,密度!$C$2:$C$50)</f>
        <v>70867.346784000008</v>
      </c>
      <c r="P7" s="73" ph="1">
        <f>P6*51.53*LOOKUP(P8,密度!$A$2:$A$50,密度!$B$2:$B$50)</f>
        <v>57091.52984000001</v>
      </c>
      <c r="Q7" s="73" ph="1">
        <f>Q6*1.5*1.5*3.1416*LOOKUP(W8,密度!$A$2:$A$50,密度!$L$2:$L$50)</f>
        <v>20214.485398799996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31694.188679999996</v>
      </c>
      <c r="Y7" s="73" ph="1">
        <f>Y6*1.5*1.5*3.1416*LOOKUP(Y8,密度!$A$2:$A$50,密度!$L$2:$L$50)</f>
        <v>40515.900440400001</v>
      </c>
      <c r="Z7" s="73" ph="1">
        <f>Z6*33.183*LOOKUP(Z8,密度!$A$2:$A$50,密度!$L$2:$L$50)</f>
        <v>86294.183381999988</v>
      </c>
      <c r="AA7" s="73" ph="1">
        <f>AA6*33.183*LOOKUP(AA8,密度!$A$2:$A$50,密度!$D$2:$D$50)</f>
        <v>0</v>
      </c>
      <c r="AB7" s="73" ph="1">
        <f>AB6*20.428*LOOKUP(AB8,密度!$A$2:$A$50,密度!$D$2:$D$50)</f>
        <v>62516.308885999999</v>
      </c>
      <c r="AC7" s="73" ph="1">
        <f>AC6*51.53*LOOKUP(AC8,密度!$A$2:$A$50,密度!$Q$2:$Q$50)</f>
        <v>424881.16027560004</v>
      </c>
      <c r="AD7" s="73" ph="1">
        <f>AD6*20.428*LOOKUP(AD8,密度!$A$2:$A$50,密度!$V$2:$V$50)</f>
        <v>42378.457984000001</v>
      </c>
      <c r="AE7" s="73" ph="1">
        <f>AE6*20.428</f>
        <v>74827.76400000001</v>
      </c>
    </row>
    <row r="8" spans="1:99" ph="1">
      <c r="B8" s="235" ph="1"/>
      <c r="C8" s="68" t="s" ph="1">
        <v>213</v>
      </c>
      <c r="D8" s="74">
        <v>15</v>
      </c>
      <c r="E8" s="74">
        <v>15</v>
      </c>
      <c r="F8" s="74">
        <v>16</v>
      </c>
      <c r="G8" s="74">
        <v>16</v>
      </c>
      <c r="H8" s="74">
        <v>10</v>
      </c>
      <c r="I8" s="74">
        <v>25</v>
      </c>
      <c r="J8" s="74">
        <v>25</v>
      </c>
      <c r="K8" s="74">
        <v>25</v>
      </c>
      <c r="L8" s="74">
        <v>25</v>
      </c>
      <c r="M8" s="74">
        <v>16</v>
      </c>
      <c r="N8" s="74">
        <v>19</v>
      </c>
      <c r="O8" s="74">
        <v>21</v>
      </c>
      <c r="P8" s="74">
        <v>15</v>
      </c>
      <c r="Q8" s="74">
        <v>15</v>
      </c>
      <c r="R8" s="74">
        <v>22</v>
      </c>
      <c r="S8" s="74">
        <v>10</v>
      </c>
      <c r="T8" s="74">
        <v>11</v>
      </c>
      <c r="U8" s="74">
        <v>15</v>
      </c>
      <c r="V8" s="74">
        <v>20</v>
      </c>
      <c r="W8" s="74">
        <v>16</v>
      </c>
      <c r="X8" s="74">
        <v>8</v>
      </c>
      <c r="Y8" s="74">
        <v>16</v>
      </c>
      <c r="Z8" s="74">
        <v>16</v>
      </c>
      <c r="AA8" s="74">
        <v>14</v>
      </c>
      <c r="AB8" s="74">
        <v>7</v>
      </c>
      <c r="AC8" s="74">
        <v>13</v>
      </c>
      <c r="AD8" s="74">
        <v>15</v>
      </c>
      <c r="AE8" s="74">
        <v>18</v>
      </c>
    </row>
    <row r="9" spans="1:99" ph="1">
      <c r="B9" s="235" ph="1">
        <v>0.66666666666666663</v>
      </c>
      <c r="C9" s="146" t="s" ph="1">
        <v>214</v>
      </c>
      <c r="D9" s="71">
        <v>1000</v>
      </c>
      <c r="E9" s="71">
        <v>0</v>
      </c>
      <c r="F9" s="71">
        <v>6473</v>
      </c>
      <c r="G9" s="71">
        <v>8895</v>
      </c>
      <c r="H9" s="71">
        <v>5959</v>
      </c>
      <c r="I9" s="71">
        <v>39.119999999999997</v>
      </c>
      <c r="J9" s="71">
        <v>23.61</v>
      </c>
      <c r="K9" s="71">
        <v>9.2100000000000009</v>
      </c>
      <c r="L9" s="71">
        <v>20.32</v>
      </c>
      <c r="M9" s="71">
        <v>6260</v>
      </c>
      <c r="N9" s="71">
        <v>4947</v>
      </c>
      <c r="O9" s="71">
        <v>2347</v>
      </c>
      <c r="P9" s="71">
        <v>1169</v>
      </c>
      <c r="Q9" s="71">
        <v>7022</v>
      </c>
      <c r="R9" s="71">
        <v>3166</v>
      </c>
      <c r="S9" s="71">
        <v>0</v>
      </c>
      <c r="T9" s="71">
        <v>0</v>
      </c>
      <c r="U9" s="71">
        <v>0</v>
      </c>
      <c r="V9" s="71">
        <v>0</v>
      </c>
      <c r="W9" s="71">
        <v>0</v>
      </c>
      <c r="X9" s="71">
        <v>1100</v>
      </c>
      <c r="Y9" s="71">
        <v>6060</v>
      </c>
      <c r="Z9" s="71">
        <v>3520</v>
      </c>
      <c r="AA9" s="71">
        <v>0</v>
      </c>
      <c r="AB9" s="71">
        <v>2934</v>
      </c>
      <c r="AC9" s="71">
        <v>8421</v>
      </c>
      <c r="AD9" s="71">
        <v>2146</v>
      </c>
      <c r="AE9" s="71">
        <v>3267</v>
      </c>
    </row>
    <row r="10" spans="1:99" s="72" customFormat="1" ht="22.5" ph="1">
      <c r="B10" s="235" ph="1"/>
      <c r="C10" s="146" t="s" ph="1">
        <v>212</v>
      </c>
      <c r="D10" s="73" ph="1">
        <f>D9*33.183*LOOKUP(D11,密度!$A$2:$A$50,密度!$Q$2:$Q$50)</f>
        <v>31564.665090000002</v>
      </c>
      <c r="E10" s="73" ph="1">
        <f>E9*51.53*LOOKUP(E11,密度!$A$2:$A$50,密度!$I$2:$I$50)</f>
        <v>0</v>
      </c>
      <c r="F10" s="73" ph="1">
        <f>F9*33.183*LOOKUP(F11,密度!$A$2:$A$50,密度!$C$2:$C$50)</f>
        <v>239387.42150550001</v>
      </c>
      <c r="G10" s="73" ph="1">
        <f xml:space="preserve"> (G9+2)*51.53*LOOKUP(G11,密度!$A$2:$A$50,密度!$B$2:$B$50)</f>
        <v>360534.839224</v>
      </c>
      <c r="H10" s="73" ph="1">
        <f>(H9)*51.53*LOOKUP(H11,密度!$A$2:$A$50,密度!$B$2:$B$50)</f>
        <v>242491.02311899999</v>
      </c>
      <c r="I10" s="73" ph="1">
        <f>I9*290.8*1.0267</f>
        <v>11679.837763199999</v>
      </c>
      <c r="J10" s="73" ph="1">
        <f>J9*290.8*0.7892</f>
        <v>5418.4798896000002</v>
      </c>
      <c r="K10" s="73" ph="1">
        <f>K9*290.8*1.1126</f>
        <v>2979.8409768000006</v>
      </c>
      <c r="L10" s="73" ph="1">
        <f>L9*290.8*0.777</f>
        <v>4591.3365120000008</v>
      </c>
      <c r="M10" s="73" ph="1">
        <f>M9*33.183*LOOKUP(M11,密度!$A$2:$A$50,密度!$D$2:$D$50)</f>
        <v>214601.29669799996</v>
      </c>
      <c r="N10" s="73" ph="1">
        <f>N9*33.183*LOOKUP(N11,密度!$A$2:$A$50,密度!$E$2:$E$50)</f>
        <v>129732.7246803</v>
      </c>
      <c r="O10" s="73" ph="1">
        <f>O9*20.428*LOOKUP(O11,密度!$A$2:$A$50,密度!$C$2:$C$50)</f>
        <v>53271.151727600001</v>
      </c>
      <c r="P10" s="73" ph="1">
        <f>P9*51.53*LOOKUP(P11,密度!$A$2:$A$50,密度!$B$2:$B$50)</f>
        <v>47371.611447999996</v>
      </c>
      <c r="Q10" s="73" ph="1">
        <f>Q9*1.5*1.5*3.1416*LOOKUP(W11,密度!$A$2:$A$50,密度!$L$2:$L$50)</f>
        <v>46756.838066399992</v>
      </c>
      <c r="R10" s="73" ph="1">
        <f>R9*1.5*1.5*3.1416*LOOKUP(R11,密度!$A$2:$A$50,密度!$L$2:$L$50)</f>
        <v>20969.298781200003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7402.2379199999996</v>
      </c>
      <c r="Y10" s="73" ph="1">
        <f>Y9*1.5*1.5*3.1416*LOOKUP(Y11,密度!$A$2:$A$50,密度!$L$2:$L$50)</f>
        <v>40479.751619999995</v>
      </c>
      <c r="Z10" s="73" ph="1">
        <f>Z9*33.183*LOOKUP(Z11,密度!$A$2:$A$50,密度!$L$2:$L$50)</f>
        <v>110263.12703999999</v>
      </c>
      <c r="AA10" s="73" ph="1">
        <f>AA9*33.183*LOOKUP(AA11,密度!$A$2:$A$50,密度!$D$2:$D$50)</f>
        <v>0</v>
      </c>
      <c r="AB10" s="73" ph="1">
        <f>AB9*20.428*LOOKUP(AB11,密度!$A$2:$A$50,密度!$D$2:$D$50)</f>
        <v>62441.066433600005</v>
      </c>
      <c r="AC10" s="73" ph="1">
        <f>AC9*51.53*LOOKUP(AC11,密度!$A$2:$A$50,密度!$Q$2:$Q$50)</f>
        <v>414207.48445020005</v>
      </c>
      <c r="AD10" s="73" ph="1">
        <f>AD9*20.428*LOOKUP(AD11,密度!$A$2:$A$50,密度!$V$2:$V$50)</f>
        <v>42260.302432000004</v>
      </c>
      <c r="AE10" s="73" ph="1">
        <f>AE9*20.428</f>
        <v>66738.275999999998</v>
      </c>
    </row>
    <row r="11" spans="1:99" ph="1">
      <c r="A11" s="64" t="s" ph="1">
        <v>196</v>
      </c>
      <c r="B11" s="235" ph="1"/>
      <c r="C11" s="146" t="s" ph="1">
        <v>213</v>
      </c>
      <c r="D11" s="74">
        <v>19</v>
      </c>
      <c r="E11" s="74">
        <v>19</v>
      </c>
      <c r="F11" s="74">
        <v>17</v>
      </c>
      <c r="G11" s="74">
        <v>17</v>
      </c>
      <c r="H11" s="74">
        <v>13</v>
      </c>
      <c r="I11" s="74">
        <v>25</v>
      </c>
      <c r="J11" s="74">
        <v>25</v>
      </c>
      <c r="K11" s="74">
        <v>25</v>
      </c>
      <c r="L11" s="74">
        <v>25</v>
      </c>
      <c r="M11" s="74">
        <v>18</v>
      </c>
      <c r="N11" s="74">
        <v>19</v>
      </c>
      <c r="O11" s="74">
        <v>22</v>
      </c>
      <c r="P11" s="74">
        <v>17</v>
      </c>
      <c r="Q11" s="74">
        <v>16</v>
      </c>
      <c r="R11" s="74">
        <v>25</v>
      </c>
      <c r="S11" s="74">
        <v>14</v>
      </c>
      <c r="T11" s="74">
        <v>15</v>
      </c>
      <c r="U11" s="74">
        <v>18</v>
      </c>
      <c r="V11" s="74">
        <v>24</v>
      </c>
      <c r="W11" s="74">
        <v>20</v>
      </c>
      <c r="X11" s="74">
        <v>10</v>
      </c>
      <c r="Y11" s="74">
        <v>17</v>
      </c>
      <c r="Z11" s="74">
        <v>18</v>
      </c>
      <c r="AA11" s="74">
        <v>5</v>
      </c>
      <c r="AB11" s="74">
        <v>8</v>
      </c>
      <c r="AC11" s="74">
        <v>15</v>
      </c>
      <c r="AD11" s="74">
        <v>17</v>
      </c>
      <c r="AE11" s="74">
        <v>20</v>
      </c>
    </row>
    <row r="12" spans="1:99" ht="9.9499999999999993" customHeight="1" ph="1"/>
    <row r="13" spans="1:99" s="72" customFormat="1" ht="29.25" customHeight="1" ph="1">
      <c r="B13" s="212" t="s" ph="1">
        <v>37</v>
      </c>
      <c r="C13" s="146" t="s" ph="1">
        <v>210</v>
      </c>
      <c r="D13" s="76" t="s" ph="1">
        <v>53</v>
      </c>
      <c r="E13" s="76" t="s" ph="1">
        <v>54</v>
      </c>
      <c r="F13" s="76" t="s" ph="1">
        <v>66</v>
      </c>
      <c r="G13" s="76" t="s" ph="1">
        <v>67</v>
      </c>
      <c r="H13" s="76" t="s" ph="1">
        <v>154</v>
      </c>
      <c r="I13" s="76" t="s" ph="1">
        <v>68</v>
      </c>
      <c r="J13" s="76" t="s" ph="1">
        <v>155</v>
      </c>
      <c r="K13" s="76" t="s" ph="1">
        <v>63</v>
      </c>
      <c r="L13" s="76" t="s" ph="1">
        <v>69</v>
      </c>
      <c r="M13" s="76" t="s" ph="1">
        <v>70</v>
      </c>
      <c r="N13" s="76" t="s" ph="1">
        <v>156</v>
      </c>
      <c r="O13" s="76" t="s" ph="1">
        <v>64</v>
      </c>
      <c r="P13" s="76" t="s" ph="1">
        <v>71</v>
      </c>
      <c r="Q13" s="76" t="s" ph="1">
        <v>72</v>
      </c>
      <c r="R13" s="76" t="s" ph="1">
        <v>73</v>
      </c>
      <c r="S13" s="76" t="s" ph="1">
        <v>74</v>
      </c>
      <c r="T13" s="76" t="s" ph="1">
        <v>75</v>
      </c>
      <c r="U13" s="76" t="s" ph="1">
        <v>76</v>
      </c>
      <c r="V13" s="76" t="s" ph="1">
        <v>157</v>
      </c>
      <c r="W13" s="76" t="s" ph="1">
        <v>158</v>
      </c>
      <c r="X13" s="76" t="s" ph="1">
        <v>159</v>
      </c>
      <c r="Y13" s="105" t="s" ph="1">
        <v>77</v>
      </c>
      <c r="Z13" s="76" t="s" ph="1">
        <v>86</v>
      </c>
      <c r="AA13" s="76" t="s" ph="1">
        <v>160</v>
      </c>
      <c r="AB13" s="76" t="s" ph="1">
        <v>161</v>
      </c>
      <c r="AC13" s="76" t="s" ph="1">
        <v>162</v>
      </c>
      <c r="AD13" s="76" t="s" ph="1">
        <v>163</v>
      </c>
      <c r="AE13" s="76" t="s" ph="1">
        <v>164</v>
      </c>
      <c r="AG13" s="72" t="s" ph="1">
        <v>369</v>
      </c>
      <c r="AH13" s="72" t="s" ph="1">
        <v>232</v>
      </c>
      <c r="AI13" s="72" t="s" ph="1">
        <v>233</v>
      </c>
      <c r="AJ13" s="72" t="s" ph="1">
        <v>234</v>
      </c>
      <c r="AK13" s="72" t="s" ph="1">
        <v>235</v>
      </c>
      <c r="AL13" s="72" t="s" ph="1">
        <v>236</v>
      </c>
      <c r="AM13" s="72" t="s" ph="1">
        <v>237</v>
      </c>
      <c r="AN13" s="72" t="s" ph="1">
        <v>238</v>
      </c>
      <c r="AO13" s="72" t="s" ph="1">
        <v>239</v>
      </c>
      <c r="AP13" s="72" t="s" ph="1">
        <v>240</v>
      </c>
      <c r="AQ13" s="72" t="s" ph="1">
        <v>241</v>
      </c>
      <c r="AR13" s="72" t="s" ph="1">
        <v>242</v>
      </c>
      <c r="AS13" s="72" t="s" ph="1">
        <v>243</v>
      </c>
      <c r="AT13" s="72" t="s" ph="1">
        <v>244</v>
      </c>
      <c r="AU13" s="72" t="s" ph="1">
        <v>245</v>
      </c>
      <c r="AV13" s="72" t="s" ph="1">
        <v>246</v>
      </c>
      <c r="AW13" s="72" t="s" ph="1">
        <v>247</v>
      </c>
      <c r="AX13" s="72" t="s" ph="1">
        <v>248</v>
      </c>
      <c r="AY13" s="72" t="s" ph="1">
        <v>370</v>
      </c>
      <c r="AZ13" s="72" t="s" ph="1">
        <v>249</v>
      </c>
      <c r="BA13" s="72" t="s" ph="1">
        <v>250</v>
      </c>
      <c r="BB13" s="72" t="s" ph="1">
        <v>635</v>
      </c>
      <c r="BC13" s="72" t="s" ph="1">
        <v>251</v>
      </c>
      <c r="BD13" s="72" t="s" ph="1">
        <v>371</v>
      </c>
      <c r="BE13" s="72" t="s" ph="1">
        <v>372</v>
      </c>
      <c r="BF13" s="72" t="s" ph="1">
        <v>373</v>
      </c>
      <c r="BG13" s="72" t="s" ph="1">
        <v>374</v>
      </c>
      <c r="BH13" s="72" t="s" ph="1">
        <v>375</v>
      </c>
    </row>
    <row r="14" spans="1:99" s="72" customFormat="1" ht="24" ph="1">
      <c r="B14" s="213" ph="1"/>
      <c r="C14" s="67" t="s" ph="1">
        <v>36</v>
      </c>
      <c r="D14" s="77" t="s" ph="1">
        <v>131</v>
      </c>
      <c r="E14" s="77" t="s" ph="1">
        <v>131</v>
      </c>
      <c r="F14" s="77" t="s" ph="1">
        <v>650</v>
      </c>
      <c r="G14" s="77" t="s" ph="1">
        <v>220</v>
      </c>
      <c r="H14" s="77" t="s" ph="1">
        <v>648</v>
      </c>
      <c r="I14" s="77" t="s" ph="1">
        <v>65</v>
      </c>
      <c r="J14" s="77" t="s" ph="1">
        <v>230</v>
      </c>
      <c r="K14" s="77" t="s" ph="1">
        <v>226</v>
      </c>
      <c r="L14" s="77" t="s" ph="1">
        <v>41</v>
      </c>
      <c r="M14" s="104" t="s" ph="1">
        <v>225</v>
      </c>
      <c r="N14" s="104" t="s" ph="1">
        <v>221</v>
      </c>
      <c r="O14" s="104" t="s" ph="1">
        <v>229</v>
      </c>
      <c r="P14" s="77" t="s" ph="1">
        <v>82</v>
      </c>
      <c r="Q14" s="77" t="s" ph="1">
        <v>82</v>
      </c>
      <c r="R14" s="88" t="s" ph="1">
        <v>7</v>
      </c>
      <c r="S14" s="77" t="s" ph="1">
        <v>82</v>
      </c>
      <c r="T14" s="77" t="s" ph="1">
        <v>98</v>
      </c>
      <c r="U14" s="77" t="s" ph="1">
        <v>103</v>
      </c>
      <c r="V14" s="77" t="s" ph="1">
        <v>649</v>
      </c>
      <c r="W14" s="77" t="s" ph="1">
        <v>223</v>
      </c>
      <c r="X14" s="77" t="s" ph="1">
        <v>78</v>
      </c>
      <c r="Y14" s="144" t="s" ph="1">
        <v>0</v>
      </c>
      <c r="Z14" s="77" t="s" ph="1">
        <v>62</v>
      </c>
      <c r="AA14" s="77" t="s" ph="1">
        <v>88</v>
      </c>
      <c r="AB14" s="145" t="s" ph="1">
        <v>653</v>
      </c>
      <c r="AC14" s="152" t="s" ph="1">
        <v>653</v>
      </c>
      <c r="AD14" s="77" t="s" ph="1">
        <v>136</v>
      </c>
      <c r="AE14" s="77" t="s" ph="1">
        <v>136</v>
      </c>
      <c r="AG14" s="72" t="s" ph="1">
        <v>252</v>
      </c>
      <c r="AI14" s="72" t="s" ph="1">
        <v>253</v>
      </c>
      <c r="AJ14" s="72" t="s" ph="1">
        <v>376</v>
      </c>
      <c r="AK14" s="72" t="s" ph="1">
        <v>254</v>
      </c>
      <c r="AM14" s="72" t="s" ph="1">
        <v>256</v>
      </c>
      <c r="AN14" s="72" t="s" ph="1">
        <v>254</v>
      </c>
      <c r="AO14" s="72" t="s" ph="1">
        <v>255</v>
      </c>
      <c r="AP14" s="72" t="s" ph="1">
        <v>256</v>
      </c>
      <c r="AQ14" s="72" t="s" ph="1">
        <v>254</v>
      </c>
      <c r="AR14" s="72" t="s" ph="1">
        <v>255</v>
      </c>
      <c r="AS14" s="72" t="s" ph="1">
        <v>256</v>
      </c>
      <c r="AT14" s="72" t="s" ph="1">
        <v>254</v>
      </c>
      <c r="AU14" s="72" t="s" ph="1">
        <v>255</v>
      </c>
      <c r="AV14" s="72" t="s" ph="1">
        <v>256</v>
      </c>
      <c r="AW14" s="72" t="s" ph="1">
        <v>254</v>
      </c>
      <c r="AX14" s="72" t="s" ph="1">
        <v>255</v>
      </c>
      <c r="AY14" s="72" t="s" ph="1">
        <v>256</v>
      </c>
      <c r="AZ14" s="72" t="s" ph="1">
        <v>255</v>
      </c>
    </row>
    <row r="15" spans="1:99" ph="1">
      <c r="B15" s="214" ph="1">
        <v>0.33333333333333331</v>
      </c>
      <c r="C15" s="146" t="s" ph="1">
        <v>211</v>
      </c>
      <c r="D15" s="78">
        <v>846</v>
      </c>
      <c r="E15" s="78">
        <v>5495</v>
      </c>
      <c r="F15" s="78">
        <v>2283</v>
      </c>
      <c r="G15" s="78">
        <v>2259</v>
      </c>
      <c r="H15" s="78">
        <v>1077</v>
      </c>
      <c r="I15" s="78">
        <v>11</v>
      </c>
      <c r="J15" s="78">
        <v>0</v>
      </c>
      <c r="K15" s="78">
        <v>1815</v>
      </c>
      <c r="L15" s="78">
        <v>1372</v>
      </c>
      <c r="M15" s="78">
        <v>6033</v>
      </c>
      <c r="N15" s="78">
        <v>3848</v>
      </c>
      <c r="O15" s="78">
        <v>2440</v>
      </c>
      <c r="P15" s="78">
        <v>3420</v>
      </c>
      <c r="Q15" s="78">
        <v>6079</v>
      </c>
      <c r="R15" s="78">
        <v>3492</v>
      </c>
      <c r="S15" s="78">
        <v>5617</v>
      </c>
      <c r="T15" s="78">
        <v>4463</v>
      </c>
      <c r="U15" s="78">
        <v>1760</v>
      </c>
      <c r="V15" s="78">
        <v>4946</v>
      </c>
      <c r="W15" s="78">
        <v>-593</v>
      </c>
      <c r="X15" s="78">
        <v>1119</v>
      </c>
      <c r="Y15" s="106">
        <v>-9901</v>
      </c>
      <c r="Z15" s="78">
        <v>0</v>
      </c>
      <c r="AA15" s="78">
        <v>31</v>
      </c>
      <c r="AB15" s="78" ph="1">
        <v>6276</v>
      </c>
      <c r="AC15" s="78">
        <v>6504</v>
      </c>
      <c r="AD15" s="78">
        <v>64.98</v>
      </c>
      <c r="AE15" s="78">
        <v>24.34</v>
      </c>
      <c r="AG15" s="64" t="s" ph="1">
        <v>258</v>
      </c>
      <c r="AH15" s="64" ph="1">
        <v>1</v>
      </c>
      <c r="AI15" s="64" t="s" ph="1">
        <v>377</v>
      </c>
      <c r="AK15" s="64" t="s" ph="1">
        <v>631</v>
      </c>
      <c r="AM15" s="64" t="s" ph="1">
        <v>379</v>
      </c>
      <c r="AZ15" s="64" t="s" ph="1">
        <v>260</v>
      </c>
      <c r="BA15" s="64" ph="1">
        <v>0</v>
      </c>
    </row>
    <row r="16" spans="1:99" s="72" customFormat="1" ht="22.5" ph="1">
      <c r="B16" s="215" ph="1"/>
      <c r="C16" s="146" t="s" ph="1">
        <v>212</v>
      </c>
      <c r="D16" s="73" ph="1">
        <f>D15*7.0686*LOOKUP(D17,密度!$A$2:$A$50,密度!$L$2:$L$50)</f>
        <v>5657.1136776000003</v>
      </c>
      <c r="E16" s="73" ph="1">
        <f>E15*7.0686*LOOKUP(E17,密度!$A$2:$A$50,密度!$L$2:$L$50)</f>
        <v>36744.491322000002</v>
      </c>
      <c r="F16" s="73" ph="1">
        <f>F15*9.0746*LOOKUP(F17,密度!$A$2:$A$50,密度!$L$2:$L$50)</f>
        <v>19557.1423392</v>
      </c>
      <c r="G16" s="73" ph="1">
        <f>G15*9.0746*LOOKUP(G17,密度!$A$2:$A$50,密度!$B$2:$B$50)</f>
        <v>16137.223246080001</v>
      </c>
      <c r="H16" s="73" ph="1">
        <f>H15*9.0746*LOOKUP(H17,密度!$A$2:$A$50,密度!$L$2:$L$50)</f>
        <v>9206.490236399999</v>
      </c>
      <c r="I16" s="73" ph="1">
        <f>I15*9.0746*LOOKUP(I17,密度!$A$2:$A$50,密度!$U$2:$U$50)</f>
        <v>102.6155768</v>
      </c>
      <c r="J16" s="73" ph="1">
        <f>J15*9.0746*LOOKUP(J17,密度!$A$2:$A$50,密度!$L$2:$L$50)</f>
        <v>0</v>
      </c>
      <c r="K16" s="73" ph="1">
        <f>K15*9.0746*LOOKUP(K17,密度!$A$2:$A$50,密度!$C$2:$C$50)</f>
        <v>18377.6712042</v>
      </c>
      <c r="L16" s="73" ph="1">
        <f>L15*9.0746*LOOKUP(L17,密度!$A$2:$A$50,密度!$E$2:$E$50)</f>
        <v>9880.5987123200011</v>
      </c>
      <c r="M16" s="73" ph="1">
        <f>M15*9.0746*LOOKUP(M17,密度!$A$2:$A$50,密度!$M$2:$M$50)</f>
        <v>48193.838502539998</v>
      </c>
      <c r="N16" s="73" ph="1">
        <f>N15*9.0746*LOOKUP(N17,密度!$A$2:$A$50,密度!$M$2:$M$50)</f>
        <v>30739.24922224</v>
      </c>
      <c r="O16" s="73" ph="1">
        <f>O15*9.0746*LOOKUP(O17,密度!$A$2:$A$50,密度!$G$2:$G$50)</f>
        <v>21386.980981600002</v>
      </c>
      <c r="P16" s="73" ph="1">
        <f ca="1">P15*9.0746*LOOKUP(P17,密度!$A$2:$A$51,密度!$Q$2:$Q$50)</f>
        <v>29545.756015320003</v>
      </c>
      <c r="Q16" s="73" ph="1">
        <f>Q15*9.0746*LOOKUP(Q17,密度!$A$2:$A$50,密度!$Q$2:$Q$50)</f>
        <v>52604.860906239999</v>
      </c>
      <c r="R16" s="73" ph="1">
        <f>MAX(R15*9.0746*LOOKUP(R17,密度!$A$2:$A$50,密度!$B$2:$B$50),0)</f>
        <v>24897.656964239999</v>
      </c>
      <c r="S16" s="73" ph="1">
        <f>S15*9.0746*LOOKUP(S17,密度!$A$2:$A$50,密度!$Q$2:$Q$50)</f>
        <v>48654.839798028006</v>
      </c>
      <c r="T16" s="73" ph="1">
        <f>T15*9.0746*LOOKUP(T17,密度!$A$2:$A$50,密度!$O$2:$O$50)</f>
        <v>37826.943773200001</v>
      </c>
      <c r="U16" s="73" ph="1">
        <f>U15*9.0746*LOOKUP(U17,密度!$A$2:$A$50,密度!$H$2:$H$50)</f>
        <v>14784.6287072</v>
      </c>
      <c r="V16" s="73" ph="1">
        <f>MAX(5600*LOOKUP(V17,密度!$A$2:$A$50,密度!$Q$2:$Q$50)+V15*9.0476*LOOKUP(V17,密度!$A$2:$A$50,密度!$Q$2:$Q$50),0)</f>
        <v>48060.544530383995</v>
      </c>
      <c r="W16" s="73" ph="1">
        <f>MAX(5600*LOOKUP(W17,密度!$A$2:$A$50,密度!$Q$2:$Q$50)+W15*9.0476*LOOKUP(W17,密度!$A$2:$A$50,密度!$Q$2:$Q$50),0)</f>
        <v>224.10041032800018</v>
      </c>
      <c r="X16" s="73" ph="1">
        <f>MAX(5600*LOOKUP(X17,密度!$A$2:$A$50,密度!$I$2:$I$50)+X15*9.0476*LOOKUP(X17,密度!$A$2:$A$50,密度!$I$2:$I$50),0)</f>
        <v>16195.363361423997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222.15256022000003</v>
      </c>
      <c r="AB16" s="73" ph="1">
        <f>AB15*9.0746*LOOKUP(AB17,密度!$A$2:$A$50,密度!$L$2:$L$50)</f>
        <v>53762.866982399995</v>
      </c>
      <c r="AC16" s="73" ph="1">
        <f>AC15*9.0746*LOOKUP(AC17,密度!$A$2:$A$50,密度!$L$2:$L$50)</f>
        <v>55952.096083199998</v>
      </c>
      <c r="AD16" s="73" ph="1">
        <f>AD15*268.68*LOOKUP(AD17,密度!$A$2:$A$50,密度!B2:B50)+IF(AD15&lt;=0,0,1566*LOOKUP(AD17,密度!$A$2:$A$50,密度!B2:B50))</f>
        <v>14831.754661440002</v>
      </c>
      <c r="AE16" s="73" ph="1">
        <f>AE15*268.68*LOOKUP(AE17,密度!$A$2:$A$50,密度!B2:B50)+IF(AE15&lt;=0,0,1566*LOOKUP(AE17,密度!$A$2:$A$50,密度!B2:B50))</f>
        <v>6319.1812675199999</v>
      </c>
      <c r="AH16" s="72" ph="1">
        <v>2</v>
      </c>
      <c r="AI16" s="72" t="s" ph="1">
        <v>381</v>
      </c>
      <c r="AZ16" s="72" t="s" ph="1">
        <v>260</v>
      </c>
      <c r="BA16" s="72" ph="1">
        <v>0</v>
      </c>
    </row>
    <row r="17" spans="1:57" ph="1">
      <c r="A17" s="64" t="s" ph="1">
        <v>85</v>
      </c>
      <c r="B17" s="216" ph="1"/>
      <c r="C17" s="79" t="s" ph="1">
        <v>213</v>
      </c>
      <c r="D17" s="74">
        <v>16</v>
      </c>
      <c r="E17" s="74">
        <v>16</v>
      </c>
      <c r="F17" s="74">
        <v>18</v>
      </c>
      <c r="G17" s="74">
        <v>16</v>
      </c>
      <c r="H17" s="74">
        <v>20</v>
      </c>
      <c r="I17" s="74">
        <v>15</v>
      </c>
      <c r="J17" s="74">
        <v>16</v>
      </c>
      <c r="K17" s="74">
        <v>15</v>
      </c>
      <c r="L17" s="74">
        <v>16</v>
      </c>
      <c r="M17" s="74">
        <v>16</v>
      </c>
      <c r="N17" s="74">
        <v>15</v>
      </c>
      <c r="O17" s="74">
        <v>20</v>
      </c>
      <c r="P17" s="74">
        <v>18</v>
      </c>
      <c r="Q17" s="74">
        <v>16</v>
      </c>
      <c r="R17" s="74">
        <v>18</v>
      </c>
      <c r="S17" s="74">
        <v>15</v>
      </c>
      <c r="T17" s="74">
        <v>16</v>
      </c>
      <c r="U17" s="74">
        <v>14</v>
      </c>
      <c r="V17" s="74">
        <v>11</v>
      </c>
      <c r="W17" s="74">
        <v>15</v>
      </c>
      <c r="X17" s="74">
        <v>36</v>
      </c>
      <c r="Y17" s="108">
        <v>36</v>
      </c>
      <c r="Z17" s="74">
        <v>16</v>
      </c>
      <c r="AA17" s="74">
        <v>13</v>
      </c>
      <c r="AB17" s="74">
        <v>18</v>
      </c>
      <c r="AC17" s="74">
        <v>14</v>
      </c>
      <c r="AD17" s="74">
        <v>25</v>
      </c>
      <c r="AE17" s="74">
        <v>25</v>
      </c>
      <c r="AH17" s="64" ph="1">
        <v>3</v>
      </c>
      <c r="AI17" s="64" t="s" ph="1">
        <v>382</v>
      </c>
      <c r="AK17" s="64" t="s" ph="1">
        <v>614</v>
      </c>
      <c r="AL17" s="64" ph="1">
        <v>80</v>
      </c>
      <c r="AM17" s="64" t="s" ph="1">
        <v>379</v>
      </c>
      <c r="AZ17" s="64" t="s" ph="1">
        <v>260</v>
      </c>
      <c r="BA17" s="64" ph="1">
        <v>80</v>
      </c>
      <c r="BD17" s="64" t="s" ph="1">
        <v>258</v>
      </c>
      <c r="BE17" s="64" ph="1">
        <v>2270</v>
      </c>
    </row>
    <row r="18" spans="1:57" ph="1">
      <c r="B18" s="214" ph="1">
        <v>0.66666666666666663</v>
      </c>
      <c r="C18" s="79" t="s" ph="1">
        <v>214</v>
      </c>
      <c r="D18" s="71">
        <v>2195</v>
      </c>
      <c r="E18" s="71">
        <v>2439</v>
      </c>
      <c r="F18" s="71">
        <v>2370</v>
      </c>
      <c r="G18" s="71">
        <v>2287</v>
      </c>
      <c r="H18" s="71">
        <v>1077</v>
      </c>
      <c r="I18" s="71">
        <v>9</v>
      </c>
      <c r="J18" s="71">
        <v>0</v>
      </c>
      <c r="K18" s="71">
        <v>1815</v>
      </c>
      <c r="L18" s="71">
        <v>650</v>
      </c>
      <c r="M18" s="71">
        <v>5109</v>
      </c>
      <c r="N18" s="71">
        <v>3312</v>
      </c>
      <c r="O18" s="71">
        <v>2819</v>
      </c>
      <c r="P18" s="71">
        <v>3419</v>
      </c>
      <c r="Q18" s="71">
        <v>6080</v>
      </c>
      <c r="R18" s="71">
        <v>3495</v>
      </c>
      <c r="S18" s="71">
        <v>5617</v>
      </c>
      <c r="T18" s="71">
        <v>3501</v>
      </c>
      <c r="U18" s="71">
        <v>1758</v>
      </c>
      <c r="V18" s="71">
        <v>2786</v>
      </c>
      <c r="W18" s="71">
        <v>-593</v>
      </c>
      <c r="X18" s="71">
        <v>1117</v>
      </c>
      <c r="Y18" s="109">
        <v>-9906</v>
      </c>
      <c r="Z18" s="71">
        <v>0</v>
      </c>
      <c r="AA18" s="71">
        <v>31</v>
      </c>
      <c r="AB18" s="71">
        <v>6277</v>
      </c>
      <c r="AC18" s="71">
        <v>6507</v>
      </c>
      <c r="AD18" s="71">
        <v>84.72</v>
      </c>
      <c r="AE18" s="71">
        <v>28.23</v>
      </c>
      <c r="AH18" s="64" ph="1">
        <v>4</v>
      </c>
      <c r="AI18" s="64" t="s" ph="1">
        <v>384</v>
      </c>
      <c r="AJ18" s="64" t="s" ph="1">
        <v>632</v>
      </c>
      <c r="AK18" s="64" t="s" ph="1">
        <v>631</v>
      </c>
      <c r="AL18" s="64" ph="1">
        <v>740</v>
      </c>
      <c r="AM18" s="64" t="s" ph="1">
        <v>383</v>
      </c>
      <c r="AZ18" s="64" t="s" ph="1">
        <v>260</v>
      </c>
      <c r="BA18" s="64" ph="1">
        <v>740</v>
      </c>
    </row>
    <row r="19" spans="1:57" s="72" customFormat="1" ht="22.5" ph="1">
      <c r="B19" s="215" ph="1"/>
      <c r="C19" s="146" t="s" ph="1">
        <v>212</v>
      </c>
      <c r="D19" s="73" ph="1">
        <f>D18*7.0686*LOOKUP(D20,密度!$A$2:$A$50,密度!$L$2:$L$50)</f>
        <v>14662.220264999998</v>
      </c>
      <c r="E19" s="73" ph="1">
        <f>E18*7.0686*LOOKUP(E20,密度!$A$2:$A$50,密度!$L$2:$L$50)</f>
        <v>16292.098052999998</v>
      </c>
      <c r="F19" s="73" ph="1">
        <f>F18*9.0746*LOOKUP(F20,密度!$A$2:$A$50,密度!$L$2:$L$50)</f>
        <v>20302.421087999999</v>
      </c>
      <c r="G19" s="73" ph="1">
        <f>G18*9.0746*LOOKUP(G20,密度!$A$2:$A$50,密度!$B$2:$B$50)</f>
        <v>16320.639061279999</v>
      </c>
      <c r="H19" s="73" ph="1">
        <f>H18*9.0746*LOOKUP(H20,密度!$A$2:$A$50,密度!$L$2:$L$50)</f>
        <v>9235.8102689999996</v>
      </c>
      <c r="I19" s="73" ph="1">
        <f>I18*9.0746*LOOKUP(I20,密度!$A$2:$A$50,密度!$U$2:$U$50)</f>
        <v>83.95819920000001</v>
      </c>
      <c r="J19" s="73" ph="1">
        <f>J18*9.0746*LOOKUP(J20,密度!$A$2:$A$50,密度!$L$2:$L$50)</f>
        <v>0</v>
      </c>
      <c r="K19" s="73" ph="1">
        <f>K18*9.0746*LOOKUP(K20,密度!$A$2:$A$50,密度!$C$2:$C$50)</f>
        <v>18356.259685500001</v>
      </c>
      <c r="L19" s="73" ph="1">
        <f>L18*9.0746*LOOKUP(L20,密度!$A$2:$A$50,密度!$E$2:$E$50)</f>
        <v>4655.0883080000003</v>
      </c>
      <c r="M19" s="73" ph="1">
        <f>M18*9.0746*LOOKUP(M20,密度!$A$2:$A$50,密度!$M$2:$M$50)</f>
        <v>40812.584271419997</v>
      </c>
      <c r="N19" s="73" ph="1">
        <f>N18*9.0746*LOOKUP(N20,密度!$A$2:$A$50,密度!$M$2:$M$50)</f>
        <v>26457.482698559998</v>
      </c>
      <c r="O19" s="73" ph="1">
        <f>O18*9.0746*LOOKUP(O20,密度!$A$2:$A$50,密度!$G$2:$G$50)</f>
        <v>24683.39386126</v>
      </c>
      <c r="P19" s="73" ph="1">
        <f ca="1">P18*9.0746*LOOKUP(P20,密度!$A$2:$A$51,密度!$Q$2:$Q$50)</f>
        <v>29512.916580602003</v>
      </c>
      <c r="Q19" s="73" ph="1">
        <f>Q18*9.0746*LOOKUP(Q20,密度!$A$2:$A$50,密度!$Q$2:$Q$50)</f>
        <v>52569.375590399999</v>
      </c>
      <c r="R19" s="73" ph="1">
        <f>MAX(R18*9.0746*LOOKUP(R20,密度!$A$2:$A$50,密度!$B$2:$B$50),0)</f>
        <v>24893.674122300003</v>
      </c>
      <c r="S19" s="73" ph="1">
        <f>S18*9.0746*LOOKUP(S20,密度!$A$2:$A$50,密度!$Q$2:$Q$50)</f>
        <v>48566.148468959997</v>
      </c>
      <c r="T19" s="73" ph="1">
        <f>T18*9.0746*LOOKUP(T20,密度!$A$2:$A$50,密度!$O$2:$O$50)</f>
        <v>29673.343076400004</v>
      </c>
      <c r="U19" s="73" ph="1">
        <f>U18*9.0746*LOOKUP(U20,密度!$A$2:$A$50,密度!$H$2:$H$50)</f>
        <v>14735.921699160001</v>
      </c>
      <c r="V19" s="73" ph="1">
        <f>MAX(5600*LOOKUP(V20,密度!$A$2:$A$50,密度!$Q$2:$Q$50)+V18*9.0476*LOOKUP(V20,密度!$A$2:$A$50,密度!$Q$2:$Q$50),0)</f>
        <v>29277.989433167997</v>
      </c>
      <c r="W19" s="73" ph="1">
        <f>MAX(5600*LOOKUP(W20,密度!$A$2:$A$50,密度!$Q$2:$Q$50)+W18*9.0476*LOOKUP(W20,密度!$A$2:$A$50,密度!$Q$2:$Q$50),0)</f>
        <v>223.50643413200032</v>
      </c>
      <c r="X19" s="73" ph="1">
        <f>MAX(5600*LOOKUP(X20,密度!$A$2:$A$50,密度!$I$2:$I$50)+X18*9.0476*LOOKUP(X20,密度!$A$2:$A$50,密度!$I$2:$I$50),0)</f>
        <v>16158.506872959999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221.44927872000002</v>
      </c>
      <c r="AB19" s="73" ph="1">
        <f>AB18*9.0746*LOOKUP(AB20,密度!$A$2:$A$50,密度!$L$2:$L$50)</f>
        <v>53771.433404799995</v>
      </c>
      <c r="AC19" s="73" ph="1">
        <f>AC18*9.0746*LOOKUP(AC20,密度!$A$2:$A$50,密度!$L$2:$L$50)</f>
        <v>55859.8074012</v>
      </c>
      <c r="AD19" s="73" ph="1">
        <f>AD18*268.68*LOOKUP(AD20,密度!$A$2:$A$50,密度!B5:B53)+IF(AD18&lt;=0,0,1566*LOOKUP(AD20,密度!$A$2:$A$50,密度!B5:B53))</f>
        <v>18903.2985792</v>
      </c>
      <c r="AE19" s="73" ph="1">
        <f>AE18*268.68*LOOKUP(AE20,密度!$A$2:$A$50,密度!B5:B53)+IF(AE18&lt;=0,0,1566*LOOKUP(AE20,密度!$A$2:$A$50,密度!B5:B53))</f>
        <v>7110.1998828000005</v>
      </c>
      <c r="AH19" s="72" ph="1">
        <v>5</v>
      </c>
      <c r="AI19" s="72" t="s" ph="1">
        <v>385</v>
      </c>
      <c r="AZ19" s="72" t="s" ph="1">
        <v>260</v>
      </c>
      <c r="BA19" s="72" ph="1">
        <v>0</v>
      </c>
      <c r="BD19" s="72" t="s" ph="1">
        <v>386</v>
      </c>
      <c r="BE19" s="72" ph="1">
        <v>1440</v>
      </c>
    </row>
    <row r="20" spans="1:57" ph="1">
      <c r="A20" s="72" ph="1"/>
      <c r="B20" s="215" ph="1"/>
      <c r="C20" s="80" t="s" ph="1">
        <v>213</v>
      </c>
      <c r="D20" s="81">
        <v>17</v>
      </c>
      <c r="E20" s="81">
        <v>17</v>
      </c>
      <c r="F20" s="81">
        <v>18</v>
      </c>
      <c r="G20" s="81">
        <v>17</v>
      </c>
      <c r="H20" s="81">
        <v>17</v>
      </c>
      <c r="I20" s="81">
        <v>18</v>
      </c>
      <c r="J20" s="81">
        <v>20</v>
      </c>
      <c r="K20" s="81">
        <v>17</v>
      </c>
      <c r="L20" s="81">
        <v>20</v>
      </c>
      <c r="M20" s="81">
        <v>20</v>
      </c>
      <c r="N20" s="81">
        <v>16</v>
      </c>
      <c r="O20" s="81">
        <v>21</v>
      </c>
      <c r="P20" s="81">
        <v>19</v>
      </c>
      <c r="Q20" s="81">
        <v>17</v>
      </c>
      <c r="R20" s="81">
        <v>19</v>
      </c>
      <c r="S20" s="81">
        <v>17</v>
      </c>
      <c r="T20" s="81">
        <v>17</v>
      </c>
      <c r="U20" s="81">
        <v>16</v>
      </c>
      <c r="V20" s="81">
        <v>20</v>
      </c>
      <c r="W20" s="81">
        <v>18</v>
      </c>
      <c r="X20" s="81">
        <v>37</v>
      </c>
      <c r="Y20" s="110">
        <v>37</v>
      </c>
      <c r="Z20" s="81">
        <v>20</v>
      </c>
      <c r="AA20" s="81">
        <v>16</v>
      </c>
      <c r="AB20" s="81">
        <v>18</v>
      </c>
      <c r="AC20" s="81">
        <v>16</v>
      </c>
      <c r="AD20" s="81">
        <v>25</v>
      </c>
      <c r="AE20" s="81">
        <v>25</v>
      </c>
      <c r="AH20" s="64" ph="1">
        <v>6</v>
      </c>
      <c r="AI20" s="64" t="s" ph="1">
        <v>387</v>
      </c>
      <c r="AZ20" s="64" t="s" ph="1">
        <v>260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388</v>
      </c>
      <c r="AZ21" s="64" t="s" ph="1">
        <v>260</v>
      </c>
      <c r="BA21" s="64" ph="1">
        <v>0</v>
      </c>
      <c r="BD21" s="64" t="s" ph="1">
        <v>276</v>
      </c>
      <c r="BE21" s="64" ph="1">
        <v>730</v>
      </c>
    </row>
    <row r="22" spans="1:57" ph="1">
      <c r="A22" s="72" ph="1"/>
      <c r="B22" s="213" t="s" ph="1">
        <v>37</v>
      </c>
      <c r="C22" s="85" t="s" ph="1">
        <v>210</v>
      </c>
      <c r="D22" s="86" t="s" ph="1">
        <v>104</v>
      </c>
      <c r="E22" s="86" t="s" ph="1">
        <v>105</v>
      </c>
      <c r="F22" s="86" t="s" ph="1">
        <v>106</v>
      </c>
      <c r="G22" s="86" t="s" ph="1">
        <v>107</v>
      </c>
      <c r="H22" s="86" t="s" ph="1">
        <v>108</v>
      </c>
      <c r="I22" s="86" t="s" ph="1">
        <v>109</v>
      </c>
      <c r="J22" s="86" t="s" ph="1">
        <v>110</v>
      </c>
      <c r="K22" s="86" t="s" ph="1">
        <v>111</v>
      </c>
      <c r="L22" s="86" t="s" ph="1">
        <v>112</v>
      </c>
      <c r="M22" s="86" t="s" ph="1">
        <v>113</v>
      </c>
      <c r="N22" s="86" t="s" ph="1">
        <v>114</v>
      </c>
      <c r="O22" s="86" t="s" ph="1">
        <v>115</v>
      </c>
      <c r="P22" s="86" t="s" ph="1">
        <v>116</v>
      </c>
      <c r="Q22" s="87" t="s" ph="1">
        <v>117</v>
      </c>
      <c r="R22" s="86" t="s" ph="1">
        <v>118</v>
      </c>
      <c r="S22" s="86" t="s" ph="1">
        <v>119</v>
      </c>
      <c r="T22" s="86" t="s" ph="1">
        <v>120</v>
      </c>
      <c r="U22" s="86" t="s" ph="1">
        <v>121</v>
      </c>
      <c r="V22" s="86" t="s" ph="1">
        <v>122</v>
      </c>
      <c r="W22" s="86" t="s" ph="1">
        <v>123</v>
      </c>
      <c r="X22" s="86" t="s" ph="1">
        <v>124</v>
      </c>
      <c r="Y22" s="86" t="s" ph="1">
        <v>126</v>
      </c>
      <c r="Z22" s="223" t="s" ph="1">
        <v>79</v>
      </c>
      <c r="AA22" s="224"/>
      <c r="AB22" s="224"/>
      <c r="AC22" s="224"/>
      <c r="AD22" s="224"/>
      <c r="AE22" s="225"/>
      <c r="AH22" s="64" ph="1">
        <v>8</v>
      </c>
      <c r="AI22" s="64" t="s" ph="1">
        <v>389</v>
      </c>
      <c r="AZ22" s="64" t="s" ph="1">
        <v>260</v>
      </c>
      <c r="BA22" s="64" ph="1">
        <v>0</v>
      </c>
    </row>
    <row r="23" spans="1:57" ph="1">
      <c r="A23" s="72" ph="1"/>
      <c r="B23" s="217" ph="1"/>
      <c r="C23" s="67" t="s" ph="1">
        <v>36</v>
      </c>
      <c r="D23" s="88" t="s" ph="1">
        <v>128</v>
      </c>
      <c r="E23" s="88" t="s" ph="1">
        <v>125</v>
      </c>
      <c r="F23" s="88" t="s" ph="1">
        <v>224</v>
      </c>
      <c r="G23" s="88" t="s" ph="1">
        <v>165</v>
      </c>
      <c r="H23" s="88" t="s" ph="1">
        <v>165</v>
      </c>
      <c r="I23" s="88" t="s" ph="1">
        <v>166</v>
      </c>
      <c r="J23" s="88" t="s" ph="1">
        <v>167</v>
      </c>
      <c r="K23" s="88" t="s" ph="1">
        <v>129</v>
      </c>
      <c r="L23" s="88" t="s" ph="1">
        <v>129</v>
      </c>
      <c r="M23" s="88" t="s" ph="1">
        <v>167</v>
      </c>
      <c r="N23" s="88" t="s" ph="1">
        <v>167</v>
      </c>
      <c r="O23" s="88" t="s" ph="1">
        <v>132</v>
      </c>
      <c r="P23" s="88" t="s" ph="1">
        <v>168</v>
      </c>
      <c r="Q23" s="89" t="s" ph="1">
        <v>168</v>
      </c>
      <c r="R23" s="88" t="s" ph="1">
        <v>169</v>
      </c>
      <c r="S23" s="88" t="s" ph="1">
        <v>170</v>
      </c>
      <c r="T23" s="88" t="s" ph="1">
        <v>651</v>
      </c>
      <c r="U23" s="88" t="s" ph="1">
        <v>171</v>
      </c>
      <c r="V23" s="88" t="s" ph="1">
        <v>172</v>
      </c>
      <c r="W23" s="88" t="s" ph="1">
        <v>170</v>
      </c>
      <c r="X23" s="88" t="s" ph="1">
        <v>231</v>
      </c>
      <c r="Y23" s="88" t="s" ph="1">
        <v>97</v>
      </c>
      <c r="Z23" s="226" t="s" ph="1">
        <v>654</v>
      </c>
      <c r="AA23" s="227"/>
      <c r="AB23" s="227"/>
      <c r="AC23" s="227"/>
      <c r="AD23" s="227"/>
      <c r="AE23" s="228"/>
      <c r="AH23" s="64" ph="1">
        <v>9</v>
      </c>
      <c r="AI23" s="64" t="s" ph="1">
        <v>390</v>
      </c>
      <c r="AZ23" s="64" t="s" ph="1">
        <v>260</v>
      </c>
      <c r="BA23" s="64" ph="1">
        <v>0</v>
      </c>
      <c r="BD23" s="64" t="s" ph="1">
        <v>282</v>
      </c>
      <c r="BE23" s="64" ph="1">
        <v>890</v>
      </c>
    </row>
    <row r="24" spans="1:57" ph="1">
      <c r="A24" s="72" ph="1"/>
      <c r="B24" s="235" ph="1">
        <v>0.33333333333333331</v>
      </c>
      <c r="C24" s="146" t="s" ph="1">
        <v>211</v>
      </c>
      <c r="D24" s="71">
        <v>22.21</v>
      </c>
      <c r="E24" s="71">
        <v>97.62</v>
      </c>
      <c r="F24" s="71">
        <v>2152</v>
      </c>
      <c r="G24" s="71">
        <v>2885</v>
      </c>
      <c r="H24" s="71">
        <v>3578</v>
      </c>
      <c r="I24" s="71">
        <v>2536</v>
      </c>
      <c r="J24" s="71">
        <v>2449</v>
      </c>
      <c r="K24" s="71">
        <v>3478</v>
      </c>
      <c r="L24" s="71">
        <v>5073</v>
      </c>
      <c r="M24" s="71">
        <v>1384</v>
      </c>
      <c r="N24" s="71">
        <v>869</v>
      </c>
      <c r="O24" s="71">
        <v>2055</v>
      </c>
      <c r="P24" s="71">
        <v>2479</v>
      </c>
      <c r="Q24" s="90">
        <v>2866</v>
      </c>
      <c r="R24" s="71">
        <v>2016</v>
      </c>
      <c r="S24" s="71">
        <v>1825</v>
      </c>
      <c r="T24" s="71">
        <v>6394</v>
      </c>
      <c r="U24" s="71">
        <v>5066</v>
      </c>
      <c r="V24" s="71">
        <v>5850</v>
      </c>
      <c r="W24" s="71">
        <v>11503</v>
      </c>
      <c r="X24" s="71">
        <v>11149</v>
      </c>
      <c r="Y24" s="71">
        <v>5072</v>
      </c>
      <c r="Z24" s="229"/>
      <c r="AA24" s="230"/>
      <c r="AB24" s="230"/>
      <c r="AC24" s="230"/>
      <c r="AD24" s="230"/>
      <c r="AE24" s="231"/>
      <c r="AH24" s="64" ph="1">
        <v>10</v>
      </c>
      <c r="AI24" s="64" t="s" ph="1">
        <v>391</v>
      </c>
      <c r="AZ24" s="64" t="s" ph="1">
        <v>260</v>
      </c>
      <c r="BA24" s="64" ph="1">
        <v>0</v>
      </c>
    </row>
    <row r="25" spans="1:57" ph="1">
      <c r="A25" s="72" ph="1"/>
      <c r="B25" s="235" ph="1"/>
      <c r="C25" s="68" t="s" ph="1">
        <v>212</v>
      </c>
      <c r="D25" s="91" ph="1">
        <f>D24*268.68*LOOKUP(D26,密度!$A$2:$A$50,密度!$Q$2:$Q$50)+IF(D24&lt;=0,0,1566*LOOKUP(D26,密度!$A$2:$A$50,密度!$Q$2:$Q$50))</f>
        <v>7132.1548320720003</v>
      </c>
      <c r="E25" s="91" ph="1">
        <f>E24*268.68*LOOKUP(E26,密度!$A$2:$A$50,密度!$C$2:$C$50)+IF(E24&lt;=0,0,1566*LOOKUP(E26,密度!$A$2:$A$50,密度!$C$2:$C$50))</f>
        <v>30821.367180240002</v>
      </c>
      <c r="F25" s="91" ph="1">
        <f>F24*11.702*LOOKUP(F26,密度!$A$2:$A$50,密度!$Q$2:$Q$50)</f>
        <v>23994.080371200002</v>
      </c>
      <c r="G25" s="91" ph="1">
        <f>G24*18.322*LOOKUP(G26,密度!$A$2:$A$50,密度!$B$2:$B$50)</f>
        <v>41610.581184000002</v>
      </c>
      <c r="H25" s="91" ph="1">
        <f>H24*18.322*LOOKUP(H26,密度!$A$2:$A$50,密度!$B$2:$B$50)</f>
        <v>51605.774515199999</v>
      </c>
      <c r="I25" s="91" ph="1">
        <f>I24*18.322*LOOKUP(I26,密度!$A$2:$A$50,密度!$Q$2:$Q$50)</f>
        <v>44352.311647679999</v>
      </c>
      <c r="J25" s="91" ph="1">
        <f>J24*18.322*LOOKUP(J26,密度!$A$2:$A$50,密度!$Q$2:$Q$50)</f>
        <v>42830.761524120004</v>
      </c>
      <c r="K25" s="91" ph="1">
        <f>K24*18.322*LOOKUP(K26,密度!$A$2:$A$50,密度!$Q$2:$Q$50)</f>
        <v>60767.1262976</v>
      </c>
      <c r="L25" s="91" ph="1">
        <f>L24*18.322*LOOKUP(L26,密度!$A$2:$A$50,密度!$Q$2:$Q$50)</f>
        <v>88722.112377240002</v>
      </c>
      <c r="M25" s="91" ph="1">
        <f>M24*18.322*LOOKUP(M26,密度!$A$2:$A$50,密度!$Q$2:$Q$50)</f>
        <v>24204.88932192</v>
      </c>
      <c r="N25" s="91" ph="1">
        <f>N24*18.322*LOOKUP(N26,密度!$A$2:$A$50,密度!$Q$2:$Q$50)</f>
        <v>15198.012153719999</v>
      </c>
      <c r="O25" s="91" ph="1">
        <f>O24*18.322*LOOKUP(O26,密度!$A$2:$A$50,密度!$C$2:$C$50)</f>
        <v>42011.778017999997</v>
      </c>
      <c r="P25" s="91" ph="1">
        <f>P24*11.702*LOOKUP(P26,密度!$A$2:$A$50,密度!$B$2:$B$50)</f>
        <v>22836.087897600002</v>
      </c>
      <c r="Q25" s="92" ph="1">
        <f>Q24*18.322*LOOKUP(Q26,密度!$A$2:$A$50,密度!$B$2:$B$50)</f>
        <v>41336.542694399999</v>
      </c>
      <c r="R25" s="91" ph="1">
        <f>R24*35.891*LOOKUP(R26,密度!$A$2:$A$50,密度!$C$2:$C$50)</f>
        <v>80735.110444799982</v>
      </c>
      <c r="S25" s="91" ph="1">
        <f>S24*35.891*LOOKUP(S26,密度!$A$2:$A$50,密度!$B$2:$B$50)</f>
        <v>51562.446239999997</v>
      </c>
      <c r="T25" s="91" ph="1">
        <f>T24*35.891*LOOKUP(T26,密度!$A$2:$A$50,密度!$Q$2:$Q$50)</f>
        <v>218838.85469439998</v>
      </c>
      <c r="U25" s="91" ph="1">
        <f>U24*35.891</f>
        <v>181823.80599999998</v>
      </c>
      <c r="V25" s="91" ph="1">
        <f>V24*47.051*LOOKUP(V26,密度!$A$2:$A$50,密度!$B$2:$B$50)</f>
        <v>216895.69980000003</v>
      </c>
      <c r="W25" s="91" ph="1">
        <f>W24*47.051*LOOKUP(W26,密度!$A$2:$A$50,密度!$B$2:$B$50)</f>
        <v>426487.39056400006</v>
      </c>
      <c r="X25" s="91" ph="1">
        <f>X24*47.051*LOOKUP(X26,密度!$A$2:$A$50,密度!$I$2:$I$50)</f>
        <v>543267.33078835998</v>
      </c>
      <c r="Y25" s="91" ph="1">
        <f>Y24*47.051*LOOKUP(Y26,密度!$A$2:$A$50,密度!$L$2:$L$50)</f>
        <v>225755.96771200001</v>
      </c>
      <c r="Z25" s="229"/>
      <c r="AA25" s="230"/>
      <c r="AB25" s="230"/>
      <c r="AC25" s="230"/>
      <c r="AD25" s="230"/>
      <c r="AE25" s="231"/>
      <c r="AH25" s="64" ph="1">
        <v>11</v>
      </c>
      <c r="AI25" s="64" t="s" ph="1">
        <v>392</v>
      </c>
      <c r="AZ25" s="64" t="s" ph="1">
        <v>260</v>
      </c>
      <c r="BA25" s="64" ph="1">
        <v>0</v>
      </c>
      <c r="BD25" s="64" t="s" ph="1">
        <v>285</v>
      </c>
      <c r="BE25" s="64" ph="1">
        <v>8920</v>
      </c>
    </row>
    <row r="26" spans="1:57" ph="1">
      <c r="A26" s="72" ph="1"/>
      <c r="B26" s="235" ph="1"/>
      <c r="C26" s="68" t="s" ph="1">
        <v>213</v>
      </c>
      <c r="D26" s="74">
        <v>25</v>
      </c>
      <c r="E26" s="74">
        <v>25</v>
      </c>
      <c r="F26" s="74">
        <v>17</v>
      </c>
      <c r="G26" s="74">
        <v>16</v>
      </c>
      <c r="H26" s="74">
        <v>16</v>
      </c>
      <c r="I26" s="74">
        <v>15</v>
      </c>
      <c r="J26" s="74">
        <v>15</v>
      </c>
      <c r="K26" s="74">
        <v>16</v>
      </c>
      <c r="L26" s="74">
        <v>15</v>
      </c>
      <c r="M26" s="74">
        <v>15</v>
      </c>
      <c r="N26" s="74">
        <v>15</v>
      </c>
      <c r="O26" s="74">
        <v>15</v>
      </c>
      <c r="P26" s="74">
        <v>16</v>
      </c>
      <c r="Q26" s="93">
        <v>16</v>
      </c>
      <c r="R26" s="74">
        <v>15</v>
      </c>
      <c r="S26" s="74">
        <v>16</v>
      </c>
      <c r="T26" s="74">
        <v>16</v>
      </c>
      <c r="U26" s="74">
        <v>16</v>
      </c>
      <c r="V26" s="74">
        <v>15</v>
      </c>
      <c r="W26" s="74">
        <v>15</v>
      </c>
      <c r="X26" s="74">
        <v>52</v>
      </c>
      <c r="Y26" s="74">
        <v>16</v>
      </c>
      <c r="Z26" s="229"/>
      <c r="AA26" s="230"/>
      <c r="AB26" s="230"/>
      <c r="AC26" s="230"/>
      <c r="AD26" s="230"/>
      <c r="AE26" s="231"/>
      <c r="AH26" s="64" ph="1">
        <v>12</v>
      </c>
      <c r="AI26" s="64" t="s" ph="1">
        <v>393</v>
      </c>
      <c r="AZ26" s="64" t="s" ph="1">
        <v>260</v>
      </c>
      <c r="BA26" s="64" ph="1">
        <v>0</v>
      </c>
    </row>
    <row r="27" spans="1:57" ph="1">
      <c r="A27" s="72" ph="1"/>
      <c r="B27" s="235" ph="1">
        <v>0.66666666666666663</v>
      </c>
      <c r="C27" s="146" t="s" ph="1">
        <v>214</v>
      </c>
      <c r="D27" s="71">
        <v>44.22</v>
      </c>
      <c r="E27" s="71">
        <v>97.62</v>
      </c>
      <c r="F27" s="71">
        <v>2150</v>
      </c>
      <c r="G27" s="71">
        <v>2442</v>
      </c>
      <c r="H27" s="71">
        <v>3476</v>
      </c>
      <c r="I27" s="71">
        <v>2536</v>
      </c>
      <c r="J27" s="71">
        <v>2448</v>
      </c>
      <c r="K27" s="71">
        <v>4395</v>
      </c>
      <c r="L27" s="71">
        <v>5072</v>
      </c>
      <c r="M27" s="71">
        <v>1383</v>
      </c>
      <c r="N27" s="71">
        <v>867</v>
      </c>
      <c r="O27" s="71">
        <v>2053</v>
      </c>
      <c r="P27" s="71">
        <v>2479</v>
      </c>
      <c r="Q27" s="90">
        <v>3396</v>
      </c>
      <c r="R27" s="71">
        <v>2014</v>
      </c>
      <c r="S27" s="71">
        <v>181</v>
      </c>
      <c r="T27" s="71">
        <v>6394</v>
      </c>
      <c r="U27" s="71">
        <v>5173</v>
      </c>
      <c r="V27" s="71">
        <v>5850</v>
      </c>
      <c r="W27" s="71">
        <v>11502</v>
      </c>
      <c r="X27" s="71">
        <v>10665</v>
      </c>
      <c r="Y27" s="71">
        <v>3488</v>
      </c>
      <c r="Z27" s="229"/>
      <c r="AA27" s="230"/>
      <c r="AB27" s="230"/>
      <c r="AC27" s="230"/>
      <c r="AD27" s="230"/>
      <c r="AE27" s="231"/>
      <c r="AH27" s="64" ph="1">
        <v>13</v>
      </c>
      <c r="AI27" s="64" t="s" ph="1">
        <v>394</v>
      </c>
      <c r="AZ27" s="64" t="s" ph="1">
        <v>260</v>
      </c>
      <c r="BA27" s="64" ph="1">
        <v>0</v>
      </c>
      <c r="BD27" s="64" t="s" ph="1">
        <v>339</v>
      </c>
      <c r="BE27" s="64" ph="1">
        <v>7100</v>
      </c>
    </row>
    <row r="28" spans="1:57" ph="1">
      <c r="A28" s="72" ph="1"/>
      <c r="B28" s="235" ph="1"/>
      <c r="C28" s="146" t="s" ph="1">
        <v>212</v>
      </c>
      <c r="D28" s="91" ph="1">
        <f>D27*268.68*LOOKUP(D29,密度!$A$2:$A$50,密度!$Q$2:$Q$50)+IF(D27&lt;=0,0,1566*LOOKUP(D29,密度!$A$2:$A$50,密度!$Q$2:$Q$50))</f>
        <v>12730.840803503999</v>
      </c>
      <c r="E28" s="91" ph="1">
        <f>E27*268.68*LOOKUP(E29,密度!$A$2:$A$50,密度!$C$2:$C$50)+IF(E27&lt;=0,0,1566*LOOKUP(E29,密度!$A$2:$A$50,密度!$C$2:$C$50))</f>
        <v>30821.367180240002</v>
      </c>
      <c r="F28" s="91" ph="1">
        <f>F27*11.702*LOOKUP(F29,密度!$A$2:$A$50,密度!$Q$2:$Q$50)</f>
        <v>23932.280939</v>
      </c>
      <c r="G28" s="91" ph="1">
        <f>G27*18.322*LOOKUP(G29,密度!$A$2:$A$50,密度!$B$2:$B$50)</f>
        <v>35185.363593599999</v>
      </c>
      <c r="H28" s="91" ph="1">
        <f>H27*18.322*LOOKUP(H29,密度!$A$2:$A$50,密度!$B$2:$B$50)</f>
        <v>50083.670700799994</v>
      </c>
      <c r="I28" s="91" ph="1">
        <f>I27*18.322*LOOKUP(I29,密度!$A$2:$A$50,密度!$Q$2:$Q$50)</f>
        <v>44308.634931199995</v>
      </c>
      <c r="J28" s="91" ph="1">
        <f>J27*18.322*LOOKUP(J29,密度!$A$2:$A$50,密度!$Q$2:$Q$50)</f>
        <v>42771.111321600001</v>
      </c>
      <c r="K28" s="91" ph="1">
        <f>K27*18.322*LOOKUP(K29,密度!$A$2:$A$50,密度!$Q$2:$Q$50)</f>
        <v>76724.401031999994</v>
      </c>
      <c r="L28" s="91" ph="1">
        <f>L27*18.322*LOOKUP(L29,密度!$A$2:$A$50,密度!$Q$2:$Q$50)</f>
        <v>88617.26986239999</v>
      </c>
      <c r="M28" s="91" ph="1">
        <f>M27*18.322*LOOKUP(M29,密度!$A$2:$A$50,密度!$Q$2:$Q$50)</f>
        <v>24163.581273599997</v>
      </c>
      <c r="N28" s="91" ph="1">
        <f>N27*18.322*LOOKUP(N29,密度!$A$2:$A$50,密度!$Q$2:$Q$50)</f>
        <v>15148.101926399999</v>
      </c>
      <c r="O28" s="91" ph="1">
        <f>O27*18.322*LOOKUP(O29,密度!$A$2:$A$50,密度!$C$2:$C$50)</f>
        <v>41948.321603199998</v>
      </c>
      <c r="P28" s="91" ph="1">
        <f>P27*11.702*LOOKUP(P29,密度!$A$2:$A$50,密度!$B$2:$B$50)</f>
        <v>22812.880491200001</v>
      </c>
      <c r="Q28" s="92" ph="1">
        <f>Q27*18.322*LOOKUP(Q29,密度!$A$2:$A$50,密度!$B$2:$B$50)</f>
        <v>48930.997036799992</v>
      </c>
      <c r="R28" s="91" ph="1">
        <f>R27*35.891*LOOKUP(R29,密度!$A$2:$A$50,密度!$C$2:$C$50)</f>
        <v>80611.645404800001</v>
      </c>
      <c r="S28" s="91" ph="1">
        <f>S27*35.891*LOOKUP(S29,密度!$A$2:$A$50,密度!$B$2:$B$50)</f>
        <v>5108.6675144000001</v>
      </c>
      <c r="T28" s="91" ph="1">
        <f>T27*35.891*LOOKUP(T29,密度!$A$2:$A$50,密度!$Q$2:$Q$50)</f>
        <v>218655.26505119997</v>
      </c>
      <c r="U28" s="91" ph="1">
        <f>U27*35.891</f>
        <v>185664.14299999998</v>
      </c>
      <c r="V28" s="91" ph="1">
        <f>V27*47.051*LOOKUP(V29,密度!$A$2:$A$50,密度!$B$2:$B$50)</f>
        <v>216675.50112000003</v>
      </c>
      <c r="W28" s="91" ph="1">
        <f>W27*47.051*LOOKUP(W29,密度!$A$2:$A$50,密度!$B$2:$B$50)</f>
        <v>426017.36989440006</v>
      </c>
      <c r="X28" s="91" ph="1">
        <f>X27*47.051*LOOKUP(X29,密度!$A$2:$A$50,密度!$I$2:$I$50)</f>
        <v>519683.02833060001</v>
      </c>
      <c r="Y28" s="91" ph="1">
        <f>Y27*47.051*LOOKUP(Y29,密度!$A$2:$A$50,密度!$L$2:$L$50)</f>
        <v>154923.51027199998</v>
      </c>
      <c r="Z28" s="229"/>
      <c r="AA28" s="230"/>
      <c r="AB28" s="230"/>
      <c r="AC28" s="230"/>
      <c r="AD28" s="230"/>
      <c r="AE28" s="231"/>
      <c r="AH28" s="64" ph="1">
        <v>14</v>
      </c>
      <c r="AI28" s="64" t="s" ph="1">
        <v>395</v>
      </c>
      <c r="AZ28" s="64" t="s" ph="1">
        <v>260</v>
      </c>
      <c r="BA28" s="64" ph="1">
        <v>0</v>
      </c>
    </row>
    <row r="29" spans="1:57" ph="1">
      <c r="A29" s="72" ph="1"/>
      <c r="B29" s="235" ph="1"/>
      <c r="C29" s="146" t="s" ph="1">
        <v>213</v>
      </c>
      <c r="D29" s="74">
        <v>25</v>
      </c>
      <c r="E29" s="74">
        <v>25</v>
      </c>
      <c r="F29" s="74">
        <v>19</v>
      </c>
      <c r="G29" s="74">
        <v>17</v>
      </c>
      <c r="H29" s="74">
        <v>17</v>
      </c>
      <c r="I29" s="74">
        <v>16</v>
      </c>
      <c r="J29" s="74">
        <v>16</v>
      </c>
      <c r="K29" s="74">
        <v>17</v>
      </c>
      <c r="L29" s="74">
        <v>16</v>
      </c>
      <c r="M29" s="74">
        <v>16</v>
      </c>
      <c r="N29" s="74">
        <v>16</v>
      </c>
      <c r="O29" s="74">
        <v>16</v>
      </c>
      <c r="P29" s="74">
        <v>17</v>
      </c>
      <c r="Q29" s="93">
        <v>17</v>
      </c>
      <c r="R29" s="74">
        <v>16</v>
      </c>
      <c r="S29" s="74">
        <v>17</v>
      </c>
      <c r="T29" s="74">
        <v>17</v>
      </c>
      <c r="U29" s="74">
        <v>17</v>
      </c>
      <c r="V29" s="74">
        <v>16</v>
      </c>
      <c r="W29" s="74">
        <v>16</v>
      </c>
      <c r="X29" s="74">
        <v>52</v>
      </c>
      <c r="Y29" s="74">
        <v>18</v>
      </c>
      <c r="Z29" s="232"/>
      <c r="AA29" s="233"/>
      <c r="AB29" s="233"/>
      <c r="AC29" s="233"/>
      <c r="AD29" s="233"/>
      <c r="AE29" s="234"/>
      <c r="AH29" s="64" ph="1">
        <v>15</v>
      </c>
      <c r="AI29" s="64" t="s" ph="1">
        <v>396</v>
      </c>
      <c r="AZ29" s="64" t="s" ph="1">
        <v>260</v>
      </c>
      <c r="BA29" s="64" ph="1">
        <v>0</v>
      </c>
      <c r="BD29" s="64" t="s" ph="1">
        <v>397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398</v>
      </c>
      <c r="AZ30" s="64" t="s" ph="1">
        <v>260</v>
      </c>
      <c r="BA30" s="64" ph="1">
        <v>0</v>
      </c>
    </row>
    <row r="31" spans="1:57" ht="28.5" ph="1">
      <c r="A31" s="64"/>
      <c r="B31" s="218" t="s" ph="1">
        <v>35</v>
      </c>
      <c r="C31" s="219" ph="1"/>
      <c r="D31" s="222" t="s" ph="1">
        <v>9</v>
      </c>
      <c r="E31" s="197" ph="1"/>
      <c r="F31" s="198" ph="1"/>
      <c r="G31" s="222" t="s" ph="1">
        <v>18</v>
      </c>
      <c r="H31" s="197" ph="1"/>
      <c r="I31" s="198" ph="1"/>
      <c r="J31" s="196" t="s" ph="1">
        <v>1</v>
      </c>
      <c r="K31" s="197" ph="1"/>
      <c r="L31" s="198" ph="1"/>
      <c r="M31" s="196" t="s" ph="1">
        <v>7</v>
      </c>
      <c r="N31" s="197" ph="1"/>
      <c r="O31" s="198" ph="1"/>
      <c r="P31" s="196" t="s" ph="1">
        <v>42</v>
      </c>
      <c r="Q31" s="197"/>
      <c r="R31" s="198"/>
      <c r="S31" s="196" t="s" ph="1">
        <v>2</v>
      </c>
      <c r="T31" s="197"/>
      <c r="U31" s="198"/>
      <c r="V31" s="196" t="s" ph="1">
        <v>81</v>
      </c>
      <c r="W31" s="197" ph="1"/>
      <c r="X31" s="198" ph="1"/>
      <c r="Y31" s="196" t="s" ph="1">
        <v>3</v>
      </c>
      <c r="Z31" s="197" ph="1"/>
      <c r="AA31" s="198" ph="1"/>
      <c r="AB31" s="199" t="s">
        <v>43</v>
      </c>
      <c r="AC31" s="200"/>
      <c r="AD31" s="200"/>
      <c r="AE31" s="201"/>
      <c r="AH31" s="64" ph="1">
        <v>17</v>
      </c>
      <c r="AI31" s="64" t="s" ph="1">
        <v>399</v>
      </c>
      <c r="AZ31" s="64" t="s" ph="1">
        <v>260</v>
      </c>
      <c r="BA31" s="64" ph="1">
        <v>0</v>
      </c>
      <c r="BD31" s="64" t="s" ph="1">
        <v>400</v>
      </c>
      <c r="BE31" s="64" ph="1">
        <v>9310</v>
      </c>
    </row>
    <row r="32" spans="1:57" ph="1">
      <c r="A32" s="64"/>
      <c r="B32" s="220" ph="1"/>
      <c r="C32" s="221" ph="1"/>
      <c r="D32" s="96" t="s" ph="1">
        <v>4</v>
      </c>
      <c r="E32" s="146" t="s" ph="1">
        <v>5</v>
      </c>
      <c r="F32" s="147" t="s" ph="1">
        <v>44</v>
      </c>
      <c r="G32" s="97" t="s" ph="1">
        <v>4</v>
      </c>
      <c r="H32" s="146" t="s" ph="1">
        <v>5</v>
      </c>
      <c r="I32" s="147" t="s" ph="1">
        <v>44</v>
      </c>
      <c r="J32" s="97" t="s" ph="1">
        <v>4</v>
      </c>
      <c r="K32" s="146" t="s" ph="1">
        <v>5</v>
      </c>
      <c r="L32" s="147" t="s" ph="1">
        <v>44</v>
      </c>
      <c r="M32" s="97" t="s" ph="1">
        <v>4</v>
      </c>
      <c r="N32" s="146" t="s" ph="1">
        <v>5</v>
      </c>
      <c r="O32" s="147" t="s" ph="1">
        <v>44</v>
      </c>
      <c r="P32" s="97" t="s" ph="1">
        <v>4</v>
      </c>
      <c r="Q32" s="98" t="s" ph="1">
        <v>5</v>
      </c>
      <c r="R32" s="99" t="s" ph="1">
        <v>44</v>
      </c>
      <c r="S32" s="97" t="s" ph="1">
        <v>4</v>
      </c>
      <c r="T32" s="146" t="s" ph="1">
        <v>5</v>
      </c>
      <c r="U32" s="99" t="s" ph="1">
        <v>44</v>
      </c>
      <c r="V32" s="97" t="s" ph="1">
        <v>4</v>
      </c>
      <c r="W32" s="146" t="s" ph="1">
        <v>5</v>
      </c>
      <c r="X32" s="99" t="s" ph="1">
        <v>44</v>
      </c>
      <c r="Y32" s="100" t="s" ph="1">
        <v>4</v>
      </c>
      <c r="Z32" s="146" t="s" ph="1">
        <v>5</v>
      </c>
      <c r="AA32" s="147" t="s" ph="1">
        <v>44</v>
      </c>
      <c r="AB32" s="97" t="s" ph="1">
        <v>102</v>
      </c>
      <c r="AC32" s="146" t="s" ph="1">
        <v>101</v>
      </c>
      <c r="AD32" s="202" t="s" ph="1">
        <v>100</v>
      </c>
      <c r="AE32" s="203"/>
      <c r="AH32" s="64" ph="1">
        <v>18</v>
      </c>
      <c r="AI32" s="64" t="s" ph="1">
        <v>401</v>
      </c>
      <c r="AZ32" s="64" t="s" ph="1">
        <v>260</v>
      </c>
      <c r="BA32" s="64" ph="1">
        <v>0</v>
      </c>
    </row>
    <row r="33" spans="1:57" ph="1">
      <c r="A33" s="64"/>
      <c r="B33" s="204" t="s" ph="1">
        <v>215</v>
      </c>
      <c r="C33" s="205" ph="1"/>
      <c r="D33" s="184" ph="1">
        <f>AA10+AB10+Z19</f>
        <v>62441.066433600005</v>
      </c>
      <c r="E33" s="184" ph="1">
        <f>M10+I10</f>
        <v>226281.13446119995</v>
      </c>
      <c r="F33" s="208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表格_取樣回收每月庫存表_0620更新15222526324567869101112131415161718192021234567891011121314151617181920222324243567891011121314151617181920212223456789101112131415161718192023456789101112131491015161718192221232345678910121314151617111819202122242523[[#This Row],[F25]]</f>
        <v>3880</v>
      </c>
      <c r="G33" s="210" ph="1">
        <v>0</v>
      </c>
      <c r="H33" s="184" ph="1">
        <f>N19</f>
        <v>26457.482698559998</v>
      </c>
      <c r="I33" s="188" ph="1">
        <v>0</v>
      </c>
      <c r="J33" s="192" ph="1">
        <f>F10+O28</f>
        <v>281335.74310870003</v>
      </c>
      <c r="K33" s="184" ph="1">
        <f>O10+K10+E28+R28</f>
        <v>167684.00528943999</v>
      </c>
      <c r="L33" s="194" ph="1">
        <f>BE27</f>
        <v>7100</v>
      </c>
      <c r="M33" s="192" ph="1">
        <f>G10+H10+W28+S28</f>
        <v>1034151.8997518</v>
      </c>
      <c r="N33" s="184" ph="1">
        <f>L10+P10++G28+H28+V28</f>
        <v>353907.48337440001</v>
      </c>
      <c r="O33" s="188" ph="1">
        <f>BE17</f>
        <v>2270</v>
      </c>
      <c r="P33" s="192" ph="1">
        <f>L19</f>
        <v>4655.0883080000003</v>
      </c>
      <c r="Q33" s="184" ph="1">
        <f>J10+N10</f>
        <v>135151.2045699</v>
      </c>
      <c r="R33" s="188" ph="1">
        <f>BE23</f>
        <v>890</v>
      </c>
      <c r="S33" s="192" ph="1">
        <f>E10+X28</f>
        <v>519683.02833060001</v>
      </c>
      <c r="T33" s="184" ph="1">
        <f>X19</f>
        <v>16158.506872959999</v>
      </c>
      <c r="U33" s="173" ph="1">
        <f>BE21</f>
        <v>730</v>
      </c>
      <c r="V33" s="186" ph="1">
        <f ca="1">P19+Q19+S19+M28+N28+J28</f>
        <v>212731.23516156201</v>
      </c>
      <c r="W33" s="186" ph="1">
        <f>D28+F28+V19+T28</f>
        <v>284596.37622687197</v>
      </c>
      <c r="X33" s="188" ph="1">
        <f>BE29+BE31</f>
        <v>10200</v>
      </c>
      <c r="Y33" s="190" ph="1">
        <f>+Q10+R10+S10+T10+U10+V10+W10+X10+Y10</f>
        <v>115608.12638759999</v>
      </c>
      <c r="Z33" s="171" ph="1">
        <f>D10+T19+U19+Y28+Z10</f>
        <v>341160.56717755995</v>
      </c>
      <c r="AA33" s="173" ph="1">
        <f>BE19</f>
        <v>1440</v>
      </c>
      <c r="AB33" s="175" ph="1">
        <f>I19</f>
        <v>83.95819920000001</v>
      </c>
      <c r="AC33" s="177" ph="1">
        <f>AD10</f>
        <v>42260.302432000004</v>
      </c>
      <c r="AD33" s="179" ph="1">
        <v>0</v>
      </c>
      <c r="AE33" s="180"/>
      <c r="AH33" s="64" ph="1">
        <v>19</v>
      </c>
      <c r="AI33" s="64" t="s" ph="1">
        <v>402</v>
      </c>
      <c r="AJ33" s="64" t="s" ph="1">
        <v>636</v>
      </c>
      <c r="AK33" s="64" t="s" ph="1">
        <v>633</v>
      </c>
      <c r="AL33" s="64" ph="1">
        <v>730</v>
      </c>
      <c r="AM33" s="64" t="s" ph="1">
        <v>383</v>
      </c>
      <c r="AZ33" s="64" t="s" ph="1">
        <v>260</v>
      </c>
      <c r="BA33" s="64" ph="1">
        <v>730</v>
      </c>
      <c r="BD33" s="64" t="s" ph="1">
        <v>334</v>
      </c>
      <c r="BE33" s="64" ph="1">
        <v>3880</v>
      </c>
    </row>
    <row r="34" spans="1:57" ph="1">
      <c r="A34" s="64"/>
      <c r="B34" s="206" ph="1"/>
      <c r="C34" s="207" ph="1"/>
      <c r="D34" s="185" ph="1"/>
      <c r="E34" s="185" ph="1"/>
      <c r="F34" s="209" ph="1"/>
      <c r="G34" s="211" ph="1"/>
      <c r="H34" s="185" ph="1"/>
      <c r="I34" s="189" ph="1"/>
      <c r="J34" s="193" ph="1"/>
      <c r="K34" s="185" ph="1"/>
      <c r="L34" s="195" ph="1"/>
      <c r="M34" s="193" ph="1"/>
      <c r="N34" s="185" ph="1"/>
      <c r="O34" s="189" ph="1"/>
      <c r="P34" s="193" ph="1"/>
      <c r="Q34" s="185" ph="1"/>
      <c r="R34" s="189" ph="1"/>
      <c r="S34" s="193" ph="1"/>
      <c r="T34" s="185"/>
      <c r="U34" s="174"/>
      <c r="V34" s="187" ph="1"/>
      <c r="W34" s="187" ph="1"/>
      <c r="X34" s="189" ph="1"/>
      <c r="Y34" s="191" ph="1"/>
      <c r="Z34" s="172" ph="1"/>
      <c r="AA34" s="174" ph="1"/>
      <c r="AB34" s="176"/>
      <c r="AC34" s="178"/>
      <c r="AD34" s="181"/>
      <c r="AE34" s="182"/>
      <c r="AH34" s="64" ph="1">
        <v>20</v>
      </c>
      <c r="AI34" s="64" t="s" ph="1">
        <v>403</v>
      </c>
      <c r="AJ34" s="64" t="s" ph="1">
        <v>637</v>
      </c>
      <c r="AK34" s="64" t="s" ph="1">
        <v>633</v>
      </c>
      <c r="AL34" s="64" ph="1">
        <v>720</v>
      </c>
      <c r="AM34" s="64" t="s" ph="1">
        <v>383</v>
      </c>
      <c r="AZ34" s="64" t="s" ph="1">
        <v>260</v>
      </c>
      <c r="BA34" s="64" ph="1">
        <v>720</v>
      </c>
    </row>
    <row r="35" spans="1:57" ph="1">
      <c r="A35" s="64"/>
      <c r="AC35" s="183" t="s" ph="1">
        <v>84</v>
      </c>
      <c r="AD35" s="183"/>
      <c r="AE35" s="183"/>
      <c r="AH35" s="64" ph="1">
        <v>21</v>
      </c>
      <c r="AI35" s="64" t="s" ph="1">
        <v>404</v>
      </c>
      <c r="AZ35" s="64" t="s" ph="1">
        <v>260</v>
      </c>
      <c r="BA35" s="64" ph="1">
        <v>0</v>
      </c>
      <c r="BD35" s="64" t="s" ph="1">
        <v>405</v>
      </c>
      <c r="BE35" s="64" ph="1">
        <v>2030</v>
      </c>
    </row>
    <row r="36" spans="1:57" ht="28.5" ph="1">
      <c r="A36" s="64"/>
      <c r="B36" s="103" t="s" ph="1">
        <v>216</v>
      </c>
      <c r="I36" s="169" t="s" ph="1">
        <v>217</v>
      </c>
      <c r="J36" s="169" ph="1"/>
      <c r="K36" s="101" ph="1"/>
      <c r="P36" s="101" ph="1"/>
      <c r="R36" s="169" t="s" ph="1">
        <v>218</v>
      </c>
      <c r="S36" s="169" ph="1"/>
      <c r="Y36" s="102" ph="1"/>
      <c r="Z36" s="148" t="s" ph="1">
        <v>219</v>
      </c>
      <c r="AA36" s="148" ph="1"/>
      <c r="AB36" s="170" t="s" ph="1">
        <v>655</v>
      </c>
      <c r="AC36" s="170" ph="1"/>
      <c r="AD36" s="170" ph="1"/>
      <c r="AE36" s="170" ph="1"/>
      <c r="BA36" s="64" ph="1">
        <v>2270</v>
      </c>
    </row>
    <row r="37" spans="1:57" s="148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8" t="s" ph="1">
        <v>386</v>
      </c>
      <c r="AI37" s="148" t="s" ph="1">
        <v>253</v>
      </c>
      <c r="AJ37" s="148" t="s" ph="1">
        <v>254</v>
      </c>
      <c r="AK37" s="148" t="s" ph="1">
        <v>255</v>
      </c>
      <c r="AM37" s="148" t="s" ph="1">
        <v>254</v>
      </c>
      <c r="AN37" s="148" t="s" ph="1">
        <v>255</v>
      </c>
      <c r="AO37" s="148" t="s" ph="1">
        <v>256</v>
      </c>
      <c r="AP37" s="148" t="s" ph="1">
        <v>254</v>
      </c>
      <c r="AQ37" s="148" t="s" ph="1">
        <v>255</v>
      </c>
      <c r="AR37" s="148" t="s" ph="1">
        <v>256</v>
      </c>
      <c r="AS37" s="148" t="s" ph="1">
        <v>254</v>
      </c>
      <c r="AT37" s="148" t="s" ph="1">
        <v>255</v>
      </c>
      <c r="AU37" s="148" t="s" ph="1">
        <v>256</v>
      </c>
      <c r="AV37" s="148" t="s" ph="1">
        <v>254</v>
      </c>
      <c r="AW37" s="148" t="s" ph="1">
        <v>255</v>
      </c>
      <c r="AX37" s="148" t="s" ph="1">
        <v>256</v>
      </c>
      <c r="AY37" s="148" t="s" ph="1">
        <v>255</v>
      </c>
      <c r="AZ37" s="148" t="s" ph="1">
        <v>257</v>
      </c>
      <c r="BD37" s="148" t="s" ph="1">
        <v>349</v>
      </c>
      <c r="BE37" s="148" ph="1">
        <v>0</v>
      </c>
    </row>
    <row r="38" spans="1:57" ph="1">
      <c r="AE38" s="64" ph="1"/>
      <c r="AH38" s="64" ph="1">
        <v>1</v>
      </c>
      <c r="AI38" s="64" t="s" ph="1">
        <v>406</v>
      </c>
      <c r="AY38" s="64" t="s" ph="1">
        <v>260</v>
      </c>
      <c r="AZ38" s="64" t="s" ph="1">
        <v>411</v>
      </c>
    </row>
    <row r="39" spans="1:57" ph="1">
      <c r="AH39" s="64" ph="1">
        <v>2</v>
      </c>
      <c r="AI39" s="64" t="s" ph="1">
        <v>408</v>
      </c>
      <c r="AJ39" s="64" t="s" ph="1">
        <v>380</v>
      </c>
      <c r="AK39" s="64" t="s" ph="1">
        <v>409</v>
      </c>
      <c r="AM39" s="64" t="s" ph="1">
        <v>614</v>
      </c>
      <c r="AN39" s="64" t="s" ph="1">
        <v>272</v>
      </c>
      <c r="AO39" s="64" t="s" ph="1">
        <v>407</v>
      </c>
      <c r="AY39" s="64" t="s" ph="1">
        <v>260</v>
      </c>
      <c r="AZ39" s="64" t="s" ph="1">
        <v>543</v>
      </c>
    </row>
    <row r="40" spans="1:57" ph="1">
      <c r="AH40" s="64" ph="1">
        <v>3</v>
      </c>
      <c r="AI40" s="64" t="s" ph="1">
        <v>410</v>
      </c>
      <c r="AJ40" s="64" t="s" ph="1">
        <v>614</v>
      </c>
      <c r="AK40" s="64" t="s" ph="1">
        <v>615</v>
      </c>
      <c r="AY40" s="64" t="s" ph="1">
        <v>260</v>
      </c>
      <c r="AZ40" s="64" t="s" ph="1">
        <v>615</v>
      </c>
    </row>
    <row r="41" spans="1:57" ph="1">
      <c r="AH41" s="64" ph="1">
        <v>4</v>
      </c>
      <c r="AI41" s="64" t="s" ph="1">
        <v>412</v>
      </c>
      <c r="AJ41" s="64" t="s" ph="1">
        <v>616</v>
      </c>
      <c r="AK41" s="64" t="s" ph="1">
        <v>617</v>
      </c>
      <c r="AM41" s="64" t="s" ph="1">
        <v>618</v>
      </c>
      <c r="AY41" s="64" t="s" ph="1">
        <v>260</v>
      </c>
      <c r="AZ41" s="64" t="s" ph="1">
        <v>617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413</v>
      </c>
      <c r="AY42" s="64" t="s" ph="1">
        <v>260</v>
      </c>
      <c r="AZ42" s="64" t="s" ph="1">
        <v>411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414</v>
      </c>
      <c r="AY43" s="64" t="s" ph="1">
        <v>260</v>
      </c>
      <c r="AZ43" s="64" t="s" ph="1">
        <v>411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415</v>
      </c>
      <c r="AV44" s="64" t="s" ph="1">
        <v>261</v>
      </c>
      <c r="AY44" s="64" t="s" ph="1">
        <v>260</v>
      </c>
      <c r="AZ44" s="64" t="s" ph="1">
        <v>411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416</v>
      </c>
      <c r="AV45" s="64" t="s" ph="1">
        <v>261</v>
      </c>
      <c r="AY45" s="64" t="s" ph="1">
        <v>260</v>
      </c>
      <c r="AZ45" s="64" t="s" ph="1">
        <v>411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417</v>
      </c>
      <c r="AV46" s="64" t="s" ph="1">
        <v>261</v>
      </c>
      <c r="AY46" s="64" t="s" ph="1">
        <v>260</v>
      </c>
      <c r="AZ46" s="64" t="s" ph="1">
        <v>411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418</v>
      </c>
      <c r="AV47" s="64" t="s" ph="1">
        <v>261</v>
      </c>
      <c r="AY47" s="64" t="s" ph="1">
        <v>260</v>
      </c>
      <c r="AZ47" s="64" t="s" ph="1">
        <v>411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619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276</v>
      </c>
      <c r="AI49" s="64" t="s" ph="1">
        <v>253</v>
      </c>
      <c r="AJ49" s="64" t="s" ph="1">
        <v>254</v>
      </c>
      <c r="AK49" s="64" t="s" ph="1">
        <v>255</v>
      </c>
      <c r="AM49" s="64" t="s" ph="1">
        <v>254</v>
      </c>
      <c r="AN49" s="64" t="s" ph="1">
        <v>255</v>
      </c>
      <c r="AO49" s="64" t="s" ph="1">
        <v>256</v>
      </c>
      <c r="AP49" s="64" t="s" ph="1">
        <v>254</v>
      </c>
      <c r="AQ49" s="64" t="s" ph="1">
        <v>255</v>
      </c>
      <c r="AR49" s="64" t="s" ph="1">
        <v>256</v>
      </c>
      <c r="AS49" s="64" t="s" ph="1">
        <v>254</v>
      </c>
      <c r="AT49" s="64" t="s" ph="1">
        <v>255</v>
      </c>
      <c r="AU49" s="64" t="s" ph="1">
        <v>256</v>
      </c>
      <c r="AV49" s="64" t="s" ph="1">
        <v>254</v>
      </c>
      <c r="AW49" s="64" t="s" ph="1">
        <v>255</v>
      </c>
      <c r="AX49" s="64" t="s" ph="1">
        <v>256</v>
      </c>
      <c r="AY49" s="64" t="s" ph="1">
        <v>255</v>
      </c>
      <c r="AZ49" s="64" t="s" ph="1">
        <v>257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419</v>
      </c>
      <c r="AY50" s="64" t="s" ph="1">
        <v>260</v>
      </c>
      <c r="AZ50" s="64" t="s" ph="1">
        <v>411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420</v>
      </c>
      <c r="AY51" s="64" t="s" ph="1">
        <v>260</v>
      </c>
      <c r="AZ51" s="64" t="s" ph="1">
        <v>411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421</v>
      </c>
      <c r="AJ52" s="64" t="s" ph="1">
        <v>378</v>
      </c>
      <c r="AK52" s="64" t="s" ph="1">
        <v>272</v>
      </c>
      <c r="AM52" s="64" t="s" ph="1">
        <v>380</v>
      </c>
      <c r="AN52" s="64" t="s" ph="1">
        <v>344</v>
      </c>
      <c r="AO52" s="64" t="s" ph="1">
        <v>277</v>
      </c>
      <c r="AP52" s="64" t="s" ph="1">
        <v>614</v>
      </c>
      <c r="AQ52" s="64" t="s" ph="1">
        <v>326</v>
      </c>
      <c r="AR52" s="64" t="s" ph="1">
        <v>277</v>
      </c>
      <c r="AY52" s="64" t="s" ph="1">
        <v>260</v>
      </c>
      <c r="AZ52" s="64" t="s" ph="1">
        <v>620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422</v>
      </c>
      <c r="AY53" s="64" t="s" ph="1">
        <v>260</v>
      </c>
      <c r="AZ53" s="64" t="s" ph="1">
        <v>411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423</v>
      </c>
      <c r="AJ54" s="64" t="s" ph="1">
        <v>378</v>
      </c>
      <c r="AK54" s="64" t="s" ph="1">
        <v>263</v>
      </c>
      <c r="AM54" s="64" t="s" ph="1">
        <v>380</v>
      </c>
      <c r="AN54" s="64" t="s" ph="1">
        <v>268</v>
      </c>
      <c r="AO54" s="64" t="s" ph="1">
        <v>277</v>
      </c>
      <c r="AP54" s="64" t="s" ph="1">
        <v>614</v>
      </c>
      <c r="AQ54" s="64" t="s" ph="1">
        <v>284</v>
      </c>
      <c r="AR54" s="64" t="s" ph="1">
        <v>277</v>
      </c>
      <c r="AY54" s="64" t="s" ph="1">
        <v>260</v>
      </c>
      <c r="AZ54" s="64" t="s" ph="1">
        <v>278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424</v>
      </c>
      <c r="AY55" s="64" t="s" ph="1">
        <v>260</v>
      </c>
      <c r="AZ55" s="64" t="s" ph="1">
        <v>411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425</v>
      </c>
      <c r="AY56" s="64" t="s" ph="1">
        <v>260</v>
      </c>
      <c r="AZ56" s="64" t="s" ph="1">
        <v>411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426</v>
      </c>
      <c r="AY57" s="64" t="s" ph="1">
        <v>260</v>
      </c>
      <c r="AZ57" s="64" t="s" ph="1">
        <v>411</v>
      </c>
    </row>
    <row r="58" spans="16:52" ph="1">
      <c r="P58" s="64"/>
      <c r="AN58" s="64" t="s" ph="1">
        <v>261</v>
      </c>
      <c r="AZ58" s="64" t="s" ph="1">
        <v>621</v>
      </c>
    </row>
    <row r="59" spans="16:52" ph="1">
      <c r="V59" s="64"/>
      <c r="AG59" s="64" t="s" ph="1">
        <v>279</v>
      </c>
      <c r="AI59" s="64" t="s" ph="1">
        <v>253</v>
      </c>
      <c r="AJ59" s="64" t="s" ph="1">
        <v>254</v>
      </c>
      <c r="AK59" s="64" t="s" ph="1">
        <v>255</v>
      </c>
      <c r="AM59" s="64" t="s" ph="1">
        <v>254</v>
      </c>
      <c r="AN59" s="64" t="s" ph="1">
        <v>255</v>
      </c>
      <c r="AO59" s="64" t="s" ph="1">
        <v>256</v>
      </c>
      <c r="AP59" s="64" t="s" ph="1">
        <v>254</v>
      </c>
      <c r="AQ59" s="64" t="s" ph="1">
        <v>255</v>
      </c>
      <c r="AR59" s="64" t="s" ph="1">
        <v>256</v>
      </c>
      <c r="AS59" s="64" t="s" ph="1">
        <v>254</v>
      </c>
      <c r="AT59" s="64" t="s" ph="1">
        <v>255</v>
      </c>
      <c r="AU59" s="64" t="s" ph="1">
        <v>256</v>
      </c>
      <c r="AV59" s="64" t="s" ph="1">
        <v>254</v>
      </c>
      <c r="AW59" s="64" t="s" ph="1">
        <v>255</v>
      </c>
      <c r="AX59" s="64" t="s" ph="1">
        <v>256</v>
      </c>
      <c r="AY59" s="64" t="s" ph="1">
        <v>255</v>
      </c>
      <c r="AZ59" s="64" t="s" ph="1">
        <v>257</v>
      </c>
    </row>
    <row r="60" spans="16:52" ph="1">
      <c r="R60" s="64"/>
      <c r="S60" s="64"/>
      <c r="T60" s="64"/>
      <c r="AH60" s="64" ph="1">
        <v>1</v>
      </c>
      <c r="AI60" s="64" t="s" ph="1">
        <v>427</v>
      </c>
      <c r="AY60" s="64" t="s" ph="1">
        <v>260</v>
      </c>
      <c r="AZ60" s="64" t="s" ph="1">
        <v>411</v>
      </c>
    </row>
    <row r="61" spans="16:52" ph="1">
      <c r="AH61" s="64" ph="1">
        <v>2</v>
      </c>
      <c r="AI61" s="64" t="s" ph="1">
        <v>428</v>
      </c>
      <c r="AS61" s="64" t="s" ph="1">
        <v>261</v>
      </c>
      <c r="AY61" s="64" t="s" ph="1">
        <v>260</v>
      </c>
      <c r="AZ61" s="64" t="s" ph="1">
        <v>411</v>
      </c>
    </row>
    <row r="62" spans="16:52" ph="1">
      <c r="AZ62" s="64" t="s" ph="1">
        <v>429</v>
      </c>
    </row>
    <row r="63" spans="16:52" ph="1">
      <c r="AG63" s="64" t="s" ph="1">
        <v>282</v>
      </c>
      <c r="AI63" s="64" t="s" ph="1">
        <v>253</v>
      </c>
      <c r="AJ63" s="64" t="s" ph="1">
        <v>254</v>
      </c>
      <c r="AK63" s="64" t="s" ph="1">
        <v>255</v>
      </c>
      <c r="AM63" s="64" t="s" ph="1">
        <v>254</v>
      </c>
      <c r="AN63" s="64" t="s" ph="1">
        <v>255</v>
      </c>
      <c r="AO63" s="64" t="s" ph="1">
        <v>256</v>
      </c>
      <c r="AP63" s="64" t="s" ph="1">
        <v>254</v>
      </c>
      <c r="AQ63" s="64" t="s" ph="1">
        <v>255</v>
      </c>
      <c r="AR63" s="64" t="s" ph="1">
        <v>256</v>
      </c>
      <c r="AS63" s="64" t="s" ph="1">
        <v>254</v>
      </c>
      <c r="AT63" s="64" t="s" ph="1">
        <v>255</v>
      </c>
      <c r="AU63" s="64" t="s" ph="1">
        <v>256</v>
      </c>
      <c r="AV63" s="64" t="s" ph="1">
        <v>254</v>
      </c>
      <c r="AW63" s="64" t="s" ph="1">
        <v>255</v>
      </c>
      <c r="AX63" s="64" t="s" ph="1">
        <v>256</v>
      </c>
      <c r="AY63" s="64" t="s" ph="1">
        <v>255</v>
      </c>
      <c r="AZ63" s="64" t="s" ph="1">
        <v>257</v>
      </c>
    </row>
    <row r="64" spans="16:52" ph="1">
      <c r="AH64" s="64" ph="1">
        <v>1</v>
      </c>
      <c r="AI64" s="64" t="s" ph="1">
        <v>430</v>
      </c>
      <c r="AJ64" s="64" t="s" ph="1">
        <v>431</v>
      </c>
      <c r="AK64" s="64" t="s" ph="1">
        <v>432</v>
      </c>
      <c r="AY64" s="64" t="s" ph="1">
        <v>260</v>
      </c>
      <c r="AZ64" s="64" t="s" ph="1">
        <v>432</v>
      </c>
    </row>
    <row r="65" spans="33:52" ph="1">
      <c r="AH65" s="64" ph="1">
        <v>2</v>
      </c>
      <c r="AI65" s="64" t="s" ph="1">
        <v>433</v>
      </c>
      <c r="AY65" s="64" t="s" ph="1">
        <v>260</v>
      </c>
      <c r="AZ65" s="64" t="s" ph="1">
        <v>411</v>
      </c>
    </row>
    <row r="66" spans="33:52" ph="1">
      <c r="AH66" s="64" ph="1">
        <v>3</v>
      </c>
      <c r="AI66" s="64" t="s" ph="1">
        <v>434</v>
      </c>
      <c r="AY66" s="64" t="s" ph="1">
        <v>260</v>
      </c>
      <c r="AZ66" s="64" t="s" ph="1">
        <v>411</v>
      </c>
    </row>
    <row r="67" spans="33:52" ph="1">
      <c r="AH67" s="64" ph="1">
        <v>4</v>
      </c>
      <c r="AI67" s="64" t="s" ph="1">
        <v>435</v>
      </c>
      <c r="AY67" s="64" t="s" ph="1">
        <v>260</v>
      </c>
      <c r="AZ67" s="64" t="s" ph="1">
        <v>411</v>
      </c>
    </row>
    <row r="68" spans="33:52" ph="1">
      <c r="AH68" s="64" ph="1">
        <v>5</v>
      </c>
      <c r="AI68" s="64" t="s" ph="1">
        <v>436</v>
      </c>
      <c r="AY68" s="64" t="s" ph="1">
        <v>260</v>
      </c>
      <c r="AZ68" s="64" t="s" ph="1">
        <v>411</v>
      </c>
    </row>
    <row r="69" spans="33:52" ph="1">
      <c r="AH69" s="64" ph="1">
        <v>6</v>
      </c>
      <c r="AI69" s="64" t="s" ph="1">
        <v>437</v>
      </c>
      <c r="AY69" s="64" t="s" ph="1">
        <v>260</v>
      </c>
      <c r="AZ69" s="64" t="s" ph="1">
        <v>411</v>
      </c>
    </row>
    <row r="70" spans="33:52" ph="1">
      <c r="AI70" s="64" t="s" ph="1">
        <v>438</v>
      </c>
      <c r="AY70" s="64" t="s" ph="1">
        <v>260</v>
      </c>
      <c r="AZ70" s="64" t="s" ph="1">
        <v>411</v>
      </c>
    </row>
    <row r="71" spans="33:52" ph="1">
      <c r="AH71" s="64" ph="1">
        <v>7</v>
      </c>
      <c r="AI71" s="64" t="s" ph="1">
        <v>439</v>
      </c>
      <c r="AJ71" s="64" t="s" ph="1">
        <v>378</v>
      </c>
      <c r="AK71" s="64" t="s" ph="1">
        <v>272</v>
      </c>
      <c r="AM71" s="64" t="s" ph="1">
        <v>380</v>
      </c>
      <c r="AN71" s="64" t="s" ph="1">
        <v>272</v>
      </c>
      <c r="AO71" s="64" t="s" ph="1">
        <v>440</v>
      </c>
      <c r="AP71" s="64" t="s" ph="1">
        <v>614</v>
      </c>
      <c r="AQ71" s="64" t="s" ph="1">
        <v>263</v>
      </c>
      <c r="AR71" s="64" t="s" ph="1">
        <v>440</v>
      </c>
      <c r="AY71" s="64" t="s" ph="1">
        <v>260</v>
      </c>
      <c r="AZ71" s="64" t="s" ph="1">
        <v>622</v>
      </c>
    </row>
    <row r="72" spans="33:52" ph="1">
      <c r="AZ72" s="64" t="s" ph="1">
        <v>623</v>
      </c>
    </row>
    <row r="73" spans="33:52" ph="1">
      <c r="AG73" s="64" t="s" ph="1">
        <v>285</v>
      </c>
      <c r="AI73" s="64" t="s" ph="1">
        <v>253</v>
      </c>
      <c r="AJ73" s="64" t="s" ph="1">
        <v>254</v>
      </c>
      <c r="AK73" s="64" t="s" ph="1">
        <v>255</v>
      </c>
      <c r="AM73" s="64" t="s" ph="1">
        <v>254</v>
      </c>
      <c r="AN73" s="64" t="s" ph="1">
        <v>255</v>
      </c>
      <c r="AO73" s="64" t="s" ph="1">
        <v>256</v>
      </c>
      <c r="AP73" s="64" t="s" ph="1">
        <v>254</v>
      </c>
      <c r="AQ73" s="64" t="s" ph="1">
        <v>255</v>
      </c>
      <c r="AR73" s="64" t="s" ph="1">
        <v>256</v>
      </c>
      <c r="AS73" s="64" t="s" ph="1">
        <v>254</v>
      </c>
      <c r="AT73" s="64" t="s" ph="1">
        <v>255</v>
      </c>
      <c r="AU73" s="64" t="s" ph="1">
        <v>256</v>
      </c>
      <c r="AV73" s="64" t="s" ph="1">
        <v>254</v>
      </c>
      <c r="AW73" s="64" t="s" ph="1">
        <v>255</v>
      </c>
      <c r="AX73" s="64" t="s" ph="1">
        <v>256</v>
      </c>
      <c r="AY73" s="64" t="s" ph="1">
        <v>255</v>
      </c>
      <c r="AZ73" s="64" t="s" ph="1">
        <v>257</v>
      </c>
    </row>
    <row r="74" spans="33:52" ph="1">
      <c r="AH74" s="64" ph="1">
        <v>1</v>
      </c>
      <c r="AI74" s="64" t="s" ph="1">
        <v>441</v>
      </c>
      <c r="AJ74" s="64" t="s" ph="1">
        <v>286</v>
      </c>
      <c r="AK74" s="64" t="s" ph="1">
        <v>268</v>
      </c>
      <c r="AM74" s="64" t="s" ph="1">
        <v>288</v>
      </c>
      <c r="AN74" s="64" t="s" ph="1">
        <v>298</v>
      </c>
      <c r="AO74" s="64" t="s" ph="1">
        <v>287</v>
      </c>
      <c r="AP74" s="64" t="s" ph="1">
        <v>289</v>
      </c>
      <c r="AQ74" s="64" t="s" ph="1">
        <v>266</v>
      </c>
      <c r="AR74" s="64" t="s" ph="1">
        <v>287</v>
      </c>
      <c r="AS74" s="64" t="s" ph="1">
        <v>259</v>
      </c>
      <c r="AT74" s="64" t="s" ph="1">
        <v>261</v>
      </c>
      <c r="AV74" s="64" t="s" ph="1">
        <v>442</v>
      </c>
      <c r="AW74" s="64" t="s" ph="1">
        <v>443</v>
      </c>
      <c r="AX74" s="64" t="s" ph="1">
        <v>444</v>
      </c>
      <c r="AY74" s="64" t="s" ph="1">
        <v>260</v>
      </c>
      <c r="AZ74" s="64" t="s" ph="1">
        <v>445</v>
      </c>
    </row>
    <row r="75" spans="33:52" ph="1">
      <c r="AJ75" s="64" t="s" ph="1">
        <v>291</v>
      </c>
      <c r="AK75" s="64" t="s" ph="1">
        <v>344</v>
      </c>
      <c r="AM75" s="64" t="s" ph="1">
        <v>289</v>
      </c>
      <c r="AN75" s="64" t="s" ph="1">
        <v>269</v>
      </c>
      <c r="AO75" s="64" t="s" ph="1">
        <v>287</v>
      </c>
      <c r="AS75" s="64" t="s" ph="1">
        <v>259</v>
      </c>
      <c r="AT75" s="64" t="s" ph="1">
        <v>290</v>
      </c>
    </row>
    <row r="76" spans="33:52" ph="1">
      <c r="AJ76" s="64" t="s" ph="1">
        <v>291</v>
      </c>
      <c r="AK76" s="64" t="s" ph="1">
        <v>284</v>
      </c>
      <c r="AM76" s="64" t="s" ph="1">
        <v>289</v>
      </c>
      <c r="AN76" s="64" t="s" ph="1">
        <v>272</v>
      </c>
      <c r="AO76" s="64" t="s" ph="1">
        <v>287</v>
      </c>
      <c r="AS76" s="64" t="s" ph="1">
        <v>259</v>
      </c>
      <c r="AT76" s="64" t="s" ph="1">
        <v>290</v>
      </c>
    </row>
    <row r="77" spans="33:52" ph="1">
      <c r="AJ77" s="64" t="s" ph="1">
        <v>327</v>
      </c>
      <c r="AK77" s="64" t="s" ph="1">
        <v>284</v>
      </c>
      <c r="AM77" s="64" t="s" ph="1">
        <v>328</v>
      </c>
      <c r="AN77" s="64" t="s" ph="1">
        <v>267</v>
      </c>
      <c r="AO77" s="64" t="s" ph="1">
        <v>287</v>
      </c>
      <c r="AS77" s="64" t="s" ph="1">
        <v>259</v>
      </c>
      <c r="AT77" s="64" t="s" ph="1">
        <v>329</v>
      </c>
    </row>
    <row r="78" spans="33:52" ph="1">
      <c r="AH78" s="64" ph="1">
        <v>2</v>
      </c>
      <c r="AI78" s="64" t="s" ph="1">
        <v>293</v>
      </c>
      <c r="AJ78" s="64" t="s" ph="1">
        <v>294</v>
      </c>
      <c r="AK78" s="64" t="s" ph="1">
        <v>263</v>
      </c>
      <c r="AM78" s="64" t="s" ph="1">
        <v>295</v>
      </c>
      <c r="AN78" s="64" t="s" ph="1">
        <v>298</v>
      </c>
      <c r="AO78" s="64" t="s" ph="1">
        <v>287</v>
      </c>
      <c r="AP78" s="64" t="s" ph="1">
        <v>296</v>
      </c>
      <c r="AQ78" s="64" t="s" ph="1">
        <v>342</v>
      </c>
      <c r="AR78" s="64" t="s" ph="1">
        <v>287</v>
      </c>
      <c r="AS78" s="64" t="s" ph="1">
        <v>297</v>
      </c>
      <c r="AT78" s="64" t="s" ph="1">
        <v>298</v>
      </c>
      <c r="AU78" s="64" t="s" ph="1">
        <v>287</v>
      </c>
      <c r="AV78" s="64" t="s" ph="1">
        <v>299</v>
      </c>
      <c r="AW78" s="64" t="s" ph="1">
        <v>287</v>
      </c>
      <c r="AY78" s="64" t="s" ph="1">
        <v>260</v>
      </c>
      <c r="AZ78" s="64" t="s" ph="1">
        <v>446</v>
      </c>
    </row>
    <row r="79" spans="33:52" ph="1">
      <c r="AJ79" s="64" t="s" ph="1">
        <v>289</v>
      </c>
      <c r="AK79" s="64" t="s" ph="1">
        <v>300</v>
      </c>
      <c r="AM79" s="64" t="s" ph="1">
        <v>301</v>
      </c>
      <c r="AN79" s="64" t="s" ph="1">
        <v>269</v>
      </c>
      <c r="AO79" s="64" t="s" ph="1">
        <v>287</v>
      </c>
      <c r="AP79" s="64" t="s" ph="1">
        <v>302</v>
      </c>
      <c r="AQ79" s="64" t="s" ph="1">
        <v>267</v>
      </c>
      <c r="AR79" s="64" t="s" ph="1">
        <v>303</v>
      </c>
      <c r="AS79" s="64" t="s" ph="1">
        <v>259</v>
      </c>
      <c r="AT79" s="64" t="s" ph="1">
        <v>304</v>
      </c>
      <c r="AV79" s="64" t="s" ph="1">
        <v>447</v>
      </c>
      <c r="AW79" s="64" t="s" ph="1">
        <v>346</v>
      </c>
      <c r="AX79" s="64" t="s" ph="1">
        <v>444</v>
      </c>
    </row>
    <row r="80" spans="33:52" ph="1">
      <c r="AH80" s="64" ph="1">
        <v>3</v>
      </c>
      <c r="AI80" s="64" t="s" ph="1">
        <v>305</v>
      </c>
      <c r="AJ80" s="64" t="s" ph="1">
        <v>306</v>
      </c>
      <c r="AK80" s="64" t="s" ph="1">
        <v>307</v>
      </c>
      <c r="AM80" s="64" t="s" ph="1">
        <v>308</v>
      </c>
      <c r="AN80" s="64" t="s" ph="1">
        <v>298</v>
      </c>
      <c r="AO80" s="64" t="s" ph="1">
        <v>287</v>
      </c>
      <c r="AP80" s="64" t="s" ph="1">
        <v>309</v>
      </c>
      <c r="AQ80" s="64" t="s" ph="1">
        <v>272</v>
      </c>
      <c r="AR80" s="64" t="s" ph="1">
        <v>287</v>
      </c>
      <c r="AS80" s="64" t="s" ph="1">
        <v>310</v>
      </c>
      <c r="AT80" s="64" t="s" ph="1">
        <v>271</v>
      </c>
      <c r="AU80" s="64" t="s" ph="1">
        <v>287</v>
      </c>
      <c r="AV80" s="64" t="s" ph="1">
        <v>311</v>
      </c>
      <c r="AW80" s="64" t="s" ph="1">
        <v>287</v>
      </c>
      <c r="AY80" s="64" t="s" ph="1">
        <v>260</v>
      </c>
      <c r="AZ80" s="64" t="s" ph="1">
        <v>448</v>
      </c>
    </row>
    <row r="81" spans="34:52" ph="1">
      <c r="AJ81" s="64" t="s" ph="1">
        <v>312</v>
      </c>
      <c r="AK81" s="64" t="s" ph="1">
        <v>266</v>
      </c>
      <c r="AM81" s="64" t="s" ph="1">
        <v>313</v>
      </c>
      <c r="AN81" s="64" t="s" ph="1">
        <v>269</v>
      </c>
      <c r="AO81" s="64" t="s" ph="1">
        <v>287</v>
      </c>
      <c r="AP81" s="64" t="s" ph="1">
        <v>314</v>
      </c>
      <c r="AQ81" s="64" t="s" ph="1">
        <v>298</v>
      </c>
      <c r="AR81" s="64" t="s" ph="1">
        <v>287</v>
      </c>
      <c r="AS81" s="64" t="s" ph="1">
        <v>315</v>
      </c>
      <c r="AT81" s="64" t="s" ph="1">
        <v>316</v>
      </c>
      <c r="AU81" s="64" t="s" ph="1">
        <v>287</v>
      </c>
      <c r="AV81" s="64" t="s" ph="1">
        <v>317</v>
      </c>
    </row>
    <row r="82" spans="34:52" ph="1">
      <c r="AJ82" s="64" t="s" ph="1">
        <v>318</v>
      </c>
      <c r="AK82" s="64" t="s" ph="1">
        <v>266</v>
      </c>
      <c r="AM82" s="64" t="s" ph="1">
        <v>319</v>
      </c>
      <c r="AN82" s="64" t="s" ph="1">
        <v>316</v>
      </c>
      <c r="AO82" s="64" t="s" ph="1">
        <v>320</v>
      </c>
      <c r="AP82" s="64" t="s" ph="1">
        <v>321</v>
      </c>
      <c r="AQ82" s="64" t="s" ph="1">
        <v>298</v>
      </c>
      <c r="AR82" s="64" t="s" ph="1">
        <v>287</v>
      </c>
      <c r="AS82" s="64" t="s" ph="1">
        <v>322</v>
      </c>
      <c r="AT82" s="64" t="s" ph="1">
        <v>273</v>
      </c>
      <c r="AU82" s="64" t="s" ph="1">
        <v>287</v>
      </c>
      <c r="AV82" s="64" t="s" ph="1">
        <v>447</v>
      </c>
      <c r="AW82" s="64" t="s" ph="1">
        <v>347</v>
      </c>
      <c r="AX82" s="64" t="s" ph="1">
        <v>444</v>
      </c>
    </row>
    <row r="83" spans="34:52" ph="1">
      <c r="AJ83" s="64" t="s" ph="1">
        <v>323</v>
      </c>
      <c r="AK83" s="64" t="s" ph="1">
        <v>340</v>
      </c>
      <c r="AM83" s="64" t="s" ph="1">
        <v>324</v>
      </c>
      <c r="AN83" s="64" t="s" ph="1">
        <v>272</v>
      </c>
      <c r="AO83" s="64" t="s" ph="1">
        <v>303</v>
      </c>
      <c r="AP83" s="64" t="s" ph="1">
        <v>325</v>
      </c>
      <c r="AQ83" s="64" t="s" ph="1">
        <v>326</v>
      </c>
      <c r="AR83" s="64" t="s" ph="1">
        <v>303</v>
      </c>
      <c r="AS83" s="64" t="s" ph="1">
        <v>449</v>
      </c>
      <c r="AT83" s="64" t="s" ph="1">
        <v>298</v>
      </c>
      <c r="AU83" s="64" t="s" ph="1">
        <v>303</v>
      </c>
      <c r="AV83" s="64" t="s" ph="1">
        <v>450</v>
      </c>
      <c r="AW83" s="64" t="s" ph="1">
        <v>347</v>
      </c>
      <c r="AX83" s="64" t="s" ph="1">
        <v>451</v>
      </c>
    </row>
    <row r="84" spans="34:52" ph="1">
      <c r="AH84" s="64" ph="1">
        <v>4</v>
      </c>
      <c r="AI84" s="64" t="s" ph="1">
        <v>330</v>
      </c>
      <c r="AJ84" s="64" t="s" ph="1">
        <v>270</v>
      </c>
      <c r="AK84" s="64" t="s" ph="1">
        <v>273</v>
      </c>
      <c r="AM84" s="64" t="s" ph="1">
        <v>274</v>
      </c>
      <c r="AN84" s="64" t="s" ph="1">
        <v>267</v>
      </c>
      <c r="AO84" s="64" t="s" ph="1">
        <v>303</v>
      </c>
      <c r="AP84" s="64" t="s" ph="1">
        <v>332</v>
      </c>
      <c r="AQ84" s="64" t="s" ph="1">
        <v>266</v>
      </c>
      <c r="AR84" s="64" t="s" ph="1">
        <v>303</v>
      </c>
      <c r="AS84" s="64" t="s" ph="1">
        <v>332</v>
      </c>
      <c r="AT84" s="64" t="s" ph="1">
        <v>268</v>
      </c>
      <c r="AU84" s="64" t="s" ph="1">
        <v>303</v>
      </c>
      <c r="AY84" s="64" t="s" ph="1">
        <v>260</v>
      </c>
      <c r="AZ84" s="64" t="s" ph="1">
        <v>452</v>
      </c>
    </row>
    <row r="85" spans="34:52" ph="1">
      <c r="AJ85" s="64" t="s" ph="1">
        <v>262</v>
      </c>
      <c r="AK85" s="64" t="s" ph="1">
        <v>266</v>
      </c>
      <c r="AM85" s="64" t="s" ph="1">
        <v>453</v>
      </c>
      <c r="AN85" s="64" t="s" ph="1">
        <v>273</v>
      </c>
      <c r="AO85" s="64" t="s" ph="1">
        <v>303</v>
      </c>
      <c r="AP85" s="64" t="s" ph="1">
        <v>454</v>
      </c>
      <c r="AQ85" s="64" t="s" ph="1">
        <v>269</v>
      </c>
      <c r="AR85" s="64" t="s" ph="1">
        <v>303</v>
      </c>
      <c r="AS85" s="64" t="s" ph="1">
        <v>455</v>
      </c>
      <c r="AT85" s="64" t="s" ph="1">
        <v>269</v>
      </c>
      <c r="AU85" s="64" t="s" ph="1">
        <v>303</v>
      </c>
    </row>
    <row r="86" spans="34:52" ph="1">
      <c r="AJ86" s="64" t="s" ph="1">
        <v>456</v>
      </c>
      <c r="AK86" s="64" t="s" ph="1">
        <v>275</v>
      </c>
      <c r="AM86" s="64" t="s" ph="1">
        <v>457</v>
      </c>
      <c r="AN86" s="64" t="s" ph="1">
        <v>316</v>
      </c>
      <c r="AO86" s="64" t="s" ph="1">
        <v>303</v>
      </c>
      <c r="AP86" s="64" t="s" ph="1">
        <v>458</v>
      </c>
      <c r="AQ86" s="64" t="s" ph="1">
        <v>263</v>
      </c>
      <c r="AR86" s="64" t="s" ph="1">
        <v>303</v>
      </c>
      <c r="AS86" s="64" t="s" ph="1">
        <v>459</v>
      </c>
      <c r="AT86" s="64" t="s" ph="1">
        <v>281</v>
      </c>
      <c r="AU86" s="64" t="s" ph="1">
        <v>303</v>
      </c>
    </row>
    <row r="87" spans="34:52" ph="1">
      <c r="AJ87" s="64" t="s" ph="1">
        <v>460</v>
      </c>
      <c r="AK87" s="64" t="s" ph="1">
        <v>316</v>
      </c>
      <c r="AM87" s="64" t="s" ph="1">
        <v>447</v>
      </c>
      <c r="AN87" s="64" t="s" ph="1">
        <v>461</v>
      </c>
      <c r="AO87" s="64" t="s" ph="1">
        <v>444</v>
      </c>
    </row>
    <row r="88" spans="34:52" ph="1">
      <c r="AH88" s="64" ph="1">
        <v>5</v>
      </c>
      <c r="AI88" s="64" t="s" ph="1">
        <v>333</v>
      </c>
      <c r="AJ88" s="64" t="s" ph="1">
        <v>462</v>
      </c>
      <c r="AK88" s="64" t="s" ph="1">
        <v>316</v>
      </c>
      <c r="AM88" s="64" t="s" ph="1">
        <v>463</v>
      </c>
      <c r="AN88" s="64" t="s" ph="1">
        <v>316</v>
      </c>
      <c r="AO88" s="64" t="s" ph="1">
        <v>303</v>
      </c>
      <c r="AP88" s="64" t="s" ph="1">
        <v>464</v>
      </c>
      <c r="AQ88" s="64" t="s" ph="1">
        <v>266</v>
      </c>
      <c r="AR88" s="64" t="s" ph="1">
        <v>303</v>
      </c>
      <c r="AS88" s="64" t="s" ph="1">
        <v>465</v>
      </c>
      <c r="AT88" s="64" t="s" ph="1">
        <v>316</v>
      </c>
      <c r="AU88" s="64" t="s" ph="1">
        <v>303</v>
      </c>
      <c r="AV88" s="64" t="s" ph="1">
        <v>466</v>
      </c>
      <c r="AW88" s="64" t="s" ph="1">
        <v>271</v>
      </c>
      <c r="AX88" s="64" t="s" ph="1">
        <v>303</v>
      </c>
      <c r="AY88" s="64" t="s" ph="1">
        <v>260</v>
      </c>
      <c r="AZ88" s="64" t="s" ph="1">
        <v>467</v>
      </c>
    </row>
    <row r="89" spans="34:52" ph="1">
      <c r="AJ89" s="64" t="s" ph="1">
        <v>468</v>
      </c>
      <c r="AK89" s="64" t="s" ph="1">
        <v>269</v>
      </c>
      <c r="AM89" s="64" t="s" ph="1">
        <v>469</v>
      </c>
      <c r="AN89" s="64" t="s" ph="1">
        <v>272</v>
      </c>
      <c r="AO89" s="64" t="s" ph="1">
        <v>303</v>
      </c>
      <c r="AP89" s="64" t="s" ph="1">
        <v>470</v>
      </c>
      <c r="AQ89" s="64" t="s" ph="1">
        <v>281</v>
      </c>
      <c r="AR89" s="64" t="s" ph="1">
        <v>303</v>
      </c>
      <c r="AS89" s="64" t="s" ph="1">
        <v>471</v>
      </c>
      <c r="AT89" s="64" t="s" ph="1">
        <v>316</v>
      </c>
      <c r="AU89" s="64" t="s" ph="1">
        <v>303</v>
      </c>
      <c r="AV89" s="64" t="s" ph="1">
        <v>472</v>
      </c>
      <c r="AW89" s="64" t="s" ph="1">
        <v>298</v>
      </c>
      <c r="AX89" s="64" t="s" ph="1">
        <v>331</v>
      </c>
    </row>
    <row r="90" spans="34:52" ph="1">
      <c r="AJ90" s="64" t="s" ph="1">
        <v>473</v>
      </c>
      <c r="AK90" s="64" t="s" ph="1">
        <v>272</v>
      </c>
      <c r="AM90" s="64" t="s" ph="1">
        <v>474</v>
      </c>
      <c r="AN90" s="64" t="s" ph="1">
        <v>269</v>
      </c>
      <c r="AO90" s="64" t="s" ph="1">
        <v>303</v>
      </c>
      <c r="AP90" s="64" t="s" ph="1">
        <v>475</v>
      </c>
      <c r="AQ90" s="64" t="s" ph="1">
        <v>338</v>
      </c>
      <c r="AR90" s="64" t="s" ph="1">
        <v>303</v>
      </c>
      <c r="AS90" s="64" t="s" ph="1">
        <v>476</v>
      </c>
      <c r="AT90" s="64" t="s" ph="1">
        <v>326</v>
      </c>
      <c r="AU90" s="64" t="s" ph="1">
        <v>303</v>
      </c>
      <c r="AV90" s="64" t="s" ph="1">
        <v>477</v>
      </c>
      <c r="AW90" s="64" t="s" ph="1">
        <v>263</v>
      </c>
      <c r="AX90" s="64" t="s" ph="1">
        <v>303</v>
      </c>
    </row>
    <row r="91" spans="34:52" ph="1">
      <c r="AJ91" s="64" t="s" ph="1">
        <v>478</v>
      </c>
      <c r="AK91" s="64" t="s" ph="1">
        <v>316</v>
      </c>
      <c r="AM91" s="64" t="s" ph="1">
        <v>479</v>
      </c>
      <c r="AN91" s="64" t="s" ph="1">
        <v>283</v>
      </c>
      <c r="AO91" s="64" t="s" ph="1">
        <v>303</v>
      </c>
      <c r="AP91" s="64" t="s" ph="1">
        <v>480</v>
      </c>
      <c r="AQ91" s="64" t="s" ph="1">
        <v>263</v>
      </c>
      <c r="AS91" s="64" t="s" ph="1">
        <v>447</v>
      </c>
      <c r="AT91" s="64" t="s" ph="1">
        <v>443</v>
      </c>
      <c r="AU91" s="64" t="s" ph="1">
        <v>444</v>
      </c>
    </row>
    <row r="92" spans="34:52" ph="1">
      <c r="AH92" s="64" ph="1">
        <v>6</v>
      </c>
      <c r="AI92" s="64" t="s" ph="1">
        <v>481</v>
      </c>
      <c r="AJ92" s="64" t="s" ph="1">
        <v>482</v>
      </c>
      <c r="AK92" s="64" t="s" ph="1">
        <v>411</v>
      </c>
      <c r="AM92" s="64" t="s" ph="1">
        <v>483</v>
      </c>
      <c r="AN92" s="64" t="s" ph="1">
        <v>271</v>
      </c>
      <c r="AO92" s="64" t="s" ph="1">
        <v>303</v>
      </c>
      <c r="AP92" s="64" t="s" ph="1">
        <v>484</v>
      </c>
      <c r="AQ92" s="64" t="s" ph="1">
        <v>343</v>
      </c>
      <c r="AR92" s="64" t="s" ph="1">
        <v>303</v>
      </c>
      <c r="AS92" s="64" t="s" ph="1">
        <v>485</v>
      </c>
      <c r="AT92" s="64" t="s" ph="1">
        <v>316</v>
      </c>
      <c r="AU92" s="64" t="s" ph="1">
        <v>303</v>
      </c>
      <c r="AV92" s="64" t="s" ph="1">
        <v>486</v>
      </c>
      <c r="AW92" s="64" t="s" ph="1">
        <v>272</v>
      </c>
      <c r="AX92" s="64" t="s" ph="1">
        <v>303</v>
      </c>
      <c r="AY92" s="64" t="s" ph="1">
        <v>260</v>
      </c>
      <c r="AZ92" s="64" t="s" ph="1">
        <v>467</v>
      </c>
    </row>
    <row r="93" spans="34:52" ph="1">
      <c r="AJ93" s="64" t="s" ph="1">
        <v>487</v>
      </c>
      <c r="AK93" s="64" t="s" ph="1">
        <v>266</v>
      </c>
      <c r="AM93" s="64" t="s" ph="1">
        <v>488</v>
      </c>
      <c r="AN93" s="64" t="s" ph="1">
        <v>271</v>
      </c>
      <c r="AO93" s="64" t="s" ph="1">
        <v>303</v>
      </c>
      <c r="AP93" s="64" t="s" ph="1">
        <v>489</v>
      </c>
      <c r="AQ93" s="64" t="s" ph="1">
        <v>275</v>
      </c>
      <c r="AR93" s="64" t="s" ph="1">
        <v>303</v>
      </c>
      <c r="AS93" s="64" t="s" ph="1">
        <v>490</v>
      </c>
      <c r="AT93" s="64" t="s" ph="1">
        <v>281</v>
      </c>
      <c r="AU93" s="64" t="s" ph="1">
        <v>303</v>
      </c>
      <c r="AV93" s="64" t="s" ph="1">
        <v>491</v>
      </c>
      <c r="AW93" s="64" t="s" ph="1">
        <v>275</v>
      </c>
      <c r="AX93" s="64" t="s" ph="1">
        <v>303</v>
      </c>
    </row>
    <row r="94" spans="34:52" ph="1">
      <c r="AJ94" s="64" t="s" ph="1">
        <v>492</v>
      </c>
      <c r="AK94" s="64" t="s" ph="1">
        <v>338</v>
      </c>
      <c r="AM94" s="64" t="s" ph="1">
        <v>493</v>
      </c>
      <c r="AN94" s="64" t="s" ph="1">
        <v>275</v>
      </c>
      <c r="AO94" s="64" t="s" ph="1">
        <v>303</v>
      </c>
      <c r="AP94" s="64" t="s" ph="1">
        <v>494</v>
      </c>
      <c r="AQ94" s="64" t="s" ph="1">
        <v>283</v>
      </c>
      <c r="AR94" s="64" t="s" ph="1">
        <v>303</v>
      </c>
      <c r="AS94" s="64" t="s" ph="1">
        <v>495</v>
      </c>
      <c r="AT94" s="64" t="s" ph="1">
        <v>269</v>
      </c>
      <c r="AU94" s="64" t="s" ph="1">
        <v>303</v>
      </c>
      <c r="AV94" s="64" t="s" ph="1">
        <v>496</v>
      </c>
      <c r="AW94" s="64" t="s" ph="1">
        <v>269</v>
      </c>
      <c r="AX94" s="64" t="s" ph="1">
        <v>303</v>
      </c>
    </row>
    <row r="95" spans="34:52" ph="1">
      <c r="AJ95" s="64" t="s" ph="1">
        <v>497</v>
      </c>
      <c r="AK95" s="64" t="s" ph="1">
        <v>343</v>
      </c>
    </row>
    <row r="96" spans="34:52" ph="1">
      <c r="AH96" s="64" ph="1">
        <v>7</v>
      </c>
      <c r="AI96" s="64" t="s" ph="1">
        <v>498</v>
      </c>
      <c r="AJ96" s="64" t="s" ph="1">
        <v>497</v>
      </c>
      <c r="AK96" s="64" t="s" ph="1">
        <v>298</v>
      </c>
      <c r="AM96" s="64" t="s" ph="1">
        <v>499</v>
      </c>
      <c r="AN96" s="64" t="s" ph="1">
        <v>272</v>
      </c>
      <c r="AO96" s="64" t="s" ph="1">
        <v>303</v>
      </c>
      <c r="AP96" s="64" t="s" ph="1">
        <v>500</v>
      </c>
      <c r="AQ96" s="64" t="s" ph="1">
        <v>316</v>
      </c>
      <c r="AR96" s="64" t="s" ph="1">
        <v>331</v>
      </c>
      <c r="AS96" s="64" t="s" ph="1">
        <v>501</v>
      </c>
      <c r="AT96" s="64" t="s" ph="1">
        <v>275</v>
      </c>
      <c r="AU96" s="64" t="s" ph="1">
        <v>331</v>
      </c>
      <c r="AV96" s="64" t="s" ph="1">
        <v>502</v>
      </c>
      <c r="AW96" s="64" t="s" ph="1">
        <v>271</v>
      </c>
      <c r="AX96" s="64" t="s" ph="1">
        <v>331</v>
      </c>
      <c r="AY96" s="64" t="s" ph="1">
        <v>260</v>
      </c>
      <c r="AZ96" s="64" t="s" ph="1">
        <v>503</v>
      </c>
    </row>
    <row r="97" spans="33:52" ph="1">
      <c r="AJ97" s="64" t="s" ph="1">
        <v>504</v>
      </c>
      <c r="AK97" s="64" t="s" ph="1">
        <v>326</v>
      </c>
      <c r="AM97" s="64" t="s" ph="1">
        <v>505</v>
      </c>
      <c r="AN97" s="64" t="s" ph="1">
        <v>269</v>
      </c>
      <c r="AO97" s="64" t="s" ph="1">
        <v>303</v>
      </c>
      <c r="AP97" s="64" t="s" ph="1">
        <v>506</v>
      </c>
      <c r="AQ97" s="64" t="s" ph="1">
        <v>263</v>
      </c>
      <c r="AR97" s="64" t="s" ph="1">
        <v>331</v>
      </c>
      <c r="AS97" s="64" t="s" ph="1">
        <v>507</v>
      </c>
      <c r="AT97" s="64" t="s" ph="1">
        <v>266</v>
      </c>
      <c r="AU97" s="64" t="s" ph="1">
        <v>331</v>
      </c>
      <c r="AV97" s="64" t="s" ph="1">
        <v>508</v>
      </c>
      <c r="AW97" s="64" t="s" ph="1">
        <v>272</v>
      </c>
      <c r="AX97" s="64" t="s" ph="1">
        <v>331</v>
      </c>
    </row>
    <row r="98" spans="33:52" ph="1">
      <c r="AJ98" s="64" t="s" ph="1">
        <v>509</v>
      </c>
      <c r="AK98" s="64" t="s" ph="1">
        <v>275</v>
      </c>
      <c r="AM98" s="64" t="s" ph="1">
        <v>510</v>
      </c>
      <c r="AN98" s="64" t="s" ph="1">
        <v>283</v>
      </c>
      <c r="AO98" s="64" t="s" ph="1">
        <v>303</v>
      </c>
      <c r="AP98" s="64" t="s" ph="1">
        <v>511</v>
      </c>
      <c r="AQ98" s="64" t="s" ph="1">
        <v>263</v>
      </c>
      <c r="AR98" s="64" t="s" ph="1">
        <v>331</v>
      </c>
      <c r="AS98" s="64" t="s" ph="1">
        <v>512</v>
      </c>
      <c r="AT98" s="64" t="s" ph="1">
        <v>343</v>
      </c>
      <c r="AU98" s="64" t="s" ph="1">
        <v>331</v>
      </c>
      <c r="AV98" s="64" t="s" ph="1">
        <v>513</v>
      </c>
      <c r="AW98" s="64" t="s" ph="1">
        <v>266</v>
      </c>
      <c r="AX98" s="64" t="s" ph="1">
        <v>331</v>
      </c>
    </row>
    <row r="99" spans="33:52" ph="1">
      <c r="AH99" s="64" ph="1">
        <v>8</v>
      </c>
      <c r="AI99" s="64" t="s" ph="1">
        <v>514</v>
      </c>
      <c r="AJ99" s="64" t="s" ph="1">
        <v>515</v>
      </c>
      <c r="AK99" s="64" t="s" ph="1">
        <v>411</v>
      </c>
      <c r="AM99" s="64" t="s" ph="1">
        <v>516</v>
      </c>
      <c r="AN99" s="64" t="s" ph="1">
        <v>298</v>
      </c>
      <c r="AO99" s="64" t="s" ph="1">
        <v>303</v>
      </c>
      <c r="AP99" s="64" t="s" ph="1">
        <v>517</v>
      </c>
      <c r="AQ99" s="64" t="s" ph="1">
        <v>268</v>
      </c>
      <c r="AR99" s="64" t="s" ph="1">
        <v>331</v>
      </c>
      <c r="AS99" s="64" t="s" ph="1">
        <v>518</v>
      </c>
      <c r="AT99" s="64" t="s" ph="1">
        <v>283</v>
      </c>
      <c r="AU99" s="64" t="s" ph="1">
        <v>331</v>
      </c>
      <c r="AV99" s="64" t="s" ph="1">
        <v>519</v>
      </c>
      <c r="AW99" s="64" t="s" ph="1">
        <v>268</v>
      </c>
      <c r="AX99" s="64" t="s" ph="1">
        <v>331</v>
      </c>
      <c r="AY99" s="64" t="s" ph="1">
        <v>260</v>
      </c>
      <c r="AZ99" s="64" t="s" ph="1">
        <v>520</v>
      </c>
    </row>
    <row r="100" spans="33:52" ph="1">
      <c r="AJ100" s="64" t="s" ph="1">
        <v>521</v>
      </c>
      <c r="AK100" s="64" t="s" ph="1">
        <v>266</v>
      </c>
      <c r="AM100" s="64" t="s" ph="1">
        <v>522</v>
      </c>
      <c r="AN100" s="64" t="s" ph="1">
        <v>338</v>
      </c>
      <c r="AO100" s="64" t="s" ph="1">
        <v>303</v>
      </c>
      <c r="AP100" s="64" t="s" ph="1">
        <v>523</v>
      </c>
      <c r="AQ100" s="64" t="s" ph="1">
        <v>344</v>
      </c>
      <c r="AR100" s="64" t="s" ph="1">
        <v>331</v>
      </c>
      <c r="AS100" s="64" t="s" ph="1">
        <v>524</v>
      </c>
      <c r="AT100" s="64" t="s" ph="1">
        <v>411</v>
      </c>
      <c r="AU100" s="64" t="s" ph="1">
        <v>303</v>
      </c>
      <c r="AV100" s="64" t="s" ph="1">
        <v>525</v>
      </c>
      <c r="AW100" s="64" t="s" ph="1">
        <v>411</v>
      </c>
      <c r="AX100" s="64" t="s" ph="1">
        <v>303</v>
      </c>
    </row>
    <row r="101" spans="33:52" ph="1">
      <c r="AJ101" s="64" t="s" ph="1">
        <v>526</v>
      </c>
      <c r="AK101" s="64" t="s" ph="1">
        <v>411</v>
      </c>
      <c r="AM101" s="64" t="s" ph="1">
        <v>527</v>
      </c>
      <c r="AN101" s="64" t="s" ph="1">
        <v>269</v>
      </c>
      <c r="AO101" s="64" t="s" ph="1">
        <v>303</v>
      </c>
      <c r="AP101" s="64" t="s" ph="1">
        <v>528</v>
      </c>
      <c r="AQ101" s="64" t="s" ph="1">
        <v>281</v>
      </c>
      <c r="AR101" s="64" t="s" ph="1">
        <v>331</v>
      </c>
      <c r="AS101" s="64" t="s" ph="1">
        <v>529</v>
      </c>
      <c r="AT101" s="64" t="s" ph="1">
        <v>338</v>
      </c>
      <c r="AU101" s="64" t="s" ph="1">
        <v>331</v>
      </c>
      <c r="AV101" s="64" t="s" ph="1">
        <v>530</v>
      </c>
      <c r="AW101" s="64" t="s" ph="1">
        <v>269</v>
      </c>
      <c r="AX101" s="64" t="s" ph="1">
        <v>303</v>
      </c>
    </row>
    <row r="102" spans="33:52" ph="1">
      <c r="AJ102" s="64" t="s" ph="1">
        <v>531</v>
      </c>
      <c r="AK102" s="64" t="s" ph="1">
        <v>266</v>
      </c>
      <c r="AM102" s="64" t="s" ph="1">
        <v>532</v>
      </c>
      <c r="AN102" s="64" t="s" ph="1">
        <v>275</v>
      </c>
      <c r="AO102" s="64" t="s" ph="1">
        <v>303</v>
      </c>
      <c r="AP102" s="64" t="s" ph="1">
        <v>533</v>
      </c>
      <c r="AQ102" s="64" t="s" ph="1">
        <v>281</v>
      </c>
      <c r="AR102" s="64" t="s" ph="1">
        <v>303</v>
      </c>
      <c r="AS102" s="64" t="s" ph="1">
        <v>534</v>
      </c>
      <c r="AT102" s="64" t="s" ph="1">
        <v>298</v>
      </c>
      <c r="AU102" s="64" t="s" ph="1">
        <v>303</v>
      </c>
      <c r="AV102" s="64" t="s" ph="1">
        <v>535</v>
      </c>
      <c r="AW102" s="64" t="s" ph="1">
        <v>316</v>
      </c>
      <c r="AX102" s="64" t="s" ph="1">
        <v>303</v>
      </c>
    </row>
    <row r="103" spans="33:52" ph="1">
      <c r="AH103" s="64" ph="1">
        <v>9</v>
      </c>
      <c r="AI103" s="64" t="s" ph="1">
        <v>536</v>
      </c>
      <c r="AJ103" s="64" t="s" ph="1">
        <v>537</v>
      </c>
      <c r="AK103" s="64" t="s" ph="1">
        <v>411</v>
      </c>
      <c r="AM103" s="64" t="s" ph="1">
        <v>538</v>
      </c>
      <c r="AN103" s="64" t="s" ph="1">
        <v>326</v>
      </c>
      <c r="AO103" s="64" t="s" ph="1">
        <v>303</v>
      </c>
      <c r="AP103" s="64" t="s" ph="1">
        <v>380</v>
      </c>
      <c r="AQ103" s="64" t="s" ph="1">
        <v>269</v>
      </c>
      <c r="AR103" s="64" t="s" ph="1">
        <v>303</v>
      </c>
      <c r="AS103" s="64" t="s" ph="1">
        <v>614</v>
      </c>
      <c r="AT103" s="64" t="s" ph="1">
        <v>411</v>
      </c>
      <c r="AU103" s="64" t="s" ph="1">
        <v>303</v>
      </c>
      <c r="AY103" s="64" t="s" ph="1">
        <v>260</v>
      </c>
      <c r="AZ103" s="64" t="s" ph="1">
        <v>268</v>
      </c>
    </row>
    <row r="104" spans="33:52" ph="1">
      <c r="AZ104" s="64" t="s" ph="1">
        <v>539</v>
      </c>
    </row>
    <row r="105" spans="33:52" ph="1">
      <c r="AG105" s="64" t="s" ph="1">
        <v>339</v>
      </c>
      <c r="AI105" s="64" t="s" ph="1">
        <v>253</v>
      </c>
      <c r="AJ105" s="64" t="s" ph="1">
        <v>254</v>
      </c>
      <c r="AK105" s="64" t="s" ph="1">
        <v>255</v>
      </c>
      <c r="AM105" s="64" t="s" ph="1">
        <v>254</v>
      </c>
      <c r="AN105" s="64" t="s" ph="1">
        <v>255</v>
      </c>
      <c r="AO105" s="64" t="s" ph="1">
        <v>256</v>
      </c>
      <c r="AP105" s="64" t="s" ph="1">
        <v>254</v>
      </c>
      <c r="AQ105" s="64" t="s" ph="1">
        <v>255</v>
      </c>
      <c r="AR105" s="64" t="s" ph="1">
        <v>256</v>
      </c>
      <c r="AS105" s="64" t="s" ph="1">
        <v>254</v>
      </c>
      <c r="AT105" s="64" t="s" ph="1">
        <v>255</v>
      </c>
      <c r="AU105" s="64" t="s" ph="1">
        <v>256</v>
      </c>
      <c r="AV105" s="64" t="s" ph="1">
        <v>254</v>
      </c>
      <c r="AW105" s="64" t="s" ph="1">
        <v>255</v>
      </c>
      <c r="AX105" s="64" t="s" ph="1">
        <v>256</v>
      </c>
      <c r="AZ105" s="64" t="s" ph="1">
        <v>257</v>
      </c>
    </row>
    <row r="106" spans="33:52" ph="1">
      <c r="AH106" s="64" ph="1">
        <v>1</v>
      </c>
      <c r="AI106" s="64" t="s" ph="1">
        <v>540</v>
      </c>
      <c r="AJ106" s="64" t="s" ph="1">
        <v>614</v>
      </c>
      <c r="AK106" s="64" t="s" ph="1">
        <v>275</v>
      </c>
      <c r="AZ106" s="64" t="s" ph="1">
        <v>275</v>
      </c>
    </row>
    <row r="107" spans="33:52" ph="1">
      <c r="AH107" s="64" ph="1">
        <v>2</v>
      </c>
      <c r="AI107" s="64" t="s" ph="1">
        <v>541</v>
      </c>
      <c r="AJ107" s="64" t="s" ph="1">
        <v>542</v>
      </c>
      <c r="AK107" s="64" t="s" ph="1">
        <v>272</v>
      </c>
      <c r="AM107" s="64" t="s" ph="1">
        <v>378</v>
      </c>
      <c r="AN107" s="64" t="s" ph="1">
        <v>543</v>
      </c>
      <c r="AO107" s="64" t="s" ph="1">
        <v>544</v>
      </c>
      <c r="AP107" s="64" t="s" ph="1">
        <v>380</v>
      </c>
      <c r="AQ107" s="64" t="s" ph="1">
        <v>348</v>
      </c>
      <c r="AR107" s="64" t="s" ph="1">
        <v>544</v>
      </c>
      <c r="AS107" s="64" t="s" ph="1">
        <v>614</v>
      </c>
      <c r="AT107" s="64" t="s" ph="1">
        <v>543</v>
      </c>
      <c r="AU107" s="64" t="s" ph="1">
        <v>544</v>
      </c>
      <c r="AY107" s="64" t="s" ph="1">
        <v>260</v>
      </c>
      <c r="AZ107" s="64" t="s" ph="1">
        <v>624</v>
      </c>
    </row>
    <row r="108" spans="33:52" ph="1">
      <c r="AH108" s="64" ph="1">
        <v>3</v>
      </c>
      <c r="AI108" s="64" t="s" ph="1">
        <v>545</v>
      </c>
      <c r="AY108" s="64" t="s" ph="1">
        <v>260</v>
      </c>
      <c r="AZ108" s="64" t="s" ph="1">
        <v>411</v>
      </c>
    </row>
    <row r="109" spans="33:52" ph="1">
      <c r="AH109" s="64" ph="1">
        <v>4</v>
      </c>
      <c r="AI109" s="64" t="s" ph="1">
        <v>546</v>
      </c>
      <c r="AY109" s="64" t="s" ph="1">
        <v>260</v>
      </c>
      <c r="AZ109" s="64" t="s" ph="1">
        <v>411</v>
      </c>
    </row>
    <row r="110" spans="33:52" ph="1">
      <c r="AH110" s="64" ph="1">
        <v>5</v>
      </c>
      <c r="AI110" s="64" t="s" ph="1">
        <v>547</v>
      </c>
      <c r="AY110" s="64" t="s" ph="1">
        <v>260</v>
      </c>
      <c r="AZ110" s="64" t="s" ph="1">
        <v>411</v>
      </c>
    </row>
    <row r="111" spans="33:52" ph="1">
      <c r="AH111" s="64" ph="1">
        <v>6</v>
      </c>
      <c r="AI111" s="64" t="s" ph="1">
        <v>625</v>
      </c>
      <c r="AJ111" s="64" t="s" ph="1">
        <v>530</v>
      </c>
      <c r="AK111" s="64" t="s" ph="1">
        <v>269</v>
      </c>
      <c r="AM111" s="64" t="s" ph="1">
        <v>531</v>
      </c>
      <c r="AN111" s="64" t="s" ph="1">
        <v>263</v>
      </c>
      <c r="AO111" s="64" t="s" ph="1">
        <v>544</v>
      </c>
      <c r="AP111" s="64" t="s" ph="1">
        <v>532</v>
      </c>
      <c r="AQ111" s="64" t="s" ph="1">
        <v>272</v>
      </c>
      <c r="AR111" s="64" t="s" ph="1">
        <v>544</v>
      </c>
      <c r="AS111" s="64" t="s" ph="1">
        <v>533</v>
      </c>
      <c r="AT111" s="64" t="s" ph="1">
        <v>281</v>
      </c>
      <c r="AU111" s="64" t="s" ph="1">
        <v>544</v>
      </c>
      <c r="AV111" s="64" t="s" ph="1">
        <v>534</v>
      </c>
      <c r="AW111" s="64" t="s" ph="1">
        <v>271</v>
      </c>
      <c r="AX111" s="64" t="s" ph="1">
        <v>544</v>
      </c>
      <c r="AY111" s="64" t="s" ph="1">
        <v>260</v>
      </c>
      <c r="AZ111" s="64" t="s" ph="1">
        <v>548</v>
      </c>
    </row>
    <row r="112" spans="33:52" ph="1">
      <c r="AJ112" s="64" t="s" ph="1">
        <v>535</v>
      </c>
      <c r="AK112" s="64" t="s" ph="1">
        <v>316</v>
      </c>
      <c r="AM112" s="64" t="s" ph="1">
        <v>537</v>
      </c>
      <c r="AN112" s="64" t="s" ph="1">
        <v>340</v>
      </c>
      <c r="AO112" s="64" t="s" ph="1">
        <v>544</v>
      </c>
      <c r="AP112" s="64" t="s" ph="1">
        <v>538</v>
      </c>
      <c r="AQ112" s="64" t="s" ph="1">
        <v>549</v>
      </c>
      <c r="AR112" s="64" t="s" ph="1">
        <v>544</v>
      </c>
      <c r="AS112" s="64" t="s" ph="1">
        <v>550</v>
      </c>
      <c r="AT112" s="64" t="s" ph="1">
        <v>292</v>
      </c>
      <c r="AU112" s="64" t="s" ph="1">
        <v>544</v>
      </c>
      <c r="AV112" s="64" t="s" ph="1">
        <v>551</v>
      </c>
      <c r="AW112" s="64" t="s" ph="1">
        <v>338</v>
      </c>
      <c r="AX112" s="64" t="s" ph="1">
        <v>544</v>
      </c>
    </row>
    <row r="113" spans="33:52" ph="1">
      <c r="AH113" s="64" ph="1">
        <v>7</v>
      </c>
      <c r="AI113" s="64" t="s" ph="1">
        <v>552</v>
      </c>
      <c r="AJ113" s="64" t="s" ph="1">
        <v>633</v>
      </c>
      <c r="AK113" s="64" t="s" ph="1">
        <v>638</v>
      </c>
      <c r="AY113" s="64" t="s" ph="1">
        <v>260</v>
      </c>
      <c r="AZ113" s="64" t="s" ph="1">
        <v>638</v>
      </c>
    </row>
    <row r="114" spans="33:52" ph="1">
      <c r="AH114" s="64" ph="1">
        <v>8</v>
      </c>
      <c r="AI114" s="64" t="s" ph="1">
        <v>553</v>
      </c>
      <c r="AJ114" s="64" t="s" ph="1">
        <v>633</v>
      </c>
      <c r="AK114" s="64" t="s" ph="1">
        <v>639</v>
      </c>
      <c r="AY114" s="64" t="s" ph="1">
        <v>260</v>
      </c>
      <c r="AZ114" s="64" t="s" ph="1">
        <v>639</v>
      </c>
    </row>
    <row r="115" spans="33:52" ph="1">
      <c r="AH115" s="64" ph="1">
        <v>9</v>
      </c>
      <c r="AI115" s="64" t="s" ph="1">
        <v>554</v>
      </c>
      <c r="AJ115" s="64" t="s" ph="1">
        <v>633</v>
      </c>
      <c r="AK115" s="64" t="s" ph="1">
        <v>639</v>
      </c>
      <c r="AY115" s="64" t="s" ph="1">
        <v>260</v>
      </c>
      <c r="AZ115" s="64" t="s" ph="1">
        <v>639</v>
      </c>
    </row>
    <row r="116" spans="33:52" ph="1">
      <c r="AH116" s="64" ph="1">
        <v>10</v>
      </c>
      <c r="AI116" s="64" t="s" ph="1">
        <v>555</v>
      </c>
      <c r="AJ116" s="64" t="s" ph="1">
        <v>633</v>
      </c>
      <c r="AK116" s="64" t="s" ph="1">
        <v>639</v>
      </c>
      <c r="AY116" s="64" t="s" ph="1">
        <v>260</v>
      </c>
      <c r="AZ116" s="64" t="s" ph="1">
        <v>639</v>
      </c>
    </row>
    <row r="117" spans="33:52" ph="1">
      <c r="AH117" s="64" ph="1">
        <v>11</v>
      </c>
      <c r="AI117" s="64" t="s" ph="1">
        <v>556</v>
      </c>
      <c r="AJ117" s="64" t="s" ph="1">
        <v>633</v>
      </c>
      <c r="AK117" s="64" t="s" ph="1">
        <v>639</v>
      </c>
      <c r="AY117" s="64" t="s" ph="1">
        <v>260</v>
      </c>
      <c r="AZ117" s="64" t="s" ph="1">
        <v>639</v>
      </c>
    </row>
    <row r="118" spans="33:52" ph="1">
      <c r="AZ118" s="64" t="s" ph="1">
        <v>640</v>
      </c>
    </row>
    <row r="119" spans="33:52" ph="1">
      <c r="AI119" s="64" t="s" ph="1">
        <v>253</v>
      </c>
      <c r="AJ119" s="64" t="s" ph="1">
        <v>254</v>
      </c>
      <c r="AK119" s="64" t="s" ph="1">
        <v>255</v>
      </c>
      <c r="AM119" s="64" t="s" ph="1">
        <v>254</v>
      </c>
      <c r="AN119" s="64" t="s" ph="1">
        <v>255</v>
      </c>
      <c r="AO119" s="64" t="s" ph="1">
        <v>256</v>
      </c>
      <c r="AP119" s="64" t="s" ph="1">
        <v>254</v>
      </c>
      <c r="AQ119" s="64" t="s" ph="1">
        <v>255</v>
      </c>
      <c r="AR119" s="64" t="s" ph="1">
        <v>256</v>
      </c>
      <c r="AS119" s="64" t="s" ph="1">
        <v>254</v>
      </c>
      <c r="AT119" s="64" t="s" ph="1">
        <v>255</v>
      </c>
      <c r="AU119" s="64" t="s" ph="1">
        <v>256</v>
      </c>
      <c r="AV119" s="64" t="s" ph="1">
        <v>254</v>
      </c>
      <c r="AW119" s="64" t="s" ph="1">
        <v>255</v>
      </c>
      <c r="AX119" s="64" t="s" ph="1">
        <v>256</v>
      </c>
      <c r="AY119" s="64" t="s" ph="1">
        <v>255</v>
      </c>
      <c r="AZ119" s="64" t="s" ph="1">
        <v>257</v>
      </c>
    </row>
    <row r="120" spans="33:52" ph="1">
      <c r="AG120" s="64" t="s" ph="1">
        <v>397</v>
      </c>
      <c r="AH120" s="64" ph="1">
        <v>1</v>
      </c>
      <c r="AI120" s="64" t="s" ph="1">
        <v>557</v>
      </c>
      <c r="AJ120" s="64" t="s" ph="1">
        <v>631</v>
      </c>
      <c r="AK120" s="64" t="s" ph="1">
        <v>411</v>
      </c>
      <c r="AY120" s="64" t="s" ph="1">
        <v>260</v>
      </c>
      <c r="AZ120" s="64" t="s" ph="1">
        <v>411</v>
      </c>
    </row>
    <row r="121" spans="33:52" ph="1">
      <c r="AH121" s="64" ph="1">
        <v>2</v>
      </c>
      <c r="AI121" s="64" t="s" ph="1">
        <v>558</v>
      </c>
      <c r="AY121" s="64" t="s" ph="1">
        <v>260</v>
      </c>
      <c r="AZ121" s="64" t="s" ph="1">
        <v>411</v>
      </c>
    </row>
    <row r="122" spans="33:52" ph="1">
      <c r="AH122" s="64" ph="1">
        <v>3</v>
      </c>
      <c r="AI122" s="64" t="s" ph="1">
        <v>559</v>
      </c>
      <c r="AJ122" s="64" t="s" ph="1">
        <v>614</v>
      </c>
      <c r="AK122" s="64" t="s" ph="1">
        <v>626</v>
      </c>
      <c r="AM122" s="64" t="s" ph="1">
        <v>641</v>
      </c>
      <c r="AN122" s="64" t="s" ph="1">
        <v>634</v>
      </c>
      <c r="AO122" s="64" t="s" ph="1">
        <v>109</v>
      </c>
      <c r="AY122" s="64" t="s" ph="1">
        <v>260</v>
      </c>
      <c r="AZ122" s="64" t="s" ph="1">
        <v>623</v>
      </c>
    </row>
    <row r="123" spans="33:52" ph="1">
      <c r="AY123" s="64" t="s" ph="1">
        <v>260</v>
      </c>
      <c r="AZ123" s="64" t="s" ph="1">
        <v>623</v>
      </c>
    </row>
    <row r="124" spans="33:52" ph="1">
      <c r="AG124" s="64" t="s" ph="1">
        <v>400</v>
      </c>
      <c r="AH124" s="64" ph="1">
        <v>4</v>
      </c>
      <c r="AI124" s="64" t="s" ph="1">
        <v>560</v>
      </c>
      <c r="AJ124" s="64" t="s" ph="1">
        <v>561</v>
      </c>
      <c r="AK124" s="64" t="s" ph="1">
        <v>562</v>
      </c>
      <c r="AY124" s="64" t="s" ph="1">
        <v>260</v>
      </c>
      <c r="AZ124" s="64" t="s" ph="1">
        <v>562</v>
      </c>
    </row>
    <row r="125" spans="33:52" ph="1">
      <c r="AH125" s="64" ph="1">
        <v>5</v>
      </c>
      <c r="AI125" s="64" t="s" ph="1">
        <v>563</v>
      </c>
      <c r="AJ125" s="64" t="s" ph="1">
        <v>561</v>
      </c>
      <c r="AK125" s="64" t="s" ph="1">
        <v>562</v>
      </c>
      <c r="AY125" s="64" t="s" ph="1">
        <v>260</v>
      </c>
      <c r="AZ125" s="64" t="s" ph="1">
        <v>562</v>
      </c>
    </row>
    <row r="126" spans="33:52" ph="1">
      <c r="AH126" s="64" ph="1">
        <v>6</v>
      </c>
      <c r="AI126" s="64" t="s" ph="1">
        <v>564</v>
      </c>
      <c r="AJ126" s="64" t="s" ph="1">
        <v>633</v>
      </c>
      <c r="AK126" s="64" t="s" ph="1">
        <v>642</v>
      </c>
      <c r="AY126" s="64" t="s" ph="1">
        <v>260</v>
      </c>
      <c r="AZ126" s="64" t="s" ph="1">
        <v>642</v>
      </c>
    </row>
    <row r="127" spans="33:52" ph="1">
      <c r="AH127" s="64" ph="1">
        <v>7</v>
      </c>
      <c r="AI127" s="64" t="s" ph="1">
        <v>565</v>
      </c>
      <c r="AJ127" s="64" t="s" ph="1">
        <v>633</v>
      </c>
      <c r="AK127" s="64" t="s" ph="1">
        <v>643</v>
      </c>
      <c r="AY127" s="64" t="s" ph="1">
        <v>260</v>
      </c>
      <c r="AZ127" s="64" t="s" ph="1">
        <v>643</v>
      </c>
    </row>
    <row r="128" spans="33:52" ph="1">
      <c r="AH128" s="64" ph="1">
        <v>8</v>
      </c>
      <c r="AI128" s="64" t="s" ph="1">
        <v>566</v>
      </c>
      <c r="AY128" s="64" t="s" ph="1">
        <v>260</v>
      </c>
      <c r="AZ128" s="64" t="s" ph="1">
        <v>411</v>
      </c>
    </row>
    <row r="129" spans="33:52" ph="1">
      <c r="AH129" s="64" ph="1">
        <v>9</v>
      </c>
      <c r="AI129" s="64" t="s" ph="1">
        <v>567</v>
      </c>
      <c r="AY129" s="64" t="s" ph="1">
        <v>260</v>
      </c>
      <c r="AZ129" s="64" t="s" ph="1">
        <v>411</v>
      </c>
    </row>
    <row r="130" spans="33:52" ph="1">
      <c r="AH130" s="64" ph="1">
        <v>10</v>
      </c>
      <c r="AI130" s="64" t="s" ph="1">
        <v>568</v>
      </c>
      <c r="AY130" s="64" t="s" ph="1">
        <v>260</v>
      </c>
      <c r="AZ130" s="64" t="s" ph="1">
        <v>411</v>
      </c>
    </row>
    <row r="131" spans="33:52" ph="1">
      <c r="AH131" s="64" ph="1">
        <v>11</v>
      </c>
      <c r="AI131" s="64" t="s" ph="1">
        <v>569</v>
      </c>
      <c r="AJ131" s="64" t="s" ph="1">
        <v>627</v>
      </c>
      <c r="AK131" s="64" t="s" ph="1">
        <v>623</v>
      </c>
      <c r="AY131" s="64" t="s" ph="1">
        <v>260</v>
      </c>
      <c r="AZ131" s="64" t="s" ph="1">
        <v>623</v>
      </c>
    </row>
    <row r="132" spans="33:52" ph="1">
      <c r="AH132" s="64" ph="1">
        <v>12</v>
      </c>
      <c r="AI132" s="64" t="s" ph="1">
        <v>570</v>
      </c>
      <c r="AJ132" s="64" t="s" ph="1">
        <v>627</v>
      </c>
      <c r="AK132" s="64" t="s" ph="1">
        <v>562</v>
      </c>
      <c r="AY132" s="64" t="s" ph="1">
        <v>260</v>
      </c>
      <c r="AZ132" s="64" t="s" ph="1">
        <v>562</v>
      </c>
    </row>
    <row r="133" spans="33:52" ph="1">
      <c r="AH133" s="64" ph="1">
        <v>13</v>
      </c>
      <c r="AI133" s="64" t="s" ph="1">
        <v>571</v>
      </c>
      <c r="AJ133" s="64" t="s" ph="1">
        <v>627</v>
      </c>
      <c r="AK133" s="64" t="s" ph="1">
        <v>628</v>
      </c>
      <c r="AY133" s="64" t="s" ph="1">
        <v>260</v>
      </c>
      <c r="AZ133" s="64" t="s" ph="1">
        <v>628</v>
      </c>
    </row>
    <row r="134" spans="33:52" ph="1">
      <c r="AH134" s="64" ph="1">
        <v>14</v>
      </c>
      <c r="AI134" s="64" t="s" ph="1">
        <v>572</v>
      </c>
      <c r="AJ134" s="64" t="s" ph="1">
        <v>627</v>
      </c>
      <c r="AK134" s="64" t="s" ph="1">
        <v>629</v>
      </c>
      <c r="AY134" s="64" t="s" ph="1">
        <v>260</v>
      </c>
      <c r="AZ134" s="64" t="s" ph="1">
        <v>629</v>
      </c>
    </row>
    <row r="135" spans="33:52" ph="1">
      <c r="AH135" s="64" ph="1">
        <v>15</v>
      </c>
      <c r="AI135" s="64" t="s" ph="1">
        <v>573</v>
      </c>
      <c r="AJ135" s="64" t="s" ph="1">
        <v>627</v>
      </c>
      <c r="AK135" s="64" t="s" ph="1">
        <v>630</v>
      </c>
      <c r="AY135" s="64" t="s" ph="1">
        <v>260</v>
      </c>
      <c r="AZ135" s="64" t="s" ph="1">
        <v>630</v>
      </c>
    </row>
    <row r="136" spans="33:52" ph="1">
      <c r="AZ136" s="64" t="s" ph="1">
        <v>644</v>
      </c>
    </row>
    <row r="137" spans="33:52" ph="1">
      <c r="AG137" s="64" t="s" ph="1">
        <v>334</v>
      </c>
      <c r="AI137" s="64" t="s" ph="1">
        <v>253</v>
      </c>
      <c r="AJ137" s="64" t="s" ph="1">
        <v>254</v>
      </c>
      <c r="AK137" s="64" t="s" ph="1">
        <v>255</v>
      </c>
      <c r="AM137" s="64" t="s" ph="1">
        <v>254</v>
      </c>
      <c r="AN137" s="64" t="s" ph="1">
        <v>255</v>
      </c>
      <c r="AO137" s="64" t="s" ph="1">
        <v>256</v>
      </c>
      <c r="AP137" s="64" t="s" ph="1">
        <v>254</v>
      </c>
      <c r="AQ137" s="64" t="s" ph="1">
        <v>255</v>
      </c>
      <c r="AR137" s="64" t="s" ph="1">
        <v>256</v>
      </c>
      <c r="AS137" s="64" t="s" ph="1">
        <v>254</v>
      </c>
      <c r="AT137" s="64" t="s" ph="1">
        <v>255</v>
      </c>
      <c r="AU137" s="64" t="s" ph="1">
        <v>256</v>
      </c>
      <c r="AV137" s="64" t="s" ph="1">
        <v>254</v>
      </c>
      <c r="AW137" s="64" t="s" ph="1">
        <v>255</v>
      </c>
      <c r="AX137" s="64" t="s" ph="1">
        <v>256</v>
      </c>
      <c r="AY137" s="64" t="s" ph="1">
        <v>255</v>
      </c>
      <c r="AZ137" s="64" t="s" ph="1">
        <v>257</v>
      </c>
    </row>
    <row r="138" spans="33:52" ph="1">
      <c r="AH138" s="64" ph="1">
        <v>1</v>
      </c>
      <c r="AI138" s="64" t="s" ph="1">
        <v>574</v>
      </c>
      <c r="AJ138" s="64" t="s" ph="1">
        <v>575</v>
      </c>
      <c r="AK138" s="64" t="s" ph="1">
        <v>576</v>
      </c>
      <c r="AY138" s="64" t="s" ph="1">
        <v>260</v>
      </c>
      <c r="AZ138" s="64" t="s" ph="1">
        <v>576</v>
      </c>
    </row>
    <row r="139" spans="33:52" ph="1">
      <c r="AH139" s="64" ph="1">
        <v>2</v>
      </c>
      <c r="AI139" s="64" t="s" ph="1">
        <v>577</v>
      </c>
      <c r="AJ139" s="64" t="s" ph="1">
        <v>633</v>
      </c>
      <c r="AK139" s="64" t="s" ph="1">
        <v>645</v>
      </c>
      <c r="AY139" s="64" t="s" ph="1">
        <v>260</v>
      </c>
      <c r="AZ139" s="64" t="s" ph="1">
        <v>645</v>
      </c>
    </row>
    <row r="140" spans="33:52" ph="1">
      <c r="AH140" s="64" ph="1">
        <v>3</v>
      </c>
      <c r="AI140" s="64" t="s" ph="1">
        <v>578</v>
      </c>
      <c r="AJ140" s="64" t="s" ph="1">
        <v>531</v>
      </c>
      <c r="AK140" s="64" t="s" ph="1">
        <v>343</v>
      </c>
      <c r="AM140" s="64" t="s" ph="1">
        <v>532</v>
      </c>
      <c r="AN140" s="64" t="s" ph="1">
        <v>263</v>
      </c>
      <c r="AO140" s="64" t="s" ph="1">
        <v>579</v>
      </c>
      <c r="AP140" s="64" t="s" ph="1">
        <v>533</v>
      </c>
      <c r="AQ140" s="64" t="s" ph="1">
        <v>280</v>
      </c>
      <c r="AR140" s="64" t="s" ph="1">
        <v>579</v>
      </c>
      <c r="AS140" s="64" t="s" ph="1">
        <v>534</v>
      </c>
      <c r="AT140" s="64" t="s" ph="1">
        <v>273</v>
      </c>
      <c r="AU140" s="64" t="s" ph="1">
        <v>579</v>
      </c>
      <c r="AV140" s="64" t="s" ph="1">
        <v>535</v>
      </c>
      <c r="AW140" s="64" t="s" ph="1">
        <v>266</v>
      </c>
      <c r="AX140" s="64" t="s" ph="1">
        <v>579</v>
      </c>
      <c r="AY140" s="64" t="s" ph="1">
        <v>260</v>
      </c>
      <c r="AZ140" s="64" t="s" ph="1">
        <v>335</v>
      </c>
    </row>
    <row r="141" spans="33:52" ph="1">
      <c r="AJ141" s="64" t="s" ph="1">
        <v>537</v>
      </c>
      <c r="AK141" s="64" t="s" ph="1">
        <v>266</v>
      </c>
      <c r="AM141" s="64" t="s" ph="1">
        <v>538</v>
      </c>
      <c r="AN141" s="64" t="s" ph="1">
        <v>269</v>
      </c>
      <c r="AO141" s="64" t="s" ph="1">
        <v>579</v>
      </c>
      <c r="AP141" s="64" t="s" ph="1">
        <v>550</v>
      </c>
      <c r="AQ141" s="64" t="s" ph="1">
        <v>338</v>
      </c>
      <c r="AR141" s="64" t="s" ph="1">
        <v>579</v>
      </c>
      <c r="AS141" s="64" t="s" ph="1">
        <v>542</v>
      </c>
      <c r="AT141" s="64" t="s" ph="1">
        <v>266</v>
      </c>
      <c r="AU141" s="64" t="s" ph="1">
        <v>579</v>
      </c>
      <c r="AV141" s="64" t="s" ph="1">
        <v>378</v>
      </c>
      <c r="AW141" s="64" t="s" ph="1">
        <v>272</v>
      </c>
      <c r="AX141" s="64" t="s" ph="1">
        <v>579</v>
      </c>
    </row>
    <row r="142" spans="33:52" ph="1">
      <c r="AJ142" s="64" t="s" ph="1">
        <v>580</v>
      </c>
      <c r="AK142" s="64" t="s" ph="1">
        <v>283</v>
      </c>
    </row>
    <row r="143" spans="33:52" ph="1">
      <c r="AH143" s="64" ph="1">
        <v>4</v>
      </c>
      <c r="AI143" s="64" t="s" ph="1">
        <v>581</v>
      </c>
      <c r="AJ143" s="64" t="s" ph="1">
        <v>561</v>
      </c>
      <c r="AK143" s="64" t="s" ph="1">
        <v>582</v>
      </c>
      <c r="AY143" s="64" t="s" ph="1">
        <v>260</v>
      </c>
      <c r="AZ143" s="64" t="s" ph="1">
        <v>582</v>
      </c>
    </row>
    <row r="144" spans="33:52" ph="1">
      <c r="AH144" s="64" ph="1">
        <v>5</v>
      </c>
      <c r="AI144" s="64" t="s" ph="1">
        <v>583</v>
      </c>
      <c r="AY144" s="64" t="s" ph="1">
        <v>260</v>
      </c>
      <c r="AZ144" s="64" t="s" ph="1">
        <v>411</v>
      </c>
    </row>
    <row r="145" spans="33:52" ph="1">
      <c r="AH145" s="64" ph="1">
        <v>6</v>
      </c>
      <c r="AI145" s="64" t="s" ph="1">
        <v>584</v>
      </c>
      <c r="AY145" s="64" t="s" ph="1">
        <v>260</v>
      </c>
      <c r="AZ145" s="64" t="s" ph="1">
        <v>411</v>
      </c>
    </row>
    <row r="146" spans="33:52" ph="1">
      <c r="AH146" s="64" ph="1">
        <v>7</v>
      </c>
      <c r="AI146" s="64" t="s" ph="1">
        <v>585</v>
      </c>
      <c r="AY146" s="64" t="s" ph="1">
        <v>260</v>
      </c>
      <c r="AZ146" s="64" t="s" ph="1">
        <v>411</v>
      </c>
    </row>
    <row r="147" spans="33:52" ph="1">
      <c r="AH147" s="64" ph="1">
        <v>8</v>
      </c>
      <c r="AI147" s="64" t="s" ph="1">
        <v>586</v>
      </c>
      <c r="AY147" s="64" t="s" ph="1">
        <v>260</v>
      </c>
      <c r="AZ147" s="64" t="s" ph="1">
        <v>411</v>
      </c>
    </row>
    <row r="148" spans="33:52" ph="1">
      <c r="AH148" s="64" ph="1">
        <v>9</v>
      </c>
      <c r="AI148" s="64" t="s" ph="1">
        <v>587</v>
      </c>
      <c r="AY148" s="64" t="s" ph="1">
        <v>260</v>
      </c>
      <c r="AZ148" s="64" t="s" ph="1">
        <v>411</v>
      </c>
    </row>
    <row r="149" spans="33:52" ph="1">
      <c r="AH149" s="64" ph="1">
        <v>10</v>
      </c>
      <c r="AI149" s="64" t="s" ph="1">
        <v>588</v>
      </c>
      <c r="AY149" s="64" t="s" ph="1">
        <v>260</v>
      </c>
      <c r="AZ149" s="64" t="s" ph="1">
        <v>411</v>
      </c>
    </row>
    <row r="150" spans="33:52" ph="1">
      <c r="AH150" s="64" ph="1">
        <v>11</v>
      </c>
      <c r="AI150" s="64" t="s" ph="1">
        <v>589</v>
      </c>
      <c r="AY150" s="64" t="s" ph="1">
        <v>260</v>
      </c>
      <c r="AZ150" s="64" t="s" ph="1">
        <v>411</v>
      </c>
    </row>
    <row r="151" spans="33:52" ph="1">
      <c r="AH151" s="64" ph="1">
        <v>12</v>
      </c>
      <c r="AI151" s="64" t="s" ph="1">
        <v>590</v>
      </c>
      <c r="AY151" s="64" t="s" ph="1">
        <v>260</v>
      </c>
      <c r="AZ151" s="64" t="s" ph="1">
        <v>411</v>
      </c>
    </row>
    <row r="152" spans="33:52" ph="1">
      <c r="AH152" s="64" ph="1">
        <v>13</v>
      </c>
      <c r="AI152" s="64" t="s" ph="1">
        <v>591</v>
      </c>
      <c r="AY152" s="64" t="s" ph="1">
        <v>260</v>
      </c>
      <c r="AZ152" s="64" t="s" ph="1">
        <v>411</v>
      </c>
    </row>
    <row r="153" spans="33:52" ph="1">
      <c r="AH153" s="64" ph="1">
        <v>14</v>
      </c>
      <c r="AI153" s="64" t="s" ph="1">
        <v>592</v>
      </c>
      <c r="AY153" s="64" t="s" ph="1">
        <v>260</v>
      </c>
      <c r="AZ153" s="64" t="s" ph="1">
        <v>411</v>
      </c>
    </row>
    <row r="154" spans="33:52" ph="1">
      <c r="AH154" s="64" ph="1">
        <v>15</v>
      </c>
      <c r="AI154" s="64" t="s" ph="1">
        <v>593</v>
      </c>
      <c r="AY154" s="64" t="s" ph="1">
        <v>260</v>
      </c>
      <c r="AZ154" s="64" t="s" ph="1">
        <v>411</v>
      </c>
    </row>
    <row r="155" spans="33:52" ph="1">
      <c r="AH155" s="64" ph="1">
        <v>16</v>
      </c>
      <c r="AI155" s="64" t="s" ph="1">
        <v>594</v>
      </c>
      <c r="AJ155" s="64" t="s" ph="1">
        <v>380</v>
      </c>
      <c r="AK155" s="64" t="s" ph="1">
        <v>275</v>
      </c>
      <c r="AM155" s="64" t="s" ph="1">
        <v>614</v>
      </c>
      <c r="AN155" s="64" t="s" ph="1">
        <v>326</v>
      </c>
      <c r="AO155" s="64" t="s" ph="1">
        <v>579</v>
      </c>
      <c r="AY155" s="64" t="s" ph="1">
        <v>260</v>
      </c>
      <c r="AZ155" s="64" t="s" ph="1">
        <v>267</v>
      </c>
    </row>
    <row r="156" spans="33:52" ph="1">
      <c r="AZ156" s="64" t="s" ph="1">
        <v>646</v>
      </c>
    </row>
    <row r="157" spans="33:52" ph="1">
      <c r="AG157" s="64" t="s" ph="1">
        <v>595</v>
      </c>
      <c r="AI157" s="64" t="s" ph="1">
        <v>253</v>
      </c>
      <c r="AJ157" s="64" t="s" ph="1">
        <v>254</v>
      </c>
      <c r="AK157" s="64" t="s" ph="1">
        <v>255</v>
      </c>
      <c r="AM157" s="64" t="s" ph="1">
        <v>254</v>
      </c>
      <c r="AN157" s="64" t="s" ph="1">
        <v>255</v>
      </c>
      <c r="AO157" s="64" t="s" ph="1">
        <v>256</v>
      </c>
      <c r="AP157" s="64" t="s" ph="1">
        <v>254</v>
      </c>
      <c r="AQ157" s="64" t="s" ph="1">
        <v>255</v>
      </c>
      <c r="AR157" s="64" t="s" ph="1">
        <v>256</v>
      </c>
      <c r="AS157" s="64" t="s" ph="1">
        <v>254</v>
      </c>
      <c r="AT157" s="64" t="s" ph="1">
        <v>255</v>
      </c>
      <c r="AU157" s="64" t="s" ph="1">
        <v>256</v>
      </c>
      <c r="AV157" s="64" t="s" ph="1">
        <v>254</v>
      </c>
      <c r="AW157" s="64" t="s" ph="1">
        <v>255</v>
      </c>
      <c r="AX157" s="64" t="s" ph="1">
        <v>256</v>
      </c>
      <c r="AY157" s="64" t="s" ph="1">
        <v>255</v>
      </c>
      <c r="AZ157" s="64" t="s" ph="1">
        <v>257</v>
      </c>
    </row>
    <row r="158" spans="33:52" ph="1">
      <c r="AH158" s="64" ph="1">
        <v>1</v>
      </c>
      <c r="AI158" s="64" t="s" ph="1">
        <v>596</v>
      </c>
      <c r="AY158" s="64" t="s" ph="1">
        <v>260</v>
      </c>
      <c r="AZ158" s="64" t="s" ph="1">
        <v>411</v>
      </c>
    </row>
    <row r="159" spans="33:52" ph="1">
      <c r="AH159" s="64" ph="1">
        <v>2</v>
      </c>
      <c r="AI159" s="64" t="s" ph="1">
        <v>597</v>
      </c>
      <c r="AY159" s="64" t="s" ph="1">
        <v>260</v>
      </c>
      <c r="AZ159" s="64" t="s" ph="1">
        <v>411</v>
      </c>
    </row>
    <row r="160" spans="33:52" ph="1">
      <c r="AZ160" s="64" t="s" ph="1">
        <v>429</v>
      </c>
    </row>
    <row r="161" spans="33:52" ph="1">
      <c r="AG161" s="64" t="s" ph="1">
        <v>405</v>
      </c>
      <c r="AI161" s="64" t="s" ph="1">
        <v>253</v>
      </c>
      <c r="AJ161" s="64" t="s" ph="1">
        <v>254</v>
      </c>
      <c r="AK161" s="64" t="s" ph="1">
        <v>255</v>
      </c>
      <c r="AM161" s="64" t="s" ph="1">
        <v>254</v>
      </c>
      <c r="AN161" s="64" t="s" ph="1">
        <v>255</v>
      </c>
      <c r="AO161" s="64" t="s" ph="1">
        <v>256</v>
      </c>
      <c r="AP161" s="64" t="s" ph="1">
        <v>254</v>
      </c>
      <c r="AQ161" s="64" t="s" ph="1">
        <v>255</v>
      </c>
      <c r="AR161" s="64" t="s" ph="1">
        <v>256</v>
      </c>
      <c r="AS161" s="64" t="s" ph="1">
        <v>254</v>
      </c>
      <c r="AT161" s="64" t="s" ph="1">
        <v>255</v>
      </c>
      <c r="AU161" s="64" t="s" ph="1">
        <v>256</v>
      </c>
      <c r="AV161" s="64" t="s" ph="1">
        <v>254</v>
      </c>
      <c r="AW161" s="64" t="s" ph="1">
        <v>255</v>
      </c>
      <c r="AX161" s="64" t="s" ph="1">
        <v>256</v>
      </c>
      <c r="AY161" s="64" t="s" ph="1">
        <v>255</v>
      </c>
      <c r="AZ161" s="64" t="s" ph="1">
        <v>257</v>
      </c>
    </row>
    <row r="162" spans="33:52" ph="1">
      <c r="AH162" s="64" ph="1">
        <v>1</v>
      </c>
      <c r="AI162" s="64" t="s" ph="1">
        <v>598</v>
      </c>
      <c r="AJ162" s="64" t="s" ph="1">
        <v>599</v>
      </c>
      <c r="AK162" s="64" t="s" ph="1">
        <v>543</v>
      </c>
      <c r="AM162" s="64" t="s" ph="1">
        <v>600</v>
      </c>
      <c r="AN162" s="64" t="s" ph="1">
        <v>264</v>
      </c>
      <c r="AO162" s="64" t="s" ph="1">
        <v>601</v>
      </c>
      <c r="AY162" s="64" t="s" ph="1">
        <v>260</v>
      </c>
      <c r="AZ162" s="64" t="s" ph="1">
        <v>336</v>
      </c>
    </row>
    <row r="163" spans="33:52" ph="1">
      <c r="AH163" s="64" ph="1">
        <v>2</v>
      </c>
      <c r="AI163" s="64" t="s" ph="1">
        <v>602</v>
      </c>
      <c r="AJ163" s="64" t="s" ph="1">
        <v>599</v>
      </c>
      <c r="AK163" s="64" t="s" ph="1">
        <v>432</v>
      </c>
      <c r="AY163" s="64" t="s" ph="1">
        <v>260</v>
      </c>
      <c r="AZ163" s="64" t="s" ph="1">
        <v>432</v>
      </c>
    </row>
    <row r="164" spans="33:52" ph="1">
      <c r="AH164" s="64" ph="1">
        <v>3</v>
      </c>
      <c r="AI164" s="64" t="s" ph="1">
        <v>603</v>
      </c>
      <c r="AJ164" s="64" t="s" ph="1">
        <v>599</v>
      </c>
      <c r="AK164" s="64" t="s" ph="1">
        <v>336</v>
      </c>
      <c r="AY164" s="64" t="s" ph="1">
        <v>260</v>
      </c>
      <c r="AZ164" s="64" t="s" ph="1">
        <v>336</v>
      </c>
    </row>
    <row r="165" spans="33:52" ph="1">
      <c r="AH165" s="64" ph="1">
        <v>4</v>
      </c>
      <c r="AI165" s="64" t="s" ph="1">
        <v>604</v>
      </c>
      <c r="AY165" s="64" t="s" ph="1">
        <v>260</v>
      </c>
      <c r="AZ165" s="64" t="s" ph="1">
        <v>411</v>
      </c>
    </row>
    <row r="166" spans="33:52" ph="1">
      <c r="AH166" s="64" ph="1">
        <v>5</v>
      </c>
      <c r="AI166" s="64" t="s" ph="1">
        <v>605</v>
      </c>
      <c r="AY166" s="64" t="s" ph="1">
        <v>260</v>
      </c>
      <c r="AZ166" s="64" t="s" ph="1">
        <v>411</v>
      </c>
    </row>
    <row r="167" spans="33:52" ph="1">
      <c r="AZ167" s="64" t="s" ph="1">
        <v>606</v>
      </c>
    </row>
    <row r="168" spans="33:52" ph="1">
      <c r="AG168" s="64" t="s" ph="1">
        <v>349</v>
      </c>
      <c r="AI168" s="64" t="s" ph="1">
        <v>253</v>
      </c>
      <c r="AJ168" s="64" t="s" ph="1">
        <v>254</v>
      </c>
      <c r="AK168" s="64" t="s" ph="1">
        <v>255</v>
      </c>
      <c r="AM168" s="64" t="s" ph="1">
        <v>254</v>
      </c>
      <c r="AN168" s="64" t="s" ph="1">
        <v>255</v>
      </c>
      <c r="AO168" s="64" t="s" ph="1">
        <v>256</v>
      </c>
      <c r="AP168" s="64" t="s" ph="1">
        <v>254</v>
      </c>
      <c r="AQ168" s="64" t="s" ph="1">
        <v>255</v>
      </c>
      <c r="AR168" s="64" t="s" ph="1">
        <v>256</v>
      </c>
      <c r="AS168" s="64" t="s" ph="1">
        <v>254</v>
      </c>
      <c r="AT168" s="64" t="s" ph="1">
        <v>255</v>
      </c>
      <c r="AU168" s="64" t="s" ph="1">
        <v>256</v>
      </c>
      <c r="AV168" s="64" t="s" ph="1">
        <v>254</v>
      </c>
      <c r="AW168" s="64" t="s" ph="1">
        <v>255</v>
      </c>
      <c r="AX168" s="64" t="s" ph="1">
        <v>256</v>
      </c>
      <c r="AY168" s="64" t="s" ph="1">
        <v>255</v>
      </c>
      <c r="AZ168" s="64" t="s" ph="1">
        <v>257</v>
      </c>
    </row>
    <row r="169" spans="33:52" ph="1">
      <c r="AH169" s="64" ph="1">
        <v>1</v>
      </c>
      <c r="AI169" s="64" t="s" ph="1">
        <v>607</v>
      </c>
      <c r="AY169" s="64" t="s" ph="1">
        <v>260</v>
      </c>
      <c r="AZ169" s="64" t="s" ph="1">
        <v>411</v>
      </c>
    </row>
    <row r="170" spans="33:52" ph="1">
      <c r="AH170" s="64" ph="1">
        <v>2</v>
      </c>
      <c r="AI170" s="64" t="s" ph="1">
        <v>608</v>
      </c>
      <c r="AY170" s="64" t="s" ph="1">
        <v>260</v>
      </c>
      <c r="AZ170" s="64" t="s" ph="1">
        <v>411</v>
      </c>
    </row>
    <row r="171" spans="33:52" ph="1">
      <c r="AH171" s="64" ph="1">
        <v>3</v>
      </c>
      <c r="AI171" s="64" t="s" ph="1">
        <v>609</v>
      </c>
      <c r="AY171" s="64" t="s" ph="1">
        <v>260</v>
      </c>
      <c r="AZ171" s="64" t="s" ph="1">
        <v>411</v>
      </c>
    </row>
    <row r="172" spans="33:52" ph="1">
      <c r="AH172" s="64" ph="1">
        <v>4</v>
      </c>
      <c r="AI172" s="64" t="s" ph="1">
        <v>610</v>
      </c>
      <c r="AY172" s="64" t="s" ph="1">
        <v>260</v>
      </c>
      <c r="AZ172" s="64" t="s" ph="1">
        <v>411</v>
      </c>
    </row>
    <row r="173" spans="33:52" ph="1">
      <c r="AH173" s="64" ph="1">
        <v>5</v>
      </c>
      <c r="AI173" s="64" t="s" ph="1">
        <v>611</v>
      </c>
      <c r="AY173" s="64" t="s" ph="1">
        <v>260</v>
      </c>
      <c r="AZ173" s="64" t="s" ph="1">
        <v>411</v>
      </c>
    </row>
    <row r="174" spans="33:52" ph="1">
      <c r="AZ174" s="64" t="s" ph="1">
        <v>429</v>
      </c>
    </row>
    <row r="175" spans="33:52" ph="1">
      <c r="AJ175" s="64" t="s" ph="1">
        <v>350</v>
      </c>
    </row>
    <row r="176" spans="33:52" ph="1">
      <c r="AJ176" s="64" t="s" ph="1">
        <v>351</v>
      </c>
      <c r="AK176" s="64" t="s" ph="1">
        <v>352</v>
      </c>
      <c r="AM176" s="64" t="s" ph="1">
        <v>353</v>
      </c>
      <c r="AO176" s="64" t="s" ph="1">
        <v>354</v>
      </c>
      <c r="AP176" s="64" t="s" ph="1">
        <v>355</v>
      </c>
      <c r="AQ176" s="64" t="s" ph="1">
        <v>345</v>
      </c>
      <c r="AR176" s="64" t="s" ph="1">
        <v>265</v>
      </c>
    </row>
    <row r="177" spans="36:56" ph="1">
      <c r="AJ177" s="64" t="s" ph="1">
        <v>647</v>
      </c>
      <c r="AK177" s="64" t="s" ph="1">
        <v>356</v>
      </c>
      <c r="AO177" s="64" t="s" ph="1">
        <v>356</v>
      </c>
      <c r="AP177" s="64" t="s" ph="1">
        <v>356</v>
      </c>
      <c r="AQ177" s="64" t="s" ph="1">
        <v>357</v>
      </c>
      <c r="AR177" s="64" t="s" ph="1">
        <v>358</v>
      </c>
    </row>
    <row r="179" spans="36:56" ph="1">
      <c r="AJ179" s="64" t="s" ph="1">
        <v>359</v>
      </c>
      <c r="AK179" s="64" t="s" ph="1">
        <v>360</v>
      </c>
      <c r="AM179" s="64" t="s" ph="1">
        <v>361</v>
      </c>
      <c r="AN179" s="64" t="s" ph="1">
        <v>337</v>
      </c>
      <c r="AO179" s="64" t="s" ph="1">
        <v>362</v>
      </c>
      <c r="AP179" s="64" t="s" ph="1">
        <v>341</v>
      </c>
      <c r="AQ179" s="64" t="s" ph="1">
        <v>363</v>
      </c>
      <c r="AR179" s="64" t="s" ph="1">
        <v>364</v>
      </c>
    </row>
    <row r="180" spans="36:56" ph="1">
      <c r="AJ180" s="64" t="s" ph="1">
        <v>356</v>
      </c>
      <c r="AK180" s="64" t="s" ph="1">
        <v>356</v>
      </c>
      <c r="AL180" s="64" ph="1">
        <v>116</v>
      </c>
      <c r="AM180" s="64" t="s" ph="1">
        <v>356</v>
      </c>
      <c r="AN180" s="64" t="s" ph="1">
        <v>365</v>
      </c>
      <c r="AO180" s="64" t="s" ph="1">
        <v>356</v>
      </c>
      <c r="AP180" s="64" t="s" ph="1">
        <v>366</v>
      </c>
      <c r="AQ180" s="64" t="s" ph="1">
        <v>367</v>
      </c>
      <c r="AR180" s="64" t="s" ph="1">
        <v>368</v>
      </c>
    </row>
    <row r="189" spans="36:56" ph="1">
      <c r="BD189" s="64" t="s" ph="1">
        <v>612</v>
      </c>
    </row>
    <row r="223" spans="18:18" ph="1">
      <c r="R223" s="138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073" priority="92">
      <formula>ABS(D$7-D$10)&gt;=1000</formula>
    </cfRule>
  </conditionalFormatting>
  <conditionalFormatting sqref="E4 E6:E11">
    <cfRule type="expression" dxfId="2072" priority="91">
      <formula>ABS(E$7-E$10)&gt;=1000</formula>
    </cfRule>
  </conditionalFormatting>
  <conditionalFormatting sqref="F4:F11">
    <cfRule type="expression" dxfId="2071" priority="90">
      <formula>ABS(F$7-F$10)&gt;=1000</formula>
    </cfRule>
  </conditionalFormatting>
  <conditionalFormatting sqref="G4:G11">
    <cfRule type="expression" dxfId="2070" priority="89">
      <formula>ABS(G$7-G$10)&gt;=1000</formula>
    </cfRule>
  </conditionalFormatting>
  <conditionalFormatting sqref="H4:H11">
    <cfRule type="expression" dxfId="2069" priority="88">
      <formula>ABS(H$7-H$10)&gt;=1000</formula>
    </cfRule>
  </conditionalFormatting>
  <conditionalFormatting sqref="I4:I11">
    <cfRule type="expression" dxfId="2068" priority="87">
      <formula>ABS(I$7-I$10)&gt;=1000</formula>
    </cfRule>
  </conditionalFormatting>
  <conditionalFormatting sqref="J4:J11">
    <cfRule type="expression" dxfId="2067" priority="86">
      <formula>ABS(J$7-J$10)&gt;=1000</formula>
    </cfRule>
  </conditionalFormatting>
  <conditionalFormatting sqref="K4:K11">
    <cfRule type="expression" dxfId="2066" priority="85">
      <formula>ABS(K$7-K$10)&gt;=1000</formula>
    </cfRule>
  </conditionalFormatting>
  <conditionalFormatting sqref="L4:L11">
    <cfRule type="expression" dxfId="2065" priority="84">
      <formula>ABS(L$7-L$10)&gt;=1000</formula>
    </cfRule>
  </conditionalFormatting>
  <conditionalFormatting sqref="M4:M11">
    <cfRule type="expression" dxfId="2064" priority="83">
      <formula>ABS(M$7-M$10)&gt;=1000</formula>
    </cfRule>
  </conditionalFormatting>
  <conditionalFormatting sqref="N4:N11">
    <cfRule type="expression" dxfId="2063" priority="82">
      <formula>ABS(N$7-N$10)&gt;=1000</formula>
    </cfRule>
  </conditionalFormatting>
  <conditionalFormatting sqref="O4:O11">
    <cfRule type="expression" dxfId="2062" priority="81">
      <formula>ABS(O$7-O$10)&gt;=1000</formula>
    </cfRule>
  </conditionalFormatting>
  <conditionalFormatting sqref="P4:P11">
    <cfRule type="expression" dxfId="2061" priority="80">
      <formula>ABS(P$7-P$10)&gt;=1000</formula>
    </cfRule>
  </conditionalFormatting>
  <conditionalFormatting sqref="Q4:Q11">
    <cfRule type="expression" dxfId="2060" priority="79">
      <formula>ABS(Q$7-Q$10)&gt;=1000</formula>
    </cfRule>
  </conditionalFormatting>
  <conditionalFormatting sqref="R4:R11">
    <cfRule type="expression" dxfId="2059" priority="78">
      <formula>ABS(R$7-R$10)&gt;=1000</formula>
    </cfRule>
  </conditionalFormatting>
  <conditionalFormatting sqref="S4:S11">
    <cfRule type="expression" dxfId="2058" priority="77">
      <formula>ABS(S$7-S$10)&gt;=1000</formula>
    </cfRule>
  </conditionalFormatting>
  <conditionalFormatting sqref="T4:T9 T11">
    <cfRule type="expression" dxfId="2057" priority="76">
      <formula>ABS(T$7-T$10)&gt;=1000</formula>
    </cfRule>
  </conditionalFormatting>
  <conditionalFormatting sqref="U4:U9 U11">
    <cfRule type="expression" dxfId="2056" priority="75">
      <formula>ABS(U$7-U$10)&gt;=1000</formula>
    </cfRule>
  </conditionalFormatting>
  <conditionalFormatting sqref="V4:V9 V11">
    <cfRule type="expression" dxfId="2055" priority="74">
      <formula>ABS(V$7-V$10)&gt;=1000</formula>
    </cfRule>
  </conditionalFormatting>
  <conditionalFormatting sqref="W4:W9 W11">
    <cfRule type="expression" dxfId="2054" priority="73">
      <formula>ABS(W$7-W$10)&gt;=1000</formula>
    </cfRule>
  </conditionalFormatting>
  <conditionalFormatting sqref="X4:X9 X11">
    <cfRule type="expression" dxfId="2053" priority="72">
      <formula>ABS(X$7-X$10)&gt;=1000</formula>
    </cfRule>
  </conditionalFormatting>
  <conditionalFormatting sqref="Y4:Y9 Y11">
    <cfRule type="expression" dxfId="2052" priority="71">
      <formula>ABS(Y$7-Y$10)&gt;=1000</formula>
    </cfRule>
  </conditionalFormatting>
  <conditionalFormatting sqref="Z4:Z11">
    <cfRule type="expression" dxfId="2051" priority="70">
      <formula>ABS(Z$7-Z$10)&gt;=1000</formula>
    </cfRule>
  </conditionalFormatting>
  <conditionalFormatting sqref="AA4:AA11">
    <cfRule type="expression" dxfId="2050" priority="69">
      <formula>ABS(AA$7-AA$10)&gt;=1000</formula>
    </cfRule>
  </conditionalFormatting>
  <conditionalFormatting sqref="AB4:AB11">
    <cfRule type="expression" dxfId="2049" priority="68">
      <formula>ABS(AB$7-AB$10)&gt;=1000</formula>
    </cfRule>
  </conditionalFormatting>
  <conditionalFormatting sqref="AC4 AC6:AC11">
    <cfRule type="expression" dxfId="2048" priority="67">
      <formula>ABS(AC$7-AC$10)&gt;=1000</formula>
    </cfRule>
  </conditionalFormatting>
  <conditionalFormatting sqref="AD4:AD11">
    <cfRule type="expression" dxfId="2047" priority="66">
      <formula>ABS(AD$7-AD$10)&gt;=1000</formula>
    </cfRule>
  </conditionalFormatting>
  <conditionalFormatting sqref="AE4:AE11">
    <cfRule type="expression" dxfId="2046" priority="65">
      <formula>ABS(AE$7-AE$10)&gt;=1000</formula>
    </cfRule>
  </conditionalFormatting>
  <conditionalFormatting sqref="D13:D20">
    <cfRule type="expression" dxfId="2045" priority="64">
      <formula>ABS(D$16-D$19)&gt;=1000</formula>
    </cfRule>
  </conditionalFormatting>
  <conditionalFormatting sqref="E13:E20">
    <cfRule type="expression" dxfId="2044" priority="63">
      <formula>ABS(E$16-E$19)&gt;=1000</formula>
    </cfRule>
  </conditionalFormatting>
  <conditionalFormatting sqref="F13 F15:F20">
    <cfRule type="expression" dxfId="2043" priority="62">
      <formula>ABS(F$16-F$19)&gt;=1000</formula>
    </cfRule>
  </conditionalFormatting>
  <conditionalFormatting sqref="G13:G20">
    <cfRule type="expression" dxfId="2042" priority="61">
      <formula>ABS(G$16-G$19)&gt;=1000</formula>
    </cfRule>
  </conditionalFormatting>
  <conditionalFormatting sqref="H13:H20">
    <cfRule type="expression" dxfId="2041" priority="60">
      <formula>ABS(H$16-H$19)&gt;=1000</formula>
    </cfRule>
  </conditionalFormatting>
  <conditionalFormatting sqref="I13:I20">
    <cfRule type="expression" dxfId="2040" priority="59">
      <formula>ABS(I$16-I$19)&gt;=1000</formula>
    </cfRule>
  </conditionalFormatting>
  <conditionalFormatting sqref="J13:J20">
    <cfRule type="expression" dxfId="2039" priority="58">
      <formula>ABS(J$16-J$19)&gt;=1000</formula>
    </cfRule>
  </conditionalFormatting>
  <conditionalFormatting sqref="L13:L20">
    <cfRule type="expression" dxfId="2038" priority="57">
      <formula>ABS(L$16-L$19)&gt;=1000</formula>
    </cfRule>
  </conditionalFormatting>
  <conditionalFormatting sqref="M13 M15 M17:M18 M20">
    <cfRule type="expression" dxfId="2037" priority="56">
      <formula>ABS(M$16-M$19)&gt;=1000</formula>
    </cfRule>
  </conditionalFormatting>
  <conditionalFormatting sqref="N13:N20">
    <cfRule type="expression" dxfId="2036" priority="55">
      <formula>ABS(N$16-N$19)&gt;=1000</formula>
    </cfRule>
  </conditionalFormatting>
  <conditionalFormatting sqref="O13:O20">
    <cfRule type="expression" dxfId="2035" priority="54">
      <formula>ABS(O$16-O$19)&gt;=1000</formula>
    </cfRule>
  </conditionalFormatting>
  <conditionalFormatting sqref="P13:P20">
    <cfRule type="expression" dxfId="2034" priority="53">
      <formula>ABS(P$16-P$19)&gt;=1000</formula>
    </cfRule>
  </conditionalFormatting>
  <conditionalFormatting sqref="Q13 Q15:Q20">
    <cfRule type="expression" dxfId="2033" priority="52">
      <formula>ABS(Q$16-Q$19)&gt;=1000</formula>
    </cfRule>
  </conditionalFormatting>
  <conditionalFormatting sqref="R13:R20">
    <cfRule type="expression" dxfId="2032" priority="51">
      <formula>ABS(R$16-R$19)&gt;=1000</formula>
    </cfRule>
  </conditionalFormatting>
  <conditionalFormatting sqref="S13:S20">
    <cfRule type="expression" dxfId="2031" priority="50">
      <formula>ABS(S$16-S$19)&gt;=1000</formula>
    </cfRule>
  </conditionalFormatting>
  <conditionalFormatting sqref="T13:T20">
    <cfRule type="expression" dxfId="2030" priority="49">
      <formula>ABS(T$16-T$19)&gt;=1000</formula>
    </cfRule>
  </conditionalFormatting>
  <conditionalFormatting sqref="U13:U20">
    <cfRule type="expression" dxfId="2029" priority="48">
      <formula>ABS(U$16-U$19)&gt;=1000</formula>
    </cfRule>
  </conditionalFormatting>
  <conditionalFormatting sqref="V13:V20">
    <cfRule type="expression" dxfId="2028" priority="47">
      <formula>ABS(V$16-V$19)&gt;=1000</formula>
    </cfRule>
  </conditionalFormatting>
  <conditionalFormatting sqref="W13 W15:W18 W20">
    <cfRule type="expression" dxfId="2027" priority="46">
      <formula>ABS(W$16-W$19)&gt;=1000</formula>
    </cfRule>
  </conditionalFormatting>
  <conditionalFormatting sqref="X13 X15:X20 Y19">
    <cfRule type="expression" dxfId="2026" priority="45">
      <formula>ABS(X$16-X$19)&gt;=1000</formula>
    </cfRule>
  </conditionalFormatting>
  <conditionalFormatting sqref="Y13 Y15:Y18 Y20">
    <cfRule type="expression" dxfId="2025" priority="44">
      <formula>ABS(Y$16-Y$19)&gt;=1000</formula>
    </cfRule>
  </conditionalFormatting>
  <conditionalFormatting sqref="Z13:Z20">
    <cfRule type="expression" dxfId="2024" priority="43">
      <formula>ABS(Z$16-Z$19)&gt;=1000</formula>
    </cfRule>
  </conditionalFormatting>
  <conditionalFormatting sqref="AA13:AA20">
    <cfRule type="expression" dxfId="2023" priority="42">
      <formula>ABS(AA$16-AA$19)&gt;=1000</formula>
    </cfRule>
  </conditionalFormatting>
  <conditionalFormatting sqref="AB13 AB15:AB20">
    <cfRule type="expression" dxfId="2022" priority="41">
      <formula>ABS(AB$16-AB$19)&gt;=1000</formula>
    </cfRule>
  </conditionalFormatting>
  <conditionalFormatting sqref="AC13 AC15:AC20">
    <cfRule type="expression" dxfId="2021" priority="40">
      <formula>ABS(AC$16-AC$19)&gt;=1000</formula>
    </cfRule>
  </conditionalFormatting>
  <conditionalFormatting sqref="AD13:AD20">
    <cfRule type="expression" dxfId="2020" priority="39">
      <formula>ABS(AD$16-AD$19)&gt;=1000</formula>
    </cfRule>
  </conditionalFormatting>
  <conditionalFormatting sqref="AE13:AE20">
    <cfRule type="expression" dxfId="2019" priority="38">
      <formula>ABS(AE$16-AE$19)&gt;=1000</formula>
    </cfRule>
  </conditionalFormatting>
  <conditionalFormatting sqref="D22:D29">
    <cfRule type="expression" dxfId="2018" priority="37">
      <formula>ABS(D$25-D$28)&gt;=1000</formula>
    </cfRule>
  </conditionalFormatting>
  <conditionalFormatting sqref="E22:E29">
    <cfRule type="expression" dxfId="2017" priority="36">
      <formula>ABS(E$25-E$28)&gt;=1000</formula>
    </cfRule>
  </conditionalFormatting>
  <conditionalFormatting sqref="F22:F29">
    <cfRule type="expression" dxfId="2016" priority="35">
      <formula>ABS(F$25-F$28)&gt;=1000</formula>
    </cfRule>
  </conditionalFormatting>
  <conditionalFormatting sqref="G22:G29">
    <cfRule type="expression" dxfId="2015" priority="34">
      <formula>ABS(G$25-G$28)&gt;=1000</formula>
    </cfRule>
  </conditionalFormatting>
  <conditionalFormatting sqref="H22:H29">
    <cfRule type="expression" dxfId="2014" priority="33">
      <formula>ABS(H$25-H$28)&gt;=1000</formula>
    </cfRule>
  </conditionalFormatting>
  <conditionalFormatting sqref="I22 I24:I29">
    <cfRule type="expression" dxfId="2013" priority="32">
      <formula>ABS(I$25-I$28)&gt;=1000</formula>
    </cfRule>
  </conditionalFormatting>
  <conditionalFormatting sqref="J22:J29 K22">
    <cfRule type="expression" dxfId="2012" priority="31">
      <formula>ABS(J$25-J$28)&gt;=1000</formula>
    </cfRule>
  </conditionalFormatting>
  <conditionalFormatting sqref="K23:K29 L25 L28">
    <cfRule type="expression" dxfId="2011" priority="30">
      <formula>ABS(K$25-K$28)&gt;=1000</formula>
    </cfRule>
  </conditionalFormatting>
  <conditionalFormatting sqref="L22:L24 L26:L27 L29">
    <cfRule type="expression" dxfId="2010" priority="29">
      <formula>ABS(L$25-L$28)&gt;=1000</formula>
    </cfRule>
  </conditionalFormatting>
  <conditionalFormatting sqref="M22:M29">
    <cfRule type="expression" dxfId="2009" priority="28">
      <formula>ABS(M$25-M$28)&gt;=1000</formula>
    </cfRule>
  </conditionalFormatting>
  <conditionalFormatting sqref="N22:N29">
    <cfRule type="expression" dxfId="2008" priority="27">
      <formula>ABS(N$25-N$28)&gt;=1000</formula>
    </cfRule>
  </conditionalFormatting>
  <conditionalFormatting sqref="O22:O29">
    <cfRule type="expression" dxfId="2007" priority="26">
      <formula>ABS(O$25-O$28)&gt;=1000</formula>
    </cfRule>
  </conditionalFormatting>
  <conditionalFormatting sqref="P22:P29">
    <cfRule type="expression" dxfId="2006" priority="25">
      <formula>ABS(P$25-P$28)&gt;=1000</formula>
    </cfRule>
  </conditionalFormatting>
  <conditionalFormatting sqref="Q22:Q29">
    <cfRule type="expression" dxfId="2005" priority="24">
      <formula>ABS(Q$25-Q$28)&gt;=1000</formula>
    </cfRule>
  </conditionalFormatting>
  <conditionalFormatting sqref="R22:R29">
    <cfRule type="expression" dxfId="2004" priority="23">
      <formula>ABS(R$25-R$28)&gt;=1000</formula>
    </cfRule>
  </conditionalFormatting>
  <conditionalFormatting sqref="S22:S29">
    <cfRule type="expression" dxfId="2003" priority="22">
      <formula>ABS(S$25-S$28)&gt;=1000</formula>
    </cfRule>
  </conditionalFormatting>
  <conditionalFormatting sqref="T22:T29">
    <cfRule type="expression" dxfId="2002" priority="21">
      <formula>ABS(T$25-T$28)&gt;=1000</formula>
    </cfRule>
  </conditionalFormatting>
  <conditionalFormatting sqref="U22:U29">
    <cfRule type="expression" dxfId="2001" priority="20">
      <formula>ABS(U$25-U$28)&gt;=1000</formula>
    </cfRule>
  </conditionalFormatting>
  <conditionalFormatting sqref="V22:V29">
    <cfRule type="expression" dxfId="2000" priority="19">
      <formula>ABS(V$25-V$28)&gt;=1000</formula>
    </cfRule>
  </conditionalFormatting>
  <conditionalFormatting sqref="W22:W29">
    <cfRule type="expression" dxfId="1999" priority="18">
      <formula>ABS(W$25-W$28)&gt;=1000</formula>
    </cfRule>
  </conditionalFormatting>
  <conditionalFormatting sqref="X22:X29">
    <cfRule type="expression" dxfId="1998" priority="17">
      <formula>ABS(X$25-X$28)&gt;=1000</formula>
    </cfRule>
  </conditionalFormatting>
  <conditionalFormatting sqref="Y22:Y29">
    <cfRule type="expression" dxfId="1997" priority="16">
      <formula>ABS(Y$25-Y$28)&gt;=1000</formula>
    </cfRule>
  </conditionalFormatting>
  <conditionalFormatting sqref="I23">
    <cfRule type="expression" dxfId="1996" priority="15">
      <formula>ABS(I$25-I$28)&gt;=1000</formula>
    </cfRule>
  </conditionalFormatting>
  <conditionalFormatting sqref="F14">
    <cfRule type="expression" dxfId="1995" priority="14">
      <formula>ABS(F$16-F$19)&gt;=1000</formula>
    </cfRule>
  </conditionalFormatting>
  <conditionalFormatting sqref="Q14">
    <cfRule type="expression" dxfId="1994" priority="13">
      <formula>ABS(Q$16-Q$19)&gt;=1000</formula>
    </cfRule>
  </conditionalFormatting>
  <conditionalFormatting sqref="W14">
    <cfRule type="expression" dxfId="1993" priority="12">
      <formula>ABS(W$16-W$19)&gt;=1000</formula>
    </cfRule>
  </conditionalFormatting>
  <conditionalFormatting sqref="Y14">
    <cfRule type="expression" dxfId="1992" priority="11">
      <formula>ABS(Y$16-Y$19)&gt;=1000</formula>
    </cfRule>
  </conditionalFormatting>
  <conditionalFormatting sqref="X14">
    <cfRule type="expression" dxfId="1991" priority="10">
      <formula>ABS(X$16-X$19)&gt;=1000</formula>
    </cfRule>
  </conditionalFormatting>
  <conditionalFormatting sqref="T10:Y10">
    <cfRule type="expression" dxfId="1990" priority="9">
      <formula>ABS(T$7-T$10)&gt;=1000</formula>
    </cfRule>
  </conditionalFormatting>
  <conditionalFormatting sqref="W19">
    <cfRule type="expression" dxfId="1989" priority="8">
      <formula>ABS(W$16-W$19)&gt;=1000</formula>
    </cfRule>
  </conditionalFormatting>
  <conditionalFormatting sqref="AC5">
    <cfRule type="expression" dxfId="1988" priority="7">
      <formula>ABS(AC$7-AC$10)&gt;=1000</formula>
    </cfRule>
  </conditionalFormatting>
  <conditionalFormatting sqref="M14">
    <cfRule type="expression" dxfId="1987" priority="6">
      <formula>ABS(M$16-M$19)&gt;=1000</formula>
    </cfRule>
  </conditionalFormatting>
  <conditionalFormatting sqref="M16">
    <cfRule type="expression" dxfId="1986" priority="5">
      <formula>ABS(M$16-M$19)&gt;=1000</formula>
    </cfRule>
  </conditionalFormatting>
  <conditionalFormatting sqref="M19">
    <cfRule type="expression" dxfId="1985" priority="4">
      <formula>ABS(M$16-M$19)&gt;=1000</formula>
    </cfRule>
  </conditionalFormatting>
  <conditionalFormatting sqref="K13:K20">
    <cfRule type="expression" dxfId="1984" priority="3">
      <formula>ABS(K$16-K$19)&gt;=1000</formula>
    </cfRule>
  </conditionalFormatting>
  <conditionalFormatting sqref="AB14:AC14">
    <cfRule type="expression" dxfId="1983" priority="2">
      <formula>ABS(AB$7-AB$10)&gt;=1000</formula>
    </cfRule>
  </conditionalFormatting>
  <conditionalFormatting sqref="E5">
    <cfRule type="expression" dxfId="1982" priority="1">
      <formula>ABS(E$7-E$10)&gt;=1000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6134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48">
    <pageSetUpPr fitToPage="1"/>
  </sheetPr>
  <dimension ref="A1:CU223"/>
  <sheetViews>
    <sheetView view="pageBreakPreview" topLeftCell="A10" zoomScale="70" zoomScaleNormal="100" zoomScaleSheetLayoutView="70" workbookViewId="0">
      <selection activeCell="Y27" sqref="Y27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36" t="s" ph="1">
        <v>195</v>
      </c>
      <c r="C1" s="236" ph="1"/>
      <c r="D1" s="236" ph="1"/>
      <c r="E1" s="236" ph="1"/>
      <c r="F1" s="236" ph="1"/>
      <c r="G1" s="236" ph="1"/>
      <c r="H1" s="236" ph="1"/>
      <c r="I1" s="236" ph="1"/>
      <c r="J1" s="236" ph="1"/>
      <c r="K1" s="236" ph="1"/>
      <c r="L1" s="236" ph="1"/>
      <c r="M1" s="236" ph="1"/>
      <c r="N1" s="236" ph="1"/>
      <c r="O1" s="236" ph="1"/>
      <c r="P1" s="236" ph="1"/>
      <c r="Q1" s="236" ph="1"/>
      <c r="R1" s="236" ph="1"/>
      <c r="S1" s="236" ph="1"/>
      <c r="T1" s="236" ph="1"/>
      <c r="U1" s="236" ph="1"/>
      <c r="V1" s="236" ph="1"/>
      <c r="W1" s="236" ph="1"/>
      <c r="X1" s="236" ph="1"/>
      <c r="Y1" s="236" ph="1"/>
      <c r="Z1" s="236" ph="1"/>
      <c r="AA1" s="236" ph="1"/>
      <c r="AB1" s="236" ph="1"/>
      <c r="AC1" s="236" ph="1"/>
      <c r="AD1" s="236" ph="1"/>
      <c r="AE1" s="236" ph="1"/>
    </row>
    <row r="2" spans="1:99" s="66" customFormat="1" ht="24" customHeight="1" ph="1">
      <c r="B2" s="237" t="s" ph="1">
        <v>99</v>
      </c>
      <c r="C2" s="237" ph="1"/>
      <c r="D2" s="237" ph="1"/>
      <c r="E2" s="237" ph="1"/>
      <c r="F2" s="237" ph="1"/>
      <c r="G2" s="237" ph="1"/>
      <c r="H2" s="237" ph="1"/>
      <c r="I2" s="237" ph="1"/>
      <c r="J2" s="237" ph="1"/>
      <c r="K2" s="237" ph="1"/>
      <c r="L2" s="237" ph="1"/>
      <c r="M2" s="237" ph="1"/>
      <c r="N2" s="237" ph="1"/>
      <c r="O2" s="237" ph="1"/>
      <c r="P2" s="237" ph="1"/>
      <c r="Q2" s="237" ph="1"/>
      <c r="R2" s="237" ph="1"/>
      <c r="S2" s="237" ph="1"/>
      <c r="T2" s="237" ph="1"/>
      <c r="U2" s="237" ph="1"/>
      <c r="V2" s="237" ph="1"/>
      <c r="W2" s="237" ph="1"/>
      <c r="X2" s="237" ph="1"/>
      <c r="Y2" s="237" ph="1"/>
      <c r="Z2" s="237" ph="1"/>
      <c r="AA2" s="237" ph="1"/>
      <c r="AB2" s="237" ph="1"/>
      <c r="AC2" s="237" ph="1"/>
      <c r="AD2" s="237" ph="1"/>
      <c r="AE2" s="237" ph="1"/>
    </row>
    <row r="3" spans="1:99" ht="21" customHeight="1" ph="1">
      <c r="B3" s="238" ph="1">
        <v>45660</v>
      </c>
      <c r="C3" s="238"/>
      <c r="D3" s="238"/>
      <c r="E3" s="238"/>
      <c r="F3" s="238"/>
      <c r="G3" s="238"/>
      <c r="H3" s="238"/>
      <c r="I3" s="238"/>
      <c r="J3" s="238"/>
      <c r="K3" s="238"/>
      <c r="L3" s="238"/>
      <c r="M3" s="238"/>
      <c r="N3" s="238"/>
      <c r="O3" s="238"/>
      <c r="P3" s="238"/>
      <c r="Q3" s="238"/>
      <c r="R3" s="238"/>
      <c r="S3" s="238"/>
      <c r="T3" s="238"/>
      <c r="U3" s="238"/>
      <c r="V3" s="238"/>
      <c r="W3" s="238"/>
      <c r="X3" s="238"/>
      <c r="Y3" s="238"/>
      <c r="Z3" s="238"/>
      <c r="AA3" s="238"/>
      <c r="AB3" s="238"/>
      <c r="AC3" s="238"/>
      <c r="AD3" s="238"/>
      <c r="AE3" s="238"/>
    </row>
    <row r="4" spans="1:99" s="69" customFormat="1" ph="1">
      <c r="A4" s="65" ph="1"/>
      <c r="B4" s="217" t="s" ph="1">
        <v>37</v>
      </c>
      <c r="C4" s="67" t="s" ph="1">
        <v>210</v>
      </c>
      <c r="D4" s="68" t="s" ph="1">
        <v>45</v>
      </c>
      <c r="E4" s="68" t="s" ph="1">
        <v>46</v>
      </c>
      <c r="F4" s="68" t="s" ph="1">
        <v>39</v>
      </c>
      <c r="G4" s="68" t="s" ph="1">
        <v>47</v>
      </c>
      <c r="H4" s="68" t="s" ph="1">
        <v>48</v>
      </c>
      <c r="I4" s="68" t="s" ph="1">
        <v>133</v>
      </c>
      <c r="J4" s="68" t="s" ph="1">
        <v>49</v>
      </c>
      <c r="K4" s="68" t="s" ph="1">
        <v>134</v>
      </c>
      <c r="L4" s="68" t="s" ph="1">
        <v>135</v>
      </c>
      <c r="M4" s="68" t="s" ph="1">
        <v>50</v>
      </c>
      <c r="N4" s="68" t="s" ph="1">
        <v>51</v>
      </c>
      <c r="O4" s="68" t="s" ph="1">
        <v>137</v>
      </c>
      <c r="P4" s="68" t="s" ph="1">
        <v>139</v>
      </c>
      <c r="Q4" s="68" t="s" ph="1">
        <v>140</v>
      </c>
      <c r="R4" s="68" t="s" ph="1">
        <v>141</v>
      </c>
      <c r="S4" s="68" t="s" ph="1">
        <v>142</v>
      </c>
      <c r="T4" s="68" t="s" ph="1">
        <v>143</v>
      </c>
      <c r="U4" s="68" t="s" ph="1">
        <v>144</v>
      </c>
      <c r="V4" s="68" t="s" ph="1">
        <v>145</v>
      </c>
      <c r="W4" s="68" t="s" ph="1">
        <v>146</v>
      </c>
      <c r="X4" s="68" t="s" ph="1">
        <v>147</v>
      </c>
      <c r="Y4" s="68" t="s" ph="1">
        <v>148</v>
      </c>
      <c r="Z4" s="68" t="s" ph="1">
        <v>52</v>
      </c>
      <c r="AA4" s="68" t="s" ph="1">
        <v>149</v>
      </c>
      <c r="AB4" s="68" t="s" ph="1">
        <v>150</v>
      </c>
      <c r="AC4" s="68" t="s" ph="1">
        <v>151</v>
      </c>
      <c r="AD4" s="68" t="s" ph="1">
        <v>40</v>
      </c>
      <c r="AE4" s="68" t="s" ph="1">
        <v>152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7" ph="1"/>
      <c r="C5" s="67" t="s" ph="1">
        <v>36</v>
      </c>
      <c r="D5" s="70" t="s" ph="1">
        <v>194</v>
      </c>
      <c r="E5" s="70" t="s" ph="1">
        <v>55</v>
      </c>
      <c r="F5" s="70" t="s" ph="1">
        <v>130</v>
      </c>
      <c r="G5" s="70" t="s" ph="1">
        <v>56</v>
      </c>
      <c r="H5" s="70" t="s" ph="1">
        <v>56</v>
      </c>
      <c r="I5" s="70" t="s" ph="1">
        <v>57</v>
      </c>
      <c r="J5" s="70" t="s" ph="1">
        <v>58</v>
      </c>
      <c r="K5" s="70" t="s" ph="1">
        <v>59</v>
      </c>
      <c r="L5" s="70" t="s" ph="1">
        <v>136</v>
      </c>
      <c r="M5" s="70" t="s" ph="1">
        <v>60</v>
      </c>
      <c r="N5" s="70" t="s" ph="1">
        <v>61</v>
      </c>
      <c r="O5" s="70" t="s" ph="1">
        <v>138</v>
      </c>
      <c r="P5" s="70" t="s" ph="1">
        <v>88</v>
      </c>
      <c r="Q5" s="70" t="s" ph="1">
        <v>96</v>
      </c>
      <c r="R5" s="70" t="s" ph="1">
        <v>96</v>
      </c>
      <c r="S5" s="70" t="s" ph="1">
        <v>96</v>
      </c>
      <c r="T5" s="70" t="s" ph="1">
        <v>96</v>
      </c>
      <c r="U5" s="70" t="s" ph="1">
        <v>96</v>
      </c>
      <c r="V5" s="70" t="s" ph="1">
        <v>96</v>
      </c>
      <c r="W5" s="70" t="s" ph="1">
        <v>96</v>
      </c>
      <c r="X5" s="70" t="s" ph="1">
        <v>96</v>
      </c>
      <c r="Y5" s="70" t="s" ph="1">
        <v>96</v>
      </c>
      <c r="Z5" s="70" t="s" ph="1">
        <v>95</v>
      </c>
      <c r="AA5" s="70" t="s" ph="1">
        <v>62</v>
      </c>
      <c r="AB5" s="70" t="s" ph="1">
        <v>62</v>
      </c>
      <c r="AC5" s="70" t="s" ph="1">
        <v>222</v>
      </c>
      <c r="AD5" s="70" t="s" ph="1">
        <v>83</v>
      </c>
      <c r="AE5" s="70" t="s" ph="1">
        <v>153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5" ph="1">
        <v>0.33333333333333331</v>
      </c>
      <c r="C6" s="146" t="s" ph="1">
        <v>211</v>
      </c>
      <c r="D6" s="71">
        <v>1487</v>
      </c>
      <c r="E6" s="71">
        <v>0</v>
      </c>
      <c r="F6" s="71">
        <v>6472</v>
      </c>
      <c r="G6" s="71">
        <v>8895</v>
      </c>
      <c r="H6" s="71">
        <v>5331</v>
      </c>
      <c r="I6" s="71">
        <v>39.119999999999997</v>
      </c>
      <c r="J6" s="71">
        <v>54.96</v>
      </c>
      <c r="K6" s="71">
        <v>9.2100000000000009</v>
      </c>
      <c r="L6" s="71">
        <v>39.729999999999997</v>
      </c>
      <c r="M6" s="71">
        <v>6261</v>
      </c>
      <c r="N6" s="71">
        <v>5417</v>
      </c>
      <c r="O6" s="71">
        <v>2347</v>
      </c>
      <c r="P6" s="71">
        <v>921</v>
      </c>
      <c r="Q6" s="71">
        <v>7021</v>
      </c>
      <c r="R6" s="71">
        <v>6302</v>
      </c>
      <c r="S6" s="71">
        <v>392</v>
      </c>
      <c r="T6" s="71">
        <v>0</v>
      </c>
      <c r="U6" s="71">
        <v>0</v>
      </c>
      <c r="V6" s="71">
        <v>0</v>
      </c>
      <c r="W6" s="71">
        <v>0</v>
      </c>
      <c r="X6" s="71">
        <v>0</v>
      </c>
      <c r="Y6" s="71">
        <v>3175</v>
      </c>
      <c r="Z6" s="71">
        <v>4088</v>
      </c>
      <c r="AA6" s="71">
        <v>0</v>
      </c>
      <c r="AB6" s="71">
        <v>2935</v>
      </c>
      <c r="AC6" s="71">
        <v>7966</v>
      </c>
      <c r="AD6" s="71">
        <v>2119</v>
      </c>
      <c r="AE6" s="71">
        <v>3247</v>
      </c>
    </row>
    <row r="7" spans="1:99" s="72" customFormat="1" ht="22.5" ph="1">
      <c r="B7" s="235" ph="1"/>
      <c r="C7" s="68" t="s" ph="1">
        <v>212</v>
      </c>
      <c r="D7" s="73" ph="1">
        <f>D6*33.183*LOOKUP(D8,密度!$A$2:$A$50,密度!$Q$2:$Q$50)</f>
        <v>46894.71533598</v>
      </c>
      <c r="E7" s="73" ph="1">
        <f>E6*51.53*LOOKUP(E8,密度!$A$2:$A$50,密度!$I$2:$I$50)</f>
        <v>0</v>
      </c>
      <c r="F7" s="73" ph="1">
        <f>F6*33.183*LOOKUP(F8,密度!$A$2:$A$50,密度!$C$2:$C$50)</f>
        <v>239500.77131519999</v>
      </c>
      <c r="G7" s="73" ph="1">
        <f xml:space="preserve"> (G6+2)*51.53*LOOKUP(G8,密度!$A$2:$A$50,密度!$B$2:$B$50)</f>
        <v>360901.60915200005</v>
      </c>
      <c r="H7" s="73" ph="1">
        <f>(H6)*51.53*LOOKUP(H8,密度!$A$2:$A$50,密度!$B$2:$B$50)</f>
        <v>217649.90448900001</v>
      </c>
      <c r="I7" s="73" ph="1">
        <f>I6*290.8*1.0267</f>
        <v>11679.837763199999</v>
      </c>
      <c r="J7" s="73" ph="1">
        <f>J6*290.8*0.7892</f>
        <v>12613.2848256</v>
      </c>
      <c r="K7" s="73" ph="1">
        <f>K6*290.8*1.1126</f>
        <v>2979.8409768000006</v>
      </c>
      <c r="L7" s="73" ph="1">
        <f>L6*290.8*0.777</f>
        <v>8977.0570680000001</v>
      </c>
      <c r="M7" s="73" ph="1">
        <f>M6*33.183*LOOKUP(M8,密度!$A$2:$A$50,密度!$D$2:$D$50)</f>
        <v>214988.7679524</v>
      </c>
      <c r="N7" s="73" ph="1">
        <f>N6*33.183*LOOKUP(N8,密度!$A$2:$A$50,密度!$E$2:$E$50)</f>
        <v>142058.2513833</v>
      </c>
      <c r="O7" s="73" ph="1">
        <f>O6*20.428*LOOKUP(O8,密度!$A$2:$A$50,密度!$C$2:$C$50)</f>
        <v>53309.507340400007</v>
      </c>
      <c r="P7" s="73" ph="1">
        <f>P6*51.53*LOOKUP(P8,密度!$A$2:$A$50,密度!$B$2:$B$50)</f>
        <v>37440.507657000009</v>
      </c>
      <c r="Q7" s="73" ph="1">
        <f>Q6*1.5*1.5*3.1416*LOOKUP(W8,密度!$A$2:$A$50,密度!$L$2:$L$50)</f>
        <v>46948.694007599996</v>
      </c>
      <c r="R7" s="73" ph="1">
        <f>R6*1.5*1.5*3.1416*LOOKUP(R8,密度!$A$2:$A$50,密度!$L$2:$L$50)</f>
        <v>41828.991850799997</v>
      </c>
      <c r="S7" s="73" ph="1">
        <f>S6*1.5*1.5*3.1416*LOOKUP(S8,密度!$A$2:$A$50,密度!$L$2:$L$50)</f>
        <v>2637.8884223999999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21208.450724999999</v>
      </c>
      <c r="Z7" s="73" ph="1">
        <f>Z6*33.183*LOOKUP(Z8,密度!$A$2:$A$50,密度!$L$2:$L$50)</f>
        <v>128326.89038399998</v>
      </c>
      <c r="AA7" s="73" ph="1">
        <f>AA6*33.183*LOOKUP(AA8,密度!$A$2:$A$50,密度!$D$2:$D$50)</f>
        <v>0</v>
      </c>
      <c r="AB7" s="73" ph="1">
        <f>AB6*20.428*LOOKUP(AB8,密度!$A$2:$A$50,密度!$D$2:$D$50)</f>
        <v>62516.308885999999</v>
      </c>
      <c r="AC7" s="73" ph="1">
        <f>AC6*51.53*LOOKUP(AC8,密度!$A$2:$A$50,密度!$Q$2:$Q$50)</f>
        <v>391827.1964292</v>
      </c>
      <c r="AD7" s="73" ph="1">
        <f>AD6*20.428*LOOKUP(AD8,密度!$A$2:$A$50,密度!$V$2:$V$50)</f>
        <v>41728.602447999998</v>
      </c>
      <c r="AE7" s="73" ph="1">
        <f>AE6*20.428</f>
        <v>66329.716</v>
      </c>
    </row>
    <row r="8" spans="1:99" ph="1">
      <c r="B8" s="235" ph="1"/>
      <c r="C8" s="68" t="s" ph="1">
        <v>213</v>
      </c>
      <c r="D8" s="74">
        <v>20</v>
      </c>
      <c r="E8" s="74">
        <v>15</v>
      </c>
      <c r="F8" s="74">
        <v>16</v>
      </c>
      <c r="G8" s="74">
        <v>16</v>
      </c>
      <c r="H8" s="74">
        <v>10</v>
      </c>
      <c r="I8" s="74">
        <v>25</v>
      </c>
      <c r="J8" s="74">
        <v>25</v>
      </c>
      <c r="K8" s="74">
        <v>25</v>
      </c>
      <c r="L8" s="74">
        <v>25</v>
      </c>
      <c r="M8" s="74">
        <v>16</v>
      </c>
      <c r="N8" s="74">
        <v>19</v>
      </c>
      <c r="O8" s="74">
        <v>21</v>
      </c>
      <c r="P8" s="74">
        <v>14</v>
      </c>
      <c r="Q8" s="74">
        <v>15</v>
      </c>
      <c r="R8" s="74">
        <v>23</v>
      </c>
      <c r="S8" s="74">
        <v>10</v>
      </c>
      <c r="T8" s="74">
        <v>13</v>
      </c>
      <c r="U8" s="74">
        <v>17</v>
      </c>
      <c r="V8" s="74">
        <v>22</v>
      </c>
      <c r="W8" s="74">
        <v>16</v>
      </c>
      <c r="X8" s="74">
        <v>7</v>
      </c>
      <c r="Y8" s="74">
        <v>17</v>
      </c>
      <c r="Z8" s="74">
        <v>16</v>
      </c>
      <c r="AA8" s="74">
        <v>15</v>
      </c>
      <c r="AB8" s="74">
        <v>7</v>
      </c>
      <c r="AC8" s="74">
        <v>15</v>
      </c>
      <c r="AD8" s="74">
        <v>15</v>
      </c>
      <c r="AE8" s="74">
        <v>18</v>
      </c>
    </row>
    <row r="9" spans="1:99" ph="1">
      <c r="B9" s="235" ph="1">
        <v>0.66666666666666663</v>
      </c>
      <c r="C9" s="146" t="s" ph="1">
        <v>214</v>
      </c>
      <c r="D9" s="71">
        <v>1750</v>
      </c>
      <c r="E9" s="71">
        <v>0</v>
      </c>
      <c r="F9" s="71">
        <v>6472</v>
      </c>
      <c r="G9" s="71">
        <v>8897</v>
      </c>
      <c r="H9" s="71">
        <v>5021</v>
      </c>
      <c r="I9" s="71">
        <v>39.11</v>
      </c>
      <c r="J9" s="71">
        <v>26.54</v>
      </c>
      <c r="K9" s="71">
        <v>9.32</v>
      </c>
      <c r="L9" s="71">
        <v>29.92</v>
      </c>
      <c r="M9" s="71">
        <v>6263</v>
      </c>
      <c r="N9" s="71">
        <v>5831</v>
      </c>
      <c r="O9" s="71">
        <v>1436</v>
      </c>
      <c r="P9" s="71">
        <v>613</v>
      </c>
      <c r="Q9" s="71">
        <v>6361</v>
      </c>
      <c r="R9" s="71">
        <v>6303</v>
      </c>
      <c r="S9" s="71">
        <v>4745</v>
      </c>
      <c r="T9" s="71">
        <v>1623</v>
      </c>
      <c r="U9" s="71">
        <v>0</v>
      </c>
      <c r="V9" s="71">
        <v>0</v>
      </c>
      <c r="W9" s="71">
        <v>0</v>
      </c>
      <c r="X9" s="71">
        <v>0</v>
      </c>
      <c r="Y9" s="71">
        <v>0</v>
      </c>
      <c r="Z9" s="71">
        <v>4900</v>
      </c>
      <c r="AA9" s="71">
        <v>0</v>
      </c>
      <c r="AB9" s="71">
        <v>2934</v>
      </c>
      <c r="AC9" s="71">
        <v>7732</v>
      </c>
      <c r="AD9" s="71">
        <v>2133</v>
      </c>
      <c r="AE9" s="71">
        <v>2872</v>
      </c>
    </row>
    <row r="10" spans="1:99" s="72" customFormat="1" ht="22.5" ph="1">
      <c r="B10" s="235" ph="1"/>
      <c r="C10" s="146" t="s" ph="1">
        <v>212</v>
      </c>
      <c r="D10" s="73" ph="1">
        <f>D9*33.183*LOOKUP(D11,密度!$A$2:$A$50,密度!$Q$2:$Q$50)</f>
        <v>55148.735722500001</v>
      </c>
      <c r="E10" s="73" ph="1">
        <f>E9*51.53*LOOKUP(E11,密度!$A$2:$A$50,密度!$I$2:$I$50)</f>
        <v>0</v>
      </c>
      <c r="F10" s="73" ph="1">
        <f>F9*33.183*LOOKUP(F11,密度!$A$2:$A$50,密度!$C$2:$C$50)</f>
        <v>239350.439052</v>
      </c>
      <c r="G10" s="73" ph="1">
        <f xml:space="preserve"> (G9+2)*51.53*LOOKUP(G11,密度!$A$2:$A$50,密度!$B$2:$B$50)</f>
        <v>360615.88560800004</v>
      </c>
      <c r="H10" s="73" ph="1">
        <f>(H9)*51.53*LOOKUP(H11,密度!$A$2:$A$50,密度!$B$2:$B$50)</f>
        <v>204320.76306100001</v>
      </c>
      <c r="I10" s="73" ph="1">
        <f>I9*290.8*1.0267</f>
        <v>11676.8521196</v>
      </c>
      <c r="J10" s="73" ph="1">
        <f>J9*290.8*0.7892</f>
        <v>6090.9130144000001</v>
      </c>
      <c r="K10" s="73" ph="1">
        <f>K9*290.8*1.1126</f>
        <v>3015.4308256000004</v>
      </c>
      <c r="L10" s="73" ph="1">
        <f>L9*290.8*0.777</f>
        <v>6760.471872000001</v>
      </c>
      <c r="M10" s="73" ph="1">
        <f>M9*33.183*LOOKUP(M11,密度!$A$2:$A$50,密度!$D$2:$D$50)</f>
        <v>214870.40087310001</v>
      </c>
      <c r="N10" s="73" ph="1">
        <f>N9*33.183*LOOKUP(N11,密度!$A$2:$A$50,密度!$E$2:$E$50)</f>
        <v>152915.2046919</v>
      </c>
      <c r="O10" s="73" ph="1">
        <f>O9*20.428*LOOKUP(O11,密度!$A$2:$A$50,密度!$C$2:$C$50)</f>
        <v>32593.6829488</v>
      </c>
      <c r="P10" s="73" ph="1">
        <f>P9*51.53*LOOKUP(P11,密度!$A$2:$A$50,密度!$B$2:$B$50)</f>
        <v>24865.987008</v>
      </c>
      <c r="Q10" s="73" ph="1">
        <f>Q9*1.5*1.5*3.1416*LOOKUP(W11,密度!$A$2:$A$50,密度!$L$2:$L$50)</f>
        <v>42220.599359399996</v>
      </c>
      <c r="R10" s="73" ph="1">
        <f>R9*1.5*1.5*3.1416*LOOKUP(R11,密度!$A$2:$A$50,密度!$L$2:$L$50)</f>
        <v>41835.629266199998</v>
      </c>
      <c r="S10" s="73" ph="1">
        <f>S9*1.5*1.5*3.1416*LOOKUP(S11,密度!$A$2:$A$50,密度!$L$2:$L$50)</f>
        <v>31829.941142999996</v>
      </c>
      <c r="T10" s="73" ph="1">
        <f>T9*1.5*1.5*3.1416*LOOKUP(T11,密度!$A$2:$A$50,密度!$L$2:$L$50)</f>
        <v>10841.359220999999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153653.88149999999</v>
      </c>
      <c r="AA10" s="73" ph="1">
        <f>AA9*33.183*LOOKUP(AA11,密度!$A$2:$A$50,密度!$D$2:$D$50)</f>
        <v>0</v>
      </c>
      <c r="AB10" s="73" ph="1">
        <f>AB9*20.428*LOOKUP(AB11,密度!$A$2:$A$50,密度!$D$2:$D$50)</f>
        <v>62441.066433600005</v>
      </c>
      <c r="AC10" s="73" ph="1">
        <f>AC9*51.53*LOOKUP(AC11,密度!$A$2:$A$50,密度!$Q$2:$Q$50)</f>
        <v>379942.80985600001</v>
      </c>
      <c r="AD10" s="73" ph="1">
        <f>AD9*20.428*LOOKUP(AD11,密度!$A$2:$A$50,密度!$V$2:$V$50)</f>
        <v>42004.298735999997</v>
      </c>
      <c r="AE10" s="73" ph="1">
        <f>AE9*20.428</f>
        <v>58669.216</v>
      </c>
    </row>
    <row r="11" spans="1:99" ph="1">
      <c r="A11" s="64" t="s" ph="1">
        <v>196</v>
      </c>
      <c r="B11" s="235" ph="1"/>
      <c r="C11" s="146" t="s" ph="1">
        <v>213</v>
      </c>
      <c r="D11" s="74">
        <v>21</v>
      </c>
      <c r="E11" s="74">
        <v>17</v>
      </c>
      <c r="F11" s="74">
        <v>17</v>
      </c>
      <c r="G11" s="74">
        <v>17</v>
      </c>
      <c r="H11" s="74">
        <v>13</v>
      </c>
      <c r="I11" s="74">
        <v>25</v>
      </c>
      <c r="J11" s="74">
        <v>25</v>
      </c>
      <c r="K11" s="74">
        <v>25</v>
      </c>
      <c r="L11" s="74">
        <v>25</v>
      </c>
      <c r="M11" s="74">
        <v>17</v>
      </c>
      <c r="N11" s="74">
        <v>19</v>
      </c>
      <c r="O11" s="74">
        <v>22</v>
      </c>
      <c r="P11" s="74">
        <v>16</v>
      </c>
      <c r="Q11" s="74">
        <v>17</v>
      </c>
      <c r="R11" s="74">
        <v>23</v>
      </c>
      <c r="S11" s="74">
        <v>13</v>
      </c>
      <c r="T11" s="74">
        <v>17</v>
      </c>
      <c r="U11" s="74">
        <v>18</v>
      </c>
      <c r="V11" s="74">
        <v>24</v>
      </c>
      <c r="W11" s="74">
        <v>23</v>
      </c>
      <c r="X11" s="74">
        <v>13</v>
      </c>
      <c r="Y11" s="74">
        <v>17</v>
      </c>
      <c r="Z11" s="74">
        <v>17</v>
      </c>
      <c r="AA11" s="74">
        <v>16</v>
      </c>
      <c r="AB11" s="74">
        <v>8</v>
      </c>
      <c r="AC11" s="74">
        <v>16</v>
      </c>
      <c r="AD11" s="74">
        <v>17</v>
      </c>
      <c r="AE11" s="74">
        <v>20</v>
      </c>
    </row>
    <row r="12" spans="1:99" ht="9.9499999999999993" customHeight="1" ph="1"/>
    <row r="13" spans="1:99" s="72" customFormat="1" ht="29.25" customHeight="1" ph="1">
      <c r="B13" s="212" t="s" ph="1">
        <v>37</v>
      </c>
      <c r="C13" s="146" t="s" ph="1">
        <v>210</v>
      </c>
      <c r="D13" s="76" t="s" ph="1">
        <v>53</v>
      </c>
      <c r="E13" s="76" t="s" ph="1">
        <v>54</v>
      </c>
      <c r="F13" s="76" t="s" ph="1">
        <v>66</v>
      </c>
      <c r="G13" s="76" t="s" ph="1">
        <v>67</v>
      </c>
      <c r="H13" s="76" t="s" ph="1">
        <v>154</v>
      </c>
      <c r="I13" s="76" t="s" ph="1">
        <v>68</v>
      </c>
      <c r="J13" s="76" t="s" ph="1">
        <v>155</v>
      </c>
      <c r="K13" s="76" t="s" ph="1">
        <v>63</v>
      </c>
      <c r="L13" s="76" t="s" ph="1">
        <v>69</v>
      </c>
      <c r="M13" s="76" t="s" ph="1">
        <v>70</v>
      </c>
      <c r="N13" s="76" t="s" ph="1">
        <v>156</v>
      </c>
      <c r="O13" s="76" t="s" ph="1">
        <v>64</v>
      </c>
      <c r="P13" s="76" t="s" ph="1">
        <v>71</v>
      </c>
      <c r="Q13" s="76" t="s" ph="1">
        <v>72</v>
      </c>
      <c r="R13" s="76" t="s" ph="1">
        <v>73</v>
      </c>
      <c r="S13" s="76" t="s" ph="1">
        <v>74</v>
      </c>
      <c r="T13" s="76" t="s" ph="1">
        <v>75</v>
      </c>
      <c r="U13" s="76" t="s" ph="1">
        <v>76</v>
      </c>
      <c r="V13" s="76" t="s" ph="1">
        <v>157</v>
      </c>
      <c r="W13" s="76" t="s" ph="1">
        <v>158</v>
      </c>
      <c r="X13" s="76" t="s" ph="1">
        <v>159</v>
      </c>
      <c r="Y13" s="105" t="s" ph="1">
        <v>77</v>
      </c>
      <c r="Z13" s="76" t="s" ph="1">
        <v>86</v>
      </c>
      <c r="AA13" s="76" t="s" ph="1">
        <v>160</v>
      </c>
      <c r="AB13" s="76" t="s" ph="1">
        <v>161</v>
      </c>
      <c r="AC13" s="76" t="s" ph="1">
        <v>162</v>
      </c>
      <c r="AD13" s="76" t="s" ph="1">
        <v>163</v>
      </c>
      <c r="AE13" s="76" t="s" ph="1">
        <v>164</v>
      </c>
      <c r="AG13" s="72" t="s" ph="1">
        <v>369</v>
      </c>
      <c r="AH13" s="72" t="s" ph="1">
        <v>232</v>
      </c>
      <c r="AI13" s="72" t="s" ph="1">
        <v>233</v>
      </c>
      <c r="AJ13" s="72" t="s" ph="1">
        <v>234</v>
      </c>
      <c r="AK13" s="72" t="s" ph="1">
        <v>235</v>
      </c>
      <c r="AL13" s="72" t="s" ph="1">
        <v>236</v>
      </c>
      <c r="AM13" s="72" t="s" ph="1">
        <v>237</v>
      </c>
      <c r="AN13" s="72" t="s" ph="1">
        <v>238</v>
      </c>
      <c r="AO13" s="72" t="s" ph="1">
        <v>239</v>
      </c>
      <c r="AP13" s="72" t="s" ph="1">
        <v>240</v>
      </c>
      <c r="AQ13" s="72" t="s" ph="1">
        <v>241</v>
      </c>
      <c r="AR13" s="72" t="s" ph="1">
        <v>242</v>
      </c>
      <c r="AS13" s="72" t="s" ph="1">
        <v>243</v>
      </c>
      <c r="AT13" s="72" t="s" ph="1">
        <v>244</v>
      </c>
      <c r="AU13" s="72" t="s" ph="1">
        <v>245</v>
      </c>
      <c r="AV13" s="72" t="s" ph="1">
        <v>246</v>
      </c>
      <c r="AW13" s="72" t="s" ph="1">
        <v>247</v>
      </c>
      <c r="AX13" s="72" t="s" ph="1">
        <v>248</v>
      </c>
      <c r="AY13" s="72" t="s" ph="1">
        <v>370</v>
      </c>
      <c r="AZ13" s="72" t="s" ph="1">
        <v>249</v>
      </c>
      <c r="BA13" s="72" t="s" ph="1">
        <v>250</v>
      </c>
      <c r="BB13" s="72" t="s" ph="1">
        <v>635</v>
      </c>
      <c r="BC13" s="72" t="s" ph="1">
        <v>251</v>
      </c>
      <c r="BD13" s="72" t="s" ph="1">
        <v>371</v>
      </c>
      <c r="BE13" s="72" t="s" ph="1">
        <v>372</v>
      </c>
      <c r="BF13" s="72" t="s" ph="1">
        <v>373</v>
      </c>
      <c r="BG13" s="72" t="s" ph="1">
        <v>374</v>
      </c>
      <c r="BH13" s="72" t="s" ph="1">
        <v>375</v>
      </c>
    </row>
    <row r="14" spans="1:99" s="72" customFormat="1" ht="24" ph="1">
      <c r="B14" s="213" ph="1"/>
      <c r="C14" s="67" t="s" ph="1">
        <v>36</v>
      </c>
      <c r="D14" s="77" t="s" ph="1">
        <v>131</v>
      </c>
      <c r="E14" s="77" t="s" ph="1">
        <v>131</v>
      </c>
      <c r="F14" s="153" t="s" ph="1">
        <v>656</v>
      </c>
      <c r="G14" s="77" t="s" ph="1">
        <v>220</v>
      </c>
      <c r="H14" s="77" t="s" ph="1">
        <v>648</v>
      </c>
      <c r="I14" s="77" t="s" ph="1">
        <v>65</v>
      </c>
      <c r="J14" s="77" t="s" ph="1">
        <v>230</v>
      </c>
      <c r="K14" s="77" t="s" ph="1">
        <v>226</v>
      </c>
      <c r="L14" s="77" t="s" ph="1">
        <v>41</v>
      </c>
      <c r="M14" s="104" t="s" ph="1">
        <v>225</v>
      </c>
      <c r="N14" s="104" t="s" ph="1">
        <v>221</v>
      </c>
      <c r="O14" s="104" t="s" ph="1">
        <v>229</v>
      </c>
      <c r="P14" s="77" t="s" ph="1">
        <v>82</v>
      </c>
      <c r="Q14" s="77" t="s" ph="1">
        <v>82</v>
      </c>
      <c r="R14" s="88" t="s" ph="1">
        <v>7</v>
      </c>
      <c r="S14" s="77" t="s" ph="1">
        <v>82</v>
      </c>
      <c r="T14" s="77" t="s" ph="1">
        <v>98</v>
      </c>
      <c r="U14" s="77" t="s" ph="1">
        <v>103</v>
      </c>
      <c r="V14" s="77" t="s" ph="1">
        <v>649</v>
      </c>
      <c r="W14" s="77" t="s" ph="1">
        <v>223</v>
      </c>
      <c r="X14" s="77" t="s" ph="1">
        <v>78</v>
      </c>
      <c r="Y14" s="144" t="s" ph="1">
        <v>0</v>
      </c>
      <c r="Z14" s="77" t="s" ph="1">
        <v>62</v>
      </c>
      <c r="AA14" s="77" t="s" ph="1">
        <v>88</v>
      </c>
      <c r="AB14" s="145" t="s" ph="1">
        <v>653</v>
      </c>
      <c r="AC14" s="152" t="s" ph="1">
        <v>653</v>
      </c>
      <c r="AD14" s="77" t="s" ph="1">
        <v>136</v>
      </c>
      <c r="AE14" s="77" t="s" ph="1">
        <v>136</v>
      </c>
      <c r="AG14" s="72" t="s" ph="1">
        <v>252</v>
      </c>
      <c r="AI14" s="72" t="s" ph="1">
        <v>253</v>
      </c>
      <c r="AJ14" s="72" t="s" ph="1">
        <v>376</v>
      </c>
      <c r="AK14" s="72" t="s" ph="1">
        <v>254</v>
      </c>
      <c r="AM14" s="72" t="s" ph="1">
        <v>256</v>
      </c>
      <c r="AN14" s="72" t="s" ph="1">
        <v>254</v>
      </c>
      <c r="AO14" s="72" t="s" ph="1">
        <v>255</v>
      </c>
      <c r="AP14" s="72" t="s" ph="1">
        <v>256</v>
      </c>
      <c r="AQ14" s="72" t="s" ph="1">
        <v>254</v>
      </c>
      <c r="AR14" s="72" t="s" ph="1">
        <v>255</v>
      </c>
      <c r="AS14" s="72" t="s" ph="1">
        <v>256</v>
      </c>
      <c r="AT14" s="72" t="s" ph="1">
        <v>254</v>
      </c>
      <c r="AU14" s="72" t="s" ph="1">
        <v>255</v>
      </c>
      <c r="AV14" s="72" t="s" ph="1">
        <v>256</v>
      </c>
      <c r="AW14" s="72" t="s" ph="1">
        <v>254</v>
      </c>
      <c r="AX14" s="72" t="s" ph="1">
        <v>255</v>
      </c>
      <c r="AY14" s="72" t="s" ph="1">
        <v>256</v>
      </c>
      <c r="AZ14" s="72" t="s" ph="1">
        <v>255</v>
      </c>
    </row>
    <row r="15" spans="1:99" ph="1">
      <c r="B15" s="214" ph="1">
        <v>0.33333333333333331</v>
      </c>
      <c r="C15" s="146" t="s" ph="1">
        <v>211</v>
      </c>
      <c r="D15" s="78">
        <v>2195</v>
      </c>
      <c r="E15" s="78">
        <v>2403</v>
      </c>
      <c r="F15" s="78">
        <v>2510</v>
      </c>
      <c r="G15" s="78">
        <v>2355</v>
      </c>
      <c r="H15" s="78">
        <v>1077</v>
      </c>
      <c r="I15" s="78">
        <v>12</v>
      </c>
      <c r="J15" s="78">
        <v>7</v>
      </c>
      <c r="K15" s="78">
        <v>1815</v>
      </c>
      <c r="L15" s="78">
        <v>1787</v>
      </c>
      <c r="M15" s="78">
        <v>6905</v>
      </c>
      <c r="N15" s="78">
        <v>1430</v>
      </c>
      <c r="O15" s="78">
        <v>3401</v>
      </c>
      <c r="P15" s="78">
        <v>3417</v>
      </c>
      <c r="Q15" s="78">
        <v>6080</v>
      </c>
      <c r="R15" s="78">
        <v>3492</v>
      </c>
      <c r="S15" s="78">
        <v>5617</v>
      </c>
      <c r="T15" s="78">
        <v>3499</v>
      </c>
      <c r="U15" s="78">
        <v>1759</v>
      </c>
      <c r="V15" s="78">
        <v>2785</v>
      </c>
      <c r="W15" s="78">
        <v>-593</v>
      </c>
      <c r="X15" s="78">
        <v>1117</v>
      </c>
      <c r="Y15" s="106">
        <v>-9901</v>
      </c>
      <c r="Z15" s="78">
        <v>0</v>
      </c>
      <c r="AA15" s="78">
        <v>33</v>
      </c>
      <c r="AB15" s="78" ph="1">
        <v>6276</v>
      </c>
      <c r="AC15" s="78">
        <v>6507</v>
      </c>
      <c r="AD15" s="78">
        <v>9.2100000000000009</v>
      </c>
      <c r="AE15" s="78">
        <v>84.56</v>
      </c>
      <c r="AG15" s="64" t="s" ph="1">
        <v>258</v>
      </c>
      <c r="AH15" s="64" ph="1">
        <v>1</v>
      </c>
      <c r="AI15" s="64" t="s" ph="1">
        <v>377</v>
      </c>
      <c r="AK15" s="64" t="s" ph="1">
        <v>631</v>
      </c>
      <c r="AM15" s="64" t="s" ph="1">
        <v>379</v>
      </c>
      <c r="AZ15" s="64" t="s" ph="1">
        <v>260</v>
      </c>
      <c r="BA15" s="64" ph="1">
        <v>0</v>
      </c>
    </row>
    <row r="16" spans="1:99" s="72" customFormat="1" ht="22.5" ph="1">
      <c r="B16" s="215" ph="1"/>
      <c r="C16" s="146" t="s" ph="1">
        <v>212</v>
      </c>
      <c r="D16" s="73" ph="1">
        <f>D15*7.0686*LOOKUP(D17,密度!$A$2:$A$50,密度!$L$2:$L$50)</f>
        <v>14677.735841999998</v>
      </c>
      <c r="E16" s="73" ph="1">
        <f>E15*7.0686*LOOKUP(E17,密度!$A$2:$A$50,密度!$L$2:$L$50)</f>
        <v>16068.610126799998</v>
      </c>
      <c r="F16" s="73" ph="1">
        <f>F15*9.0746*LOOKUP(F17,密度!$A$2:$A$50,密度!$L$2:$L$50)</f>
        <v>21524.497469999998</v>
      </c>
      <c r="G16" s="73" ph="1">
        <f>G15*9.0746*LOOKUP(G17,密度!$A$2:$A$50,密度!$B$2:$B$50)</f>
        <v>16823.001657600002</v>
      </c>
      <c r="H16" s="73" ph="1">
        <f>H15*9.0746*LOOKUP(H17,密度!$A$2:$A$50,密度!$L$2:$L$50)</f>
        <v>9274.9036457999991</v>
      </c>
      <c r="I16" s="73" ph="1">
        <f>I15*9.0746*LOOKUP(I17,密度!$A$2:$A$50,密度!$U$2:$U$50)</f>
        <v>111.94426560000001</v>
      </c>
      <c r="J16" s="73" ph="1">
        <f>J15*9.0746*LOOKUP(J17,密度!$A$2:$A$50,密度!$L$2:$L$50)</f>
        <v>60.092001199999999</v>
      </c>
      <c r="K16" s="73" ph="1">
        <f>K15*9.0746*LOOKUP(K17,密度!$A$2:$A$50,密度!$C$2:$C$50)</f>
        <v>18367.788964800002</v>
      </c>
      <c r="L16" s="73" ph="1">
        <f>L15*9.0746*LOOKUP(L17,密度!$A$2:$A$50,密度!$E$2:$E$50)</f>
        <v>12869.263774719999</v>
      </c>
      <c r="M16" s="73" ph="1">
        <f>M15*9.0746*LOOKUP(M17,密度!$A$2:$A$50,密度!$M$2:$M$50)</f>
        <v>55159.6974739</v>
      </c>
      <c r="N16" s="73" ph="1">
        <f>N15*9.0746*LOOKUP(N17,密度!$A$2:$A$50,密度!$M$2:$M$50)</f>
        <v>11423.369643399999</v>
      </c>
      <c r="O16" s="73" ph="1">
        <f>O15*9.0746*LOOKUP(O17,密度!$A$2:$A$50,密度!$G$2:$G$50)</f>
        <v>29973.868419519997</v>
      </c>
      <c r="P16" s="73" ph="1">
        <f ca="1">P15*9.0746*LOOKUP(P17,密度!$A$2:$A$51,密度!$Q$2:$Q$50)</f>
        <v>29544.334932960002</v>
      </c>
      <c r="Q16" s="73" ph="1">
        <f>Q15*9.0746*LOOKUP(Q17,密度!$A$2:$A$50,密度!$Q$2:$Q$50)</f>
        <v>52613.514444799999</v>
      </c>
      <c r="R16" s="73" ph="1">
        <f>MAX(R15*9.0746*LOOKUP(R17,密度!$A$2:$A$50,密度!$B$2:$B$50),0)</f>
        <v>24919.838916479999</v>
      </c>
      <c r="S16" s="73" ph="1">
        <f>S15*9.0746*LOOKUP(S17,密度!$A$2:$A$50,密度!$Q$2:$Q$50)</f>
        <v>48566.148468959997</v>
      </c>
      <c r="T16" s="73" ph="1">
        <f>T15*9.0746*LOOKUP(T17,密度!$A$2:$A$50,密度!$O$2:$O$50)</f>
        <v>29656.391723600005</v>
      </c>
      <c r="U16" s="73" ph="1">
        <f>U15*9.0746*LOOKUP(U17,密度!$A$2:$A$50,密度!$H$2:$H$50)</f>
        <v>14776.22834998</v>
      </c>
      <c r="V16" s="73" ph="1">
        <f>MAX(5600*LOOKUP(V17,密度!$A$2:$A$50,密度!$Q$2:$Q$50)+V15*9.0476*LOOKUP(V17,密度!$A$2:$A$50,密度!$Q$2:$Q$50),0)</f>
        <v>29397.50864964</v>
      </c>
      <c r="W16" s="73" ph="1">
        <f>MAX(5600*LOOKUP(W17,密度!$A$2:$A$50,密度!$Q$2:$Q$50)+W15*9.0476*LOOKUP(W17,密度!$A$2:$A$50,密度!$Q$2:$Q$50),0)</f>
        <v>223.87972351999997</v>
      </c>
      <c r="X16" s="73" ph="1">
        <f>MAX(5600*LOOKUP(X17,密度!$A$2:$A$50,密度!$I$2:$I$50)+X15*9.0476*LOOKUP(X17,密度!$A$2:$A$50,密度!$I$2:$I$50),0)</f>
        <v>16176.726029231999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236.24541402</v>
      </c>
      <c r="AB16" s="73" ph="1">
        <f>AB15*9.0746*LOOKUP(AB17,密度!$A$2:$A$50,密度!$L$2:$L$50)</f>
        <v>53819.819171999996</v>
      </c>
      <c r="AC16" s="73" ph="1">
        <f>AC15*9.0746*LOOKUP(AC17,密度!$A$2:$A$50,密度!$L$2:$L$50)</f>
        <v>55918.855823400001</v>
      </c>
      <c r="AD16" s="73" ph="1">
        <f>AD15*268.68*LOOKUP(AD17,密度!$A$2:$A$50,密度!B2:B50)+IF(AD15&lt;=0,0,1566*LOOKUP(AD17,密度!$A$2:$A$50,密度!B2:B50))</f>
        <v>3150.0071668800001</v>
      </c>
      <c r="AE16" s="73" ph="1">
        <f>AE15*268.68*LOOKUP(AE17,密度!$A$2:$A$50,密度!B2:B50)+IF(AE15&lt;=0,0,1566*LOOKUP(AE17,密度!$A$2:$A$50,密度!B2:B50))</f>
        <v>18933.038791679999</v>
      </c>
      <c r="AH16" s="72" ph="1">
        <v>2</v>
      </c>
      <c r="AI16" s="72" t="s" ph="1">
        <v>381</v>
      </c>
      <c r="AZ16" s="72" t="s" ph="1">
        <v>260</v>
      </c>
      <c r="BA16" s="72" ph="1">
        <v>0</v>
      </c>
    </row>
    <row r="17" spans="1:57" ph="1">
      <c r="A17" s="64" t="s" ph="1">
        <v>85</v>
      </c>
      <c r="B17" s="216" ph="1"/>
      <c r="C17" s="79" t="s" ph="1">
        <v>213</v>
      </c>
      <c r="D17" s="74">
        <v>16</v>
      </c>
      <c r="E17" s="74">
        <v>16</v>
      </c>
      <c r="F17" s="74">
        <v>17</v>
      </c>
      <c r="G17" s="74">
        <v>16</v>
      </c>
      <c r="H17" s="74">
        <v>13</v>
      </c>
      <c r="I17" s="74">
        <v>15</v>
      </c>
      <c r="J17" s="74">
        <v>16</v>
      </c>
      <c r="K17" s="74">
        <v>16</v>
      </c>
      <c r="L17" s="74">
        <v>16</v>
      </c>
      <c r="M17" s="74">
        <v>17</v>
      </c>
      <c r="N17" s="74">
        <v>16</v>
      </c>
      <c r="O17" s="74">
        <v>15</v>
      </c>
      <c r="P17" s="74">
        <v>17</v>
      </c>
      <c r="Q17" s="74">
        <v>16</v>
      </c>
      <c r="R17" s="74">
        <v>17</v>
      </c>
      <c r="S17" s="74">
        <v>17</v>
      </c>
      <c r="T17" s="74">
        <v>16</v>
      </c>
      <c r="U17" s="74">
        <v>14</v>
      </c>
      <c r="V17" s="74">
        <v>15</v>
      </c>
      <c r="W17" s="74">
        <v>16</v>
      </c>
      <c r="X17" s="74">
        <v>36</v>
      </c>
      <c r="Y17" s="108">
        <v>36</v>
      </c>
      <c r="Z17" s="74">
        <v>16</v>
      </c>
      <c r="AA17" s="74">
        <v>14</v>
      </c>
      <c r="AB17" s="74">
        <v>17</v>
      </c>
      <c r="AC17" s="74">
        <v>15</v>
      </c>
      <c r="AD17" s="74">
        <v>25</v>
      </c>
      <c r="AE17" s="74">
        <v>25</v>
      </c>
      <c r="AH17" s="64" ph="1">
        <v>3</v>
      </c>
      <c r="AI17" s="64" t="s" ph="1">
        <v>382</v>
      </c>
      <c r="AK17" s="64" t="s" ph="1">
        <v>614</v>
      </c>
      <c r="AL17" s="64" ph="1">
        <v>80</v>
      </c>
      <c r="AM17" s="64" t="s" ph="1">
        <v>379</v>
      </c>
      <c r="AZ17" s="64" t="s" ph="1">
        <v>260</v>
      </c>
      <c r="BA17" s="64" ph="1">
        <v>80</v>
      </c>
      <c r="BD17" s="64" t="s" ph="1">
        <v>258</v>
      </c>
      <c r="BE17" s="64" ph="1">
        <v>2270</v>
      </c>
    </row>
    <row r="18" spans="1:57" ph="1">
      <c r="B18" s="214" ph="1">
        <v>0.66666666666666663</v>
      </c>
      <c r="C18" s="79" t="s" ph="1">
        <v>214</v>
      </c>
      <c r="D18" s="71">
        <v>2198</v>
      </c>
      <c r="E18" s="71">
        <v>1216</v>
      </c>
      <c r="F18" s="71">
        <v>2611</v>
      </c>
      <c r="G18" s="71">
        <v>2380</v>
      </c>
      <c r="H18" s="71">
        <v>1077</v>
      </c>
      <c r="I18" s="71">
        <v>11</v>
      </c>
      <c r="J18" s="71">
        <v>2419</v>
      </c>
      <c r="K18" s="71">
        <v>1815</v>
      </c>
      <c r="L18" s="71">
        <v>1707</v>
      </c>
      <c r="M18" s="71">
        <v>3958</v>
      </c>
      <c r="N18" s="71">
        <v>1430</v>
      </c>
      <c r="O18" s="71">
        <v>3694</v>
      </c>
      <c r="P18" s="71">
        <v>3419</v>
      </c>
      <c r="Q18" s="71">
        <v>6083</v>
      </c>
      <c r="R18" s="71">
        <v>3495</v>
      </c>
      <c r="S18" s="71">
        <v>5620</v>
      </c>
      <c r="T18" s="71">
        <v>2425</v>
      </c>
      <c r="U18" s="71">
        <v>2759</v>
      </c>
      <c r="V18" s="71">
        <v>970</v>
      </c>
      <c r="W18" s="71">
        <v>-593</v>
      </c>
      <c r="X18" s="71">
        <v>1118</v>
      </c>
      <c r="Y18" s="109">
        <v>-9901</v>
      </c>
      <c r="Z18" s="71">
        <v>0</v>
      </c>
      <c r="AA18" s="71">
        <v>31</v>
      </c>
      <c r="AB18" s="71">
        <v>6282</v>
      </c>
      <c r="AC18" s="71">
        <v>6510</v>
      </c>
      <c r="AD18" s="71">
        <v>32.81</v>
      </c>
      <c r="AE18" s="71">
        <v>84.32</v>
      </c>
      <c r="AH18" s="64" ph="1">
        <v>4</v>
      </c>
      <c r="AI18" s="64" t="s" ph="1">
        <v>384</v>
      </c>
      <c r="AJ18" s="64" t="s" ph="1">
        <v>632</v>
      </c>
      <c r="AK18" s="64" t="s" ph="1">
        <v>631</v>
      </c>
      <c r="AL18" s="64" ph="1">
        <v>740</v>
      </c>
      <c r="AM18" s="64" t="s" ph="1">
        <v>383</v>
      </c>
      <c r="AZ18" s="64" t="s" ph="1">
        <v>260</v>
      </c>
      <c r="BA18" s="64" ph="1">
        <v>740</v>
      </c>
    </row>
    <row r="19" spans="1:57" s="72" customFormat="1" ht="22.5" ph="1">
      <c r="B19" s="215" ph="1"/>
      <c r="C19" s="146" t="s" ph="1">
        <v>212</v>
      </c>
      <c r="D19" s="73" ph="1">
        <f>D18*7.0686*LOOKUP(D20,密度!$A$2:$A$50,密度!$L$2:$L$50)</f>
        <v>14682.259746</v>
      </c>
      <c r="E19" s="73" ph="1">
        <f>E18*7.0686*LOOKUP(E20,密度!$A$2:$A$50,密度!$L$2:$L$50)</f>
        <v>8122.6696320000001</v>
      </c>
      <c r="F19" s="73" ph="1">
        <f>F18*9.0746*LOOKUP(F20,密度!$A$2:$A$50,密度!$L$2:$L$50)</f>
        <v>22343.235105800002</v>
      </c>
      <c r="G19" s="73" ph="1">
        <f>G18*9.0746*LOOKUP(G20,密度!$A$2:$A$50,密度!$B$2:$B$50)</f>
        <v>16969.193463599997</v>
      </c>
      <c r="H19" s="73" ph="1">
        <f>H18*9.0746*LOOKUP(H20,密度!$A$2:$A$50,密度!$L$2:$L$50)</f>
        <v>9245.5836131999986</v>
      </c>
      <c r="I19" s="73" ph="1">
        <f>I18*9.0746*LOOKUP(I20,密度!$A$2:$A$50,密度!$U$2:$U$50)</f>
        <v>102.6155768</v>
      </c>
      <c r="J19" s="73" ph="1">
        <f>J18*9.0746*LOOKUP(J20,密度!$A$2:$A$50,密度!$L$2:$L$50)</f>
        <v>20722.175785599997</v>
      </c>
      <c r="K19" s="73" ph="1">
        <f>K18*9.0746*LOOKUP(K20,密度!$A$2:$A$50,密度!$C$2:$C$50)</f>
        <v>18346.377446099999</v>
      </c>
      <c r="L19" s="73" ph="1">
        <f>L18*9.0746*LOOKUP(L20,密度!$A$2:$A$50,密度!$E$2:$E$50)</f>
        <v>12259.05681708</v>
      </c>
      <c r="M19" s="73" ph="1">
        <f>M18*9.0746*LOOKUP(M20,密度!$A$2:$A$50,密度!$M$2:$M$50)</f>
        <v>31617.969964039996</v>
      </c>
      <c r="N19" s="73" ph="1">
        <f>N18*9.0746*LOOKUP(N20,密度!$A$2:$A$50,密度!$M$2:$M$50)</f>
        <v>11423.369643399999</v>
      </c>
      <c r="O19" s="73" ph="1">
        <f>O18*9.0746*LOOKUP(O20,密度!$A$2:$A$50,密度!$G$2:$G$50)</f>
        <v>32378.486781159998</v>
      </c>
      <c r="P19" s="73" ph="1">
        <f ca="1">P18*9.0746*LOOKUP(P20,密度!$A$2:$A$51,密度!$Q$2:$Q$50)</f>
        <v>29537.116905374001</v>
      </c>
      <c r="Q19" s="73" ph="1">
        <f>Q18*9.0746*LOOKUP(Q20,密度!$A$2:$A$50,密度!$Q$2:$Q$50)</f>
        <v>52595.314427040001</v>
      </c>
      <c r="R19" s="73" ph="1">
        <f>MAX(R18*9.0746*LOOKUP(R20,密度!$A$2:$A$50,密度!$B$2:$B$50),0)</f>
        <v>24868.301540700002</v>
      </c>
      <c r="S19" s="73" ph="1">
        <f>S18*9.0746*LOOKUP(S20,密度!$A$2:$A$50,密度!$Q$2:$Q$50)</f>
        <v>48592.087305599998</v>
      </c>
      <c r="T19" s="73" ph="1">
        <f>T18*9.0746*LOOKUP(T20,密度!$A$2:$A$50,密度!$O$2:$O$50)</f>
        <v>20553.51527</v>
      </c>
      <c r="U19" s="73" ph="1">
        <f>U18*9.0746*LOOKUP(U20,密度!$A$2:$A$50,密度!$H$2:$H$50)</f>
        <v>23126.511927179999</v>
      </c>
      <c r="V19" s="73" ph="1">
        <f>MAX(5600*LOOKUP(V20,密度!$A$2:$A$50,密度!$Q$2:$Q$50)+V18*9.0476*LOOKUP(V20,密度!$A$2:$A$50,密度!$Q$2:$Q$50),0)</f>
        <v>13722.631220880001</v>
      </c>
      <c r="W19" s="73" ph="1">
        <f>MAX(5600*LOOKUP(W20,密度!$A$2:$A$50,密度!$Q$2:$Q$50)+W18*9.0476*LOOKUP(W20,密度!$A$2:$A$50,密度!$Q$2:$Q$50),0)</f>
        <v>223.69190496000101</v>
      </c>
      <c r="X19" s="73" ph="1">
        <f>MAX(5600*LOOKUP(X20,密度!$A$2:$A$50,密度!$I$2:$I$50)+X18*9.0476*LOOKUP(X20,密度!$A$2:$A$50,密度!$I$2:$I$50),0)</f>
        <v>16220.932476624001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221.67432880000004</v>
      </c>
      <c r="AB19" s="73" ph="1">
        <f>AB18*9.0746*LOOKUP(AB20,密度!$A$2:$A$50,密度!$L$2:$L$50)</f>
        <v>53871.272153999998</v>
      </c>
      <c r="AC19" s="73" ph="1">
        <f>AC18*9.0746*LOOKUP(AC20,密度!$A$2:$A$50,密度!$L$2:$L$50)</f>
        <v>55885.561115999997</v>
      </c>
      <c r="AD19" s="73" ph="1">
        <f>AD18*268.68*LOOKUP(AD20,密度!$A$2:$A$50,密度!B5:B53)+IF(AD18&lt;=0,0,1566*LOOKUP(AD20,密度!$A$2:$A$50,密度!B5:B53))</f>
        <v>8066.3406516000014</v>
      </c>
      <c r="AE19" s="73" ph="1">
        <f>AE18*268.68*LOOKUP(AE20,密度!$A$2:$A$50,密度!B5:B53)+IF(AE18&lt;=0,0,1566*LOOKUP(AE20,密度!$A$2:$A$50,密度!B5:B53))</f>
        <v>18819.792835199998</v>
      </c>
      <c r="AH19" s="72" ph="1">
        <v>5</v>
      </c>
      <c r="AI19" s="72" t="s" ph="1">
        <v>385</v>
      </c>
      <c r="AZ19" s="72" t="s" ph="1">
        <v>260</v>
      </c>
      <c r="BA19" s="72" ph="1">
        <v>0</v>
      </c>
      <c r="BD19" s="72" t="s" ph="1">
        <v>386</v>
      </c>
      <c r="BE19" s="72" ph="1">
        <v>1440</v>
      </c>
    </row>
    <row r="20" spans="1:57" ph="1">
      <c r="A20" s="72" ph="1"/>
      <c r="B20" s="215" ph="1"/>
      <c r="C20" s="80" t="s" ph="1">
        <v>213</v>
      </c>
      <c r="D20" s="81">
        <v>17</v>
      </c>
      <c r="E20" s="81">
        <v>17</v>
      </c>
      <c r="F20" s="81">
        <v>19</v>
      </c>
      <c r="G20" s="81">
        <v>18</v>
      </c>
      <c r="H20" s="81">
        <v>16</v>
      </c>
      <c r="I20" s="81">
        <v>18</v>
      </c>
      <c r="J20" s="81">
        <v>18</v>
      </c>
      <c r="K20" s="81">
        <v>18</v>
      </c>
      <c r="L20" s="81">
        <v>18</v>
      </c>
      <c r="M20" s="81">
        <v>20</v>
      </c>
      <c r="N20" s="81">
        <v>18</v>
      </c>
      <c r="O20" s="81">
        <v>20</v>
      </c>
      <c r="P20" s="81">
        <v>18</v>
      </c>
      <c r="Q20" s="81">
        <v>17</v>
      </c>
      <c r="R20" s="81">
        <v>20</v>
      </c>
      <c r="S20" s="81">
        <v>17</v>
      </c>
      <c r="T20" s="81">
        <v>18</v>
      </c>
      <c r="U20" s="81">
        <v>16</v>
      </c>
      <c r="V20" s="81">
        <v>15</v>
      </c>
      <c r="W20" s="81">
        <v>17</v>
      </c>
      <c r="X20" s="81">
        <v>34</v>
      </c>
      <c r="Y20" s="110">
        <v>34</v>
      </c>
      <c r="Z20" s="81">
        <v>20</v>
      </c>
      <c r="AA20" s="81">
        <v>15</v>
      </c>
      <c r="AB20" s="81">
        <v>17</v>
      </c>
      <c r="AC20" s="81">
        <v>16</v>
      </c>
      <c r="AD20" s="81">
        <v>25</v>
      </c>
      <c r="AE20" s="81">
        <v>25</v>
      </c>
      <c r="AH20" s="64" ph="1">
        <v>6</v>
      </c>
      <c r="AI20" s="64" t="s" ph="1">
        <v>387</v>
      </c>
      <c r="AZ20" s="64" t="s" ph="1">
        <v>260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388</v>
      </c>
      <c r="AZ21" s="64" t="s" ph="1">
        <v>260</v>
      </c>
      <c r="BA21" s="64" ph="1">
        <v>0</v>
      </c>
      <c r="BD21" s="64" t="s" ph="1">
        <v>276</v>
      </c>
      <c r="BE21" s="64" ph="1">
        <v>730</v>
      </c>
    </row>
    <row r="22" spans="1:57" ph="1">
      <c r="A22" s="72" ph="1"/>
      <c r="B22" s="213" t="s" ph="1">
        <v>37</v>
      </c>
      <c r="C22" s="85" t="s" ph="1">
        <v>210</v>
      </c>
      <c r="D22" s="86" t="s" ph="1">
        <v>104</v>
      </c>
      <c r="E22" s="86" t="s" ph="1">
        <v>105</v>
      </c>
      <c r="F22" s="86" t="s" ph="1">
        <v>106</v>
      </c>
      <c r="G22" s="86" t="s" ph="1">
        <v>107</v>
      </c>
      <c r="H22" s="86" t="s" ph="1">
        <v>108</v>
      </c>
      <c r="I22" s="86" t="s" ph="1">
        <v>109</v>
      </c>
      <c r="J22" s="86" t="s" ph="1">
        <v>110</v>
      </c>
      <c r="K22" s="86" t="s" ph="1">
        <v>111</v>
      </c>
      <c r="L22" s="86" t="s" ph="1">
        <v>112</v>
      </c>
      <c r="M22" s="86" t="s" ph="1">
        <v>113</v>
      </c>
      <c r="N22" s="86" t="s" ph="1">
        <v>114</v>
      </c>
      <c r="O22" s="86" t="s" ph="1">
        <v>115</v>
      </c>
      <c r="P22" s="86" t="s" ph="1">
        <v>116</v>
      </c>
      <c r="Q22" s="87" t="s" ph="1">
        <v>117</v>
      </c>
      <c r="R22" s="86" t="s" ph="1">
        <v>118</v>
      </c>
      <c r="S22" s="86" t="s" ph="1">
        <v>119</v>
      </c>
      <c r="T22" s="86" t="s" ph="1">
        <v>120</v>
      </c>
      <c r="U22" s="86" t="s" ph="1">
        <v>121</v>
      </c>
      <c r="V22" s="86" t="s" ph="1">
        <v>122</v>
      </c>
      <c r="W22" s="86" t="s" ph="1">
        <v>123</v>
      </c>
      <c r="X22" s="86" t="s" ph="1">
        <v>124</v>
      </c>
      <c r="Y22" s="86" t="s" ph="1">
        <v>126</v>
      </c>
      <c r="Z22" s="223" t="s" ph="1">
        <v>79</v>
      </c>
      <c r="AA22" s="224"/>
      <c r="AB22" s="224"/>
      <c r="AC22" s="224"/>
      <c r="AD22" s="224"/>
      <c r="AE22" s="225"/>
      <c r="AH22" s="64" ph="1">
        <v>8</v>
      </c>
      <c r="AI22" s="64" t="s" ph="1">
        <v>389</v>
      </c>
      <c r="AZ22" s="64" t="s" ph="1">
        <v>260</v>
      </c>
      <c r="BA22" s="64" ph="1">
        <v>0</v>
      </c>
    </row>
    <row r="23" spans="1:57" ph="1">
      <c r="A23" s="72" ph="1"/>
      <c r="B23" s="217" ph="1"/>
      <c r="C23" s="67" t="s" ph="1">
        <v>36</v>
      </c>
      <c r="D23" s="88" t="s" ph="1">
        <v>128</v>
      </c>
      <c r="E23" s="88" t="s" ph="1">
        <v>125</v>
      </c>
      <c r="F23" s="88" t="s" ph="1">
        <v>224</v>
      </c>
      <c r="G23" s="88" t="s" ph="1">
        <v>165</v>
      </c>
      <c r="H23" s="88" t="s" ph="1">
        <v>165</v>
      </c>
      <c r="I23" s="88" t="s" ph="1">
        <v>166</v>
      </c>
      <c r="J23" s="88" t="s" ph="1">
        <v>167</v>
      </c>
      <c r="K23" s="88" t="s" ph="1">
        <v>129</v>
      </c>
      <c r="L23" s="88" t="s" ph="1">
        <v>129</v>
      </c>
      <c r="M23" s="88" t="s" ph="1">
        <v>167</v>
      </c>
      <c r="N23" s="88" t="s" ph="1">
        <v>167</v>
      </c>
      <c r="O23" s="88" t="s" ph="1">
        <v>132</v>
      </c>
      <c r="P23" s="88" t="s" ph="1">
        <v>168</v>
      </c>
      <c r="Q23" s="89" t="s" ph="1">
        <v>168</v>
      </c>
      <c r="R23" s="88" t="s" ph="1">
        <v>169</v>
      </c>
      <c r="S23" s="88" t="s" ph="1">
        <v>170</v>
      </c>
      <c r="T23" s="88" t="s" ph="1">
        <v>651</v>
      </c>
      <c r="U23" s="88" t="s" ph="1">
        <v>171</v>
      </c>
      <c r="V23" s="88" t="s" ph="1">
        <v>172</v>
      </c>
      <c r="W23" s="88" t="s" ph="1">
        <v>170</v>
      </c>
      <c r="X23" s="88" t="s" ph="1">
        <v>231</v>
      </c>
      <c r="Y23" s="88" t="s" ph="1">
        <v>97</v>
      </c>
      <c r="Z23" s="226" t="s" ph="1">
        <v>657</v>
      </c>
      <c r="AA23" s="227"/>
      <c r="AB23" s="227"/>
      <c r="AC23" s="227"/>
      <c r="AD23" s="227"/>
      <c r="AE23" s="228"/>
      <c r="AH23" s="64" ph="1">
        <v>9</v>
      </c>
      <c r="AI23" s="64" t="s" ph="1">
        <v>390</v>
      </c>
      <c r="AZ23" s="64" t="s" ph="1">
        <v>260</v>
      </c>
      <c r="BA23" s="64" ph="1">
        <v>0</v>
      </c>
      <c r="BD23" s="64" t="s" ph="1">
        <v>282</v>
      </c>
      <c r="BE23" s="64" ph="1">
        <v>890</v>
      </c>
    </row>
    <row r="24" spans="1:57" ph="1">
      <c r="A24" s="72" ph="1"/>
      <c r="B24" s="235" ph="1">
        <v>0.33333333333333331</v>
      </c>
      <c r="C24" s="146" t="s" ph="1">
        <v>211</v>
      </c>
      <c r="D24" s="71">
        <v>44.32</v>
      </c>
      <c r="E24" s="71">
        <v>97.62</v>
      </c>
      <c r="F24" s="71">
        <v>2151</v>
      </c>
      <c r="G24" s="71">
        <v>3578</v>
      </c>
      <c r="H24" s="71">
        <v>3120</v>
      </c>
      <c r="I24" s="71">
        <v>2537</v>
      </c>
      <c r="J24" s="71">
        <v>2449</v>
      </c>
      <c r="K24" s="71">
        <v>4460</v>
      </c>
      <c r="L24" s="71">
        <v>5074</v>
      </c>
      <c r="M24" s="71">
        <v>1384</v>
      </c>
      <c r="N24" s="71">
        <v>869</v>
      </c>
      <c r="O24" s="71">
        <v>2055</v>
      </c>
      <c r="P24" s="71">
        <v>2480</v>
      </c>
      <c r="Q24" s="90">
        <v>3402</v>
      </c>
      <c r="R24" s="71">
        <v>2015</v>
      </c>
      <c r="S24" s="71">
        <v>182</v>
      </c>
      <c r="T24" s="71">
        <v>6396</v>
      </c>
      <c r="U24" s="71">
        <v>5177</v>
      </c>
      <c r="V24" s="71">
        <v>5852</v>
      </c>
      <c r="W24" s="71">
        <v>11504</v>
      </c>
      <c r="X24" s="71">
        <v>10672</v>
      </c>
      <c r="Y24" s="71">
        <v>3486</v>
      </c>
      <c r="Z24" s="229"/>
      <c r="AA24" s="230"/>
      <c r="AB24" s="230"/>
      <c r="AC24" s="230"/>
      <c r="AD24" s="230"/>
      <c r="AE24" s="231"/>
      <c r="AH24" s="64" ph="1">
        <v>10</v>
      </c>
      <c r="AI24" s="64" t="s" ph="1">
        <v>391</v>
      </c>
      <c r="AZ24" s="64" t="s" ph="1">
        <v>260</v>
      </c>
      <c r="BA24" s="64" ph="1">
        <v>0</v>
      </c>
    </row>
    <row r="25" spans="1:57" ph="1">
      <c r="A25" s="72" ph="1"/>
      <c r="B25" s="235" ph="1"/>
      <c r="C25" s="68" t="s" ph="1">
        <v>212</v>
      </c>
      <c r="D25" s="91" ph="1">
        <f>D24*268.68*LOOKUP(D26,密度!$A$2:$A$50,密度!$Q$2:$Q$50)+IF(D24&lt;=0,0,1566*LOOKUP(D26,密度!$A$2:$A$50,密度!$Q$2:$Q$50))</f>
        <v>12756.277813824001</v>
      </c>
      <c r="E25" s="91" ph="1">
        <f>E24*268.68*LOOKUP(E26,密度!$A$2:$A$50,密度!$C$2:$C$50)+IF(E24&lt;=0,0,1566*LOOKUP(E26,密度!$A$2:$A$50,密度!$C$2:$C$50))</f>
        <v>30821.367180240002</v>
      </c>
      <c r="F25" s="91" ph="1">
        <f>F24*11.702*LOOKUP(F26,密度!$A$2:$A$50,密度!$Q$2:$Q$50)</f>
        <v>23982.9307056</v>
      </c>
      <c r="G25" s="91" ph="1">
        <f>G24*18.322*LOOKUP(G26,密度!$A$2:$A$50,密度!$B$2:$B$50)</f>
        <v>51605.774515199999</v>
      </c>
      <c r="H25" s="91" ph="1">
        <f>H24*18.322*LOOKUP(H26,密度!$A$2:$A$50,密度!$B$2:$B$50)</f>
        <v>45000.004608000003</v>
      </c>
      <c r="I25" s="91" ph="1">
        <f>I24*18.322*LOOKUP(I26,密度!$A$2:$A$50,密度!$Q$2:$Q$50)</f>
        <v>44369.800729559996</v>
      </c>
      <c r="J25" s="91" ph="1">
        <f>J24*18.322*LOOKUP(J26,密度!$A$2:$A$50,密度!$Q$2:$Q$50)</f>
        <v>42830.761524120004</v>
      </c>
      <c r="K25" s="91" ph="1">
        <f>K24*18.322*LOOKUP(K26,密度!$A$2:$A$50,密度!$Q$2:$Q$50)</f>
        <v>77924.492031999995</v>
      </c>
      <c r="L25" s="91" ph="1">
        <f>L24*18.322*LOOKUP(L26,密度!$A$2:$A$50,密度!$Q$2:$Q$50)</f>
        <v>88739.601459119993</v>
      </c>
      <c r="M25" s="91" ph="1">
        <f>M24*18.322*LOOKUP(M26,密度!$A$2:$A$50,密度!$Q$2:$Q$50)</f>
        <v>24204.88932192</v>
      </c>
      <c r="N25" s="91" ph="1">
        <f>N24*18.322*LOOKUP(N26,密度!$A$2:$A$50,密度!$Q$2:$Q$50)</f>
        <v>15198.012153719999</v>
      </c>
      <c r="O25" s="91" ph="1">
        <f>O24*18.322*LOOKUP(O26,密度!$A$2:$A$50,密度!$C$2:$C$50)</f>
        <v>42011.778017999997</v>
      </c>
      <c r="P25" s="91" ph="1">
        <f>P24*11.702*LOOKUP(P26,密度!$A$2:$A$50,密度!$B$2:$B$50)</f>
        <v>22868.516480000002</v>
      </c>
      <c r="Q25" s="92" ph="1">
        <f>Q24*18.322*LOOKUP(Q26,密度!$A$2:$A$50,密度!$B$2:$B$50)</f>
        <v>49067.312716799999</v>
      </c>
      <c r="R25" s="91" ph="1">
        <f>R24*35.891*LOOKUP(R26,密度!$A$2:$A$50,密度!$C$2:$C$50)</f>
        <v>80651.671047999989</v>
      </c>
      <c r="S25" s="91" ph="1">
        <f>S24*35.891*LOOKUP(S26,密度!$A$2:$A$50,密度!$B$2:$B$50)</f>
        <v>5147.343656</v>
      </c>
      <c r="T25" s="91" ph="1">
        <f>T24*35.891*LOOKUP(T26,密度!$A$2:$A$50,密度!$Q$2:$Q$50)</f>
        <v>218907.3060096</v>
      </c>
      <c r="U25" s="91" ph="1">
        <f>U24*35.891</f>
        <v>185807.70699999999</v>
      </c>
      <c r="V25" s="91" ph="1">
        <f>V24*47.051*LOOKUP(V26,密度!$A$2:$A$50,密度!$B$2:$B$50)</f>
        <v>216969.85217600001</v>
      </c>
      <c r="W25" s="91" ph="1">
        <f>W24*47.051*LOOKUP(W26,密度!$A$2:$A$50,密度!$B$2:$B$50)</f>
        <v>426524.46675200004</v>
      </c>
      <c r="X25" s="91" ph="1">
        <f>X24*47.051*LOOKUP(X26,密度!$A$2:$A$50,密度!$I$2:$I$50)</f>
        <v>520024.12361407996</v>
      </c>
      <c r="Y25" s="91" ph="1">
        <f>Y24*47.051*LOOKUP(Y26,密度!$A$2:$A$50,密度!$L$2:$L$50)</f>
        <v>155162.71755599999</v>
      </c>
      <c r="Z25" s="229"/>
      <c r="AA25" s="230"/>
      <c r="AB25" s="230"/>
      <c r="AC25" s="230"/>
      <c r="AD25" s="230"/>
      <c r="AE25" s="231"/>
      <c r="AH25" s="64" ph="1">
        <v>11</v>
      </c>
      <c r="AI25" s="64" t="s" ph="1">
        <v>392</v>
      </c>
      <c r="AZ25" s="64" t="s" ph="1">
        <v>260</v>
      </c>
      <c r="BA25" s="64" ph="1">
        <v>0</v>
      </c>
      <c r="BD25" s="64" t="s" ph="1">
        <v>285</v>
      </c>
      <c r="BE25" s="64" ph="1">
        <v>8920</v>
      </c>
    </row>
    <row r="26" spans="1:57" ph="1">
      <c r="A26" s="72" ph="1"/>
      <c r="B26" s="235" ph="1"/>
      <c r="C26" s="68" t="s" ph="1">
        <v>213</v>
      </c>
      <c r="D26" s="74">
        <v>25</v>
      </c>
      <c r="E26" s="74">
        <v>25</v>
      </c>
      <c r="F26" s="74">
        <v>17</v>
      </c>
      <c r="G26" s="74">
        <v>16</v>
      </c>
      <c r="H26" s="74">
        <v>16</v>
      </c>
      <c r="I26" s="74">
        <v>15</v>
      </c>
      <c r="J26" s="74">
        <v>15</v>
      </c>
      <c r="K26" s="74">
        <v>16</v>
      </c>
      <c r="L26" s="74">
        <v>15</v>
      </c>
      <c r="M26" s="74">
        <v>15</v>
      </c>
      <c r="N26" s="74">
        <v>15</v>
      </c>
      <c r="O26" s="74">
        <v>15</v>
      </c>
      <c r="P26" s="74">
        <v>15</v>
      </c>
      <c r="Q26" s="93">
        <v>16</v>
      </c>
      <c r="R26" s="74">
        <v>16</v>
      </c>
      <c r="S26" s="74">
        <v>15</v>
      </c>
      <c r="T26" s="74">
        <v>16</v>
      </c>
      <c r="U26" s="74">
        <v>16</v>
      </c>
      <c r="V26" s="74">
        <v>15</v>
      </c>
      <c r="W26" s="74">
        <v>15</v>
      </c>
      <c r="X26" s="74">
        <v>52</v>
      </c>
      <c r="Y26" s="74">
        <v>16</v>
      </c>
      <c r="Z26" s="229"/>
      <c r="AA26" s="230"/>
      <c r="AB26" s="230"/>
      <c r="AC26" s="230"/>
      <c r="AD26" s="230"/>
      <c r="AE26" s="231"/>
      <c r="AH26" s="64" ph="1">
        <v>12</v>
      </c>
      <c r="AI26" s="64" t="s" ph="1">
        <v>393</v>
      </c>
      <c r="AZ26" s="64" t="s" ph="1">
        <v>260</v>
      </c>
      <c r="BA26" s="64" ph="1">
        <v>0</v>
      </c>
    </row>
    <row r="27" spans="1:57" ph="1">
      <c r="A27" s="72" ph="1"/>
      <c r="B27" s="235" ph="1">
        <v>0.66666666666666663</v>
      </c>
      <c r="C27" s="146" t="s" ph="1">
        <v>214</v>
      </c>
      <c r="D27" s="71">
        <v>44.33</v>
      </c>
      <c r="E27" s="71">
        <v>97.65</v>
      </c>
      <c r="F27" s="71">
        <v>2152</v>
      </c>
      <c r="G27" s="71">
        <v>3111</v>
      </c>
      <c r="H27" s="71">
        <v>3069</v>
      </c>
      <c r="I27" s="71">
        <v>2537</v>
      </c>
      <c r="J27" s="71">
        <v>2449</v>
      </c>
      <c r="K27" s="71">
        <v>4905</v>
      </c>
      <c r="L27" s="71">
        <v>5073</v>
      </c>
      <c r="M27" s="71">
        <v>1383</v>
      </c>
      <c r="N27" s="71">
        <v>867</v>
      </c>
      <c r="O27" s="71">
        <v>2054</v>
      </c>
      <c r="P27" s="71">
        <v>2480</v>
      </c>
      <c r="Q27" s="90">
        <v>3694</v>
      </c>
      <c r="R27" s="71">
        <v>2014</v>
      </c>
      <c r="S27" s="71">
        <v>181</v>
      </c>
      <c r="T27" s="71">
        <v>6396</v>
      </c>
      <c r="U27" s="71">
        <v>5268</v>
      </c>
      <c r="V27" s="71">
        <v>5852</v>
      </c>
      <c r="W27" s="71">
        <v>11507</v>
      </c>
      <c r="X27" s="71">
        <v>10670</v>
      </c>
      <c r="Y27" s="71">
        <v>2428</v>
      </c>
      <c r="Z27" s="229"/>
      <c r="AA27" s="230"/>
      <c r="AB27" s="230"/>
      <c r="AC27" s="230"/>
      <c r="AD27" s="230"/>
      <c r="AE27" s="231"/>
      <c r="AH27" s="64" ph="1">
        <v>13</v>
      </c>
      <c r="AI27" s="64" t="s" ph="1">
        <v>394</v>
      </c>
      <c r="AZ27" s="64" t="s" ph="1">
        <v>260</v>
      </c>
      <c r="BA27" s="64" ph="1">
        <v>0</v>
      </c>
      <c r="BD27" s="64" t="s" ph="1">
        <v>339</v>
      </c>
      <c r="BE27" s="64" ph="1">
        <v>7100</v>
      </c>
    </row>
    <row r="28" spans="1:57" ph="1">
      <c r="A28" s="72" ph="1"/>
      <c r="B28" s="235" ph="1"/>
      <c r="C28" s="146" t="s" ph="1">
        <v>212</v>
      </c>
      <c r="D28" s="91" ph="1">
        <f>D27*268.68*LOOKUP(D29,密度!$A$2:$A$50,密度!$Q$2:$Q$50)+IF(D27&lt;=0,0,1566*LOOKUP(D29,密度!$A$2:$A$50,密度!$Q$2:$Q$50))</f>
        <v>12758.821514855999</v>
      </c>
      <c r="E28" s="91" ph="1">
        <f>E27*268.68*LOOKUP(E29,密度!$A$2:$A$50,密度!$C$2:$C$50)+IF(E27&lt;=0,0,1566*LOOKUP(E29,密度!$A$2:$A$50,密度!$C$2:$C$50))</f>
        <v>30830.305357800004</v>
      </c>
      <c r="F28" s="91" ph="1">
        <f>F27*11.702*LOOKUP(F29,密度!$A$2:$A$50,密度!$Q$2:$Q$50)</f>
        <v>23974.186035040002</v>
      </c>
      <c r="G28" s="91" ph="1">
        <f>G27*18.322*LOOKUP(G29,密度!$A$2:$A$50,密度!$B$2:$B$50)</f>
        <v>44824.597108800001</v>
      </c>
      <c r="H28" s="91" ph="1">
        <f>H27*18.322*LOOKUP(H29,密度!$A$2:$A$50,密度!$B$2:$B$50)</f>
        <v>44219.443435200003</v>
      </c>
      <c r="I28" s="91" ph="1">
        <f>I27*18.322*LOOKUP(I29,密度!$A$2:$A$50,密度!$Q$2:$Q$50)</f>
        <v>44326.106790399994</v>
      </c>
      <c r="J28" s="91" ph="1">
        <f>J27*18.322*LOOKUP(J29,密度!$A$2:$A$50,密度!$Q$2:$Q$50)</f>
        <v>42788.5831808</v>
      </c>
      <c r="K28" s="91" ph="1">
        <f>K27*18.322*LOOKUP(K29,密度!$A$2:$A$50,密度!$Q$2:$Q$50)</f>
        <v>85627.573847999985</v>
      </c>
      <c r="L28" s="91" ph="1">
        <f>L27*18.322*LOOKUP(L29,密度!$A$2:$A$50,密度!$Q$2:$Q$50)</f>
        <v>88634.741721599989</v>
      </c>
      <c r="M28" s="91" ph="1">
        <f>M27*18.322*LOOKUP(M29,密度!$A$2:$A$50,密度!$Q$2:$Q$50)</f>
        <v>24163.581273599997</v>
      </c>
      <c r="N28" s="91" ph="1">
        <f>N27*18.322*LOOKUP(N29,密度!$A$2:$A$50,密度!$Q$2:$Q$50)</f>
        <v>15148.101926399999</v>
      </c>
      <c r="O28" s="91" ph="1">
        <f>O27*18.322*LOOKUP(O29,密度!$A$2:$A$50,密度!$C$2:$C$50)</f>
        <v>41968.754297599997</v>
      </c>
      <c r="P28" s="91" ph="1">
        <f>P27*11.702*LOOKUP(P29,密度!$A$2:$A$50,密度!$B$2:$B$50)</f>
        <v>22845.299712</v>
      </c>
      <c r="Q28" s="92" ph="1">
        <f>Q27*18.322*LOOKUP(Q29,密度!$A$2:$A$50,密度!$B$2:$B$50)</f>
        <v>53224.706435199994</v>
      </c>
      <c r="R28" s="91" ph="1">
        <f>R27*35.891*LOOKUP(R29,密度!$A$2:$A$50,密度!$C$2:$C$50)</f>
        <v>80561.046273</v>
      </c>
      <c r="S28" s="91" ph="1">
        <f>S27*35.891*LOOKUP(S29,密度!$A$2:$A$50,密度!$B$2:$B$50)</f>
        <v>5113.8645311999999</v>
      </c>
      <c r="T28" s="91" ph="1">
        <f>T27*35.891*LOOKUP(T29,密度!$A$2:$A$50,密度!$Q$2:$Q$50)</f>
        <v>218723.65894079997</v>
      </c>
      <c r="U28" s="91" ph="1">
        <f>U27*35.891</f>
        <v>189073.788</v>
      </c>
      <c r="V28" s="91" ph="1">
        <f>V27*47.051*LOOKUP(V29,密度!$A$2:$A$50,密度!$B$2:$B$50)</f>
        <v>216749.57821439998</v>
      </c>
      <c r="W28" s="91" ph="1">
        <f>W27*47.051*LOOKUP(W29,密度!$A$2:$A$50,密度!$B$2:$B$50)</f>
        <v>426202.56263040006</v>
      </c>
      <c r="X28" s="91" ph="1">
        <f>X27*47.051*LOOKUP(X29,密度!$A$2:$A$50,密度!$I$2:$I$50)</f>
        <v>519926.66781879996</v>
      </c>
      <c r="Y28" s="91" ph="1">
        <f>Y27*47.051*LOOKUP(Y29,密度!$A$2:$A$50,密度!$L$2:$L$50)</f>
        <v>107956.63746</v>
      </c>
      <c r="Z28" s="229"/>
      <c r="AA28" s="230"/>
      <c r="AB28" s="230"/>
      <c r="AC28" s="230"/>
      <c r="AD28" s="230"/>
      <c r="AE28" s="231"/>
      <c r="AH28" s="64" ph="1">
        <v>14</v>
      </c>
      <c r="AI28" s="64" t="s" ph="1">
        <v>395</v>
      </c>
      <c r="AZ28" s="64" t="s" ph="1">
        <v>260</v>
      </c>
      <c r="BA28" s="64" ph="1">
        <v>0</v>
      </c>
    </row>
    <row r="29" spans="1:57" ph="1">
      <c r="A29" s="72" ph="1"/>
      <c r="B29" s="235" ph="1"/>
      <c r="C29" s="146" t="s" ph="1">
        <v>213</v>
      </c>
      <c r="D29" s="74">
        <v>25</v>
      </c>
      <c r="E29" s="74">
        <v>25</v>
      </c>
      <c r="F29" s="74">
        <v>18</v>
      </c>
      <c r="G29" s="74">
        <v>17</v>
      </c>
      <c r="H29" s="74">
        <v>17</v>
      </c>
      <c r="I29" s="74">
        <v>16</v>
      </c>
      <c r="J29" s="74">
        <v>16</v>
      </c>
      <c r="K29" s="74">
        <v>17</v>
      </c>
      <c r="L29" s="74">
        <v>16</v>
      </c>
      <c r="M29" s="74">
        <v>16</v>
      </c>
      <c r="N29" s="74">
        <v>16</v>
      </c>
      <c r="O29" s="74">
        <v>16</v>
      </c>
      <c r="P29" s="74">
        <v>16</v>
      </c>
      <c r="Q29" s="93">
        <v>17</v>
      </c>
      <c r="R29" s="74">
        <v>17</v>
      </c>
      <c r="S29" s="74">
        <v>16</v>
      </c>
      <c r="T29" s="74">
        <v>17</v>
      </c>
      <c r="U29" s="74">
        <v>17</v>
      </c>
      <c r="V29" s="74">
        <v>16</v>
      </c>
      <c r="W29" s="74">
        <v>16</v>
      </c>
      <c r="X29" s="74">
        <v>51</v>
      </c>
      <c r="Y29" s="74">
        <v>17</v>
      </c>
      <c r="Z29" s="232"/>
      <c r="AA29" s="233"/>
      <c r="AB29" s="233"/>
      <c r="AC29" s="233"/>
      <c r="AD29" s="233"/>
      <c r="AE29" s="234"/>
      <c r="AH29" s="64" ph="1">
        <v>15</v>
      </c>
      <c r="AI29" s="64" t="s" ph="1">
        <v>396</v>
      </c>
      <c r="AZ29" s="64" t="s" ph="1">
        <v>260</v>
      </c>
      <c r="BA29" s="64" ph="1">
        <v>0</v>
      </c>
      <c r="BD29" s="64" t="s" ph="1">
        <v>397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398</v>
      </c>
      <c r="AZ30" s="64" t="s" ph="1">
        <v>260</v>
      </c>
      <c r="BA30" s="64" ph="1">
        <v>0</v>
      </c>
    </row>
    <row r="31" spans="1:57" ht="28.5" ph="1">
      <c r="A31" s="64"/>
      <c r="B31" s="218" t="s" ph="1">
        <v>35</v>
      </c>
      <c r="C31" s="219" ph="1"/>
      <c r="D31" s="222" t="s" ph="1">
        <v>9</v>
      </c>
      <c r="E31" s="197" ph="1"/>
      <c r="F31" s="198" ph="1"/>
      <c r="G31" s="222" t="s" ph="1">
        <v>18</v>
      </c>
      <c r="H31" s="197" ph="1"/>
      <c r="I31" s="198" ph="1"/>
      <c r="J31" s="196" t="s" ph="1">
        <v>1</v>
      </c>
      <c r="K31" s="197" ph="1"/>
      <c r="L31" s="198" ph="1"/>
      <c r="M31" s="196" t="s" ph="1">
        <v>7</v>
      </c>
      <c r="N31" s="197" ph="1"/>
      <c r="O31" s="198" ph="1"/>
      <c r="P31" s="196" t="s" ph="1">
        <v>42</v>
      </c>
      <c r="Q31" s="197"/>
      <c r="R31" s="198"/>
      <c r="S31" s="196" t="s" ph="1">
        <v>2</v>
      </c>
      <c r="T31" s="197"/>
      <c r="U31" s="198"/>
      <c r="V31" s="196" t="s" ph="1">
        <v>81</v>
      </c>
      <c r="W31" s="197" ph="1"/>
      <c r="X31" s="198" ph="1"/>
      <c r="Y31" s="196" t="s" ph="1">
        <v>3</v>
      </c>
      <c r="Z31" s="197" ph="1"/>
      <c r="AA31" s="198" ph="1"/>
      <c r="AB31" s="199" t="s">
        <v>43</v>
      </c>
      <c r="AC31" s="200"/>
      <c r="AD31" s="200"/>
      <c r="AE31" s="201"/>
      <c r="AH31" s="64" ph="1">
        <v>17</v>
      </c>
      <c r="AI31" s="64" t="s" ph="1">
        <v>399</v>
      </c>
      <c r="AZ31" s="64" t="s" ph="1">
        <v>260</v>
      </c>
      <c r="BA31" s="64" ph="1">
        <v>0</v>
      </c>
      <c r="BD31" s="64" t="s" ph="1">
        <v>400</v>
      </c>
      <c r="BE31" s="64" ph="1">
        <v>9310</v>
      </c>
    </row>
    <row r="32" spans="1:57" ph="1">
      <c r="A32" s="64"/>
      <c r="B32" s="220" ph="1"/>
      <c r="C32" s="221" ph="1"/>
      <c r="D32" s="96" t="s" ph="1">
        <v>4</v>
      </c>
      <c r="E32" s="146" t="s" ph="1">
        <v>5</v>
      </c>
      <c r="F32" s="147" t="s" ph="1">
        <v>44</v>
      </c>
      <c r="G32" s="97" t="s" ph="1">
        <v>4</v>
      </c>
      <c r="H32" s="146" t="s" ph="1">
        <v>5</v>
      </c>
      <c r="I32" s="147" t="s" ph="1">
        <v>44</v>
      </c>
      <c r="J32" s="97" t="s" ph="1">
        <v>4</v>
      </c>
      <c r="K32" s="146" t="s" ph="1">
        <v>5</v>
      </c>
      <c r="L32" s="147" t="s" ph="1">
        <v>44</v>
      </c>
      <c r="M32" s="97" t="s" ph="1">
        <v>4</v>
      </c>
      <c r="N32" s="146" t="s" ph="1">
        <v>5</v>
      </c>
      <c r="O32" s="147" t="s" ph="1">
        <v>44</v>
      </c>
      <c r="P32" s="97" t="s" ph="1">
        <v>4</v>
      </c>
      <c r="Q32" s="98" t="s" ph="1">
        <v>5</v>
      </c>
      <c r="R32" s="99" t="s" ph="1">
        <v>44</v>
      </c>
      <c r="S32" s="97" t="s" ph="1">
        <v>4</v>
      </c>
      <c r="T32" s="146" t="s" ph="1">
        <v>5</v>
      </c>
      <c r="U32" s="99" t="s" ph="1">
        <v>44</v>
      </c>
      <c r="V32" s="97" t="s" ph="1">
        <v>4</v>
      </c>
      <c r="W32" s="146" t="s" ph="1">
        <v>5</v>
      </c>
      <c r="X32" s="99" t="s" ph="1">
        <v>44</v>
      </c>
      <c r="Y32" s="100" t="s" ph="1">
        <v>4</v>
      </c>
      <c r="Z32" s="146" t="s" ph="1">
        <v>5</v>
      </c>
      <c r="AA32" s="147" t="s" ph="1">
        <v>44</v>
      </c>
      <c r="AB32" s="97" t="s" ph="1">
        <v>102</v>
      </c>
      <c r="AC32" s="146" t="s" ph="1">
        <v>101</v>
      </c>
      <c r="AD32" s="202" t="s" ph="1">
        <v>100</v>
      </c>
      <c r="AE32" s="203"/>
      <c r="AH32" s="64" ph="1">
        <v>18</v>
      </c>
      <c r="AI32" s="64" t="s" ph="1">
        <v>401</v>
      </c>
      <c r="AZ32" s="64" t="s" ph="1">
        <v>260</v>
      </c>
      <c r="BA32" s="64" ph="1">
        <v>0</v>
      </c>
    </row>
    <row r="33" spans="1:57" ph="1">
      <c r="A33" s="64"/>
      <c r="B33" s="204" t="s" ph="1">
        <v>215</v>
      </c>
      <c r="C33" s="205" ph="1"/>
      <c r="D33" s="184" ph="1">
        <f>AA10+AB10+Z19</f>
        <v>62441.066433600005</v>
      </c>
      <c r="E33" s="184" ph="1">
        <f>M10+I10</f>
        <v>226547.2529927</v>
      </c>
      <c r="F33" s="208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表格_取樣回收每月庫存表_0620更新152225263245678691011121314151617181920212345678910111213141516171819202223242435678910111213141516171819202122234567891011121314151617181920234567891011121314910151617181922212323456789101213141516171118192021222425234[[#This Row],[F25]]</f>
        <v>3880</v>
      </c>
      <c r="G33" s="210" ph="1">
        <v>0</v>
      </c>
      <c r="H33" s="184" ph="1">
        <f>N19</f>
        <v>11423.369643399999</v>
      </c>
      <c r="I33" s="188" ph="1">
        <v>0</v>
      </c>
      <c r="J33" s="192" ph="1">
        <f>F10+O28</f>
        <v>281319.19334960001</v>
      </c>
      <c r="K33" s="184" ph="1">
        <f>O10+K10+E28+R28</f>
        <v>147000.46540520003</v>
      </c>
      <c r="L33" s="194" ph="1">
        <f>BE27</f>
        <v>7100</v>
      </c>
      <c r="M33" s="192" ph="1">
        <f>G10+H10+W28+S28</f>
        <v>996253.07583060011</v>
      </c>
      <c r="N33" s="184" ph="1">
        <f>L10+P10++G28+H28+V28</f>
        <v>337420.07763840002</v>
      </c>
      <c r="O33" s="188" ph="1">
        <f>BE17</f>
        <v>2270</v>
      </c>
      <c r="P33" s="192" ph="1">
        <f>L19</f>
        <v>12259.05681708</v>
      </c>
      <c r="Q33" s="184" ph="1">
        <f>J10+N10</f>
        <v>159006.11770629999</v>
      </c>
      <c r="R33" s="188" ph="1">
        <f>BE23</f>
        <v>890</v>
      </c>
      <c r="S33" s="192" ph="1">
        <f>E10+X28</f>
        <v>519926.66781879996</v>
      </c>
      <c r="T33" s="184" ph="1">
        <f>X19</f>
        <v>16220.932476624001</v>
      </c>
      <c r="U33" s="173" ph="1">
        <f>BE21</f>
        <v>730</v>
      </c>
      <c r="V33" s="186" ph="1">
        <f ca="1">P19+Q19+S19+M28+N28+J28</f>
        <v>212824.785018814</v>
      </c>
      <c r="W33" s="186" ph="1">
        <f>D28+F28+V19+T28</f>
        <v>269179.29771157599</v>
      </c>
      <c r="X33" s="188" ph="1">
        <f>BE29+BE31</f>
        <v>10200</v>
      </c>
      <c r="Y33" s="190" ph="1">
        <f>+Q10+R10+S10+T10+U10+V10+W10+X10+Y10</f>
        <v>126727.52898959999</v>
      </c>
      <c r="Z33" s="171" ph="1">
        <f>D10+T19+U19+Y28+Z10</f>
        <v>360439.28187968</v>
      </c>
      <c r="AA33" s="173" ph="1">
        <f>BE19</f>
        <v>1440</v>
      </c>
      <c r="AB33" s="175" ph="1">
        <f>I19</f>
        <v>102.6155768</v>
      </c>
      <c r="AC33" s="177" ph="1">
        <f>AD10</f>
        <v>42004.298735999997</v>
      </c>
      <c r="AD33" s="179" ph="1">
        <v>0</v>
      </c>
      <c r="AE33" s="180"/>
      <c r="AH33" s="64" ph="1">
        <v>19</v>
      </c>
      <c r="AI33" s="64" t="s" ph="1">
        <v>402</v>
      </c>
      <c r="AJ33" s="64" t="s" ph="1">
        <v>636</v>
      </c>
      <c r="AK33" s="64" t="s" ph="1">
        <v>633</v>
      </c>
      <c r="AL33" s="64" ph="1">
        <v>730</v>
      </c>
      <c r="AM33" s="64" t="s" ph="1">
        <v>383</v>
      </c>
      <c r="AZ33" s="64" t="s" ph="1">
        <v>260</v>
      </c>
      <c r="BA33" s="64" ph="1">
        <v>730</v>
      </c>
      <c r="BD33" s="64" t="s" ph="1">
        <v>334</v>
      </c>
      <c r="BE33" s="64" ph="1">
        <v>3880</v>
      </c>
    </row>
    <row r="34" spans="1:57" ph="1">
      <c r="A34" s="64"/>
      <c r="B34" s="206" ph="1"/>
      <c r="C34" s="207" ph="1"/>
      <c r="D34" s="185" ph="1"/>
      <c r="E34" s="185" ph="1"/>
      <c r="F34" s="209" ph="1"/>
      <c r="G34" s="211" ph="1"/>
      <c r="H34" s="185" ph="1"/>
      <c r="I34" s="189" ph="1"/>
      <c r="J34" s="193" ph="1"/>
      <c r="K34" s="185" ph="1"/>
      <c r="L34" s="195" ph="1"/>
      <c r="M34" s="193" ph="1"/>
      <c r="N34" s="185" ph="1"/>
      <c r="O34" s="189" ph="1"/>
      <c r="P34" s="193" ph="1"/>
      <c r="Q34" s="185" ph="1"/>
      <c r="R34" s="189" ph="1"/>
      <c r="S34" s="193" ph="1"/>
      <c r="T34" s="185"/>
      <c r="U34" s="174"/>
      <c r="V34" s="187" ph="1"/>
      <c r="W34" s="187" ph="1"/>
      <c r="X34" s="189" ph="1"/>
      <c r="Y34" s="191" ph="1"/>
      <c r="Z34" s="172" ph="1"/>
      <c r="AA34" s="174" ph="1"/>
      <c r="AB34" s="176"/>
      <c r="AC34" s="178"/>
      <c r="AD34" s="181"/>
      <c r="AE34" s="182"/>
      <c r="AH34" s="64" ph="1">
        <v>20</v>
      </c>
      <c r="AI34" s="64" t="s" ph="1">
        <v>403</v>
      </c>
      <c r="AJ34" s="64" t="s" ph="1">
        <v>637</v>
      </c>
      <c r="AK34" s="64" t="s" ph="1">
        <v>633</v>
      </c>
      <c r="AL34" s="64" ph="1">
        <v>720</v>
      </c>
      <c r="AM34" s="64" t="s" ph="1">
        <v>383</v>
      </c>
      <c r="AZ34" s="64" t="s" ph="1">
        <v>260</v>
      </c>
      <c r="BA34" s="64" ph="1">
        <v>720</v>
      </c>
    </row>
    <row r="35" spans="1:57" ph="1">
      <c r="A35" s="64"/>
      <c r="AC35" s="183" t="s" ph="1">
        <v>84</v>
      </c>
      <c r="AD35" s="183"/>
      <c r="AE35" s="183"/>
      <c r="AH35" s="64" ph="1">
        <v>21</v>
      </c>
      <c r="AI35" s="64" t="s" ph="1">
        <v>404</v>
      </c>
      <c r="AZ35" s="64" t="s" ph="1">
        <v>260</v>
      </c>
      <c r="BA35" s="64" ph="1">
        <v>0</v>
      </c>
      <c r="BD35" s="64" t="s" ph="1">
        <v>405</v>
      </c>
      <c r="BE35" s="64" ph="1">
        <v>2030</v>
      </c>
    </row>
    <row r="36" spans="1:57" ht="28.5" ph="1">
      <c r="A36" s="64"/>
      <c r="B36" s="103" t="s" ph="1">
        <v>216</v>
      </c>
      <c r="I36" s="169" t="s" ph="1">
        <v>217</v>
      </c>
      <c r="J36" s="169" ph="1"/>
      <c r="K36" s="101" ph="1"/>
      <c r="P36" s="101" ph="1"/>
      <c r="R36" s="169" t="s" ph="1">
        <v>218</v>
      </c>
      <c r="S36" s="169" ph="1"/>
      <c r="Y36" s="102" ph="1"/>
      <c r="Z36" s="148" t="s" ph="1">
        <v>219</v>
      </c>
      <c r="AA36" s="148" ph="1"/>
      <c r="AB36" s="170" t="s" ph="1">
        <v>655</v>
      </c>
      <c r="AC36" s="170" ph="1"/>
      <c r="AD36" s="170" ph="1"/>
      <c r="AE36" s="170" ph="1"/>
      <c r="BA36" s="64" ph="1">
        <v>2270</v>
      </c>
    </row>
    <row r="37" spans="1:57" s="148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8" t="s" ph="1">
        <v>386</v>
      </c>
      <c r="AI37" s="148" t="s" ph="1">
        <v>253</v>
      </c>
      <c r="AJ37" s="148" t="s" ph="1">
        <v>254</v>
      </c>
      <c r="AK37" s="148" t="s" ph="1">
        <v>255</v>
      </c>
      <c r="AM37" s="148" t="s" ph="1">
        <v>254</v>
      </c>
      <c r="AN37" s="148" t="s" ph="1">
        <v>255</v>
      </c>
      <c r="AO37" s="148" t="s" ph="1">
        <v>256</v>
      </c>
      <c r="AP37" s="148" t="s" ph="1">
        <v>254</v>
      </c>
      <c r="AQ37" s="148" t="s" ph="1">
        <v>255</v>
      </c>
      <c r="AR37" s="148" t="s" ph="1">
        <v>256</v>
      </c>
      <c r="AS37" s="148" t="s" ph="1">
        <v>254</v>
      </c>
      <c r="AT37" s="148" t="s" ph="1">
        <v>255</v>
      </c>
      <c r="AU37" s="148" t="s" ph="1">
        <v>256</v>
      </c>
      <c r="AV37" s="148" t="s" ph="1">
        <v>254</v>
      </c>
      <c r="AW37" s="148" t="s" ph="1">
        <v>255</v>
      </c>
      <c r="AX37" s="148" t="s" ph="1">
        <v>256</v>
      </c>
      <c r="AY37" s="148" t="s" ph="1">
        <v>255</v>
      </c>
      <c r="AZ37" s="148" t="s" ph="1">
        <v>257</v>
      </c>
      <c r="BD37" s="148" t="s" ph="1">
        <v>349</v>
      </c>
      <c r="BE37" s="148" ph="1">
        <v>0</v>
      </c>
    </row>
    <row r="38" spans="1:57" ph="1">
      <c r="AE38" s="64" ph="1"/>
      <c r="AH38" s="64" ph="1">
        <v>1</v>
      </c>
      <c r="AI38" s="64" t="s" ph="1">
        <v>406</v>
      </c>
      <c r="AY38" s="64" t="s" ph="1">
        <v>260</v>
      </c>
      <c r="AZ38" s="64" t="s" ph="1">
        <v>411</v>
      </c>
    </row>
    <row r="39" spans="1:57" ph="1">
      <c r="AH39" s="64" ph="1">
        <v>2</v>
      </c>
      <c r="AI39" s="64" t="s" ph="1">
        <v>408</v>
      </c>
      <c r="AJ39" s="64" t="s" ph="1">
        <v>380</v>
      </c>
      <c r="AK39" s="64" t="s" ph="1">
        <v>409</v>
      </c>
      <c r="AM39" s="64" t="s" ph="1">
        <v>614</v>
      </c>
      <c r="AN39" s="64" t="s" ph="1">
        <v>272</v>
      </c>
      <c r="AO39" s="64" t="s" ph="1">
        <v>407</v>
      </c>
      <c r="AY39" s="64" t="s" ph="1">
        <v>260</v>
      </c>
      <c r="AZ39" s="64" t="s" ph="1">
        <v>543</v>
      </c>
    </row>
    <row r="40" spans="1:57" ph="1">
      <c r="AH40" s="64" ph="1">
        <v>3</v>
      </c>
      <c r="AI40" s="64" t="s" ph="1">
        <v>410</v>
      </c>
      <c r="AJ40" s="64" t="s" ph="1">
        <v>614</v>
      </c>
      <c r="AK40" s="64" t="s" ph="1">
        <v>615</v>
      </c>
      <c r="AY40" s="64" t="s" ph="1">
        <v>260</v>
      </c>
      <c r="AZ40" s="64" t="s" ph="1">
        <v>615</v>
      </c>
    </row>
    <row r="41" spans="1:57" ph="1">
      <c r="AH41" s="64" ph="1">
        <v>4</v>
      </c>
      <c r="AI41" s="64" t="s" ph="1">
        <v>412</v>
      </c>
      <c r="AJ41" s="64" t="s" ph="1">
        <v>616</v>
      </c>
      <c r="AK41" s="64" t="s" ph="1">
        <v>617</v>
      </c>
      <c r="AM41" s="64" t="s" ph="1">
        <v>618</v>
      </c>
      <c r="AY41" s="64" t="s" ph="1">
        <v>260</v>
      </c>
      <c r="AZ41" s="64" t="s" ph="1">
        <v>617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413</v>
      </c>
      <c r="AY42" s="64" t="s" ph="1">
        <v>260</v>
      </c>
      <c r="AZ42" s="64" t="s" ph="1">
        <v>411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414</v>
      </c>
      <c r="AY43" s="64" t="s" ph="1">
        <v>260</v>
      </c>
      <c r="AZ43" s="64" t="s" ph="1">
        <v>411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415</v>
      </c>
      <c r="AV44" s="64" t="s" ph="1">
        <v>261</v>
      </c>
      <c r="AY44" s="64" t="s" ph="1">
        <v>260</v>
      </c>
      <c r="AZ44" s="64" t="s" ph="1">
        <v>411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416</v>
      </c>
      <c r="AV45" s="64" t="s" ph="1">
        <v>261</v>
      </c>
      <c r="AY45" s="64" t="s" ph="1">
        <v>260</v>
      </c>
      <c r="AZ45" s="64" t="s" ph="1">
        <v>411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417</v>
      </c>
      <c r="AV46" s="64" t="s" ph="1">
        <v>261</v>
      </c>
      <c r="AY46" s="64" t="s" ph="1">
        <v>260</v>
      </c>
      <c r="AZ46" s="64" t="s" ph="1">
        <v>411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418</v>
      </c>
      <c r="AV47" s="64" t="s" ph="1">
        <v>261</v>
      </c>
      <c r="AY47" s="64" t="s" ph="1">
        <v>260</v>
      </c>
      <c r="AZ47" s="64" t="s" ph="1">
        <v>411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619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276</v>
      </c>
      <c r="AI49" s="64" t="s" ph="1">
        <v>253</v>
      </c>
      <c r="AJ49" s="64" t="s" ph="1">
        <v>254</v>
      </c>
      <c r="AK49" s="64" t="s" ph="1">
        <v>255</v>
      </c>
      <c r="AM49" s="64" t="s" ph="1">
        <v>254</v>
      </c>
      <c r="AN49" s="64" t="s" ph="1">
        <v>255</v>
      </c>
      <c r="AO49" s="64" t="s" ph="1">
        <v>256</v>
      </c>
      <c r="AP49" s="64" t="s" ph="1">
        <v>254</v>
      </c>
      <c r="AQ49" s="64" t="s" ph="1">
        <v>255</v>
      </c>
      <c r="AR49" s="64" t="s" ph="1">
        <v>256</v>
      </c>
      <c r="AS49" s="64" t="s" ph="1">
        <v>254</v>
      </c>
      <c r="AT49" s="64" t="s" ph="1">
        <v>255</v>
      </c>
      <c r="AU49" s="64" t="s" ph="1">
        <v>256</v>
      </c>
      <c r="AV49" s="64" t="s" ph="1">
        <v>254</v>
      </c>
      <c r="AW49" s="64" t="s" ph="1">
        <v>255</v>
      </c>
      <c r="AX49" s="64" t="s" ph="1">
        <v>256</v>
      </c>
      <c r="AY49" s="64" t="s" ph="1">
        <v>255</v>
      </c>
      <c r="AZ49" s="64" t="s" ph="1">
        <v>257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419</v>
      </c>
      <c r="AY50" s="64" t="s" ph="1">
        <v>260</v>
      </c>
      <c r="AZ50" s="64" t="s" ph="1">
        <v>411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420</v>
      </c>
      <c r="AY51" s="64" t="s" ph="1">
        <v>260</v>
      </c>
      <c r="AZ51" s="64" t="s" ph="1">
        <v>411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421</v>
      </c>
      <c r="AJ52" s="64" t="s" ph="1">
        <v>378</v>
      </c>
      <c r="AK52" s="64" t="s" ph="1">
        <v>272</v>
      </c>
      <c r="AM52" s="64" t="s" ph="1">
        <v>380</v>
      </c>
      <c r="AN52" s="64" t="s" ph="1">
        <v>344</v>
      </c>
      <c r="AO52" s="64" t="s" ph="1">
        <v>277</v>
      </c>
      <c r="AP52" s="64" t="s" ph="1">
        <v>614</v>
      </c>
      <c r="AQ52" s="64" t="s" ph="1">
        <v>326</v>
      </c>
      <c r="AR52" s="64" t="s" ph="1">
        <v>277</v>
      </c>
      <c r="AY52" s="64" t="s" ph="1">
        <v>260</v>
      </c>
      <c r="AZ52" s="64" t="s" ph="1">
        <v>620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422</v>
      </c>
      <c r="AY53" s="64" t="s" ph="1">
        <v>260</v>
      </c>
      <c r="AZ53" s="64" t="s" ph="1">
        <v>411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423</v>
      </c>
      <c r="AJ54" s="64" t="s" ph="1">
        <v>378</v>
      </c>
      <c r="AK54" s="64" t="s" ph="1">
        <v>263</v>
      </c>
      <c r="AM54" s="64" t="s" ph="1">
        <v>380</v>
      </c>
      <c r="AN54" s="64" t="s" ph="1">
        <v>268</v>
      </c>
      <c r="AO54" s="64" t="s" ph="1">
        <v>277</v>
      </c>
      <c r="AP54" s="64" t="s" ph="1">
        <v>614</v>
      </c>
      <c r="AQ54" s="64" t="s" ph="1">
        <v>284</v>
      </c>
      <c r="AR54" s="64" t="s" ph="1">
        <v>277</v>
      </c>
      <c r="AY54" s="64" t="s" ph="1">
        <v>260</v>
      </c>
      <c r="AZ54" s="64" t="s" ph="1">
        <v>278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424</v>
      </c>
      <c r="AY55" s="64" t="s" ph="1">
        <v>260</v>
      </c>
      <c r="AZ55" s="64" t="s" ph="1">
        <v>411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425</v>
      </c>
      <c r="AY56" s="64" t="s" ph="1">
        <v>260</v>
      </c>
      <c r="AZ56" s="64" t="s" ph="1">
        <v>411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426</v>
      </c>
      <c r="AY57" s="64" t="s" ph="1">
        <v>260</v>
      </c>
      <c r="AZ57" s="64" t="s" ph="1">
        <v>411</v>
      </c>
    </row>
    <row r="58" spans="16:52" ph="1">
      <c r="P58" s="64"/>
      <c r="AN58" s="64" t="s" ph="1">
        <v>261</v>
      </c>
      <c r="AZ58" s="64" t="s" ph="1">
        <v>621</v>
      </c>
    </row>
    <row r="59" spans="16:52" ph="1">
      <c r="V59" s="64"/>
      <c r="AG59" s="64" t="s" ph="1">
        <v>279</v>
      </c>
      <c r="AI59" s="64" t="s" ph="1">
        <v>253</v>
      </c>
      <c r="AJ59" s="64" t="s" ph="1">
        <v>254</v>
      </c>
      <c r="AK59" s="64" t="s" ph="1">
        <v>255</v>
      </c>
      <c r="AM59" s="64" t="s" ph="1">
        <v>254</v>
      </c>
      <c r="AN59" s="64" t="s" ph="1">
        <v>255</v>
      </c>
      <c r="AO59" s="64" t="s" ph="1">
        <v>256</v>
      </c>
      <c r="AP59" s="64" t="s" ph="1">
        <v>254</v>
      </c>
      <c r="AQ59" s="64" t="s" ph="1">
        <v>255</v>
      </c>
      <c r="AR59" s="64" t="s" ph="1">
        <v>256</v>
      </c>
      <c r="AS59" s="64" t="s" ph="1">
        <v>254</v>
      </c>
      <c r="AT59" s="64" t="s" ph="1">
        <v>255</v>
      </c>
      <c r="AU59" s="64" t="s" ph="1">
        <v>256</v>
      </c>
      <c r="AV59" s="64" t="s" ph="1">
        <v>254</v>
      </c>
      <c r="AW59" s="64" t="s" ph="1">
        <v>255</v>
      </c>
      <c r="AX59" s="64" t="s" ph="1">
        <v>256</v>
      </c>
      <c r="AY59" s="64" t="s" ph="1">
        <v>255</v>
      </c>
      <c r="AZ59" s="64" t="s" ph="1">
        <v>257</v>
      </c>
    </row>
    <row r="60" spans="16:52" ph="1">
      <c r="R60" s="64"/>
      <c r="S60" s="64"/>
      <c r="T60" s="64"/>
      <c r="AH60" s="64" ph="1">
        <v>1</v>
      </c>
      <c r="AI60" s="64" t="s" ph="1">
        <v>427</v>
      </c>
      <c r="AY60" s="64" t="s" ph="1">
        <v>260</v>
      </c>
      <c r="AZ60" s="64" t="s" ph="1">
        <v>411</v>
      </c>
    </row>
    <row r="61" spans="16:52" ph="1">
      <c r="AH61" s="64" ph="1">
        <v>2</v>
      </c>
      <c r="AI61" s="64" t="s" ph="1">
        <v>428</v>
      </c>
      <c r="AS61" s="64" t="s" ph="1">
        <v>261</v>
      </c>
      <c r="AY61" s="64" t="s" ph="1">
        <v>260</v>
      </c>
      <c r="AZ61" s="64" t="s" ph="1">
        <v>411</v>
      </c>
    </row>
    <row r="62" spans="16:52" ph="1">
      <c r="AZ62" s="64" t="s" ph="1">
        <v>429</v>
      </c>
    </row>
    <row r="63" spans="16:52" ph="1">
      <c r="AG63" s="64" t="s" ph="1">
        <v>282</v>
      </c>
      <c r="AI63" s="64" t="s" ph="1">
        <v>253</v>
      </c>
      <c r="AJ63" s="64" t="s" ph="1">
        <v>254</v>
      </c>
      <c r="AK63" s="64" t="s" ph="1">
        <v>255</v>
      </c>
      <c r="AM63" s="64" t="s" ph="1">
        <v>254</v>
      </c>
      <c r="AN63" s="64" t="s" ph="1">
        <v>255</v>
      </c>
      <c r="AO63" s="64" t="s" ph="1">
        <v>256</v>
      </c>
      <c r="AP63" s="64" t="s" ph="1">
        <v>254</v>
      </c>
      <c r="AQ63" s="64" t="s" ph="1">
        <v>255</v>
      </c>
      <c r="AR63" s="64" t="s" ph="1">
        <v>256</v>
      </c>
      <c r="AS63" s="64" t="s" ph="1">
        <v>254</v>
      </c>
      <c r="AT63" s="64" t="s" ph="1">
        <v>255</v>
      </c>
      <c r="AU63" s="64" t="s" ph="1">
        <v>256</v>
      </c>
      <c r="AV63" s="64" t="s" ph="1">
        <v>254</v>
      </c>
      <c r="AW63" s="64" t="s" ph="1">
        <v>255</v>
      </c>
      <c r="AX63" s="64" t="s" ph="1">
        <v>256</v>
      </c>
      <c r="AY63" s="64" t="s" ph="1">
        <v>255</v>
      </c>
      <c r="AZ63" s="64" t="s" ph="1">
        <v>257</v>
      </c>
    </row>
    <row r="64" spans="16:52" ph="1">
      <c r="AH64" s="64" ph="1">
        <v>1</v>
      </c>
      <c r="AI64" s="64" t="s" ph="1">
        <v>430</v>
      </c>
      <c r="AJ64" s="64" t="s" ph="1">
        <v>431</v>
      </c>
      <c r="AK64" s="64" t="s" ph="1">
        <v>432</v>
      </c>
      <c r="AY64" s="64" t="s" ph="1">
        <v>260</v>
      </c>
      <c r="AZ64" s="64" t="s" ph="1">
        <v>432</v>
      </c>
    </row>
    <row r="65" spans="33:52" ph="1">
      <c r="AH65" s="64" ph="1">
        <v>2</v>
      </c>
      <c r="AI65" s="64" t="s" ph="1">
        <v>433</v>
      </c>
      <c r="AY65" s="64" t="s" ph="1">
        <v>260</v>
      </c>
      <c r="AZ65" s="64" t="s" ph="1">
        <v>411</v>
      </c>
    </row>
    <row r="66" spans="33:52" ph="1">
      <c r="AH66" s="64" ph="1">
        <v>3</v>
      </c>
      <c r="AI66" s="64" t="s" ph="1">
        <v>434</v>
      </c>
      <c r="AY66" s="64" t="s" ph="1">
        <v>260</v>
      </c>
      <c r="AZ66" s="64" t="s" ph="1">
        <v>411</v>
      </c>
    </row>
    <row r="67" spans="33:52" ph="1">
      <c r="AH67" s="64" ph="1">
        <v>4</v>
      </c>
      <c r="AI67" s="64" t="s" ph="1">
        <v>435</v>
      </c>
      <c r="AY67" s="64" t="s" ph="1">
        <v>260</v>
      </c>
      <c r="AZ67" s="64" t="s" ph="1">
        <v>411</v>
      </c>
    </row>
    <row r="68" spans="33:52" ph="1">
      <c r="AH68" s="64" ph="1">
        <v>5</v>
      </c>
      <c r="AI68" s="64" t="s" ph="1">
        <v>436</v>
      </c>
      <c r="AY68" s="64" t="s" ph="1">
        <v>260</v>
      </c>
      <c r="AZ68" s="64" t="s" ph="1">
        <v>411</v>
      </c>
    </row>
    <row r="69" spans="33:52" ph="1">
      <c r="AH69" s="64" ph="1">
        <v>6</v>
      </c>
      <c r="AI69" s="64" t="s" ph="1">
        <v>437</v>
      </c>
      <c r="AY69" s="64" t="s" ph="1">
        <v>260</v>
      </c>
      <c r="AZ69" s="64" t="s" ph="1">
        <v>411</v>
      </c>
    </row>
    <row r="70" spans="33:52" ph="1">
      <c r="AI70" s="64" t="s" ph="1">
        <v>438</v>
      </c>
      <c r="AY70" s="64" t="s" ph="1">
        <v>260</v>
      </c>
      <c r="AZ70" s="64" t="s" ph="1">
        <v>411</v>
      </c>
    </row>
    <row r="71" spans="33:52" ph="1">
      <c r="AH71" s="64" ph="1">
        <v>7</v>
      </c>
      <c r="AI71" s="64" t="s" ph="1">
        <v>439</v>
      </c>
      <c r="AJ71" s="64" t="s" ph="1">
        <v>378</v>
      </c>
      <c r="AK71" s="64" t="s" ph="1">
        <v>272</v>
      </c>
      <c r="AM71" s="64" t="s" ph="1">
        <v>380</v>
      </c>
      <c r="AN71" s="64" t="s" ph="1">
        <v>272</v>
      </c>
      <c r="AO71" s="64" t="s" ph="1">
        <v>440</v>
      </c>
      <c r="AP71" s="64" t="s" ph="1">
        <v>614</v>
      </c>
      <c r="AQ71" s="64" t="s" ph="1">
        <v>263</v>
      </c>
      <c r="AR71" s="64" t="s" ph="1">
        <v>440</v>
      </c>
      <c r="AY71" s="64" t="s" ph="1">
        <v>260</v>
      </c>
      <c r="AZ71" s="64" t="s" ph="1">
        <v>622</v>
      </c>
    </row>
    <row r="72" spans="33:52" ph="1">
      <c r="AZ72" s="64" t="s" ph="1">
        <v>623</v>
      </c>
    </row>
    <row r="73" spans="33:52" ph="1">
      <c r="AG73" s="64" t="s" ph="1">
        <v>285</v>
      </c>
      <c r="AI73" s="64" t="s" ph="1">
        <v>253</v>
      </c>
      <c r="AJ73" s="64" t="s" ph="1">
        <v>254</v>
      </c>
      <c r="AK73" s="64" t="s" ph="1">
        <v>255</v>
      </c>
      <c r="AM73" s="64" t="s" ph="1">
        <v>254</v>
      </c>
      <c r="AN73" s="64" t="s" ph="1">
        <v>255</v>
      </c>
      <c r="AO73" s="64" t="s" ph="1">
        <v>256</v>
      </c>
      <c r="AP73" s="64" t="s" ph="1">
        <v>254</v>
      </c>
      <c r="AQ73" s="64" t="s" ph="1">
        <v>255</v>
      </c>
      <c r="AR73" s="64" t="s" ph="1">
        <v>256</v>
      </c>
      <c r="AS73" s="64" t="s" ph="1">
        <v>254</v>
      </c>
      <c r="AT73" s="64" t="s" ph="1">
        <v>255</v>
      </c>
      <c r="AU73" s="64" t="s" ph="1">
        <v>256</v>
      </c>
      <c r="AV73" s="64" t="s" ph="1">
        <v>254</v>
      </c>
      <c r="AW73" s="64" t="s" ph="1">
        <v>255</v>
      </c>
      <c r="AX73" s="64" t="s" ph="1">
        <v>256</v>
      </c>
      <c r="AY73" s="64" t="s" ph="1">
        <v>255</v>
      </c>
      <c r="AZ73" s="64" t="s" ph="1">
        <v>257</v>
      </c>
    </row>
    <row r="74" spans="33:52" ph="1">
      <c r="AH74" s="64" ph="1">
        <v>1</v>
      </c>
      <c r="AI74" s="64" t="s" ph="1">
        <v>441</v>
      </c>
      <c r="AJ74" s="64" t="s" ph="1">
        <v>286</v>
      </c>
      <c r="AK74" s="64" t="s" ph="1">
        <v>268</v>
      </c>
      <c r="AM74" s="64" t="s" ph="1">
        <v>288</v>
      </c>
      <c r="AN74" s="64" t="s" ph="1">
        <v>298</v>
      </c>
      <c r="AO74" s="64" t="s" ph="1">
        <v>287</v>
      </c>
      <c r="AP74" s="64" t="s" ph="1">
        <v>289</v>
      </c>
      <c r="AQ74" s="64" t="s" ph="1">
        <v>266</v>
      </c>
      <c r="AR74" s="64" t="s" ph="1">
        <v>287</v>
      </c>
      <c r="AS74" s="64" t="s" ph="1">
        <v>259</v>
      </c>
      <c r="AT74" s="64" t="s" ph="1">
        <v>261</v>
      </c>
      <c r="AV74" s="64" t="s" ph="1">
        <v>442</v>
      </c>
      <c r="AW74" s="64" t="s" ph="1">
        <v>443</v>
      </c>
      <c r="AX74" s="64" t="s" ph="1">
        <v>444</v>
      </c>
      <c r="AY74" s="64" t="s" ph="1">
        <v>260</v>
      </c>
      <c r="AZ74" s="64" t="s" ph="1">
        <v>445</v>
      </c>
    </row>
    <row r="75" spans="33:52" ph="1">
      <c r="AJ75" s="64" t="s" ph="1">
        <v>291</v>
      </c>
      <c r="AK75" s="64" t="s" ph="1">
        <v>344</v>
      </c>
      <c r="AM75" s="64" t="s" ph="1">
        <v>289</v>
      </c>
      <c r="AN75" s="64" t="s" ph="1">
        <v>269</v>
      </c>
      <c r="AO75" s="64" t="s" ph="1">
        <v>287</v>
      </c>
      <c r="AS75" s="64" t="s" ph="1">
        <v>259</v>
      </c>
      <c r="AT75" s="64" t="s" ph="1">
        <v>290</v>
      </c>
    </row>
    <row r="76" spans="33:52" ph="1">
      <c r="AJ76" s="64" t="s" ph="1">
        <v>291</v>
      </c>
      <c r="AK76" s="64" t="s" ph="1">
        <v>284</v>
      </c>
      <c r="AM76" s="64" t="s" ph="1">
        <v>289</v>
      </c>
      <c r="AN76" s="64" t="s" ph="1">
        <v>272</v>
      </c>
      <c r="AO76" s="64" t="s" ph="1">
        <v>287</v>
      </c>
      <c r="AS76" s="64" t="s" ph="1">
        <v>259</v>
      </c>
      <c r="AT76" s="64" t="s" ph="1">
        <v>290</v>
      </c>
    </row>
    <row r="77" spans="33:52" ph="1">
      <c r="AJ77" s="64" t="s" ph="1">
        <v>327</v>
      </c>
      <c r="AK77" s="64" t="s" ph="1">
        <v>284</v>
      </c>
      <c r="AM77" s="64" t="s" ph="1">
        <v>328</v>
      </c>
      <c r="AN77" s="64" t="s" ph="1">
        <v>267</v>
      </c>
      <c r="AO77" s="64" t="s" ph="1">
        <v>287</v>
      </c>
      <c r="AS77" s="64" t="s" ph="1">
        <v>259</v>
      </c>
      <c r="AT77" s="64" t="s" ph="1">
        <v>329</v>
      </c>
    </row>
    <row r="78" spans="33:52" ph="1">
      <c r="AH78" s="64" ph="1">
        <v>2</v>
      </c>
      <c r="AI78" s="64" t="s" ph="1">
        <v>293</v>
      </c>
      <c r="AJ78" s="64" t="s" ph="1">
        <v>294</v>
      </c>
      <c r="AK78" s="64" t="s" ph="1">
        <v>263</v>
      </c>
      <c r="AM78" s="64" t="s" ph="1">
        <v>295</v>
      </c>
      <c r="AN78" s="64" t="s" ph="1">
        <v>298</v>
      </c>
      <c r="AO78" s="64" t="s" ph="1">
        <v>287</v>
      </c>
      <c r="AP78" s="64" t="s" ph="1">
        <v>296</v>
      </c>
      <c r="AQ78" s="64" t="s" ph="1">
        <v>342</v>
      </c>
      <c r="AR78" s="64" t="s" ph="1">
        <v>287</v>
      </c>
      <c r="AS78" s="64" t="s" ph="1">
        <v>297</v>
      </c>
      <c r="AT78" s="64" t="s" ph="1">
        <v>298</v>
      </c>
      <c r="AU78" s="64" t="s" ph="1">
        <v>287</v>
      </c>
      <c r="AV78" s="64" t="s" ph="1">
        <v>299</v>
      </c>
      <c r="AW78" s="64" t="s" ph="1">
        <v>287</v>
      </c>
      <c r="AY78" s="64" t="s" ph="1">
        <v>260</v>
      </c>
      <c r="AZ78" s="64" t="s" ph="1">
        <v>446</v>
      </c>
    </row>
    <row r="79" spans="33:52" ph="1">
      <c r="AJ79" s="64" t="s" ph="1">
        <v>289</v>
      </c>
      <c r="AK79" s="64" t="s" ph="1">
        <v>300</v>
      </c>
      <c r="AM79" s="64" t="s" ph="1">
        <v>301</v>
      </c>
      <c r="AN79" s="64" t="s" ph="1">
        <v>269</v>
      </c>
      <c r="AO79" s="64" t="s" ph="1">
        <v>287</v>
      </c>
      <c r="AP79" s="64" t="s" ph="1">
        <v>302</v>
      </c>
      <c r="AQ79" s="64" t="s" ph="1">
        <v>267</v>
      </c>
      <c r="AR79" s="64" t="s" ph="1">
        <v>303</v>
      </c>
      <c r="AS79" s="64" t="s" ph="1">
        <v>259</v>
      </c>
      <c r="AT79" s="64" t="s" ph="1">
        <v>304</v>
      </c>
      <c r="AV79" s="64" t="s" ph="1">
        <v>447</v>
      </c>
      <c r="AW79" s="64" t="s" ph="1">
        <v>346</v>
      </c>
      <c r="AX79" s="64" t="s" ph="1">
        <v>444</v>
      </c>
    </row>
    <row r="80" spans="33:52" ph="1">
      <c r="AH80" s="64" ph="1">
        <v>3</v>
      </c>
      <c r="AI80" s="64" t="s" ph="1">
        <v>305</v>
      </c>
      <c r="AJ80" s="64" t="s" ph="1">
        <v>306</v>
      </c>
      <c r="AK80" s="64" t="s" ph="1">
        <v>307</v>
      </c>
      <c r="AM80" s="64" t="s" ph="1">
        <v>308</v>
      </c>
      <c r="AN80" s="64" t="s" ph="1">
        <v>298</v>
      </c>
      <c r="AO80" s="64" t="s" ph="1">
        <v>287</v>
      </c>
      <c r="AP80" s="64" t="s" ph="1">
        <v>309</v>
      </c>
      <c r="AQ80" s="64" t="s" ph="1">
        <v>272</v>
      </c>
      <c r="AR80" s="64" t="s" ph="1">
        <v>287</v>
      </c>
      <c r="AS80" s="64" t="s" ph="1">
        <v>310</v>
      </c>
      <c r="AT80" s="64" t="s" ph="1">
        <v>271</v>
      </c>
      <c r="AU80" s="64" t="s" ph="1">
        <v>287</v>
      </c>
      <c r="AV80" s="64" t="s" ph="1">
        <v>311</v>
      </c>
      <c r="AW80" s="64" t="s" ph="1">
        <v>287</v>
      </c>
      <c r="AY80" s="64" t="s" ph="1">
        <v>260</v>
      </c>
      <c r="AZ80" s="64" t="s" ph="1">
        <v>448</v>
      </c>
    </row>
    <row r="81" spans="34:52" ph="1">
      <c r="AJ81" s="64" t="s" ph="1">
        <v>312</v>
      </c>
      <c r="AK81" s="64" t="s" ph="1">
        <v>266</v>
      </c>
      <c r="AM81" s="64" t="s" ph="1">
        <v>313</v>
      </c>
      <c r="AN81" s="64" t="s" ph="1">
        <v>269</v>
      </c>
      <c r="AO81" s="64" t="s" ph="1">
        <v>287</v>
      </c>
      <c r="AP81" s="64" t="s" ph="1">
        <v>314</v>
      </c>
      <c r="AQ81" s="64" t="s" ph="1">
        <v>298</v>
      </c>
      <c r="AR81" s="64" t="s" ph="1">
        <v>287</v>
      </c>
      <c r="AS81" s="64" t="s" ph="1">
        <v>315</v>
      </c>
      <c r="AT81" s="64" t="s" ph="1">
        <v>316</v>
      </c>
      <c r="AU81" s="64" t="s" ph="1">
        <v>287</v>
      </c>
      <c r="AV81" s="64" t="s" ph="1">
        <v>317</v>
      </c>
    </row>
    <row r="82" spans="34:52" ph="1">
      <c r="AJ82" s="64" t="s" ph="1">
        <v>318</v>
      </c>
      <c r="AK82" s="64" t="s" ph="1">
        <v>266</v>
      </c>
      <c r="AM82" s="64" t="s" ph="1">
        <v>319</v>
      </c>
      <c r="AN82" s="64" t="s" ph="1">
        <v>316</v>
      </c>
      <c r="AO82" s="64" t="s" ph="1">
        <v>320</v>
      </c>
      <c r="AP82" s="64" t="s" ph="1">
        <v>321</v>
      </c>
      <c r="AQ82" s="64" t="s" ph="1">
        <v>298</v>
      </c>
      <c r="AR82" s="64" t="s" ph="1">
        <v>287</v>
      </c>
      <c r="AS82" s="64" t="s" ph="1">
        <v>322</v>
      </c>
      <c r="AT82" s="64" t="s" ph="1">
        <v>273</v>
      </c>
      <c r="AU82" s="64" t="s" ph="1">
        <v>287</v>
      </c>
      <c r="AV82" s="64" t="s" ph="1">
        <v>447</v>
      </c>
      <c r="AW82" s="64" t="s" ph="1">
        <v>347</v>
      </c>
      <c r="AX82" s="64" t="s" ph="1">
        <v>444</v>
      </c>
    </row>
    <row r="83" spans="34:52" ph="1">
      <c r="AJ83" s="64" t="s" ph="1">
        <v>323</v>
      </c>
      <c r="AK83" s="64" t="s" ph="1">
        <v>340</v>
      </c>
      <c r="AM83" s="64" t="s" ph="1">
        <v>324</v>
      </c>
      <c r="AN83" s="64" t="s" ph="1">
        <v>272</v>
      </c>
      <c r="AO83" s="64" t="s" ph="1">
        <v>303</v>
      </c>
      <c r="AP83" s="64" t="s" ph="1">
        <v>325</v>
      </c>
      <c r="AQ83" s="64" t="s" ph="1">
        <v>326</v>
      </c>
      <c r="AR83" s="64" t="s" ph="1">
        <v>303</v>
      </c>
      <c r="AS83" s="64" t="s" ph="1">
        <v>449</v>
      </c>
      <c r="AT83" s="64" t="s" ph="1">
        <v>298</v>
      </c>
      <c r="AU83" s="64" t="s" ph="1">
        <v>303</v>
      </c>
      <c r="AV83" s="64" t="s" ph="1">
        <v>450</v>
      </c>
      <c r="AW83" s="64" t="s" ph="1">
        <v>347</v>
      </c>
      <c r="AX83" s="64" t="s" ph="1">
        <v>451</v>
      </c>
    </row>
    <row r="84" spans="34:52" ph="1">
      <c r="AH84" s="64" ph="1">
        <v>4</v>
      </c>
      <c r="AI84" s="64" t="s" ph="1">
        <v>330</v>
      </c>
      <c r="AJ84" s="64" t="s" ph="1">
        <v>270</v>
      </c>
      <c r="AK84" s="64" t="s" ph="1">
        <v>273</v>
      </c>
      <c r="AM84" s="64" t="s" ph="1">
        <v>274</v>
      </c>
      <c r="AN84" s="64" t="s" ph="1">
        <v>267</v>
      </c>
      <c r="AO84" s="64" t="s" ph="1">
        <v>303</v>
      </c>
      <c r="AP84" s="64" t="s" ph="1">
        <v>332</v>
      </c>
      <c r="AQ84" s="64" t="s" ph="1">
        <v>266</v>
      </c>
      <c r="AR84" s="64" t="s" ph="1">
        <v>303</v>
      </c>
      <c r="AS84" s="64" t="s" ph="1">
        <v>332</v>
      </c>
      <c r="AT84" s="64" t="s" ph="1">
        <v>268</v>
      </c>
      <c r="AU84" s="64" t="s" ph="1">
        <v>303</v>
      </c>
      <c r="AY84" s="64" t="s" ph="1">
        <v>260</v>
      </c>
      <c r="AZ84" s="64" t="s" ph="1">
        <v>452</v>
      </c>
    </row>
    <row r="85" spans="34:52" ph="1">
      <c r="AJ85" s="64" t="s" ph="1">
        <v>262</v>
      </c>
      <c r="AK85" s="64" t="s" ph="1">
        <v>266</v>
      </c>
      <c r="AM85" s="64" t="s" ph="1">
        <v>453</v>
      </c>
      <c r="AN85" s="64" t="s" ph="1">
        <v>273</v>
      </c>
      <c r="AO85" s="64" t="s" ph="1">
        <v>303</v>
      </c>
      <c r="AP85" s="64" t="s" ph="1">
        <v>454</v>
      </c>
      <c r="AQ85" s="64" t="s" ph="1">
        <v>269</v>
      </c>
      <c r="AR85" s="64" t="s" ph="1">
        <v>303</v>
      </c>
      <c r="AS85" s="64" t="s" ph="1">
        <v>455</v>
      </c>
      <c r="AT85" s="64" t="s" ph="1">
        <v>269</v>
      </c>
      <c r="AU85" s="64" t="s" ph="1">
        <v>303</v>
      </c>
    </row>
    <row r="86" spans="34:52" ph="1">
      <c r="AJ86" s="64" t="s" ph="1">
        <v>456</v>
      </c>
      <c r="AK86" s="64" t="s" ph="1">
        <v>275</v>
      </c>
      <c r="AM86" s="64" t="s" ph="1">
        <v>457</v>
      </c>
      <c r="AN86" s="64" t="s" ph="1">
        <v>316</v>
      </c>
      <c r="AO86" s="64" t="s" ph="1">
        <v>303</v>
      </c>
      <c r="AP86" s="64" t="s" ph="1">
        <v>458</v>
      </c>
      <c r="AQ86" s="64" t="s" ph="1">
        <v>263</v>
      </c>
      <c r="AR86" s="64" t="s" ph="1">
        <v>303</v>
      </c>
      <c r="AS86" s="64" t="s" ph="1">
        <v>459</v>
      </c>
      <c r="AT86" s="64" t="s" ph="1">
        <v>281</v>
      </c>
      <c r="AU86" s="64" t="s" ph="1">
        <v>303</v>
      </c>
    </row>
    <row r="87" spans="34:52" ph="1">
      <c r="AJ87" s="64" t="s" ph="1">
        <v>460</v>
      </c>
      <c r="AK87" s="64" t="s" ph="1">
        <v>316</v>
      </c>
      <c r="AM87" s="64" t="s" ph="1">
        <v>447</v>
      </c>
      <c r="AN87" s="64" t="s" ph="1">
        <v>461</v>
      </c>
      <c r="AO87" s="64" t="s" ph="1">
        <v>444</v>
      </c>
    </row>
    <row r="88" spans="34:52" ph="1">
      <c r="AH88" s="64" ph="1">
        <v>5</v>
      </c>
      <c r="AI88" s="64" t="s" ph="1">
        <v>333</v>
      </c>
      <c r="AJ88" s="64" t="s" ph="1">
        <v>462</v>
      </c>
      <c r="AK88" s="64" t="s" ph="1">
        <v>316</v>
      </c>
      <c r="AM88" s="64" t="s" ph="1">
        <v>463</v>
      </c>
      <c r="AN88" s="64" t="s" ph="1">
        <v>316</v>
      </c>
      <c r="AO88" s="64" t="s" ph="1">
        <v>303</v>
      </c>
      <c r="AP88" s="64" t="s" ph="1">
        <v>464</v>
      </c>
      <c r="AQ88" s="64" t="s" ph="1">
        <v>266</v>
      </c>
      <c r="AR88" s="64" t="s" ph="1">
        <v>303</v>
      </c>
      <c r="AS88" s="64" t="s" ph="1">
        <v>465</v>
      </c>
      <c r="AT88" s="64" t="s" ph="1">
        <v>316</v>
      </c>
      <c r="AU88" s="64" t="s" ph="1">
        <v>303</v>
      </c>
      <c r="AV88" s="64" t="s" ph="1">
        <v>466</v>
      </c>
      <c r="AW88" s="64" t="s" ph="1">
        <v>271</v>
      </c>
      <c r="AX88" s="64" t="s" ph="1">
        <v>303</v>
      </c>
      <c r="AY88" s="64" t="s" ph="1">
        <v>260</v>
      </c>
      <c r="AZ88" s="64" t="s" ph="1">
        <v>467</v>
      </c>
    </row>
    <row r="89" spans="34:52" ph="1">
      <c r="AJ89" s="64" t="s" ph="1">
        <v>468</v>
      </c>
      <c r="AK89" s="64" t="s" ph="1">
        <v>269</v>
      </c>
      <c r="AM89" s="64" t="s" ph="1">
        <v>469</v>
      </c>
      <c r="AN89" s="64" t="s" ph="1">
        <v>272</v>
      </c>
      <c r="AO89" s="64" t="s" ph="1">
        <v>303</v>
      </c>
      <c r="AP89" s="64" t="s" ph="1">
        <v>470</v>
      </c>
      <c r="AQ89" s="64" t="s" ph="1">
        <v>281</v>
      </c>
      <c r="AR89" s="64" t="s" ph="1">
        <v>303</v>
      </c>
      <c r="AS89" s="64" t="s" ph="1">
        <v>471</v>
      </c>
      <c r="AT89" s="64" t="s" ph="1">
        <v>316</v>
      </c>
      <c r="AU89" s="64" t="s" ph="1">
        <v>303</v>
      </c>
      <c r="AV89" s="64" t="s" ph="1">
        <v>472</v>
      </c>
      <c r="AW89" s="64" t="s" ph="1">
        <v>298</v>
      </c>
      <c r="AX89" s="64" t="s" ph="1">
        <v>331</v>
      </c>
    </row>
    <row r="90" spans="34:52" ph="1">
      <c r="AJ90" s="64" t="s" ph="1">
        <v>473</v>
      </c>
      <c r="AK90" s="64" t="s" ph="1">
        <v>272</v>
      </c>
      <c r="AM90" s="64" t="s" ph="1">
        <v>474</v>
      </c>
      <c r="AN90" s="64" t="s" ph="1">
        <v>269</v>
      </c>
      <c r="AO90" s="64" t="s" ph="1">
        <v>303</v>
      </c>
      <c r="AP90" s="64" t="s" ph="1">
        <v>475</v>
      </c>
      <c r="AQ90" s="64" t="s" ph="1">
        <v>338</v>
      </c>
      <c r="AR90" s="64" t="s" ph="1">
        <v>303</v>
      </c>
      <c r="AS90" s="64" t="s" ph="1">
        <v>476</v>
      </c>
      <c r="AT90" s="64" t="s" ph="1">
        <v>326</v>
      </c>
      <c r="AU90" s="64" t="s" ph="1">
        <v>303</v>
      </c>
      <c r="AV90" s="64" t="s" ph="1">
        <v>477</v>
      </c>
      <c r="AW90" s="64" t="s" ph="1">
        <v>263</v>
      </c>
      <c r="AX90" s="64" t="s" ph="1">
        <v>303</v>
      </c>
    </row>
    <row r="91" spans="34:52" ph="1">
      <c r="AJ91" s="64" t="s" ph="1">
        <v>478</v>
      </c>
      <c r="AK91" s="64" t="s" ph="1">
        <v>316</v>
      </c>
      <c r="AM91" s="64" t="s" ph="1">
        <v>479</v>
      </c>
      <c r="AN91" s="64" t="s" ph="1">
        <v>283</v>
      </c>
      <c r="AO91" s="64" t="s" ph="1">
        <v>303</v>
      </c>
      <c r="AP91" s="64" t="s" ph="1">
        <v>480</v>
      </c>
      <c r="AQ91" s="64" t="s" ph="1">
        <v>263</v>
      </c>
      <c r="AS91" s="64" t="s" ph="1">
        <v>447</v>
      </c>
      <c r="AT91" s="64" t="s" ph="1">
        <v>443</v>
      </c>
      <c r="AU91" s="64" t="s" ph="1">
        <v>444</v>
      </c>
    </row>
    <row r="92" spans="34:52" ph="1">
      <c r="AH92" s="64" ph="1">
        <v>6</v>
      </c>
      <c r="AI92" s="64" t="s" ph="1">
        <v>481</v>
      </c>
      <c r="AJ92" s="64" t="s" ph="1">
        <v>482</v>
      </c>
      <c r="AK92" s="64" t="s" ph="1">
        <v>411</v>
      </c>
      <c r="AM92" s="64" t="s" ph="1">
        <v>483</v>
      </c>
      <c r="AN92" s="64" t="s" ph="1">
        <v>271</v>
      </c>
      <c r="AO92" s="64" t="s" ph="1">
        <v>303</v>
      </c>
      <c r="AP92" s="64" t="s" ph="1">
        <v>484</v>
      </c>
      <c r="AQ92" s="64" t="s" ph="1">
        <v>343</v>
      </c>
      <c r="AR92" s="64" t="s" ph="1">
        <v>303</v>
      </c>
      <c r="AS92" s="64" t="s" ph="1">
        <v>485</v>
      </c>
      <c r="AT92" s="64" t="s" ph="1">
        <v>316</v>
      </c>
      <c r="AU92" s="64" t="s" ph="1">
        <v>303</v>
      </c>
      <c r="AV92" s="64" t="s" ph="1">
        <v>486</v>
      </c>
      <c r="AW92" s="64" t="s" ph="1">
        <v>272</v>
      </c>
      <c r="AX92" s="64" t="s" ph="1">
        <v>303</v>
      </c>
      <c r="AY92" s="64" t="s" ph="1">
        <v>260</v>
      </c>
      <c r="AZ92" s="64" t="s" ph="1">
        <v>467</v>
      </c>
    </row>
    <row r="93" spans="34:52" ph="1">
      <c r="AJ93" s="64" t="s" ph="1">
        <v>487</v>
      </c>
      <c r="AK93" s="64" t="s" ph="1">
        <v>266</v>
      </c>
      <c r="AM93" s="64" t="s" ph="1">
        <v>488</v>
      </c>
      <c r="AN93" s="64" t="s" ph="1">
        <v>271</v>
      </c>
      <c r="AO93" s="64" t="s" ph="1">
        <v>303</v>
      </c>
      <c r="AP93" s="64" t="s" ph="1">
        <v>489</v>
      </c>
      <c r="AQ93" s="64" t="s" ph="1">
        <v>275</v>
      </c>
      <c r="AR93" s="64" t="s" ph="1">
        <v>303</v>
      </c>
      <c r="AS93" s="64" t="s" ph="1">
        <v>490</v>
      </c>
      <c r="AT93" s="64" t="s" ph="1">
        <v>281</v>
      </c>
      <c r="AU93" s="64" t="s" ph="1">
        <v>303</v>
      </c>
      <c r="AV93" s="64" t="s" ph="1">
        <v>491</v>
      </c>
      <c r="AW93" s="64" t="s" ph="1">
        <v>275</v>
      </c>
      <c r="AX93" s="64" t="s" ph="1">
        <v>303</v>
      </c>
    </row>
    <row r="94" spans="34:52" ph="1">
      <c r="AJ94" s="64" t="s" ph="1">
        <v>492</v>
      </c>
      <c r="AK94" s="64" t="s" ph="1">
        <v>338</v>
      </c>
      <c r="AM94" s="64" t="s" ph="1">
        <v>493</v>
      </c>
      <c r="AN94" s="64" t="s" ph="1">
        <v>275</v>
      </c>
      <c r="AO94" s="64" t="s" ph="1">
        <v>303</v>
      </c>
      <c r="AP94" s="64" t="s" ph="1">
        <v>494</v>
      </c>
      <c r="AQ94" s="64" t="s" ph="1">
        <v>283</v>
      </c>
      <c r="AR94" s="64" t="s" ph="1">
        <v>303</v>
      </c>
      <c r="AS94" s="64" t="s" ph="1">
        <v>495</v>
      </c>
      <c r="AT94" s="64" t="s" ph="1">
        <v>269</v>
      </c>
      <c r="AU94" s="64" t="s" ph="1">
        <v>303</v>
      </c>
      <c r="AV94" s="64" t="s" ph="1">
        <v>496</v>
      </c>
      <c r="AW94" s="64" t="s" ph="1">
        <v>269</v>
      </c>
      <c r="AX94" s="64" t="s" ph="1">
        <v>303</v>
      </c>
    </row>
    <row r="95" spans="34:52" ph="1">
      <c r="AJ95" s="64" t="s" ph="1">
        <v>497</v>
      </c>
      <c r="AK95" s="64" t="s" ph="1">
        <v>343</v>
      </c>
    </row>
    <row r="96" spans="34:52" ph="1">
      <c r="AH96" s="64" ph="1">
        <v>7</v>
      </c>
      <c r="AI96" s="64" t="s" ph="1">
        <v>498</v>
      </c>
      <c r="AJ96" s="64" t="s" ph="1">
        <v>497</v>
      </c>
      <c r="AK96" s="64" t="s" ph="1">
        <v>298</v>
      </c>
      <c r="AM96" s="64" t="s" ph="1">
        <v>499</v>
      </c>
      <c r="AN96" s="64" t="s" ph="1">
        <v>272</v>
      </c>
      <c r="AO96" s="64" t="s" ph="1">
        <v>303</v>
      </c>
      <c r="AP96" s="64" t="s" ph="1">
        <v>500</v>
      </c>
      <c r="AQ96" s="64" t="s" ph="1">
        <v>316</v>
      </c>
      <c r="AR96" s="64" t="s" ph="1">
        <v>331</v>
      </c>
      <c r="AS96" s="64" t="s" ph="1">
        <v>501</v>
      </c>
      <c r="AT96" s="64" t="s" ph="1">
        <v>275</v>
      </c>
      <c r="AU96" s="64" t="s" ph="1">
        <v>331</v>
      </c>
      <c r="AV96" s="64" t="s" ph="1">
        <v>502</v>
      </c>
      <c r="AW96" s="64" t="s" ph="1">
        <v>271</v>
      </c>
      <c r="AX96" s="64" t="s" ph="1">
        <v>331</v>
      </c>
      <c r="AY96" s="64" t="s" ph="1">
        <v>260</v>
      </c>
      <c r="AZ96" s="64" t="s" ph="1">
        <v>503</v>
      </c>
    </row>
    <row r="97" spans="33:52" ph="1">
      <c r="AJ97" s="64" t="s" ph="1">
        <v>504</v>
      </c>
      <c r="AK97" s="64" t="s" ph="1">
        <v>326</v>
      </c>
      <c r="AM97" s="64" t="s" ph="1">
        <v>505</v>
      </c>
      <c r="AN97" s="64" t="s" ph="1">
        <v>269</v>
      </c>
      <c r="AO97" s="64" t="s" ph="1">
        <v>303</v>
      </c>
      <c r="AP97" s="64" t="s" ph="1">
        <v>506</v>
      </c>
      <c r="AQ97" s="64" t="s" ph="1">
        <v>263</v>
      </c>
      <c r="AR97" s="64" t="s" ph="1">
        <v>331</v>
      </c>
      <c r="AS97" s="64" t="s" ph="1">
        <v>507</v>
      </c>
      <c r="AT97" s="64" t="s" ph="1">
        <v>266</v>
      </c>
      <c r="AU97" s="64" t="s" ph="1">
        <v>331</v>
      </c>
      <c r="AV97" s="64" t="s" ph="1">
        <v>508</v>
      </c>
      <c r="AW97" s="64" t="s" ph="1">
        <v>272</v>
      </c>
      <c r="AX97" s="64" t="s" ph="1">
        <v>331</v>
      </c>
    </row>
    <row r="98" spans="33:52" ph="1">
      <c r="AJ98" s="64" t="s" ph="1">
        <v>509</v>
      </c>
      <c r="AK98" s="64" t="s" ph="1">
        <v>275</v>
      </c>
      <c r="AM98" s="64" t="s" ph="1">
        <v>510</v>
      </c>
      <c r="AN98" s="64" t="s" ph="1">
        <v>283</v>
      </c>
      <c r="AO98" s="64" t="s" ph="1">
        <v>303</v>
      </c>
      <c r="AP98" s="64" t="s" ph="1">
        <v>511</v>
      </c>
      <c r="AQ98" s="64" t="s" ph="1">
        <v>263</v>
      </c>
      <c r="AR98" s="64" t="s" ph="1">
        <v>331</v>
      </c>
      <c r="AS98" s="64" t="s" ph="1">
        <v>512</v>
      </c>
      <c r="AT98" s="64" t="s" ph="1">
        <v>343</v>
      </c>
      <c r="AU98" s="64" t="s" ph="1">
        <v>331</v>
      </c>
      <c r="AV98" s="64" t="s" ph="1">
        <v>513</v>
      </c>
      <c r="AW98" s="64" t="s" ph="1">
        <v>266</v>
      </c>
      <c r="AX98" s="64" t="s" ph="1">
        <v>331</v>
      </c>
    </row>
    <row r="99" spans="33:52" ph="1">
      <c r="AH99" s="64" ph="1">
        <v>8</v>
      </c>
      <c r="AI99" s="64" t="s" ph="1">
        <v>514</v>
      </c>
      <c r="AJ99" s="64" t="s" ph="1">
        <v>515</v>
      </c>
      <c r="AK99" s="64" t="s" ph="1">
        <v>411</v>
      </c>
      <c r="AM99" s="64" t="s" ph="1">
        <v>516</v>
      </c>
      <c r="AN99" s="64" t="s" ph="1">
        <v>298</v>
      </c>
      <c r="AO99" s="64" t="s" ph="1">
        <v>303</v>
      </c>
      <c r="AP99" s="64" t="s" ph="1">
        <v>517</v>
      </c>
      <c r="AQ99" s="64" t="s" ph="1">
        <v>268</v>
      </c>
      <c r="AR99" s="64" t="s" ph="1">
        <v>331</v>
      </c>
      <c r="AS99" s="64" t="s" ph="1">
        <v>518</v>
      </c>
      <c r="AT99" s="64" t="s" ph="1">
        <v>283</v>
      </c>
      <c r="AU99" s="64" t="s" ph="1">
        <v>331</v>
      </c>
      <c r="AV99" s="64" t="s" ph="1">
        <v>519</v>
      </c>
      <c r="AW99" s="64" t="s" ph="1">
        <v>268</v>
      </c>
      <c r="AX99" s="64" t="s" ph="1">
        <v>331</v>
      </c>
      <c r="AY99" s="64" t="s" ph="1">
        <v>260</v>
      </c>
      <c r="AZ99" s="64" t="s" ph="1">
        <v>520</v>
      </c>
    </row>
    <row r="100" spans="33:52" ph="1">
      <c r="AJ100" s="64" t="s" ph="1">
        <v>521</v>
      </c>
      <c r="AK100" s="64" t="s" ph="1">
        <v>266</v>
      </c>
      <c r="AM100" s="64" t="s" ph="1">
        <v>522</v>
      </c>
      <c r="AN100" s="64" t="s" ph="1">
        <v>338</v>
      </c>
      <c r="AO100" s="64" t="s" ph="1">
        <v>303</v>
      </c>
      <c r="AP100" s="64" t="s" ph="1">
        <v>523</v>
      </c>
      <c r="AQ100" s="64" t="s" ph="1">
        <v>344</v>
      </c>
      <c r="AR100" s="64" t="s" ph="1">
        <v>331</v>
      </c>
      <c r="AS100" s="64" t="s" ph="1">
        <v>524</v>
      </c>
      <c r="AT100" s="64" t="s" ph="1">
        <v>411</v>
      </c>
      <c r="AU100" s="64" t="s" ph="1">
        <v>303</v>
      </c>
      <c r="AV100" s="64" t="s" ph="1">
        <v>525</v>
      </c>
      <c r="AW100" s="64" t="s" ph="1">
        <v>411</v>
      </c>
      <c r="AX100" s="64" t="s" ph="1">
        <v>303</v>
      </c>
    </row>
    <row r="101" spans="33:52" ph="1">
      <c r="AJ101" s="64" t="s" ph="1">
        <v>526</v>
      </c>
      <c r="AK101" s="64" t="s" ph="1">
        <v>411</v>
      </c>
      <c r="AM101" s="64" t="s" ph="1">
        <v>527</v>
      </c>
      <c r="AN101" s="64" t="s" ph="1">
        <v>269</v>
      </c>
      <c r="AO101" s="64" t="s" ph="1">
        <v>303</v>
      </c>
      <c r="AP101" s="64" t="s" ph="1">
        <v>528</v>
      </c>
      <c r="AQ101" s="64" t="s" ph="1">
        <v>281</v>
      </c>
      <c r="AR101" s="64" t="s" ph="1">
        <v>331</v>
      </c>
      <c r="AS101" s="64" t="s" ph="1">
        <v>529</v>
      </c>
      <c r="AT101" s="64" t="s" ph="1">
        <v>338</v>
      </c>
      <c r="AU101" s="64" t="s" ph="1">
        <v>331</v>
      </c>
      <c r="AV101" s="64" t="s" ph="1">
        <v>530</v>
      </c>
      <c r="AW101" s="64" t="s" ph="1">
        <v>269</v>
      </c>
      <c r="AX101" s="64" t="s" ph="1">
        <v>303</v>
      </c>
    </row>
    <row r="102" spans="33:52" ph="1">
      <c r="AJ102" s="64" t="s" ph="1">
        <v>531</v>
      </c>
      <c r="AK102" s="64" t="s" ph="1">
        <v>266</v>
      </c>
      <c r="AM102" s="64" t="s" ph="1">
        <v>532</v>
      </c>
      <c r="AN102" s="64" t="s" ph="1">
        <v>275</v>
      </c>
      <c r="AO102" s="64" t="s" ph="1">
        <v>303</v>
      </c>
      <c r="AP102" s="64" t="s" ph="1">
        <v>533</v>
      </c>
      <c r="AQ102" s="64" t="s" ph="1">
        <v>281</v>
      </c>
      <c r="AR102" s="64" t="s" ph="1">
        <v>303</v>
      </c>
      <c r="AS102" s="64" t="s" ph="1">
        <v>534</v>
      </c>
      <c r="AT102" s="64" t="s" ph="1">
        <v>298</v>
      </c>
      <c r="AU102" s="64" t="s" ph="1">
        <v>303</v>
      </c>
      <c r="AV102" s="64" t="s" ph="1">
        <v>535</v>
      </c>
      <c r="AW102" s="64" t="s" ph="1">
        <v>316</v>
      </c>
      <c r="AX102" s="64" t="s" ph="1">
        <v>303</v>
      </c>
    </row>
    <row r="103" spans="33:52" ph="1">
      <c r="AH103" s="64" ph="1">
        <v>9</v>
      </c>
      <c r="AI103" s="64" t="s" ph="1">
        <v>536</v>
      </c>
      <c r="AJ103" s="64" t="s" ph="1">
        <v>537</v>
      </c>
      <c r="AK103" s="64" t="s" ph="1">
        <v>411</v>
      </c>
      <c r="AM103" s="64" t="s" ph="1">
        <v>538</v>
      </c>
      <c r="AN103" s="64" t="s" ph="1">
        <v>326</v>
      </c>
      <c r="AO103" s="64" t="s" ph="1">
        <v>303</v>
      </c>
      <c r="AP103" s="64" t="s" ph="1">
        <v>380</v>
      </c>
      <c r="AQ103" s="64" t="s" ph="1">
        <v>269</v>
      </c>
      <c r="AR103" s="64" t="s" ph="1">
        <v>303</v>
      </c>
      <c r="AS103" s="64" t="s" ph="1">
        <v>614</v>
      </c>
      <c r="AT103" s="64" t="s" ph="1">
        <v>411</v>
      </c>
      <c r="AU103" s="64" t="s" ph="1">
        <v>303</v>
      </c>
      <c r="AY103" s="64" t="s" ph="1">
        <v>260</v>
      </c>
      <c r="AZ103" s="64" t="s" ph="1">
        <v>268</v>
      </c>
    </row>
    <row r="104" spans="33:52" ph="1">
      <c r="AZ104" s="64" t="s" ph="1">
        <v>539</v>
      </c>
    </row>
    <row r="105" spans="33:52" ph="1">
      <c r="AG105" s="64" t="s" ph="1">
        <v>339</v>
      </c>
      <c r="AI105" s="64" t="s" ph="1">
        <v>253</v>
      </c>
      <c r="AJ105" s="64" t="s" ph="1">
        <v>254</v>
      </c>
      <c r="AK105" s="64" t="s" ph="1">
        <v>255</v>
      </c>
      <c r="AM105" s="64" t="s" ph="1">
        <v>254</v>
      </c>
      <c r="AN105" s="64" t="s" ph="1">
        <v>255</v>
      </c>
      <c r="AO105" s="64" t="s" ph="1">
        <v>256</v>
      </c>
      <c r="AP105" s="64" t="s" ph="1">
        <v>254</v>
      </c>
      <c r="AQ105" s="64" t="s" ph="1">
        <v>255</v>
      </c>
      <c r="AR105" s="64" t="s" ph="1">
        <v>256</v>
      </c>
      <c r="AS105" s="64" t="s" ph="1">
        <v>254</v>
      </c>
      <c r="AT105" s="64" t="s" ph="1">
        <v>255</v>
      </c>
      <c r="AU105" s="64" t="s" ph="1">
        <v>256</v>
      </c>
      <c r="AV105" s="64" t="s" ph="1">
        <v>254</v>
      </c>
      <c r="AW105" s="64" t="s" ph="1">
        <v>255</v>
      </c>
      <c r="AX105" s="64" t="s" ph="1">
        <v>256</v>
      </c>
      <c r="AZ105" s="64" t="s" ph="1">
        <v>257</v>
      </c>
    </row>
    <row r="106" spans="33:52" ph="1">
      <c r="AH106" s="64" ph="1">
        <v>1</v>
      </c>
      <c r="AI106" s="64" t="s" ph="1">
        <v>540</v>
      </c>
      <c r="AJ106" s="64" t="s" ph="1">
        <v>614</v>
      </c>
      <c r="AK106" s="64" t="s" ph="1">
        <v>275</v>
      </c>
      <c r="AZ106" s="64" t="s" ph="1">
        <v>275</v>
      </c>
    </row>
    <row r="107" spans="33:52" ph="1">
      <c r="AH107" s="64" ph="1">
        <v>2</v>
      </c>
      <c r="AI107" s="64" t="s" ph="1">
        <v>541</v>
      </c>
      <c r="AJ107" s="64" t="s" ph="1">
        <v>542</v>
      </c>
      <c r="AK107" s="64" t="s" ph="1">
        <v>272</v>
      </c>
      <c r="AM107" s="64" t="s" ph="1">
        <v>378</v>
      </c>
      <c r="AN107" s="64" t="s" ph="1">
        <v>543</v>
      </c>
      <c r="AO107" s="64" t="s" ph="1">
        <v>544</v>
      </c>
      <c r="AP107" s="64" t="s" ph="1">
        <v>380</v>
      </c>
      <c r="AQ107" s="64" t="s" ph="1">
        <v>348</v>
      </c>
      <c r="AR107" s="64" t="s" ph="1">
        <v>544</v>
      </c>
      <c r="AS107" s="64" t="s" ph="1">
        <v>614</v>
      </c>
      <c r="AT107" s="64" t="s" ph="1">
        <v>543</v>
      </c>
      <c r="AU107" s="64" t="s" ph="1">
        <v>544</v>
      </c>
      <c r="AY107" s="64" t="s" ph="1">
        <v>260</v>
      </c>
      <c r="AZ107" s="64" t="s" ph="1">
        <v>624</v>
      </c>
    </row>
    <row r="108" spans="33:52" ph="1">
      <c r="AH108" s="64" ph="1">
        <v>3</v>
      </c>
      <c r="AI108" s="64" t="s" ph="1">
        <v>545</v>
      </c>
      <c r="AY108" s="64" t="s" ph="1">
        <v>260</v>
      </c>
      <c r="AZ108" s="64" t="s" ph="1">
        <v>411</v>
      </c>
    </row>
    <row r="109" spans="33:52" ph="1">
      <c r="AH109" s="64" ph="1">
        <v>4</v>
      </c>
      <c r="AI109" s="64" t="s" ph="1">
        <v>546</v>
      </c>
      <c r="AY109" s="64" t="s" ph="1">
        <v>260</v>
      </c>
      <c r="AZ109" s="64" t="s" ph="1">
        <v>411</v>
      </c>
    </row>
    <row r="110" spans="33:52" ph="1">
      <c r="AH110" s="64" ph="1">
        <v>5</v>
      </c>
      <c r="AI110" s="64" t="s" ph="1">
        <v>547</v>
      </c>
      <c r="AY110" s="64" t="s" ph="1">
        <v>260</v>
      </c>
      <c r="AZ110" s="64" t="s" ph="1">
        <v>411</v>
      </c>
    </row>
    <row r="111" spans="33:52" ph="1">
      <c r="AH111" s="64" ph="1">
        <v>6</v>
      </c>
      <c r="AI111" s="64" t="s" ph="1">
        <v>625</v>
      </c>
      <c r="AJ111" s="64" t="s" ph="1">
        <v>530</v>
      </c>
      <c r="AK111" s="64" t="s" ph="1">
        <v>269</v>
      </c>
      <c r="AM111" s="64" t="s" ph="1">
        <v>531</v>
      </c>
      <c r="AN111" s="64" t="s" ph="1">
        <v>263</v>
      </c>
      <c r="AO111" s="64" t="s" ph="1">
        <v>544</v>
      </c>
      <c r="AP111" s="64" t="s" ph="1">
        <v>532</v>
      </c>
      <c r="AQ111" s="64" t="s" ph="1">
        <v>272</v>
      </c>
      <c r="AR111" s="64" t="s" ph="1">
        <v>544</v>
      </c>
      <c r="AS111" s="64" t="s" ph="1">
        <v>533</v>
      </c>
      <c r="AT111" s="64" t="s" ph="1">
        <v>281</v>
      </c>
      <c r="AU111" s="64" t="s" ph="1">
        <v>544</v>
      </c>
      <c r="AV111" s="64" t="s" ph="1">
        <v>534</v>
      </c>
      <c r="AW111" s="64" t="s" ph="1">
        <v>271</v>
      </c>
      <c r="AX111" s="64" t="s" ph="1">
        <v>544</v>
      </c>
      <c r="AY111" s="64" t="s" ph="1">
        <v>260</v>
      </c>
      <c r="AZ111" s="64" t="s" ph="1">
        <v>548</v>
      </c>
    </row>
    <row r="112" spans="33:52" ph="1">
      <c r="AJ112" s="64" t="s" ph="1">
        <v>535</v>
      </c>
      <c r="AK112" s="64" t="s" ph="1">
        <v>316</v>
      </c>
      <c r="AM112" s="64" t="s" ph="1">
        <v>537</v>
      </c>
      <c r="AN112" s="64" t="s" ph="1">
        <v>340</v>
      </c>
      <c r="AO112" s="64" t="s" ph="1">
        <v>544</v>
      </c>
      <c r="AP112" s="64" t="s" ph="1">
        <v>538</v>
      </c>
      <c r="AQ112" s="64" t="s" ph="1">
        <v>549</v>
      </c>
      <c r="AR112" s="64" t="s" ph="1">
        <v>544</v>
      </c>
      <c r="AS112" s="64" t="s" ph="1">
        <v>550</v>
      </c>
      <c r="AT112" s="64" t="s" ph="1">
        <v>292</v>
      </c>
      <c r="AU112" s="64" t="s" ph="1">
        <v>544</v>
      </c>
      <c r="AV112" s="64" t="s" ph="1">
        <v>551</v>
      </c>
      <c r="AW112" s="64" t="s" ph="1">
        <v>338</v>
      </c>
      <c r="AX112" s="64" t="s" ph="1">
        <v>544</v>
      </c>
    </row>
    <row r="113" spans="33:52" ph="1">
      <c r="AH113" s="64" ph="1">
        <v>7</v>
      </c>
      <c r="AI113" s="64" t="s" ph="1">
        <v>552</v>
      </c>
      <c r="AJ113" s="64" t="s" ph="1">
        <v>633</v>
      </c>
      <c r="AK113" s="64" t="s" ph="1">
        <v>638</v>
      </c>
      <c r="AY113" s="64" t="s" ph="1">
        <v>260</v>
      </c>
      <c r="AZ113" s="64" t="s" ph="1">
        <v>638</v>
      </c>
    </row>
    <row r="114" spans="33:52" ph="1">
      <c r="AH114" s="64" ph="1">
        <v>8</v>
      </c>
      <c r="AI114" s="64" t="s" ph="1">
        <v>553</v>
      </c>
      <c r="AJ114" s="64" t="s" ph="1">
        <v>633</v>
      </c>
      <c r="AK114" s="64" t="s" ph="1">
        <v>639</v>
      </c>
      <c r="AY114" s="64" t="s" ph="1">
        <v>260</v>
      </c>
      <c r="AZ114" s="64" t="s" ph="1">
        <v>639</v>
      </c>
    </row>
    <row r="115" spans="33:52" ph="1">
      <c r="AH115" s="64" ph="1">
        <v>9</v>
      </c>
      <c r="AI115" s="64" t="s" ph="1">
        <v>554</v>
      </c>
      <c r="AJ115" s="64" t="s" ph="1">
        <v>633</v>
      </c>
      <c r="AK115" s="64" t="s" ph="1">
        <v>639</v>
      </c>
      <c r="AY115" s="64" t="s" ph="1">
        <v>260</v>
      </c>
      <c r="AZ115" s="64" t="s" ph="1">
        <v>639</v>
      </c>
    </row>
    <row r="116" spans="33:52" ph="1">
      <c r="AH116" s="64" ph="1">
        <v>10</v>
      </c>
      <c r="AI116" s="64" t="s" ph="1">
        <v>555</v>
      </c>
      <c r="AJ116" s="64" t="s" ph="1">
        <v>633</v>
      </c>
      <c r="AK116" s="64" t="s" ph="1">
        <v>639</v>
      </c>
      <c r="AY116" s="64" t="s" ph="1">
        <v>260</v>
      </c>
      <c r="AZ116" s="64" t="s" ph="1">
        <v>639</v>
      </c>
    </row>
    <row r="117" spans="33:52" ph="1">
      <c r="AH117" s="64" ph="1">
        <v>11</v>
      </c>
      <c r="AI117" s="64" t="s" ph="1">
        <v>556</v>
      </c>
      <c r="AJ117" s="64" t="s" ph="1">
        <v>633</v>
      </c>
      <c r="AK117" s="64" t="s" ph="1">
        <v>639</v>
      </c>
      <c r="AY117" s="64" t="s" ph="1">
        <v>260</v>
      </c>
      <c r="AZ117" s="64" t="s" ph="1">
        <v>639</v>
      </c>
    </row>
    <row r="118" spans="33:52" ph="1">
      <c r="AZ118" s="64" t="s" ph="1">
        <v>640</v>
      </c>
    </row>
    <row r="119" spans="33:52" ph="1">
      <c r="AI119" s="64" t="s" ph="1">
        <v>253</v>
      </c>
      <c r="AJ119" s="64" t="s" ph="1">
        <v>254</v>
      </c>
      <c r="AK119" s="64" t="s" ph="1">
        <v>255</v>
      </c>
      <c r="AM119" s="64" t="s" ph="1">
        <v>254</v>
      </c>
      <c r="AN119" s="64" t="s" ph="1">
        <v>255</v>
      </c>
      <c r="AO119" s="64" t="s" ph="1">
        <v>256</v>
      </c>
      <c r="AP119" s="64" t="s" ph="1">
        <v>254</v>
      </c>
      <c r="AQ119" s="64" t="s" ph="1">
        <v>255</v>
      </c>
      <c r="AR119" s="64" t="s" ph="1">
        <v>256</v>
      </c>
      <c r="AS119" s="64" t="s" ph="1">
        <v>254</v>
      </c>
      <c r="AT119" s="64" t="s" ph="1">
        <v>255</v>
      </c>
      <c r="AU119" s="64" t="s" ph="1">
        <v>256</v>
      </c>
      <c r="AV119" s="64" t="s" ph="1">
        <v>254</v>
      </c>
      <c r="AW119" s="64" t="s" ph="1">
        <v>255</v>
      </c>
      <c r="AX119" s="64" t="s" ph="1">
        <v>256</v>
      </c>
      <c r="AY119" s="64" t="s" ph="1">
        <v>255</v>
      </c>
      <c r="AZ119" s="64" t="s" ph="1">
        <v>257</v>
      </c>
    </row>
    <row r="120" spans="33:52" ph="1">
      <c r="AG120" s="64" t="s" ph="1">
        <v>397</v>
      </c>
      <c r="AH120" s="64" ph="1">
        <v>1</v>
      </c>
      <c r="AI120" s="64" t="s" ph="1">
        <v>557</v>
      </c>
      <c r="AJ120" s="64" t="s" ph="1">
        <v>631</v>
      </c>
      <c r="AK120" s="64" t="s" ph="1">
        <v>411</v>
      </c>
      <c r="AY120" s="64" t="s" ph="1">
        <v>260</v>
      </c>
      <c r="AZ120" s="64" t="s" ph="1">
        <v>411</v>
      </c>
    </row>
    <row r="121" spans="33:52" ph="1">
      <c r="AH121" s="64" ph="1">
        <v>2</v>
      </c>
      <c r="AI121" s="64" t="s" ph="1">
        <v>558</v>
      </c>
      <c r="AY121" s="64" t="s" ph="1">
        <v>260</v>
      </c>
      <c r="AZ121" s="64" t="s" ph="1">
        <v>411</v>
      </c>
    </row>
    <row r="122" spans="33:52" ph="1">
      <c r="AH122" s="64" ph="1">
        <v>3</v>
      </c>
      <c r="AI122" s="64" t="s" ph="1">
        <v>559</v>
      </c>
      <c r="AJ122" s="64" t="s" ph="1">
        <v>614</v>
      </c>
      <c r="AK122" s="64" t="s" ph="1">
        <v>626</v>
      </c>
      <c r="AM122" s="64" t="s" ph="1">
        <v>641</v>
      </c>
      <c r="AN122" s="64" t="s" ph="1">
        <v>634</v>
      </c>
      <c r="AO122" s="64" t="s" ph="1">
        <v>109</v>
      </c>
      <c r="AY122" s="64" t="s" ph="1">
        <v>260</v>
      </c>
      <c r="AZ122" s="64" t="s" ph="1">
        <v>623</v>
      </c>
    </row>
    <row r="123" spans="33:52" ph="1">
      <c r="AY123" s="64" t="s" ph="1">
        <v>260</v>
      </c>
      <c r="AZ123" s="64" t="s" ph="1">
        <v>623</v>
      </c>
    </row>
    <row r="124" spans="33:52" ph="1">
      <c r="AG124" s="64" t="s" ph="1">
        <v>400</v>
      </c>
      <c r="AH124" s="64" ph="1">
        <v>4</v>
      </c>
      <c r="AI124" s="64" t="s" ph="1">
        <v>560</v>
      </c>
      <c r="AJ124" s="64" t="s" ph="1">
        <v>561</v>
      </c>
      <c r="AK124" s="64" t="s" ph="1">
        <v>562</v>
      </c>
      <c r="AY124" s="64" t="s" ph="1">
        <v>260</v>
      </c>
      <c r="AZ124" s="64" t="s" ph="1">
        <v>562</v>
      </c>
    </row>
    <row r="125" spans="33:52" ph="1">
      <c r="AH125" s="64" ph="1">
        <v>5</v>
      </c>
      <c r="AI125" s="64" t="s" ph="1">
        <v>563</v>
      </c>
      <c r="AJ125" s="64" t="s" ph="1">
        <v>561</v>
      </c>
      <c r="AK125" s="64" t="s" ph="1">
        <v>562</v>
      </c>
      <c r="AY125" s="64" t="s" ph="1">
        <v>260</v>
      </c>
      <c r="AZ125" s="64" t="s" ph="1">
        <v>562</v>
      </c>
    </row>
    <row r="126" spans="33:52" ph="1">
      <c r="AH126" s="64" ph="1">
        <v>6</v>
      </c>
      <c r="AI126" s="64" t="s" ph="1">
        <v>564</v>
      </c>
      <c r="AJ126" s="64" t="s" ph="1">
        <v>633</v>
      </c>
      <c r="AK126" s="64" t="s" ph="1">
        <v>642</v>
      </c>
      <c r="AY126" s="64" t="s" ph="1">
        <v>260</v>
      </c>
      <c r="AZ126" s="64" t="s" ph="1">
        <v>642</v>
      </c>
    </row>
    <row r="127" spans="33:52" ph="1">
      <c r="AH127" s="64" ph="1">
        <v>7</v>
      </c>
      <c r="AI127" s="64" t="s" ph="1">
        <v>565</v>
      </c>
      <c r="AJ127" s="64" t="s" ph="1">
        <v>633</v>
      </c>
      <c r="AK127" s="64" t="s" ph="1">
        <v>643</v>
      </c>
      <c r="AY127" s="64" t="s" ph="1">
        <v>260</v>
      </c>
      <c r="AZ127" s="64" t="s" ph="1">
        <v>643</v>
      </c>
    </row>
    <row r="128" spans="33:52" ph="1">
      <c r="AH128" s="64" ph="1">
        <v>8</v>
      </c>
      <c r="AI128" s="64" t="s" ph="1">
        <v>566</v>
      </c>
      <c r="AY128" s="64" t="s" ph="1">
        <v>260</v>
      </c>
      <c r="AZ128" s="64" t="s" ph="1">
        <v>411</v>
      </c>
    </row>
    <row r="129" spans="33:52" ph="1">
      <c r="AH129" s="64" ph="1">
        <v>9</v>
      </c>
      <c r="AI129" s="64" t="s" ph="1">
        <v>567</v>
      </c>
      <c r="AY129" s="64" t="s" ph="1">
        <v>260</v>
      </c>
      <c r="AZ129" s="64" t="s" ph="1">
        <v>411</v>
      </c>
    </row>
    <row r="130" spans="33:52" ph="1">
      <c r="AH130" s="64" ph="1">
        <v>10</v>
      </c>
      <c r="AI130" s="64" t="s" ph="1">
        <v>568</v>
      </c>
      <c r="AY130" s="64" t="s" ph="1">
        <v>260</v>
      </c>
      <c r="AZ130" s="64" t="s" ph="1">
        <v>411</v>
      </c>
    </row>
    <row r="131" spans="33:52" ph="1">
      <c r="AH131" s="64" ph="1">
        <v>11</v>
      </c>
      <c r="AI131" s="64" t="s" ph="1">
        <v>569</v>
      </c>
      <c r="AJ131" s="64" t="s" ph="1">
        <v>627</v>
      </c>
      <c r="AK131" s="64" t="s" ph="1">
        <v>623</v>
      </c>
      <c r="AY131" s="64" t="s" ph="1">
        <v>260</v>
      </c>
      <c r="AZ131" s="64" t="s" ph="1">
        <v>623</v>
      </c>
    </row>
    <row r="132" spans="33:52" ph="1">
      <c r="AH132" s="64" ph="1">
        <v>12</v>
      </c>
      <c r="AI132" s="64" t="s" ph="1">
        <v>570</v>
      </c>
      <c r="AJ132" s="64" t="s" ph="1">
        <v>627</v>
      </c>
      <c r="AK132" s="64" t="s" ph="1">
        <v>562</v>
      </c>
      <c r="AY132" s="64" t="s" ph="1">
        <v>260</v>
      </c>
      <c r="AZ132" s="64" t="s" ph="1">
        <v>562</v>
      </c>
    </row>
    <row r="133" spans="33:52" ph="1">
      <c r="AH133" s="64" ph="1">
        <v>13</v>
      </c>
      <c r="AI133" s="64" t="s" ph="1">
        <v>571</v>
      </c>
      <c r="AJ133" s="64" t="s" ph="1">
        <v>627</v>
      </c>
      <c r="AK133" s="64" t="s" ph="1">
        <v>628</v>
      </c>
      <c r="AY133" s="64" t="s" ph="1">
        <v>260</v>
      </c>
      <c r="AZ133" s="64" t="s" ph="1">
        <v>628</v>
      </c>
    </row>
    <row r="134" spans="33:52" ph="1">
      <c r="AH134" s="64" ph="1">
        <v>14</v>
      </c>
      <c r="AI134" s="64" t="s" ph="1">
        <v>572</v>
      </c>
      <c r="AJ134" s="64" t="s" ph="1">
        <v>627</v>
      </c>
      <c r="AK134" s="64" t="s" ph="1">
        <v>629</v>
      </c>
      <c r="AY134" s="64" t="s" ph="1">
        <v>260</v>
      </c>
      <c r="AZ134" s="64" t="s" ph="1">
        <v>629</v>
      </c>
    </row>
    <row r="135" spans="33:52" ph="1">
      <c r="AH135" s="64" ph="1">
        <v>15</v>
      </c>
      <c r="AI135" s="64" t="s" ph="1">
        <v>573</v>
      </c>
      <c r="AJ135" s="64" t="s" ph="1">
        <v>627</v>
      </c>
      <c r="AK135" s="64" t="s" ph="1">
        <v>630</v>
      </c>
      <c r="AY135" s="64" t="s" ph="1">
        <v>260</v>
      </c>
      <c r="AZ135" s="64" t="s" ph="1">
        <v>630</v>
      </c>
    </row>
    <row r="136" spans="33:52" ph="1">
      <c r="AZ136" s="64" t="s" ph="1">
        <v>644</v>
      </c>
    </row>
    <row r="137" spans="33:52" ph="1">
      <c r="AG137" s="64" t="s" ph="1">
        <v>334</v>
      </c>
      <c r="AI137" s="64" t="s" ph="1">
        <v>253</v>
      </c>
      <c r="AJ137" s="64" t="s" ph="1">
        <v>254</v>
      </c>
      <c r="AK137" s="64" t="s" ph="1">
        <v>255</v>
      </c>
      <c r="AM137" s="64" t="s" ph="1">
        <v>254</v>
      </c>
      <c r="AN137" s="64" t="s" ph="1">
        <v>255</v>
      </c>
      <c r="AO137" s="64" t="s" ph="1">
        <v>256</v>
      </c>
      <c r="AP137" s="64" t="s" ph="1">
        <v>254</v>
      </c>
      <c r="AQ137" s="64" t="s" ph="1">
        <v>255</v>
      </c>
      <c r="AR137" s="64" t="s" ph="1">
        <v>256</v>
      </c>
      <c r="AS137" s="64" t="s" ph="1">
        <v>254</v>
      </c>
      <c r="AT137" s="64" t="s" ph="1">
        <v>255</v>
      </c>
      <c r="AU137" s="64" t="s" ph="1">
        <v>256</v>
      </c>
      <c r="AV137" s="64" t="s" ph="1">
        <v>254</v>
      </c>
      <c r="AW137" s="64" t="s" ph="1">
        <v>255</v>
      </c>
      <c r="AX137" s="64" t="s" ph="1">
        <v>256</v>
      </c>
      <c r="AY137" s="64" t="s" ph="1">
        <v>255</v>
      </c>
      <c r="AZ137" s="64" t="s" ph="1">
        <v>257</v>
      </c>
    </row>
    <row r="138" spans="33:52" ph="1">
      <c r="AH138" s="64" ph="1">
        <v>1</v>
      </c>
      <c r="AI138" s="64" t="s" ph="1">
        <v>574</v>
      </c>
      <c r="AJ138" s="64" t="s" ph="1">
        <v>575</v>
      </c>
      <c r="AK138" s="64" t="s" ph="1">
        <v>576</v>
      </c>
      <c r="AY138" s="64" t="s" ph="1">
        <v>260</v>
      </c>
      <c r="AZ138" s="64" t="s" ph="1">
        <v>576</v>
      </c>
    </row>
    <row r="139" spans="33:52" ph="1">
      <c r="AH139" s="64" ph="1">
        <v>2</v>
      </c>
      <c r="AI139" s="64" t="s" ph="1">
        <v>577</v>
      </c>
      <c r="AJ139" s="64" t="s" ph="1">
        <v>633</v>
      </c>
      <c r="AK139" s="64" t="s" ph="1">
        <v>645</v>
      </c>
      <c r="AY139" s="64" t="s" ph="1">
        <v>260</v>
      </c>
      <c r="AZ139" s="64" t="s" ph="1">
        <v>645</v>
      </c>
    </row>
    <row r="140" spans="33:52" ph="1">
      <c r="AH140" s="64" ph="1">
        <v>3</v>
      </c>
      <c r="AI140" s="64" t="s" ph="1">
        <v>578</v>
      </c>
      <c r="AJ140" s="64" t="s" ph="1">
        <v>531</v>
      </c>
      <c r="AK140" s="64" t="s" ph="1">
        <v>343</v>
      </c>
      <c r="AM140" s="64" t="s" ph="1">
        <v>532</v>
      </c>
      <c r="AN140" s="64" t="s" ph="1">
        <v>263</v>
      </c>
      <c r="AO140" s="64" t="s" ph="1">
        <v>579</v>
      </c>
      <c r="AP140" s="64" t="s" ph="1">
        <v>533</v>
      </c>
      <c r="AQ140" s="64" t="s" ph="1">
        <v>280</v>
      </c>
      <c r="AR140" s="64" t="s" ph="1">
        <v>579</v>
      </c>
      <c r="AS140" s="64" t="s" ph="1">
        <v>534</v>
      </c>
      <c r="AT140" s="64" t="s" ph="1">
        <v>273</v>
      </c>
      <c r="AU140" s="64" t="s" ph="1">
        <v>579</v>
      </c>
      <c r="AV140" s="64" t="s" ph="1">
        <v>535</v>
      </c>
      <c r="AW140" s="64" t="s" ph="1">
        <v>266</v>
      </c>
      <c r="AX140" s="64" t="s" ph="1">
        <v>579</v>
      </c>
      <c r="AY140" s="64" t="s" ph="1">
        <v>260</v>
      </c>
      <c r="AZ140" s="64" t="s" ph="1">
        <v>335</v>
      </c>
    </row>
    <row r="141" spans="33:52" ph="1">
      <c r="AJ141" s="64" t="s" ph="1">
        <v>537</v>
      </c>
      <c r="AK141" s="64" t="s" ph="1">
        <v>266</v>
      </c>
      <c r="AM141" s="64" t="s" ph="1">
        <v>538</v>
      </c>
      <c r="AN141" s="64" t="s" ph="1">
        <v>269</v>
      </c>
      <c r="AO141" s="64" t="s" ph="1">
        <v>579</v>
      </c>
      <c r="AP141" s="64" t="s" ph="1">
        <v>550</v>
      </c>
      <c r="AQ141" s="64" t="s" ph="1">
        <v>338</v>
      </c>
      <c r="AR141" s="64" t="s" ph="1">
        <v>579</v>
      </c>
      <c r="AS141" s="64" t="s" ph="1">
        <v>542</v>
      </c>
      <c r="AT141" s="64" t="s" ph="1">
        <v>266</v>
      </c>
      <c r="AU141" s="64" t="s" ph="1">
        <v>579</v>
      </c>
      <c r="AV141" s="64" t="s" ph="1">
        <v>378</v>
      </c>
      <c r="AW141" s="64" t="s" ph="1">
        <v>272</v>
      </c>
      <c r="AX141" s="64" t="s" ph="1">
        <v>579</v>
      </c>
    </row>
    <row r="142" spans="33:52" ph="1">
      <c r="AJ142" s="64" t="s" ph="1">
        <v>580</v>
      </c>
      <c r="AK142" s="64" t="s" ph="1">
        <v>283</v>
      </c>
    </row>
    <row r="143" spans="33:52" ph="1">
      <c r="AH143" s="64" ph="1">
        <v>4</v>
      </c>
      <c r="AI143" s="64" t="s" ph="1">
        <v>581</v>
      </c>
      <c r="AJ143" s="64" t="s" ph="1">
        <v>561</v>
      </c>
      <c r="AK143" s="64" t="s" ph="1">
        <v>582</v>
      </c>
      <c r="AY143" s="64" t="s" ph="1">
        <v>260</v>
      </c>
      <c r="AZ143" s="64" t="s" ph="1">
        <v>582</v>
      </c>
    </row>
    <row r="144" spans="33:52" ph="1">
      <c r="AH144" s="64" ph="1">
        <v>5</v>
      </c>
      <c r="AI144" s="64" t="s" ph="1">
        <v>583</v>
      </c>
      <c r="AY144" s="64" t="s" ph="1">
        <v>260</v>
      </c>
      <c r="AZ144" s="64" t="s" ph="1">
        <v>411</v>
      </c>
    </row>
    <row r="145" spans="33:52" ph="1">
      <c r="AH145" s="64" ph="1">
        <v>6</v>
      </c>
      <c r="AI145" s="64" t="s" ph="1">
        <v>584</v>
      </c>
      <c r="AY145" s="64" t="s" ph="1">
        <v>260</v>
      </c>
      <c r="AZ145" s="64" t="s" ph="1">
        <v>411</v>
      </c>
    </row>
    <row r="146" spans="33:52" ph="1">
      <c r="AH146" s="64" ph="1">
        <v>7</v>
      </c>
      <c r="AI146" s="64" t="s" ph="1">
        <v>585</v>
      </c>
      <c r="AY146" s="64" t="s" ph="1">
        <v>260</v>
      </c>
      <c r="AZ146" s="64" t="s" ph="1">
        <v>411</v>
      </c>
    </row>
    <row r="147" spans="33:52" ph="1">
      <c r="AH147" s="64" ph="1">
        <v>8</v>
      </c>
      <c r="AI147" s="64" t="s" ph="1">
        <v>586</v>
      </c>
      <c r="AY147" s="64" t="s" ph="1">
        <v>260</v>
      </c>
      <c r="AZ147" s="64" t="s" ph="1">
        <v>411</v>
      </c>
    </row>
    <row r="148" spans="33:52" ph="1">
      <c r="AH148" s="64" ph="1">
        <v>9</v>
      </c>
      <c r="AI148" s="64" t="s" ph="1">
        <v>587</v>
      </c>
      <c r="AY148" s="64" t="s" ph="1">
        <v>260</v>
      </c>
      <c r="AZ148" s="64" t="s" ph="1">
        <v>411</v>
      </c>
    </row>
    <row r="149" spans="33:52" ph="1">
      <c r="AH149" s="64" ph="1">
        <v>10</v>
      </c>
      <c r="AI149" s="64" t="s" ph="1">
        <v>588</v>
      </c>
      <c r="AY149" s="64" t="s" ph="1">
        <v>260</v>
      </c>
      <c r="AZ149" s="64" t="s" ph="1">
        <v>411</v>
      </c>
    </row>
    <row r="150" spans="33:52" ph="1">
      <c r="AH150" s="64" ph="1">
        <v>11</v>
      </c>
      <c r="AI150" s="64" t="s" ph="1">
        <v>589</v>
      </c>
      <c r="AY150" s="64" t="s" ph="1">
        <v>260</v>
      </c>
      <c r="AZ150" s="64" t="s" ph="1">
        <v>411</v>
      </c>
    </row>
    <row r="151" spans="33:52" ph="1">
      <c r="AH151" s="64" ph="1">
        <v>12</v>
      </c>
      <c r="AI151" s="64" t="s" ph="1">
        <v>590</v>
      </c>
      <c r="AY151" s="64" t="s" ph="1">
        <v>260</v>
      </c>
      <c r="AZ151" s="64" t="s" ph="1">
        <v>411</v>
      </c>
    </row>
    <row r="152" spans="33:52" ph="1">
      <c r="AH152" s="64" ph="1">
        <v>13</v>
      </c>
      <c r="AI152" s="64" t="s" ph="1">
        <v>591</v>
      </c>
      <c r="AY152" s="64" t="s" ph="1">
        <v>260</v>
      </c>
      <c r="AZ152" s="64" t="s" ph="1">
        <v>411</v>
      </c>
    </row>
    <row r="153" spans="33:52" ph="1">
      <c r="AH153" s="64" ph="1">
        <v>14</v>
      </c>
      <c r="AI153" s="64" t="s" ph="1">
        <v>592</v>
      </c>
      <c r="AY153" s="64" t="s" ph="1">
        <v>260</v>
      </c>
      <c r="AZ153" s="64" t="s" ph="1">
        <v>411</v>
      </c>
    </row>
    <row r="154" spans="33:52" ph="1">
      <c r="AH154" s="64" ph="1">
        <v>15</v>
      </c>
      <c r="AI154" s="64" t="s" ph="1">
        <v>593</v>
      </c>
      <c r="AY154" s="64" t="s" ph="1">
        <v>260</v>
      </c>
      <c r="AZ154" s="64" t="s" ph="1">
        <v>411</v>
      </c>
    </row>
    <row r="155" spans="33:52" ph="1">
      <c r="AH155" s="64" ph="1">
        <v>16</v>
      </c>
      <c r="AI155" s="64" t="s" ph="1">
        <v>594</v>
      </c>
      <c r="AJ155" s="64" t="s" ph="1">
        <v>380</v>
      </c>
      <c r="AK155" s="64" t="s" ph="1">
        <v>275</v>
      </c>
      <c r="AM155" s="64" t="s" ph="1">
        <v>614</v>
      </c>
      <c r="AN155" s="64" t="s" ph="1">
        <v>326</v>
      </c>
      <c r="AO155" s="64" t="s" ph="1">
        <v>579</v>
      </c>
      <c r="AY155" s="64" t="s" ph="1">
        <v>260</v>
      </c>
      <c r="AZ155" s="64" t="s" ph="1">
        <v>267</v>
      </c>
    </row>
    <row r="156" spans="33:52" ph="1">
      <c r="AZ156" s="64" t="s" ph="1">
        <v>646</v>
      </c>
    </row>
    <row r="157" spans="33:52" ph="1">
      <c r="AG157" s="64" t="s" ph="1">
        <v>595</v>
      </c>
      <c r="AI157" s="64" t="s" ph="1">
        <v>253</v>
      </c>
      <c r="AJ157" s="64" t="s" ph="1">
        <v>254</v>
      </c>
      <c r="AK157" s="64" t="s" ph="1">
        <v>255</v>
      </c>
      <c r="AM157" s="64" t="s" ph="1">
        <v>254</v>
      </c>
      <c r="AN157" s="64" t="s" ph="1">
        <v>255</v>
      </c>
      <c r="AO157" s="64" t="s" ph="1">
        <v>256</v>
      </c>
      <c r="AP157" s="64" t="s" ph="1">
        <v>254</v>
      </c>
      <c r="AQ157" s="64" t="s" ph="1">
        <v>255</v>
      </c>
      <c r="AR157" s="64" t="s" ph="1">
        <v>256</v>
      </c>
      <c r="AS157" s="64" t="s" ph="1">
        <v>254</v>
      </c>
      <c r="AT157" s="64" t="s" ph="1">
        <v>255</v>
      </c>
      <c r="AU157" s="64" t="s" ph="1">
        <v>256</v>
      </c>
      <c r="AV157" s="64" t="s" ph="1">
        <v>254</v>
      </c>
      <c r="AW157" s="64" t="s" ph="1">
        <v>255</v>
      </c>
      <c r="AX157" s="64" t="s" ph="1">
        <v>256</v>
      </c>
      <c r="AY157" s="64" t="s" ph="1">
        <v>255</v>
      </c>
      <c r="AZ157" s="64" t="s" ph="1">
        <v>257</v>
      </c>
    </row>
    <row r="158" spans="33:52" ph="1">
      <c r="AH158" s="64" ph="1">
        <v>1</v>
      </c>
      <c r="AI158" s="64" t="s" ph="1">
        <v>596</v>
      </c>
      <c r="AY158" s="64" t="s" ph="1">
        <v>260</v>
      </c>
      <c r="AZ158" s="64" t="s" ph="1">
        <v>411</v>
      </c>
    </row>
    <row r="159" spans="33:52" ph="1">
      <c r="AH159" s="64" ph="1">
        <v>2</v>
      </c>
      <c r="AI159" s="64" t="s" ph="1">
        <v>597</v>
      </c>
      <c r="AY159" s="64" t="s" ph="1">
        <v>260</v>
      </c>
      <c r="AZ159" s="64" t="s" ph="1">
        <v>411</v>
      </c>
    </row>
    <row r="160" spans="33:52" ph="1">
      <c r="AZ160" s="64" t="s" ph="1">
        <v>429</v>
      </c>
    </row>
    <row r="161" spans="33:52" ph="1">
      <c r="AG161" s="64" t="s" ph="1">
        <v>405</v>
      </c>
      <c r="AI161" s="64" t="s" ph="1">
        <v>253</v>
      </c>
      <c r="AJ161" s="64" t="s" ph="1">
        <v>254</v>
      </c>
      <c r="AK161" s="64" t="s" ph="1">
        <v>255</v>
      </c>
      <c r="AM161" s="64" t="s" ph="1">
        <v>254</v>
      </c>
      <c r="AN161" s="64" t="s" ph="1">
        <v>255</v>
      </c>
      <c r="AO161" s="64" t="s" ph="1">
        <v>256</v>
      </c>
      <c r="AP161" s="64" t="s" ph="1">
        <v>254</v>
      </c>
      <c r="AQ161" s="64" t="s" ph="1">
        <v>255</v>
      </c>
      <c r="AR161" s="64" t="s" ph="1">
        <v>256</v>
      </c>
      <c r="AS161" s="64" t="s" ph="1">
        <v>254</v>
      </c>
      <c r="AT161" s="64" t="s" ph="1">
        <v>255</v>
      </c>
      <c r="AU161" s="64" t="s" ph="1">
        <v>256</v>
      </c>
      <c r="AV161" s="64" t="s" ph="1">
        <v>254</v>
      </c>
      <c r="AW161" s="64" t="s" ph="1">
        <v>255</v>
      </c>
      <c r="AX161" s="64" t="s" ph="1">
        <v>256</v>
      </c>
      <c r="AY161" s="64" t="s" ph="1">
        <v>255</v>
      </c>
      <c r="AZ161" s="64" t="s" ph="1">
        <v>257</v>
      </c>
    </row>
    <row r="162" spans="33:52" ph="1">
      <c r="AH162" s="64" ph="1">
        <v>1</v>
      </c>
      <c r="AI162" s="64" t="s" ph="1">
        <v>598</v>
      </c>
      <c r="AJ162" s="64" t="s" ph="1">
        <v>599</v>
      </c>
      <c r="AK162" s="64" t="s" ph="1">
        <v>543</v>
      </c>
      <c r="AM162" s="64" t="s" ph="1">
        <v>600</v>
      </c>
      <c r="AN162" s="64" t="s" ph="1">
        <v>264</v>
      </c>
      <c r="AO162" s="64" t="s" ph="1">
        <v>601</v>
      </c>
      <c r="AY162" s="64" t="s" ph="1">
        <v>260</v>
      </c>
      <c r="AZ162" s="64" t="s" ph="1">
        <v>336</v>
      </c>
    </row>
    <row r="163" spans="33:52" ph="1">
      <c r="AH163" s="64" ph="1">
        <v>2</v>
      </c>
      <c r="AI163" s="64" t="s" ph="1">
        <v>602</v>
      </c>
      <c r="AJ163" s="64" t="s" ph="1">
        <v>599</v>
      </c>
      <c r="AK163" s="64" t="s" ph="1">
        <v>432</v>
      </c>
      <c r="AY163" s="64" t="s" ph="1">
        <v>260</v>
      </c>
      <c r="AZ163" s="64" t="s" ph="1">
        <v>432</v>
      </c>
    </row>
    <row r="164" spans="33:52" ph="1">
      <c r="AH164" s="64" ph="1">
        <v>3</v>
      </c>
      <c r="AI164" s="64" t="s" ph="1">
        <v>603</v>
      </c>
      <c r="AJ164" s="64" t="s" ph="1">
        <v>599</v>
      </c>
      <c r="AK164" s="64" t="s" ph="1">
        <v>336</v>
      </c>
      <c r="AY164" s="64" t="s" ph="1">
        <v>260</v>
      </c>
      <c r="AZ164" s="64" t="s" ph="1">
        <v>336</v>
      </c>
    </row>
    <row r="165" spans="33:52" ph="1">
      <c r="AH165" s="64" ph="1">
        <v>4</v>
      </c>
      <c r="AI165" s="64" t="s" ph="1">
        <v>604</v>
      </c>
      <c r="AY165" s="64" t="s" ph="1">
        <v>260</v>
      </c>
      <c r="AZ165" s="64" t="s" ph="1">
        <v>411</v>
      </c>
    </row>
    <row r="166" spans="33:52" ph="1">
      <c r="AH166" s="64" ph="1">
        <v>5</v>
      </c>
      <c r="AI166" s="64" t="s" ph="1">
        <v>605</v>
      </c>
      <c r="AY166" s="64" t="s" ph="1">
        <v>260</v>
      </c>
      <c r="AZ166" s="64" t="s" ph="1">
        <v>411</v>
      </c>
    </row>
    <row r="167" spans="33:52" ph="1">
      <c r="AZ167" s="64" t="s" ph="1">
        <v>606</v>
      </c>
    </row>
    <row r="168" spans="33:52" ph="1">
      <c r="AG168" s="64" t="s" ph="1">
        <v>349</v>
      </c>
      <c r="AI168" s="64" t="s" ph="1">
        <v>253</v>
      </c>
      <c r="AJ168" s="64" t="s" ph="1">
        <v>254</v>
      </c>
      <c r="AK168" s="64" t="s" ph="1">
        <v>255</v>
      </c>
      <c r="AM168" s="64" t="s" ph="1">
        <v>254</v>
      </c>
      <c r="AN168" s="64" t="s" ph="1">
        <v>255</v>
      </c>
      <c r="AO168" s="64" t="s" ph="1">
        <v>256</v>
      </c>
      <c r="AP168" s="64" t="s" ph="1">
        <v>254</v>
      </c>
      <c r="AQ168" s="64" t="s" ph="1">
        <v>255</v>
      </c>
      <c r="AR168" s="64" t="s" ph="1">
        <v>256</v>
      </c>
      <c r="AS168" s="64" t="s" ph="1">
        <v>254</v>
      </c>
      <c r="AT168" s="64" t="s" ph="1">
        <v>255</v>
      </c>
      <c r="AU168" s="64" t="s" ph="1">
        <v>256</v>
      </c>
      <c r="AV168" s="64" t="s" ph="1">
        <v>254</v>
      </c>
      <c r="AW168" s="64" t="s" ph="1">
        <v>255</v>
      </c>
      <c r="AX168" s="64" t="s" ph="1">
        <v>256</v>
      </c>
      <c r="AY168" s="64" t="s" ph="1">
        <v>255</v>
      </c>
      <c r="AZ168" s="64" t="s" ph="1">
        <v>257</v>
      </c>
    </row>
    <row r="169" spans="33:52" ph="1">
      <c r="AH169" s="64" ph="1">
        <v>1</v>
      </c>
      <c r="AI169" s="64" t="s" ph="1">
        <v>607</v>
      </c>
      <c r="AY169" s="64" t="s" ph="1">
        <v>260</v>
      </c>
      <c r="AZ169" s="64" t="s" ph="1">
        <v>411</v>
      </c>
    </row>
    <row r="170" spans="33:52" ph="1">
      <c r="AH170" s="64" ph="1">
        <v>2</v>
      </c>
      <c r="AI170" s="64" t="s" ph="1">
        <v>608</v>
      </c>
      <c r="AY170" s="64" t="s" ph="1">
        <v>260</v>
      </c>
      <c r="AZ170" s="64" t="s" ph="1">
        <v>411</v>
      </c>
    </row>
    <row r="171" spans="33:52" ph="1">
      <c r="AH171" s="64" ph="1">
        <v>3</v>
      </c>
      <c r="AI171" s="64" t="s" ph="1">
        <v>609</v>
      </c>
      <c r="AY171" s="64" t="s" ph="1">
        <v>260</v>
      </c>
      <c r="AZ171" s="64" t="s" ph="1">
        <v>411</v>
      </c>
    </row>
    <row r="172" spans="33:52" ph="1">
      <c r="AH172" s="64" ph="1">
        <v>4</v>
      </c>
      <c r="AI172" s="64" t="s" ph="1">
        <v>610</v>
      </c>
      <c r="AY172" s="64" t="s" ph="1">
        <v>260</v>
      </c>
      <c r="AZ172" s="64" t="s" ph="1">
        <v>411</v>
      </c>
    </row>
    <row r="173" spans="33:52" ph="1">
      <c r="AH173" s="64" ph="1">
        <v>5</v>
      </c>
      <c r="AI173" s="64" t="s" ph="1">
        <v>611</v>
      </c>
      <c r="AY173" s="64" t="s" ph="1">
        <v>260</v>
      </c>
      <c r="AZ173" s="64" t="s" ph="1">
        <v>411</v>
      </c>
    </row>
    <row r="174" spans="33:52" ph="1">
      <c r="AZ174" s="64" t="s" ph="1">
        <v>429</v>
      </c>
    </row>
    <row r="175" spans="33:52" ph="1">
      <c r="AJ175" s="64" t="s" ph="1">
        <v>350</v>
      </c>
    </row>
    <row r="176" spans="33:52" ph="1">
      <c r="AJ176" s="64" t="s" ph="1">
        <v>351</v>
      </c>
      <c r="AK176" s="64" t="s" ph="1">
        <v>352</v>
      </c>
      <c r="AM176" s="64" t="s" ph="1">
        <v>353</v>
      </c>
      <c r="AO176" s="64" t="s" ph="1">
        <v>354</v>
      </c>
      <c r="AP176" s="64" t="s" ph="1">
        <v>355</v>
      </c>
      <c r="AQ176" s="64" t="s" ph="1">
        <v>345</v>
      </c>
      <c r="AR176" s="64" t="s" ph="1">
        <v>265</v>
      </c>
    </row>
    <row r="177" spans="36:56" ph="1">
      <c r="AJ177" s="64" t="s" ph="1">
        <v>647</v>
      </c>
      <c r="AK177" s="64" t="s" ph="1">
        <v>356</v>
      </c>
      <c r="AO177" s="64" t="s" ph="1">
        <v>356</v>
      </c>
      <c r="AP177" s="64" t="s" ph="1">
        <v>356</v>
      </c>
      <c r="AQ177" s="64" t="s" ph="1">
        <v>357</v>
      </c>
      <c r="AR177" s="64" t="s" ph="1">
        <v>358</v>
      </c>
    </row>
    <row r="179" spans="36:56" ph="1">
      <c r="AJ179" s="64" t="s" ph="1">
        <v>359</v>
      </c>
      <c r="AK179" s="64" t="s" ph="1">
        <v>360</v>
      </c>
      <c r="AM179" s="64" t="s" ph="1">
        <v>361</v>
      </c>
      <c r="AN179" s="64" t="s" ph="1">
        <v>337</v>
      </c>
      <c r="AO179" s="64" t="s" ph="1">
        <v>362</v>
      </c>
      <c r="AP179" s="64" t="s" ph="1">
        <v>341</v>
      </c>
      <c r="AQ179" s="64" t="s" ph="1">
        <v>363</v>
      </c>
      <c r="AR179" s="64" t="s" ph="1">
        <v>364</v>
      </c>
    </row>
    <row r="180" spans="36:56" ph="1">
      <c r="AJ180" s="64" t="s" ph="1">
        <v>356</v>
      </c>
      <c r="AK180" s="64" t="s" ph="1">
        <v>356</v>
      </c>
      <c r="AL180" s="64" ph="1">
        <v>116</v>
      </c>
      <c r="AM180" s="64" t="s" ph="1">
        <v>356</v>
      </c>
      <c r="AN180" s="64" t="s" ph="1">
        <v>365</v>
      </c>
      <c r="AO180" s="64" t="s" ph="1">
        <v>356</v>
      </c>
      <c r="AP180" s="64" t="s" ph="1">
        <v>366</v>
      </c>
      <c r="AQ180" s="64" t="s" ph="1">
        <v>367</v>
      </c>
      <c r="AR180" s="64" t="s" ph="1">
        <v>368</v>
      </c>
    </row>
    <row r="189" spans="36:56" ph="1">
      <c r="BD189" s="64" t="s" ph="1">
        <v>612</v>
      </c>
    </row>
    <row r="223" spans="18:18" ph="1">
      <c r="R223" s="138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951" priority="92">
      <formula>ABS(D$7-D$10)&gt;=1000</formula>
    </cfRule>
  </conditionalFormatting>
  <conditionalFormatting sqref="E4 E6:E11">
    <cfRule type="expression" dxfId="1950" priority="91">
      <formula>ABS(E$7-E$10)&gt;=1000</formula>
    </cfRule>
  </conditionalFormatting>
  <conditionalFormatting sqref="F4:F11">
    <cfRule type="expression" dxfId="1949" priority="90">
      <formula>ABS(F$7-F$10)&gt;=1000</formula>
    </cfRule>
  </conditionalFormatting>
  <conditionalFormatting sqref="G4:G11">
    <cfRule type="expression" dxfId="1948" priority="89">
      <formula>ABS(G$7-G$10)&gt;=1000</formula>
    </cfRule>
  </conditionalFormatting>
  <conditionalFormatting sqref="H4:H11">
    <cfRule type="expression" dxfId="1947" priority="88">
      <formula>ABS(H$7-H$10)&gt;=1000</formula>
    </cfRule>
  </conditionalFormatting>
  <conditionalFormatting sqref="I4:I11">
    <cfRule type="expression" dxfId="1946" priority="87">
      <formula>ABS(I$7-I$10)&gt;=1000</formula>
    </cfRule>
  </conditionalFormatting>
  <conditionalFormatting sqref="J4:J11">
    <cfRule type="expression" dxfId="1945" priority="86">
      <formula>ABS(J$7-J$10)&gt;=1000</formula>
    </cfRule>
  </conditionalFormatting>
  <conditionalFormatting sqref="K4:K11">
    <cfRule type="expression" dxfId="1944" priority="85">
      <formula>ABS(K$7-K$10)&gt;=1000</formula>
    </cfRule>
  </conditionalFormatting>
  <conditionalFormatting sqref="L4:L11">
    <cfRule type="expression" dxfId="1943" priority="84">
      <formula>ABS(L$7-L$10)&gt;=1000</formula>
    </cfRule>
  </conditionalFormatting>
  <conditionalFormatting sqref="M4:M11">
    <cfRule type="expression" dxfId="1942" priority="83">
      <formula>ABS(M$7-M$10)&gt;=1000</formula>
    </cfRule>
  </conditionalFormatting>
  <conditionalFormatting sqref="N4:N11">
    <cfRule type="expression" dxfId="1941" priority="82">
      <formula>ABS(N$7-N$10)&gt;=1000</formula>
    </cfRule>
  </conditionalFormatting>
  <conditionalFormatting sqref="O4:O11">
    <cfRule type="expression" dxfId="1940" priority="81">
      <formula>ABS(O$7-O$10)&gt;=1000</formula>
    </cfRule>
  </conditionalFormatting>
  <conditionalFormatting sqref="P4:P11">
    <cfRule type="expression" dxfId="1939" priority="80">
      <formula>ABS(P$7-P$10)&gt;=1000</formula>
    </cfRule>
  </conditionalFormatting>
  <conditionalFormatting sqref="Q4:Q11">
    <cfRule type="expression" dxfId="1938" priority="79">
      <formula>ABS(Q$7-Q$10)&gt;=1000</formula>
    </cfRule>
  </conditionalFormatting>
  <conditionalFormatting sqref="R4:R11">
    <cfRule type="expression" dxfId="1937" priority="78">
      <formula>ABS(R$7-R$10)&gt;=1000</formula>
    </cfRule>
  </conditionalFormatting>
  <conditionalFormatting sqref="S4:S11">
    <cfRule type="expression" dxfId="1936" priority="77">
      <formula>ABS(S$7-S$10)&gt;=1000</formula>
    </cfRule>
  </conditionalFormatting>
  <conditionalFormatting sqref="T4:T9 T11">
    <cfRule type="expression" dxfId="1935" priority="76">
      <formula>ABS(T$7-T$10)&gt;=1000</formula>
    </cfRule>
  </conditionalFormatting>
  <conditionalFormatting sqref="U4:U9 U11">
    <cfRule type="expression" dxfId="1934" priority="75">
      <formula>ABS(U$7-U$10)&gt;=1000</formula>
    </cfRule>
  </conditionalFormatting>
  <conditionalFormatting sqref="V4:V9 V11">
    <cfRule type="expression" dxfId="1933" priority="74">
      <formula>ABS(V$7-V$10)&gt;=1000</formula>
    </cfRule>
  </conditionalFormatting>
  <conditionalFormatting sqref="W4:W9 W11">
    <cfRule type="expression" dxfId="1932" priority="73">
      <formula>ABS(W$7-W$10)&gt;=1000</formula>
    </cfRule>
  </conditionalFormatting>
  <conditionalFormatting sqref="X4:X9 X11">
    <cfRule type="expression" dxfId="1931" priority="72">
      <formula>ABS(X$7-X$10)&gt;=1000</formula>
    </cfRule>
  </conditionalFormatting>
  <conditionalFormatting sqref="Y4:Y9 Y11">
    <cfRule type="expression" dxfId="1930" priority="71">
      <formula>ABS(Y$7-Y$10)&gt;=1000</formula>
    </cfRule>
  </conditionalFormatting>
  <conditionalFormatting sqref="Z4:Z11">
    <cfRule type="expression" dxfId="1929" priority="70">
      <formula>ABS(Z$7-Z$10)&gt;=1000</formula>
    </cfRule>
  </conditionalFormatting>
  <conditionalFormatting sqref="AA4:AA11">
    <cfRule type="expression" dxfId="1928" priority="69">
      <formula>ABS(AA$7-AA$10)&gt;=1000</formula>
    </cfRule>
  </conditionalFormatting>
  <conditionalFormatting sqref="AB4:AB11">
    <cfRule type="expression" dxfId="1927" priority="68">
      <formula>ABS(AB$7-AB$10)&gt;=1000</formula>
    </cfRule>
  </conditionalFormatting>
  <conditionalFormatting sqref="AC4 AC6:AC11">
    <cfRule type="expression" dxfId="1926" priority="67">
      <formula>ABS(AC$7-AC$10)&gt;=1000</formula>
    </cfRule>
  </conditionalFormatting>
  <conditionalFormatting sqref="AD4:AD11">
    <cfRule type="expression" dxfId="1925" priority="66">
      <formula>ABS(AD$7-AD$10)&gt;=1000</formula>
    </cfRule>
  </conditionalFormatting>
  <conditionalFormatting sqref="AE4:AE11">
    <cfRule type="expression" dxfId="1924" priority="65">
      <formula>ABS(AE$7-AE$10)&gt;=1000</formula>
    </cfRule>
  </conditionalFormatting>
  <conditionalFormatting sqref="D13:D20">
    <cfRule type="expression" dxfId="1923" priority="64">
      <formula>ABS(D$16-D$19)&gt;=1000</formula>
    </cfRule>
  </conditionalFormatting>
  <conditionalFormatting sqref="E13:E20">
    <cfRule type="expression" dxfId="1922" priority="63">
      <formula>ABS(E$16-E$19)&gt;=1000</formula>
    </cfRule>
  </conditionalFormatting>
  <conditionalFormatting sqref="F13 F15:F20">
    <cfRule type="expression" dxfId="1921" priority="62">
      <formula>ABS(F$16-F$19)&gt;=1000</formula>
    </cfRule>
  </conditionalFormatting>
  <conditionalFormatting sqref="G13:G20">
    <cfRule type="expression" dxfId="1920" priority="61">
      <formula>ABS(G$16-G$19)&gt;=1000</formula>
    </cfRule>
  </conditionalFormatting>
  <conditionalFormatting sqref="H13:H20">
    <cfRule type="expression" dxfId="1919" priority="60">
      <formula>ABS(H$16-H$19)&gt;=1000</formula>
    </cfRule>
  </conditionalFormatting>
  <conditionalFormatting sqref="I13:I20">
    <cfRule type="expression" dxfId="1918" priority="59">
      <formula>ABS(I$16-I$19)&gt;=1000</formula>
    </cfRule>
  </conditionalFormatting>
  <conditionalFormatting sqref="J13:J20">
    <cfRule type="expression" dxfId="1917" priority="58">
      <formula>ABS(J$16-J$19)&gt;=1000</formula>
    </cfRule>
  </conditionalFormatting>
  <conditionalFormatting sqref="L13:L20">
    <cfRule type="expression" dxfId="1916" priority="57">
      <formula>ABS(L$16-L$19)&gt;=1000</formula>
    </cfRule>
  </conditionalFormatting>
  <conditionalFormatting sqref="M13 M15 M17:M18 M20">
    <cfRule type="expression" dxfId="1915" priority="56">
      <formula>ABS(M$16-M$19)&gt;=1000</formula>
    </cfRule>
  </conditionalFormatting>
  <conditionalFormatting sqref="N13:N20">
    <cfRule type="expression" dxfId="1914" priority="55">
      <formula>ABS(N$16-N$19)&gt;=1000</formula>
    </cfRule>
  </conditionalFormatting>
  <conditionalFormatting sqref="O13:O20">
    <cfRule type="expression" dxfId="1913" priority="54">
      <formula>ABS(O$16-O$19)&gt;=1000</formula>
    </cfRule>
  </conditionalFormatting>
  <conditionalFormatting sqref="P13:P20">
    <cfRule type="expression" dxfId="1912" priority="53">
      <formula>ABS(P$16-P$19)&gt;=1000</formula>
    </cfRule>
  </conditionalFormatting>
  <conditionalFormatting sqref="Q13 Q15:Q20">
    <cfRule type="expression" dxfId="1911" priority="52">
      <formula>ABS(Q$16-Q$19)&gt;=1000</formula>
    </cfRule>
  </conditionalFormatting>
  <conditionalFormatting sqref="R13:R20">
    <cfRule type="expression" dxfId="1910" priority="51">
      <formula>ABS(R$16-R$19)&gt;=1000</formula>
    </cfRule>
  </conditionalFormatting>
  <conditionalFormatting sqref="S13:S20">
    <cfRule type="expression" dxfId="1909" priority="50">
      <formula>ABS(S$16-S$19)&gt;=1000</formula>
    </cfRule>
  </conditionalFormatting>
  <conditionalFormatting sqref="T13:T20">
    <cfRule type="expression" dxfId="1908" priority="49">
      <formula>ABS(T$16-T$19)&gt;=1000</formula>
    </cfRule>
  </conditionalFormatting>
  <conditionalFormatting sqref="U13:U20">
    <cfRule type="expression" dxfId="1907" priority="48">
      <formula>ABS(U$16-U$19)&gt;=1000</formula>
    </cfRule>
  </conditionalFormatting>
  <conditionalFormatting sqref="V13:V20">
    <cfRule type="expression" dxfId="1906" priority="47">
      <formula>ABS(V$16-V$19)&gt;=1000</formula>
    </cfRule>
  </conditionalFormatting>
  <conditionalFormatting sqref="W13 W15:W18 W20">
    <cfRule type="expression" dxfId="1905" priority="46">
      <formula>ABS(W$16-W$19)&gt;=1000</formula>
    </cfRule>
  </conditionalFormatting>
  <conditionalFormatting sqref="X13 X15:X20 Y19">
    <cfRule type="expression" dxfId="1904" priority="45">
      <formula>ABS(X$16-X$19)&gt;=1000</formula>
    </cfRule>
  </conditionalFormatting>
  <conditionalFormatting sqref="Y13 Y15:Y18 Y20">
    <cfRule type="expression" dxfId="1903" priority="44">
      <formula>ABS(Y$16-Y$19)&gt;=1000</formula>
    </cfRule>
  </conditionalFormatting>
  <conditionalFormatting sqref="Z13:Z20">
    <cfRule type="expression" dxfId="1902" priority="43">
      <formula>ABS(Z$16-Z$19)&gt;=1000</formula>
    </cfRule>
  </conditionalFormatting>
  <conditionalFormatting sqref="AA13:AA20">
    <cfRule type="expression" dxfId="1901" priority="42">
      <formula>ABS(AA$16-AA$19)&gt;=1000</formula>
    </cfRule>
  </conditionalFormatting>
  <conditionalFormatting sqref="AB13 AB15:AB20">
    <cfRule type="expression" dxfId="1900" priority="41">
      <formula>ABS(AB$16-AB$19)&gt;=1000</formula>
    </cfRule>
  </conditionalFormatting>
  <conditionalFormatting sqref="AC13 AC15:AC20">
    <cfRule type="expression" dxfId="1899" priority="40">
      <formula>ABS(AC$16-AC$19)&gt;=1000</formula>
    </cfRule>
  </conditionalFormatting>
  <conditionalFormatting sqref="AD13:AD20">
    <cfRule type="expression" dxfId="1898" priority="39">
      <formula>ABS(AD$16-AD$19)&gt;=1000</formula>
    </cfRule>
  </conditionalFormatting>
  <conditionalFormatting sqref="AE13:AE20">
    <cfRule type="expression" dxfId="1897" priority="38">
      <formula>ABS(AE$16-AE$19)&gt;=1000</formula>
    </cfRule>
  </conditionalFormatting>
  <conditionalFormatting sqref="D22:D29">
    <cfRule type="expression" dxfId="1896" priority="37">
      <formula>ABS(D$25-D$28)&gt;=1000</formula>
    </cfRule>
  </conditionalFormatting>
  <conditionalFormatting sqref="E22:E29">
    <cfRule type="expression" dxfId="1895" priority="36">
      <formula>ABS(E$25-E$28)&gt;=1000</formula>
    </cfRule>
  </conditionalFormatting>
  <conditionalFormatting sqref="F22:F29">
    <cfRule type="expression" dxfId="1894" priority="35">
      <formula>ABS(F$25-F$28)&gt;=1000</formula>
    </cfRule>
  </conditionalFormatting>
  <conditionalFormatting sqref="G22:G29">
    <cfRule type="expression" dxfId="1893" priority="34">
      <formula>ABS(G$25-G$28)&gt;=1000</formula>
    </cfRule>
  </conditionalFormatting>
  <conditionalFormatting sqref="H22:H29">
    <cfRule type="expression" dxfId="1892" priority="33">
      <formula>ABS(H$25-H$28)&gt;=1000</formula>
    </cfRule>
  </conditionalFormatting>
  <conditionalFormatting sqref="I22 I24:I29">
    <cfRule type="expression" dxfId="1891" priority="32">
      <formula>ABS(I$25-I$28)&gt;=1000</formula>
    </cfRule>
  </conditionalFormatting>
  <conditionalFormatting sqref="J22:J29 K22">
    <cfRule type="expression" dxfId="1890" priority="31">
      <formula>ABS(J$25-J$28)&gt;=1000</formula>
    </cfRule>
  </conditionalFormatting>
  <conditionalFormatting sqref="K23:K29 L25 L28">
    <cfRule type="expression" dxfId="1889" priority="30">
      <formula>ABS(K$25-K$28)&gt;=1000</formula>
    </cfRule>
  </conditionalFormatting>
  <conditionalFormatting sqref="L22:L24 L26:L27 L29">
    <cfRule type="expression" dxfId="1888" priority="29">
      <formula>ABS(L$25-L$28)&gt;=1000</formula>
    </cfRule>
  </conditionalFormatting>
  <conditionalFormatting sqref="M22:M29">
    <cfRule type="expression" dxfId="1887" priority="28">
      <formula>ABS(M$25-M$28)&gt;=1000</formula>
    </cfRule>
  </conditionalFormatting>
  <conditionalFormatting sqref="N22:N29">
    <cfRule type="expression" dxfId="1886" priority="27">
      <formula>ABS(N$25-N$28)&gt;=1000</formula>
    </cfRule>
  </conditionalFormatting>
  <conditionalFormatting sqref="O22:O29">
    <cfRule type="expression" dxfId="1885" priority="26">
      <formula>ABS(O$25-O$28)&gt;=1000</formula>
    </cfRule>
  </conditionalFormatting>
  <conditionalFormatting sqref="P22:P29">
    <cfRule type="expression" dxfId="1884" priority="25">
      <formula>ABS(P$25-P$28)&gt;=1000</formula>
    </cfRule>
  </conditionalFormatting>
  <conditionalFormatting sqref="Q22:Q29">
    <cfRule type="expression" dxfId="1883" priority="24">
      <formula>ABS(Q$25-Q$28)&gt;=1000</formula>
    </cfRule>
  </conditionalFormatting>
  <conditionalFormatting sqref="R22:R29">
    <cfRule type="expression" dxfId="1882" priority="23">
      <formula>ABS(R$25-R$28)&gt;=1000</formula>
    </cfRule>
  </conditionalFormatting>
  <conditionalFormatting sqref="S22:S29">
    <cfRule type="expression" dxfId="1881" priority="22">
      <formula>ABS(S$25-S$28)&gt;=1000</formula>
    </cfRule>
  </conditionalFormatting>
  <conditionalFormatting sqref="T22:T29">
    <cfRule type="expression" dxfId="1880" priority="21">
      <formula>ABS(T$25-T$28)&gt;=1000</formula>
    </cfRule>
  </conditionalFormatting>
  <conditionalFormatting sqref="U22:U29">
    <cfRule type="expression" dxfId="1879" priority="20">
      <formula>ABS(U$25-U$28)&gt;=1000</formula>
    </cfRule>
  </conditionalFormatting>
  <conditionalFormatting sqref="V22:V29">
    <cfRule type="expression" dxfId="1878" priority="19">
      <formula>ABS(V$25-V$28)&gt;=1000</formula>
    </cfRule>
  </conditionalFormatting>
  <conditionalFormatting sqref="W22:W29">
    <cfRule type="expression" dxfId="1877" priority="18">
      <formula>ABS(W$25-W$28)&gt;=1000</formula>
    </cfRule>
  </conditionalFormatting>
  <conditionalFormatting sqref="X22:X29">
    <cfRule type="expression" dxfId="1876" priority="17">
      <formula>ABS(X$25-X$28)&gt;=1000</formula>
    </cfRule>
  </conditionalFormatting>
  <conditionalFormatting sqref="Y22:Y29">
    <cfRule type="expression" dxfId="1875" priority="16">
      <formula>ABS(Y$25-Y$28)&gt;=1000</formula>
    </cfRule>
  </conditionalFormatting>
  <conditionalFormatting sqref="I23">
    <cfRule type="expression" dxfId="1874" priority="15">
      <formula>ABS(I$25-I$28)&gt;=1000</formula>
    </cfRule>
  </conditionalFormatting>
  <conditionalFormatting sqref="F14">
    <cfRule type="expression" dxfId="1873" priority="14">
      <formula>ABS(F$16-F$19)&gt;=1000</formula>
    </cfRule>
  </conditionalFormatting>
  <conditionalFormatting sqref="Q14">
    <cfRule type="expression" dxfId="1872" priority="13">
      <formula>ABS(Q$16-Q$19)&gt;=1000</formula>
    </cfRule>
  </conditionalFormatting>
  <conditionalFormatting sqref="W14">
    <cfRule type="expression" dxfId="1871" priority="12">
      <formula>ABS(W$16-W$19)&gt;=1000</formula>
    </cfRule>
  </conditionalFormatting>
  <conditionalFormatting sqref="Y14">
    <cfRule type="expression" dxfId="1870" priority="11">
      <formula>ABS(Y$16-Y$19)&gt;=1000</formula>
    </cfRule>
  </conditionalFormatting>
  <conditionalFormatting sqref="X14">
    <cfRule type="expression" dxfId="1869" priority="10">
      <formula>ABS(X$16-X$19)&gt;=1000</formula>
    </cfRule>
  </conditionalFormatting>
  <conditionalFormatting sqref="T10:Y10">
    <cfRule type="expression" dxfId="1868" priority="9">
      <formula>ABS(T$7-T$10)&gt;=1000</formula>
    </cfRule>
  </conditionalFormatting>
  <conditionalFormatting sqref="W19">
    <cfRule type="expression" dxfId="1867" priority="8">
      <formula>ABS(W$16-W$19)&gt;=1000</formula>
    </cfRule>
  </conditionalFormatting>
  <conditionalFormatting sqref="AC5">
    <cfRule type="expression" dxfId="1866" priority="7">
      <formula>ABS(AC$7-AC$10)&gt;=1000</formula>
    </cfRule>
  </conditionalFormatting>
  <conditionalFormatting sqref="M14">
    <cfRule type="expression" dxfId="1865" priority="6">
      <formula>ABS(M$16-M$19)&gt;=1000</formula>
    </cfRule>
  </conditionalFormatting>
  <conditionalFormatting sqref="M16">
    <cfRule type="expression" dxfId="1864" priority="5">
      <formula>ABS(M$16-M$19)&gt;=1000</formula>
    </cfRule>
  </conditionalFormatting>
  <conditionalFormatting sqref="M19">
    <cfRule type="expression" dxfId="1863" priority="4">
      <formula>ABS(M$16-M$19)&gt;=1000</formula>
    </cfRule>
  </conditionalFormatting>
  <conditionalFormatting sqref="K13:K20">
    <cfRule type="expression" dxfId="1862" priority="3">
      <formula>ABS(K$16-K$19)&gt;=1000</formula>
    </cfRule>
  </conditionalFormatting>
  <conditionalFormatting sqref="AB14:AC14">
    <cfRule type="expression" dxfId="1861" priority="2">
      <formula>ABS(AB$7-AB$10)&gt;=1000</formula>
    </cfRule>
  </conditionalFormatting>
  <conditionalFormatting sqref="E5">
    <cfRule type="expression" dxfId="1860" priority="1">
      <formula>ABS(E$7-E$10)&gt;=1000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6236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49">
    <pageSetUpPr fitToPage="1"/>
  </sheetPr>
  <dimension ref="A1:CU223"/>
  <sheetViews>
    <sheetView view="pageBreakPreview" topLeftCell="A10" zoomScale="70" zoomScaleNormal="100" zoomScaleSheetLayoutView="70" workbookViewId="0">
      <selection activeCell="P17" sqref="P17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36" t="s" ph="1">
        <v>195</v>
      </c>
      <c r="C1" s="236" ph="1"/>
      <c r="D1" s="236" ph="1"/>
      <c r="E1" s="236" ph="1"/>
      <c r="F1" s="236" ph="1"/>
      <c r="G1" s="236" ph="1"/>
      <c r="H1" s="236" ph="1"/>
      <c r="I1" s="236" ph="1"/>
      <c r="J1" s="236" ph="1"/>
      <c r="K1" s="236" ph="1"/>
      <c r="L1" s="236" ph="1"/>
      <c r="M1" s="236" ph="1"/>
      <c r="N1" s="236" ph="1"/>
      <c r="O1" s="236" ph="1"/>
      <c r="P1" s="236" ph="1"/>
      <c r="Q1" s="236" ph="1"/>
      <c r="R1" s="236" ph="1"/>
      <c r="S1" s="236" ph="1"/>
      <c r="T1" s="236" ph="1"/>
      <c r="U1" s="236" ph="1"/>
      <c r="V1" s="236" ph="1"/>
      <c r="W1" s="236" ph="1"/>
      <c r="X1" s="236" ph="1"/>
      <c r="Y1" s="236" ph="1"/>
      <c r="Z1" s="236" ph="1"/>
      <c r="AA1" s="236" ph="1"/>
      <c r="AB1" s="236" ph="1"/>
      <c r="AC1" s="236" ph="1"/>
      <c r="AD1" s="236" ph="1"/>
      <c r="AE1" s="236" ph="1"/>
    </row>
    <row r="2" spans="1:99" s="66" customFormat="1" ht="24" customHeight="1" ph="1">
      <c r="B2" s="237" t="s" ph="1">
        <v>99</v>
      </c>
      <c r="C2" s="237" ph="1"/>
      <c r="D2" s="237" ph="1"/>
      <c r="E2" s="237" ph="1"/>
      <c r="F2" s="237" ph="1"/>
      <c r="G2" s="237" ph="1"/>
      <c r="H2" s="237" ph="1"/>
      <c r="I2" s="237" ph="1"/>
      <c r="J2" s="237" ph="1"/>
      <c r="K2" s="237" ph="1"/>
      <c r="L2" s="237" ph="1"/>
      <c r="M2" s="237" ph="1"/>
      <c r="N2" s="237" ph="1"/>
      <c r="O2" s="237" ph="1"/>
      <c r="P2" s="237" ph="1"/>
      <c r="Q2" s="237" ph="1"/>
      <c r="R2" s="237" ph="1"/>
      <c r="S2" s="237" ph="1"/>
      <c r="T2" s="237" ph="1"/>
      <c r="U2" s="237" ph="1"/>
      <c r="V2" s="237" ph="1"/>
      <c r="W2" s="237" ph="1"/>
      <c r="X2" s="237" ph="1"/>
      <c r="Y2" s="237" ph="1"/>
      <c r="Z2" s="237" ph="1"/>
      <c r="AA2" s="237" ph="1"/>
      <c r="AB2" s="237" ph="1"/>
      <c r="AC2" s="237" ph="1"/>
      <c r="AD2" s="237" ph="1"/>
      <c r="AE2" s="237" ph="1"/>
    </row>
    <row r="3" spans="1:99" ht="21" customHeight="1" ph="1">
      <c r="B3" s="238" ph="1">
        <v>45663</v>
      </c>
      <c r="C3" s="238"/>
      <c r="D3" s="238"/>
      <c r="E3" s="238"/>
      <c r="F3" s="238"/>
      <c r="G3" s="238"/>
      <c r="H3" s="238"/>
      <c r="I3" s="238"/>
      <c r="J3" s="238"/>
      <c r="K3" s="238"/>
      <c r="L3" s="238"/>
      <c r="M3" s="238"/>
      <c r="N3" s="238"/>
      <c r="O3" s="238"/>
      <c r="P3" s="238"/>
      <c r="Q3" s="238"/>
      <c r="R3" s="238"/>
      <c r="S3" s="238"/>
      <c r="T3" s="238"/>
      <c r="U3" s="238"/>
      <c r="V3" s="238"/>
      <c r="W3" s="238"/>
      <c r="X3" s="238"/>
      <c r="Y3" s="238"/>
      <c r="Z3" s="238"/>
      <c r="AA3" s="238"/>
      <c r="AB3" s="238"/>
      <c r="AC3" s="238"/>
      <c r="AD3" s="238"/>
      <c r="AE3" s="238"/>
    </row>
    <row r="4" spans="1:99" s="69" customFormat="1" ph="1">
      <c r="A4" s="65" ph="1"/>
      <c r="B4" s="217" t="s" ph="1">
        <v>37</v>
      </c>
      <c r="C4" s="67" t="s" ph="1">
        <v>210</v>
      </c>
      <c r="D4" s="68" t="s" ph="1">
        <v>45</v>
      </c>
      <c r="E4" s="68" t="s" ph="1">
        <v>46</v>
      </c>
      <c r="F4" s="68" t="s" ph="1">
        <v>39</v>
      </c>
      <c r="G4" s="68" t="s" ph="1">
        <v>47</v>
      </c>
      <c r="H4" s="68" t="s" ph="1">
        <v>48</v>
      </c>
      <c r="I4" s="68" t="s" ph="1">
        <v>133</v>
      </c>
      <c r="J4" s="68" t="s" ph="1">
        <v>49</v>
      </c>
      <c r="K4" s="68" t="s" ph="1">
        <v>134</v>
      </c>
      <c r="L4" s="68" t="s" ph="1">
        <v>135</v>
      </c>
      <c r="M4" s="68" t="s" ph="1">
        <v>50</v>
      </c>
      <c r="N4" s="68" t="s" ph="1">
        <v>51</v>
      </c>
      <c r="O4" s="68" t="s" ph="1">
        <v>137</v>
      </c>
      <c r="P4" s="68" t="s" ph="1">
        <v>139</v>
      </c>
      <c r="Q4" s="68" t="s" ph="1">
        <v>140</v>
      </c>
      <c r="R4" s="68" t="s" ph="1">
        <v>141</v>
      </c>
      <c r="S4" s="68" t="s" ph="1">
        <v>142</v>
      </c>
      <c r="T4" s="68" t="s" ph="1">
        <v>143</v>
      </c>
      <c r="U4" s="68" t="s" ph="1">
        <v>144</v>
      </c>
      <c r="V4" s="68" t="s" ph="1">
        <v>145</v>
      </c>
      <c r="W4" s="68" t="s" ph="1">
        <v>146</v>
      </c>
      <c r="X4" s="68" t="s" ph="1">
        <v>147</v>
      </c>
      <c r="Y4" s="68" t="s" ph="1">
        <v>148</v>
      </c>
      <c r="Z4" s="68" t="s" ph="1">
        <v>52</v>
      </c>
      <c r="AA4" s="68" t="s" ph="1">
        <v>149</v>
      </c>
      <c r="AB4" s="68" t="s" ph="1">
        <v>150</v>
      </c>
      <c r="AC4" s="68" t="s" ph="1">
        <v>151</v>
      </c>
      <c r="AD4" s="68" t="s" ph="1">
        <v>40</v>
      </c>
      <c r="AE4" s="68" t="s" ph="1">
        <v>152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7" ph="1"/>
      <c r="C5" s="67" t="s" ph="1">
        <v>36</v>
      </c>
      <c r="D5" s="70" t="s" ph="1">
        <v>194</v>
      </c>
      <c r="E5" s="70" t="s" ph="1">
        <v>55</v>
      </c>
      <c r="F5" s="70" t="s" ph="1">
        <v>130</v>
      </c>
      <c r="G5" s="70" t="s" ph="1">
        <v>56</v>
      </c>
      <c r="H5" s="70" t="s" ph="1">
        <v>56</v>
      </c>
      <c r="I5" s="70" t="s" ph="1">
        <v>57</v>
      </c>
      <c r="J5" s="70" t="s" ph="1">
        <v>58</v>
      </c>
      <c r="K5" s="70" t="s" ph="1">
        <v>59</v>
      </c>
      <c r="L5" s="70" t="s" ph="1">
        <v>136</v>
      </c>
      <c r="M5" s="70" t="s" ph="1">
        <v>60</v>
      </c>
      <c r="N5" s="70" t="s" ph="1">
        <v>61</v>
      </c>
      <c r="O5" s="70" t="s" ph="1">
        <v>138</v>
      </c>
      <c r="P5" s="70" t="s" ph="1">
        <v>88</v>
      </c>
      <c r="Q5" s="70" t="s" ph="1">
        <v>96</v>
      </c>
      <c r="R5" s="70" t="s" ph="1">
        <v>96</v>
      </c>
      <c r="S5" s="70" t="s" ph="1">
        <v>96</v>
      </c>
      <c r="T5" s="70" t="s" ph="1">
        <v>96</v>
      </c>
      <c r="U5" s="70" t="s" ph="1">
        <v>96</v>
      </c>
      <c r="V5" s="70" t="s" ph="1">
        <v>96</v>
      </c>
      <c r="W5" s="70" t="s" ph="1">
        <v>96</v>
      </c>
      <c r="X5" s="70" t="s" ph="1">
        <v>96</v>
      </c>
      <c r="Y5" s="70" t="s" ph="1">
        <v>96</v>
      </c>
      <c r="Z5" s="70" t="s" ph="1">
        <v>95</v>
      </c>
      <c r="AA5" s="70" t="s" ph="1">
        <v>62</v>
      </c>
      <c r="AB5" s="70" t="s" ph="1">
        <v>62</v>
      </c>
      <c r="AC5" s="70" t="s" ph="1">
        <v>222</v>
      </c>
      <c r="AD5" s="70" t="s" ph="1">
        <v>83</v>
      </c>
      <c r="AE5" s="70" t="s" ph="1">
        <v>153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5" ph="1">
        <v>0.33333333333333331</v>
      </c>
      <c r="C6" s="146" t="s" ph="1">
        <v>211</v>
      </c>
      <c r="D6" s="71">
        <v>3140</v>
      </c>
      <c r="E6" s="71">
        <v>0</v>
      </c>
      <c r="F6" s="71">
        <v>6470</v>
      </c>
      <c r="G6" s="71">
        <v>8893</v>
      </c>
      <c r="H6" s="71">
        <v>3766</v>
      </c>
      <c r="I6" s="71">
        <v>39.119999999999997</v>
      </c>
      <c r="J6" s="71">
        <v>80.11</v>
      </c>
      <c r="K6" s="71">
        <v>9.18</v>
      </c>
      <c r="L6" s="71">
        <v>54.01</v>
      </c>
      <c r="M6" s="71">
        <v>6262</v>
      </c>
      <c r="N6" s="71">
        <v>6880</v>
      </c>
      <c r="O6" s="71">
        <v>1436</v>
      </c>
      <c r="P6" s="71">
        <v>457</v>
      </c>
      <c r="Q6" s="71">
        <v>0</v>
      </c>
      <c r="R6" s="71">
        <v>2427</v>
      </c>
      <c r="S6" s="71">
        <v>4740</v>
      </c>
      <c r="T6" s="71">
        <v>7208</v>
      </c>
      <c r="U6" s="71">
        <v>6256</v>
      </c>
      <c r="V6" s="71">
        <v>1739</v>
      </c>
      <c r="W6" s="71">
        <v>1808</v>
      </c>
      <c r="X6" s="71">
        <v>0</v>
      </c>
      <c r="Y6" s="71">
        <v>0</v>
      </c>
      <c r="Z6" s="71">
        <v>6853</v>
      </c>
      <c r="AA6" s="71">
        <v>0</v>
      </c>
      <c r="AB6" s="71">
        <v>2935</v>
      </c>
      <c r="AC6" s="71">
        <v>6481</v>
      </c>
      <c r="AD6" s="71">
        <v>2135</v>
      </c>
      <c r="AE6" s="71">
        <v>2993</v>
      </c>
    </row>
    <row r="7" spans="1:99" s="72" customFormat="1" ht="22.5" ph="1">
      <c r="B7" s="235" ph="1"/>
      <c r="C7" s="68" t="s" ph="1">
        <v>212</v>
      </c>
      <c r="D7" s="73" ph="1">
        <f>D6*33.183*LOOKUP(D8,密度!$A$2:$A$50,密度!$Q$2:$Q$50)</f>
        <v>99113.048382599998</v>
      </c>
      <c r="E7" s="73" ph="1">
        <f>E6*51.53*LOOKUP(E8,密度!$A$2:$A$50,密度!$I$2:$I$50)</f>
        <v>0</v>
      </c>
      <c r="F7" s="73" ph="1">
        <f>F6*33.183*LOOKUP(F8,密度!$A$2:$A$50,密度!$C$2:$C$50)</f>
        <v>239426.75995199999</v>
      </c>
      <c r="G7" s="73" ph="1">
        <f xml:space="preserve"> (G6+2)*51.53*LOOKUP(G8,密度!$A$2:$A$50,密度!$B$2:$B$50)</f>
        <v>360820.48032000003</v>
      </c>
      <c r="H7" s="73" ph="1">
        <f>(H6)*51.53*LOOKUP(H8,密度!$A$2:$A$50,密度!$B$2:$B$50)</f>
        <v>153580.650972</v>
      </c>
      <c r="I7" s="73" ph="1">
        <f>I6*290.8*1.0267</f>
        <v>11679.837763199999</v>
      </c>
      <c r="J7" s="73" ph="1">
        <f>J6*290.8*0.7892</f>
        <v>18385.1937296</v>
      </c>
      <c r="K7" s="73" ph="1">
        <f>K6*290.8*1.1126</f>
        <v>2970.1346543999998</v>
      </c>
      <c r="L7" s="73" ph="1">
        <f>L6*290.8*0.777</f>
        <v>12203.645916000001</v>
      </c>
      <c r="M7" s="73" ph="1">
        <f>M6*33.183*LOOKUP(M8,密度!$A$2:$A$50,密度!$D$2:$D$50)</f>
        <v>215023.1057208</v>
      </c>
      <c r="N7" s="73" ph="1">
        <f>N6*33.183*LOOKUP(N8,密度!$A$2:$A$50,密度!$E$2:$E$50)</f>
        <v>180675.86025600001</v>
      </c>
      <c r="O7" s="73" ph="1">
        <f>O6*20.428*LOOKUP(O8,密度!$A$2:$A$50,密度!$C$2:$C$50)</f>
        <v>32617.150635200003</v>
      </c>
      <c r="P7" s="73" ph="1">
        <f>P6*51.53*LOOKUP(P8,密度!$A$2:$A$50,密度!$B$2:$B$50)</f>
        <v>18577.971769</v>
      </c>
      <c r="Q7" s="73" ph="1">
        <f>Q6*1.5*1.5*3.1416*LOOKUP(W8,密度!$A$2:$A$50,密度!$L$2:$L$50)</f>
        <v>0</v>
      </c>
      <c r="R7" s="73" ph="1">
        <f>R6*1.5*1.5*3.1416*LOOKUP(R8,密度!$A$2:$A$50,密度!$L$2:$L$50)</f>
        <v>16109.007175799999</v>
      </c>
      <c r="S7" s="73" ph="1">
        <f>S6*1.5*1.5*3.1416*LOOKUP(S8,密度!$A$2:$A$50,密度!$L$2:$L$50)</f>
        <v>31863.410963999995</v>
      </c>
      <c r="T7" s="73" ph="1">
        <f>T6*1.5*1.5*3.1416*LOOKUP(T8,密度!$A$2:$A$50,密度!$L$2:$L$50)</f>
        <v>48351.994891199996</v>
      </c>
      <c r="U7" s="73" ph="1">
        <f>U6*1.5*1.5*3.1416*LOOKUP(U8,密度!$A$2:$A$50,密度!$L$2:$L$50)</f>
        <v>41788.997711999997</v>
      </c>
      <c r="V7" s="73" ph="1">
        <f>V6*1.5*1.5*3.1416*LOOKUP(V8,密度!$A$2:$A$50,密度!$L$2:$L$50)</f>
        <v>11554.757675999999</v>
      </c>
      <c r="W7" s="73" ph="1">
        <f>W6*1.5*1.5*3.1416*LOOKUP(W8,密度!$A$2:$A$50,密度!$L$2:$L$50)</f>
        <v>12064.347187199999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215578.13785199999</v>
      </c>
      <c r="AA7" s="73" ph="1">
        <f>AA6*33.183*LOOKUP(AA8,密度!$A$2:$A$50,密度!$D$2:$D$50)</f>
        <v>0</v>
      </c>
      <c r="AB7" s="73" ph="1">
        <f>AB6*20.428*LOOKUP(AB8,密度!$A$2:$A$50,密度!$D$2:$D$50)</f>
        <v>62516.308885999999</v>
      </c>
      <c r="AC7" s="73" ph="1">
        <f>AC6*51.53*LOOKUP(AC8,密度!$A$2:$A$50,密度!$Q$2:$Q$50)</f>
        <v>318783.83882220002</v>
      </c>
      <c r="AD7" s="73" ph="1">
        <f>AD6*20.428*LOOKUP(AD8,密度!$A$2:$A$50,密度!$V$2:$V$50)</f>
        <v>42043.683919999996</v>
      </c>
      <c r="AE7" s="73" ph="1">
        <f>AE6*20.428</f>
        <v>61141.004000000001</v>
      </c>
    </row>
    <row r="8" spans="1:99" ph="1">
      <c r="B8" s="235" ph="1"/>
      <c r="C8" s="68" t="s" ph="1">
        <v>213</v>
      </c>
      <c r="D8" s="74">
        <v>19</v>
      </c>
      <c r="E8" s="74">
        <v>15</v>
      </c>
      <c r="F8" s="74">
        <v>16</v>
      </c>
      <c r="G8" s="74">
        <v>16</v>
      </c>
      <c r="H8" s="74">
        <v>11</v>
      </c>
      <c r="I8" s="74">
        <v>25</v>
      </c>
      <c r="J8" s="74">
        <v>25</v>
      </c>
      <c r="K8" s="74">
        <v>25</v>
      </c>
      <c r="L8" s="74">
        <v>25</v>
      </c>
      <c r="M8" s="74">
        <v>16</v>
      </c>
      <c r="N8" s="74">
        <v>18</v>
      </c>
      <c r="O8" s="74">
        <v>21</v>
      </c>
      <c r="P8" s="74">
        <v>14</v>
      </c>
      <c r="Q8" s="74">
        <v>14</v>
      </c>
      <c r="R8" s="74">
        <v>23</v>
      </c>
      <c r="S8" s="74">
        <v>11</v>
      </c>
      <c r="T8" s="74">
        <v>13</v>
      </c>
      <c r="U8" s="74">
        <v>17</v>
      </c>
      <c r="V8" s="74">
        <v>22</v>
      </c>
      <c r="W8" s="74">
        <v>18</v>
      </c>
      <c r="X8" s="74">
        <v>7</v>
      </c>
      <c r="Y8" s="74">
        <v>16</v>
      </c>
      <c r="Z8" s="74">
        <v>14</v>
      </c>
      <c r="AA8" s="74">
        <v>16</v>
      </c>
      <c r="AB8" s="74">
        <v>7</v>
      </c>
      <c r="AC8" s="74">
        <v>15</v>
      </c>
      <c r="AD8" s="74">
        <v>15</v>
      </c>
      <c r="AE8" s="74">
        <v>21</v>
      </c>
    </row>
    <row r="9" spans="1:99" ph="1">
      <c r="B9" s="235" ph="1">
        <v>0.66666666666666663</v>
      </c>
      <c r="C9" s="146" t="s" ph="1">
        <v>214</v>
      </c>
      <c r="D9" s="71">
        <v>3568</v>
      </c>
      <c r="E9" s="71">
        <v>0</v>
      </c>
      <c r="F9" s="71">
        <v>6470</v>
      </c>
      <c r="G9" s="71">
        <v>8895</v>
      </c>
      <c r="H9" s="71">
        <v>3467</v>
      </c>
      <c r="I9" s="71">
        <v>39.119999999999997</v>
      </c>
      <c r="J9" s="71">
        <v>80.34</v>
      </c>
      <c r="K9" s="71">
        <v>9.36</v>
      </c>
      <c r="L9" s="71">
        <v>26.01</v>
      </c>
      <c r="M9" s="71">
        <v>5703</v>
      </c>
      <c r="N9" s="71">
        <v>6739</v>
      </c>
      <c r="O9" s="71">
        <v>1434</v>
      </c>
      <c r="P9" s="71">
        <v>629</v>
      </c>
      <c r="Q9" s="71">
        <v>0</v>
      </c>
      <c r="R9" s="71">
        <v>0</v>
      </c>
      <c r="S9" s="71">
        <v>2936</v>
      </c>
      <c r="T9" s="71">
        <v>7213</v>
      </c>
      <c r="U9" s="71">
        <v>6258</v>
      </c>
      <c r="V9" s="71">
        <v>4842</v>
      </c>
      <c r="W9" s="71">
        <v>4240</v>
      </c>
      <c r="X9" s="71">
        <v>4900</v>
      </c>
      <c r="Y9" s="71">
        <v>0</v>
      </c>
      <c r="Z9" s="71">
        <v>4559</v>
      </c>
      <c r="AA9" s="71">
        <v>0</v>
      </c>
      <c r="AB9" s="71">
        <v>2934</v>
      </c>
      <c r="AC9" s="71">
        <v>6479</v>
      </c>
      <c r="AD9" s="71">
        <v>2139</v>
      </c>
      <c r="AE9" s="71">
        <v>3070</v>
      </c>
    </row>
    <row r="10" spans="1:99" s="72" customFormat="1" ht="22.5" ph="1">
      <c r="B10" s="235" ph="1"/>
      <c r="C10" s="146" t="s" ph="1">
        <v>212</v>
      </c>
      <c r="D10" s="73" ph="1">
        <f>D9*33.183*LOOKUP(D11,密度!$A$2:$A$50,密度!$Q$2:$Q$50)</f>
        <v>112622.72504112001</v>
      </c>
      <c r="E10" s="73" ph="1">
        <f>E9*51.53*LOOKUP(E11,密度!$A$2:$A$50,密度!$I$2:$I$50)</f>
        <v>0</v>
      </c>
      <c r="F10" s="73" ph="1">
        <f>F9*33.183*LOOKUP(F11,密度!$A$2:$A$50,密度!$C$2:$C$50)</f>
        <v>239276.47414500001</v>
      </c>
      <c r="G10" s="73" ph="1">
        <f xml:space="preserve"> (G9+2)*51.53*LOOKUP(G11,密度!$A$2:$A$50,密度!$B$2:$B$50)</f>
        <v>360534.839224</v>
      </c>
      <c r="H10" s="73" ph="1">
        <f>(H9)*51.53*LOOKUP(H11,密度!$A$2:$A$50,密度!$B$2:$B$50)</f>
        <v>141083.46654699999</v>
      </c>
      <c r="I10" s="73" ph="1">
        <f>I9*290.8*1.0267</f>
        <v>11679.837763199999</v>
      </c>
      <c r="J10" s="73" ph="1">
        <f>J9*290.8*0.7892</f>
        <v>18437.978582400003</v>
      </c>
      <c r="K10" s="73" ph="1">
        <f>K9*290.8*1.1126</f>
        <v>3028.3725887999999</v>
      </c>
      <c r="L10" s="73" ph="1">
        <f>L9*290.8*0.777</f>
        <v>5877.0011160000004</v>
      </c>
      <c r="M10" s="73" ph="1">
        <f>M9*33.183*LOOKUP(M11,密度!$A$2:$A$50,密度!$D$2:$D$50)</f>
        <v>195506.5806819</v>
      </c>
      <c r="N10" s="73" ph="1">
        <f>N9*33.183*LOOKUP(N11,密度!$A$2:$A$50,密度!$E$2:$E$50)</f>
        <v>176973.05556179999</v>
      </c>
      <c r="O10" s="73" ph="1">
        <f>O9*20.428*LOOKUP(O11,密度!$A$2:$A$50,密度!$C$2:$C$50)</f>
        <v>32548.287847200001</v>
      </c>
      <c r="P10" s="73" ph="1">
        <f>P9*51.53*LOOKUP(P11,密度!$A$2:$A$50,密度!$B$2:$B$50)</f>
        <v>25489.087767999998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19694.985710399997</v>
      </c>
      <c r="T10" s="73" ph="1">
        <f>T9*1.5*1.5*3.1416*LOOKUP(T11,密度!$A$2:$A$50,密度!$L$2:$L$50)</f>
        <v>48283.563774599992</v>
      </c>
      <c r="U10" s="73" ph="1">
        <f>U9*1.5*1.5*3.1416*LOOKUP(U11,密度!$A$2:$A$50,密度!$L$2:$L$50)</f>
        <v>41758.122067199998</v>
      </c>
      <c r="V10" s="73" ph="1">
        <f>V9*1.5*1.5*3.1416*LOOKUP(V11,密度!$A$2:$A$50,密度!$L$2:$L$50)</f>
        <v>32138.365366800001</v>
      </c>
      <c r="W10" s="73" ph="1">
        <f>W9*1.5*1.5*3.1416*LOOKUP(W11,密度!$A$2:$A$50,密度!$L$2:$L$50)</f>
        <v>28232.553887999995</v>
      </c>
      <c r="X10" s="73" ph="1">
        <f>X9*1.5*1.5*3.1416*LOOKUP(X11,密度!$A$2:$A$50,密度!$L$2:$L$50)</f>
        <v>32869.696859999996</v>
      </c>
      <c r="Y10" s="73" ph="1">
        <f>Y9*1.5*1.5*3.1416*LOOKUP(Y11,密度!$A$2:$A$50,密度!$L$2:$L$50)</f>
        <v>0</v>
      </c>
      <c r="Z10" s="73" ph="1">
        <f>Z9*33.183*LOOKUP(Z11,密度!$A$2:$A$50,密度!$L$2:$L$50)</f>
        <v>143263.38825899997</v>
      </c>
      <c r="AA10" s="73" ph="1">
        <f>AA9*33.183*LOOKUP(AA11,密度!$A$2:$A$50,密度!$D$2:$D$50)</f>
        <v>0</v>
      </c>
      <c r="AB10" s="73" ph="1">
        <f>AB9*20.428*LOOKUP(AB11,密度!$A$2:$A$50,密度!$D$2:$D$50)</f>
        <v>62387.124256799994</v>
      </c>
      <c r="AC10" s="73" ph="1">
        <f>AC9*51.53*LOOKUP(AC11,密度!$A$2:$A$50,密度!$Q$2:$Q$50)</f>
        <v>318371.63283199997</v>
      </c>
      <c r="AD10" s="73" ph="1">
        <f>AD9*20.428*LOOKUP(AD11,密度!$A$2:$A$50,密度!$V$2:$V$50)</f>
        <v>42122.454287999994</v>
      </c>
      <c r="AE10" s="73" ph="1">
        <f>AE9*20.428</f>
        <v>62713.96</v>
      </c>
    </row>
    <row r="11" spans="1:99" ph="1">
      <c r="A11" s="64" t="s" ph="1">
        <v>196</v>
      </c>
      <c r="B11" s="235" ph="1"/>
      <c r="C11" s="146" t="s" ph="1">
        <v>213</v>
      </c>
      <c r="D11" s="74">
        <v>19</v>
      </c>
      <c r="E11" s="74">
        <v>17</v>
      </c>
      <c r="F11" s="74">
        <v>17</v>
      </c>
      <c r="G11" s="74">
        <v>17</v>
      </c>
      <c r="H11" s="74">
        <v>13</v>
      </c>
      <c r="I11" s="74">
        <v>25</v>
      </c>
      <c r="J11" s="74">
        <v>25</v>
      </c>
      <c r="K11" s="74">
        <v>25</v>
      </c>
      <c r="L11" s="74">
        <v>25</v>
      </c>
      <c r="M11" s="74">
        <v>18</v>
      </c>
      <c r="N11" s="74">
        <v>18</v>
      </c>
      <c r="O11" s="74">
        <v>22</v>
      </c>
      <c r="P11" s="74">
        <v>17</v>
      </c>
      <c r="Q11" s="74">
        <v>25</v>
      </c>
      <c r="R11" s="74">
        <v>24</v>
      </c>
      <c r="S11" s="74">
        <v>13</v>
      </c>
      <c r="T11" s="74">
        <v>15</v>
      </c>
      <c r="U11" s="74">
        <v>18</v>
      </c>
      <c r="V11" s="74">
        <v>23</v>
      </c>
      <c r="W11" s="74">
        <v>20</v>
      </c>
      <c r="X11" s="74">
        <v>13</v>
      </c>
      <c r="Y11" s="74">
        <v>18</v>
      </c>
      <c r="Z11" s="74">
        <v>15</v>
      </c>
      <c r="AA11" s="74">
        <v>17</v>
      </c>
      <c r="AB11" s="74">
        <v>9</v>
      </c>
      <c r="AC11" s="74">
        <v>16</v>
      </c>
      <c r="AD11" s="74">
        <v>17</v>
      </c>
      <c r="AE11" s="74">
        <v>25</v>
      </c>
    </row>
    <row r="12" spans="1:99" ht="9.9499999999999993" customHeight="1" ph="1"/>
    <row r="13" spans="1:99" s="72" customFormat="1" ht="29.25" customHeight="1" ph="1">
      <c r="B13" s="212" t="s" ph="1">
        <v>37</v>
      </c>
      <c r="C13" s="146" t="s" ph="1">
        <v>210</v>
      </c>
      <c r="D13" s="76" t="s" ph="1">
        <v>53</v>
      </c>
      <c r="E13" s="76" t="s" ph="1">
        <v>54</v>
      </c>
      <c r="F13" s="76" t="s" ph="1">
        <v>66</v>
      </c>
      <c r="G13" s="76" t="s" ph="1">
        <v>67</v>
      </c>
      <c r="H13" s="76" t="s" ph="1">
        <v>154</v>
      </c>
      <c r="I13" s="76" t="s" ph="1">
        <v>68</v>
      </c>
      <c r="J13" s="76" t="s" ph="1">
        <v>155</v>
      </c>
      <c r="K13" s="76" t="s" ph="1">
        <v>63</v>
      </c>
      <c r="L13" s="76" t="s" ph="1">
        <v>69</v>
      </c>
      <c r="M13" s="76" t="s" ph="1">
        <v>70</v>
      </c>
      <c r="N13" s="76" t="s" ph="1">
        <v>156</v>
      </c>
      <c r="O13" s="76" t="s" ph="1">
        <v>64</v>
      </c>
      <c r="P13" s="76" t="s" ph="1">
        <v>71</v>
      </c>
      <c r="Q13" s="76" t="s" ph="1">
        <v>72</v>
      </c>
      <c r="R13" s="76" t="s" ph="1">
        <v>73</v>
      </c>
      <c r="S13" s="76" t="s" ph="1">
        <v>74</v>
      </c>
      <c r="T13" s="76" t="s" ph="1">
        <v>75</v>
      </c>
      <c r="U13" s="76" t="s" ph="1">
        <v>76</v>
      </c>
      <c r="V13" s="76" t="s" ph="1">
        <v>157</v>
      </c>
      <c r="W13" s="76" t="s" ph="1">
        <v>158</v>
      </c>
      <c r="X13" s="76" t="s" ph="1">
        <v>159</v>
      </c>
      <c r="Y13" s="105" t="s" ph="1">
        <v>77</v>
      </c>
      <c r="Z13" s="76" t="s" ph="1">
        <v>86</v>
      </c>
      <c r="AA13" s="76" t="s" ph="1">
        <v>160</v>
      </c>
      <c r="AB13" s="76" t="s" ph="1">
        <v>161</v>
      </c>
      <c r="AC13" s="76" t="s" ph="1">
        <v>162</v>
      </c>
      <c r="AD13" s="76" t="s" ph="1">
        <v>163</v>
      </c>
      <c r="AE13" s="76" t="s" ph="1">
        <v>164</v>
      </c>
      <c r="AG13" s="72" t="s" ph="1">
        <v>369</v>
      </c>
      <c r="AH13" s="72" t="s" ph="1">
        <v>232</v>
      </c>
      <c r="AI13" s="72" t="s" ph="1">
        <v>233</v>
      </c>
      <c r="AJ13" s="72" t="s" ph="1">
        <v>234</v>
      </c>
      <c r="AK13" s="72" t="s" ph="1">
        <v>235</v>
      </c>
      <c r="AL13" s="72" t="s" ph="1">
        <v>236</v>
      </c>
      <c r="AM13" s="72" t="s" ph="1">
        <v>237</v>
      </c>
      <c r="AN13" s="72" t="s" ph="1">
        <v>238</v>
      </c>
      <c r="AO13" s="72" t="s" ph="1">
        <v>239</v>
      </c>
      <c r="AP13" s="72" t="s" ph="1">
        <v>240</v>
      </c>
      <c r="AQ13" s="72" t="s" ph="1">
        <v>241</v>
      </c>
      <c r="AR13" s="72" t="s" ph="1">
        <v>242</v>
      </c>
      <c r="AS13" s="72" t="s" ph="1">
        <v>243</v>
      </c>
      <c r="AT13" s="72" t="s" ph="1">
        <v>244</v>
      </c>
      <c r="AU13" s="72" t="s" ph="1">
        <v>245</v>
      </c>
      <c r="AV13" s="72" t="s" ph="1">
        <v>246</v>
      </c>
      <c r="AW13" s="72" t="s" ph="1">
        <v>247</v>
      </c>
      <c r="AX13" s="72" t="s" ph="1">
        <v>248</v>
      </c>
      <c r="AY13" s="72" t="s" ph="1">
        <v>370</v>
      </c>
      <c r="AZ13" s="72" t="s" ph="1">
        <v>249</v>
      </c>
      <c r="BA13" s="72" t="s" ph="1">
        <v>250</v>
      </c>
      <c r="BB13" s="72" t="s" ph="1">
        <v>635</v>
      </c>
      <c r="BC13" s="72" t="s" ph="1">
        <v>251</v>
      </c>
      <c r="BD13" s="72" t="s" ph="1">
        <v>371</v>
      </c>
      <c r="BE13" s="72" t="s" ph="1">
        <v>372</v>
      </c>
      <c r="BF13" s="72" t="s" ph="1">
        <v>373</v>
      </c>
      <c r="BG13" s="72" t="s" ph="1">
        <v>374</v>
      </c>
      <c r="BH13" s="72" t="s" ph="1">
        <v>375</v>
      </c>
    </row>
    <row r="14" spans="1:99" s="72" customFormat="1" ht="24" ph="1">
      <c r="B14" s="213" ph="1"/>
      <c r="C14" s="67" t="s" ph="1">
        <v>36</v>
      </c>
      <c r="D14" s="77" t="s" ph="1">
        <v>131</v>
      </c>
      <c r="E14" s="77" t="s" ph="1">
        <v>131</v>
      </c>
      <c r="F14" s="153" t="s" ph="1">
        <v>656</v>
      </c>
      <c r="G14" s="77" t="s" ph="1">
        <v>220</v>
      </c>
      <c r="H14" s="77" t="s" ph="1">
        <v>648</v>
      </c>
      <c r="I14" s="77" t="s" ph="1">
        <v>65</v>
      </c>
      <c r="J14" s="77" t="s" ph="1">
        <v>230</v>
      </c>
      <c r="K14" s="77" t="s" ph="1">
        <v>226</v>
      </c>
      <c r="L14" s="77" t="s" ph="1">
        <v>41</v>
      </c>
      <c r="M14" s="104" t="s" ph="1">
        <v>225</v>
      </c>
      <c r="N14" s="104" t="s" ph="1">
        <v>221</v>
      </c>
      <c r="O14" s="104" t="s" ph="1">
        <v>229</v>
      </c>
      <c r="P14" s="77" t="s" ph="1">
        <v>82</v>
      </c>
      <c r="Q14" s="77" t="s" ph="1">
        <v>82</v>
      </c>
      <c r="R14" s="88" t="s" ph="1">
        <v>7</v>
      </c>
      <c r="S14" s="77" t="s" ph="1">
        <v>82</v>
      </c>
      <c r="T14" s="77" t="s" ph="1">
        <v>98</v>
      </c>
      <c r="U14" s="77" t="s" ph="1">
        <v>103</v>
      </c>
      <c r="V14" s="77" t="s" ph="1">
        <v>649</v>
      </c>
      <c r="W14" s="77" t="s" ph="1">
        <v>223</v>
      </c>
      <c r="X14" s="77" t="s" ph="1">
        <v>78</v>
      </c>
      <c r="Y14" s="144" t="s" ph="1">
        <v>0</v>
      </c>
      <c r="Z14" s="77" t="s" ph="1">
        <v>62</v>
      </c>
      <c r="AA14" s="77" t="s" ph="1">
        <v>88</v>
      </c>
      <c r="AB14" s="77" t="s" ph="1">
        <v>653</v>
      </c>
      <c r="AC14" s="77" t="s" ph="1">
        <v>653</v>
      </c>
      <c r="AD14" s="77" t="s" ph="1">
        <v>136</v>
      </c>
      <c r="AE14" s="77" t="s" ph="1">
        <v>136</v>
      </c>
      <c r="AG14" s="72" t="s" ph="1">
        <v>252</v>
      </c>
      <c r="AI14" s="72" t="s" ph="1">
        <v>253</v>
      </c>
      <c r="AJ14" s="72" t="s" ph="1">
        <v>376</v>
      </c>
      <c r="AK14" s="72" t="s" ph="1">
        <v>254</v>
      </c>
      <c r="AM14" s="72" t="s" ph="1">
        <v>256</v>
      </c>
      <c r="AN14" s="72" t="s" ph="1">
        <v>254</v>
      </c>
      <c r="AO14" s="72" t="s" ph="1">
        <v>255</v>
      </c>
      <c r="AP14" s="72" t="s" ph="1">
        <v>256</v>
      </c>
      <c r="AQ14" s="72" t="s" ph="1">
        <v>254</v>
      </c>
      <c r="AR14" s="72" t="s" ph="1">
        <v>255</v>
      </c>
      <c r="AS14" s="72" t="s" ph="1">
        <v>256</v>
      </c>
      <c r="AT14" s="72" t="s" ph="1">
        <v>254</v>
      </c>
      <c r="AU14" s="72" t="s" ph="1">
        <v>255</v>
      </c>
      <c r="AV14" s="72" t="s" ph="1">
        <v>256</v>
      </c>
      <c r="AW14" s="72" t="s" ph="1">
        <v>254</v>
      </c>
      <c r="AX14" s="72" t="s" ph="1">
        <v>255</v>
      </c>
      <c r="AY14" s="72" t="s" ph="1">
        <v>256</v>
      </c>
      <c r="AZ14" s="72" t="s" ph="1">
        <v>255</v>
      </c>
    </row>
    <row r="15" spans="1:99" ph="1">
      <c r="B15" s="214" ph="1">
        <v>0.33333333333333331</v>
      </c>
      <c r="C15" s="146" t="s" ph="1">
        <v>211</v>
      </c>
      <c r="D15" s="78">
        <v>3530</v>
      </c>
      <c r="E15" s="78">
        <v>1216</v>
      </c>
      <c r="F15" s="78">
        <v>3031</v>
      </c>
      <c r="G15" s="78">
        <v>2582</v>
      </c>
      <c r="H15" s="78">
        <v>1078</v>
      </c>
      <c r="I15" s="78">
        <v>15</v>
      </c>
      <c r="J15" s="78">
        <v>393</v>
      </c>
      <c r="K15" s="78">
        <v>1815</v>
      </c>
      <c r="L15" s="78">
        <v>5409</v>
      </c>
      <c r="M15" s="78">
        <v>3953</v>
      </c>
      <c r="N15" s="78">
        <v>3050</v>
      </c>
      <c r="O15" s="78">
        <v>5749</v>
      </c>
      <c r="P15" s="78">
        <v>3417</v>
      </c>
      <c r="Q15" s="78">
        <v>6081</v>
      </c>
      <c r="R15" s="78">
        <v>3494</v>
      </c>
      <c r="S15" s="78">
        <v>5619</v>
      </c>
      <c r="T15" s="78">
        <v>1739</v>
      </c>
      <c r="U15" s="78">
        <v>3537</v>
      </c>
      <c r="V15" s="78">
        <v>969</v>
      </c>
      <c r="W15" s="78">
        <v>-593</v>
      </c>
      <c r="X15" s="78">
        <v>1112</v>
      </c>
      <c r="Y15" s="106">
        <v>-9901</v>
      </c>
      <c r="Z15" s="78">
        <v>0</v>
      </c>
      <c r="AA15" s="78">
        <v>29</v>
      </c>
      <c r="AB15" s="78" ph="1">
        <v>6279</v>
      </c>
      <c r="AC15" s="78" ph="1">
        <v>6506</v>
      </c>
      <c r="AD15" s="78">
        <v>84.86</v>
      </c>
      <c r="AE15" s="78">
        <v>32.21</v>
      </c>
      <c r="AG15" s="64" t="s" ph="1">
        <v>258</v>
      </c>
      <c r="AH15" s="64" ph="1">
        <v>1</v>
      </c>
      <c r="AI15" s="64" t="s" ph="1">
        <v>377</v>
      </c>
      <c r="AK15" s="64" t="s" ph="1">
        <v>631</v>
      </c>
      <c r="AM15" s="64" t="s" ph="1">
        <v>379</v>
      </c>
      <c r="AZ15" s="64" t="s" ph="1">
        <v>260</v>
      </c>
      <c r="BA15" s="64" ph="1">
        <v>0</v>
      </c>
    </row>
    <row r="16" spans="1:99" s="72" customFormat="1" ht="22.5" ph="1">
      <c r="B16" s="215" ph="1"/>
      <c r="C16" s="146" t="s" ph="1">
        <v>212</v>
      </c>
      <c r="D16" s="73" ph="1">
        <f>D15*7.0686*LOOKUP(D17,密度!$A$2:$A$50,密度!$L$2:$L$50)</f>
        <v>23579.789309999996</v>
      </c>
      <c r="E16" s="73" ph="1">
        <f>E15*7.0686*LOOKUP(E17,密度!$A$2:$A$50,密度!$L$2:$L$50)</f>
        <v>8122.6696320000001</v>
      </c>
      <c r="F16" s="73" ph="1">
        <f>F15*9.0746*LOOKUP(F17,密度!$A$2:$A$50,密度!$L$2:$L$50)</f>
        <v>25992.331406999998</v>
      </c>
      <c r="G16" s="73" ph="1">
        <f>G15*9.0746*LOOKUP(G17,密度!$A$2:$A$50,密度!$B$2:$B$50)</f>
        <v>18463.326353600001</v>
      </c>
      <c r="H16" s="73" ph="1">
        <f>H15*9.0746*LOOKUP(H17,密度!$A$2:$A$50,密度!$L$2:$L$50)</f>
        <v>9283.5154411999993</v>
      </c>
      <c r="I16" s="73" ph="1">
        <f>I15*9.0746*LOOKUP(I17,密度!$A$2:$A$50,密度!$U$2:$U$50)</f>
        <v>139.93033199999999</v>
      </c>
      <c r="J16" s="73" ph="1">
        <f>J15*9.0746*LOOKUP(J17,密度!$A$2:$A$50,密度!$L$2:$L$50)</f>
        <v>3373.7366388</v>
      </c>
      <c r="K16" s="73" ph="1">
        <f>K15*9.0746*LOOKUP(K17,密度!$A$2:$A$50,密度!$C$2:$C$50)</f>
        <v>18367.788964800002</v>
      </c>
      <c r="L16" s="73" ph="1">
        <f>L15*9.0746*LOOKUP(L17,密度!$A$2:$A$50,密度!$E$2:$E$50)</f>
        <v>38899.475284500004</v>
      </c>
      <c r="M16" s="73" ph="1">
        <f>M15*9.0746*LOOKUP(M17,密度!$A$2:$A$50,密度!$M$2:$M$50)</f>
        <v>31578.028112139997</v>
      </c>
      <c r="N16" s="73" ph="1">
        <f>N15*9.0746*LOOKUP(N17,密度!$A$2:$A$50,密度!$M$2:$M$50)</f>
        <v>24364.529659</v>
      </c>
      <c r="O16" s="73" ph="1">
        <f>O15*9.0746*LOOKUP(O17,密度!$A$2:$A$50,密度!$G$2:$G$50)</f>
        <v>50552.609262600003</v>
      </c>
      <c r="P16" s="73" ph="1">
        <f ca="1">P15*9.0746*LOOKUP(P17,密度!$A$2:$A$51,密度!$Q$2:$Q$50)</f>
        <v>29544.334932960002</v>
      </c>
      <c r="Q16" s="73" ph="1">
        <f>Q15*9.0746*LOOKUP(Q17,密度!$A$2:$A$50,密度!$Q$2:$Q$50)</f>
        <v>52578.021869279997</v>
      </c>
      <c r="R16" s="73" ph="1">
        <f>MAX(R15*9.0746*LOOKUP(R17,密度!$A$2:$A$50,密度!$B$2:$B$50),0)</f>
        <v>24911.916790679999</v>
      </c>
      <c r="S16" s="73" ph="1">
        <f>S15*9.0746*LOOKUP(S17,密度!$A$2:$A$50,密度!$Q$2:$Q$50)</f>
        <v>48583.44102672</v>
      </c>
      <c r="T16" s="73" ph="1">
        <f>T15*9.0746*LOOKUP(T17,密度!$A$2:$A$50,密度!$O$2:$O$50)</f>
        <v>14739.2012596</v>
      </c>
      <c r="U16" s="73" ph="1">
        <f>U15*9.0746*LOOKUP(U17,密度!$A$2:$A$50,密度!$H$2:$H$50)</f>
        <v>29712.06348714</v>
      </c>
      <c r="V16" s="73" ph="1">
        <f>MAX(5600*LOOKUP(V17,密度!$A$2:$A$50,密度!$Q$2:$Q$50)+V15*9.0476*LOOKUP(V17,密度!$A$2:$A$50,密度!$Q$2:$Q$50),0)</f>
        <v>13688.996128319999</v>
      </c>
      <c r="W16" s="73" ph="1">
        <f>MAX(5600*LOOKUP(W17,密度!$A$2:$A$50,密度!$Q$2:$Q$50)+W15*9.0476*LOOKUP(W17,密度!$A$2:$A$50,密度!$Q$2:$Q$50),0)</f>
        <v>223.87972351999997</v>
      </c>
      <c r="X16" s="73" ph="1">
        <f>MAX(5600*LOOKUP(X17,密度!$A$2:$A$50,密度!$I$2:$I$50)+X15*9.0476*LOOKUP(X17,密度!$A$2:$A$50,密度!$I$2:$I$50),0)</f>
        <v>16287.368447999999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207.37275920000002</v>
      </c>
      <c r="AB16" s="73" ph="1">
        <f>AB15*9.0746*LOOKUP(AB17,密度!$A$2:$A$50,密度!$L$2:$L$50)</f>
        <v>53845.545663000004</v>
      </c>
      <c r="AC16" s="73" ph="1">
        <f>AC15*9.0746*LOOKUP(AC17,密度!$A$2:$A$50,密度!$L$2:$L$50)</f>
        <v>55969.301524800001</v>
      </c>
      <c r="AD16" s="73" ph="1">
        <f>AD15*268.68*LOOKUP(AD17,密度!$A$2:$A$50,密度!B2:B50)+IF(AD15&lt;=0,0,1566*LOOKUP(AD17,密度!$A$2:$A$50,密度!B2:B50))</f>
        <v>18995.877670079997</v>
      </c>
      <c r="AE16" s="73" ph="1">
        <f>AE15*268.68*LOOKUP(AE17,密度!$A$2:$A$50,密度!B2:B50)+IF(AE15&lt;=0,0,1566*LOOKUP(AE17,密度!$A$2:$A$50,密度!B2:B50))</f>
        <v>7967.6545108800001</v>
      </c>
      <c r="AH16" s="72" ph="1">
        <v>2</v>
      </c>
      <c r="AI16" s="72" t="s" ph="1">
        <v>381</v>
      </c>
      <c r="AZ16" s="72" t="s" ph="1">
        <v>260</v>
      </c>
      <c r="BA16" s="72" ph="1">
        <v>0</v>
      </c>
    </row>
    <row r="17" spans="1:57" ph="1">
      <c r="A17" s="64" t="s" ph="1">
        <v>85</v>
      </c>
      <c r="B17" s="216" ph="1"/>
      <c r="C17" s="79" t="s" ph="1">
        <v>213</v>
      </c>
      <c r="D17" s="74">
        <v>17</v>
      </c>
      <c r="E17" s="74">
        <v>17</v>
      </c>
      <c r="F17" s="74">
        <v>17</v>
      </c>
      <c r="G17" s="74">
        <v>15</v>
      </c>
      <c r="H17" s="74">
        <v>13</v>
      </c>
      <c r="I17" s="74">
        <v>15</v>
      </c>
      <c r="J17" s="74">
        <v>16</v>
      </c>
      <c r="K17" s="74">
        <v>16</v>
      </c>
      <c r="L17" s="74">
        <v>17</v>
      </c>
      <c r="M17" s="74">
        <v>17</v>
      </c>
      <c r="N17" s="74">
        <v>16</v>
      </c>
      <c r="O17" s="74">
        <v>17</v>
      </c>
      <c r="P17" s="74">
        <v>17</v>
      </c>
      <c r="Q17" s="74">
        <v>17</v>
      </c>
      <c r="R17" s="74">
        <v>18</v>
      </c>
      <c r="S17" s="74">
        <v>17</v>
      </c>
      <c r="T17" s="74">
        <v>16</v>
      </c>
      <c r="U17" s="74">
        <v>14</v>
      </c>
      <c r="V17" s="74">
        <v>17</v>
      </c>
      <c r="W17" s="74">
        <v>16</v>
      </c>
      <c r="X17" s="74">
        <v>27</v>
      </c>
      <c r="Y17" s="108">
        <v>27</v>
      </c>
      <c r="Z17" s="74">
        <v>16</v>
      </c>
      <c r="AA17" s="74">
        <v>15</v>
      </c>
      <c r="AB17" s="74">
        <v>17</v>
      </c>
      <c r="AC17" s="74">
        <v>14</v>
      </c>
      <c r="AD17" s="74">
        <v>25</v>
      </c>
      <c r="AE17" s="74">
        <v>25</v>
      </c>
      <c r="AH17" s="64" ph="1">
        <v>3</v>
      </c>
      <c r="AI17" s="64" t="s" ph="1">
        <v>382</v>
      </c>
      <c r="AK17" s="64" t="s" ph="1">
        <v>614</v>
      </c>
      <c r="AL17" s="64" ph="1">
        <v>80</v>
      </c>
      <c r="AM17" s="64" t="s" ph="1">
        <v>379</v>
      </c>
      <c r="AZ17" s="64" t="s" ph="1">
        <v>260</v>
      </c>
      <c r="BA17" s="64" ph="1">
        <v>80</v>
      </c>
      <c r="BD17" s="64" t="s" ph="1">
        <v>258</v>
      </c>
      <c r="BE17" s="64" ph="1">
        <v>2270</v>
      </c>
    </row>
    <row r="18" spans="1:57" ph="1">
      <c r="B18" s="214" ph="1">
        <v>0.66666666666666663</v>
      </c>
      <c r="C18" s="79" t="s" ph="1">
        <v>214</v>
      </c>
      <c r="D18" s="71">
        <v>3340</v>
      </c>
      <c r="E18" s="71">
        <v>71</v>
      </c>
      <c r="F18" s="71">
        <v>3034</v>
      </c>
      <c r="G18" s="71">
        <v>2692</v>
      </c>
      <c r="H18" s="71">
        <v>1077</v>
      </c>
      <c r="I18" s="71">
        <v>12</v>
      </c>
      <c r="J18" s="71">
        <v>392</v>
      </c>
      <c r="K18" s="71">
        <v>1815</v>
      </c>
      <c r="L18" s="71">
        <v>5418</v>
      </c>
      <c r="M18" s="71">
        <v>992</v>
      </c>
      <c r="N18" s="71">
        <v>4378</v>
      </c>
      <c r="O18" s="71">
        <v>5751</v>
      </c>
      <c r="P18" s="71">
        <v>1743</v>
      </c>
      <c r="Q18" s="71">
        <v>6085</v>
      </c>
      <c r="R18" s="71">
        <v>3497</v>
      </c>
      <c r="S18" s="71">
        <v>5622</v>
      </c>
      <c r="T18" s="71">
        <v>1340</v>
      </c>
      <c r="U18" s="71">
        <v>5335</v>
      </c>
      <c r="V18" s="71">
        <v>-1194</v>
      </c>
      <c r="W18" s="71">
        <v>-594</v>
      </c>
      <c r="X18" s="71">
        <v>1063</v>
      </c>
      <c r="Y18" s="109">
        <v>-9901</v>
      </c>
      <c r="Z18" s="71">
        <v>0</v>
      </c>
      <c r="AA18" s="71">
        <v>29</v>
      </c>
      <c r="AB18" s="71">
        <v>6287</v>
      </c>
      <c r="AC18" s="71">
        <v>6511</v>
      </c>
      <c r="AD18" s="71">
        <v>84.65</v>
      </c>
      <c r="AE18" s="71">
        <v>58.16</v>
      </c>
      <c r="AH18" s="64" ph="1">
        <v>4</v>
      </c>
      <c r="AI18" s="64" t="s" ph="1">
        <v>384</v>
      </c>
      <c r="AJ18" s="64" t="s" ph="1">
        <v>632</v>
      </c>
      <c r="AK18" s="64" t="s" ph="1">
        <v>631</v>
      </c>
      <c r="AL18" s="64" ph="1">
        <v>740</v>
      </c>
      <c r="AM18" s="64" t="s" ph="1">
        <v>383</v>
      </c>
      <c r="AZ18" s="64" t="s" ph="1">
        <v>260</v>
      </c>
      <c r="BA18" s="64" ph="1">
        <v>740</v>
      </c>
    </row>
    <row r="19" spans="1:57" s="72" customFormat="1" ht="22.5" ph="1">
      <c r="B19" s="215" ph="1"/>
      <c r="C19" s="146" t="s" ph="1">
        <v>212</v>
      </c>
      <c r="D19" s="73" ph="1">
        <f>D18*7.0686*LOOKUP(D20,密度!$A$2:$A$50,密度!$L$2:$L$50)</f>
        <v>22287.013056</v>
      </c>
      <c r="E19" s="73" ph="1">
        <f>E18*7.0686*LOOKUP(E20,密度!$A$2:$A$50,密度!$L$2:$L$50)</f>
        <v>473.76584639999999</v>
      </c>
      <c r="F19" s="73" ph="1">
        <f>F18*9.0746*LOOKUP(F20,密度!$A$2:$A$50,密度!$L$2:$L$50)</f>
        <v>25962.9932252</v>
      </c>
      <c r="G19" s="73" ph="1">
        <f>G18*9.0746*LOOKUP(G20,密度!$A$2:$A$50,密度!$B$2:$B$50)</f>
        <v>19193.726388239997</v>
      </c>
      <c r="H19" s="73" ph="1">
        <f>H18*9.0746*LOOKUP(H20,密度!$A$2:$A$50,密度!$L$2:$L$50)</f>
        <v>9255.3569573999994</v>
      </c>
      <c r="I19" s="73" ph="1">
        <f>I18*9.0746*LOOKUP(I20,密度!$A$2:$A$50,密度!$U$2:$U$50)</f>
        <v>111.94426560000001</v>
      </c>
      <c r="J19" s="73" ph="1">
        <f>J18*9.0746*LOOKUP(J20,密度!$A$2:$A$50,密度!$L$2:$L$50)</f>
        <v>3350.9230943999996</v>
      </c>
      <c r="K19" s="73" ph="1">
        <f>K18*9.0746*LOOKUP(K20,密度!$A$2:$A$50,密度!$C$2:$C$50)</f>
        <v>18346.377446099999</v>
      </c>
      <c r="L19" s="73" ph="1">
        <f>L18*9.0746*LOOKUP(L20,密度!$A$2:$A$50,密度!$E$2:$E$50)</f>
        <v>38910.11706792</v>
      </c>
      <c r="M19" s="73" ph="1">
        <f>M18*9.0746*LOOKUP(M20,密度!$A$2:$A$50,密度!$M$2:$M$50)</f>
        <v>7913.6610131200005</v>
      </c>
      <c r="N19" s="73" ph="1">
        <f>N18*9.0746*LOOKUP(N20,密度!$A$2:$A$50,密度!$M$2:$M$50)</f>
        <v>34973.085523640002</v>
      </c>
      <c r="O19" s="73" ph="1">
        <f>O18*9.0746*LOOKUP(O20,密度!$A$2:$A$50,密度!$G$2:$G$50)</f>
        <v>50408.412961140006</v>
      </c>
      <c r="P19" s="73" ph="1">
        <f ca="1">P18*9.0746*LOOKUP(P20,密度!$A$2:$A$51,密度!$Q$2:$Q$50)</f>
        <v>15021.273131382</v>
      </c>
      <c r="Q19" s="73" ph="1">
        <f>Q18*9.0746*LOOKUP(Q20,密度!$A$2:$A$50,密度!$Q$2:$Q$50)</f>
        <v>52568.984021409997</v>
      </c>
      <c r="R19" s="73" ph="1">
        <f>MAX(R18*9.0746*LOOKUP(R20,密度!$A$2:$A$50,密度!$B$2:$B$50),0)</f>
        <v>24853.971839840004</v>
      </c>
      <c r="S19" s="73" ph="1">
        <f>S18*9.0746*LOOKUP(S20,密度!$A$2:$A$50,密度!$Q$2:$Q$50)</f>
        <v>48609.379863360002</v>
      </c>
      <c r="T19" s="73" ph="1">
        <f>T18*9.0746*LOOKUP(T20,密度!$A$2:$A$50,密度!$O$2:$O$50)</f>
        <v>11308.766520000001</v>
      </c>
      <c r="U19" s="73" ph="1">
        <f>U18*9.0746*LOOKUP(U20,密度!$A$2:$A$50,密度!$H$2:$H$50)</f>
        <v>44767.492777699998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214.52509572800045</v>
      </c>
      <c r="X19" s="73" ph="1">
        <f>MAX(5600*LOOKUP(X20,密度!$A$2:$A$50,密度!$I$2:$I$50)+X18*9.0476*LOOKUP(X20,密度!$A$2:$A$50,密度!$I$2:$I$50),0)</f>
        <v>15809.563393319997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207.16222848000001</v>
      </c>
      <c r="AB19" s="73" ph="1">
        <f>AB18*9.0746*LOOKUP(AB20,密度!$A$2:$A$50,密度!$L$2:$L$50)</f>
        <v>53800.045618600001</v>
      </c>
      <c r="AC19" s="73" ph="1">
        <f>AC18*9.0746*LOOKUP(AC20,密度!$A$2:$A$50,密度!$L$2:$L$50)</f>
        <v>55894.145687600001</v>
      </c>
      <c r="AD19" s="73" ph="1">
        <f>AD18*268.68*LOOKUP(AD20,密度!$A$2:$A$50,密度!B5:B53)+IF(AD18&lt;=0,0,1566*LOOKUP(AD20,密度!$A$2:$A$50,密度!B5:B53))</f>
        <v>18888.685074000001</v>
      </c>
      <c r="AE19" s="73" ph="1">
        <f>AE18*268.68*LOOKUP(AE20,密度!$A$2:$A$50,密度!B5:B53)+IF(AE18&lt;=0,0,1566*LOOKUP(AE20,密度!$A$2:$A$50,密度!B5:B53))</f>
        <v>13358.517177599999</v>
      </c>
      <c r="AH19" s="72" ph="1">
        <v>5</v>
      </c>
      <c r="AI19" s="72" t="s" ph="1">
        <v>385</v>
      </c>
      <c r="AZ19" s="72" t="s" ph="1">
        <v>260</v>
      </c>
      <c r="BA19" s="72" ph="1">
        <v>0</v>
      </c>
      <c r="BD19" s="72" t="s" ph="1">
        <v>386</v>
      </c>
      <c r="BE19" s="72" ph="1">
        <v>1440</v>
      </c>
    </row>
    <row r="20" spans="1:57" ph="1">
      <c r="A20" s="72" ph="1"/>
      <c r="B20" s="215" ph="1"/>
      <c r="C20" s="80" t="s" ph="1">
        <v>213</v>
      </c>
      <c r="D20" s="81">
        <v>18</v>
      </c>
      <c r="E20" s="81">
        <v>18</v>
      </c>
      <c r="F20" s="81">
        <v>19</v>
      </c>
      <c r="G20" s="81">
        <v>18</v>
      </c>
      <c r="H20" s="81">
        <v>15</v>
      </c>
      <c r="I20" s="81">
        <v>18</v>
      </c>
      <c r="J20" s="81">
        <v>20</v>
      </c>
      <c r="K20" s="81">
        <v>18</v>
      </c>
      <c r="L20" s="81">
        <v>18</v>
      </c>
      <c r="M20" s="81">
        <v>21</v>
      </c>
      <c r="N20" s="81">
        <v>18</v>
      </c>
      <c r="O20" s="81">
        <v>20</v>
      </c>
      <c r="P20" s="81">
        <v>21</v>
      </c>
      <c r="Q20" s="81">
        <v>18</v>
      </c>
      <c r="R20" s="81">
        <v>21</v>
      </c>
      <c r="S20" s="81">
        <v>17</v>
      </c>
      <c r="T20" s="81">
        <v>20</v>
      </c>
      <c r="U20" s="81">
        <v>15</v>
      </c>
      <c r="V20" s="81">
        <v>20</v>
      </c>
      <c r="W20" s="81">
        <v>20</v>
      </c>
      <c r="X20" s="81">
        <v>28</v>
      </c>
      <c r="Y20" s="110">
        <v>28</v>
      </c>
      <c r="Z20" s="81">
        <v>24</v>
      </c>
      <c r="AA20" s="81">
        <v>16</v>
      </c>
      <c r="AB20" s="81">
        <v>19</v>
      </c>
      <c r="AC20" s="81">
        <v>16</v>
      </c>
      <c r="AD20" s="81">
        <v>25</v>
      </c>
      <c r="AE20" s="81">
        <v>25</v>
      </c>
      <c r="AH20" s="64" ph="1">
        <v>6</v>
      </c>
      <c r="AI20" s="64" t="s" ph="1">
        <v>387</v>
      </c>
      <c r="AZ20" s="64" t="s" ph="1">
        <v>260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388</v>
      </c>
      <c r="AZ21" s="64" t="s" ph="1">
        <v>260</v>
      </c>
      <c r="BA21" s="64" ph="1">
        <v>0</v>
      </c>
      <c r="BD21" s="64" t="s" ph="1">
        <v>276</v>
      </c>
      <c r="BE21" s="64" ph="1">
        <v>730</v>
      </c>
    </row>
    <row r="22" spans="1:57" ph="1">
      <c r="A22" s="72" ph="1"/>
      <c r="B22" s="213" t="s" ph="1">
        <v>37</v>
      </c>
      <c r="C22" s="85" t="s" ph="1">
        <v>210</v>
      </c>
      <c r="D22" s="86" t="s" ph="1">
        <v>104</v>
      </c>
      <c r="E22" s="86" t="s" ph="1">
        <v>105</v>
      </c>
      <c r="F22" s="86" t="s" ph="1">
        <v>106</v>
      </c>
      <c r="G22" s="86" t="s" ph="1">
        <v>107</v>
      </c>
      <c r="H22" s="86" t="s" ph="1">
        <v>108</v>
      </c>
      <c r="I22" s="86" t="s" ph="1">
        <v>109</v>
      </c>
      <c r="J22" s="86" t="s" ph="1">
        <v>110</v>
      </c>
      <c r="K22" s="86" t="s" ph="1">
        <v>111</v>
      </c>
      <c r="L22" s="86" t="s" ph="1">
        <v>112</v>
      </c>
      <c r="M22" s="86" t="s" ph="1">
        <v>113</v>
      </c>
      <c r="N22" s="86" t="s" ph="1">
        <v>114</v>
      </c>
      <c r="O22" s="86" t="s" ph="1">
        <v>115</v>
      </c>
      <c r="P22" s="86" t="s" ph="1">
        <v>116</v>
      </c>
      <c r="Q22" s="87" t="s" ph="1">
        <v>117</v>
      </c>
      <c r="R22" s="86" t="s" ph="1">
        <v>118</v>
      </c>
      <c r="S22" s="86" t="s" ph="1">
        <v>119</v>
      </c>
      <c r="T22" s="86" t="s" ph="1">
        <v>120</v>
      </c>
      <c r="U22" s="86" t="s" ph="1">
        <v>121</v>
      </c>
      <c r="V22" s="86" t="s" ph="1">
        <v>122</v>
      </c>
      <c r="W22" s="86" t="s" ph="1">
        <v>123</v>
      </c>
      <c r="X22" s="86" t="s" ph="1">
        <v>124</v>
      </c>
      <c r="Y22" s="86" t="s" ph="1">
        <v>126</v>
      </c>
      <c r="Z22" s="223" t="s" ph="1">
        <v>79</v>
      </c>
      <c r="AA22" s="224"/>
      <c r="AB22" s="224"/>
      <c r="AC22" s="224"/>
      <c r="AD22" s="224"/>
      <c r="AE22" s="225"/>
      <c r="AH22" s="64" ph="1">
        <v>8</v>
      </c>
      <c r="AI22" s="64" t="s" ph="1">
        <v>389</v>
      </c>
      <c r="AZ22" s="64" t="s" ph="1">
        <v>260</v>
      </c>
      <c r="BA22" s="64" ph="1">
        <v>0</v>
      </c>
    </row>
    <row r="23" spans="1:57" ph="1">
      <c r="A23" s="72" ph="1"/>
      <c r="B23" s="217" ph="1"/>
      <c r="C23" s="67" t="s" ph="1">
        <v>36</v>
      </c>
      <c r="D23" s="88" t="s" ph="1">
        <v>128</v>
      </c>
      <c r="E23" s="88" t="s" ph="1">
        <v>125</v>
      </c>
      <c r="F23" s="88" t="s" ph="1">
        <v>224</v>
      </c>
      <c r="G23" s="88" t="s" ph="1">
        <v>165</v>
      </c>
      <c r="H23" s="88" t="s" ph="1">
        <v>165</v>
      </c>
      <c r="I23" s="88" t="s" ph="1">
        <v>166</v>
      </c>
      <c r="J23" s="88" t="s" ph="1">
        <v>167</v>
      </c>
      <c r="K23" s="88" t="s" ph="1">
        <v>129</v>
      </c>
      <c r="L23" s="88" t="s" ph="1">
        <v>129</v>
      </c>
      <c r="M23" s="88" t="s" ph="1">
        <v>167</v>
      </c>
      <c r="N23" s="88" t="s" ph="1">
        <v>167</v>
      </c>
      <c r="O23" s="88" t="s" ph="1">
        <v>132</v>
      </c>
      <c r="P23" s="88" t="s" ph="1">
        <v>168</v>
      </c>
      <c r="Q23" s="89" t="s" ph="1">
        <v>168</v>
      </c>
      <c r="R23" s="88" t="s" ph="1">
        <v>169</v>
      </c>
      <c r="S23" s="88" t="s" ph="1">
        <v>170</v>
      </c>
      <c r="T23" s="88" t="s" ph="1">
        <v>651</v>
      </c>
      <c r="U23" s="88" t="s" ph="1">
        <v>171</v>
      </c>
      <c r="V23" s="88" t="s" ph="1">
        <v>172</v>
      </c>
      <c r="W23" s="88" t="s" ph="1">
        <v>170</v>
      </c>
      <c r="X23" s="88" t="s" ph="1">
        <v>231</v>
      </c>
      <c r="Y23" s="88" t="s" ph="1">
        <v>97</v>
      </c>
      <c r="Z23" s="226" t="s" ph="1">
        <v>658</v>
      </c>
      <c r="AA23" s="227"/>
      <c r="AB23" s="227"/>
      <c r="AC23" s="227"/>
      <c r="AD23" s="227"/>
      <c r="AE23" s="228"/>
      <c r="AH23" s="64" ph="1">
        <v>9</v>
      </c>
      <c r="AI23" s="64" t="s" ph="1">
        <v>390</v>
      </c>
      <c r="AZ23" s="64" t="s" ph="1">
        <v>260</v>
      </c>
      <c r="BA23" s="64" ph="1">
        <v>0</v>
      </c>
      <c r="BD23" s="64" t="s" ph="1">
        <v>282</v>
      </c>
      <c r="BE23" s="64" ph="1">
        <v>890</v>
      </c>
    </row>
    <row r="24" spans="1:57" ph="1">
      <c r="A24" s="72" ph="1"/>
      <c r="B24" s="235" ph="1">
        <v>0.33333333333333331</v>
      </c>
      <c r="C24" s="146" t="s" ph="1">
        <v>211</v>
      </c>
      <c r="D24" s="71">
        <v>44.32</v>
      </c>
      <c r="E24" s="71">
        <v>97.65</v>
      </c>
      <c r="F24" s="71">
        <v>2152</v>
      </c>
      <c r="G24" s="71">
        <v>3925</v>
      </c>
      <c r="H24" s="71">
        <v>3220</v>
      </c>
      <c r="I24" s="71">
        <v>2537</v>
      </c>
      <c r="J24" s="71">
        <v>2450</v>
      </c>
      <c r="K24" s="71">
        <v>4900</v>
      </c>
      <c r="L24" s="71">
        <v>5075</v>
      </c>
      <c r="M24" s="71">
        <v>1384</v>
      </c>
      <c r="N24" s="71">
        <v>869</v>
      </c>
      <c r="O24" s="71">
        <v>2055</v>
      </c>
      <c r="P24" s="71">
        <v>2482</v>
      </c>
      <c r="Q24" s="90">
        <v>767</v>
      </c>
      <c r="R24" s="71">
        <v>2016</v>
      </c>
      <c r="S24" s="71">
        <v>184</v>
      </c>
      <c r="T24" s="71">
        <v>6397</v>
      </c>
      <c r="U24" s="71">
        <v>5628</v>
      </c>
      <c r="V24" s="71">
        <v>5857</v>
      </c>
      <c r="W24" s="71">
        <v>11512</v>
      </c>
      <c r="X24" s="71">
        <v>10708</v>
      </c>
      <c r="Y24" s="71">
        <v>3076</v>
      </c>
      <c r="Z24" s="229"/>
      <c r="AA24" s="230"/>
      <c r="AB24" s="230"/>
      <c r="AC24" s="230"/>
      <c r="AD24" s="230"/>
      <c r="AE24" s="231"/>
      <c r="AH24" s="64" ph="1">
        <v>10</v>
      </c>
      <c r="AI24" s="64" t="s" ph="1">
        <v>391</v>
      </c>
      <c r="AZ24" s="64" t="s" ph="1">
        <v>260</v>
      </c>
      <c r="BA24" s="64" ph="1">
        <v>0</v>
      </c>
    </row>
    <row r="25" spans="1:57" ph="1">
      <c r="A25" s="72" ph="1"/>
      <c r="B25" s="235" ph="1"/>
      <c r="C25" s="68" t="s" ph="1">
        <v>212</v>
      </c>
      <c r="D25" s="91" ph="1">
        <f>D24*268.68*LOOKUP(D26,密度!$A$2:$A$50,密度!$Q$2:$Q$50)+IF(D24&lt;=0,0,1566*LOOKUP(D26,密度!$A$2:$A$50,密度!$Q$2:$Q$50))</f>
        <v>12756.277813824001</v>
      </c>
      <c r="E25" s="91" ph="1">
        <f>E24*268.68*LOOKUP(E26,密度!$A$2:$A$50,密度!$C$2:$C$50)+IF(E24&lt;=0,0,1566*LOOKUP(E26,密度!$A$2:$A$50,密度!$C$2:$C$50))</f>
        <v>30830.305357800004</v>
      </c>
      <c r="F25" s="91" ph="1">
        <f>F24*11.702*LOOKUP(F26,密度!$A$2:$A$50,密度!$Q$2:$Q$50)</f>
        <v>23994.080371200002</v>
      </c>
      <c r="G25" s="91" ph="1">
        <f>G24*18.322*LOOKUP(G26,密度!$A$2:$A$50,密度!$B$2:$B$50)</f>
        <v>56610.582719999991</v>
      </c>
      <c r="H25" s="91" ph="1">
        <f>H24*18.322*LOOKUP(H26,密度!$A$2:$A$50,密度!$B$2:$B$50)</f>
        <v>46442.312447999997</v>
      </c>
      <c r="I25" s="91" ph="1">
        <f>I24*18.322*LOOKUP(I26,密度!$A$2:$A$50,密度!$Q$2:$Q$50)</f>
        <v>44369.800729559996</v>
      </c>
      <c r="J25" s="91" ph="1">
        <f>J24*18.322*LOOKUP(J26,密度!$A$2:$A$50,密度!$Q$2:$Q$50)</f>
        <v>42848.250606000001</v>
      </c>
      <c r="K25" s="91" ph="1">
        <f>K24*18.322*LOOKUP(K26,密度!$A$2:$A$50,密度!$Q$2:$Q$50)</f>
        <v>85612.110079999999</v>
      </c>
      <c r="L25" s="91" ph="1">
        <f>L24*18.322*LOOKUP(L26,密度!$A$2:$A$50,密度!$Q$2:$Q$50)</f>
        <v>88757.090540999998</v>
      </c>
      <c r="M25" s="91" ph="1">
        <f>M24*18.322*LOOKUP(M26,密度!$A$2:$A$50,密度!$Q$2:$Q$50)</f>
        <v>24204.88932192</v>
      </c>
      <c r="N25" s="91" ph="1">
        <f>N24*18.322*LOOKUP(N26,密度!$A$2:$A$50,密度!$Q$2:$Q$50)</f>
        <v>15198.012153719999</v>
      </c>
      <c r="O25" s="91" ph="1">
        <f>O24*18.322*LOOKUP(O26,密度!$A$2:$A$50,密度!$C$2:$C$50)</f>
        <v>42011.778017999997</v>
      </c>
      <c r="P25" s="91" ph="1">
        <f>P24*11.702*LOOKUP(P26,密度!$A$2:$A$50,密度!$B$2:$B$50)</f>
        <v>22886.958832000004</v>
      </c>
      <c r="Q25" s="92" ph="1">
        <f>Q24*18.322*LOOKUP(Q26,密度!$A$2:$A$50,密度!$B$2:$B$50)</f>
        <v>11062.5011328</v>
      </c>
      <c r="R25" s="91" ph="1">
        <f>R24*35.891*LOOKUP(R26,密度!$A$2:$A$50,密度!$C$2:$C$50)</f>
        <v>80691.696691199992</v>
      </c>
      <c r="S25" s="91" ph="1">
        <f>S24*35.891*LOOKUP(S26,密度!$A$2:$A$50,密度!$B$2:$B$50)</f>
        <v>5203.9078719999998</v>
      </c>
      <c r="T25" s="91" ph="1">
        <f>T24*35.891*LOOKUP(T26,密度!$A$2:$A$50,密度!$Q$2:$Q$50)</f>
        <v>218941.53166719998</v>
      </c>
      <c r="U25" s="91" ph="1">
        <f>U24*35.891</f>
        <v>201994.54799999998</v>
      </c>
      <c r="V25" s="91" ph="1">
        <f>V24*47.051*LOOKUP(V26,密度!$A$2:$A$50,密度!$B$2:$B$50)</f>
        <v>217155.23311600002</v>
      </c>
      <c r="W25" s="91" ph="1">
        <f>W24*47.051*LOOKUP(W26,密度!$A$2:$A$50,密度!$B$2:$B$50)</f>
        <v>426821.07625599997</v>
      </c>
      <c r="X25" s="91" ph="1">
        <f>X24*47.051*LOOKUP(X26,密度!$A$2:$A$50,密度!$I$2:$I$50)</f>
        <v>521778.32792911993</v>
      </c>
      <c r="Y25" s="91" ph="1">
        <f>Y24*47.051*LOOKUP(Y26,密度!$A$2:$A$50,密度!$L$2:$L$50)</f>
        <v>136913.51669600001</v>
      </c>
      <c r="Z25" s="229"/>
      <c r="AA25" s="230"/>
      <c r="AB25" s="230"/>
      <c r="AC25" s="230"/>
      <c r="AD25" s="230"/>
      <c r="AE25" s="231"/>
      <c r="AH25" s="64" ph="1">
        <v>11</v>
      </c>
      <c r="AI25" s="64" t="s" ph="1">
        <v>392</v>
      </c>
      <c r="AZ25" s="64" t="s" ph="1">
        <v>260</v>
      </c>
      <c r="BA25" s="64" ph="1">
        <v>0</v>
      </c>
      <c r="BD25" s="64" t="s" ph="1">
        <v>285</v>
      </c>
      <c r="BE25" s="64" ph="1">
        <v>8920</v>
      </c>
    </row>
    <row r="26" spans="1:57" ph="1">
      <c r="A26" s="72" ph="1"/>
      <c r="B26" s="235" ph="1"/>
      <c r="C26" s="68" t="s" ph="1">
        <v>213</v>
      </c>
      <c r="D26" s="74">
        <v>25</v>
      </c>
      <c r="E26" s="74">
        <v>25</v>
      </c>
      <c r="F26" s="74">
        <v>17</v>
      </c>
      <c r="G26" s="74">
        <v>16</v>
      </c>
      <c r="H26" s="74">
        <v>16</v>
      </c>
      <c r="I26" s="74">
        <v>15</v>
      </c>
      <c r="J26" s="74">
        <v>15</v>
      </c>
      <c r="K26" s="74">
        <v>16</v>
      </c>
      <c r="L26" s="74">
        <v>15</v>
      </c>
      <c r="M26" s="74">
        <v>15</v>
      </c>
      <c r="N26" s="74">
        <v>15</v>
      </c>
      <c r="O26" s="74">
        <v>15</v>
      </c>
      <c r="P26" s="74">
        <v>15</v>
      </c>
      <c r="Q26" s="93">
        <v>16</v>
      </c>
      <c r="R26" s="74">
        <v>16</v>
      </c>
      <c r="S26" s="74">
        <v>15</v>
      </c>
      <c r="T26" s="74">
        <v>16</v>
      </c>
      <c r="U26" s="74">
        <v>16</v>
      </c>
      <c r="V26" s="74">
        <v>15</v>
      </c>
      <c r="W26" s="74">
        <v>15</v>
      </c>
      <c r="X26" s="74">
        <v>56</v>
      </c>
      <c r="Y26" s="74">
        <v>16</v>
      </c>
      <c r="Z26" s="229"/>
      <c r="AA26" s="230"/>
      <c r="AB26" s="230"/>
      <c r="AC26" s="230"/>
      <c r="AD26" s="230"/>
      <c r="AE26" s="231"/>
      <c r="AH26" s="64" ph="1">
        <v>12</v>
      </c>
      <c r="AI26" s="64" t="s" ph="1">
        <v>393</v>
      </c>
      <c r="AZ26" s="64" t="s" ph="1">
        <v>260</v>
      </c>
      <c r="BA26" s="64" ph="1">
        <v>0</v>
      </c>
    </row>
    <row r="27" spans="1:57" ph="1">
      <c r="A27" s="72" ph="1"/>
      <c r="B27" s="235" ph="1">
        <v>0.66666666666666663</v>
      </c>
      <c r="C27" s="146" t="s" ph="1">
        <v>214</v>
      </c>
      <c r="D27" s="71">
        <v>44.36</v>
      </c>
      <c r="E27" s="71">
        <v>97.62</v>
      </c>
      <c r="F27" s="71">
        <v>2153</v>
      </c>
      <c r="G27" s="71">
        <v>3250</v>
      </c>
      <c r="H27" s="71">
        <v>3189</v>
      </c>
      <c r="I27" s="71">
        <v>2536</v>
      </c>
      <c r="J27" s="71">
        <v>2449</v>
      </c>
      <c r="K27" s="71">
        <v>5575</v>
      </c>
      <c r="L27" s="71">
        <v>5247</v>
      </c>
      <c r="M27" s="71">
        <v>1383</v>
      </c>
      <c r="N27" s="71">
        <v>867</v>
      </c>
      <c r="O27" s="71">
        <v>2053</v>
      </c>
      <c r="P27" s="71">
        <v>2484</v>
      </c>
      <c r="Q27" s="90">
        <v>1051</v>
      </c>
      <c r="R27" s="71">
        <v>2015</v>
      </c>
      <c r="S27" s="71">
        <v>181</v>
      </c>
      <c r="T27" s="71">
        <v>6397</v>
      </c>
      <c r="U27" s="71">
        <v>5665</v>
      </c>
      <c r="V27" s="71">
        <v>5858</v>
      </c>
      <c r="W27" s="71">
        <v>11517</v>
      </c>
      <c r="X27" s="71">
        <v>10706</v>
      </c>
      <c r="Y27" s="71">
        <v>3764</v>
      </c>
      <c r="Z27" s="229"/>
      <c r="AA27" s="230"/>
      <c r="AB27" s="230"/>
      <c r="AC27" s="230"/>
      <c r="AD27" s="230"/>
      <c r="AE27" s="231"/>
      <c r="AH27" s="64" ph="1">
        <v>13</v>
      </c>
      <c r="AI27" s="64" t="s" ph="1">
        <v>394</v>
      </c>
      <c r="AZ27" s="64" t="s" ph="1">
        <v>260</v>
      </c>
      <c r="BA27" s="64" ph="1">
        <v>0</v>
      </c>
      <c r="BD27" s="64" t="s" ph="1">
        <v>339</v>
      </c>
      <c r="BE27" s="64" ph="1">
        <v>7100</v>
      </c>
    </row>
    <row r="28" spans="1:57" ph="1">
      <c r="A28" s="72" ph="1"/>
      <c r="B28" s="235" ph="1"/>
      <c r="C28" s="146" t="s" ph="1">
        <v>212</v>
      </c>
      <c r="D28" s="91" ph="1">
        <f>D27*268.68*LOOKUP(D29,密度!$A$2:$A$50,密度!$Q$2:$Q$50)+IF(D27&lt;=0,0,1566*LOOKUP(D29,密度!$A$2:$A$50,密度!$Q$2:$Q$50))</f>
        <v>12766.452617952</v>
      </c>
      <c r="E28" s="91" ph="1">
        <f>E27*268.68*LOOKUP(E29,密度!$A$2:$A$50,密度!$C$2:$C$50)+IF(E27&lt;=0,0,1566*LOOKUP(E29,密度!$A$2:$A$50,密度!$C$2:$C$50))</f>
        <v>30821.367180240002</v>
      </c>
      <c r="F28" s="91" ph="1">
        <f>F27*11.702*LOOKUP(F29,密度!$A$2:$A$50,密度!$Q$2:$Q$50)</f>
        <v>23985.32645606</v>
      </c>
      <c r="G28" s="91" ph="1">
        <f>G27*18.322*LOOKUP(G29,密度!$A$2:$A$50,密度!$B$2:$B$50)</f>
        <v>46827.367599999998</v>
      </c>
      <c r="H28" s="91" ph="1">
        <f>H27*18.322*LOOKUP(H29,密度!$A$2:$A$50,密度!$B$2:$B$50)</f>
        <v>45948.453931199998</v>
      </c>
      <c r="I28" s="91" ph="1">
        <f>I27*18.322*LOOKUP(I29,密度!$A$2:$A$50,密度!$Q$2:$Q$50)</f>
        <v>44308.634931199995</v>
      </c>
      <c r="J28" s="91" ph="1">
        <f>J27*18.322*LOOKUP(J29,密度!$A$2:$A$50,密度!$Q$2:$Q$50)</f>
        <v>42788.5831808</v>
      </c>
      <c r="K28" s="91" ph="1">
        <f>K27*18.322*LOOKUP(K29,密度!$A$2:$A$50,密度!$Q$2:$Q$50)</f>
        <v>97323.898919999992</v>
      </c>
      <c r="L28" s="91" ph="1">
        <f>L27*18.322*LOOKUP(L29,密度!$A$2:$A$50,密度!$Q$2:$Q$50)</f>
        <v>91674.845222400007</v>
      </c>
      <c r="M28" s="91" ph="1">
        <f>M27*18.322*LOOKUP(M29,密度!$A$2:$A$50,密度!$Q$2:$Q$50)</f>
        <v>24163.581273599997</v>
      </c>
      <c r="N28" s="91" ph="1">
        <f>N27*18.322*LOOKUP(N29,密度!$A$2:$A$50,密度!$Q$2:$Q$50)</f>
        <v>15148.101926399999</v>
      </c>
      <c r="O28" s="91" ph="1">
        <f>O27*18.322*LOOKUP(O29,密度!$A$2:$A$50,密度!$C$2:$C$50)</f>
        <v>41948.321603199998</v>
      </c>
      <c r="P28" s="91" ph="1">
        <f>P27*11.702*LOOKUP(P29,密度!$A$2:$A$50,密度!$B$2:$B$50)</f>
        <v>22882.146969599999</v>
      </c>
      <c r="Q28" s="92" ph="1">
        <f>Q27*18.322*LOOKUP(Q29,密度!$A$2:$A$50,密度!$B$2:$B$50)</f>
        <v>15143.2502608</v>
      </c>
      <c r="R28" s="91" ph="1">
        <f>R27*35.891*LOOKUP(R29,密度!$A$2:$A$50,密度!$C$2:$C$50)</f>
        <v>80601.046792499998</v>
      </c>
      <c r="S28" s="91" ph="1">
        <f>S27*35.891*LOOKUP(S29,密度!$A$2:$A$50,密度!$B$2:$B$50)</f>
        <v>5113.8645311999999</v>
      </c>
      <c r="T28" s="91" ph="1">
        <f>T27*35.891*LOOKUP(T29,密度!$A$2:$A$50,密度!$Q$2:$Q$50)</f>
        <v>218757.85588559997</v>
      </c>
      <c r="U28" s="91" ph="1">
        <f>U27*35.891</f>
        <v>203322.51499999998</v>
      </c>
      <c r="V28" s="91" ph="1">
        <f>V27*47.051*LOOKUP(V29,密度!$A$2:$A$50,密度!$B$2:$B$50)</f>
        <v>216971.80949760001</v>
      </c>
      <c r="W28" s="91" ph="1">
        <f>W27*47.051*LOOKUP(W29,密度!$A$2:$A$50,密度!$B$2:$B$50)</f>
        <v>426572.9481024</v>
      </c>
      <c r="X28" s="91" ph="1">
        <f>X27*47.051*LOOKUP(X29,密度!$A$2:$A$50,密度!$I$2:$I$50)</f>
        <v>521680.87213383993</v>
      </c>
      <c r="Y28" s="91" ph="1">
        <f>Y27*47.051*LOOKUP(Y29,密度!$A$2:$A$50,密度!$L$2:$L$50)</f>
        <v>167359.46598000001</v>
      </c>
      <c r="Z28" s="229"/>
      <c r="AA28" s="230"/>
      <c r="AB28" s="230"/>
      <c r="AC28" s="230"/>
      <c r="AD28" s="230"/>
      <c r="AE28" s="231"/>
      <c r="AH28" s="64" ph="1">
        <v>14</v>
      </c>
      <c r="AI28" s="64" t="s" ph="1">
        <v>395</v>
      </c>
      <c r="AZ28" s="64" t="s" ph="1">
        <v>260</v>
      </c>
      <c r="BA28" s="64" ph="1">
        <v>0</v>
      </c>
    </row>
    <row r="29" spans="1:57" ph="1">
      <c r="A29" s="72" ph="1"/>
      <c r="B29" s="235" ph="1"/>
      <c r="C29" s="146" t="s" ph="1">
        <v>213</v>
      </c>
      <c r="D29" s="74">
        <v>25</v>
      </c>
      <c r="E29" s="74">
        <v>25</v>
      </c>
      <c r="F29" s="74">
        <v>18</v>
      </c>
      <c r="G29" s="74">
        <v>17</v>
      </c>
      <c r="H29" s="74">
        <v>17</v>
      </c>
      <c r="I29" s="74">
        <v>16</v>
      </c>
      <c r="J29" s="74">
        <v>16</v>
      </c>
      <c r="K29" s="74">
        <v>17</v>
      </c>
      <c r="L29" s="74">
        <v>16</v>
      </c>
      <c r="M29" s="74">
        <v>16</v>
      </c>
      <c r="N29" s="74">
        <v>16</v>
      </c>
      <c r="O29" s="74">
        <v>16</v>
      </c>
      <c r="P29" s="74">
        <v>16</v>
      </c>
      <c r="Q29" s="93">
        <v>17</v>
      </c>
      <c r="R29" s="74">
        <v>17</v>
      </c>
      <c r="S29" s="74">
        <v>16</v>
      </c>
      <c r="T29" s="74">
        <v>17</v>
      </c>
      <c r="U29" s="74">
        <v>17</v>
      </c>
      <c r="V29" s="74">
        <v>16</v>
      </c>
      <c r="W29" s="74">
        <v>16</v>
      </c>
      <c r="X29" s="74">
        <v>56</v>
      </c>
      <c r="Y29" s="74">
        <v>17</v>
      </c>
      <c r="Z29" s="232"/>
      <c r="AA29" s="233"/>
      <c r="AB29" s="233"/>
      <c r="AC29" s="233"/>
      <c r="AD29" s="233"/>
      <c r="AE29" s="234"/>
      <c r="AH29" s="64" ph="1">
        <v>15</v>
      </c>
      <c r="AI29" s="64" t="s" ph="1">
        <v>396</v>
      </c>
      <c r="AZ29" s="64" t="s" ph="1">
        <v>260</v>
      </c>
      <c r="BA29" s="64" ph="1">
        <v>0</v>
      </c>
      <c r="BD29" s="64" t="s" ph="1">
        <v>397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398</v>
      </c>
      <c r="AZ30" s="64" t="s" ph="1">
        <v>260</v>
      </c>
      <c r="BA30" s="64" ph="1">
        <v>0</v>
      </c>
    </row>
    <row r="31" spans="1:57" ht="28.5" ph="1">
      <c r="A31" s="64"/>
      <c r="B31" s="218" t="s" ph="1">
        <v>35</v>
      </c>
      <c r="C31" s="219" ph="1"/>
      <c r="D31" s="222" t="s" ph="1">
        <v>9</v>
      </c>
      <c r="E31" s="197" ph="1"/>
      <c r="F31" s="198" ph="1"/>
      <c r="G31" s="222" t="s" ph="1">
        <v>18</v>
      </c>
      <c r="H31" s="197" ph="1"/>
      <c r="I31" s="198" ph="1"/>
      <c r="J31" s="196" t="s" ph="1">
        <v>1</v>
      </c>
      <c r="K31" s="197" ph="1"/>
      <c r="L31" s="198" ph="1"/>
      <c r="M31" s="196" t="s" ph="1">
        <v>7</v>
      </c>
      <c r="N31" s="197" ph="1"/>
      <c r="O31" s="198" ph="1"/>
      <c r="P31" s="196" t="s" ph="1">
        <v>42</v>
      </c>
      <c r="Q31" s="197"/>
      <c r="R31" s="198"/>
      <c r="S31" s="196" t="s" ph="1">
        <v>2</v>
      </c>
      <c r="T31" s="197"/>
      <c r="U31" s="198"/>
      <c r="V31" s="196" t="s" ph="1">
        <v>81</v>
      </c>
      <c r="W31" s="197" ph="1"/>
      <c r="X31" s="198" ph="1"/>
      <c r="Y31" s="196" t="s" ph="1">
        <v>3</v>
      </c>
      <c r="Z31" s="197" ph="1"/>
      <c r="AA31" s="198" ph="1"/>
      <c r="AB31" s="199" t="s">
        <v>43</v>
      </c>
      <c r="AC31" s="200"/>
      <c r="AD31" s="200"/>
      <c r="AE31" s="201"/>
      <c r="AH31" s="64" ph="1">
        <v>17</v>
      </c>
      <c r="AI31" s="64" t="s" ph="1">
        <v>399</v>
      </c>
      <c r="AZ31" s="64" t="s" ph="1">
        <v>260</v>
      </c>
      <c r="BA31" s="64" ph="1">
        <v>0</v>
      </c>
      <c r="BD31" s="64" t="s" ph="1">
        <v>400</v>
      </c>
      <c r="BE31" s="64" ph="1">
        <v>9310</v>
      </c>
    </row>
    <row r="32" spans="1:57" ph="1">
      <c r="A32" s="64"/>
      <c r="B32" s="220" ph="1"/>
      <c r="C32" s="221" ph="1"/>
      <c r="D32" s="96" t="s" ph="1">
        <v>4</v>
      </c>
      <c r="E32" s="146" t="s" ph="1">
        <v>5</v>
      </c>
      <c r="F32" s="147" t="s" ph="1">
        <v>44</v>
      </c>
      <c r="G32" s="97" t="s" ph="1">
        <v>4</v>
      </c>
      <c r="H32" s="146" t="s" ph="1">
        <v>5</v>
      </c>
      <c r="I32" s="147" t="s" ph="1">
        <v>44</v>
      </c>
      <c r="J32" s="97" t="s" ph="1">
        <v>4</v>
      </c>
      <c r="K32" s="146" t="s" ph="1">
        <v>5</v>
      </c>
      <c r="L32" s="147" t="s" ph="1">
        <v>44</v>
      </c>
      <c r="M32" s="97" t="s" ph="1">
        <v>4</v>
      </c>
      <c r="N32" s="146" t="s" ph="1">
        <v>5</v>
      </c>
      <c r="O32" s="147" t="s" ph="1">
        <v>44</v>
      </c>
      <c r="P32" s="97" t="s" ph="1">
        <v>4</v>
      </c>
      <c r="Q32" s="98" t="s" ph="1">
        <v>5</v>
      </c>
      <c r="R32" s="99" t="s" ph="1">
        <v>44</v>
      </c>
      <c r="S32" s="97" t="s" ph="1">
        <v>4</v>
      </c>
      <c r="T32" s="146" t="s" ph="1">
        <v>5</v>
      </c>
      <c r="U32" s="99" t="s" ph="1">
        <v>44</v>
      </c>
      <c r="V32" s="97" t="s" ph="1">
        <v>4</v>
      </c>
      <c r="W32" s="146" t="s" ph="1">
        <v>5</v>
      </c>
      <c r="X32" s="99" t="s" ph="1">
        <v>44</v>
      </c>
      <c r="Y32" s="100" t="s" ph="1">
        <v>4</v>
      </c>
      <c r="Z32" s="146" t="s" ph="1">
        <v>5</v>
      </c>
      <c r="AA32" s="147" t="s" ph="1">
        <v>44</v>
      </c>
      <c r="AB32" s="97" t="s" ph="1">
        <v>102</v>
      </c>
      <c r="AC32" s="146" t="s" ph="1">
        <v>101</v>
      </c>
      <c r="AD32" s="202" t="s" ph="1">
        <v>100</v>
      </c>
      <c r="AE32" s="203"/>
      <c r="AH32" s="64" ph="1">
        <v>18</v>
      </c>
      <c r="AI32" s="64" t="s" ph="1">
        <v>401</v>
      </c>
      <c r="AZ32" s="64" t="s" ph="1">
        <v>260</v>
      </c>
      <c r="BA32" s="64" ph="1">
        <v>0</v>
      </c>
    </row>
    <row r="33" spans="1:57" ph="1">
      <c r="A33" s="64"/>
      <c r="B33" s="204" t="s" ph="1">
        <v>215</v>
      </c>
      <c r="C33" s="205" ph="1"/>
      <c r="D33" s="184" ph="1">
        <f>AA10+AB10+Z19</f>
        <v>62387.124256799994</v>
      </c>
      <c r="E33" s="184" ph="1">
        <f>M10+I10</f>
        <v>207186.41844509999</v>
      </c>
      <c r="F33" s="208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表格_取樣回收每月庫存表_0620更新1522252632456786910111213141516171819202123456789101112131415161718192022232424356789101112131415161718192021222345678910111213141516171819202345678910111213149101516171819222123234567891012131415161711181920212224252345[[#This Row],[F25]]</f>
        <v>3880</v>
      </c>
      <c r="G33" s="210" ph="1">
        <v>0</v>
      </c>
      <c r="H33" s="184" ph="1">
        <f>N19</f>
        <v>34973.085523640002</v>
      </c>
      <c r="I33" s="188" ph="1">
        <v>0</v>
      </c>
      <c r="J33" s="192" ph="1">
        <f>F10+O28</f>
        <v>281224.79574820003</v>
      </c>
      <c r="K33" s="184" ph="1">
        <f>O10+K10+E28+R28</f>
        <v>146999.07440873998</v>
      </c>
      <c r="L33" s="194" ph="1">
        <f>BE27</f>
        <v>7100</v>
      </c>
      <c r="M33" s="192" ph="1">
        <f>G10+H10+W28+S28</f>
        <v>933305.11840459995</v>
      </c>
      <c r="N33" s="184" ph="1">
        <f>L10+P10++G28+H28+V28</f>
        <v>341113.71991280001</v>
      </c>
      <c r="O33" s="188" ph="1">
        <f>BE17</f>
        <v>2270</v>
      </c>
      <c r="P33" s="192" ph="1">
        <f>L19</f>
        <v>38910.11706792</v>
      </c>
      <c r="Q33" s="184" ph="1">
        <f>J10+N10</f>
        <v>195411.03414420001</v>
      </c>
      <c r="R33" s="188" ph="1">
        <f>BE23</f>
        <v>890</v>
      </c>
      <c r="S33" s="192" ph="1">
        <f>E10+X28</f>
        <v>521680.87213383993</v>
      </c>
      <c r="T33" s="184" ph="1">
        <f>X19</f>
        <v>15809.563393319997</v>
      </c>
      <c r="U33" s="173" ph="1">
        <f>BE21</f>
        <v>730</v>
      </c>
      <c r="V33" s="186" ph="1">
        <f ca="1">P19+Q19+S19+M28+N28+J28</f>
        <v>198299.903396952</v>
      </c>
      <c r="W33" s="186" ph="1">
        <f>D28+F28+V19+T28</f>
        <v>255509.63495961198</v>
      </c>
      <c r="X33" s="188" ph="1">
        <f>BE29+BE31</f>
        <v>10200</v>
      </c>
      <c r="Y33" s="190" ph="1">
        <f>+Q10+R10+S10+T10+U10+V10+W10+X10+Y10</f>
        <v>202977.28766699997</v>
      </c>
      <c r="Z33" s="171" ph="1">
        <f>D10+T19+U19+Y28+Z10</f>
        <v>479321.83857781999</v>
      </c>
      <c r="AA33" s="173" ph="1">
        <f>BE19</f>
        <v>1440</v>
      </c>
      <c r="AB33" s="175" ph="1">
        <f>I19</f>
        <v>111.94426560000001</v>
      </c>
      <c r="AC33" s="177" ph="1">
        <f>AD10</f>
        <v>42122.454287999994</v>
      </c>
      <c r="AD33" s="179" ph="1">
        <v>0</v>
      </c>
      <c r="AE33" s="180"/>
      <c r="AH33" s="64" ph="1">
        <v>19</v>
      </c>
      <c r="AI33" s="64" t="s" ph="1">
        <v>402</v>
      </c>
      <c r="AJ33" s="64" t="s" ph="1">
        <v>636</v>
      </c>
      <c r="AK33" s="64" t="s" ph="1">
        <v>633</v>
      </c>
      <c r="AL33" s="64" ph="1">
        <v>730</v>
      </c>
      <c r="AM33" s="64" t="s" ph="1">
        <v>383</v>
      </c>
      <c r="AZ33" s="64" t="s" ph="1">
        <v>260</v>
      </c>
      <c r="BA33" s="64" ph="1">
        <v>730</v>
      </c>
      <c r="BD33" s="64" t="s" ph="1">
        <v>334</v>
      </c>
      <c r="BE33" s="64" ph="1">
        <v>3880</v>
      </c>
    </row>
    <row r="34" spans="1:57" ph="1">
      <c r="A34" s="64"/>
      <c r="B34" s="206" ph="1"/>
      <c r="C34" s="207" ph="1"/>
      <c r="D34" s="185" ph="1"/>
      <c r="E34" s="185" ph="1"/>
      <c r="F34" s="209" ph="1"/>
      <c r="G34" s="211" ph="1"/>
      <c r="H34" s="185" ph="1"/>
      <c r="I34" s="189" ph="1"/>
      <c r="J34" s="193" ph="1"/>
      <c r="K34" s="185" ph="1"/>
      <c r="L34" s="195" ph="1"/>
      <c r="M34" s="193" ph="1"/>
      <c r="N34" s="185" ph="1"/>
      <c r="O34" s="189" ph="1"/>
      <c r="P34" s="193" ph="1"/>
      <c r="Q34" s="185" ph="1"/>
      <c r="R34" s="189" ph="1"/>
      <c r="S34" s="193" ph="1"/>
      <c r="T34" s="185"/>
      <c r="U34" s="174"/>
      <c r="V34" s="187" ph="1"/>
      <c r="W34" s="187" ph="1"/>
      <c r="X34" s="189" ph="1"/>
      <c r="Y34" s="191" ph="1"/>
      <c r="Z34" s="172" ph="1"/>
      <c r="AA34" s="174" ph="1"/>
      <c r="AB34" s="176"/>
      <c r="AC34" s="178"/>
      <c r="AD34" s="181"/>
      <c r="AE34" s="182"/>
      <c r="AH34" s="64" ph="1">
        <v>20</v>
      </c>
      <c r="AI34" s="64" t="s" ph="1">
        <v>403</v>
      </c>
      <c r="AJ34" s="64" t="s" ph="1">
        <v>637</v>
      </c>
      <c r="AK34" s="64" t="s" ph="1">
        <v>633</v>
      </c>
      <c r="AL34" s="64" ph="1">
        <v>720</v>
      </c>
      <c r="AM34" s="64" t="s" ph="1">
        <v>383</v>
      </c>
      <c r="AZ34" s="64" t="s" ph="1">
        <v>260</v>
      </c>
      <c r="BA34" s="64" ph="1">
        <v>720</v>
      </c>
    </row>
    <row r="35" spans="1:57" ph="1">
      <c r="A35" s="64"/>
      <c r="AC35" s="183" t="s" ph="1">
        <v>84</v>
      </c>
      <c r="AD35" s="183"/>
      <c r="AE35" s="183"/>
      <c r="AH35" s="64" ph="1">
        <v>21</v>
      </c>
      <c r="AI35" s="64" t="s" ph="1">
        <v>404</v>
      </c>
      <c r="AZ35" s="64" t="s" ph="1">
        <v>260</v>
      </c>
      <c r="BA35" s="64" ph="1">
        <v>0</v>
      </c>
      <c r="BD35" s="64" t="s" ph="1">
        <v>405</v>
      </c>
      <c r="BE35" s="64" ph="1">
        <v>2030</v>
      </c>
    </row>
    <row r="36" spans="1:57" ht="28.5" ph="1">
      <c r="A36" s="64"/>
      <c r="B36" s="103" t="s" ph="1">
        <v>216</v>
      </c>
      <c r="I36" s="169" t="s" ph="1">
        <v>217</v>
      </c>
      <c r="J36" s="169" ph="1"/>
      <c r="K36" s="101" ph="1"/>
      <c r="P36" s="101" ph="1"/>
      <c r="R36" s="169" t="s" ph="1">
        <v>218</v>
      </c>
      <c r="S36" s="169" ph="1"/>
      <c r="Y36" s="102" ph="1"/>
      <c r="Z36" s="148" t="s" ph="1">
        <v>219</v>
      </c>
      <c r="AA36" s="148" ph="1"/>
      <c r="AB36" s="170" t="s" ph="1">
        <v>655</v>
      </c>
      <c r="AC36" s="170" ph="1"/>
      <c r="AD36" s="170" ph="1"/>
      <c r="AE36" s="170" ph="1"/>
      <c r="BA36" s="64" ph="1">
        <v>2270</v>
      </c>
    </row>
    <row r="37" spans="1:57" s="148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8" t="s" ph="1">
        <v>386</v>
      </c>
      <c r="AI37" s="148" t="s" ph="1">
        <v>253</v>
      </c>
      <c r="AJ37" s="148" t="s" ph="1">
        <v>254</v>
      </c>
      <c r="AK37" s="148" t="s" ph="1">
        <v>255</v>
      </c>
      <c r="AM37" s="148" t="s" ph="1">
        <v>254</v>
      </c>
      <c r="AN37" s="148" t="s" ph="1">
        <v>255</v>
      </c>
      <c r="AO37" s="148" t="s" ph="1">
        <v>256</v>
      </c>
      <c r="AP37" s="148" t="s" ph="1">
        <v>254</v>
      </c>
      <c r="AQ37" s="148" t="s" ph="1">
        <v>255</v>
      </c>
      <c r="AR37" s="148" t="s" ph="1">
        <v>256</v>
      </c>
      <c r="AS37" s="148" t="s" ph="1">
        <v>254</v>
      </c>
      <c r="AT37" s="148" t="s" ph="1">
        <v>255</v>
      </c>
      <c r="AU37" s="148" t="s" ph="1">
        <v>256</v>
      </c>
      <c r="AV37" s="148" t="s" ph="1">
        <v>254</v>
      </c>
      <c r="AW37" s="148" t="s" ph="1">
        <v>255</v>
      </c>
      <c r="AX37" s="148" t="s" ph="1">
        <v>256</v>
      </c>
      <c r="AY37" s="148" t="s" ph="1">
        <v>255</v>
      </c>
      <c r="AZ37" s="148" t="s" ph="1">
        <v>257</v>
      </c>
      <c r="BD37" s="148" t="s" ph="1">
        <v>349</v>
      </c>
      <c r="BE37" s="148" ph="1">
        <v>0</v>
      </c>
    </row>
    <row r="38" spans="1:57" ph="1">
      <c r="AE38" s="64" ph="1"/>
      <c r="AH38" s="64" ph="1">
        <v>1</v>
      </c>
      <c r="AI38" s="64" t="s" ph="1">
        <v>406</v>
      </c>
      <c r="AY38" s="64" t="s" ph="1">
        <v>260</v>
      </c>
      <c r="AZ38" s="64" t="s" ph="1">
        <v>411</v>
      </c>
    </row>
    <row r="39" spans="1:57" ph="1">
      <c r="AH39" s="64" ph="1">
        <v>2</v>
      </c>
      <c r="AI39" s="64" t="s" ph="1">
        <v>408</v>
      </c>
      <c r="AJ39" s="64" t="s" ph="1">
        <v>380</v>
      </c>
      <c r="AK39" s="64" t="s" ph="1">
        <v>409</v>
      </c>
      <c r="AM39" s="64" t="s" ph="1">
        <v>614</v>
      </c>
      <c r="AN39" s="64" t="s" ph="1">
        <v>272</v>
      </c>
      <c r="AO39" s="64" t="s" ph="1">
        <v>407</v>
      </c>
      <c r="AY39" s="64" t="s" ph="1">
        <v>260</v>
      </c>
      <c r="AZ39" s="64" t="s" ph="1">
        <v>543</v>
      </c>
    </row>
    <row r="40" spans="1:57" ph="1">
      <c r="AH40" s="64" ph="1">
        <v>3</v>
      </c>
      <c r="AI40" s="64" t="s" ph="1">
        <v>410</v>
      </c>
      <c r="AJ40" s="64" t="s" ph="1">
        <v>614</v>
      </c>
      <c r="AK40" s="64" t="s" ph="1">
        <v>615</v>
      </c>
      <c r="AY40" s="64" t="s" ph="1">
        <v>260</v>
      </c>
      <c r="AZ40" s="64" t="s" ph="1">
        <v>615</v>
      </c>
    </row>
    <row r="41" spans="1:57" ph="1">
      <c r="AH41" s="64" ph="1">
        <v>4</v>
      </c>
      <c r="AI41" s="64" t="s" ph="1">
        <v>412</v>
      </c>
      <c r="AJ41" s="64" t="s" ph="1">
        <v>616</v>
      </c>
      <c r="AK41" s="64" t="s" ph="1">
        <v>617</v>
      </c>
      <c r="AM41" s="64" t="s" ph="1">
        <v>618</v>
      </c>
      <c r="AY41" s="64" t="s" ph="1">
        <v>260</v>
      </c>
      <c r="AZ41" s="64" t="s" ph="1">
        <v>617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413</v>
      </c>
      <c r="AY42" s="64" t="s" ph="1">
        <v>260</v>
      </c>
      <c r="AZ42" s="64" t="s" ph="1">
        <v>411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414</v>
      </c>
      <c r="AY43" s="64" t="s" ph="1">
        <v>260</v>
      </c>
      <c r="AZ43" s="64" t="s" ph="1">
        <v>411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415</v>
      </c>
      <c r="AV44" s="64" t="s" ph="1">
        <v>261</v>
      </c>
      <c r="AY44" s="64" t="s" ph="1">
        <v>260</v>
      </c>
      <c r="AZ44" s="64" t="s" ph="1">
        <v>411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416</v>
      </c>
      <c r="AV45" s="64" t="s" ph="1">
        <v>261</v>
      </c>
      <c r="AY45" s="64" t="s" ph="1">
        <v>260</v>
      </c>
      <c r="AZ45" s="64" t="s" ph="1">
        <v>411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417</v>
      </c>
      <c r="AV46" s="64" t="s" ph="1">
        <v>261</v>
      </c>
      <c r="AY46" s="64" t="s" ph="1">
        <v>260</v>
      </c>
      <c r="AZ46" s="64" t="s" ph="1">
        <v>411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418</v>
      </c>
      <c r="AV47" s="64" t="s" ph="1">
        <v>261</v>
      </c>
      <c r="AY47" s="64" t="s" ph="1">
        <v>260</v>
      </c>
      <c r="AZ47" s="64" t="s" ph="1">
        <v>411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619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276</v>
      </c>
      <c r="AI49" s="64" t="s" ph="1">
        <v>253</v>
      </c>
      <c r="AJ49" s="64" t="s" ph="1">
        <v>254</v>
      </c>
      <c r="AK49" s="64" t="s" ph="1">
        <v>255</v>
      </c>
      <c r="AM49" s="64" t="s" ph="1">
        <v>254</v>
      </c>
      <c r="AN49" s="64" t="s" ph="1">
        <v>255</v>
      </c>
      <c r="AO49" s="64" t="s" ph="1">
        <v>256</v>
      </c>
      <c r="AP49" s="64" t="s" ph="1">
        <v>254</v>
      </c>
      <c r="AQ49" s="64" t="s" ph="1">
        <v>255</v>
      </c>
      <c r="AR49" s="64" t="s" ph="1">
        <v>256</v>
      </c>
      <c r="AS49" s="64" t="s" ph="1">
        <v>254</v>
      </c>
      <c r="AT49" s="64" t="s" ph="1">
        <v>255</v>
      </c>
      <c r="AU49" s="64" t="s" ph="1">
        <v>256</v>
      </c>
      <c r="AV49" s="64" t="s" ph="1">
        <v>254</v>
      </c>
      <c r="AW49" s="64" t="s" ph="1">
        <v>255</v>
      </c>
      <c r="AX49" s="64" t="s" ph="1">
        <v>256</v>
      </c>
      <c r="AY49" s="64" t="s" ph="1">
        <v>255</v>
      </c>
      <c r="AZ49" s="64" t="s" ph="1">
        <v>257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419</v>
      </c>
      <c r="AY50" s="64" t="s" ph="1">
        <v>260</v>
      </c>
      <c r="AZ50" s="64" t="s" ph="1">
        <v>411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420</v>
      </c>
      <c r="AY51" s="64" t="s" ph="1">
        <v>260</v>
      </c>
      <c r="AZ51" s="64" t="s" ph="1">
        <v>411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421</v>
      </c>
      <c r="AJ52" s="64" t="s" ph="1">
        <v>378</v>
      </c>
      <c r="AK52" s="64" t="s" ph="1">
        <v>272</v>
      </c>
      <c r="AM52" s="64" t="s" ph="1">
        <v>380</v>
      </c>
      <c r="AN52" s="64" t="s" ph="1">
        <v>344</v>
      </c>
      <c r="AO52" s="64" t="s" ph="1">
        <v>277</v>
      </c>
      <c r="AP52" s="64" t="s" ph="1">
        <v>614</v>
      </c>
      <c r="AQ52" s="64" t="s" ph="1">
        <v>326</v>
      </c>
      <c r="AR52" s="64" t="s" ph="1">
        <v>277</v>
      </c>
      <c r="AY52" s="64" t="s" ph="1">
        <v>260</v>
      </c>
      <c r="AZ52" s="64" t="s" ph="1">
        <v>620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422</v>
      </c>
      <c r="AY53" s="64" t="s" ph="1">
        <v>260</v>
      </c>
      <c r="AZ53" s="64" t="s" ph="1">
        <v>411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423</v>
      </c>
      <c r="AJ54" s="64" t="s" ph="1">
        <v>378</v>
      </c>
      <c r="AK54" s="64" t="s" ph="1">
        <v>263</v>
      </c>
      <c r="AM54" s="64" t="s" ph="1">
        <v>380</v>
      </c>
      <c r="AN54" s="64" t="s" ph="1">
        <v>268</v>
      </c>
      <c r="AO54" s="64" t="s" ph="1">
        <v>277</v>
      </c>
      <c r="AP54" s="64" t="s" ph="1">
        <v>614</v>
      </c>
      <c r="AQ54" s="64" t="s" ph="1">
        <v>284</v>
      </c>
      <c r="AR54" s="64" t="s" ph="1">
        <v>277</v>
      </c>
      <c r="AY54" s="64" t="s" ph="1">
        <v>260</v>
      </c>
      <c r="AZ54" s="64" t="s" ph="1">
        <v>278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424</v>
      </c>
      <c r="AY55" s="64" t="s" ph="1">
        <v>260</v>
      </c>
      <c r="AZ55" s="64" t="s" ph="1">
        <v>411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425</v>
      </c>
      <c r="AY56" s="64" t="s" ph="1">
        <v>260</v>
      </c>
      <c r="AZ56" s="64" t="s" ph="1">
        <v>411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426</v>
      </c>
      <c r="AY57" s="64" t="s" ph="1">
        <v>260</v>
      </c>
      <c r="AZ57" s="64" t="s" ph="1">
        <v>411</v>
      </c>
    </row>
    <row r="58" spans="16:52" ph="1">
      <c r="P58" s="64"/>
      <c r="AN58" s="64" t="s" ph="1">
        <v>261</v>
      </c>
      <c r="AZ58" s="64" t="s" ph="1">
        <v>621</v>
      </c>
    </row>
    <row r="59" spans="16:52" ph="1">
      <c r="V59" s="64"/>
      <c r="AG59" s="64" t="s" ph="1">
        <v>279</v>
      </c>
      <c r="AI59" s="64" t="s" ph="1">
        <v>253</v>
      </c>
      <c r="AJ59" s="64" t="s" ph="1">
        <v>254</v>
      </c>
      <c r="AK59" s="64" t="s" ph="1">
        <v>255</v>
      </c>
      <c r="AM59" s="64" t="s" ph="1">
        <v>254</v>
      </c>
      <c r="AN59" s="64" t="s" ph="1">
        <v>255</v>
      </c>
      <c r="AO59" s="64" t="s" ph="1">
        <v>256</v>
      </c>
      <c r="AP59" s="64" t="s" ph="1">
        <v>254</v>
      </c>
      <c r="AQ59" s="64" t="s" ph="1">
        <v>255</v>
      </c>
      <c r="AR59" s="64" t="s" ph="1">
        <v>256</v>
      </c>
      <c r="AS59" s="64" t="s" ph="1">
        <v>254</v>
      </c>
      <c r="AT59" s="64" t="s" ph="1">
        <v>255</v>
      </c>
      <c r="AU59" s="64" t="s" ph="1">
        <v>256</v>
      </c>
      <c r="AV59" s="64" t="s" ph="1">
        <v>254</v>
      </c>
      <c r="AW59" s="64" t="s" ph="1">
        <v>255</v>
      </c>
      <c r="AX59" s="64" t="s" ph="1">
        <v>256</v>
      </c>
      <c r="AY59" s="64" t="s" ph="1">
        <v>255</v>
      </c>
      <c r="AZ59" s="64" t="s" ph="1">
        <v>257</v>
      </c>
    </row>
    <row r="60" spans="16:52" ph="1">
      <c r="R60" s="64"/>
      <c r="S60" s="64"/>
      <c r="T60" s="64"/>
      <c r="AH60" s="64" ph="1">
        <v>1</v>
      </c>
      <c r="AI60" s="64" t="s" ph="1">
        <v>427</v>
      </c>
      <c r="AY60" s="64" t="s" ph="1">
        <v>260</v>
      </c>
      <c r="AZ60" s="64" t="s" ph="1">
        <v>411</v>
      </c>
    </row>
    <row r="61" spans="16:52" ph="1">
      <c r="AH61" s="64" ph="1">
        <v>2</v>
      </c>
      <c r="AI61" s="64" t="s" ph="1">
        <v>428</v>
      </c>
      <c r="AS61" s="64" t="s" ph="1">
        <v>261</v>
      </c>
      <c r="AY61" s="64" t="s" ph="1">
        <v>260</v>
      </c>
      <c r="AZ61" s="64" t="s" ph="1">
        <v>411</v>
      </c>
    </row>
    <row r="62" spans="16:52" ph="1">
      <c r="AZ62" s="64" t="s" ph="1">
        <v>429</v>
      </c>
    </row>
    <row r="63" spans="16:52" ph="1">
      <c r="AG63" s="64" t="s" ph="1">
        <v>282</v>
      </c>
      <c r="AI63" s="64" t="s" ph="1">
        <v>253</v>
      </c>
      <c r="AJ63" s="64" t="s" ph="1">
        <v>254</v>
      </c>
      <c r="AK63" s="64" t="s" ph="1">
        <v>255</v>
      </c>
      <c r="AM63" s="64" t="s" ph="1">
        <v>254</v>
      </c>
      <c r="AN63" s="64" t="s" ph="1">
        <v>255</v>
      </c>
      <c r="AO63" s="64" t="s" ph="1">
        <v>256</v>
      </c>
      <c r="AP63" s="64" t="s" ph="1">
        <v>254</v>
      </c>
      <c r="AQ63" s="64" t="s" ph="1">
        <v>255</v>
      </c>
      <c r="AR63" s="64" t="s" ph="1">
        <v>256</v>
      </c>
      <c r="AS63" s="64" t="s" ph="1">
        <v>254</v>
      </c>
      <c r="AT63" s="64" t="s" ph="1">
        <v>255</v>
      </c>
      <c r="AU63" s="64" t="s" ph="1">
        <v>256</v>
      </c>
      <c r="AV63" s="64" t="s" ph="1">
        <v>254</v>
      </c>
      <c r="AW63" s="64" t="s" ph="1">
        <v>255</v>
      </c>
      <c r="AX63" s="64" t="s" ph="1">
        <v>256</v>
      </c>
      <c r="AY63" s="64" t="s" ph="1">
        <v>255</v>
      </c>
      <c r="AZ63" s="64" t="s" ph="1">
        <v>257</v>
      </c>
    </row>
    <row r="64" spans="16:52" ph="1">
      <c r="AH64" s="64" ph="1">
        <v>1</v>
      </c>
      <c r="AI64" s="64" t="s" ph="1">
        <v>430</v>
      </c>
      <c r="AJ64" s="64" t="s" ph="1">
        <v>431</v>
      </c>
      <c r="AK64" s="64" t="s" ph="1">
        <v>432</v>
      </c>
      <c r="AY64" s="64" t="s" ph="1">
        <v>260</v>
      </c>
      <c r="AZ64" s="64" t="s" ph="1">
        <v>432</v>
      </c>
    </row>
    <row r="65" spans="33:52" ph="1">
      <c r="AH65" s="64" ph="1">
        <v>2</v>
      </c>
      <c r="AI65" s="64" t="s" ph="1">
        <v>433</v>
      </c>
      <c r="AY65" s="64" t="s" ph="1">
        <v>260</v>
      </c>
      <c r="AZ65" s="64" t="s" ph="1">
        <v>411</v>
      </c>
    </row>
    <row r="66" spans="33:52" ph="1">
      <c r="AH66" s="64" ph="1">
        <v>3</v>
      </c>
      <c r="AI66" s="64" t="s" ph="1">
        <v>434</v>
      </c>
      <c r="AY66" s="64" t="s" ph="1">
        <v>260</v>
      </c>
      <c r="AZ66" s="64" t="s" ph="1">
        <v>411</v>
      </c>
    </row>
    <row r="67" spans="33:52" ph="1">
      <c r="AH67" s="64" ph="1">
        <v>4</v>
      </c>
      <c r="AI67" s="64" t="s" ph="1">
        <v>435</v>
      </c>
      <c r="AY67" s="64" t="s" ph="1">
        <v>260</v>
      </c>
      <c r="AZ67" s="64" t="s" ph="1">
        <v>411</v>
      </c>
    </row>
    <row r="68" spans="33:52" ph="1">
      <c r="AH68" s="64" ph="1">
        <v>5</v>
      </c>
      <c r="AI68" s="64" t="s" ph="1">
        <v>436</v>
      </c>
      <c r="AY68" s="64" t="s" ph="1">
        <v>260</v>
      </c>
      <c r="AZ68" s="64" t="s" ph="1">
        <v>411</v>
      </c>
    </row>
    <row r="69" spans="33:52" ph="1">
      <c r="AH69" s="64" ph="1">
        <v>6</v>
      </c>
      <c r="AI69" s="64" t="s" ph="1">
        <v>437</v>
      </c>
      <c r="AY69" s="64" t="s" ph="1">
        <v>260</v>
      </c>
      <c r="AZ69" s="64" t="s" ph="1">
        <v>411</v>
      </c>
    </row>
    <row r="70" spans="33:52" ph="1">
      <c r="AI70" s="64" t="s" ph="1">
        <v>438</v>
      </c>
      <c r="AY70" s="64" t="s" ph="1">
        <v>260</v>
      </c>
      <c r="AZ70" s="64" t="s" ph="1">
        <v>411</v>
      </c>
    </row>
    <row r="71" spans="33:52" ph="1">
      <c r="AH71" s="64" ph="1">
        <v>7</v>
      </c>
      <c r="AI71" s="64" t="s" ph="1">
        <v>439</v>
      </c>
      <c r="AJ71" s="64" t="s" ph="1">
        <v>378</v>
      </c>
      <c r="AK71" s="64" t="s" ph="1">
        <v>272</v>
      </c>
      <c r="AM71" s="64" t="s" ph="1">
        <v>380</v>
      </c>
      <c r="AN71" s="64" t="s" ph="1">
        <v>272</v>
      </c>
      <c r="AO71" s="64" t="s" ph="1">
        <v>440</v>
      </c>
      <c r="AP71" s="64" t="s" ph="1">
        <v>614</v>
      </c>
      <c r="AQ71" s="64" t="s" ph="1">
        <v>263</v>
      </c>
      <c r="AR71" s="64" t="s" ph="1">
        <v>440</v>
      </c>
      <c r="AY71" s="64" t="s" ph="1">
        <v>260</v>
      </c>
      <c r="AZ71" s="64" t="s" ph="1">
        <v>622</v>
      </c>
    </row>
    <row r="72" spans="33:52" ph="1">
      <c r="AZ72" s="64" t="s" ph="1">
        <v>623</v>
      </c>
    </row>
    <row r="73" spans="33:52" ph="1">
      <c r="AG73" s="64" t="s" ph="1">
        <v>285</v>
      </c>
      <c r="AI73" s="64" t="s" ph="1">
        <v>253</v>
      </c>
      <c r="AJ73" s="64" t="s" ph="1">
        <v>254</v>
      </c>
      <c r="AK73" s="64" t="s" ph="1">
        <v>255</v>
      </c>
      <c r="AM73" s="64" t="s" ph="1">
        <v>254</v>
      </c>
      <c r="AN73" s="64" t="s" ph="1">
        <v>255</v>
      </c>
      <c r="AO73" s="64" t="s" ph="1">
        <v>256</v>
      </c>
      <c r="AP73" s="64" t="s" ph="1">
        <v>254</v>
      </c>
      <c r="AQ73" s="64" t="s" ph="1">
        <v>255</v>
      </c>
      <c r="AR73" s="64" t="s" ph="1">
        <v>256</v>
      </c>
      <c r="AS73" s="64" t="s" ph="1">
        <v>254</v>
      </c>
      <c r="AT73" s="64" t="s" ph="1">
        <v>255</v>
      </c>
      <c r="AU73" s="64" t="s" ph="1">
        <v>256</v>
      </c>
      <c r="AV73" s="64" t="s" ph="1">
        <v>254</v>
      </c>
      <c r="AW73" s="64" t="s" ph="1">
        <v>255</v>
      </c>
      <c r="AX73" s="64" t="s" ph="1">
        <v>256</v>
      </c>
      <c r="AY73" s="64" t="s" ph="1">
        <v>255</v>
      </c>
      <c r="AZ73" s="64" t="s" ph="1">
        <v>257</v>
      </c>
    </row>
    <row r="74" spans="33:52" ph="1">
      <c r="AH74" s="64" ph="1">
        <v>1</v>
      </c>
      <c r="AI74" s="64" t="s" ph="1">
        <v>441</v>
      </c>
      <c r="AJ74" s="64" t="s" ph="1">
        <v>286</v>
      </c>
      <c r="AK74" s="64" t="s" ph="1">
        <v>268</v>
      </c>
      <c r="AM74" s="64" t="s" ph="1">
        <v>288</v>
      </c>
      <c r="AN74" s="64" t="s" ph="1">
        <v>298</v>
      </c>
      <c r="AO74" s="64" t="s" ph="1">
        <v>287</v>
      </c>
      <c r="AP74" s="64" t="s" ph="1">
        <v>289</v>
      </c>
      <c r="AQ74" s="64" t="s" ph="1">
        <v>266</v>
      </c>
      <c r="AR74" s="64" t="s" ph="1">
        <v>287</v>
      </c>
      <c r="AS74" s="64" t="s" ph="1">
        <v>259</v>
      </c>
      <c r="AT74" s="64" t="s" ph="1">
        <v>261</v>
      </c>
      <c r="AV74" s="64" t="s" ph="1">
        <v>442</v>
      </c>
      <c r="AW74" s="64" t="s" ph="1">
        <v>443</v>
      </c>
      <c r="AX74" s="64" t="s" ph="1">
        <v>444</v>
      </c>
      <c r="AY74" s="64" t="s" ph="1">
        <v>260</v>
      </c>
      <c r="AZ74" s="64" t="s" ph="1">
        <v>445</v>
      </c>
    </row>
    <row r="75" spans="33:52" ph="1">
      <c r="AJ75" s="64" t="s" ph="1">
        <v>291</v>
      </c>
      <c r="AK75" s="64" t="s" ph="1">
        <v>344</v>
      </c>
      <c r="AM75" s="64" t="s" ph="1">
        <v>289</v>
      </c>
      <c r="AN75" s="64" t="s" ph="1">
        <v>269</v>
      </c>
      <c r="AO75" s="64" t="s" ph="1">
        <v>287</v>
      </c>
      <c r="AS75" s="64" t="s" ph="1">
        <v>259</v>
      </c>
      <c r="AT75" s="64" t="s" ph="1">
        <v>290</v>
      </c>
    </row>
    <row r="76" spans="33:52" ph="1">
      <c r="AJ76" s="64" t="s" ph="1">
        <v>291</v>
      </c>
      <c r="AK76" s="64" t="s" ph="1">
        <v>284</v>
      </c>
      <c r="AM76" s="64" t="s" ph="1">
        <v>289</v>
      </c>
      <c r="AN76" s="64" t="s" ph="1">
        <v>272</v>
      </c>
      <c r="AO76" s="64" t="s" ph="1">
        <v>287</v>
      </c>
      <c r="AS76" s="64" t="s" ph="1">
        <v>259</v>
      </c>
      <c r="AT76" s="64" t="s" ph="1">
        <v>290</v>
      </c>
    </row>
    <row r="77" spans="33:52" ph="1">
      <c r="AJ77" s="64" t="s" ph="1">
        <v>327</v>
      </c>
      <c r="AK77" s="64" t="s" ph="1">
        <v>284</v>
      </c>
      <c r="AM77" s="64" t="s" ph="1">
        <v>328</v>
      </c>
      <c r="AN77" s="64" t="s" ph="1">
        <v>267</v>
      </c>
      <c r="AO77" s="64" t="s" ph="1">
        <v>287</v>
      </c>
      <c r="AS77" s="64" t="s" ph="1">
        <v>259</v>
      </c>
      <c r="AT77" s="64" t="s" ph="1">
        <v>329</v>
      </c>
    </row>
    <row r="78" spans="33:52" ph="1">
      <c r="AH78" s="64" ph="1">
        <v>2</v>
      </c>
      <c r="AI78" s="64" t="s" ph="1">
        <v>293</v>
      </c>
      <c r="AJ78" s="64" t="s" ph="1">
        <v>294</v>
      </c>
      <c r="AK78" s="64" t="s" ph="1">
        <v>263</v>
      </c>
      <c r="AM78" s="64" t="s" ph="1">
        <v>295</v>
      </c>
      <c r="AN78" s="64" t="s" ph="1">
        <v>298</v>
      </c>
      <c r="AO78" s="64" t="s" ph="1">
        <v>287</v>
      </c>
      <c r="AP78" s="64" t="s" ph="1">
        <v>296</v>
      </c>
      <c r="AQ78" s="64" t="s" ph="1">
        <v>342</v>
      </c>
      <c r="AR78" s="64" t="s" ph="1">
        <v>287</v>
      </c>
      <c r="AS78" s="64" t="s" ph="1">
        <v>297</v>
      </c>
      <c r="AT78" s="64" t="s" ph="1">
        <v>298</v>
      </c>
      <c r="AU78" s="64" t="s" ph="1">
        <v>287</v>
      </c>
      <c r="AV78" s="64" t="s" ph="1">
        <v>299</v>
      </c>
      <c r="AW78" s="64" t="s" ph="1">
        <v>287</v>
      </c>
      <c r="AY78" s="64" t="s" ph="1">
        <v>260</v>
      </c>
      <c r="AZ78" s="64" t="s" ph="1">
        <v>446</v>
      </c>
    </row>
    <row r="79" spans="33:52" ph="1">
      <c r="AJ79" s="64" t="s" ph="1">
        <v>289</v>
      </c>
      <c r="AK79" s="64" t="s" ph="1">
        <v>300</v>
      </c>
      <c r="AM79" s="64" t="s" ph="1">
        <v>301</v>
      </c>
      <c r="AN79" s="64" t="s" ph="1">
        <v>269</v>
      </c>
      <c r="AO79" s="64" t="s" ph="1">
        <v>287</v>
      </c>
      <c r="AP79" s="64" t="s" ph="1">
        <v>302</v>
      </c>
      <c r="AQ79" s="64" t="s" ph="1">
        <v>267</v>
      </c>
      <c r="AR79" s="64" t="s" ph="1">
        <v>303</v>
      </c>
      <c r="AS79" s="64" t="s" ph="1">
        <v>259</v>
      </c>
      <c r="AT79" s="64" t="s" ph="1">
        <v>304</v>
      </c>
      <c r="AV79" s="64" t="s" ph="1">
        <v>447</v>
      </c>
      <c r="AW79" s="64" t="s" ph="1">
        <v>346</v>
      </c>
      <c r="AX79" s="64" t="s" ph="1">
        <v>444</v>
      </c>
    </row>
    <row r="80" spans="33:52" ph="1">
      <c r="AH80" s="64" ph="1">
        <v>3</v>
      </c>
      <c r="AI80" s="64" t="s" ph="1">
        <v>305</v>
      </c>
      <c r="AJ80" s="64" t="s" ph="1">
        <v>306</v>
      </c>
      <c r="AK80" s="64" t="s" ph="1">
        <v>307</v>
      </c>
      <c r="AM80" s="64" t="s" ph="1">
        <v>308</v>
      </c>
      <c r="AN80" s="64" t="s" ph="1">
        <v>298</v>
      </c>
      <c r="AO80" s="64" t="s" ph="1">
        <v>287</v>
      </c>
      <c r="AP80" s="64" t="s" ph="1">
        <v>309</v>
      </c>
      <c r="AQ80" s="64" t="s" ph="1">
        <v>272</v>
      </c>
      <c r="AR80" s="64" t="s" ph="1">
        <v>287</v>
      </c>
      <c r="AS80" s="64" t="s" ph="1">
        <v>310</v>
      </c>
      <c r="AT80" s="64" t="s" ph="1">
        <v>271</v>
      </c>
      <c r="AU80" s="64" t="s" ph="1">
        <v>287</v>
      </c>
      <c r="AV80" s="64" t="s" ph="1">
        <v>311</v>
      </c>
      <c r="AW80" s="64" t="s" ph="1">
        <v>287</v>
      </c>
      <c r="AY80" s="64" t="s" ph="1">
        <v>260</v>
      </c>
      <c r="AZ80" s="64" t="s" ph="1">
        <v>448</v>
      </c>
    </row>
    <row r="81" spans="34:52" ph="1">
      <c r="AJ81" s="64" t="s" ph="1">
        <v>312</v>
      </c>
      <c r="AK81" s="64" t="s" ph="1">
        <v>266</v>
      </c>
      <c r="AM81" s="64" t="s" ph="1">
        <v>313</v>
      </c>
      <c r="AN81" s="64" t="s" ph="1">
        <v>269</v>
      </c>
      <c r="AO81" s="64" t="s" ph="1">
        <v>287</v>
      </c>
      <c r="AP81" s="64" t="s" ph="1">
        <v>314</v>
      </c>
      <c r="AQ81" s="64" t="s" ph="1">
        <v>298</v>
      </c>
      <c r="AR81" s="64" t="s" ph="1">
        <v>287</v>
      </c>
      <c r="AS81" s="64" t="s" ph="1">
        <v>315</v>
      </c>
      <c r="AT81" s="64" t="s" ph="1">
        <v>316</v>
      </c>
      <c r="AU81" s="64" t="s" ph="1">
        <v>287</v>
      </c>
      <c r="AV81" s="64" t="s" ph="1">
        <v>317</v>
      </c>
    </row>
    <row r="82" spans="34:52" ph="1">
      <c r="AJ82" s="64" t="s" ph="1">
        <v>318</v>
      </c>
      <c r="AK82" s="64" t="s" ph="1">
        <v>266</v>
      </c>
      <c r="AM82" s="64" t="s" ph="1">
        <v>319</v>
      </c>
      <c r="AN82" s="64" t="s" ph="1">
        <v>316</v>
      </c>
      <c r="AO82" s="64" t="s" ph="1">
        <v>320</v>
      </c>
      <c r="AP82" s="64" t="s" ph="1">
        <v>321</v>
      </c>
      <c r="AQ82" s="64" t="s" ph="1">
        <v>298</v>
      </c>
      <c r="AR82" s="64" t="s" ph="1">
        <v>287</v>
      </c>
      <c r="AS82" s="64" t="s" ph="1">
        <v>322</v>
      </c>
      <c r="AT82" s="64" t="s" ph="1">
        <v>273</v>
      </c>
      <c r="AU82" s="64" t="s" ph="1">
        <v>287</v>
      </c>
      <c r="AV82" s="64" t="s" ph="1">
        <v>447</v>
      </c>
      <c r="AW82" s="64" t="s" ph="1">
        <v>347</v>
      </c>
      <c r="AX82" s="64" t="s" ph="1">
        <v>444</v>
      </c>
    </row>
    <row r="83" spans="34:52" ph="1">
      <c r="AJ83" s="64" t="s" ph="1">
        <v>323</v>
      </c>
      <c r="AK83" s="64" t="s" ph="1">
        <v>340</v>
      </c>
      <c r="AM83" s="64" t="s" ph="1">
        <v>324</v>
      </c>
      <c r="AN83" s="64" t="s" ph="1">
        <v>272</v>
      </c>
      <c r="AO83" s="64" t="s" ph="1">
        <v>303</v>
      </c>
      <c r="AP83" s="64" t="s" ph="1">
        <v>325</v>
      </c>
      <c r="AQ83" s="64" t="s" ph="1">
        <v>326</v>
      </c>
      <c r="AR83" s="64" t="s" ph="1">
        <v>303</v>
      </c>
      <c r="AS83" s="64" t="s" ph="1">
        <v>449</v>
      </c>
      <c r="AT83" s="64" t="s" ph="1">
        <v>298</v>
      </c>
      <c r="AU83" s="64" t="s" ph="1">
        <v>303</v>
      </c>
      <c r="AV83" s="64" t="s" ph="1">
        <v>450</v>
      </c>
      <c r="AW83" s="64" t="s" ph="1">
        <v>347</v>
      </c>
      <c r="AX83" s="64" t="s" ph="1">
        <v>451</v>
      </c>
    </row>
    <row r="84" spans="34:52" ph="1">
      <c r="AH84" s="64" ph="1">
        <v>4</v>
      </c>
      <c r="AI84" s="64" t="s" ph="1">
        <v>330</v>
      </c>
      <c r="AJ84" s="64" t="s" ph="1">
        <v>270</v>
      </c>
      <c r="AK84" s="64" t="s" ph="1">
        <v>273</v>
      </c>
      <c r="AM84" s="64" t="s" ph="1">
        <v>274</v>
      </c>
      <c r="AN84" s="64" t="s" ph="1">
        <v>267</v>
      </c>
      <c r="AO84" s="64" t="s" ph="1">
        <v>303</v>
      </c>
      <c r="AP84" s="64" t="s" ph="1">
        <v>332</v>
      </c>
      <c r="AQ84" s="64" t="s" ph="1">
        <v>266</v>
      </c>
      <c r="AR84" s="64" t="s" ph="1">
        <v>303</v>
      </c>
      <c r="AS84" s="64" t="s" ph="1">
        <v>332</v>
      </c>
      <c r="AT84" s="64" t="s" ph="1">
        <v>268</v>
      </c>
      <c r="AU84" s="64" t="s" ph="1">
        <v>303</v>
      </c>
      <c r="AY84" s="64" t="s" ph="1">
        <v>260</v>
      </c>
      <c r="AZ84" s="64" t="s" ph="1">
        <v>452</v>
      </c>
    </row>
    <row r="85" spans="34:52" ph="1">
      <c r="AJ85" s="64" t="s" ph="1">
        <v>262</v>
      </c>
      <c r="AK85" s="64" t="s" ph="1">
        <v>266</v>
      </c>
      <c r="AM85" s="64" t="s" ph="1">
        <v>453</v>
      </c>
      <c r="AN85" s="64" t="s" ph="1">
        <v>273</v>
      </c>
      <c r="AO85" s="64" t="s" ph="1">
        <v>303</v>
      </c>
      <c r="AP85" s="64" t="s" ph="1">
        <v>454</v>
      </c>
      <c r="AQ85" s="64" t="s" ph="1">
        <v>269</v>
      </c>
      <c r="AR85" s="64" t="s" ph="1">
        <v>303</v>
      </c>
      <c r="AS85" s="64" t="s" ph="1">
        <v>455</v>
      </c>
      <c r="AT85" s="64" t="s" ph="1">
        <v>269</v>
      </c>
      <c r="AU85" s="64" t="s" ph="1">
        <v>303</v>
      </c>
    </row>
    <row r="86" spans="34:52" ph="1">
      <c r="AJ86" s="64" t="s" ph="1">
        <v>456</v>
      </c>
      <c r="AK86" s="64" t="s" ph="1">
        <v>275</v>
      </c>
      <c r="AM86" s="64" t="s" ph="1">
        <v>457</v>
      </c>
      <c r="AN86" s="64" t="s" ph="1">
        <v>316</v>
      </c>
      <c r="AO86" s="64" t="s" ph="1">
        <v>303</v>
      </c>
      <c r="AP86" s="64" t="s" ph="1">
        <v>458</v>
      </c>
      <c r="AQ86" s="64" t="s" ph="1">
        <v>263</v>
      </c>
      <c r="AR86" s="64" t="s" ph="1">
        <v>303</v>
      </c>
      <c r="AS86" s="64" t="s" ph="1">
        <v>459</v>
      </c>
      <c r="AT86" s="64" t="s" ph="1">
        <v>281</v>
      </c>
      <c r="AU86" s="64" t="s" ph="1">
        <v>303</v>
      </c>
    </row>
    <row r="87" spans="34:52" ph="1">
      <c r="AJ87" s="64" t="s" ph="1">
        <v>460</v>
      </c>
      <c r="AK87" s="64" t="s" ph="1">
        <v>316</v>
      </c>
      <c r="AM87" s="64" t="s" ph="1">
        <v>447</v>
      </c>
      <c r="AN87" s="64" t="s" ph="1">
        <v>461</v>
      </c>
      <c r="AO87" s="64" t="s" ph="1">
        <v>444</v>
      </c>
    </row>
    <row r="88" spans="34:52" ph="1">
      <c r="AH88" s="64" ph="1">
        <v>5</v>
      </c>
      <c r="AI88" s="64" t="s" ph="1">
        <v>333</v>
      </c>
      <c r="AJ88" s="64" t="s" ph="1">
        <v>462</v>
      </c>
      <c r="AK88" s="64" t="s" ph="1">
        <v>316</v>
      </c>
      <c r="AM88" s="64" t="s" ph="1">
        <v>463</v>
      </c>
      <c r="AN88" s="64" t="s" ph="1">
        <v>316</v>
      </c>
      <c r="AO88" s="64" t="s" ph="1">
        <v>303</v>
      </c>
      <c r="AP88" s="64" t="s" ph="1">
        <v>464</v>
      </c>
      <c r="AQ88" s="64" t="s" ph="1">
        <v>266</v>
      </c>
      <c r="AR88" s="64" t="s" ph="1">
        <v>303</v>
      </c>
      <c r="AS88" s="64" t="s" ph="1">
        <v>465</v>
      </c>
      <c r="AT88" s="64" t="s" ph="1">
        <v>316</v>
      </c>
      <c r="AU88" s="64" t="s" ph="1">
        <v>303</v>
      </c>
      <c r="AV88" s="64" t="s" ph="1">
        <v>466</v>
      </c>
      <c r="AW88" s="64" t="s" ph="1">
        <v>271</v>
      </c>
      <c r="AX88" s="64" t="s" ph="1">
        <v>303</v>
      </c>
      <c r="AY88" s="64" t="s" ph="1">
        <v>260</v>
      </c>
      <c r="AZ88" s="64" t="s" ph="1">
        <v>467</v>
      </c>
    </row>
    <row r="89" spans="34:52" ph="1">
      <c r="AJ89" s="64" t="s" ph="1">
        <v>468</v>
      </c>
      <c r="AK89" s="64" t="s" ph="1">
        <v>269</v>
      </c>
      <c r="AM89" s="64" t="s" ph="1">
        <v>469</v>
      </c>
      <c r="AN89" s="64" t="s" ph="1">
        <v>272</v>
      </c>
      <c r="AO89" s="64" t="s" ph="1">
        <v>303</v>
      </c>
      <c r="AP89" s="64" t="s" ph="1">
        <v>470</v>
      </c>
      <c r="AQ89" s="64" t="s" ph="1">
        <v>281</v>
      </c>
      <c r="AR89" s="64" t="s" ph="1">
        <v>303</v>
      </c>
      <c r="AS89" s="64" t="s" ph="1">
        <v>471</v>
      </c>
      <c r="AT89" s="64" t="s" ph="1">
        <v>316</v>
      </c>
      <c r="AU89" s="64" t="s" ph="1">
        <v>303</v>
      </c>
      <c r="AV89" s="64" t="s" ph="1">
        <v>472</v>
      </c>
      <c r="AW89" s="64" t="s" ph="1">
        <v>298</v>
      </c>
      <c r="AX89" s="64" t="s" ph="1">
        <v>331</v>
      </c>
    </row>
    <row r="90" spans="34:52" ph="1">
      <c r="AJ90" s="64" t="s" ph="1">
        <v>473</v>
      </c>
      <c r="AK90" s="64" t="s" ph="1">
        <v>272</v>
      </c>
      <c r="AM90" s="64" t="s" ph="1">
        <v>474</v>
      </c>
      <c r="AN90" s="64" t="s" ph="1">
        <v>269</v>
      </c>
      <c r="AO90" s="64" t="s" ph="1">
        <v>303</v>
      </c>
      <c r="AP90" s="64" t="s" ph="1">
        <v>475</v>
      </c>
      <c r="AQ90" s="64" t="s" ph="1">
        <v>338</v>
      </c>
      <c r="AR90" s="64" t="s" ph="1">
        <v>303</v>
      </c>
      <c r="AS90" s="64" t="s" ph="1">
        <v>476</v>
      </c>
      <c r="AT90" s="64" t="s" ph="1">
        <v>326</v>
      </c>
      <c r="AU90" s="64" t="s" ph="1">
        <v>303</v>
      </c>
      <c r="AV90" s="64" t="s" ph="1">
        <v>477</v>
      </c>
      <c r="AW90" s="64" t="s" ph="1">
        <v>263</v>
      </c>
      <c r="AX90" s="64" t="s" ph="1">
        <v>303</v>
      </c>
    </row>
    <row r="91" spans="34:52" ph="1">
      <c r="AJ91" s="64" t="s" ph="1">
        <v>478</v>
      </c>
      <c r="AK91" s="64" t="s" ph="1">
        <v>316</v>
      </c>
      <c r="AM91" s="64" t="s" ph="1">
        <v>479</v>
      </c>
      <c r="AN91" s="64" t="s" ph="1">
        <v>283</v>
      </c>
      <c r="AO91" s="64" t="s" ph="1">
        <v>303</v>
      </c>
      <c r="AP91" s="64" t="s" ph="1">
        <v>480</v>
      </c>
      <c r="AQ91" s="64" t="s" ph="1">
        <v>263</v>
      </c>
      <c r="AS91" s="64" t="s" ph="1">
        <v>447</v>
      </c>
      <c r="AT91" s="64" t="s" ph="1">
        <v>443</v>
      </c>
      <c r="AU91" s="64" t="s" ph="1">
        <v>444</v>
      </c>
    </row>
    <row r="92" spans="34:52" ph="1">
      <c r="AH92" s="64" ph="1">
        <v>6</v>
      </c>
      <c r="AI92" s="64" t="s" ph="1">
        <v>481</v>
      </c>
      <c r="AJ92" s="64" t="s" ph="1">
        <v>482</v>
      </c>
      <c r="AK92" s="64" t="s" ph="1">
        <v>411</v>
      </c>
      <c r="AM92" s="64" t="s" ph="1">
        <v>483</v>
      </c>
      <c r="AN92" s="64" t="s" ph="1">
        <v>271</v>
      </c>
      <c r="AO92" s="64" t="s" ph="1">
        <v>303</v>
      </c>
      <c r="AP92" s="64" t="s" ph="1">
        <v>484</v>
      </c>
      <c r="AQ92" s="64" t="s" ph="1">
        <v>343</v>
      </c>
      <c r="AR92" s="64" t="s" ph="1">
        <v>303</v>
      </c>
      <c r="AS92" s="64" t="s" ph="1">
        <v>485</v>
      </c>
      <c r="AT92" s="64" t="s" ph="1">
        <v>316</v>
      </c>
      <c r="AU92" s="64" t="s" ph="1">
        <v>303</v>
      </c>
      <c r="AV92" s="64" t="s" ph="1">
        <v>486</v>
      </c>
      <c r="AW92" s="64" t="s" ph="1">
        <v>272</v>
      </c>
      <c r="AX92" s="64" t="s" ph="1">
        <v>303</v>
      </c>
      <c r="AY92" s="64" t="s" ph="1">
        <v>260</v>
      </c>
      <c r="AZ92" s="64" t="s" ph="1">
        <v>467</v>
      </c>
    </row>
    <row r="93" spans="34:52" ph="1">
      <c r="AJ93" s="64" t="s" ph="1">
        <v>487</v>
      </c>
      <c r="AK93" s="64" t="s" ph="1">
        <v>266</v>
      </c>
      <c r="AM93" s="64" t="s" ph="1">
        <v>488</v>
      </c>
      <c r="AN93" s="64" t="s" ph="1">
        <v>271</v>
      </c>
      <c r="AO93" s="64" t="s" ph="1">
        <v>303</v>
      </c>
      <c r="AP93" s="64" t="s" ph="1">
        <v>489</v>
      </c>
      <c r="AQ93" s="64" t="s" ph="1">
        <v>275</v>
      </c>
      <c r="AR93" s="64" t="s" ph="1">
        <v>303</v>
      </c>
      <c r="AS93" s="64" t="s" ph="1">
        <v>490</v>
      </c>
      <c r="AT93" s="64" t="s" ph="1">
        <v>281</v>
      </c>
      <c r="AU93" s="64" t="s" ph="1">
        <v>303</v>
      </c>
      <c r="AV93" s="64" t="s" ph="1">
        <v>491</v>
      </c>
      <c r="AW93" s="64" t="s" ph="1">
        <v>275</v>
      </c>
      <c r="AX93" s="64" t="s" ph="1">
        <v>303</v>
      </c>
    </row>
    <row r="94" spans="34:52" ph="1">
      <c r="AJ94" s="64" t="s" ph="1">
        <v>492</v>
      </c>
      <c r="AK94" s="64" t="s" ph="1">
        <v>338</v>
      </c>
      <c r="AM94" s="64" t="s" ph="1">
        <v>493</v>
      </c>
      <c r="AN94" s="64" t="s" ph="1">
        <v>275</v>
      </c>
      <c r="AO94" s="64" t="s" ph="1">
        <v>303</v>
      </c>
      <c r="AP94" s="64" t="s" ph="1">
        <v>494</v>
      </c>
      <c r="AQ94" s="64" t="s" ph="1">
        <v>283</v>
      </c>
      <c r="AR94" s="64" t="s" ph="1">
        <v>303</v>
      </c>
      <c r="AS94" s="64" t="s" ph="1">
        <v>495</v>
      </c>
      <c r="AT94" s="64" t="s" ph="1">
        <v>269</v>
      </c>
      <c r="AU94" s="64" t="s" ph="1">
        <v>303</v>
      </c>
      <c r="AV94" s="64" t="s" ph="1">
        <v>496</v>
      </c>
      <c r="AW94" s="64" t="s" ph="1">
        <v>269</v>
      </c>
      <c r="AX94" s="64" t="s" ph="1">
        <v>303</v>
      </c>
    </row>
    <row r="95" spans="34:52" ph="1">
      <c r="AJ95" s="64" t="s" ph="1">
        <v>497</v>
      </c>
      <c r="AK95" s="64" t="s" ph="1">
        <v>343</v>
      </c>
    </row>
    <row r="96" spans="34:52" ph="1">
      <c r="AH96" s="64" ph="1">
        <v>7</v>
      </c>
      <c r="AI96" s="64" t="s" ph="1">
        <v>498</v>
      </c>
      <c r="AJ96" s="64" t="s" ph="1">
        <v>497</v>
      </c>
      <c r="AK96" s="64" t="s" ph="1">
        <v>298</v>
      </c>
      <c r="AM96" s="64" t="s" ph="1">
        <v>499</v>
      </c>
      <c r="AN96" s="64" t="s" ph="1">
        <v>272</v>
      </c>
      <c r="AO96" s="64" t="s" ph="1">
        <v>303</v>
      </c>
      <c r="AP96" s="64" t="s" ph="1">
        <v>500</v>
      </c>
      <c r="AQ96" s="64" t="s" ph="1">
        <v>316</v>
      </c>
      <c r="AR96" s="64" t="s" ph="1">
        <v>331</v>
      </c>
      <c r="AS96" s="64" t="s" ph="1">
        <v>501</v>
      </c>
      <c r="AT96" s="64" t="s" ph="1">
        <v>275</v>
      </c>
      <c r="AU96" s="64" t="s" ph="1">
        <v>331</v>
      </c>
      <c r="AV96" s="64" t="s" ph="1">
        <v>502</v>
      </c>
      <c r="AW96" s="64" t="s" ph="1">
        <v>271</v>
      </c>
      <c r="AX96" s="64" t="s" ph="1">
        <v>331</v>
      </c>
      <c r="AY96" s="64" t="s" ph="1">
        <v>260</v>
      </c>
      <c r="AZ96" s="64" t="s" ph="1">
        <v>503</v>
      </c>
    </row>
    <row r="97" spans="33:52" ph="1">
      <c r="AJ97" s="64" t="s" ph="1">
        <v>504</v>
      </c>
      <c r="AK97" s="64" t="s" ph="1">
        <v>326</v>
      </c>
      <c r="AM97" s="64" t="s" ph="1">
        <v>505</v>
      </c>
      <c r="AN97" s="64" t="s" ph="1">
        <v>269</v>
      </c>
      <c r="AO97" s="64" t="s" ph="1">
        <v>303</v>
      </c>
      <c r="AP97" s="64" t="s" ph="1">
        <v>506</v>
      </c>
      <c r="AQ97" s="64" t="s" ph="1">
        <v>263</v>
      </c>
      <c r="AR97" s="64" t="s" ph="1">
        <v>331</v>
      </c>
      <c r="AS97" s="64" t="s" ph="1">
        <v>507</v>
      </c>
      <c r="AT97" s="64" t="s" ph="1">
        <v>266</v>
      </c>
      <c r="AU97" s="64" t="s" ph="1">
        <v>331</v>
      </c>
      <c r="AV97" s="64" t="s" ph="1">
        <v>508</v>
      </c>
      <c r="AW97" s="64" t="s" ph="1">
        <v>272</v>
      </c>
      <c r="AX97" s="64" t="s" ph="1">
        <v>331</v>
      </c>
    </row>
    <row r="98" spans="33:52" ph="1">
      <c r="AJ98" s="64" t="s" ph="1">
        <v>509</v>
      </c>
      <c r="AK98" s="64" t="s" ph="1">
        <v>275</v>
      </c>
      <c r="AM98" s="64" t="s" ph="1">
        <v>510</v>
      </c>
      <c r="AN98" s="64" t="s" ph="1">
        <v>283</v>
      </c>
      <c r="AO98" s="64" t="s" ph="1">
        <v>303</v>
      </c>
      <c r="AP98" s="64" t="s" ph="1">
        <v>511</v>
      </c>
      <c r="AQ98" s="64" t="s" ph="1">
        <v>263</v>
      </c>
      <c r="AR98" s="64" t="s" ph="1">
        <v>331</v>
      </c>
      <c r="AS98" s="64" t="s" ph="1">
        <v>512</v>
      </c>
      <c r="AT98" s="64" t="s" ph="1">
        <v>343</v>
      </c>
      <c r="AU98" s="64" t="s" ph="1">
        <v>331</v>
      </c>
      <c r="AV98" s="64" t="s" ph="1">
        <v>513</v>
      </c>
      <c r="AW98" s="64" t="s" ph="1">
        <v>266</v>
      </c>
      <c r="AX98" s="64" t="s" ph="1">
        <v>331</v>
      </c>
    </row>
    <row r="99" spans="33:52" ph="1">
      <c r="AH99" s="64" ph="1">
        <v>8</v>
      </c>
      <c r="AI99" s="64" t="s" ph="1">
        <v>514</v>
      </c>
      <c r="AJ99" s="64" t="s" ph="1">
        <v>515</v>
      </c>
      <c r="AK99" s="64" t="s" ph="1">
        <v>411</v>
      </c>
      <c r="AM99" s="64" t="s" ph="1">
        <v>516</v>
      </c>
      <c r="AN99" s="64" t="s" ph="1">
        <v>298</v>
      </c>
      <c r="AO99" s="64" t="s" ph="1">
        <v>303</v>
      </c>
      <c r="AP99" s="64" t="s" ph="1">
        <v>517</v>
      </c>
      <c r="AQ99" s="64" t="s" ph="1">
        <v>268</v>
      </c>
      <c r="AR99" s="64" t="s" ph="1">
        <v>331</v>
      </c>
      <c r="AS99" s="64" t="s" ph="1">
        <v>518</v>
      </c>
      <c r="AT99" s="64" t="s" ph="1">
        <v>283</v>
      </c>
      <c r="AU99" s="64" t="s" ph="1">
        <v>331</v>
      </c>
      <c r="AV99" s="64" t="s" ph="1">
        <v>519</v>
      </c>
      <c r="AW99" s="64" t="s" ph="1">
        <v>268</v>
      </c>
      <c r="AX99" s="64" t="s" ph="1">
        <v>331</v>
      </c>
      <c r="AY99" s="64" t="s" ph="1">
        <v>260</v>
      </c>
      <c r="AZ99" s="64" t="s" ph="1">
        <v>520</v>
      </c>
    </row>
    <row r="100" spans="33:52" ph="1">
      <c r="AJ100" s="64" t="s" ph="1">
        <v>521</v>
      </c>
      <c r="AK100" s="64" t="s" ph="1">
        <v>266</v>
      </c>
      <c r="AM100" s="64" t="s" ph="1">
        <v>522</v>
      </c>
      <c r="AN100" s="64" t="s" ph="1">
        <v>338</v>
      </c>
      <c r="AO100" s="64" t="s" ph="1">
        <v>303</v>
      </c>
      <c r="AP100" s="64" t="s" ph="1">
        <v>523</v>
      </c>
      <c r="AQ100" s="64" t="s" ph="1">
        <v>344</v>
      </c>
      <c r="AR100" s="64" t="s" ph="1">
        <v>331</v>
      </c>
      <c r="AS100" s="64" t="s" ph="1">
        <v>524</v>
      </c>
      <c r="AT100" s="64" t="s" ph="1">
        <v>411</v>
      </c>
      <c r="AU100" s="64" t="s" ph="1">
        <v>303</v>
      </c>
      <c r="AV100" s="64" t="s" ph="1">
        <v>525</v>
      </c>
      <c r="AW100" s="64" t="s" ph="1">
        <v>411</v>
      </c>
      <c r="AX100" s="64" t="s" ph="1">
        <v>303</v>
      </c>
    </row>
    <row r="101" spans="33:52" ph="1">
      <c r="AJ101" s="64" t="s" ph="1">
        <v>526</v>
      </c>
      <c r="AK101" s="64" t="s" ph="1">
        <v>411</v>
      </c>
      <c r="AM101" s="64" t="s" ph="1">
        <v>527</v>
      </c>
      <c r="AN101" s="64" t="s" ph="1">
        <v>269</v>
      </c>
      <c r="AO101" s="64" t="s" ph="1">
        <v>303</v>
      </c>
      <c r="AP101" s="64" t="s" ph="1">
        <v>528</v>
      </c>
      <c r="AQ101" s="64" t="s" ph="1">
        <v>281</v>
      </c>
      <c r="AR101" s="64" t="s" ph="1">
        <v>331</v>
      </c>
      <c r="AS101" s="64" t="s" ph="1">
        <v>529</v>
      </c>
      <c r="AT101" s="64" t="s" ph="1">
        <v>338</v>
      </c>
      <c r="AU101" s="64" t="s" ph="1">
        <v>331</v>
      </c>
      <c r="AV101" s="64" t="s" ph="1">
        <v>530</v>
      </c>
      <c r="AW101" s="64" t="s" ph="1">
        <v>269</v>
      </c>
      <c r="AX101" s="64" t="s" ph="1">
        <v>303</v>
      </c>
    </row>
    <row r="102" spans="33:52" ph="1">
      <c r="AJ102" s="64" t="s" ph="1">
        <v>531</v>
      </c>
      <c r="AK102" s="64" t="s" ph="1">
        <v>266</v>
      </c>
      <c r="AM102" s="64" t="s" ph="1">
        <v>532</v>
      </c>
      <c r="AN102" s="64" t="s" ph="1">
        <v>275</v>
      </c>
      <c r="AO102" s="64" t="s" ph="1">
        <v>303</v>
      </c>
      <c r="AP102" s="64" t="s" ph="1">
        <v>533</v>
      </c>
      <c r="AQ102" s="64" t="s" ph="1">
        <v>281</v>
      </c>
      <c r="AR102" s="64" t="s" ph="1">
        <v>303</v>
      </c>
      <c r="AS102" s="64" t="s" ph="1">
        <v>534</v>
      </c>
      <c r="AT102" s="64" t="s" ph="1">
        <v>298</v>
      </c>
      <c r="AU102" s="64" t="s" ph="1">
        <v>303</v>
      </c>
      <c r="AV102" s="64" t="s" ph="1">
        <v>535</v>
      </c>
      <c r="AW102" s="64" t="s" ph="1">
        <v>316</v>
      </c>
      <c r="AX102" s="64" t="s" ph="1">
        <v>303</v>
      </c>
    </row>
    <row r="103" spans="33:52" ph="1">
      <c r="AH103" s="64" ph="1">
        <v>9</v>
      </c>
      <c r="AI103" s="64" t="s" ph="1">
        <v>536</v>
      </c>
      <c r="AJ103" s="64" t="s" ph="1">
        <v>537</v>
      </c>
      <c r="AK103" s="64" t="s" ph="1">
        <v>411</v>
      </c>
      <c r="AM103" s="64" t="s" ph="1">
        <v>538</v>
      </c>
      <c r="AN103" s="64" t="s" ph="1">
        <v>326</v>
      </c>
      <c r="AO103" s="64" t="s" ph="1">
        <v>303</v>
      </c>
      <c r="AP103" s="64" t="s" ph="1">
        <v>380</v>
      </c>
      <c r="AQ103" s="64" t="s" ph="1">
        <v>269</v>
      </c>
      <c r="AR103" s="64" t="s" ph="1">
        <v>303</v>
      </c>
      <c r="AS103" s="64" t="s" ph="1">
        <v>614</v>
      </c>
      <c r="AT103" s="64" t="s" ph="1">
        <v>411</v>
      </c>
      <c r="AU103" s="64" t="s" ph="1">
        <v>303</v>
      </c>
      <c r="AY103" s="64" t="s" ph="1">
        <v>260</v>
      </c>
      <c r="AZ103" s="64" t="s" ph="1">
        <v>268</v>
      </c>
    </row>
    <row r="104" spans="33:52" ph="1">
      <c r="AZ104" s="64" t="s" ph="1">
        <v>539</v>
      </c>
    </row>
    <row r="105" spans="33:52" ph="1">
      <c r="AG105" s="64" t="s" ph="1">
        <v>339</v>
      </c>
      <c r="AI105" s="64" t="s" ph="1">
        <v>253</v>
      </c>
      <c r="AJ105" s="64" t="s" ph="1">
        <v>254</v>
      </c>
      <c r="AK105" s="64" t="s" ph="1">
        <v>255</v>
      </c>
      <c r="AM105" s="64" t="s" ph="1">
        <v>254</v>
      </c>
      <c r="AN105" s="64" t="s" ph="1">
        <v>255</v>
      </c>
      <c r="AO105" s="64" t="s" ph="1">
        <v>256</v>
      </c>
      <c r="AP105" s="64" t="s" ph="1">
        <v>254</v>
      </c>
      <c r="AQ105" s="64" t="s" ph="1">
        <v>255</v>
      </c>
      <c r="AR105" s="64" t="s" ph="1">
        <v>256</v>
      </c>
      <c r="AS105" s="64" t="s" ph="1">
        <v>254</v>
      </c>
      <c r="AT105" s="64" t="s" ph="1">
        <v>255</v>
      </c>
      <c r="AU105" s="64" t="s" ph="1">
        <v>256</v>
      </c>
      <c r="AV105" s="64" t="s" ph="1">
        <v>254</v>
      </c>
      <c r="AW105" s="64" t="s" ph="1">
        <v>255</v>
      </c>
      <c r="AX105" s="64" t="s" ph="1">
        <v>256</v>
      </c>
      <c r="AZ105" s="64" t="s" ph="1">
        <v>257</v>
      </c>
    </row>
    <row r="106" spans="33:52" ph="1">
      <c r="AH106" s="64" ph="1">
        <v>1</v>
      </c>
      <c r="AI106" s="64" t="s" ph="1">
        <v>540</v>
      </c>
      <c r="AJ106" s="64" t="s" ph="1">
        <v>614</v>
      </c>
      <c r="AK106" s="64" t="s" ph="1">
        <v>275</v>
      </c>
      <c r="AZ106" s="64" t="s" ph="1">
        <v>275</v>
      </c>
    </row>
    <row r="107" spans="33:52" ph="1">
      <c r="AH107" s="64" ph="1">
        <v>2</v>
      </c>
      <c r="AI107" s="64" t="s" ph="1">
        <v>541</v>
      </c>
      <c r="AJ107" s="64" t="s" ph="1">
        <v>542</v>
      </c>
      <c r="AK107" s="64" t="s" ph="1">
        <v>272</v>
      </c>
      <c r="AM107" s="64" t="s" ph="1">
        <v>378</v>
      </c>
      <c r="AN107" s="64" t="s" ph="1">
        <v>543</v>
      </c>
      <c r="AO107" s="64" t="s" ph="1">
        <v>544</v>
      </c>
      <c r="AP107" s="64" t="s" ph="1">
        <v>380</v>
      </c>
      <c r="AQ107" s="64" t="s" ph="1">
        <v>348</v>
      </c>
      <c r="AR107" s="64" t="s" ph="1">
        <v>544</v>
      </c>
      <c r="AS107" s="64" t="s" ph="1">
        <v>614</v>
      </c>
      <c r="AT107" s="64" t="s" ph="1">
        <v>543</v>
      </c>
      <c r="AU107" s="64" t="s" ph="1">
        <v>544</v>
      </c>
      <c r="AY107" s="64" t="s" ph="1">
        <v>260</v>
      </c>
      <c r="AZ107" s="64" t="s" ph="1">
        <v>624</v>
      </c>
    </row>
    <row r="108" spans="33:52" ph="1">
      <c r="AH108" s="64" ph="1">
        <v>3</v>
      </c>
      <c r="AI108" s="64" t="s" ph="1">
        <v>545</v>
      </c>
      <c r="AY108" s="64" t="s" ph="1">
        <v>260</v>
      </c>
      <c r="AZ108" s="64" t="s" ph="1">
        <v>411</v>
      </c>
    </row>
    <row r="109" spans="33:52" ph="1">
      <c r="AH109" s="64" ph="1">
        <v>4</v>
      </c>
      <c r="AI109" s="64" t="s" ph="1">
        <v>546</v>
      </c>
      <c r="AY109" s="64" t="s" ph="1">
        <v>260</v>
      </c>
      <c r="AZ109" s="64" t="s" ph="1">
        <v>411</v>
      </c>
    </row>
    <row r="110" spans="33:52" ph="1">
      <c r="AH110" s="64" ph="1">
        <v>5</v>
      </c>
      <c r="AI110" s="64" t="s" ph="1">
        <v>547</v>
      </c>
      <c r="AY110" s="64" t="s" ph="1">
        <v>260</v>
      </c>
      <c r="AZ110" s="64" t="s" ph="1">
        <v>411</v>
      </c>
    </row>
    <row r="111" spans="33:52" ph="1">
      <c r="AH111" s="64" ph="1">
        <v>6</v>
      </c>
      <c r="AI111" s="64" t="s" ph="1">
        <v>625</v>
      </c>
      <c r="AJ111" s="64" t="s" ph="1">
        <v>530</v>
      </c>
      <c r="AK111" s="64" t="s" ph="1">
        <v>269</v>
      </c>
      <c r="AM111" s="64" t="s" ph="1">
        <v>531</v>
      </c>
      <c r="AN111" s="64" t="s" ph="1">
        <v>263</v>
      </c>
      <c r="AO111" s="64" t="s" ph="1">
        <v>544</v>
      </c>
      <c r="AP111" s="64" t="s" ph="1">
        <v>532</v>
      </c>
      <c r="AQ111" s="64" t="s" ph="1">
        <v>272</v>
      </c>
      <c r="AR111" s="64" t="s" ph="1">
        <v>544</v>
      </c>
      <c r="AS111" s="64" t="s" ph="1">
        <v>533</v>
      </c>
      <c r="AT111" s="64" t="s" ph="1">
        <v>281</v>
      </c>
      <c r="AU111" s="64" t="s" ph="1">
        <v>544</v>
      </c>
      <c r="AV111" s="64" t="s" ph="1">
        <v>534</v>
      </c>
      <c r="AW111" s="64" t="s" ph="1">
        <v>271</v>
      </c>
      <c r="AX111" s="64" t="s" ph="1">
        <v>544</v>
      </c>
      <c r="AY111" s="64" t="s" ph="1">
        <v>260</v>
      </c>
      <c r="AZ111" s="64" t="s" ph="1">
        <v>548</v>
      </c>
    </row>
    <row r="112" spans="33:52" ph="1">
      <c r="AJ112" s="64" t="s" ph="1">
        <v>535</v>
      </c>
      <c r="AK112" s="64" t="s" ph="1">
        <v>316</v>
      </c>
      <c r="AM112" s="64" t="s" ph="1">
        <v>537</v>
      </c>
      <c r="AN112" s="64" t="s" ph="1">
        <v>340</v>
      </c>
      <c r="AO112" s="64" t="s" ph="1">
        <v>544</v>
      </c>
      <c r="AP112" s="64" t="s" ph="1">
        <v>538</v>
      </c>
      <c r="AQ112" s="64" t="s" ph="1">
        <v>549</v>
      </c>
      <c r="AR112" s="64" t="s" ph="1">
        <v>544</v>
      </c>
      <c r="AS112" s="64" t="s" ph="1">
        <v>550</v>
      </c>
      <c r="AT112" s="64" t="s" ph="1">
        <v>292</v>
      </c>
      <c r="AU112" s="64" t="s" ph="1">
        <v>544</v>
      </c>
      <c r="AV112" s="64" t="s" ph="1">
        <v>551</v>
      </c>
      <c r="AW112" s="64" t="s" ph="1">
        <v>338</v>
      </c>
      <c r="AX112" s="64" t="s" ph="1">
        <v>544</v>
      </c>
    </row>
    <row r="113" spans="33:52" ph="1">
      <c r="AH113" s="64" ph="1">
        <v>7</v>
      </c>
      <c r="AI113" s="64" t="s" ph="1">
        <v>552</v>
      </c>
      <c r="AJ113" s="64" t="s" ph="1">
        <v>633</v>
      </c>
      <c r="AK113" s="64" t="s" ph="1">
        <v>638</v>
      </c>
      <c r="AY113" s="64" t="s" ph="1">
        <v>260</v>
      </c>
      <c r="AZ113" s="64" t="s" ph="1">
        <v>638</v>
      </c>
    </row>
    <row r="114" spans="33:52" ph="1">
      <c r="AH114" s="64" ph="1">
        <v>8</v>
      </c>
      <c r="AI114" s="64" t="s" ph="1">
        <v>553</v>
      </c>
      <c r="AJ114" s="64" t="s" ph="1">
        <v>633</v>
      </c>
      <c r="AK114" s="64" t="s" ph="1">
        <v>639</v>
      </c>
      <c r="AY114" s="64" t="s" ph="1">
        <v>260</v>
      </c>
      <c r="AZ114" s="64" t="s" ph="1">
        <v>639</v>
      </c>
    </row>
    <row r="115" spans="33:52" ph="1">
      <c r="AH115" s="64" ph="1">
        <v>9</v>
      </c>
      <c r="AI115" s="64" t="s" ph="1">
        <v>554</v>
      </c>
      <c r="AJ115" s="64" t="s" ph="1">
        <v>633</v>
      </c>
      <c r="AK115" s="64" t="s" ph="1">
        <v>639</v>
      </c>
      <c r="AY115" s="64" t="s" ph="1">
        <v>260</v>
      </c>
      <c r="AZ115" s="64" t="s" ph="1">
        <v>639</v>
      </c>
    </row>
    <row r="116" spans="33:52" ph="1">
      <c r="AH116" s="64" ph="1">
        <v>10</v>
      </c>
      <c r="AI116" s="64" t="s" ph="1">
        <v>555</v>
      </c>
      <c r="AJ116" s="64" t="s" ph="1">
        <v>633</v>
      </c>
      <c r="AK116" s="64" t="s" ph="1">
        <v>639</v>
      </c>
      <c r="AY116" s="64" t="s" ph="1">
        <v>260</v>
      </c>
      <c r="AZ116" s="64" t="s" ph="1">
        <v>639</v>
      </c>
    </row>
    <row r="117" spans="33:52" ph="1">
      <c r="AH117" s="64" ph="1">
        <v>11</v>
      </c>
      <c r="AI117" s="64" t="s" ph="1">
        <v>556</v>
      </c>
      <c r="AJ117" s="64" t="s" ph="1">
        <v>633</v>
      </c>
      <c r="AK117" s="64" t="s" ph="1">
        <v>639</v>
      </c>
      <c r="AY117" s="64" t="s" ph="1">
        <v>260</v>
      </c>
      <c r="AZ117" s="64" t="s" ph="1">
        <v>639</v>
      </c>
    </row>
    <row r="118" spans="33:52" ph="1">
      <c r="AZ118" s="64" t="s" ph="1">
        <v>640</v>
      </c>
    </row>
    <row r="119" spans="33:52" ph="1">
      <c r="AI119" s="64" t="s" ph="1">
        <v>253</v>
      </c>
      <c r="AJ119" s="64" t="s" ph="1">
        <v>254</v>
      </c>
      <c r="AK119" s="64" t="s" ph="1">
        <v>255</v>
      </c>
      <c r="AM119" s="64" t="s" ph="1">
        <v>254</v>
      </c>
      <c r="AN119" s="64" t="s" ph="1">
        <v>255</v>
      </c>
      <c r="AO119" s="64" t="s" ph="1">
        <v>256</v>
      </c>
      <c r="AP119" s="64" t="s" ph="1">
        <v>254</v>
      </c>
      <c r="AQ119" s="64" t="s" ph="1">
        <v>255</v>
      </c>
      <c r="AR119" s="64" t="s" ph="1">
        <v>256</v>
      </c>
      <c r="AS119" s="64" t="s" ph="1">
        <v>254</v>
      </c>
      <c r="AT119" s="64" t="s" ph="1">
        <v>255</v>
      </c>
      <c r="AU119" s="64" t="s" ph="1">
        <v>256</v>
      </c>
      <c r="AV119" s="64" t="s" ph="1">
        <v>254</v>
      </c>
      <c r="AW119" s="64" t="s" ph="1">
        <v>255</v>
      </c>
      <c r="AX119" s="64" t="s" ph="1">
        <v>256</v>
      </c>
      <c r="AY119" s="64" t="s" ph="1">
        <v>255</v>
      </c>
      <c r="AZ119" s="64" t="s" ph="1">
        <v>257</v>
      </c>
    </row>
    <row r="120" spans="33:52" ph="1">
      <c r="AG120" s="64" t="s" ph="1">
        <v>397</v>
      </c>
      <c r="AH120" s="64" ph="1">
        <v>1</v>
      </c>
      <c r="AI120" s="64" t="s" ph="1">
        <v>557</v>
      </c>
      <c r="AJ120" s="64" t="s" ph="1">
        <v>631</v>
      </c>
      <c r="AK120" s="64" t="s" ph="1">
        <v>411</v>
      </c>
      <c r="AY120" s="64" t="s" ph="1">
        <v>260</v>
      </c>
      <c r="AZ120" s="64" t="s" ph="1">
        <v>411</v>
      </c>
    </row>
    <row r="121" spans="33:52" ph="1">
      <c r="AH121" s="64" ph="1">
        <v>2</v>
      </c>
      <c r="AI121" s="64" t="s" ph="1">
        <v>558</v>
      </c>
      <c r="AY121" s="64" t="s" ph="1">
        <v>260</v>
      </c>
      <c r="AZ121" s="64" t="s" ph="1">
        <v>411</v>
      </c>
    </row>
    <row r="122" spans="33:52" ph="1">
      <c r="AH122" s="64" ph="1">
        <v>3</v>
      </c>
      <c r="AI122" s="64" t="s" ph="1">
        <v>559</v>
      </c>
      <c r="AJ122" s="64" t="s" ph="1">
        <v>614</v>
      </c>
      <c r="AK122" s="64" t="s" ph="1">
        <v>626</v>
      </c>
      <c r="AM122" s="64" t="s" ph="1">
        <v>641</v>
      </c>
      <c r="AN122" s="64" t="s" ph="1">
        <v>634</v>
      </c>
      <c r="AO122" s="64" t="s" ph="1">
        <v>109</v>
      </c>
      <c r="AY122" s="64" t="s" ph="1">
        <v>260</v>
      </c>
      <c r="AZ122" s="64" t="s" ph="1">
        <v>623</v>
      </c>
    </row>
    <row r="123" spans="33:52" ph="1">
      <c r="AY123" s="64" t="s" ph="1">
        <v>260</v>
      </c>
      <c r="AZ123" s="64" t="s" ph="1">
        <v>623</v>
      </c>
    </row>
    <row r="124" spans="33:52" ph="1">
      <c r="AG124" s="64" t="s" ph="1">
        <v>400</v>
      </c>
      <c r="AH124" s="64" ph="1">
        <v>4</v>
      </c>
      <c r="AI124" s="64" t="s" ph="1">
        <v>560</v>
      </c>
      <c r="AJ124" s="64" t="s" ph="1">
        <v>561</v>
      </c>
      <c r="AK124" s="64" t="s" ph="1">
        <v>562</v>
      </c>
      <c r="AY124" s="64" t="s" ph="1">
        <v>260</v>
      </c>
      <c r="AZ124" s="64" t="s" ph="1">
        <v>562</v>
      </c>
    </row>
    <row r="125" spans="33:52" ph="1">
      <c r="AH125" s="64" ph="1">
        <v>5</v>
      </c>
      <c r="AI125" s="64" t="s" ph="1">
        <v>563</v>
      </c>
      <c r="AJ125" s="64" t="s" ph="1">
        <v>561</v>
      </c>
      <c r="AK125" s="64" t="s" ph="1">
        <v>562</v>
      </c>
      <c r="AY125" s="64" t="s" ph="1">
        <v>260</v>
      </c>
      <c r="AZ125" s="64" t="s" ph="1">
        <v>562</v>
      </c>
    </row>
    <row r="126" spans="33:52" ph="1">
      <c r="AH126" s="64" ph="1">
        <v>6</v>
      </c>
      <c r="AI126" s="64" t="s" ph="1">
        <v>564</v>
      </c>
      <c r="AJ126" s="64" t="s" ph="1">
        <v>633</v>
      </c>
      <c r="AK126" s="64" t="s" ph="1">
        <v>642</v>
      </c>
      <c r="AY126" s="64" t="s" ph="1">
        <v>260</v>
      </c>
      <c r="AZ126" s="64" t="s" ph="1">
        <v>642</v>
      </c>
    </row>
    <row r="127" spans="33:52" ph="1">
      <c r="AH127" s="64" ph="1">
        <v>7</v>
      </c>
      <c r="AI127" s="64" t="s" ph="1">
        <v>565</v>
      </c>
      <c r="AJ127" s="64" t="s" ph="1">
        <v>633</v>
      </c>
      <c r="AK127" s="64" t="s" ph="1">
        <v>643</v>
      </c>
      <c r="AY127" s="64" t="s" ph="1">
        <v>260</v>
      </c>
      <c r="AZ127" s="64" t="s" ph="1">
        <v>643</v>
      </c>
    </row>
    <row r="128" spans="33:52" ph="1">
      <c r="AH128" s="64" ph="1">
        <v>8</v>
      </c>
      <c r="AI128" s="64" t="s" ph="1">
        <v>566</v>
      </c>
      <c r="AY128" s="64" t="s" ph="1">
        <v>260</v>
      </c>
      <c r="AZ128" s="64" t="s" ph="1">
        <v>411</v>
      </c>
    </row>
    <row r="129" spans="33:52" ph="1">
      <c r="AH129" s="64" ph="1">
        <v>9</v>
      </c>
      <c r="AI129" s="64" t="s" ph="1">
        <v>567</v>
      </c>
      <c r="AY129" s="64" t="s" ph="1">
        <v>260</v>
      </c>
      <c r="AZ129" s="64" t="s" ph="1">
        <v>411</v>
      </c>
    </row>
    <row r="130" spans="33:52" ph="1">
      <c r="AH130" s="64" ph="1">
        <v>10</v>
      </c>
      <c r="AI130" s="64" t="s" ph="1">
        <v>568</v>
      </c>
      <c r="AY130" s="64" t="s" ph="1">
        <v>260</v>
      </c>
      <c r="AZ130" s="64" t="s" ph="1">
        <v>411</v>
      </c>
    </row>
    <row r="131" spans="33:52" ph="1">
      <c r="AH131" s="64" ph="1">
        <v>11</v>
      </c>
      <c r="AI131" s="64" t="s" ph="1">
        <v>569</v>
      </c>
      <c r="AJ131" s="64" t="s" ph="1">
        <v>627</v>
      </c>
      <c r="AK131" s="64" t="s" ph="1">
        <v>623</v>
      </c>
      <c r="AY131" s="64" t="s" ph="1">
        <v>260</v>
      </c>
      <c r="AZ131" s="64" t="s" ph="1">
        <v>623</v>
      </c>
    </row>
    <row r="132" spans="33:52" ph="1">
      <c r="AH132" s="64" ph="1">
        <v>12</v>
      </c>
      <c r="AI132" s="64" t="s" ph="1">
        <v>570</v>
      </c>
      <c r="AJ132" s="64" t="s" ph="1">
        <v>627</v>
      </c>
      <c r="AK132" s="64" t="s" ph="1">
        <v>562</v>
      </c>
      <c r="AY132" s="64" t="s" ph="1">
        <v>260</v>
      </c>
      <c r="AZ132" s="64" t="s" ph="1">
        <v>562</v>
      </c>
    </row>
    <row r="133" spans="33:52" ph="1">
      <c r="AH133" s="64" ph="1">
        <v>13</v>
      </c>
      <c r="AI133" s="64" t="s" ph="1">
        <v>571</v>
      </c>
      <c r="AJ133" s="64" t="s" ph="1">
        <v>627</v>
      </c>
      <c r="AK133" s="64" t="s" ph="1">
        <v>628</v>
      </c>
      <c r="AY133" s="64" t="s" ph="1">
        <v>260</v>
      </c>
      <c r="AZ133" s="64" t="s" ph="1">
        <v>628</v>
      </c>
    </row>
    <row r="134" spans="33:52" ph="1">
      <c r="AH134" s="64" ph="1">
        <v>14</v>
      </c>
      <c r="AI134" s="64" t="s" ph="1">
        <v>572</v>
      </c>
      <c r="AJ134" s="64" t="s" ph="1">
        <v>627</v>
      </c>
      <c r="AK134" s="64" t="s" ph="1">
        <v>629</v>
      </c>
      <c r="AY134" s="64" t="s" ph="1">
        <v>260</v>
      </c>
      <c r="AZ134" s="64" t="s" ph="1">
        <v>629</v>
      </c>
    </row>
    <row r="135" spans="33:52" ph="1">
      <c r="AH135" s="64" ph="1">
        <v>15</v>
      </c>
      <c r="AI135" s="64" t="s" ph="1">
        <v>573</v>
      </c>
      <c r="AJ135" s="64" t="s" ph="1">
        <v>627</v>
      </c>
      <c r="AK135" s="64" t="s" ph="1">
        <v>630</v>
      </c>
      <c r="AY135" s="64" t="s" ph="1">
        <v>260</v>
      </c>
      <c r="AZ135" s="64" t="s" ph="1">
        <v>630</v>
      </c>
    </row>
    <row r="136" spans="33:52" ph="1">
      <c r="AZ136" s="64" t="s" ph="1">
        <v>644</v>
      </c>
    </row>
    <row r="137" spans="33:52" ph="1">
      <c r="AG137" s="64" t="s" ph="1">
        <v>334</v>
      </c>
      <c r="AI137" s="64" t="s" ph="1">
        <v>253</v>
      </c>
      <c r="AJ137" s="64" t="s" ph="1">
        <v>254</v>
      </c>
      <c r="AK137" s="64" t="s" ph="1">
        <v>255</v>
      </c>
      <c r="AM137" s="64" t="s" ph="1">
        <v>254</v>
      </c>
      <c r="AN137" s="64" t="s" ph="1">
        <v>255</v>
      </c>
      <c r="AO137" s="64" t="s" ph="1">
        <v>256</v>
      </c>
      <c r="AP137" s="64" t="s" ph="1">
        <v>254</v>
      </c>
      <c r="AQ137" s="64" t="s" ph="1">
        <v>255</v>
      </c>
      <c r="AR137" s="64" t="s" ph="1">
        <v>256</v>
      </c>
      <c r="AS137" s="64" t="s" ph="1">
        <v>254</v>
      </c>
      <c r="AT137" s="64" t="s" ph="1">
        <v>255</v>
      </c>
      <c r="AU137" s="64" t="s" ph="1">
        <v>256</v>
      </c>
      <c r="AV137" s="64" t="s" ph="1">
        <v>254</v>
      </c>
      <c r="AW137" s="64" t="s" ph="1">
        <v>255</v>
      </c>
      <c r="AX137" s="64" t="s" ph="1">
        <v>256</v>
      </c>
      <c r="AY137" s="64" t="s" ph="1">
        <v>255</v>
      </c>
      <c r="AZ137" s="64" t="s" ph="1">
        <v>257</v>
      </c>
    </row>
    <row r="138" spans="33:52" ph="1">
      <c r="AH138" s="64" ph="1">
        <v>1</v>
      </c>
      <c r="AI138" s="64" t="s" ph="1">
        <v>574</v>
      </c>
      <c r="AJ138" s="64" t="s" ph="1">
        <v>575</v>
      </c>
      <c r="AK138" s="64" t="s" ph="1">
        <v>576</v>
      </c>
      <c r="AY138" s="64" t="s" ph="1">
        <v>260</v>
      </c>
      <c r="AZ138" s="64" t="s" ph="1">
        <v>576</v>
      </c>
    </row>
    <row r="139" spans="33:52" ph="1">
      <c r="AH139" s="64" ph="1">
        <v>2</v>
      </c>
      <c r="AI139" s="64" t="s" ph="1">
        <v>577</v>
      </c>
      <c r="AJ139" s="64" t="s" ph="1">
        <v>633</v>
      </c>
      <c r="AK139" s="64" t="s" ph="1">
        <v>645</v>
      </c>
      <c r="AY139" s="64" t="s" ph="1">
        <v>260</v>
      </c>
      <c r="AZ139" s="64" t="s" ph="1">
        <v>645</v>
      </c>
    </row>
    <row r="140" spans="33:52" ph="1">
      <c r="AH140" s="64" ph="1">
        <v>3</v>
      </c>
      <c r="AI140" s="64" t="s" ph="1">
        <v>578</v>
      </c>
      <c r="AJ140" s="64" t="s" ph="1">
        <v>531</v>
      </c>
      <c r="AK140" s="64" t="s" ph="1">
        <v>343</v>
      </c>
      <c r="AM140" s="64" t="s" ph="1">
        <v>532</v>
      </c>
      <c r="AN140" s="64" t="s" ph="1">
        <v>263</v>
      </c>
      <c r="AO140" s="64" t="s" ph="1">
        <v>579</v>
      </c>
      <c r="AP140" s="64" t="s" ph="1">
        <v>533</v>
      </c>
      <c r="AQ140" s="64" t="s" ph="1">
        <v>280</v>
      </c>
      <c r="AR140" s="64" t="s" ph="1">
        <v>579</v>
      </c>
      <c r="AS140" s="64" t="s" ph="1">
        <v>534</v>
      </c>
      <c r="AT140" s="64" t="s" ph="1">
        <v>273</v>
      </c>
      <c r="AU140" s="64" t="s" ph="1">
        <v>579</v>
      </c>
      <c r="AV140" s="64" t="s" ph="1">
        <v>535</v>
      </c>
      <c r="AW140" s="64" t="s" ph="1">
        <v>266</v>
      </c>
      <c r="AX140" s="64" t="s" ph="1">
        <v>579</v>
      </c>
      <c r="AY140" s="64" t="s" ph="1">
        <v>260</v>
      </c>
      <c r="AZ140" s="64" t="s" ph="1">
        <v>335</v>
      </c>
    </row>
    <row r="141" spans="33:52" ph="1">
      <c r="AJ141" s="64" t="s" ph="1">
        <v>537</v>
      </c>
      <c r="AK141" s="64" t="s" ph="1">
        <v>266</v>
      </c>
      <c r="AM141" s="64" t="s" ph="1">
        <v>538</v>
      </c>
      <c r="AN141" s="64" t="s" ph="1">
        <v>269</v>
      </c>
      <c r="AO141" s="64" t="s" ph="1">
        <v>579</v>
      </c>
      <c r="AP141" s="64" t="s" ph="1">
        <v>550</v>
      </c>
      <c r="AQ141" s="64" t="s" ph="1">
        <v>338</v>
      </c>
      <c r="AR141" s="64" t="s" ph="1">
        <v>579</v>
      </c>
      <c r="AS141" s="64" t="s" ph="1">
        <v>542</v>
      </c>
      <c r="AT141" s="64" t="s" ph="1">
        <v>266</v>
      </c>
      <c r="AU141" s="64" t="s" ph="1">
        <v>579</v>
      </c>
      <c r="AV141" s="64" t="s" ph="1">
        <v>378</v>
      </c>
      <c r="AW141" s="64" t="s" ph="1">
        <v>272</v>
      </c>
      <c r="AX141" s="64" t="s" ph="1">
        <v>579</v>
      </c>
    </row>
    <row r="142" spans="33:52" ph="1">
      <c r="AJ142" s="64" t="s" ph="1">
        <v>580</v>
      </c>
      <c r="AK142" s="64" t="s" ph="1">
        <v>283</v>
      </c>
    </row>
    <row r="143" spans="33:52" ph="1">
      <c r="AH143" s="64" ph="1">
        <v>4</v>
      </c>
      <c r="AI143" s="64" t="s" ph="1">
        <v>581</v>
      </c>
      <c r="AJ143" s="64" t="s" ph="1">
        <v>561</v>
      </c>
      <c r="AK143" s="64" t="s" ph="1">
        <v>582</v>
      </c>
      <c r="AY143" s="64" t="s" ph="1">
        <v>260</v>
      </c>
      <c r="AZ143" s="64" t="s" ph="1">
        <v>582</v>
      </c>
    </row>
    <row r="144" spans="33:52" ph="1">
      <c r="AH144" s="64" ph="1">
        <v>5</v>
      </c>
      <c r="AI144" s="64" t="s" ph="1">
        <v>583</v>
      </c>
      <c r="AY144" s="64" t="s" ph="1">
        <v>260</v>
      </c>
      <c r="AZ144" s="64" t="s" ph="1">
        <v>411</v>
      </c>
    </row>
    <row r="145" spans="33:52" ph="1">
      <c r="AH145" s="64" ph="1">
        <v>6</v>
      </c>
      <c r="AI145" s="64" t="s" ph="1">
        <v>584</v>
      </c>
      <c r="AY145" s="64" t="s" ph="1">
        <v>260</v>
      </c>
      <c r="AZ145" s="64" t="s" ph="1">
        <v>411</v>
      </c>
    </row>
    <row r="146" spans="33:52" ph="1">
      <c r="AH146" s="64" ph="1">
        <v>7</v>
      </c>
      <c r="AI146" s="64" t="s" ph="1">
        <v>585</v>
      </c>
      <c r="AY146" s="64" t="s" ph="1">
        <v>260</v>
      </c>
      <c r="AZ146" s="64" t="s" ph="1">
        <v>411</v>
      </c>
    </row>
    <row r="147" spans="33:52" ph="1">
      <c r="AH147" s="64" ph="1">
        <v>8</v>
      </c>
      <c r="AI147" s="64" t="s" ph="1">
        <v>586</v>
      </c>
      <c r="AY147" s="64" t="s" ph="1">
        <v>260</v>
      </c>
      <c r="AZ147" s="64" t="s" ph="1">
        <v>411</v>
      </c>
    </row>
    <row r="148" spans="33:52" ph="1">
      <c r="AH148" s="64" ph="1">
        <v>9</v>
      </c>
      <c r="AI148" s="64" t="s" ph="1">
        <v>587</v>
      </c>
      <c r="AY148" s="64" t="s" ph="1">
        <v>260</v>
      </c>
      <c r="AZ148" s="64" t="s" ph="1">
        <v>411</v>
      </c>
    </row>
    <row r="149" spans="33:52" ph="1">
      <c r="AH149" s="64" ph="1">
        <v>10</v>
      </c>
      <c r="AI149" s="64" t="s" ph="1">
        <v>588</v>
      </c>
      <c r="AY149" s="64" t="s" ph="1">
        <v>260</v>
      </c>
      <c r="AZ149" s="64" t="s" ph="1">
        <v>411</v>
      </c>
    </row>
    <row r="150" spans="33:52" ph="1">
      <c r="AH150" s="64" ph="1">
        <v>11</v>
      </c>
      <c r="AI150" s="64" t="s" ph="1">
        <v>589</v>
      </c>
      <c r="AY150" s="64" t="s" ph="1">
        <v>260</v>
      </c>
      <c r="AZ150" s="64" t="s" ph="1">
        <v>411</v>
      </c>
    </row>
    <row r="151" spans="33:52" ph="1">
      <c r="AH151" s="64" ph="1">
        <v>12</v>
      </c>
      <c r="AI151" s="64" t="s" ph="1">
        <v>590</v>
      </c>
      <c r="AY151" s="64" t="s" ph="1">
        <v>260</v>
      </c>
      <c r="AZ151" s="64" t="s" ph="1">
        <v>411</v>
      </c>
    </row>
    <row r="152" spans="33:52" ph="1">
      <c r="AH152" s="64" ph="1">
        <v>13</v>
      </c>
      <c r="AI152" s="64" t="s" ph="1">
        <v>591</v>
      </c>
      <c r="AY152" s="64" t="s" ph="1">
        <v>260</v>
      </c>
      <c r="AZ152" s="64" t="s" ph="1">
        <v>411</v>
      </c>
    </row>
    <row r="153" spans="33:52" ph="1">
      <c r="AH153" s="64" ph="1">
        <v>14</v>
      </c>
      <c r="AI153" s="64" t="s" ph="1">
        <v>592</v>
      </c>
      <c r="AY153" s="64" t="s" ph="1">
        <v>260</v>
      </c>
      <c r="AZ153" s="64" t="s" ph="1">
        <v>411</v>
      </c>
    </row>
    <row r="154" spans="33:52" ph="1">
      <c r="AH154" s="64" ph="1">
        <v>15</v>
      </c>
      <c r="AI154" s="64" t="s" ph="1">
        <v>593</v>
      </c>
      <c r="AY154" s="64" t="s" ph="1">
        <v>260</v>
      </c>
      <c r="AZ154" s="64" t="s" ph="1">
        <v>411</v>
      </c>
    </row>
    <row r="155" spans="33:52" ph="1">
      <c r="AH155" s="64" ph="1">
        <v>16</v>
      </c>
      <c r="AI155" s="64" t="s" ph="1">
        <v>594</v>
      </c>
      <c r="AJ155" s="64" t="s" ph="1">
        <v>380</v>
      </c>
      <c r="AK155" s="64" t="s" ph="1">
        <v>275</v>
      </c>
      <c r="AM155" s="64" t="s" ph="1">
        <v>614</v>
      </c>
      <c r="AN155" s="64" t="s" ph="1">
        <v>326</v>
      </c>
      <c r="AO155" s="64" t="s" ph="1">
        <v>579</v>
      </c>
      <c r="AY155" s="64" t="s" ph="1">
        <v>260</v>
      </c>
      <c r="AZ155" s="64" t="s" ph="1">
        <v>267</v>
      </c>
    </row>
    <row r="156" spans="33:52" ph="1">
      <c r="AZ156" s="64" t="s" ph="1">
        <v>646</v>
      </c>
    </row>
    <row r="157" spans="33:52" ph="1">
      <c r="AG157" s="64" t="s" ph="1">
        <v>595</v>
      </c>
      <c r="AI157" s="64" t="s" ph="1">
        <v>253</v>
      </c>
      <c r="AJ157" s="64" t="s" ph="1">
        <v>254</v>
      </c>
      <c r="AK157" s="64" t="s" ph="1">
        <v>255</v>
      </c>
      <c r="AM157" s="64" t="s" ph="1">
        <v>254</v>
      </c>
      <c r="AN157" s="64" t="s" ph="1">
        <v>255</v>
      </c>
      <c r="AO157" s="64" t="s" ph="1">
        <v>256</v>
      </c>
      <c r="AP157" s="64" t="s" ph="1">
        <v>254</v>
      </c>
      <c r="AQ157" s="64" t="s" ph="1">
        <v>255</v>
      </c>
      <c r="AR157" s="64" t="s" ph="1">
        <v>256</v>
      </c>
      <c r="AS157" s="64" t="s" ph="1">
        <v>254</v>
      </c>
      <c r="AT157" s="64" t="s" ph="1">
        <v>255</v>
      </c>
      <c r="AU157" s="64" t="s" ph="1">
        <v>256</v>
      </c>
      <c r="AV157" s="64" t="s" ph="1">
        <v>254</v>
      </c>
      <c r="AW157" s="64" t="s" ph="1">
        <v>255</v>
      </c>
      <c r="AX157" s="64" t="s" ph="1">
        <v>256</v>
      </c>
      <c r="AY157" s="64" t="s" ph="1">
        <v>255</v>
      </c>
      <c r="AZ157" s="64" t="s" ph="1">
        <v>257</v>
      </c>
    </row>
    <row r="158" spans="33:52" ph="1">
      <c r="AH158" s="64" ph="1">
        <v>1</v>
      </c>
      <c r="AI158" s="64" t="s" ph="1">
        <v>596</v>
      </c>
      <c r="AY158" s="64" t="s" ph="1">
        <v>260</v>
      </c>
      <c r="AZ158" s="64" t="s" ph="1">
        <v>411</v>
      </c>
    </row>
    <row r="159" spans="33:52" ph="1">
      <c r="AH159" s="64" ph="1">
        <v>2</v>
      </c>
      <c r="AI159" s="64" t="s" ph="1">
        <v>597</v>
      </c>
      <c r="AY159" s="64" t="s" ph="1">
        <v>260</v>
      </c>
      <c r="AZ159" s="64" t="s" ph="1">
        <v>411</v>
      </c>
    </row>
    <row r="160" spans="33:52" ph="1">
      <c r="AZ160" s="64" t="s" ph="1">
        <v>429</v>
      </c>
    </row>
    <row r="161" spans="33:52" ph="1">
      <c r="AG161" s="64" t="s" ph="1">
        <v>405</v>
      </c>
      <c r="AI161" s="64" t="s" ph="1">
        <v>253</v>
      </c>
      <c r="AJ161" s="64" t="s" ph="1">
        <v>254</v>
      </c>
      <c r="AK161" s="64" t="s" ph="1">
        <v>255</v>
      </c>
      <c r="AM161" s="64" t="s" ph="1">
        <v>254</v>
      </c>
      <c r="AN161" s="64" t="s" ph="1">
        <v>255</v>
      </c>
      <c r="AO161" s="64" t="s" ph="1">
        <v>256</v>
      </c>
      <c r="AP161" s="64" t="s" ph="1">
        <v>254</v>
      </c>
      <c r="AQ161" s="64" t="s" ph="1">
        <v>255</v>
      </c>
      <c r="AR161" s="64" t="s" ph="1">
        <v>256</v>
      </c>
      <c r="AS161" s="64" t="s" ph="1">
        <v>254</v>
      </c>
      <c r="AT161" s="64" t="s" ph="1">
        <v>255</v>
      </c>
      <c r="AU161" s="64" t="s" ph="1">
        <v>256</v>
      </c>
      <c r="AV161" s="64" t="s" ph="1">
        <v>254</v>
      </c>
      <c r="AW161" s="64" t="s" ph="1">
        <v>255</v>
      </c>
      <c r="AX161" s="64" t="s" ph="1">
        <v>256</v>
      </c>
      <c r="AY161" s="64" t="s" ph="1">
        <v>255</v>
      </c>
      <c r="AZ161" s="64" t="s" ph="1">
        <v>257</v>
      </c>
    </row>
    <row r="162" spans="33:52" ph="1">
      <c r="AH162" s="64" ph="1">
        <v>1</v>
      </c>
      <c r="AI162" s="64" t="s" ph="1">
        <v>598</v>
      </c>
      <c r="AJ162" s="64" t="s" ph="1">
        <v>599</v>
      </c>
      <c r="AK162" s="64" t="s" ph="1">
        <v>543</v>
      </c>
      <c r="AM162" s="64" t="s" ph="1">
        <v>600</v>
      </c>
      <c r="AN162" s="64" t="s" ph="1">
        <v>264</v>
      </c>
      <c r="AO162" s="64" t="s" ph="1">
        <v>601</v>
      </c>
      <c r="AY162" s="64" t="s" ph="1">
        <v>260</v>
      </c>
      <c r="AZ162" s="64" t="s" ph="1">
        <v>336</v>
      </c>
    </row>
    <row r="163" spans="33:52" ph="1">
      <c r="AH163" s="64" ph="1">
        <v>2</v>
      </c>
      <c r="AI163" s="64" t="s" ph="1">
        <v>602</v>
      </c>
      <c r="AJ163" s="64" t="s" ph="1">
        <v>599</v>
      </c>
      <c r="AK163" s="64" t="s" ph="1">
        <v>432</v>
      </c>
      <c r="AY163" s="64" t="s" ph="1">
        <v>260</v>
      </c>
      <c r="AZ163" s="64" t="s" ph="1">
        <v>432</v>
      </c>
    </row>
    <row r="164" spans="33:52" ph="1">
      <c r="AH164" s="64" ph="1">
        <v>3</v>
      </c>
      <c r="AI164" s="64" t="s" ph="1">
        <v>603</v>
      </c>
      <c r="AJ164" s="64" t="s" ph="1">
        <v>599</v>
      </c>
      <c r="AK164" s="64" t="s" ph="1">
        <v>336</v>
      </c>
      <c r="AY164" s="64" t="s" ph="1">
        <v>260</v>
      </c>
      <c r="AZ164" s="64" t="s" ph="1">
        <v>336</v>
      </c>
    </row>
    <row r="165" spans="33:52" ph="1">
      <c r="AH165" s="64" ph="1">
        <v>4</v>
      </c>
      <c r="AI165" s="64" t="s" ph="1">
        <v>604</v>
      </c>
      <c r="AY165" s="64" t="s" ph="1">
        <v>260</v>
      </c>
      <c r="AZ165" s="64" t="s" ph="1">
        <v>411</v>
      </c>
    </row>
    <row r="166" spans="33:52" ph="1">
      <c r="AH166" s="64" ph="1">
        <v>5</v>
      </c>
      <c r="AI166" s="64" t="s" ph="1">
        <v>605</v>
      </c>
      <c r="AY166" s="64" t="s" ph="1">
        <v>260</v>
      </c>
      <c r="AZ166" s="64" t="s" ph="1">
        <v>411</v>
      </c>
    </row>
    <row r="167" spans="33:52" ph="1">
      <c r="AZ167" s="64" t="s" ph="1">
        <v>606</v>
      </c>
    </row>
    <row r="168" spans="33:52" ph="1">
      <c r="AG168" s="64" t="s" ph="1">
        <v>349</v>
      </c>
      <c r="AI168" s="64" t="s" ph="1">
        <v>253</v>
      </c>
      <c r="AJ168" s="64" t="s" ph="1">
        <v>254</v>
      </c>
      <c r="AK168" s="64" t="s" ph="1">
        <v>255</v>
      </c>
      <c r="AM168" s="64" t="s" ph="1">
        <v>254</v>
      </c>
      <c r="AN168" s="64" t="s" ph="1">
        <v>255</v>
      </c>
      <c r="AO168" s="64" t="s" ph="1">
        <v>256</v>
      </c>
      <c r="AP168" s="64" t="s" ph="1">
        <v>254</v>
      </c>
      <c r="AQ168" s="64" t="s" ph="1">
        <v>255</v>
      </c>
      <c r="AR168" s="64" t="s" ph="1">
        <v>256</v>
      </c>
      <c r="AS168" s="64" t="s" ph="1">
        <v>254</v>
      </c>
      <c r="AT168" s="64" t="s" ph="1">
        <v>255</v>
      </c>
      <c r="AU168" s="64" t="s" ph="1">
        <v>256</v>
      </c>
      <c r="AV168" s="64" t="s" ph="1">
        <v>254</v>
      </c>
      <c r="AW168" s="64" t="s" ph="1">
        <v>255</v>
      </c>
      <c r="AX168" s="64" t="s" ph="1">
        <v>256</v>
      </c>
      <c r="AY168" s="64" t="s" ph="1">
        <v>255</v>
      </c>
      <c r="AZ168" s="64" t="s" ph="1">
        <v>257</v>
      </c>
    </row>
    <row r="169" spans="33:52" ph="1">
      <c r="AH169" s="64" ph="1">
        <v>1</v>
      </c>
      <c r="AI169" s="64" t="s" ph="1">
        <v>607</v>
      </c>
      <c r="AY169" s="64" t="s" ph="1">
        <v>260</v>
      </c>
      <c r="AZ169" s="64" t="s" ph="1">
        <v>411</v>
      </c>
    </row>
    <row r="170" spans="33:52" ph="1">
      <c r="AH170" s="64" ph="1">
        <v>2</v>
      </c>
      <c r="AI170" s="64" t="s" ph="1">
        <v>608</v>
      </c>
      <c r="AY170" s="64" t="s" ph="1">
        <v>260</v>
      </c>
      <c r="AZ170" s="64" t="s" ph="1">
        <v>411</v>
      </c>
    </row>
    <row r="171" spans="33:52" ph="1">
      <c r="AH171" s="64" ph="1">
        <v>3</v>
      </c>
      <c r="AI171" s="64" t="s" ph="1">
        <v>609</v>
      </c>
      <c r="AY171" s="64" t="s" ph="1">
        <v>260</v>
      </c>
      <c r="AZ171" s="64" t="s" ph="1">
        <v>411</v>
      </c>
    </row>
    <row r="172" spans="33:52" ph="1">
      <c r="AH172" s="64" ph="1">
        <v>4</v>
      </c>
      <c r="AI172" s="64" t="s" ph="1">
        <v>610</v>
      </c>
      <c r="AY172" s="64" t="s" ph="1">
        <v>260</v>
      </c>
      <c r="AZ172" s="64" t="s" ph="1">
        <v>411</v>
      </c>
    </row>
    <row r="173" spans="33:52" ph="1">
      <c r="AH173" s="64" ph="1">
        <v>5</v>
      </c>
      <c r="AI173" s="64" t="s" ph="1">
        <v>611</v>
      </c>
      <c r="AY173" s="64" t="s" ph="1">
        <v>260</v>
      </c>
      <c r="AZ173" s="64" t="s" ph="1">
        <v>411</v>
      </c>
    </row>
    <row r="174" spans="33:52" ph="1">
      <c r="AZ174" s="64" t="s" ph="1">
        <v>429</v>
      </c>
    </row>
    <row r="175" spans="33:52" ph="1">
      <c r="AJ175" s="64" t="s" ph="1">
        <v>350</v>
      </c>
    </row>
    <row r="176" spans="33:52" ph="1">
      <c r="AJ176" s="64" t="s" ph="1">
        <v>351</v>
      </c>
      <c r="AK176" s="64" t="s" ph="1">
        <v>352</v>
      </c>
      <c r="AM176" s="64" t="s" ph="1">
        <v>353</v>
      </c>
      <c r="AO176" s="64" t="s" ph="1">
        <v>354</v>
      </c>
      <c r="AP176" s="64" t="s" ph="1">
        <v>355</v>
      </c>
      <c r="AQ176" s="64" t="s" ph="1">
        <v>345</v>
      </c>
      <c r="AR176" s="64" t="s" ph="1">
        <v>265</v>
      </c>
    </row>
    <row r="177" spans="36:56" ph="1">
      <c r="AJ177" s="64" t="s" ph="1">
        <v>647</v>
      </c>
      <c r="AK177" s="64" t="s" ph="1">
        <v>356</v>
      </c>
      <c r="AO177" s="64" t="s" ph="1">
        <v>356</v>
      </c>
      <c r="AP177" s="64" t="s" ph="1">
        <v>356</v>
      </c>
      <c r="AQ177" s="64" t="s" ph="1">
        <v>357</v>
      </c>
      <c r="AR177" s="64" t="s" ph="1">
        <v>358</v>
      </c>
    </row>
    <row r="179" spans="36:56" ph="1">
      <c r="AJ179" s="64" t="s" ph="1">
        <v>359</v>
      </c>
      <c r="AK179" s="64" t="s" ph="1">
        <v>360</v>
      </c>
      <c r="AM179" s="64" t="s" ph="1">
        <v>361</v>
      </c>
      <c r="AN179" s="64" t="s" ph="1">
        <v>337</v>
      </c>
      <c r="AO179" s="64" t="s" ph="1">
        <v>362</v>
      </c>
      <c r="AP179" s="64" t="s" ph="1">
        <v>341</v>
      </c>
      <c r="AQ179" s="64" t="s" ph="1">
        <v>363</v>
      </c>
      <c r="AR179" s="64" t="s" ph="1">
        <v>364</v>
      </c>
    </row>
    <row r="180" spans="36:56" ph="1">
      <c r="AJ180" s="64" t="s" ph="1">
        <v>356</v>
      </c>
      <c r="AK180" s="64" t="s" ph="1">
        <v>356</v>
      </c>
      <c r="AL180" s="64" ph="1">
        <v>116</v>
      </c>
      <c r="AM180" s="64" t="s" ph="1">
        <v>356</v>
      </c>
      <c r="AN180" s="64" t="s" ph="1">
        <v>365</v>
      </c>
      <c r="AO180" s="64" t="s" ph="1">
        <v>356</v>
      </c>
      <c r="AP180" s="64" t="s" ph="1">
        <v>366</v>
      </c>
      <c r="AQ180" s="64" t="s" ph="1">
        <v>367</v>
      </c>
      <c r="AR180" s="64" t="s" ph="1">
        <v>368</v>
      </c>
    </row>
    <row r="189" spans="36:56" ph="1">
      <c r="BD189" s="64" t="s" ph="1">
        <v>612</v>
      </c>
    </row>
    <row r="223" spans="18:18" ph="1">
      <c r="R223" s="138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3" type="noConversion"/>
  <conditionalFormatting sqref="D4:D11">
    <cfRule type="expression" dxfId="1829" priority="93">
      <formula>ABS(D$7-D$10)&gt;=1000</formula>
    </cfRule>
  </conditionalFormatting>
  <conditionalFormatting sqref="E4 E6:E11">
    <cfRule type="expression" dxfId="1828" priority="92">
      <formula>ABS(E$7-E$10)&gt;=1000</formula>
    </cfRule>
  </conditionalFormatting>
  <conditionalFormatting sqref="F4:F11">
    <cfRule type="expression" dxfId="1827" priority="91">
      <formula>ABS(F$7-F$10)&gt;=1000</formula>
    </cfRule>
  </conditionalFormatting>
  <conditionalFormatting sqref="G4:G11">
    <cfRule type="expression" dxfId="1826" priority="90">
      <formula>ABS(G$7-G$10)&gt;=1000</formula>
    </cfRule>
  </conditionalFormatting>
  <conditionalFormatting sqref="H4:H11">
    <cfRule type="expression" dxfId="1825" priority="89">
      <formula>ABS(H$7-H$10)&gt;=1000</formula>
    </cfRule>
  </conditionalFormatting>
  <conditionalFormatting sqref="I4:I11">
    <cfRule type="expression" dxfId="1824" priority="88">
      <formula>ABS(I$7-I$10)&gt;=1000</formula>
    </cfRule>
  </conditionalFormatting>
  <conditionalFormatting sqref="J4:J11">
    <cfRule type="expression" dxfId="1823" priority="87">
      <formula>ABS(J$7-J$10)&gt;=1000</formula>
    </cfRule>
  </conditionalFormatting>
  <conditionalFormatting sqref="K4:K11">
    <cfRule type="expression" dxfId="1822" priority="86">
      <formula>ABS(K$7-K$10)&gt;=1000</formula>
    </cfRule>
  </conditionalFormatting>
  <conditionalFormatting sqref="L4:L11">
    <cfRule type="expression" dxfId="1821" priority="85">
      <formula>ABS(L$7-L$10)&gt;=1000</formula>
    </cfRule>
  </conditionalFormatting>
  <conditionalFormatting sqref="M4:M11">
    <cfRule type="expression" dxfId="1820" priority="84">
      <formula>ABS(M$7-M$10)&gt;=1000</formula>
    </cfRule>
  </conditionalFormatting>
  <conditionalFormatting sqref="N4:N11">
    <cfRule type="expression" dxfId="1819" priority="83">
      <formula>ABS(N$7-N$10)&gt;=1000</formula>
    </cfRule>
  </conditionalFormatting>
  <conditionalFormatting sqref="O4:O11">
    <cfRule type="expression" dxfId="1818" priority="82">
      <formula>ABS(O$7-O$10)&gt;=1000</formula>
    </cfRule>
  </conditionalFormatting>
  <conditionalFormatting sqref="P4:P11">
    <cfRule type="expression" dxfId="1817" priority="81">
      <formula>ABS(P$7-P$10)&gt;=1000</formula>
    </cfRule>
  </conditionalFormatting>
  <conditionalFormatting sqref="Q4:Q11">
    <cfRule type="expression" dxfId="1816" priority="80">
      <formula>ABS(Q$7-Q$10)&gt;=1000</formula>
    </cfRule>
  </conditionalFormatting>
  <conditionalFormatting sqref="R4:R11">
    <cfRule type="expression" dxfId="1815" priority="79">
      <formula>ABS(R$7-R$10)&gt;=1000</formula>
    </cfRule>
  </conditionalFormatting>
  <conditionalFormatting sqref="S4:S11">
    <cfRule type="expression" dxfId="1814" priority="78">
      <formula>ABS(S$7-S$10)&gt;=1000</formula>
    </cfRule>
  </conditionalFormatting>
  <conditionalFormatting sqref="T4:T9 T11">
    <cfRule type="expression" dxfId="1813" priority="77">
      <formula>ABS(T$7-T$10)&gt;=1000</formula>
    </cfRule>
  </conditionalFormatting>
  <conditionalFormatting sqref="U4:U9 U11">
    <cfRule type="expression" dxfId="1812" priority="76">
      <formula>ABS(U$7-U$10)&gt;=1000</formula>
    </cfRule>
  </conditionalFormatting>
  <conditionalFormatting sqref="V4:V9 V11">
    <cfRule type="expression" dxfId="1811" priority="75">
      <formula>ABS(V$7-V$10)&gt;=1000</formula>
    </cfRule>
  </conditionalFormatting>
  <conditionalFormatting sqref="W4:W9 W11">
    <cfRule type="expression" dxfId="1810" priority="74">
      <formula>ABS(W$7-W$10)&gt;=1000</formula>
    </cfRule>
  </conditionalFormatting>
  <conditionalFormatting sqref="X4:X9 X11">
    <cfRule type="expression" dxfId="1809" priority="73">
      <formula>ABS(X$7-X$10)&gt;=1000</formula>
    </cfRule>
  </conditionalFormatting>
  <conditionalFormatting sqref="Y4:Y9 Y11">
    <cfRule type="expression" dxfId="1808" priority="72">
      <formula>ABS(Y$7-Y$10)&gt;=1000</formula>
    </cfRule>
  </conditionalFormatting>
  <conditionalFormatting sqref="Z4:Z11">
    <cfRule type="expression" dxfId="1807" priority="71">
      <formula>ABS(Z$7-Z$10)&gt;=1000</formula>
    </cfRule>
  </conditionalFormatting>
  <conditionalFormatting sqref="AA4:AA11">
    <cfRule type="expression" dxfId="1806" priority="70">
      <formula>ABS(AA$7-AA$10)&gt;=1000</formula>
    </cfRule>
  </conditionalFormatting>
  <conditionalFormatting sqref="AB4:AB11">
    <cfRule type="expression" dxfId="1805" priority="69">
      <formula>ABS(AB$7-AB$10)&gt;=1000</formula>
    </cfRule>
  </conditionalFormatting>
  <conditionalFormatting sqref="AC4 AC6:AC11">
    <cfRule type="expression" dxfId="1804" priority="68">
      <formula>ABS(AC$7-AC$10)&gt;=1000</formula>
    </cfRule>
  </conditionalFormatting>
  <conditionalFormatting sqref="AD4:AD11">
    <cfRule type="expression" dxfId="1803" priority="67">
      <formula>ABS(AD$7-AD$10)&gt;=1000</formula>
    </cfRule>
  </conditionalFormatting>
  <conditionalFormatting sqref="AE4:AE11">
    <cfRule type="expression" dxfId="1802" priority="66">
      <formula>ABS(AE$7-AE$10)&gt;=1000</formula>
    </cfRule>
  </conditionalFormatting>
  <conditionalFormatting sqref="D13:D20">
    <cfRule type="expression" dxfId="1801" priority="65">
      <formula>ABS(D$16-D$19)&gt;=1000</formula>
    </cfRule>
  </conditionalFormatting>
  <conditionalFormatting sqref="E13:E20">
    <cfRule type="expression" dxfId="1800" priority="64">
      <formula>ABS(E$16-E$19)&gt;=1000</formula>
    </cfRule>
  </conditionalFormatting>
  <conditionalFormatting sqref="F13 F15:F20">
    <cfRule type="expression" dxfId="1799" priority="63">
      <formula>ABS(F$16-F$19)&gt;=1000</formula>
    </cfRule>
  </conditionalFormatting>
  <conditionalFormatting sqref="G13:G20">
    <cfRule type="expression" dxfId="1798" priority="62">
      <formula>ABS(G$16-G$19)&gt;=1000</formula>
    </cfRule>
  </conditionalFormatting>
  <conditionalFormatting sqref="H13:H20">
    <cfRule type="expression" dxfId="1797" priority="61">
      <formula>ABS(H$16-H$19)&gt;=1000</formula>
    </cfRule>
  </conditionalFormatting>
  <conditionalFormatting sqref="I13:I20">
    <cfRule type="expression" dxfId="1796" priority="60">
      <formula>ABS(I$16-I$19)&gt;=1000</formula>
    </cfRule>
  </conditionalFormatting>
  <conditionalFormatting sqref="J13:J20">
    <cfRule type="expression" dxfId="1795" priority="59">
      <formula>ABS(J$16-J$19)&gt;=1000</formula>
    </cfRule>
  </conditionalFormatting>
  <conditionalFormatting sqref="L13:L20">
    <cfRule type="expression" dxfId="1794" priority="58">
      <formula>ABS(L$16-L$19)&gt;=1000</formula>
    </cfRule>
  </conditionalFormatting>
  <conditionalFormatting sqref="M13 M15 M17:M18 M20">
    <cfRule type="expression" dxfId="1793" priority="57">
      <formula>ABS(M$16-M$19)&gt;=1000</formula>
    </cfRule>
  </conditionalFormatting>
  <conditionalFormatting sqref="N13:N20">
    <cfRule type="expression" dxfId="1792" priority="56">
      <formula>ABS(N$16-N$19)&gt;=1000</formula>
    </cfRule>
  </conditionalFormatting>
  <conditionalFormatting sqref="O13:O20">
    <cfRule type="expression" dxfId="1791" priority="55">
      <formula>ABS(O$16-O$19)&gt;=1000</formula>
    </cfRule>
  </conditionalFormatting>
  <conditionalFormatting sqref="P13:P20">
    <cfRule type="expression" dxfId="1790" priority="54">
      <formula>ABS(P$16-P$19)&gt;=1000</formula>
    </cfRule>
  </conditionalFormatting>
  <conditionalFormatting sqref="Q13 Q15:Q20">
    <cfRule type="expression" dxfId="1789" priority="53">
      <formula>ABS(Q$16-Q$19)&gt;=1000</formula>
    </cfRule>
  </conditionalFormatting>
  <conditionalFormatting sqref="R13:R20">
    <cfRule type="expression" dxfId="1788" priority="52">
      <formula>ABS(R$16-R$19)&gt;=1000</formula>
    </cfRule>
  </conditionalFormatting>
  <conditionalFormatting sqref="S13:S20">
    <cfRule type="expression" dxfId="1787" priority="51">
      <formula>ABS(S$16-S$19)&gt;=1000</formula>
    </cfRule>
  </conditionalFormatting>
  <conditionalFormatting sqref="T13:T20">
    <cfRule type="expression" dxfId="1786" priority="50">
      <formula>ABS(T$16-T$19)&gt;=1000</formula>
    </cfRule>
  </conditionalFormatting>
  <conditionalFormatting sqref="U13:U20">
    <cfRule type="expression" dxfId="1785" priority="49">
      <formula>ABS(U$16-U$19)&gt;=1000</formula>
    </cfRule>
  </conditionalFormatting>
  <conditionalFormatting sqref="V13:V20">
    <cfRule type="expression" dxfId="1784" priority="48">
      <formula>ABS(V$16-V$19)&gt;=1000</formula>
    </cfRule>
  </conditionalFormatting>
  <conditionalFormatting sqref="W13 W15:W18 W20">
    <cfRule type="expression" dxfId="1783" priority="47">
      <formula>ABS(W$16-W$19)&gt;=1000</formula>
    </cfRule>
  </conditionalFormatting>
  <conditionalFormatting sqref="X13 X15:X20 Y19">
    <cfRule type="expression" dxfId="1782" priority="46">
      <formula>ABS(X$16-X$19)&gt;=1000</formula>
    </cfRule>
  </conditionalFormatting>
  <conditionalFormatting sqref="Y13 Y15:Y18 Y20">
    <cfRule type="expression" dxfId="1781" priority="45">
      <formula>ABS(Y$16-Y$19)&gt;=1000</formula>
    </cfRule>
  </conditionalFormatting>
  <conditionalFormatting sqref="Z13:Z20">
    <cfRule type="expression" dxfId="1780" priority="44">
      <formula>ABS(Z$16-Z$19)&gt;=1000</formula>
    </cfRule>
  </conditionalFormatting>
  <conditionalFormatting sqref="AA13:AA20">
    <cfRule type="expression" dxfId="1779" priority="43">
      <formula>ABS(AA$16-AA$19)&gt;=1000</formula>
    </cfRule>
  </conditionalFormatting>
  <conditionalFormatting sqref="AB13 AB15:AB20">
    <cfRule type="expression" dxfId="1778" priority="42">
      <formula>ABS(AB$16-AB$19)&gt;=1000</formula>
    </cfRule>
  </conditionalFormatting>
  <conditionalFormatting sqref="AC13 AC15:AC20">
    <cfRule type="expression" dxfId="1777" priority="41">
      <formula>ABS(AC$16-AC$19)&gt;=1000</formula>
    </cfRule>
  </conditionalFormatting>
  <conditionalFormatting sqref="AD13:AD20">
    <cfRule type="expression" dxfId="1776" priority="40">
      <formula>ABS(AD$16-AD$19)&gt;=1000</formula>
    </cfRule>
  </conditionalFormatting>
  <conditionalFormatting sqref="AE13:AE20">
    <cfRule type="expression" dxfId="1775" priority="39">
      <formula>ABS(AE$16-AE$19)&gt;=1000</formula>
    </cfRule>
  </conditionalFormatting>
  <conditionalFormatting sqref="D22:D29">
    <cfRule type="expression" dxfId="1774" priority="38">
      <formula>ABS(D$25-D$28)&gt;=1000</formula>
    </cfRule>
  </conditionalFormatting>
  <conditionalFormatting sqref="E22:E29">
    <cfRule type="expression" dxfId="1773" priority="37">
      <formula>ABS(E$25-E$28)&gt;=1000</formula>
    </cfRule>
  </conditionalFormatting>
  <conditionalFormatting sqref="F22:F29">
    <cfRule type="expression" dxfId="1772" priority="36">
      <formula>ABS(F$25-F$28)&gt;=1000</formula>
    </cfRule>
  </conditionalFormatting>
  <conditionalFormatting sqref="G22:G29">
    <cfRule type="expression" dxfId="1771" priority="35">
      <formula>ABS(G$25-G$28)&gt;=1000</formula>
    </cfRule>
  </conditionalFormatting>
  <conditionalFormatting sqref="H22:H29">
    <cfRule type="expression" dxfId="1770" priority="34">
      <formula>ABS(H$25-H$28)&gt;=1000</formula>
    </cfRule>
  </conditionalFormatting>
  <conditionalFormatting sqref="I22 I24:I29">
    <cfRule type="expression" dxfId="1769" priority="33">
      <formula>ABS(I$25-I$28)&gt;=1000</formula>
    </cfRule>
  </conditionalFormatting>
  <conditionalFormatting sqref="J22:J29 K22">
    <cfRule type="expression" dxfId="1768" priority="32">
      <formula>ABS(J$25-J$28)&gt;=1000</formula>
    </cfRule>
  </conditionalFormatting>
  <conditionalFormatting sqref="K23:K29 L25 L28">
    <cfRule type="expression" dxfId="1767" priority="31">
      <formula>ABS(K$25-K$28)&gt;=1000</formula>
    </cfRule>
  </conditionalFormatting>
  <conditionalFormatting sqref="L22:L24 L26:L27 L29">
    <cfRule type="expression" dxfId="1766" priority="30">
      <formula>ABS(L$25-L$28)&gt;=1000</formula>
    </cfRule>
  </conditionalFormatting>
  <conditionalFormatting sqref="M22:M29">
    <cfRule type="expression" dxfId="1765" priority="29">
      <formula>ABS(M$25-M$28)&gt;=1000</formula>
    </cfRule>
  </conditionalFormatting>
  <conditionalFormatting sqref="N22:N29">
    <cfRule type="expression" dxfId="1764" priority="28">
      <formula>ABS(N$25-N$28)&gt;=1000</formula>
    </cfRule>
  </conditionalFormatting>
  <conditionalFormatting sqref="O22:O29">
    <cfRule type="expression" dxfId="1763" priority="27">
      <formula>ABS(O$25-O$28)&gt;=1000</formula>
    </cfRule>
  </conditionalFormatting>
  <conditionalFormatting sqref="P22:P29">
    <cfRule type="expression" dxfId="1762" priority="26">
      <formula>ABS(P$25-P$28)&gt;=1000</formula>
    </cfRule>
  </conditionalFormatting>
  <conditionalFormatting sqref="Q22:Q29">
    <cfRule type="expression" dxfId="1761" priority="25">
      <formula>ABS(Q$25-Q$28)&gt;=1000</formula>
    </cfRule>
  </conditionalFormatting>
  <conditionalFormatting sqref="R22:R29">
    <cfRule type="expression" dxfId="1760" priority="24">
      <formula>ABS(R$25-R$28)&gt;=1000</formula>
    </cfRule>
  </conditionalFormatting>
  <conditionalFormatting sqref="S22:S29">
    <cfRule type="expression" dxfId="1759" priority="23">
      <formula>ABS(S$25-S$28)&gt;=1000</formula>
    </cfRule>
  </conditionalFormatting>
  <conditionalFormatting sqref="T22:T29">
    <cfRule type="expression" dxfId="1758" priority="22">
      <formula>ABS(T$25-T$28)&gt;=1000</formula>
    </cfRule>
  </conditionalFormatting>
  <conditionalFormatting sqref="U22:U29">
    <cfRule type="expression" dxfId="1757" priority="21">
      <formula>ABS(U$25-U$28)&gt;=1000</formula>
    </cfRule>
  </conditionalFormatting>
  <conditionalFormatting sqref="V22:V29">
    <cfRule type="expression" dxfId="1756" priority="20">
      <formula>ABS(V$25-V$28)&gt;=1000</formula>
    </cfRule>
  </conditionalFormatting>
  <conditionalFormatting sqref="W22:W29">
    <cfRule type="expression" dxfId="1755" priority="19">
      <formula>ABS(W$25-W$28)&gt;=1000</formula>
    </cfRule>
  </conditionalFormatting>
  <conditionalFormatting sqref="X22:X29">
    <cfRule type="expression" dxfId="1754" priority="18">
      <formula>ABS(X$25-X$28)&gt;=1000</formula>
    </cfRule>
  </conditionalFormatting>
  <conditionalFormatting sqref="Y22:Y29">
    <cfRule type="expression" dxfId="1753" priority="17">
      <formula>ABS(Y$25-Y$28)&gt;=1000</formula>
    </cfRule>
  </conditionalFormatting>
  <conditionalFormatting sqref="I23">
    <cfRule type="expression" dxfId="1752" priority="16">
      <formula>ABS(I$25-I$28)&gt;=1000</formula>
    </cfRule>
  </conditionalFormatting>
  <conditionalFormatting sqref="F14">
    <cfRule type="expression" dxfId="1751" priority="15">
      <formula>ABS(F$16-F$19)&gt;=1000</formula>
    </cfRule>
  </conditionalFormatting>
  <conditionalFormatting sqref="Q14">
    <cfRule type="expression" dxfId="1750" priority="14">
      <formula>ABS(Q$16-Q$19)&gt;=1000</formula>
    </cfRule>
  </conditionalFormatting>
  <conditionalFormatting sqref="W14">
    <cfRule type="expression" dxfId="1749" priority="13">
      <formula>ABS(W$16-W$19)&gt;=1000</formula>
    </cfRule>
  </conditionalFormatting>
  <conditionalFormatting sqref="Y14">
    <cfRule type="expression" dxfId="1748" priority="12">
      <formula>ABS(Y$16-Y$19)&gt;=1000</formula>
    </cfRule>
  </conditionalFormatting>
  <conditionalFormatting sqref="X14">
    <cfRule type="expression" dxfId="1747" priority="11">
      <formula>ABS(X$16-X$19)&gt;=1000</formula>
    </cfRule>
  </conditionalFormatting>
  <conditionalFormatting sqref="T10:Y10">
    <cfRule type="expression" dxfId="1746" priority="10">
      <formula>ABS(T$7-T$10)&gt;=1000</formula>
    </cfRule>
  </conditionalFormatting>
  <conditionalFormatting sqref="W19">
    <cfRule type="expression" dxfId="1745" priority="9">
      <formula>ABS(W$16-W$19)&gt;=1000</formula>
    </cfRule>
  </conditionalFormatting>
  <conditionalFormatting sqref="AC5">
    <cfRule type="expression" dxfId="1744" priority="8">
      <formula>ABS(AC$7-AC$10)&gt;=1000</formula>
    </cfRule>
  </conditionalFormatting>
  <conditionalFormatting sqref="M14">
    <cfRule type="expression" dxfId="1743" priority="7">
      <formula>ABS(M$16-M$19)&gt;=1000</formula>
    </cfRule>
  </conditionalFormatting>
  <conditionalFormatting sqref="M16">
    <cfRule type="expression" dxfId="1742" priority="6">
      <formula>ABS(M$16-M$19)&gt;=1000</formula>
    </cfRule>
  </conditionalFormatting>
  <conditionalFormatting sqref="M19">
    <cfRule type="expression" dxfId="1741" priority="5">
      <formula>ABS(M$16-M$19)&gt;=1000</formula>
    </cfRule>
  </conditionalFormatting>
  <conditionalFormatting sqref="K13:K20">
    <cfRule type="expression" dxfId="1740" priority="4">
      <formula>ABS(K$16-K$19)&gt;=1000</formula>
    </cfRule>
  </conditionalFormatting>
  <conditionalFormatting sqref="E5">
    <cfRule type="expression" dxfId="1739" priority="2">
      <formula>ABS(E$7-E$10)&gt;=1000</formula>
    </cfRule>
  </conditionalFormatting>
  <conditionalFormatting sqref="AB14:AC14">
    <cfRule type="expression" dxfId="1738" priority="1">
      <formula>ABS(AB$16-AB$19)&gt;=1000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6339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50">
    <pageSetUpPr fitToPage="1"/>
  </sheetPr>
  <dimension ref="A1:CU223"/>
  <sheetViews>
    <sheetView view="pageBreakPreview" topLeftCell="A10" zoomScale="70" zoomScaleNormal="100" zoomScaleSheetLayoutView="70" workbookViewId="0">
      <selection activeCell="K15" sqref="K15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36" t="s" ph="1">
        <v>195</v>
      </c>
      <c r="C1" s="236" ph="1"/>
      <c r="D1" s="236" ph="1"/>
      <c r="E1" s="236" ph="1"/>
      <c r="F1" s="236" ph="1"/>
      <c r="G1" s="236" ph="1"/>
      <c r="H1" s="236" ph="1"/>
      <c r="I1" s="236" ph="1"/>
      <c r="J1" s="236" ph="1"/>
      <c r="K1" s="236" ph="1"/>
      <c r="L1" s="236" ph="1"/>
      <c r="M1" s="236" ph="1"/>
      <c r="N1" s="236" ph="1"/>
      <c r="O1" s="236" ph="1"/>
      <c r="P1" s="236" ph="1"/>
      <c r="Q1" s="236" ph="1"/>
      <c r="R1" s="236" ph="1"/>
      <c r="S1" s="236" ph="1"/>
      <c r="T1" s="236" ph="1"/>
      <c r="U1" s="236" ph="1"/>
      <c r="V1" s="236" ph="1"/>
      <c r="W1" s="236" ph="1"/>
      <c r="X1" s="236" ph="1"/>
      <c r="Y1" s="236" ph="1"/>
      <c r="Z1" s="236" ph="1"/>
      <c r="AA1" s="236" ph="1"/>
      <c r="AB1" s="236" ph="1"/>
      <c r="AC1" s="236" ph="1"/>
      <c r="AD1" s="236" ph="1"/>
      <c r="AE1" s="236" ph="1"/>
    </row>
    <row r="2" spans="1:99" s="66" customFormat="1" ht="24" customHeight="1" ph="1">
      <c r="B2" s="237" t="s" ph="1">
        <v>99</v>
      </c>
      <c r="C2" s="237" ph="1"/>
      <c r="D2" s="237" ph="1"/>
      <c r="E2" s="237" ph="1"/>
      <c r="F2" s="237" ph="1"/>
      <c r="G2" s="237" ph="1"/>
      <c r="H2" s="237" ph="1"/>
      <c r="I2" s="237" ph="1"/>
      <c r="J2" s="237" ph="1"/>
      <c r="K2" s="237" ph="1"/>
      <c r="L2" s="237" ph="1"/>
      <c r="M2" s="237" ph="1"/>
      <c r="N2" s="237" ph="1"/>
      <c r="O2" s="237" ph="1"/>
      <c r="P2" s="237" ph="1"/>
      <c r="Q2" s="237" ph="1"/>
      <c r="R2" s="237" ph="1"/>
      <c r="S2" s="237" ph="1"/>
      <c r="T2" s="237" ph="1"/>
      <c r="U2" s="237" ph="1"/>
      <c r="V2" s="237" ph="1"/>
      <c r="W2" s="237" ph="1"/>
      <c r="X2" s="237" ph="1"/>
      <c r="Y2" s="237" ph="1"/>
      <c r="Z2" s="237" ph="1"/>
      <c r="AA2" s="237" ph="1"/>
      <c r="AB2" s="237" ph="1"/>
      <c r="AC2" s="237" ph="1"/>
      <c r="AD2" s="237" ph="1"/>
      <c r="AE2" s="237" ph="1"/>
    </row>
    <row r="3" spans="1:99" ht="21" customHeight="1" ph="1">
      <c r="B3" s="238" ph="1">
        <v>45664</v>
      </c>
      <c r="C3" s="238"/>
      <c r="D3" s="238"/>
      <c r="E3" s="238"/>
      <c r="F3" s="238"/>
      <c r="G3" s="238"/>
      <c r="H3" s="238"/>
      <c r="I3" s="238"/>
      <c r="J3" s="238"/>
      <c r="K3" s="238"/>
      <c r="L3" s="238"/>
      <c r="M3" s="238"/>
      <c r="N3" s="238"/>
      <c r="O3" s="238"/>
      <c r="P3" s="238"/>
      <c r="Q3" s="238"/>
      <c r="R3" s="238"/>
      <c r="S3" s="238"/>
      <c r="T3" s="238"/>
      <c r="U3" s="238"/>
      <c r="V3" s="238"/>
      <c r="W3" s="238"/>
      <c r="X3" s="238"/>
      <c r="Y3" s="238"/>
      <c r="Z3" s="238"/>
      <c r="AA3" s="238"/>
      <c r="AB3" s="238"/>
      <c r="AC3" s="238"/>
      <c r="AD3" s="238"/>
      <c r="AE3" s="238"/>
    </row>
    <row r="4" spans="1:99" s="69" customFormat="1" ph="1">
      <c r="A4" s="65" ph="1"/>
      <c r="B4" s="217" t="s" ph="1">
        <v>37</v>
      </c>
      <c r="C4" s="67" t="s" ph="1">
        <v>210</v>
      </c>
      <c r="D4" s="68" t="s" ph="1">
        <v>45</v>
      </c>
      <c r="E4" s="68" t="s" ph="1">
        <v>46</v>
      </c>
      <c r="F4" s="68" t="s" ph="1">
        <v>39</v>
      </c>
      <c r="G4" s="68" t="s" ph="1">
        <v>47</v>
      </c>
      <c r="H4" s="68" t="s" ph="1">
        <v>48</v>
      </c>
      <c r="I4" s="68" t="s" ph="1">
        <v>133</v>
      </c>
      <c r="J4" s="68" t="s" ph="1">
        <v>49</v>
      </c>
      <c r="K4" s="68" t="s" ph="1">
        <v>134</v>
      </c>
      <c r="L4" s="68" t="s" ph="1">
        <v>135</v>
      </c>
      <c r="M4" s="68" t="s" ph="1">
        <v>50</v>
      </c>
      <c r="N4" s="68" t="s" ph="1">
        <v>51</v>
      </c>
      <c r="O4" s="68" t="s" ph="1">
        <v>137</v>
      </c>
      <c r="P4" s="68" t="s" ph="1">
        <v>139</v>
      </c>
      <c r="Q4" s="68" t="s" ph="1">
        <v>140</v>
      </c>
      <c r="R4" s="68" t="s" ph="1">
        <v>141</v>
      </c>
      <c r="S4" s="68" t="s" ph="1">
        <v>142</v>
      </c>
      <c r="T4" s="68" t="s" ph="1">
        <v>143</v>
      </c>
      <c r="U4" s="68" t="s" ph="1">
        <v>144</v>
      </c>
      <c r="V4" s="68" t="s" ph="1">
        <v>145</v>
      </c>
      <c r="W4" s="68" t="s" ph="1">
        <v>146</v>
      </c>
      <c r="X4" s="68" t="s" ph="1">
        <v>147</v>
      </c>
      <c r="Y4" s="68" t="s" ph="1">
        <v>148</v>
      </c>
      <c r="Z4" s="68" t="s" ph="1">
        <v>52</v>
      </c>
      <c r="AA4" s="68" t="s" ph="1">
        <v>149</v>
      </c>
      <c r="AB4" s="68" t="s" ph="1">
        <v>150</v>
      </c>
      <c r="AC4" s="68" t="s" ph="1">
        <v>151</v>
      </c>
      <c r="AD4" s="68" t="s" ph="1">
        <v>40</v>
      </c>
      <c r="AE4" s="68" t="s" ph="1">
        <v>152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7" ph="1"/>
      <c r="C5" s="67" t="s" ph="1">
        <v>36</v>
      </c>
      <c r="D5" s="70" t="s" ph="1">
        <v>194</v>
      </c>
      <c r="E5" s="70" t="s" ph="1">
        <v>55</v>
      </c>
      <c r="F5" s="70" t="s" ph="1">
        <v>130</v>
      </c>
      <c r="G5" s="70" t="s" ph="1">
        <v>56</v>
      </c>
      <c r="H5" s="70" t="s" ph="1">
        <v>56</v>
      </c>
      <c r="I5" s="70" t="s" ph="1">
        <v>57</v>
      </c>
      <c r="J5" s="70" t="s" ph="1">
        <v>58</v>
      </c>
      <c r="K5" s="70" t="s" ph="1">
        <v>59</v>
      </c>
      <c r="L5" s="70" t="s" ph="1">
        <v>136</v>
      </c>
      <c r="M5" s="70" t="s" ph="1">
        <v>60</v>
      </c>
      <c r="N5" s="70" t="s" ph="1">
        <v>61</v>
      </c>
      <c r="O5" s="70" t="s" ph="1">
        <v>138</v>
      </c>
      <c r="P5" s="70" t="s" ph="1">
        <v>88</v>
      </c>
      <c r="Q5" s="70" t="s" ph="1">
        <v>96</v>
      </c>
      <c r="R5" s="70" t="s" ph="1">
        <v>96</v>
      </c>
      <c r="S5" s="70" t="s" ph="1">
        <v>96</v>
      </c>
      <c r="T5" s="70" t="s" ph="1">
        <v>96</v>
      </c>
      <c r="U5" s="70" t="s" ph="1">
        <v>96</v>
      </c>
      <c r="V5" s="70" t="s" ph="1">
        <v>96</v>
      </c>
      <c r="W5" s="70" t="s" ph="1">
        <v>96</v>
      </c>
      <c r="X5" s="70" t="s" ph="1">
        <v>96</v>
      </c>
      <c r="Y5" s="70" t="s" ph="1">
        <v>96</v>
      </c>
      <c r="Z5" s="70" t="s" ph="1">
        <v>95</v>
      </c>
      <c r="AA5" s="70" t="s" ph="1">
        <v>62</v>
      </c>
      <c r="AB5" s="70" t="s" ph="1">
        <v>62</v>
      </c>
      <c r="AC5" s="70" t="s" ph="1">
        <v>222</v>
      </c>
      <c r="AD5" s="70" t="s" ph="1">
        <v>83</v>
      </c>
      <c r="AE5" s="70" t="s" ph="1">
        <v>153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5" ph="1">
        <v>0.33333333333333331</v>
      </c>
      <c r="C6" s="151" t="s" ph="1">
        <v>211</v>
      </c>
      <c r="D6" s="71">
        <v>4079</v>
      </c>
      <c r="E6" s="71">
        <v>0</v>
      </c>
      <c r="F6" s="71">
        <v>6469</v>
      </c>
      <c r="G6" s="71">
        <v>8893</v>
      </c>
      <c r="H6" s="71">
        <v>2819</v>
      </c>
      <c r="I6" s="71">
        <v>37.11</v>
      </c>
      <c r="J6" s="71">
        <v>79.92</v>
      </c>
      <c r="K6" s="71">
        <v>9.2100000000000009</v>
      </c>
      <c r="L6" s="71">
        <v>59.21</v>
      </c>
      <c r="M6" s="71">
        <v>5700</v>
      </c>
      <c r="N6" s="71">
        <v>6728</v>
      </c>
      <c r="O6" s="71">
        <v>1434</v>
      </c>
      <c r="P6" s="71">
        <v>763</v>
      </c>
      <c r="Q6" s="71">
        <v>0</v>
      </c>
      <c r="R6" s="71">
        <v>0</v>
      </c>
      <c r="S6" s="71">
        <v>0</v>
      </c>
      <c r="T6" s="71">
        <v>7196</v>
      </c>
      <c r="U6" s="71">
        <v>6251</v>
      </c>
      <c r="V6" s="71">
        <v>4821</v>
      </c>
      <c r="W6" s="71">
        <v>4234</v>
      </c>
      <c r="X6" s="71">
        <v>4900</v>
      </c>
      <c r="Y6" s="71">
        <v>0</v>
      </c>
      <c r="Z6" s="71">
        <v>4551</v>
      </c>
      <c r="AA6" s="71">
        <v>0</v>
      </c>
      <c r="AB6" s="71">
        <v>2935</v>
      </c>
      <c r="AC6" s="71">
        <v>6481</v>
      </c>
      <c r="AD6" s="71">
        <v>2135</v>
      </c>
      <c r="AE6" s="71">
        <v>3096</v>
      </c>
    </row>
    <row r="7" spans="1:99" s="72" customFormat="1" ht="22.5" ph="1">
      <c r="B7" s="235" ph="1"/>
      <c r="C7" s="68" t="s" ph="1">
        <v>212</v>
      </c>
      <c r="D7" s="73" ph="1">
        <f>D6*33.183*LOOKUP(D8,密度!$A$2:$A$50,密度!$Q$2:$Q$50)</f>
        <v>128964.77382959999</v>
      </c>
      <c r="E7" s="73" ph="1">
        <f>E6*51.53*LOOKUP(E8,密度!$A$2:$A$50,密度!$I$2:$I$50)</f>
        <v>0</v>
      </c>
      <c r="F7" s="73" ph="1">
        <f>F6*33.183*LOOKUP(F8,密度!$A$2:$A$50,密度!$C$2:$C$50)</f>
        <v>239518.55076659998</v>
      </c>
      <c r="G7" s="73" ph="1">
        <f xml:space="preserve"> (G6+2)*51.53*LOOKUP(G8,密度!$A$2:$A$50,密度!$B$2:$B$50)</f>
        <v>360820.48032000003</v>
      </c>
      <c r="H7" s="73" ph="1">
        <f>(H6)*51.53*LOOKUP(H8,密度!$A$2:$A$50,密度!$B$2:$B$50)</f>
        <v>115208.14081700001</v>
      </c>
      <c r="I7" s="73" ph="1">
        <f>I6*290.8*1.0267</f>
        <v>11079.7233996</v>
      </c>
      <c r="J7" s="73" ph="1">
        <f>J6*290.8*0.7892</f>
        <v>18341.588851200002</v>
      </c>
      <c r="K7" s="73" ph="1">
        <f>K6*290.8*1.1126</f>
        <v>2979.8409768000006</v>
      </c>
      <c r="L7" s="73" ph="1">
        <f>L6*290.8*0.777</f>
        <v>13378.594236000001</v>
      </c>
      <c r="M7" s="73" ph="1">
        <f>M6*33.183*LOOKUP(M8,密度!$A$2:$A$50,密度!$D$2:$D$50)</f>
        <v>195876.59436000002</v>
      </c>
      <c r="N7" s="73" ph="1">
        <f>N6*33.183*LOOKUP(N8,密度!$A$2:$A$50,密度!$E$2:$E$50)</f>
        <v>176929.76501999999</v>
      </c>
      <c r="O7" s="73" ph="1">
        <f>O6*20.428*LOOKUP(O8,密度!$A$2:$A$50,密度!$C$2:$C$50)</f>
        <v>32571.722848800004</v>
      </c>
      <c r="P7" s="73" ph="1">
        <f>P6*51.53*LOOKUP(P8,密度!$A$2:$A$50,密度!$B$2:$B$50)</f>
        <v>30950.649408000001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48322.363319999997</v>
      </c>
      <c r="U7" s="73" ph="1">
        <f>U6*1.5*1.5*3.1416*LOOKUP(U8,密度!$A$2:$A$50,密度!$L$2:$L$50)</f>
        <v>41799.7843956</v>
      </c>
      <c r="V7" s="73" ph="1">
        <f>V6*1.5*1.5*3.1416*LOOKUP(V8,密度!$A$2:$A$50,密度!$L$2:$L$50)</f>
        <v>32067.135084599999</v>
      </c>
      <c r="W7" s="73" ph="1">
        <f>W6*1.5*1.5*3.1416*LOOKUP(W8,密度!$A$2:$A$50,密度!$L$2:$L$50)</f>
        <v>28252.459065599996</v>
      </c>
      <c r="X7" s="73" ph="1">
        <f>X6*1.5*1.5*3.1416*LOOKUP(X8,密度!$A$2:$A$50,密度!$L$2:$L$50)</f>
        <v>33077.513699999996</v>
      </c>
      <c r="Y7" s="73" ph="1">
        <f>Y6*1.5*1.5*3.1416*LOOKUP(Y8,密度!$A$2:$A$50,密度!$L$2:$L$50)</f>
        <v>0</v>
      </c>
      <c r="Z7" s="73" ph="1">
        <f>Z6*33.183*LOOKUP(Z8,密度!$A$2:$A$50,密度!$L$2:$L$50)</f>
        <v>143314.025517</v>
      </c>
      <c r="AA7" s="73" ph="1">
        <f>AA6*33.183*LOOKUP(AA8,密度!$A$2:$A$50,密度!$D$2:$D$50)</f>
        <v>0</v>
      </c>
      <c r="AB7" s="73" ph="1">
        <f>AB6*20.428*LOOKUP(AB8,密度!$A$2:$A$50,密度!$D$2:$D$50)</f>
        <v>62252.501693999999</v>
      </c>
      <c r="AC7" s="73" ph="1">
        <f>AC6*51.53*LOOKUP(AC8,密度!$A$2:$A$50,密度!$Q$2:$Q$50)</f>
        <v>318783.83882220002</v>
      </c>
      <c r="AD7" s="73" ph="1">
        <f>AD6*20.428*LOOKUP(AD8,密度!$A$2:$A$50,密度!$V$2:$V$50)</f>
        <v>42043.683919999996</v>
      </c>
      <c r="AE7" s="73" ph="1">
        <f>AE6*20.428</f>
        <v>63245.088000000003</v>
      </c>
    </row>
    <row r="8" spans="1:99" ph="1">
      <c r="B8" s="235" ph="1"/>
      <c r="C8" s="68" t="s" ph="1">
        <v>213</v>
      </c>
      <c r="D8" s="74">
        <v>17</v>
      </c>
      <c r="E8" s="74">
        <v>13</v>
      </c>
      <c r="F8" s="74">
        <v>15</v>
      </c>
      <c r="G8" s="74">
        <v>16</v>
      </c>
      <c r="H8" s="74">
        <v>9</v>
      </c>
      <c r="I8" s="74">
        <v>25</v>
      </c>
      <c r="J8" s="74">
        <v>25</v>
      </c>
      <c r="K8" s="74">
        <v>25</v>
      </c>
      <c r="L8" s="74">
        <v>25</v>
      </c>
      <c r="M8" s="74">
        <v>15</v>
      </c>
      <c r="N8" s="74">
        <v>17</v>
      </c>
      <c r="O8" s="74">
        <v>21</v>
      </c>
      <c r="P8" s="74">
        <v>16</v>
      </c>
      <c r="Q8" s="74">
        <v>12</v>
      </c>
      <c r="R8" s="74">
        <v>20</v>
      </c>
      <c r="S8" s="74">
        <v>8</v>
      </c>
      <c r="T8" s="74">
        <v>12</v>
      </c>
      <c r="U8" s="74">
        <v>16</v>
      </c>
      <c r="V8" s="74">
        <v>21</v>
      </c>
      <c r="W8" s="74">
        <v>18</v>
      </c>
      <c r="X8" s="74">
        <v>7</v>
      </c>
      <c r="Y8" s="74">
        <v>13</v>
      </c>
      <c r="Z8" s="74">
        <v>13</v>
      </c>
      <c r="AA8" s="74">
        <v>14</v>
      </c>
      <c r="AB8" s="74">
        <v>12</v>
      </c>
      <c r="AC8" s="74">
        <v>13</v>
      </c>
      <c r="AD8" s="74">
        <v>14</v>
      </c>
      <c r="AE8" s="74">
        <v>15</v>
      </c>
    </row>
    <row r="9" spans="1:99" ph="1">
      <c r="B9" s="235" ph="1">
        <v>0.66666666666666663</v>
      </c>
      <c r="C9" s="151" t="s" ph="1">
        <v>214</v>
      </c>
      <c r="D9" s="71">
        <v>4078</v>
      </c>
      <c r="E9" s="71">
        <v>0</v>
      </c>
      <c r="F9" s="71">
        <v>6467</v>
      </c>
      <c r="G9" s="71">
        <v>8893</v>
      </c>
      <c r="H9" s="71">
        <v>3365</v>
      </c>
      <c r="I9" s="71">
        <v>39.119999999999997</v>
      </c>
      <c r="J9" s="71">
        <v>80.12</v>
      </c>
      <c r="K9" s="71">
        <v>9.16</v>
      </c>
      <c r="L9" s="71">
        <v>23.32</v>
      </c>
      <c r="M9" s="71">
        <v>5702</v>
      </c>
      <c r="N9" s="71">
        <v>6733</v>
      </c>
      <c r="O9" s="71">
        <v>506</v>
      </c>
      <c r="P9" s="71">
        <v>569</v>
      </c>
      <c r="Q9" s="71">
        <v>1445</v>
      </c>
      <c r="R9" s="71">
        <v>0</v>
      </c>
      <c r="S9" s="71">
        <v>0</v>
      </c>
      <c r="T9" s="71">
        <v>7202</v>
      </c>
      <c r="U9" s="71">
        <v>6253</v>
      </c>
      <c r="V9" s="71">
        <v>4825</v>
      </c>
      <c r="W9" s="71">
        <v>6500</v>
      </c>
      <c r="X9" s="71">
        <v>4900</v>
      </c>
      <c r="Y9" s="71">
        <v>3000</v>
      </c>
      <c r="Z9" s="71">
        <v>3042</v>
      </c>
      <c r="AA9" s="71">
        <v>0</v>
      </c>
      <c r="AB9" s="71">
        <v>2779</v>
      </c>
      <c r="AC9" s="71">
        <v>6773</v>
      </c>
      <c r="AD9" s="71">
        <v>2140</v>
      </c>
      <c r="AE9" s="71">
        <v>3896</v>
      </c>
    </row>
    <row r="10" spans="1:99" s="72" customFormat="1" ht="22.5" ph="1">
      <c r="B10" s="235" ph="1"/>
      <c r="C10" s="151" t="s" ph="1">
        <v>212</v>
      </c>
      <c r="D10" s="73" ph="1">
        <f>D9*33.183*LOOKUP(D11,密度!$A$2:$A$50,密度!$Q$2:$Q$50)</f>
        <v>128826.25405074001</v>
      </c>
      <c r="E10" s="73" ph="1">
        <f>E9*51.53*LOOKUP(E11,密度!$A$2:$A$50,密度!$I$2:$I$50)</f>
        <v>0</v>
      </c>
      <c r="F10" s="73" ph="1">
        <f>F9*33.183*LOOKUP(F11,密度!$A$2:$A$50,密度!$C$2:$C$50)</f>
        <v>239165.52678450002</v>
      </c>
      <c r="G10" s="73" ph="1">
        <f xml:space="preserve"> (G9+2)*51.53*LOOKUP(G11,密度!$A$2:$A$50,密度!$B$2:$B$50)</f>
        <v>360453.79284000001</v>
      </c>
      <c r="H10" s="73" ph="1">
        <f>(H9)*51.53*LOOKUP(H11,密度!$A$2:$A$50,密度!$B$2:$B$50)</f>
        <v>136932.75596499999</v>
      </c>
      <c r="I10" s="73" ph="1">
        <f>I9*290.8*1.0267</f>
        <v>11679.837763199999</v>
      </c>
      <c r="J10" s="73" ph="1">
        <f>J9*290.8*0.7892</f>
        <v>18387.4887232</v>
      </c>
      <c r="K10" s="73" ph="1">
        <f>K9*290.8*1.1126</f>
        <v>2963.6637728000001</v>
      </c>
      <c r="L10" s="73" ph="1">
        <f>L9*290.8*0.777</f>
        <v>5269.1913119999999</v>
      </c>
      <c r="M10" s="73" ph="1">
        <f>M9*33.183*LOOKUP(M11,密度!$A$2:$A$50,密度!$D$2:$D$50)</f>
        <v>195472.29932459997</v>
      </c>
      <c r="N10" s="73" ph="1">
        <f>N9*33.183*LOOKUP(N11,密度!$A$2:$A$50,密度!$E$2:$E$50)</f>
        <v>176569.72615169999</v>
      </c>
      <c r="O10" s="73" ph="1">
        <f>O9*20.428*LOOKUP(O11,密度!$A$2:$A$50,密度!$C$2:$C$50)</f>
        <v>11462.220255200002</v>
      </c>
      <c r="P10" s="73" ph="1">
        <f>P9*51.53*LOOKUP(P11,密度!$A$2:$A$50,密度!$B$2:$B$50)</f>
        <v>23037.171848999998</v>
      </c>
      <c r="Q10" s="73" ph="1">
        <f>Q9*1.5*1.5*3.1416*LOOKUP(W11,密度!$A$2:$A$50,密度!$L$2:$L$50)</f>
        <v>9642.1358880000007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48209.930168399995</v>
      </c>
      <c r="U10" s="73" ph="1">
        <f>U9*1.5*1.5*3.1416*LOOKUP(U11,密度!$A$2:$A$50,密度!$L$2:$L$50)</f>
        <v>41768.958230999997</v>
      </c>
      <c r="V10" s="73" ph="1">
        <f>V9*1.5*1.5*3.1416*LOOKUP(V11,密度!$A$2:$A$50,密度!$L$2:$L$50)</f>
        <v>31991.423310000002</v>
      </c>
      <c r="W10" s="73" ph="1">
        <f>W9*1.5*1.5*3.1416*LOOKUP(W11,密度!$A$2:$A$50,密度!$L$2:$L$50)</f>
        <v>43372.929599999996</v>
      </c>
      <c r="X10" s="73" ph="1">
        <f>X9*1.5*1.5*3.1416*LOOKUP(X11,密度!$A$2:$A$50,密度!$L$2:$L$50)</f>
        <v>32904.332999999999</v>
      </c>
      <c r="Y10" s="73" ph="1">
        <f>Y9*1.5*1.5*3.1416*LOOKUP(Y11,密度!$A$2:$A$50,密度!$L$2:$L$50)</f>
        <v>20060.686799999999</v>
      </c>
      <c r="Z10" s="73" ph="1">
        <f>Z9*33.183*LOOKUP(Z11,密度!$A$2:$A$50,密度!$L$2:$L$50)</f>
        <v>95592.723641999997</v>
      </c>
      <c r="AA10" s="73" ph="1">
        <f>AA9*33.183*LOOKUP(AA11,密度!$A$2:$A$50,密度!$D$2:$D$50)</f>
        <v>0</v>
      </c>
      <c r="AB10" s="73" ph="1">
        <f>AB9*20.428*LOOKUP(AB11,密度!$A$2:$A$50,密度!$D$2:$D$50)</f>
        <v>59091.280950799999</v>
      </c>
      <c r="AC10" s="73" ph="1">
        <f>AC9*51.53*LOOKUP(AC11,密度!$A$2:$A$50,密度!$Q$2:$Q$50)</f>
        <v>332539.29103199998</v>
      </c>
      <c r="AD10" s="73" ph="1">
        <f>AD9*20.428*LOOKUP(AD11,密度!$A$2:$A$50,密度!$V$2:$V$50)</f>
        <v>42142.14688</v>
      </c>
      <c r="AE10" s="73" ph="1">
        <f>AE9*20.428</f>
        <v>79587.487999999998</v>
      </c>
    </row>
    <row r="11" spans="1:99" ph="1">
      <c r="A11" s="64" t="s" ph="1">
        <v>196</v>
      </c>
      <c r="B11" s="235" ph="1"/>
      <c r="C11" s="151" t="s" ph="1">
        <v>213</v>
      </c>
      <c r="D11" s="74">
        <v>18</v>
      </c>
      <c r="E11" s="74">
        <v>18</v>
      </c>
      <c r="F11" s="74">
        <v>17</v>
      </c>
      <c r="G11" s="74">
        <v>17</v>
      </c>
      <c r="H11" s="74">
        <v>13</v>
      </c>
      <c r="I11" s="74">
        <v>25</v>
      </c>
      <c r="J11" s="74">
        <v>25</v>
      </c>
      <c r="K11" s="74">
        <v>25</v>
      </c>
      <c r="L11" s="74">
        <v>25</v>
      </c>
      <c r="M11" s="74">
        <v>18</v>
      </c>
      <c r="N11" s="74">
        <v>19</v>
      </c>
      <c r="O11" s="74">
        <v>25</v>
      </c>
      <c r="P11" s="74">
        <v>18</v>
      </c>
      <c r="Q11" s="74">
        <v>17</v>
      </c>
      <c r="R11" s="74">
        <v>25</v>
      </c>
      <c r="S11" s="74">
        <v>14</v>
      </c>
      <c r="T11" s="74">
        <v>15</v>
      </c>
      <c r="U11" s="74">
        <v>17</v>
      </c>
      <c r="V11" s="74">
        <v>24</v>
      </c>
      <c r="W11" s="74">
        <v>18</v>
      </c>
      <c r="X11" s="74">
        <v>12</v>
      </c>
      <c r="Y11" s="74">
        <v>16</v>
      </c>
      <c r="Z11" s="74">
        <v>15</v>
      </c>
      <c r="AA11" s="74">
        <v>17</v>
      </c>
      <c r="AB11" s="74">
        <v>9</v>
      </c>
      <c r="AC11" s="74">
        <v>17</v>
      </c>
      <c r="AD11" s="74">
        <v>17</v>
      </c>
      <c r="AE11" s="74">
        <v>29</v>
      </c>
    </row>
    <row r="12" spans="1:99" ht="9.9499999999999993" customHeight="1" ph="1"/>
    <row r="13" spans="1:99" s="72" customFormat="1" ht="29.25" customHeight="1" ph="1">
      <c r="B13" s="212" t="s" ph="1">
        <v>37</v>
      </c>
      <c r="C13" s="151" t="s" ph="1">
        <v>210</v>
      </c>
      <c r="D13" s="76" t="s" ph="1">
        <v>53</v>
      </c>
      <c r="E13" s="76" t="s" ph="1">
        <v>54</v>
      </c>
      <c r="F13" s="76" t="s" ph="1">
        <v>66</v>
      </c>
      <c r="G13" s="76" t="s" ph="1">
        <v>67</v>
      </c>
      <c r="H13" s="76" t="s" ph="1">
        <v>154</v>
      </c>
      <c r="I13" s="76" t="s" ph="1">
        <v>68</v>
      </c>
      <c r="J13" s="76" t="s" ph="1">
        <v>155</v>
      </c>
      <c r="K13" s="76" t="s" ph="1">
        <v>63</v>
      </c>
      <c r="L13" s="76" t="s" ph="1">
        <v>69</v>
      </c>
      <c r="M13" s="76" t="s" ph="1">
        <v>70</v>
      </c>
      <c r="N13" s="76" t="s" ph="1">
        <v>156</v>
      </c>
      <c r="O13" s="76" t="s" ph="1">
        <v>64</v>
      </c>
      <c r="P13" s="76" t="s" ph="1">
        <v>71</v>
      </c>
      <c r="Q13" s="76" t="s" ph="1">
        <v>72</v>
      </c>
      <c r="R13" s="76" t="s" ph="1">
        <v>73</v>
      </c>
      <c r="S13" s="76" t="s" ph="1">
        <v>74</v>
      </c>
      <c r="T13" s="76" t="s" ph="1">
        <v>75</v>
      </c>
      <c r="U13" s="76" t="s" ph="1">
        <v>76</v>
      </c>
      <c r="V13" s="76" t="s" ph="1">
        <v>157</v>
      </c>
      <c r="W13" s="76" t="s" ph="1">
        <v>158</v>
      </c>
      <c r="X13" s="76" t="s" ph="1">
        <v>159</v>
      </c>
      <c r="Y13" s="105" t="s" ph="1">
        <v>77</v>
      </c>
      <c r="Z13" s="76" t="s" ph="1">
        <v>86</v>
      </c>
      <c r="AA13" s="76" t="s" ph="1">
        <v>160</v>
      </c>
      <c r="AB13" s="76" t="s" ph="1">
        <v>161</v>
      </c>
      <c r="AC13" s="76" t="s" ph="1">
        <v>162</v>
      </c>
      <c r="AD13" s="76" t="s" ph="1">
        <v>163</v>
      </c>
      <c r="AE13" s="76" t="s" ph="1">
        <v>164</v>
      </c>
      <c r="AG13" s="72" t="s" ph="1">
        <v>369</v>
      </c>
      <c r="AH13" s="72" t="s" ph="1">
        <v>232</v>
      </c>
      <c r="AI13" s="72" t="s" ph="1">
        <v>233</v>
      </c>
      <c r="AJ13" s="72" t="s" ph="1">
        <v>234</v>
      </c>
      <c r="AK13" s="72" t="s" ph="1">
        <v>235</v>
      </c>
      <c r="AL13" s="72" t="s" ph="1">
        <v>236</v>
      </c>
      <c r="AM13" s="72" t="s" ph="1">
        <v>237</v>
      </c>
      <c r="AN13" s="72" t="s" ph="1">
        <v>238</v>
      </c>
      <c r="AO13" s="72" t="s" ph="1">
        <v>239</v>
      </c>
      <c r="AP13" s="72" t="s" ph="1">
        <v>240</v>
      </c>
      <c r="AQ13" s="72" t="s" ph="1">
        <v>241</v>
      </c>
      <c r="AR13" s="72" t="s" ph="1">
        <v>242</v>
      </c>
      <c r="AS13" s="72" t="s" ph="1">
        <v>243</v>
      </c>
      <c r="AT13" s="72" t="s" ph="1">
        <v>244</v>
      </c>
      <c r="AU13" s="72" t="s" ph="1">
        <v>245</v>
      </c>
      <c r="AV13" s="72" t="s" ph="1">
        <v>246</v>
      </c>
      <c r="AW13" s="72" t="s" ph="1">
        <v>247</v>
      </c>
      <c r="AX13" s="72" t="s" ph="1">
        <v>248</v>
      </c>
      <c r="AY13" s="72" t="s" ph="1">
        <v>370</v>
      </c>
      <c r="AZ13" s="72" t="s" ph="1">
        <v>249</v>
      </c>
      <c r="BA13" s="72" t="s" ph="1">
        <v>250</v>
      </c>
      <c r="BB13" s="72" t="s" ph="1">
        <v>635</v>
      </c>
      <c r="BC13" s="72" t="s" ph="1">
        <v>251</v>
      </c>
      <c r="BD13" s="72" t="s" ph="1">
        <v>371</v>
      </c>
      <c r="BE13" s="72" t="s" ph="1">
        <v>372</v>
      </c>
      <c r="BF13" s="72" t="s" ph="1">
        <v>373</v>
      </c>
      <c r="BG13" s="72" t="s" ph="1">
        <v>374</v>
      </c>
      <c r="BH13" s="72" t="s" ph="1">
        <v>375</v>
      </c>
    </row>
    <row r="14" spans="1:99" s="72" customFormat="1" ht="24" ph="1">
      <c r="B14" s="213" ph="1"/>
      <c r="C14" s="67" t="s" ph="1">
        <v>36</v>
      </c>
      <c r="D14" s="77" t="s" ph="1">
        <v>131</v>
      </c>
      <c r="E14" s="77" t="s" ph="1">
        <v>131</v>
      </c>
      <c r="F14" s="153" t="s" ph="1">
        <v>656</v>
      </c>
      <c r="G14" s="77" t="s" ph="1">
        <v>220</v>
      </c>
      <c r="H14" s="77" t="s" ph="1">
        <v>648</v>
      </c>
      <c r="I14" s="77" t="s" ph="1">
        <v>65</v>
      </c>
      <c r="J14" s="77" t="s" ph="1">
        <v>230</v>
      </c>
      <c r="K14" s="77" t="s" ph="1">
        <v>226</v>
      </c>
      <c r="L14" s="77" t="s" ph="1">
        <v>41</v>
      </c>
      <c r="M14" s="104" t="s" ph="1">
        <v>225</v>
      </c>
      <c r="N14" s="104" t="s" ph="1">
        <v>221</v>
      </c>
      <c r="O14" s="104" t="s" ph="1">
        <v>229</v>
      </c>
      <c r="P14" s="77" t="s" ph="1">
        <v>82</v>
      </c>
      <c r="Q14" s="77" t="s" ph="1">
        <v>82</v>
      </c>
      <c r="R14" s="88" t="s" ph="1">
        <v>7</v>
      </c>
      <c r="S14" s="77" t="s" ph="1">
        <v>82</v>
      </c>
      <c r="T14" s="77" t="s" ph="1">
        <v>98</v>
      </c>
      <c r="U14" s="77" t="s" ph="1">
        <v>103</v>
      </c>
      <c r="V14" s="77" t="s" ph="1">
        <v>649</v>
      </c>
      <c r="W14" s="77" t="s" ph="1">
        <v>223</v>
      </c>
      <c r="X14" s="77" t="s" ph="1">
        <v>78</v>
      </c>
      <c r="Y14" s="144" t="s" ph="1">
        <v>0</v>
      </c>
      <c r="Z14" s="77" t="s" ph="1">
        <v>62</v>
      </c>
      <c r="AA14" s="77" t="s" ph="1">
        <v>88</v>
      </c>
      <c r="AB14" s="77" t="s" ph="1">
        <v>653</v>
      </c>
      <c r="AC14" s="77" t="s" ph="1">
        <v>653</v>
      </c>
      <c r="AD14" s="77" t="s" ph="1">
        <v>136</v>
      </c>
      <c r="AE14" s="77" t="s" ph="1">
        <v>136</v>
      </c>
      <c r="AG14" s="72" t="s" ph="1">
        <v>252</v>
      </c>
      <c r="AI14" s="72" t="s" ph="1">
        <v>253</v>
      </c>
      <c r="AJ14" s="72" t="s" ph="1">
        <v>376</v>
      </c>
      <c r="AK14" s="72" t="s" ph="1">
        <v>254</v>
      </c>
      <c r="AM14" s="72" t="s" ph="1">
        <v>256</v>
      </c>
      <c r="AN14" s="72" t="s" ph="1">
        <v>254</v>
      </c>
      <c r="AO14" s="72" t="s" ph="1">
        <v>255</v>
      </c>
      <c r="AP14" s="72" t="s" ph="1">
        <v>256</v>
      </c>
      <c r="AQ14" s="72" t="s" ph="1">
        <v>254</v>
      </c>
      <c r="AR14" s="72" t="s" ph="1">
        <v>255</v>
      </c>
      <c r="AS14" s="72" t="s" ph="1">
        <v>256</v>
      </c>
      <c r="AT14" s="72" t="s" ph="1">
        <v>254</v>
      </c>
      <c r="AU14" s="72" t="s" ph="1">
        <v>255</v>
      </c>
      <c r="AV14" s="72" t="s" ph="1">
        <v>256</v>
      </c>
      <c r="AW14" s="72" t="s" ph="1">
        <v>254</v>
      </c>
      <c r="AX14" s="72" t="s" ph="1">
        <v>255</v>
      </c>
      <c r="AY14" s="72" t="s" ph="1">
        <v>256</v>
      </c>
      <c r="AZ14" s="72" t="s" ph="1">
        <v>255</v>
      </c>
    </row>
    <row r="15" spans="1:99" ph="1">
      <c r="B15" s="214" ph="1">
        <v>0.33333333333333331</v>
      </c>
      <c r="C15" s="151" t="s" ph="1">
        <v>211</v>
      </c>
      <c r="D15" s="78">
        <v>3100</v>
      </c>
      <c r="E15" s="78">
        <v>72</v>
      </c>
      <c r="F15" s="78">
        <v>3032</v>
      </c>
      <c r="G15" s="78">
        <v>2740</v>
      </c>
      <c r="H15" s="78">
        <v>1077</v>
      </c>
      <c r="I15" s="78">
        <v>15</v>
      </c>
      <c r="J15" s="78">
        <v>392</v>
      </c>
      <c r="K15" s="78">
        <v>1815</v>
      </c>
      <c r="L15" s="78">
        <v>5406</v>
      </c>
      <c r="M15" s="78">
        <v>3402</v>
      </c>
      <c r="N15" s="78">
        <v>1931</v>
      </c>
      <c r="O15" s="78">
        <v>3993</v>
      </c>
      <c r="P15" s="78">
        <v>0</v>
      </c>
      <c r="Q15" s="78">
        <v>6078</v>
      </c>
      <c r="R15" s="78">
        <v>3494</v>
      </c>
      <c r="S15" s="78">
        <v>5615</v>
      </c>
      <c r="T15" s="78">
        <v>1338</v>
      </c>
      <c r="U15" s="78">
        <v>5327</v>
      </c>
      <c r="V15" s="78">
        <v>-1189</v>
      </c>
      <c r="W15" s="78">
        <v>-593</v>
      </c>
      <c r="X15" s="78">
        <v>1072</v>
      </c>
      <c r="Y15" s="106">
        <v>-9901</v>
      </c>
      <c r="Z15" s="78">
        <v>0</v>
      </c>
      <c r="AA15" s="78">
        <v>28</v>
      </c>
      <c r="AB15" s="78" ph="1">
        <v>6276</v>
      </c>
      <c r="AC15" s="78" ph="1">
        <v>6502</v>
      </c>
      <c r="AD15" s="78">
        <v>51.43</v>
      </c>
      <c r="AE15" s="78">
        <v>84.42</v>
      </c>
      <c r="AG15" s="64" t="s" ph="1">
        <v>258</v>
      </c>
      <c r="AH15" s="64" ph="1">
        <v>1</v>
      </c>
      <c r="AI15" s="64" t="s" ph="1">
        <v>377</v>
      </c>
      <c r="AK15" s="64" t="s" ph="1">
        <v>631</v>
      </c>
      <c r="AM15" s="64" t="s" ph="1">
        <v>379</v>
      </c>
      <c r="AZ15" s="64" t="s" ph="1">
        <v>260</v>
      </c>
      <c r="BA15" s="64" ph="1">
        <v>0</v>
      </c>
    </row>
    <row r="16" spans="1:99" s="72" customFormat="1" ht="22.5" ph="1">
      <c r="B16" s="215" ph="1"/>
      <c r="C16" s="151" t="s" ph="1">
        <v>212</v>
      </c>
      <c r="D16" s="73" ph="1">
        <f>D15*7.0686*LOOKUP(D17,密度!$A$2:$A$50,密度!$L$2:$L$50)</f>
        <v>20729.376359999998</v>
      </c>
      <c r="E16" s="73" ph="1">
        <f>E15*7.0686*LOOKUP(E17,密度!$A$2:$A$50,密度!$L$2:$L$50)</f>
        <v>481.45648319999998</v>
      </c>
      <c r="F16" s="73" ph="1">
        <f>F15*9.0746*LOOKUP(F17,密度!$A$2:$A$50,密度!$L$2:$L$50)</f>
        <v>26028.421091199998</v>
      </c>
      <c r="G16" s="73" ph="1">
        <f>G15*9.0746*LOOKUP(G17,密度!$A$2:$A$50,密度!$B$2:$B$50)</f>
        <v>19593.150352000004</v>
      </c>
      <c r="H16" s="73" ph="1">
        <f>H15*9.0746*LOOKUP(H17,密度!$A$2:$A$50,密度!$L$2:$L$50)</f>
        <v>9304.2236783999997</v>
      </c>
      <c r="I16" s="73" ph="1">
        <f>I15*9.0746*LOOKUP(I17,密度!$A$2:$A$50,密度!$U$2:$U$50)</f>
        <v>139.93033199999999</v>
      </c>
      <c r="J16" s="73" ph="1">
        <f>J15*9.0746*LOOKUP(J17,密度!$A$2:$A$50,密度!$L$2:$L$50)</f>
        <v>3372.2665536</v>
      </c>
      <c r="K16" s="73" ph="1">
        <f>K15*9.0746*LOOKUP(K17,密度!$A$2:$A$50,密度!$C$2:$C$50)</f>
        <v>18390.847523400003</v>
      </c>
      <c r="L16" s="73" ph="1">
        <f>L15*9.0746*LOOKUP(L17,密度!$A$2:$A$50,密度!$E$2:$E$50)</f>
        <v>38931.86343936</v>
      </c>
      <c r="M16" s="73" ph="1">
        <f>M15*9.0746*LOOKUP(M17,密度!$A$2:$A$50,密度!$M$2:$M$50)</f>
        <v>27176.436032759997</v>
      </c>
      <c r="N16" s="73" ph="1">
        <f>N15*9.0746*LOOKUP(N17,密度!$A$2:$A$50,密度!$M$2:$M$50)</f>
        <v>15425.543203779998</v>
      </c>
      <c r="O16" s="73" ph="1">
        <f>O15*9.0746*LOOKUP(O17,密度!$A$2:$A$50,密度!$G$2:$G$50)</f>
        <v>35075.3617104</v>
      </c>
      <c r="P16" s="73" ph="1">
        <f ca="1">P15*9.0746*LOOKUP(P17,密度!$A$2:$A$51,密度!$Q$2:$Q$50)</f>
        <v>0</v>
      </c>
      <c r="Q16" s="73" ph="1">
        <f>Q15*9.0746*LOOKUP(Q17,密度!$A$2:$A$50,密度!$Q$2:$Q$50)</f>
        <v>52596.207367679999</v>
      </c>
      <c r="R16" s="73" ph="1">
        <f>MAX(R15*9.0746*LOOKUP(R17,密度!$A$2:$A$50,密度!$B$2:$B$50),0)</f>
        <v>24911.916790679999</v>
      </c>
      <c r="S16" s="73" ph="1">
        <f>S15*9.0746*LOOKUP(S17,密度!$A$2:$A$50,密度!$Q$2:$Q$50)</f>
        <v>48637.515660660007</v>
      </c>
      <c r="T16" s="73" ph="1">
        <f>T15*9.0746*LOOKUP(T17,密度!$A$2:$A$50,密度!$O$2:$O$50)</f>
        <v>11340.4550232</v>
      </c>
      <c r="U16" s="73" ph="1">
        <f>U15*9.0746*LOOKUP(U17,密度!$A$2:$A$50,密度!$H$2:$H$50)</f>
        <v>44797.043305140003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224.10041032800018</v>
      </c>
      <c r="X16" s="73" ph="1">
        <f>MAX(5600*LOOKUP(X17,密度!$A$2:$A$50,密度!$I$2:$I$50)+X15*9.0476*LOOKUP(X17,密度!$A$2:$A$50,密度!$I$2:$I$50),0)</f>
        <v>15946.17605056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201.08587631999998</v>
      </c>
      <c r="AB16" s="73" ph="1">
        <f>AB15*9.0746*LOOKUP(AB17,密度!$A$2:$A$50,密度!$L$2:$L$50)</f>
        <v>53762.866982399995</v>
      </c>
      <c r="AC16" s="73" ph="1">
        <f>AC15*9.0746*LOOKUP(AC17,密度!$A$2:$A$50,密度!$L$2:$L$50)</f>
        <v>55993.893690799996</v>
      </c>
      <c r="AD16" s="73" ph="1">
        <f>AD15*268.68*LOOKUP(AD17,密度!$A$2:$A$50,密度!B2:B50)+IF(AD15&lt;=0,0,1566*LOOKUP(AD17,密度!$A$2:$A$50,密度!B2:B50))</f>
        <v>11993.53198704</v>
      </c>
      <c r="AE16" s="73" ph="1">
        <f>AE15*268.68*LOOKUP(AE17,密度!$A$2:$A$50,密度!B2:B50)+IF(AE15&lt;=0,0,1566*LOOKUP(AE17,密度!$A$2:$A$50,密度!B2:B50))</f>
        <v>18903.713981759996</v>
      </c>
      <c r="AH16" s="72" ph="1">
        <v>2</v>
      </c>
      <c r="AI16" s="72" t="s" ph="1">
        <v>381</v>
      </c>
      <c r="AZ16" s="72" t="s" ph="1">
        <v>260</v>
      </c>
      <c r="BA16" s="72" ph="1">
        <v>0</v>
      </c>
    </row>
    <row r="17" spans="1:57" ph="1">
      <c r="A17" s="64" t="s" ph="1">
        <v>85</v>
      </c>
      <c r="B17" s="216" ph="1"/>
      <c r="C17" s="79" t="s" ph="1">
        <v>213</v>
      </c>
      <c r="D17" s="74">
        <v>16</v>
      </c>
      <c r="E17" s="74">
        <v>16</v>
      </c>
      <c r="F17" s="74">
        <v>16</v>
      </c>
      <c r="G17" s="74">
        <v>15</v>
      </c>
      <c r="H17" s="74">
        <v>10</v>
      </c>
      <c r="I17" s="74">
        <v>13</v>
      </c>
      <c r="J17" s="74">
        <v>14</v>
      </c>
      <c r="K17" s="74">
        <v>14</v>
      </c>
      <c r="L17" s="74">
        <v>16</v>
      </c>
      <c r="M17" s="74">
        <v>16</v>
      </c>
      <c r="N17" s="74">
        <v>15</v>
      </c>
      <c r="O17" s="74">
        <v>18</v>
      </c>
      <c r="P17" s="74">
        <v>12</v>
      </c>
      <c r="Q17" s="74">
        <v>16</v>
      </c>
      <c r="R17" s="74">
        <v>18</v>
      </c>
      <c r="S17" s="74">
        <v>15</v>
      </c>
      <c r="T17" s="74">
        <v>15</v>
      </c>
      <c r="U17" s="74">
        <v>13</v>
      </c>
      <c r="V17" s="74">
        <v>15</v>
      </c>
      <c r="W17" s="74">
        <v>14</v>
      </c>
      <c r="X17" s="74">
        <v>25</v>
      </c>
      <c r="Y17" s="108">
        <v>25</v>
      </c>
      <c r="Z17" s="74">
        <v>14</v>
      </c>
      <c r="AA17" s="74">
        <v>11</v>
      </c>
      <c r="AB17" s="74">
        <v>18</v>
      </c>
      <c r="AC17" s="74">
        <v>13</v>
      </c>
      <c r="AD17" s="74">
        <v>25</v>
      </c>
      <c r="AE17" s="74">
        <v>25</v>
      </c>
      <c r="AH17" s="64" ph="1">
        <v>3</v>
      </c>
      <c r="AI17" s="64" t="s" ph="1">
        <v>382</v>
      </c>
      <c r="AK17" s="64" t="s" ph="1">
        <v>614</v>
      </c>
      <c r="AL17" s="64" ph="1">
        <v>80</v>
      </c>
      <c r="AM17" s="64" t="s" ph="1">
        <v>379</v>
      </c>
      <c r="AZ17" s="64" t="s" ph="1">
        <v>260</v>
      </c>
      <c r="BA17" s="64" ph="1">
        <v>80</v>
      </c>
      <c r="BD17" s="64" t="s" ph="1">
        <v>258</v>
      </c>
      <c r="BE17" s="64" ph="1">
        <v>2270</v>
      </c>
    </row>
    <row r="18" spans="1:57" ph="1">
      <c r="B18" s="214" ph="1">
        <v>0.66666666666666663</v>
      </c>
      <c r="C18" s="79" t="s" ph="1">
        <v>214</v>
      </c>
      <c r="D18" s="71">
        <v>0</v>
      </c>
      <c r="E18" s="71">
        <v>71</v>
      </c>
      <c r="F18" s="71">
        <v>3033</v>
      </c>
      <c r="G18" s="71">
        <v>2765</v>
      </c>
      <c r="H18" s="71">
        <v>1077</v>
      </c>
      <c r="I18" s="71">
        <v>125</v>
      </c>
      <c r="J18" s="71">
        <v>391</v>
      </c>
      <c r="K18" s="71">
        <v>1815</v>
      </c>
      <c r="L18" s="71">
        <v>5413</v>
      </c>
      <c r="M18" s="71">
        <v>1547</v>
      </c>
      <c r="N18" s="71">
        <v>1959</v>
      </c>
      <c r="O18" s="71">
        <v>232</v>
      </c>
      <c r="P18" s="71">
        <v>0</v>
      </c>
      <c r="Q18" s="71">
        <v>6083</v>
      </c>
      <c r="R18" s="71">
        <v>3496</v>
      </c>
      <c r="S18" s="71">
        <v>5618</v>
      </c>
      <c r="T18" s="71">
        <v>6652</v>
      </c>
      <c r="U18" s="71">
        <v>1557</v>
      </c>
      <c r="V18" s="71">
        <v>-1191</v>
      </c>
      <c r="W18" s="71">
        <v>-594</v>
      </c>
      <c r="X18" s="71">
        <v>1070</v>
      </c>
      <c r="Y18" s="109">
        <v>-9901</v>
      </c>
      <c r="Z18" s="71">
        <v>0</v>
      </c>
      <c r="AA18" s="71">
        <v>28</v>
      </c>
      <c r="AB18" s="71">
        <v>6286</v>
      </c>
      <c r="AC18" s="71">
        <v>6509</v>
      </c>
      <c r="AD18" s="71">
        <v>74.92</v>
      </c>
      <c r="AE18" s="71">
        <v>83.92</v>
      </c>
      <c r="AH18" s="64" ph="1">
        <v>4</v>
      </c>
      <c r="AI18" s="64" t="s" ph="1">
        <v>384</v>
      </c>
      <c r="AJ18" s="64" t="s" ph="1">
        <v>632</v>
      </c>
      <c r="AK18" s="64" t="s" ph="1">
        <v>631</v>
      </c>
      <c r="AL18" s="64" ph="1">
        <v>740</v>
      </c>
      <c r="AM18" s="64" t="s" ph="1">
        <v>383</v>
      </c>
      <c r="AZ18" s="64" t="s" ph="1">
        <v>260</v>
      </c>
      <c r="BA18" s="64" ph="1">
        <v>740</v>
      </c>
    </row>
    <row r="19" spans="1:57" s="72" customFormat="1" ht="22.5" ph="1">
      <c r="B19" s="215" ph="1"/>
      <c r="C19" s="151" t="s" ph="1">
        <v>212</v>
      </c>
      <c r="D19" s="73" ph="1">
        <f>D18*7.0686*LOOKUP(D20,密度!$A$2:$A$50,密度!$L$2:$L$50)</f>
        <v>0</v>
      </c>
      <c r="E19" s="73" ph="1">
        <f>E18*7.0686*LOOKUP(E20,密度!$A$2:$A$50,密度!$L$2:$L$50)</f>
        <v>474.267717</v>
      </c>
      <c r="F19" s="73" ph="1">
        <f>F18*9.0746*LOOKUP(F20,密度!$A$2:$A$50,密度!$L$2:$L$50)</f>
        <v>25954.435877399999</v>
      </c>
      <c r="G19" s="73" ph="1">
        <f>G18*9.0746*LOOKUP(G20,密度!$A$2:$A$50,密度!$B$2:$B$50)</f>
        <v>19731.7739416</v>
      </c>
      <c r="H19" s="73" ph="1">
        <f>H18*9.0746*LOOKUP(H20,密度!$A$2:$A$50,密度!$L$2:$L$50)</f>
        <v>9245.5836131999986</v>
      </c>
      <c r="I19" s="73" ph="1">
        <f>I18*9.0746*LOOKUP(I20,密度!$A$2:$A$50,密度!$U$2:$U$50)</f>
        <v>1166.0861</v>
      </c>
      <c r="J19" s="73" ph="1">
        <f>J18*9.0746*LOOKUP(J20,密度!$A$2:$A$50,密度!$L$2:$L$50)</f>
        <v>3342.3748211999996</v>
      </c>
      <c r="K19" s="73" ph="1">
        <f>K18*9.0746*LOOKUP(K20,密度!$A$2:$A$50,密度!$C$2:$C$50)</f>
        <v>18346.377446099999</v>
      </c>
      <c r="L19" s="73" ph="1">
        <f>L18*9.0746*LOOKUP(L20,密度!$A$2:$A$50,密度!$E$2:$E$50)</f>
        <v>38874.208875720004</v>
      </c>
      <c r="M19" s="73" ph="1">
        <f>M18*9.0746*LOOKUP(M20,密度!$A$2:$A$50,密度!$M$2:$M$50)</f>
        <v>12341.162890419999</v>
      </c>
      <c r="N19" s="73" ph="1">
        <f>N18*9.0746*LOOKUP(N20,密度!$A$2:$A$50,密度!$M$2:$M$50)</f>
        <v>15649.217574419999</v>
      </c>
      <c r="O19" s="73" ph="1">
        <f>O18*9.0746*LOOKUP(O20,密度!$A$2:$A$50,密度!$G$2:$G$50)</f>
        <v>2033.5162244800001</v>
      </c>
      <c r="P19" s="73" ph="1">
        <f ca="1">P18*9.0746*LOOKUP(P20,密度!$A$2:$A$51,密度!$Q$2:$Q$50)</f>
        <v>0</v>
      </c>
      <c r="Q19" s="73" ph="1">
        <f>Q18*9.0746*LOOKUP(Q20,密度!$A$2:$A$50,密度!$Q$2:$Q$50)</f>
        <v>52595.314427040001</v>
      </c>
      <c r="R19" s="73" ph="1">
        <f>MAX(R18*9.0746*LOOKUP(R20,密度!$A$2:$A$50,密度!$B$2:$B$50),0)</f>
        <v>24846.864613120004</v>
      </c>
      <c r="S19" s="73" ph="1">
        <f>S18*9.0746*LOOKUP(S20,密度!$A$2:$A$50,密度!$Q$2:$Q$50)</f>
        <v>48574.794747840002</v>
      </c>
      <c r="T19" s="73" ph="1">
        <f>T18*9.0746*LOOKUP(T20,密度!$A$2:$A$50,密度!$O$2:$O$50)</f>
        <v>56380.199412800008</v>
      </c>
      <c r="U19" s="73" ph="1">
        <f>U18*9.0746*LOOKUP(U20,密度!$A$2:$A$50,密度!$H$2:$H$50)</f>
        <v>13036.968734939999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214.71696248800072</v>
      </c>
      <c r="X19" s="73" ph="1">
        <f>MAX(5600*LOOKUP(X20,密度!$A$2:$A$50,密度!$I$2:$I$50)+X18*9.0476*LOOKUP(X20,密度!$A$2:$A$50,密度!$I$2:$I$50),0)</f>
        <v>15907.450211999996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199.81543231999999</v>
      </c>
      <c r="AB19" s="73" ph="1">
        <f>AB18*9.0746*LOOKUP(AB20,密度!$A$2:$A$50,密度!$L$2:$L$50)</f>
        <v>53848.531206400003</v>
      </c>
      <c r="AC19" s="73" ph="1">
        <f>AC18*9.0746*LOOKUP(AC20,密度!$A$2:$A$50,密度!$L$2:$L$50)</f>
        <v>55817.909972999994</v>
      </c>
      <c r="AD19" s="73" ph="1">
        <f>AD18*268.68*LOOKUP(AD20,密度!$A$2:$A$50,密度!B5:B53)+IF(AD18&lt;=0,0,1566*LOOKUP(AD20,密度!$A$2:$A$50,密度!B5:B53))</f>
        <v>16857.407851200001</v>
      </c>
      <c r="AE19" s="73" ph="1">
        <f>AE18*268.68*LOOKUP(AE20,密度!$A$2:$A$50,密度!B5:B53)+IF(AE18&lt;=0,0,1566*LOOKUP(AE20,密度!$A$2:$A$50,密度!B5:B53))</f>
        <v>18736.2870912</v>
      </c>
      <c r="AH19" s="72" ph="1">
        <v>5</v>
      </c>
      <c r="AI19" s="72" t="s" ph="1">
        <v>385</v>
      </c>
      <c r="AZ19" s="72" t="s" ph="1">
        <v>260</v>
      </c>
      <c r="BA19" s="72" ph="1">
        <v>0</v>
      </c>
      <c r="BD19" s="72" t="s" ph="1">
        <v>386</v>
      </c>
      <c r="BE19" s="72" ph="1">
        <v>1440</v>
      </c>
    </row>
    <row r="20" spans="1:57" ph="1">
      <c r="A20" s="72" ph="1"/>
      <c r="B20" s="215" ph="1"/>
      <c r="C20" s="80" t="s" ph="1">
        <v>213</v>
      </c>
      <c r="D20" s="81">
        <v>17</v>
      </c>
      <c r="E20" s="81">
        <v>17</v>
      </c>
      <c r="F20" s="81">
        <v>19</v>
      </c>
      <c r="G20" s="81">
        <v>17</v>
      </c>
      <c r="H20" s="81">
        <v>16</v>
      </c>
      <c r="I20" s="81">
        <v>19</v>
      </c>
      <c r="J20" s="81">
        <v>20</v>
      </c>
      <c r="K20" s="81">
        <v>18</v>
      </c>
      <c r="L20" s="81">
        <v>18</v>
      </c>
      <c r="M20" s="81">
        <v>21</v>
      </c>
      <c r="N20" s="81">
        <v>18</v>
      </c>
      <c r="O20" s="81">
        <v>20</v>
      </c>
      <c r="P20" s="81">
        <v>17</v>
      </c>
      <c r="Q20" s="81">
        <v>17</v>
      </c>
      <c r="R20" s="81">
        <v>21</v>
      </c>
      <c r="S20" s="81">
        <v>17</v>
      </c>
      <c r="T20" s="81">
        <v>19</v>
      </c>
      <c r="U20" s="81">
        <v>17</v>
      </c>
      <c r="V20" s="81">
        <v>18</v>
      </c>
      <c r="W20" s="81">
        <v>19</v>
      </c>
      <c r="X20" s="81">
        <v>26</v>
      </c>
      <c r="Y20" s="110">
        <v>26</v>
      </c>
      <c r="Z20" s="81">
        <v>25</v>
      </c>
      <c r="AA20" s="81">
        <v>17</v>
      </c>
      <c r="AB20" s="81">
        <v>18</v>
      </c>
      <c r="AC20" s="81">
        <v>17</v>
      </c>
      <c r="AD20" s="81">
        <v>25</v>
      </c>
      <c r="AE20" s="81">
        <v>25</v>
      </c>
      <c r="AH20" s="64" ph="1">
        <v>6</v>
      </c>
      <c r="AI20" s="64" t="s" ph="1">
        <v>387</v>
      </c>
      <c r="AZ20" s="64" t="s" ph="1">
        <v>260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388</v>
      </c>
      <c r="AZ21" s="64" t="s" ph="1">
        <v>260</v>
      </c>
      <c r="BA21" s="64" ph="1">
        <v>0</v>
      </c>
      <c r="BD21" s="64" t="s" ph="1">
        <v>276</v>
      </c>
      <c r="BE21" s="64" ph="1">
        <v>730</v>
      </c>
    </row>
    <row r="22" spans="1:57" ph="1">
      <c r="A22" s="72" ph="1"/>
      <c r="B22" s="213" t="s" ph="1">
        <v>37</v>
      </c>
      <c r="C22" s="85" t="s" ph="1">
        <v>210</v>
      </c>
      <c r="D22" s="86" t="s" ph="1">
        <v>104</v>
      </c>
      <c r="E22" s="86" t="s" ph="1">
        <v>105</v>
      </c>
      <c r="F22" s="86" t="s" ph="1">
        <v>106</v>
      </c>
      <c r="G22" s="86" t="s" ph="1">
        <v>107</v>
      </c>
      <c r="H22" s="86" t="s" ph="1">
        <v>108</v>
      </c>
      <c r="I22" s="86" t="s" ph="1">
        <v>109</v>
      </c>
      <c r="J22" s="86" t="s" ph="1">
        <v>110</v>
      </c>
      <c r="K22" s="86" t="s" ph="1">
        <v>111</v>
      </c>
      <c r="L22" s="86" t="s" ph="1">
        <v>112</v>
      </c>
      <c r="M22" s="86" t="s" ph="1">
        <v>113</v>
      </c>
      <c r="N22" s="86" t="s" ph="1">
        <v>114</v>
      </c>
      <c r="O22" s="86" t="s" ph="1">
        <v>115</v>
      </c>
      <c r="P22" s="86" t="s" ph="1">
        <v>116</v>
      </c>
      <c r="Q22" s="87" t="s" ph="1">
        <v>117</v>
      </c>
      <c r="R22" s="86" t="s" ph="1">
        <v>118</v>
      </c>
      <c r="S22" s="86" t="s" ph="1">
        <v>119</v>
      </c>
      <c r="T22" s="86" t="s" ph="1">
        <v>120</v>
      </c>
      <c r="U22" s="86" t="s" ph="1">
        <v>121</v>
      </c>
      <c r="V22" s="86" t="s" ph="1">
        <v>122</v>
      </c>
      <c r="W22" s="86" t="s" ph="1">
        <v>123</v>
      </c>
      <c r="X22" s="86" t="s" ph="1">
        <v>124</v>
      </c>
      <c r="Y22" s="86" t="s" ph="1">
        <v>126</v>
      </c>
      <c r="Z22" s="223" t="s" ph="1">
        <v>79</v>
      </c>
      <c r="AA22" s="224"/>
      <c r="AB22" s="224"/>
      <c r="AC22" s="224"/>
      <c r="AD22" s="224"/>
      <c r="AE22" s="225"/>
      <c r="AH22" s="64" ph="1">
        <v>8</v>
      </c>
      <c r="AI22" s="64" t="s" ph="1">
        <v>389</v>
      </c>
      <c r="AZ22" s="64" t="s" ph="1">
        <v>260</v>
      </c>
      <c r="BA22" s="64" ph="1">
        <v>0</v>
      </c>
    </row>
    <row r="23" spans="1:57" ph="1">
      <c r="A23" s="72" ph="1"/>
      <c r="B23" s="217" ph="1"/>
      <c r="C23" s="67" t="s" ph="1">
        <v>36</v>
      </c>
      <c r="D23" s="88" t="s" ph="1">
        <v>128</v>
      </c>
      <c r="E23" s="88" t="s" ph="1">
        <v>125</v>
      </c>
      <c r="F23" s="88" t="s" ph="1">
        <v>224</v>
      </c>
      <c r="G23" s="88" t="s" ph="1">
        <v>165</v>
      </c>
      <c r="H23" s="88" t="s" ph="1">
        <v>165</v>
      </c>
      <c r="I23" s="88" t="s" ph="1">
        <v>166</v>
      </c>
      <c r="J23" s="88" t="s" ph="1">
        <v>167</v>
      </c>
      <c r="K23" s="88" t="s" ph="1">
        <v>129</v>
      </c>
      <c r="L23" s="88" t="s" ph="1">
        <v>129</v>
      </c>
      <c r="M23" s="88" t="s" ph="1">
        <v>167</v>
      </c>
      <c r="N23" s="88" t="s" ph="1">
        <v>167</v>
      </c>
      <c r="O23" s="88" t="s" ph="1">
        <v>132</v>
      </c>
      <c r="P23" s="88" t="s" ph="1">
        <v>168</v>
      </c>
      <c r="Q23" s="89" t="s" ph="1">
        <v>168</v>
      </c>
      <c r="R23" s="88" t="s" ph="1">
        <v>169</v>
      </c>
      <c r="S23" s="88" t="s" ph="1">
        <v>170</v>
      </c>
      <c r="T23" s="88" t="s" ph="1">
        <v>651</v>
      </c>
      <c r="U23" s="88" t="s" ph="1">
        <v>171</v>
      </c>
      <c r="V23" s="88" t="s" ph="1">
        <v>172</v>
      </c>
      <c r="W23" s="88" t="s" ph="1">
        <v>170</v>
      </c>
      <c r="X23" s="88" t="s" ph="1">
        <v>231</v>
      </c>
      <c r="Y23" s="88" t="s" ph="1">
        <v>97</v>
      </c>
      <c r="Z23" s="226" t="s" ph="1">
        <v>657</v>
      </c>
      <c r="AA23" s="227"/>
      <c r="AB23" s="227"/>
      <c r="AC23" s="227"/>
      <c r="AD23" s="227"/>
      <c r="AE23" s="228"/>
      <c r="AH23" s="64" ph="1">
        <v>9</v>
      </c>
      <c r="AI23" s="64" t="s" ph="1">
        <v>390</v>
      </c>
      <c r="AZ23" s="64" t="s" ph="1">
        <v>260</v>
      </c>
      <c r="BA23" s="64" ph="1">
        <v>0</v>
      </c>
      <c r="BD23" s="64" t="s" ph="1">
        <v>282</v>
      </c>
      <c r="BE23" s="64" ph="1">
        <v>890</v>
      </c>
    </row>
    <row r="24" spans="1:57" ph="1">
      <c r="A24" s="72" ph="1"/>
      <c r="B24" s="235" ph="1">
        <v>0.33333333333333331</v>
      </c>
      <c r="C24" s="151" t="s" ph="1">
        <v>211</v>
      </c>
      <c r="D24" s="71">
        <v>44.23</v>
      </c>
      <c r="E24" s="71">
        <v>97.65</v>
      </c>
      <c r="F24" s="71">
        <v>2151</v>
      </c>
      <c r="G24" s="71">
        <v>3919</v>
      </c>
      <c r="H24" s="71">
        <v>3187</v>
      </c>
      <c r="I24" s="71">
        <v>2536</v>
      </c>
      <c r="J24" s="71">
        <v>2450</v>
      </c>
      <c r="K24" s="71">
        <v>5618</v>
      </c>
      <c r="L24" s="71">
        <v>5279</v>
      </c>
      <c r="M24" s="71">
        <v>1384</v>
      </c>
      <c r="N24" s="71">
        <v>869</v>
      </c>
      <c r="O24" s="71">
        <v>2055</v>
      </c>
      <c r="P24" s="71">
        <v>2482</v>
      </c>
      <c r="Q24" s="90">
        <v>1055</v>
      </c>
      <c r="R24" s="71">
        <v>2016</v>
      </c>
      <c r="S24" s="71">
        <v>184</v>
      </c>
      <c r="T24" s="71">
        <v>6395</v>
      </c>
      <c r="U24" s="71">
        <v>5801</v>
      </c>
      <c r="V24" s="71">
        <v>5859</v>
      </c>
      <c r="W24" s="71">
        <v>11518</v>
      </c>
      <c r="X24" s="71">
        <v>10700</v>
      </c>
      <c r="Y24" s="71">
        <v>4527</v>
      </c>
      <c r="Z24" s="229"/>
      <c r="AA24" s="230"/>
      <c r="AB24" s="230"/>
      <c r="AC24" s="230"/>
      <c r="AD24" s="230"/>
      <c r="AE24" s="231"/>
      <c r="AH24" s="64" ph="1">
        <v>10</v>
      </c>
      <c r="AI24" s="64" t="s" ph="1">
        <v>391</v>
      </c>
      <c r="AZ24" s="64" t="s" ph="1">
        <v>260</v>
      </c>
      <c r="BA24" s="64" ph="1">
        <v>0</v>
      </c>
    </row>
    <row r="25" spans="1:57" ph="1">
      <c r="A25" s="72" ph="1"/>
      <c r="B25" s="235" ph="1"/>
      <c r="C25" s="68" t="s" ph="1">
        <v>212</v>
      </c>
      <c r="D25" s="91" ph="1">
        <f>D24*268.68*LOOKUP(D26,密度!$A$2:$A$50,密度!$Q$2:$Q$50)+IF(D24&lt;=0,0,1566*LOOKUP(D26,密度!$A$2:$A$50,密度!$Q$2:$Q$50))</f>
        <v>12733.384504535999</v>
      </c>
      <c r="E25" s="91" ph="1">
        <f>E24*268.68*LOOKUP(E26,密度!$A$2:$A$50,密度!$C$2:$C$50)+IF(E24&lt;=0,0,1566*LOOKUP(E26,密度!$A$2:$A$50,密度!$C$2:$C$50))</f>
        <v>30830.305357800004</v>
      </c>
      <c r="F25" s="91" ph="1">
        <f>F24*11.702*LOOKUP(F26,密度!$A$2:$A$50,密度!$Q$2:$Q$50)</f>
        <v>24003.067507200001</v>
      </c>
      <c r="G25" s="91" ph="1">
        <f>G24*18.322*LOOKUP(G26,密度!$A$2:$A$50,密度!$B$2:$B$50)</f>
        <v>56581.487383999993</v>
      </c>
      <c r="H25" s="91" ph="1">
        <f>H24*18.322*LOOKUP(H26,密度!$A$2:$A$50,密度!$B$2:$B$50)</f>
        <v>46013.064632000001</v>
      </c>
      <c r="I25" s="91" ph="1">
        <f>I24*18.322*LOOKUP(I26,密度!$A$2:$A$50,密度!$Q$2:$Q$50)</f>
        <v>44352.311647679999</v>
      </c>
      <c r="J25" s="91" ph="1">
        <f>J24*18.322*LOOKUP(J26,密度!$A$2:$A$50,密度!$Q$2:$Q$50)</f>
        <v>42848.250606000001</v>
      </c>
      <c r="K25" s="91" ph="1">
        <f>K24*18.322*LOOKUP(K26,密度!$A$2:$A$50,密度!$Q$2:$Q$50)</f>
        <v>98253.662001839999</v>
      </c>
      <c r="L25" s="91" ph="1">
        <f>L24*18.322*LOOKUP(L26,密度!$A$2:$A$50,密度!$Q$2:$Q$50)</f>
        <v>92324.863244519991</v>
      </c>
      <c r="M25" s="91" ph="1">
        <f>M24*18.322*LOOKUP(M26,密度!$A$2:$A$50,密度!$Q$2:$Q$50)</f>
        <v>24204.88932192</v>
      </c>
      <c r="N25" s="91" ph="1">
        <f>N24*18.322*LOOKUP(N26,密度!$A$2:$A$50,密度!$Q$2:$Q$50)</f>
        <v>15198.012153719999</v>
      </c>
      <c r="O25" s="91" ph="1">
        <f>O24*18.322*LOOKUP(O26,密度!$A$2:$A$50,密度!$C$2:$C$50)</f>
        <v>42041.899385999997</v>
      </c>
      <c r="P25" s="91" ph="1">
        <f>P24*11.702*LOOKUP(P26,密度!$A$2:$A$50,密度!$B$2:$B$50)</f>
        <v>22913.098759600001</v>
      </c>
      <c r="Q25" s="92" ph="1">
        <f>Q24*18.322*LOOKUP(Q26,密度!$A$2:$A$50,密度!$B$2:$B$50)</f>
        <v>15231.81148</v>
      </c>
      <c r="R25" s="91" ph="1">
        <f>R24*35.891*LOOKUP(R26,密度!$A$2:$A$50,密度!$C$2:$C$50)</f>
        <v>80735.110444799982</v>
      </c>
      <c r="S25" s="91" ph="1">
        <f>S24*35.891*LOOKUP(S26,密度!$A$2:$A$50,密度!$B$2:$B$50)</f>
        <v>5209.8514216000003</v>
      </c>
      <c r="T25" s="91" ph="1">
        <f>T24*35.891*LOOKUP(T26,密度!$A$2:$A$50,密度!$Q$2:$Q$50)</f>
        <v>219088.8319203</v>
      </c>
      <c r="U25" s="91" ph="1">
        <f>U24*35.891</f>
        <v>208203.69099999999</v>
      </c>
      <c r="V25" s="91" ph="1">
        <f>V24*47.051*LOOKUP(V26,密度!$A$2:$A$50,密度!$B$2:$B$50)</f>
        <v>217477.49012010003</v>
      </c>
      <c r="W25" s="91" ph="1">
        <f>W24*47.051*LOOKUP(W26,密度!$A$2:$A$50,密度!$B$2:$B$50)</f>
        <v>427531.27346020006</v>
      </c>
      <c r="X25" s="91" ph="1">
        <f>X24*47.051*LOOKUP(X26,密度!$A$2:$A$50,密度!$I$2:$I$50)</f>
        <v>521388.50474799995</v>
      </c>
      <c r="Y25" s="91" ph="1">
        <f>Y24*47.051*LOOKUP(Y26,密度!$A$2:$A$50,密度!$L$2:$L$50)</f>
        <v>201710.883519</v>
      </c>
      <c r="Z25" s="229"/>
      <c r="AA25" s="230"/>
      <c r="AB25" s="230"/>
      <c r="AC25" s="230"/>
      <c r="AD25" s="230"/>
      <c r="AE25" s="231"/>
      <c r="AH25" s="64" ph="1">
        <v>11</v>
      </c>
      <c r="AI25" s="64" t="s" ph="1">
        <v>392</v>
      </c>
      <c r="AZ25" s="64" t="s" ph="1">
        <v>260</v>
      </c>
      <c r="BA25" s="64" ph="1">
        <v>0</v>
      </c>
      <c r="BD25" s="64" t="s" ph="1">
        <v>285</v>
      </c>
      <c r="BE25" s="64" ph="1">
        <v>8920</v>
      </c>
    </row>
    <row r="26" spans="1:57" ph="1">
      <c r="A26" s="72" ph="1"/>
      <c r="B26" s="235" ph="1"/>
      <c r="C26" s="68" t="s" ph="1">
        <v>213</v>
      </c>
      <c r="D26" s="74">
        <v>25</v>
      </c>
      <c r="E26" s="74">
        <v>25</v>
      </c>
      <c r="F26" s="74">
        <v>16</v>
      </c>
      <c r="G26" s="74">
        <v>15</v>
      </c>
      <c r="H26" s="74">
        <v>15</v>
      </c>
      <c r="I26" s="74">
        <v>14</v>
      </c>
      <c r="J26" s="74">
        <v>14</v>
      </c>
      <c r="K26" s="74">
        <v>15</v>
      </c>
      <c r="L26" s="74">
        <v>14</v>
      </c>
      <c r="M26" s="74">
        <v>14</v>
      </c>
      <c r="N26" s="74">
        <v>14</v>
      </c>
      <c r="O26" s="74">
        <v>14</v>
      </c>
      <c r="P26" s="74">
        <v>14</v>
      </c>
      <c r="Q26" s="93">
        <v>15</v>
      </c>
      <c r="R26" s="74">
        <v>15</v>
      </c>
      <c r="S26" s="74">
        <v>14</v>
      </c>
      <c r="T26" s="74">
        <v>15</v>
      </c>
      <c r="U26" s="74">
        <v>15</v>
      </c>
      <c r="V26" s="74">
        <v>14</v>
      </c>
      <c r="W26" s="74">
        <v>14</v>
      </c>
      <c r="X26" s="74">
        <v>54</v>
      </c>
      <c r="Y26" s="74">
        <v>15</v>
      </c>
      <c r="Z26" s="229"/>
      <c r="AA26" s="230"/>
      <c r="AB26" s="230"/>
      <c r="AC26" s="230"/>
      <c r="AD26" s="230"/>
      <c r="AE26" s="231"/>
      <c r="AH26" s="64" ph="1">
        <v>12</v>
      </c>
      <c r="AI26" s="64" t="s" ph="1">
        <v>393</v>
      </c>
      <c r="AZ26" s="64" t="s" ph="1">
        <v>260</v>
      </c>
      <c r="BA26" s="64" ph="1">
        <v>0</v>
      </c>
    </row>
    <row r="27" spans="1:57" ph="1">
      <c r="A27" s="72" ph="1"/>
      <c r="B27" s="235" ph="1">
        <v>0.66666666666666663</v>
      </c>
      <c r="C27" s="151" t="s" ph="1">
        <v>214</v>
      </c>
      <c r="D27" s="71">
        <v>44.35</v>
      </c>
      <c r="E27" s="71">
        <v>97.63</v>
      </c>
      <c r="F27" s="71">
        <v>2151</v>
      </c>
      <c r="G27" s="71">
        <v>3358</v>
      </c>
      <c r="H27" s="71">
        <v>3139</v>
      </c>
      <c r="I27" s="71">
        <v>2534</v>
      </c>
      <c r="J27" s="71">
        <v>2448</v>
      </c>
      <c r="K27" s="71">
        <v>5616</v>
      </c>
      <c r="L27" s="71">
        <v>5572</v>
      </c>
      <c r="M27" s="71">
        <v>1381</v>
      </c>
      <c r="N27" s="71">
        <v>865</v>
      </c>
      <c r="O27" s="71">
        <v>2052</v>
      </c>
      <c r="P27" s="71">
        <v>2484</v>
      </c>
      <c r="Q27" s="90">
        <v>1575</v>
      </c>
      <c r="R27" s="71">
        <v>2013</v>
      </c>
      <c r="S27" s="71">
        <v>180</v>
      </c>
      <c r="T27" s="71">
        <v>6395</v>
      </c>
      <c r="U27" s="71">
        <v>5851</v>
      </c>
      <c r="V27" s="71">
        <v>5858</v>
      </c>
      <c r="W27" s="71">
        <v>11519</v>
      </c>
      <c r="X27" s="71">
        <v>10698</v>
      </c>
      <c r="Y27" s="71">
        <v>5304</v>
      </c>
      <c r="Z27" s="229"/>
      <c r="AA27" s="230"/>
      <c r="AB27" s="230"/>
      <c r="AC27" s="230"/>
      <c r="AD27" s="230"/>
      <c r="AE27" s="231"/>
      <c r="AH27" s="64" ph="1">
        <v>13</v>
      </c>
      <c r="AI27" s="64" t="s" ph="1">
        <v>394</v>
      </c>
      <c r="AZ27" s="64" t="s" ph="1">
        <v>260</v>
      </c>
      <c r="BA27" s="64" ph="1">
        <v>0</v>
      </c>
      <c r="BD27" s="64" t="s" ph="1">
        <v>339</v>
      </c>
      <c r="BE27" s="64" ph="1">
        <v>7100</v>
      </c>
    </row>
    <row r="28" spans="1:57" ph="1">
      <c r="A28" s="72" ph="1"/>
      <c r="B28" s="235" ph="1"/>
      <c r="C28" s="151" t="s" ph="1">
        <v>212</v>
      </c>
      <c r="D28" s="91" ph="1">
        <f>D27*268.68*LOOKUP(D29,密度!$A$2:$A$50,密度!$Q$2:$Q$50)+IF(D27&lt;=0,0,1566*LOOKUP(D29,密度!$A$2:$A$50,密度!$Q$2:$Q$50))</f>
        <v>12763.90891692</v>
      </c>
      <c r="E28" s="91" ph="1">
        <f>E27*268.68*LOOKUP(E29,密度!$A$2:$A$50,密度!$C$2:$C$50)+IF(E27&lt;=0,0,1566*LOOKUP(E29,密度!$A$2:$A$50,密度!$C$2:$C$50))</f>
        <v>30824.346572760001</v>
      </c>
      <c r="F28" s="91" ph="1">
        <f>F27*11.702*LOOKUP(F29,密度!$A$2:$A$50,密度!$Q$2:$Q$50)</f>
        <v>23963.04561402</v>
      </c>
      <c r="G28" s="91" ph="1">
        <f>G27*18.322*LOOKUP(G29,密度!$A$2:$A$50,密度!$B$2:$B$50)</f>
        <v>48383.477046399996</v>
      </c>
      <c r="H28" s="91" ph="1">
        <f>H27*18.322*LOOKUP(H29,密度!$A$2:$A$50,密度!$B$2:$B$50)</f>
        <v>45228.032891199997</v>
      </c>
      <c r="I28" s="91" ph="1">
        <f>I27*18.322*LOOKUP(I29,密度!$A$2:$A$50,密度!$Q$2:$Q$50)</f>
        <v>44273.691212799997</v>
      </c>
      <c r="J28" s="91" ph="1">
        <f>J27*18.322*LOOKUP(J29,密度!$A$2:$A$50,密度!$Q$2:$Q$50)</f>
        <v>42771.111321600001</v>
      </c>
      <c r="K28" s="91" ph="1">
        <f>K27*18.322*LOOKUP(K29,密度!$A$2:$A$50,密度!$Q$2:$Q$50)</f>
        <v>98039.644185600002</v>
      </c>
      <c r="L28" s="91" ph="1">
        <f>L27*18.322*LOOKUP(L29,密度!$A$2:$A$50,密度!$Q$2:$Q$50)</f>
        <v>97353.199462399993</v>
      </c>
      <c r="M28" s="91" ph="1">
        <f>M27*18.322*LOOKUP(M29,密度!$A$2:$A$50,密度!$Q$2:$Q$50)</f>
        <v>24128.637555199999</v>
      </c>
      <c r="N28" s="91" ph="1">
        <f>N27*18.322*LOOKUP(N29,密度!$A$2:$A$50,密度!$Q$2:$Q$50)</f>
        <v>15113.158207999999</v>
      </c>
      <c r="O28" s="91" ph="1">
        <f>O27*18.322*LOOKUP(O29,密度!$A$2:$A$50,密度!$C$2:$C$50)</f>
        <v>41927.8889088</v>
      </c>
      <c r="P28" s="91" ph="1">
        <f>P27*11.702*LOOKUP(P29,密度!$A$2:$A$50,密度!$B$2:$B$50)</f>
        <v>22882.146969599999</v>
      </c>
      <c r="Q28" s="92" ph="1">
        <f>Q27*18.322*LOOKUP(Q29,密度!$A$2:$A$50,密度!$B$2:$B$50)</f>
        <v>22693.262759999998</v>
      </c>
      <c r="R28" s="91" ph="1">
        <f>R27*35.891*LOOKUP(R29,密度!$A$2:$A$50,密度!$C$2:$C$50)</f>
        <v>80521.045753500002</v>
      </c>
      <c r="S28" s="91" ph="1">
        <f>S27*35.891*LOOKUP(S29,密度!$A$2:$A$50,密度!$B$2:$B$50)</f>
        <v>5085.6111360000004</v>
      </c>
      <c r="T28" s="91" ph="1">
        <f>T27*35.891*LOOKUP(T29,密度!$A$2:$A$50,密度!$Q$2:$Q$50)</f>
        <v>218873.08035199999</v>
      </c>
      <c r="U28" s="91" ph="1">
        <f>U27*35.891</f>
        <v>209998.24099999998</v>
      </c>
      <c r="V28" s="91" ph="1">
        <f>V27*47.051*LOOKUP(V29,密度!$A$2:$A$50,密度!$B$2:$B$50)</f>
        <v>216971.80949760001</v>
      </c>
      <c r="W28" s="91" ph="1">
        <f>W27*47.051*LOOKUP(W29,密度!$A$2:$A$50,密度!$B$2:$B$50)</f>
        <v>426647.02519680007</v>
      </c>
      <c r="X28" s="91" ph="1">
        <f>X27*47.051*LOOKUP(X29,密度!$A$2:$A$50,密度!$I$2:$I$50)</f>
        <v>521291.04895271995</v>
      </c>
      <c r="Y28" s="91" ph="1">
        <f>Y27*47.051*LOOKUP(Y29,密度!$A$2:$A$50,密度!$L$2:$L$50)</f>
        <v>235832.78628</v>
      </c>
      <c r="Z28" s="229"/>
      <c r="AA28" s="230"/>
      <c r="AB28" s="230"/>
      <c r="AC28" s="230"/>
      <c r="AD28" s="230"/>
      <c r="AE28" s="231"/>
      <c r="AH28" s="64" ph="1">
        <v>14</v>
      </c>
      <c r="AI28" s="64" t="s" ph="1">
        <v>395</v>
      </c>
      <c r="AZ28" s="64" t="s" ph="1">
        <v>260</v>
      </c>
      <c r="BA28" s="64" ph="1">
        <v>0</v>
      </c>
    </row>
    <row r="29" spans="1:57" ph="1">
      <c r="A29" s="72" ph="1"/>
      <c r="B29" s="235" ph="1"/>
      <c r="C29" s="151" t="s" ph="1">
        <v>213</v>
      </c>
      <c r="D29" s="74">
        <v>25</v>
      </c>
      <c r="E29" s="74">
        <v>25</v>
      </c>
      <c r="F29" s="74">
        <v>18</v>
      </c>
      <c r="G29" s="74">
        <v>17</v>
      </c>
      <c r="H29" s="74">
        <v>17</v>
      </c>
      <c r="I29" s="74">
        <v>16</v>
      </c>
      <c r="J29" s="74">
        <v>16</v>
      </c>
      <c r="K29" s="74">
        <v>17</v>
      </c>
      <c r="L29" s="74">
        <v>16</v>
      </c>
      <c r="M29" s="74">
        <v>16</v>
      </c>
      <c r="N29" s="74">
        <v>16</v>
      </c>
      <c r="O29" s="74">
        <v>16</v>
      </c>
      <c r="P29" s="74">
        <v>16</v>
      </c>
      <c r="Q29" s="93">
        <v>17</v>
      </c>
      <c r="R29" s="74">
        <v>17</v>
      </c>
      <c r="S29" s="74">
        <v>16</v>
      </c>
      <c r="T29" s="74">
        <v>16</v>
      </c>
      <c r="U29" s="74">
        <v>16</v>
      </c>
      <c r="V29" s="74">
        <v>16</v>
      </c>
      <c r="W29" s="74">
        <v>16</v>
      </c>
      <c r="X29" s="74">
        <v>53</v>
      </c>
      <c r="Y29" s="74">
        <v>17</v>
      </c>
      <c r="Z29" s="232"/>
      <c r="AA29" s="233"/>
      <c r="AB29" s="233"/>
      <c r="AC29" s="233"/>
      <c r="AD29" s="233"/>
      <c r="AE29" s="234"/>
      <c r="AH29" s="64" ph="1">
        <v>15</v>
      </c>
      <c r="AI29" s="64" t="s" ph="1">
        <v>396</v>
      </c>
      <c r="AZ29" s="64" t="s" ph="1">
        <v>260</v>
      </c>
      <c r="BA29" s="64" ph="1">
        <v>0</v>
      </c>
      <c r="BD29" s="64" t="s" ph="1">
        <v>397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398</v>
      </c>
      <c r="AZ30" s="64" t="s" ph="1">
        <v>260</v>
      </c>
      <c r="BA30" s="64" ph="1">
        <v>0</v>
      </c>
    </row>
    <row r="31" spans="1:57" ht="28.5" ph="1">
      <c r="A31" s="64"/>
      <c r="B31" s="218" t="s" ph="1">
        <v>35</v>
      </c>
      <c r="C31" s="219" ph="1"/>
      <c r="D31" s="222" t="s" ph="1">
        <v>9</v>
      </c>
      <c r="E31" s="197" ph="1"/>
      <c r="F31" s="198" ph="1"/>
      <c r="G31" s="222" t="s" ph="1">
        <v>18</v>
      </c>
      <c r="H31" s="197" ph="1"/>
      <c r="I31" s="198" ph="1"/>
      <c r="J31" s="196" t="s" ph="1">
        <v>1</v>
      </c>
      <c r="K31" s="197" ph="1"/>
      <c r="L31" s="198" ph="1"/>
      <c r="M31" s="196" t="s" ph="1">
        <v>7</v>
      </c>
      <c r="N31" s="197" ph="1"/>
      <c r="O31" s="198" ph="1"/>
      <c r="P31" s="196" t="s" ph="1">
        <v>42</v>
      </c>
      <c r="Q31" s="197"/>
      <c r="R31" s="198"/>
      <c r="S31" s="196" t="s" ph="1">
        <v>2</v>
      </c>
      <c r="T31" s="197"/>
      <c r="U31" s="198"/>
      <c r="V31" s="196" t="s" ph="1">
        <v>81</v>
      </c>
      <c r="W31" s="197" ph="1"/>
      <c r="X31" s="198" ph="1"/>
      <c r="Y31" s="196" t="s" ph="1">
        <v>3</v>
      </c>
      <c r="Z31" s="197" ph="1"/>
      <c r="AA31" s="198" ph="1"/>
      <c r="AB31" s="199" t="s">
        <v>43</v>
      </c>
      <c r="AC31" s="200"/>
      <c r="AD31" s="200"/>
      <c r="AE31" s="201"/>
      <c r="AH31" s="64" ph="1">
        <v>17</v>
      </c>
      <c r="AI31" s="64" t="s" ph="1">
        <v>399</v>
      </c>
      <c r="AZ31" s="64" t="s" ph="1">
        <v>260</v>
      </c>
      <c r="BA31" s="64" ph="1">
        <v>0</v>
      </c>
      <c r="BD31" s="64" t="s" ph="1">
        <v>400</v>
      </c>
      <c r="BE31" s="64" ph="1">
        <v>9310</v>
      </c>
    </row>
    <row r="32" spans="1:57" ph="1">
      <c r="A32" s="64"/>
      <c r="B32" s="220" ph="1"/>
      <c r="C32" s="221" ph="1"/>
      <c r="D32" s="96" t="s" ph="1">
        <v>4</v>
      </c>
      <c r="E32" s="151" t="s" ph="1">
        <v>5</v>
      </c>
      <c r="F32" s="150" t="s" ph="1">
        <v>44</v>
      </c>
      <c r="G32" s="97" t="s" ph="1">
        <v>4</v>
      </c>
      <c r="H32" s="151" t="s" ph="1">
        <v>5</v>
      </c>
      <c r="I32" s="150" t="s" ph="1">
        <v>44</v>
      </c>
      <c r="J32" s="97" t="s" ph="1">
        <v>4</v>
      </c>
      <c r="K32" s="151" t="s" ph="1">
        <v>5</v>
      </c>
      <c r="L32" s="150" t="s" ph="1">
        <v>44</v>
      </c>
      <c r="M32" s="97" t="s" ph="1">
        <v>4</v>
      </c>
      <c r="N32" s="151" t="s" ph="1">
        <v>5</v>
      </c>
      <c r="O32" s="150" t="s" ph="1">
        <v>44</v>
      </c>
      <c r="P32" s="97" t="s" ph="1">
        <v>4</v>
      </c>
      <c r="Q32" s="98" t="s" ph="1">
        <v>5</v>
      </c>
      <c r="R32" s="99" t="s" ph="1">
        <v>44</v>
      </c>
      <c r="S32" s="97" t="s" ph="1">
        <v>4</v>
      </c>
      <c r="T32" s="151" t="s" ph="1">
        <v>5</v>
      </c>
      <c r="U32" s="99" t="s" ph="1">
        <v>44</v>
      </c>
      <c r="V32" s="97" t="s" ph="1">
        <v>4</v>
      </c>
      <c r="W32" s="151" t="s" ph="1">
        <v>5</v>
      </c>
      <c r="X32" s="99" t="s" ph="1">
        <v>44</v>
      </c>
      <c r="Y32" s="100" t="s" ph="1">
        <v>4</v>
      </c>
      <c r="Z32" s="151" t="s" ph="1">
        <v>5</v>
      </c>
      <c r="AA32" s="150" t="s" ph="1">
        <v>44</v>
      </c>
      <c r="AB32" s="97" t="s" ph="1">
        <v>102</v>
      </c>
      <c r="AC32" s="151" t="s" ph="1">
        <v>101</v>
      </c>
      <c r="AD32" s="202" t="s" ph="1">
        <v>100</v>
      </c>
      <c r="AE32" s="203"/>
      <c r="AH32" s="64" ph="1">
        <v>18</v>
      </c>
      <c r="AI32" s="64" t="s" ph="1">
        <v>401</v>
      </c>
      <c r="AZ32" s="64" t="s" ph="1">
        <v>260</v>
      </c>
      <c r="BA32" s="64" ph="1">
        <v>0</v>
      </c>
    </row>
    <row r="33" spans="1:57" ph="1">
      <c r="A33" s="64"/>
      <c r="B33" s="204" t="s" ph="1">
        <v>215</v>
      </c>
      <c r="C33" s="205" ph="1"/>
      <c r="D33" s="184" ph="1">
        <f>AA10+AB10+Z19</f>
        <v>59091.280950799999</v>
      </c>
      <c r="E33" s="184" ph="1">
        <f>M10+I10</f>
        <v>207152.13708779996</v>
      </c>
      <c r="F33" s="208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表格_取樣回收每月庫存表_0620更新15222526324567869101112131415161718192021234567891011121314151617181920222324243567891011121314151617181920212223456789101112131415161718192023456789101112131491015161718192221232345678910121314151617111819202122242523456[[#This Row],[F25]]</f>
        <v>3880</v>
      </c>
      <c r="G33" s="210" ph="1">
        <v>0</v>
      </c>
      <c r="H33" s="184" ph="1">
        <f>N19</f>
        <v>15649.217574419999</v>
      </c>
      <c r="I33" s="188" ph="1">
        <v>0</v>
      </c>
      <c r="J33" s="192" ph="1">
        <f>F10+O28</f>
        <v>281093.41569330002</v>
      </c>
      <c r="K33" s="184" ph="1">
        <f>O10+K10+E28+R28</f>
        <v>125771.27635426002</v>
      </c>
      <c r="L33" s="194" ph="1">
        <f>BE27</f>
        <v>7100</v>
      </c>
      <c r="M33" s="192" ph="1">
        <f>G10+H10+W28+S28</f>
        <v>929119.18513780006</v>
      </c>
      <c r="N33" s="184" ph="1">
        <f>L10+P10++G28+H28+V28</f>
        <v>338889.68259620003</v>
      </c>
      <c r="O33" s="188" ph="1">
        <f>BE17</f>
        <v>2270</v>
      </c>
      <c r="P33" s="192" ph="1">
        <f>L19</f>
        <v>38874.208875720004</v>
      </c>
      <c r="Q33" s="184" ph="1">
        <f>J10+N10</f>
        <v>194957.21487489998</v>
      </c>
      <c r="R33" s="188" ph="1">
        <f>BE23</f>
        <v>890</v>
      </c>
      <c r="S33" s="192" ph="1">
        <f>E10+X28</f>
        <v>521291.04895271995</v>
      </c>
      <c r="T33" s="184" ph="1">
        <f>X19</f>
        <v>15907.450211999996</v>
      </c>
      <c r="U33" s="173" ph="1">
        <f>BE21</f>
        <v>730</v>
      </c>
      <c r="V33" s="186" ph="1">
        <f ca="1">P19+Q19+S19+M28+N28+J28</f>
        <v>183183.01625968001</v>
      </c>
      <c r="W33" s="186" ph="1">
        <f>D28+F28+V19+T28</f>
        <v>255600.03488294</v>
      </c>
      <c r="X33" s="188" ph="1">
        <f>BE29+BE31</f>
        <v>10200</v>
      </c>
      <c r="Y33" s="190" ph="1">
        <f>+Q10+R10+S10+T10+U10+V10+W10+X10+Y10</f>
        <v>227950.39699740001</v>
      </c>
      <c r="Z33" s="171" ph="1">
        <f>D10+T19+U19+Y28+Z10</f>
        <v>529668.93212047999</v>
      </c>
      <c r="AA33" s="173" ph="1">
        <f>BE19</f>
        <v>1440</v>
      </c>
      <c r="AB33" s="175" ph="1">
        <f>I19</f>
        <v>1166.0861</v>
      </c>
      <c r="AC33" s="177" ph="1">
        <f>AD10</f>
        <v>42142.14688</v>
      </c>
      <c r="AD33" s="179" ph="1">
        <v>0</v>
      </c>
      <c r="AE33" s="180"/>
      <c r="AH33" s="64" ph="1">
        <v>19</v>
      </c>
      <c r="AI33" s="64" t="s" ph="1">
        <v>402</v>
      </c>
      <c r="AJ33" s="64" t="s" ph="1">
        <v>636</v>
      </c>
      <c r="AK33" s="64" t="s" ph="1">
        <v>633</v>
      </c>
      <c r="AL33" s="64" ph="1">
        <v>730</v>
      </c>
      <c r="AM33" s="64" t="s" ph="1">
        <v>383</v>
      </c>
      <c r="AZ33" s="64" t="s" ph="1">
        <v>260</v>
      </c>
      <c r="BA33" s="64" ph="1">
        <v>730</v>
      </c>
      <c r="BD33" s="64" t="s" ph="1">
        <v>334</v>
      </c>
      <c r="BE33" s="64" ph="1">
        <v>3880</v>
      </c>
    </row>
    <row r="34" spans="1:57" ph="1">
      <c r="A34" s="64"/>
      <c r="B34" s="206" ph="1"/>
      <c r="C34" s="207" ph="1"/>
      <c r="D34" s="185" ph="1"/>
      <c r="E34" s="185" ph="1"/>
      <c r="F34" s="209" ph="1"/>
      <c r="G34" s="211" ph="1"/>
      <c r="H34" s="185" ph="1"/>
      <c r="I34" s="189" ph="1"/>
      <c r="J34" s="193" ph="1"/>
      <c r="K34" s="185" ph="1"/>
      <c r="L34" s="195" ph="1"/>
      <c r="M34" s="193" ph="1"/>
      <c r="N34" s="185" ph="1"/>
      <c r="O34" s="189" ph="1"/>
      <c r="P34" s="193" ph="1"/>
      <c r="Q34" s="185" ph="1"/>
      <c r="R34" s="189" ph="1"/>
      <c r="S34" s="193" ph="1"/>
      <c r="T34" s="185"/>
      <c r="U34" s="174"/>
      <c r="V34" s="187" ph="1"/>
      <c r="W34" s="187" ph="1"/>
      <c r="X34" s="189" ph="1"/>
      <c r="Y34" s="191" ph="1"/>
      <c r="Z34" s="172" ph="1"/>
      <c r="AA34" s="174" ph="1"/>
      <c r="AB34" s="176"/>
      <c r="AC34" s="178"/>
      <c r="AD34" s="181"/>
      <c r="AE34" s="182"/>
      <c r="AH34" s="64" ph="1">
        <v>20</v>
      </c>
      <c r="AI34" s="64" t="s" ph="1">
        <v>403</v>
      </c>
      <c r="AJ34" s="64" t="s" ph="1">
        <v>637</v>
      </c>
      <c r="AK34" s="64" t="s" ph="1">
        <v>633</v>
      </c>
      <c r="AL34" s="64" ph="1">
        <v>720</v>
      </c>
      <c r="AM34" s="64" t="s" ph="1">
        <v>383</v>
      </c>
      <c r="AZ34" s="64" t="s" ph="1">
        <v>260</v>
      </c>
      <c r="BA34" s="64" ph="1">
        <v>720</v>
      </c>
    </row>
    <row r="35" spans="1:57" ph="1">
      <c r="A35" s="64"/>
      <c r="AC35" s="183" t="s" ph="1">
        <v>84</v>
      </c>
      <c r="AD35" s="183"/>
      <c r="AE35" s="183"/>
      <c r="AH35" s="64" ph="1">
        <v>21</v>
      </c>
      <c r="AI35" s="64" t="s" ph="1">
        <v>404</v>
      </c>
      <c r="AZ35" s="64" t="s" ph="1">
        <v>260</v>
      </c>
      <c r="BA35" s="64" ph="1">
        <v>0</v>
      </c>
      <c r="BD35" s="64" t="s" ph="1">
        <v>405</v>
      </c>
      <c r="BE35" s="64" ph="1">
        <v>2030</v>
      </c>
    </row>
    <row r="36" spans="1:57" ht="28.5" ph="1">
      <c r="A36" s="64"/>
      <c r="B36" s="103" t="s" ph="1">
        <v>216</v>
      </c>
      <c r="I36" s="169" t="s" ph="1">
        <v>217</v>
      </c>
      <c r="J36" s="169" ph="1"/>
      <c r="K36" s="101" ph="1"/>
      <c r="P36" s="101" ph="1"/>
      <c r="R36" s="169" t="s" ph="1">
        <v>218</v>
      </c>
      <c r="S36" s="169" ph="1"/>
      <c r="Y36" s="102" ph="1"/>
      <c r="Z36" s="149" t="s" ph="1">
        <v>219</v>
      </c>
      <c r="AA36" s="149" ph="1"/>
      <c r="AB36" s="170" t="s" ph="1">
        <v>655</v>
      </c>
      <c r="AC36" s="170" ph="1"/>
      <c r="AD36" s="170" ph="1"/>
      <c r="AE36" s="170" ph="1"/>
      <c r="BA36" s="64" ph="1">
        <v>2270</v>
      </c>
    </row>
    <row r="37" spans="1:57" s="14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9" t="s" ph="1">
        <v>386</v>
      </c>
      <c r="AI37" s="149" t="s" ph="1">
        <v>253</v>
      </c>
      <c r="AJ37" s="149" t="s" ph="1">
        <v>254</v>
      </c>
      <c r="AK37" s="149" t="s" ph="1">
        <v>255</v>
      </c>
      <c r="AM37" s="149" t="s" ph="1">
        <v>254</v>
      </c>
      <c r="AN37" s="149" t="s" ph="1">
        <v>255</v>
      </c>
      <c r="AO37" s="149" t="s" ph="1">
        <v>256</v>
      </c>
      <c r="AP37" s="149" t="s" ph="1">
        <v>254</v>
      </c>
      <c r="AQ37" s="149" t="s" ph="1">
        <v>255</v>
      </c>
      <c r="AR37" s="149" t="s" ph="1">
        <v>256</v>
      </c>
      <c r="AS37" s="149" t="s" ph="1">
        <v>254</v>
      </c>
      <c r="AT37" s="149" t="s" ph="1">
        <v>255</v>
      </c>
      <c r="AU37" s="149" t="s" ph="1">
        <v>256</v>
      </c>
      <c r="AV37" s="149" t="s" ph="1">
        <v>254</v>
      </c>
      <c r="AW37" s="149" t="s" ph="1">
        <v>255</v>
      </c>
      <c r="AX37" s="149" t="s" ph="1">
        <v>256</v>
      </c>
      <c r="AY37" s="149" t="s" ph="1">
        <v>255</v>
      </c>
      <c r="AZ37" s="149" t="s" ph="1">
        <v>257</v>
      </c>
      <c r="BD37" s="149" t="s" ph="1">
        <v>349</v>
      </c>
      <c r="BE37" s="149" ph="1">
        <v>0</v>
      </c>
    </row>
    <row r="38" spans="1:57" ph="1">
      <c r="AE38" s="64" ph="1"/>
      <c r="AH38" s="64" ph="1">
        <v>1</v>
      </c>
      <c r="AI38" s="64" t="s" ph="1">
        <v>406</v>
      </c>
      <c r="AY38" s="64" t="s" ph="1">
        <v>260</v>
      </c>
      <c r="AZ38" s="64" t="s" ph="1">
        <v>411</v>
      </c>
    </row>
    <row r="39" spans="1:57" ph="1">
      <c r="AH39" s="64" ph="1">
        <v>2</v>
      </c>
      <c r="AI39" s="64" t="s" ph="1">
        <v>408</v>
      </c>
      <c r="AJ39" s="64" t="s" ph="1">
        <v>380</v>
      </c>
      <c r="AK39" s="64" t="s" ph="1">
        <v>409</v>
      </c>
      <c r="AM39" s="64" t="s" ph="1">
        <v>614</v>
      </c>
      <c r="AN39" s="64" t="s" ph="1">
        <v>272</v>
      </c>
      <c r="AO39" s="64" t="s" ph="1">
        <v>407</v>
      </c>
      <c r="AY39" s="64" t="s" ph="1">
        <v>260</v>
      </c>
      <c r="AZ39" s="64" t="s" ph="1">
        <v>543</v>
      </c>
    </row>
    <row r="40" spans="1:57" ph="1">
      <c r="AH40" s="64" ph="1">
        <v>3</v>
      </c>
      <c r="AI40" s="64" t="s" ph="1">
        <v>410</v>
      </c>
      <c r="AJ40" s="64" t="s" ph="1">
        <v>614</v>
      </c>
      <c r="AK40" s="64" t="s" ph="1">
        <v>615</v>
      </c>
      <c r="AY40" s="64" t="s" ph="1">
        <v>260</v>
      </c>
      <c r="AZ40" s="64" t="s" ph="1">
        <v>615</v>
      </c>
    </row>
    <row r="41" spans="1:57" ph="1">
      <c r="AH41" s="64" ph="1">
        <v>4</v>
      </c>
      <c r="AI41" s="64" t="s" ph="1">
        <v>412</v>
      </c>
      <c r="AJ41" s="64" t="s" ph="1">
        <v>616</v>
      </c>
      <c r="AK41" s="64" t="s" ph="1">
        <v>617</v>
      </c>
      <c r="AM41" s="64" t="s" ph="1">
        <v>618</v>
      </c>
      <c r="AY41" s="64" t="s" ph="1">
        <v>260</v>
      </c>
      <c r="AZ41" s="64" t="s" ph="1">
        <v>617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413</v>
      </c>
      <c r="AY42" s="64" t="s" ph="1">
        <v>260</v>
      </c>
      <c r="AZ42" s="64" t="s" ph="1">
        <v>411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414</v>
      </c>
      <c r="AY43" s="64" t="s" ph="1">
        <v>260</v>
      </c>
      <c r="AZ43" s="64" t="s" ph="1">
        <v>411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415</v>
      </c>
      <c r="AV44" s="64" t="s" ph="1">
        <v>261</v>
      </c>
      <c r="AY44" s="64" t="s" ph="1">
        <v>260</v>
      </c>
      <c r="AZ44" s="64" t="s" ph="1">
        <v>411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416</v>
      </c>
      <c r="AV45" s="64" t="s" ph="1">
        <v>261</v>
      </c>
      <c r="AY45" s="64" t="s" ph="1">
        <v>260</v>
      </c>
      <c r="AZ45" s="64" t="s" ph="1">
        <v>411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417</v>
      </c>
      <c r="AV46" s="64" t="s" ph="1">
        <v>261</v>
      </c>
      <c r="AY46" s="64" t="s" ph="1">
        <v>260</v>
      </c>
      <c r="AZ46" s="64" t="s" ph="1">
        <v>411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418</v>
      </c>
      <c r="AV47" s="64" t="s" ph="1">
        <v>261</v>
      </c>
      <c r="AY47" s="64" t="s" ph="1">
        <v>260</v>
      </c>
      <c r="AZ47" s="64" t="s" ph="1">
        <v>411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619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276</v>
      </c>
      <c r="AI49" s="64" t="s" ph="1">
        <v>253</v>
      </c>
      <c r="AJ49" s="64" t="s" ph="1">
        <v>254</v>
      </c>
      <c r="AK49" s="64" t="s" ph="1">
        <v>255</v>
      </c>
      <c r="AM49" s="64" t="s" ph="1">
        <v>254</v>
      </c>
      <c r="AN49" s="64" t="s" ph="1">
        <v>255</v>
      </c>
      <c r="AO49" s="64" t="s" ph="1">
        <v>256</v>
      </c>
      <c r="AP49" s="64" t="s" ph="1">
        <v>254</v>
      </c>
      <c r="AQ49" s="64" t="s" ph="1">
        <v>255</v>
      </c>
      <c r="AR49" s="64" t="s" ph="1">
        <v>256</v>
      </c>
      <c r="AS49" s="64" t="s" ph="1">
        <v>254</v>
      </c>
      <c r="AT49" s="64" t="s" ph="1">
        <v>255</v>
      </c>
      <c r="AU49" s="64" t="s" ph="1">
        <v>256</v>
      </c>
      <c r="AV49" s="64" t="s" ph="1">
        <v>254</v>
      </c>
      <c r="AW49" s="64" t="s" ph="1">
        <v>255</v>
      </c>
      <c r="AX49" s="64" t="s" ph="1">
        <v>256</v>
      </c>
      <c r="AY49" s="64" t="s" ph="1">
        <v>255</v>
      </c>
      <c r="AZ49" s="64" t="s" ph="1">
        <v>257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419</v>
      </c>
      <c r="AY50" s="64" t="s" ph="1">
        <v>260</v>
      </c>
      <c r="AZ50" s="64" t="s" ph="1">
        <v>411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420</v>
      </c>
      <c r="AY51" s="64" t="s" ph="1">
        <v>260</v>
      </c>
      <c r="AZ51" s="64" t="s" ph="1">
        <v>411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421</v>
      </c>
      <c r="AJ52" s="64" t="s" ph="1">
        <v>378</v>
      </c>
      <c r="AK52" s="64" t="s" ph="1">
        <v>272</v>
      </c>
      <c r="AM52" s="64" t="s" ph="1">
        <v>380</v>
      </c>
      <c r="AN52" s="64" t="s" ph="1">
        <v>344</v>
      </c>
      <c r="AO52" s="64" t="s" ph="1">
        <v>277</v>
      </c>
      <c r="AP52" s="64" t="s" ph="1">
        <v>614</v>
      </c>
      <c r="AQ52" s="64" t="s" ph="1">
        <v>326</v>
      </c>
      <c r="AR52" s="64" t="s" ph="1">
        <v>277</v>
      </c>
      <c r="AY52" s="64" t="s" ph="1">
        <v>260</v>
      </c>
      <c r="AZ52" s="64" t="s" ph="1">
        <v>620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422</v>
      </c>
      <c r="AY53" s="64" t="s" ph="1">
        <v>260</v>
      </c>
      <c r="AZ53" s="64" t="s" ph="1">
        <v>411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423</v>
      </c>
      <c r="AJ54" s="64" t="s" ph="1">
        <v>378</v>
      </c>
      <c r="AK54" s="64" t="s" ph="1">
        <v>263</v>
      </c>
      <c r="AM54" s="64" t="s" ph="1">
        <v>380</v>
      </c>
      <c r="AN54" s="64" t="s" ph="1">
        <v>268</v>
      </c>
      <c r="AO54" s="64" t="s" ph="1">
        <v>277</v>
      </c>
      <c r="AP54" s="64" t="s" ph="1">
        <v>614</v>
      </c>
      <c r="AQ54" s="64" t="s" ph="1">
        <v>284</v>
      </c>
      <c r="AR54" s="64" t="s" ph="1">
        <v>277</v>
      </c>
      <c r="AY54" s="64" t="s" ph="1">
        <v>260</v>
      </c>
      <c r="AZ54" s="64" t="s" ph="1">
        <v>278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424</v>
      </c>
      <c r="AY55" s="64" t="s" ph="1">
        <v>260</v>
      </c>
      <c r="AZ55" s="64" t="s" ph="1">
        <v>411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425</v>
      </c>
      <c r="AY56" s="64" t="s" ph="1">
        <v>260</v>
      </c>
      <c r="AZ56" s="64" t="s" ph="1">
        <v>411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426</v>
      </c>
      <c r="AY57" s="64" t="s" ph="1">
        <v>260</v>
      </c>
      <c r="AZ57" s="64" t="s" ph="1">
        <v>411</v>
      </c>
    </row>
    <row r="58" spans="16:52" ph="1">
      <c r="P58" s="64"/>
      <c r="AN58" s="64" t="s" ph="1">
        <v>261</v>
      </c>
      <c r="AZ58" s="64" t="s" ph="1">
        <v>621</v>
      </c>
    </row>
    <row r="59" spans="16:52" ph="1">
      <c r="V59" s="64"/>
      <c r="AG59" s="64" t="s" ph="1">
        <v>279</v>
      </c>
      <c r="AI59" s="64" t="s" ph="1">
        <v>253</v>
      </c>
      <c r="AJ59" s="64" t="s" ph="1">
        <v>254</v>
      </c>
      <c r="AK59" s="64" t="s" ph="1">
        <v>255</v>
      </c>
      <c r="AM59" s="64" t="s" ph="1">
        <v>254</v>
      </c>
      <c r="AN59" s="64" t="s" ph="1">
        <v>255</v>
      </c>
      <c r="AO59" s="64" t="s" ph="1">
        <v>256</v>
      </c>
      <c r="AP59" s="64" t="s" ph="1">
        <v>254</v>
      </c>
      <c r="AQ59" s="64" t="s" ph="1">
        <v>255</v>
      </c>
      <c r="AR59" s="64" t="s" ph="1">
        <v>256</v>
      </c>
      <c r="AS59" s="64" t="s" ph="1">
        <v>254</v>
      </c>
      <c r="AT59" s="64" t="s" ph="1">
        <v>255</v>
      </c>
      <c r="AU59" s="64" t="s" ph="1">
        <v>256</v>
      </c>
      <c r="AV59" s="64" t="s" ph="1">
        <v>254</v>
      </c>
      <c r="AW59" s="64" t="s" ph="1">
        <v>255</v>
      </c>
      <c r="AX59" s="64" t="s" ph="1">
        <v>256</v>
      </c>
      <c r="AY59" s="64" t="s" ph="1">
        <v>255</v>
      </c>
      <c r="AZ59" s="64" t="s" ph="1">
        <v>257</v>
      </c>
    </row>
    <row r="60" spans="16:52" ph="1">
      <c r="R60" s="64"/>
      <c r="S60" s="64"/>
      <c r="T60" s="64"/>
      <c r="AH60" s="64" ph="1">
        <v>1</v>
      </c>
      <c r="AI60" s="64" t="s" ph="1">
        <v>427</v>
      </c>
      <c r="AY60" s="64" t="s" ph="1">
        <v>260</v>
      </c>
      <c r="AZ60" s="64" t="s" ph="1">
        <v>411</v>
      </c>
    </row>
    <row r="61" spans="16:52" ph="1">
      <c r="AH61" s="64" ph="1">
        <v>2</v>
      </c>
      <c r="AI61" s="64" t="s" ph="1">
        <v>428</v>
      </c>
      <c r="AS61" s="64" t="s" ph="1">
        <v>261</v>
      </c>
      <c r="AY61" s="64" t="s" ph="1">
        <v>260</v>
      </c>
      <c r="AZ61" s="64" t="s" ph="1">
        <v>411</v>
      </c>
    </row>
    <row r="62" spans="16:52" ph="1">
      <c r="AZ62" s="64" t="s" ph="1">
        <v>429</v>
      </c>
    </row>
    <row r="63" spans="16:52" ph="1">
      <c r="AG63" s="64" t="s" ph="1">
        <v>282</v>
      </c>
      <c r="AI63" s="64" t="s" ph="1">
        <v>253</v>
      </c>
      <c r="AJ63" s="64" t="s" ph="1">
        <v>254</v>
      </c>
      <c r="AK63" s="64" t="s" ph="1">
        <v>255</v>
      </c>
      <c r="AM63" s="64" t="s" ph="1">
        <v>254</v>
      </c>
      <c r="AN63" s="64" t="s" ph="1">
        <v>255</v>
      </c>
      <c r="AO63" s="64" t="s" ph="1">
        <v>256</v>
      </c>
      <c r="AP63" s="64" t="s" ph="1">
        <v>254</v>
      </c>
      <c r="AQ63" s="64" t="s" ph="1">
        <v>255</v>
      </c>
      <c r="AR63" s="64" t="s" ph="1">
        <v>256</v>
      </c>
      <c r="AS63" s="64" t="s" ph="1">
        <v>254</v>
      </c>
      <c r="AT63" s="64" t="s" ph="1">
        <v>255</v>
      </c>
      <c r="AU63" s="64" t="s" ph="1">
        <v>256</v>
      </c>
      <c r="AV63" s="64" t="s" ph="1">
        <v>254</v>
      </c>
      <c r="AW63" s="64" t="s" ph="1">
        <v>255</v>
      </c>
      <c r="AX63" s="64" t="s" ph="1">
        <v>256</v>
      </c>
      <c r="AY63" s="64" t="s" ph="1">
        <v>255</v>
      </c>
      <c r="AZ63" s="64" t="s" ph="1">
        <v>257</v>
      </c>
    </row>
    <row r="64" spans="16:52" ph="1">
      <c r="AH64" s="64" ph="1">
        <v>1</v>
      </c>
      <c r="AI64" s="64" t="s" ph="1">
        <v>430</v>
      </c>
      <c r="AJ64" s="64" t="s" ph="1">
        <v>431</v>
      </c>
      <c r="AK64" s="64" t="s" ph="1">
        <v>432</v>
      </c>
      <c r="AY64" s="64" t="s" ph="1">
        <v>260</v>
      </c>
      <c r="AZ64" s="64" t="s" ph="1">
        <v>432</v>
      </c>
    </row>
    <row r="65" spans="33:52" ph="1">
      <c r="AH65" s="64" ph="1">
        <v>2</v>
      </c>
      <c r="AI65" s="64" t="s" ph="1">
        <v>433</v>
      </c>
      <c r="AY65" s="64" t="s" ph="1">
        <v>260</v>
      </c>
      <c r="AZ65" s="64" t="s" ph="1">
        <v>411</v>
      </c>
    </row>
    <row r="66" spans="33:52" ph="1">
      <c r="AH66" s="64" ph="1">
        <v>3</v>
      </c>
      <c r="AI66" s="64" t="s" ph="1">
        <v>434</v>
      </c>
      <c r="AY66" s="64" t="s" ph="1">
        <v>260</v>
      </c>
      <c r="AZ66" s="64" t="s" ph="1">
        <v>411</v>
      </c>
    </row>
    <row r="67" spans="33:52" ph="1">
      <c r="AH67" s="64" ph="1">
        <v>4</v>
      </c>
      <c r="AI67" s="64" t="s" ph="1">
        <v>435</v>
      </c>
      <c r="AY67" s="64" t="s" ph="1">
        <v>260</v>
      </c>
      <c r="AZ67" s="64" t="s" ph="1">
        <v>411</v>
      </c>
    </row>
    <row r="68" spans="33:52" ph="1">
      <c r="AH68" s="64" ph="1">
        <v>5</v>
      </c>
      <c r="AI68" s="64" t="s" ph="1">
        <v>436</v>
      </c>
      <c r="AY68" s="64" t="s" ph="1">
        <v>260</v>
      </c>
      <c r="AZ68" s="64" t="s" ph="1">
        <v>411</v>
      </c>
    </row>
    <row r="69" spans="33:52" ph="1">
      <c r="AH69" s="64" ph="1">
        <v>6</v>
      </c>
      <c r="AI69" s="64" t="s" ph="1">
        <v>437</v>
      </c>
      <c r="AY69" s="64" t="s" ph="1">
        <v>260</v>
      </c>
      <c r="AZ69" s="64" t="s" ph="1">
        <v>411</v>
      </c>
    </row>
    <row r="70" spans="33:52" ph="1">
      <c r="AI70" s="64" t="s" ph="1">
        <v>438</v>
      </c>
      <c r="AY70" s="64" t="s" ph="1">
        <v>260</v>
      </c>
      <c r="AZ70" s="64" t="s" ph="1">
        <v>411</v>
      </c>
    </row>
    <row r="71" spans="33:52" ph="1">
      <c r="AH71" s="64" ph="1">
        <v>7</v>
      </c>
      <c r="AI71" s="64" t="s" ph="1">
        <v>439</v>
      </c>
      <c r="AJ71" s="64" t="s" ph="1">
        <v>378</v>
      </c>
      <c r="AK71" s="64" t="s" ph="1">
        <v>272</v>
      </c>
      <c r="AM71" s="64" t="s" ph="1">
        <v>380</v>
      </c>
      <c r="AN71" s="64" t="s" ph="1">
        <v>272</v>
      </c>
      <c r="AO71" s="64" t="s" ph="1">
        <v>440</v>
      </c>
      <c r="AP71" s="64" t="s" ph="1">
        <v>614</v>
      </c>
      <c r="AQ71" s="64" t="s" ph="1">
        <v>263</v>
      </c>
      <c r="AR71" s="64" t="s" ph="1">
        <v>440</v>
      </c>
      <c r="AY71" s="64" t="s" ph="1">
        <v>260</v>
      </c>
      <c r="AZ71" s="64" t="s" ph="1">
        <v>622</v>
      </c>
    </row>
    <row r="72" spans="33:52" ph="1">
      <c r="AZ72" s="64" t="s" ph="1">
        <v>623</v>
      </c>
    </row>
    <row r="73" spans="33:52" ph="1">
      <c r="AG73" s="64" t="s" ph="1">
        <v>285</v>
      </c>
      <c r="AI73" s="64" t="s" ph="1">
        <v>253</v>
      </c>
      <c r="AJ73" s="64" t="s" ph="1">
        <v>254</v>
      </c>
      <c r="AK73" s="64" t="s" ph="1">
        <v>255</v>
      </c>
      <c r="AM73" s="64" t="s" ph="1">
        <v>254</v>
      </c>
      <c r="AN73" s="64" t="s" ph="1">
        <v>255</v>
      </c>
      <c r="AO73" s="64" t="s" ph="1">
        <v>256</v>
      </c>
      <c r="AP73" s="64" t="s" ph="1">
        <v>254</v>
      </c>
      <c r="AQ73" s="64" t="s" ph="1">
        <v>255</v>
      </c>
      <c r="AR73" s="64" t="s" ph="1">
        <v>256</v>
      </c>
      <c r="AS73" s="64" t="s" ph="1">
        <v>254</v>
      </c>
      <c r="AT73" s="64" t="s" ph="1">
        <v>255</v>
      </c>
      <c r="AU73" s="64" t="s" ph="1">
        <v>256</v>
      </c>
      <c r="AV73" s="64" t="s" ph="1">
        <v>254</v>
      </c>
      <c r="AW73" s="64" t="s" ph="1">
        <v>255</v>
      </c>
      <c r="AX73" s="64" t="s" ph="1">
        <v>256</v>
      </c>
      <c r="AY73" s="64" t="s" ph="1">
        <v>255</v>
      </c>
      <c r="AZ73" s="64" t="s" ph="1">
        <v>257</v>
      </c>
    </row>
    <row r="74" spans="33:52" ph="1">
      <c r="AH74" s="64" ph="1">
        <v>1</v>
      </c>
      <c r="AI74" s="64" t="s" ph="1">
        <v>441</v>
      </c>
      <c r="AJ74" s="64" t="s" ph="1">
        <v>286</v>
      </c>
      <c r="AK74" s="64" t="s" ph="1">
        <v>268</v>
      </c>
      <c r="AM74" s="64" t="s" ph="1">
        <v>288</v>
      </c>
      <c r="AN74" s="64" t="s" ph="1">
        <v>298</v>
      </c>
      <c r="AO74" s="64" t="s" ph="1">
        <v>287</v>
      </c>
      <c r="AP74" s="64" t="s" ph="1">
        <v>289</v>
      </c>
      <c r="AQ74" s="64" t="s" ph="1">
        <v>266</v>
      </c>
      <c r="AR74" s="64" t="s" ph="1">
        <v>287</v>
      </c>
      <c r="AS74" s="64" t="s" ph="1">
        <v>259</v>
      </c>
      <c r="AT74" s="64" t="s" ph="1">
        <v>261</v>
      </c>
      <c r="AV74" s="64" t="s" ph="1">
        <v>442</v>
      </c>
      <c r="AW74" s="64" t="s" ph="1">
        <v>443</v>
      </c>
      <c r="AX74" s="64" t="s" ph="1">
        <v>444</v>
      </c>
      <c r="AY74" s="64" t="s" ph="1">
        <v>260</v>
      </c>
      <c r="AZ74" s="64" t="s" ph="1">
        <v>445</v>
      </c>
    </row>
    <row r="75" spans="33:52" ph="1">
      <c r="AJ75" s="64" t="s" ph="1">
        <v>291</v>
      </c>
      <c r="AK75" s="64" t="s" ph="1">
        <v>344</v>
      </c>
      <c r="AM75" s="64" t="s" ph="1">
        <v>289</v>
      </c>
      <c r="AN75" s="64" t="s" ph="1">
        <v>269</v>
      </c>
      <c r="AO75" s="64" t="s" ph="1">
        <v>287</v>
      </c>
      <c r="AS75" s="64" t="s" ph="1">
        <v>259</v>
      </c>
      <c r="AT75" s="64" t="s" ph="1">
        <v>290</v>
      </c>
    </row>
    <row r="76" spans="33:52" ph="1">
      <c r="AJ76" s="64" t="s" ph="1">
        <v>291</v>
      </c>
      <c r="AK76" s="64" t="s" ph="1">
        <v>284</v>
      </c>
      <c r="AM76" s="64" t="s" ph="1">
        <v>289</v>
      </c>
      <c r="AN76" s="64" t="s" ph="1">
        <v>272</v>
      </c>
      <c r="AO76" s="64" t="s" ph="1">
        <v>287</v>
      </c>
      <c r="AS76" s="64" t="s" ph="1">
        <v>259</v>
      </c>
      <c r="AT76" s="64" t="s" ph="1">
        <v>290</v>
      </c>
    </row>
    <row r="77" spans="33:52" ph="1">
      <c r="AJ77" s="64" t="s" ph="1">
        <v>327</v>
      </c>
      <c r="AK77" s="64" t="s" ph="1">
        <v>284</v>
      </c>
      <c r="AM77" s="64" t="s" ph="1">
        <v>328</v>
      </c>
      <c r="AN77" s="64" t="s" ph="1">
        <v>267</v>
      </c>
      <c r="AO77" s="64" t="s" ph="1">
        <v>287</v>
      </c>
      <c r="AS77" s="64" t="s" ph="1">
        <v>259</v>
      </c>
      <c r="AT77" s="64" t="s" ph="1">
        <v>329</v>
      </c>
    </row>
    <row r="78" spans="33:52" ph="1">
      <c r="AH78" s="64" ph="1">
        <v>2</v>
      </c>
      <c r="AI78" s="64" t="s" ph="1">
        <v>293</v>
      </c>
      <c r="AJ78" s="64" t="s" ph="1">
        <v>294</v>
      </c>
      <c r="AK78" s="64" t="s" ph="1">
        <v>263</v>
      </c>
      <c r="AM78" s="64" t="s" ph="1">
        <v>295</v>
      </c>
      <c r="AN78" s="64" t="s" ph="1">
        <v>298</v>
      </c>
      <c r="AO78" s="64" t="s" ph="1">
        <v>287</v>
      </c>
      <c r="AP78" s="64" t="s" ph="1">
        <v>296</v>
      </c>
      <c r="AQ78" s="64" t="s" ph="1">
        <v>342</v>
      </c>
      <c r="AR78" s="64" t="s" ph="1">
        <v>287</v>
      </c>
      <c r="AS78" s="64" t="s" ph="1">
        <v>297</v>
      </c>
      <c r="AT78" s="64" t="s" ph="1">
        <v>298</v>
      </c>
      <c r="AU78" s="64" t="s" ph="1">
        <v>287</v>
      </c>
      <c r="AV78" s="64" t="s" ph="1">
        <v>299</v>
      </c>
      <c r="AW78" s="64" t="s" ph="1">
        <v>287</v>
      </c>
      <c r="AY78" s="64" t="s" ph="1">
        <v>260</v>
      </c>
      <c r="AZ78" s="64" t="s" ph="1">
        <v>446</v>
      </c>
    </row>
    <row r="79" spans="33:52" ph="1">
      <c r="AJ79" s="64" t="s" ph="1">
        <v>289</v>
      </c>
      <c r="AK79" s="64" t="s" ph="1">
        <v>300</v>
      </c>
      <c r="AM79" s="64" t="s" ph="1">
        <v>301</v>
      </c>
      <c r="AN79" s="64" t="s" ph="1">
        <v>269</v>
      </c>
      <c r="AO79" s="64" t="s" ph="1">
        <v>287</v>
      </c>
      <c r="AP79" s="64" t="s" ph="1">
        <v>302</v>
      </c>
      <c r="AQ79" s="64" t="s" ph="1">
        <v>267</v>
      </c>
      <c r="AR79" s="64" t="s" ph="1">
        <v>303</v>
      </c>
      <c r="AS79" s="64" t="s" ph="1">
        <v>259</v>
      </c>
      <c r="AT79" s="64" t="s" ph="1">
        <v>304</v>
      </c>
      <c r="AV79" s="64" t="s" ph="1">
        <v>447</v>
      </c>
      <c r="AW79" s="64" t="s" ph="1">
        <v>346</v>
      </c>
      <c r="AX79" s="64" t="s" ph="1">
        <v>444</v>
      </c>
    </row>
    <row r="80" spans="33:52" ph="1">
      <c r="AH80" s="64" ph="1">
        <v>3</v>
      </c>
      <c r="AI80" s="64" t="s" ph="1">
        <v>305</v>
      </c>
      <c r="AJ80" s="64" t="s" ph="1">
        <v>306</v>
      </c>
      <c r="AK80" s="64" t="s" ph="1">
        <v>307</v>
      </c>
      <c r="AM80" s="64" t="s" ph="1">
        <v>308</v>
      </c>
      <c r="AN80" s="64" t="s" ph="1">
        <v>298</v>
      </c>
      <c r="AO80" s="64" t="s" ph="1">
        <v>287</v>
      </c>
      <c r="AP80" s="64" t="s" ph="1">
        <v>309</v>
      </c>
      <c r="AQ80" s="64" t="s" ph="1">
        <v>272</v>
      </c>
      <c r="AR80" s="64" t="s" ph="1">
        <v>287</v>
      </c>
      <c r="AS80" s="64" t="s" ph="1">
        <v>310</v>
      </c>
      <c r="AT80" s="64" t="s" ph="1">
        <v>271</v>
      </c>
      <c r="AU80" s="64" t="s" ph="1">
        <v>287</v>
      </c>
      <c r="AV80" s="64" t="s" ph="1">
        <v>311</v>
      </c>
      <c r="AW80" s="64" t="s" ph="1">
        <v>287</v>
      </c>
      <c r="AY80" s="64" t="s" ph="1">
        <v>260</v>
      </c>
      <c r="AZ80" s="64" t="s" ph="1">
        <v>448</v>
      </c>
    </row>
    <row r="81" spans="34:52" ph="1">
      <c r="AJ81" s="64" t="s" ph="1">
        <v>312</v>
      </c>
      <c r="AK81" s="64" t="s" ph="1">
        <v>266</v>
      </c>
      <c r="AM81" s="64" t="s" ph="1">
        <v>313</v>
      </c>
      <c r="AN81" s="64" t="s" ph="1">
        <v>269</v>
      </c>
      <c r="AO81" s="64" t="s" ph="1">
        <v>287</v>
      </c>
      <c r="AP81" s="64" t="s" ph="1">
        <v>314</v>
      </c>
      <c r="AQ81" s="64" t="s" ph="1">
        <v>298</v>
      </c>
      <c r="AR81" s="64" t="s" ph="1">
        <v>287</v>
      </c>
      <c r="AS81" s="64" t="s" ph="1">
        <v>315</v>
      </c>
      <c r="AT81" s="64" t="s" ph="1">
        <v>316</v>
      </c>
      <c r="AU81" s="64" t="s" ph="1">
        <v>287</v>
      </c>
      <c r="AV81" s="64" t="s" ph="1">
        <v>317</v>
      </c>
    </row>
    <row r="82" spans="34:52" ph="1">
      <c r="AJ82" s="64" t="s" ph="1">
        <v>318</v>
      </c>
      <c r="AK82" s="64" t="s" ph="1">
        <v>266</v>
      </c>
      <c r="AM82" s="64" t="s" ph="1">
        <v>319</v>
      </c>
      <c r="AN82" s="64" t="s" ph="1">
        <v>316</v>
      </c>
      <c r="AO82" s="64" t="s" ph="1">
        <v>320</v>
      </c>
      <c r="AP82" s="64" t="s" ph="1">
        <v>321</v>
      </c>
      <c r="AQ82" s="64" t="s" ph="1">
        <v>298</v>
      </c>
      <c r="AR82" s="64" t="s" ph="1">
        <v>287</v>
      </c>
      <c r="AS82" s="64" t="s" ph="1">
        <v>322</v>
      </c>
      <c r="AT82" s="64" t="s" ph="1">
        <v>273</v>
      </c>
      <c r="AU82" s="64" t="s" ph="1">
        <v>287</v>
      </c>
      <c r="AV82" s="64" t="s" ph="1">
        <v>447</v>
      </c>
      <c r="AW82" s="64" t="s" ph="1">
        <v>347</v>
      </c>
      <c r="AX82" s="64" t="s" ph="1">
        <v>444</v>
      </c>
    </row>
    <row r="83" spans="34:52" ph="1">
      <c r="AJ83" s="64" t="s" ph="1">
        <v>323</v>
      </c>
      <c r="AK83" s="64" t="s" ph="1">
        <v>340</v>
      </c>
      <c r="AM83" s="64" t="s" ph="1">
        <v>324</v>
      </c>
      <c r="AN83" s="64" t="s" ph="1">
        <v>272</v>
      </c>
      <c r="AO83" s="64" t="s" ph="1">
        <v>303</v>
      </c>
      <c r="AP83" s="64" t="s" ph="1">
        <v>325</v>
      </c>
      <c r="AQ83" s="64" t="s" ph="1">
        <v>326</v>
      </c>
      <c r="AR83" s="64" t="s" ph="1">
        <v>303</v>
      </c>
      <c r="AS83" s="64" t="s" ph="1">
        <v>449</v>
      </c>
      <c r="AT83" s="64" t="s" ph="1">
        <v>298</v>
      </c>
      <c r="AU83" s="64" t="s" ph="1">
        <v>303</v>
      </c>
      <c r="AV83" s="64" t="s" ph="1">
        <v>450</v>
      </c>
      <c r="AW83" s="64" t="s" ph="1">
        <v>347</v>
      </c>
      <c r="AX83" s="64" t="s" ph="1">
        <v>451</v>
      </c>
    </row>
    <row r="84" spans="34:52" ph="1">
      <c r="AH84" s="64" ph="1">
        <v>4</v>
      </c>
      <c r="AI84" s="64" t="s" ph="1">
        <v>330</v>
      </c>
      <c r="AJ84" s="64" t="s" ph="1">
        <v>270</v>
      </c>
      <c r="AK84" s="64" t="s" ph="1">
        <v>273</v>
      </c>
      <c r="AM84" s="64" t="s" ph="1">
        <v>274</v>
      </c>
      <c r="AN84" s="64" t="s" ph="1">
        <v>267</v>
      </c>
      <c r="AO84" s="64" t="s" ph="1">
        <v>303</v>
      </c>
      <c r="AP84" s="64" t="s" ph="1">
        <v>332</v>
      </c>
      <c r="AQ84" s="64" t="s" ph="1">
        <v>266</v>
      </c>
      <c r="AR84" s="64" t="s" ph="1">
        <v>303</v>
      </c>
      <c r="AS84" s="64" t="s" ph="1">
        <v>332</v>
      </c>
      <c r="AT84" s="64" t="s" ph="1">
        <v>268</v>
      </c>
      <c r="AU84" s="64" t="s" ph="1">
        <v>303</v>
      </c>
      <c r="AY84" s="64" t="s" ph="1">
        <v>260</v>
      </c>
      <c r="AZ84" s="64" t="s" ph="1">
        <v>452</v>
      </c>
    </row>
    <row r="85" spans="34:52" ph="1">
      <c r="AJ85" s="64" t="s" ph="1">
        <v>262</v>
      </c>
      <c r="AK85" s="64" t="s" ph="1">
        <v>266</v>
      </c>
      <c r="AM85" s="64" t="s" ph="1">
        <v>453</v>
      </c>
      <c r="AN85" s="64" t="s" ph="1">
        <v>273</v>
      </c>
      <c r="AO85" s="64" t="s" ph="1">
        <v>303</v>
      </c>
      <c r="AP85" s="64" t="s" ph="1">
        <v>454</v>
      </c>
      <c r="AQ85" s="64" t="s" ph="1">
        <v>269</v>
      </c>
      <c r="AR85" s="64" t="s" ph="1">
        <v>303</v>
      </c>
      <c r="AS85" s="64" t="s" ph="1">
        <v>455</v>
      </c>
      <c r="AT85" s="64" t="s" ph="1">
        <v>269</v>
      </c>
      <c r="AU85" s="64" t="s" ph="1">
        <v>303</v>
      </c>
    </row>
    <row r="86" spans="34:52" ph="1">
      <c r="AJ86" s="64" t="s" ph="1">
        <v>456</v>
      </c>
      <c r="AK86" s="64" t="s" ph="1">
        <v>275</v>
      </c>
      <c r="AM86" s="64" t="s" ph="1">
        <v>457</v>
      </c>
      <c r="AN86" s="64" t="s" ph="1">
        <v>316</v>
      </c>
      <c r="AO86" s="64" t="s" ph="1">
        <v>303</v>
      </c>
      <c r="AP86" s="64" t="s" ph="1">
        <v>458</v>
      </c>
      <c r="AQ86" s="64" t="s" ph="1">
        <v>263</v>
      </c>
      <c r="AR86" s="64" t="s" ph="1">
        <v>303</v>
      </c>
      <c r="AS86" s="64" t="s" ph="1">
        <v>459</v>
      </c>
      <c r="AT86" s="64" t="s" ph="1">
        <v>281</v>
      </c>
      <c r="AU86" s="64" t="s" ph="1">
        <v>303</v>
      </c>
    </row>
    <row r="87" spans="34:52" ph="1">
      <c r="AJ87" s="64" t="s" ph="1">
        <v>460</v>
      </c>
      <c r="AK87" s="64" t="s" ph="1">
        <v>316</v>
      </c>
      <c r="AM87" s="64" t="s" ph="1">
        <v>447</v>
      </c>
      <c r="AN87" s="64" t="s" ph="1">
        <v>461</v>
      </c>
      <c r="AO87" s="64" t="s" ph="1">
        <v>444</v>
      </c>
    </row>
    <row r="88" spans="34:52" ph="1">
      <c r="AH88" s="64" ph="1">
        <v>5</v>
      </c>
      <c r="AI88" s="64" t="s" ph="1">
        <v>333</v>
      </c>
      <c r="AJ88" s="64" t="s" ph="1">
        <v>462</v>
      </c>
      <c r="AK88" s="64" t="s" ph="1">
        <v>316</v>
      </c>
      <c r="AM88" s="64" t="s" ph="1">
        <v>463</v>
      </c>
      <c r="AN88" s="64" t="s" ph="1">
        <v>316</v>
      </c>
      <c r="AO88" s="64" t="s" ph="1">
        <v>303</v>
      </c>
      <c r="AP88" s="64" t="s" ph="1">
        <v>464</v>
      </c>
      <c r="AQ88" s="64" t="s" ph="1">
        <v>266</v>
      </c>
      <c r="AR88" s="64" t="s" ph="1">
        <v>303</v>
      </c>
      <c r="AS88" s="64" t="s" ph="1">
        <v>465</v>
      </c>
      <c r="AT88" s="64" t="s" ph="1">
        <v>316</v>
      </c>
      <c r="AU88" s="64" t="s" ph="1">
        <v>303</v>
      </c>
      <c r="AV88" s="64" t="s" ph="1">
        <v>466</v>
      </c>
      <c r="AW88" s="64" t="s" ph="1">
        <v>271</v>
      </c>
      <c r="AX88" s="64" t="s" ph="1">
        <v>303</v>
      </c>
      <c r="AY88" s="64" t="s" ph="1">
        <v>260</v>
      </c>
      <c r="AZ88" s="64" t="s" ph="1">
        <v>467</v>
      </c>
    </row>
    <row r="89" spans="34:52" ph="1">
      <c r="AJ89" s="64" t="s" ph="1">
        <v>468</v>
      </c>
      <c r="AK89" s="64" t="s" ph="1">
        <v>269</v>
      </c>
      <c r="AM89" s="64" t="s" ph="1">
        <v>469</v>
      </c>
      <c r="AN89" s="64" t="s" ph="1">
        <v>272</v>
      </c>
      <c r="AO89" s="64" t="s" ph="1">
        <v>303</v>
      </c>
      <c r="AP89" s="64" t="s" ph="1">
        <v>470</v>
      </c>
      <c r="AQ89" s="64" t="s" ph="1">
        <v>281</v>
      </c>
      <c r="AR89" s="64" t="s" ph="1">
        <v>303</v>
      </c>
      <c r="AS89" s="64" t="s" ph="1">
        <v>471</v>
      </c>
      <c r="AT89" s="64" t="s" ph="1">
        <v>316</v>
      </c>
      <c r="AU89" s="64" t="s" ph="1">
        <v>303</v>
      </c>
      <c r="AV89" s="64" t="s" ph="1">
        <v>472</v>
      </c>
      <c r="AW89" s="64" t="s" ph="1">
        <v>298</v>
      </c>
      <c r="AX89" s="64" t="s" ph="1">
        <v>331</v>
      </c>
    </row>
    <row r="90" spans="34:52" ph="1">
      <c r="AJ90" s="64" t="s" ph="1">
        <v>473</v>
      </c>
      <c r="AK90" s="64" t="s" ph="1">
        <v>272</v>
      </c>
      <c r="AM90" s="64" t="s" ph="1">
        <v>474</v>
      </c>
      <c r="AN90" s="64" t="s" ph="1">
        <v>269</v>
      </c>
      <c r="AO90" s="64" t="s" ph="1">
        <v>303</v>
      </c>
      <c r="AP90" s="64" t="s" ph="1">
        <v>475</v>
      </c>
      <c r="AQ90" s="64" t="s" ph="1">
        <v>338</v>
      </c>
      <c r="AR90" s="64" t="s" ph="1">
        <v>303</v>
      </c>
      <c r="AS90" s="64" t="s" ph="1">
        <v>476</v>
      </c>
      <c r="AT90" s="64" t="s" ph="1">
        <v>326</v>
      </c>
      <c r="AU90" s="64" t="s" ph="1">
        <v>303</v>
      </c>
      <c r="AV90" s="64" t="s" ph="1">
        <v>477</v>
      </c>
      <c r="AW90" s="64" t="s" ph="1">
        <v>263</v>
      </c>
      <c r="AX90" s="64" t="s" ph="1">
        <v>303</v>
      </c>
    </row>
    <row r="91" spans="34:52" ph="1">
      <c r="AJ91" s="64" t="s" ph="1">
        <v>478</v>
      </c>
      <c r="AK91" s="64" t="s" ph="1">
        <v>316</v>
      </c>
      <c r="AM91" s="64" t="s" ph="1">
        <v>479</v>
      </c>
      <c r="AN91" s="64" t="s" ph="1">
        <v>283</v>
      </c>
      <c r="AO91" s="64" t="s" ph="1">
        <v>303</v>
      </c>
      <c r="AP91" s="64" t="s" ph="1">
        <v>480</v>
      </c>
      <c r="AQ91" s="64" t="s" ph="1">
        <v>263</v>
      </c>
      <c r="AS91" s="64" t="s" ph="1">
        <v>447</v>
      </c>
      <c r="AT91" s="64" t="s" ph="1">
        <v>443</v>
      </c>
      <c r="AU91" s="64" t="s" ph="1">
        <v>444</v>
      </c>
    </row>
    <row r="92" spans="34:52" ph="1">
      <c r="AH92" s="64" ph="1">
        <v>6</v>
      </c>
      <c r="AI92" s="64" t="s" ph="1">
        <v>481</v>
      </c>
      <c r="AJ92" s="64" t="s" ph="1">
        <v>482</v>
      </c>
      <c r="AK92" s="64" t="s" ph="1">
        <v>411</v>
      </c>
      <c r="AM92" s="64" t="s" ph="1">
        <v>483</v>
      </c>
      <c r="AN92" s="64" t="s" ph="1">
        <v>271</v>
      </c>
      <c r="AO92" s="64" t="s" ph="1">
        <v>303</v>
      </c>
      <c r="AP92" s="64" t="s" ph="1">
        <v>484</v>
      </c>
      <c r="AQ92" s="64" t="s" ph="1">
        <v>343</v>
      </c>
      <c r="AR92" s="64" t="s" ph="1">
        <v>303</v>
      </c>
      <c r="AS92" s="64" t="s" ph="1">
        <v>485</v>
      </c>
      <c r="AT92" s="64" t="s" ph="1">
        <v>316</v>
      </c>
      <c r="AU92" s="64" t="s" ph="1">
        <v>303</v>
      </c>
      <c r="AV92" s="64" t="s" ph="1">
        <v>486</v>
      </c>
      <c r="AW92" s="64" t="s" ph="1">
        <v>272</v>
      </c>
      <c r="AX92" s="64" t="s" ph="1">
        <v>303</v>
      </c>
      <c r="AY92" s="64" t="s" ph="1">
        <v>260</v>
      </c>
      <c r="AZ92" s="64" t="s" ph="1">
        <v>467</v>
      </c>
    </row>
    <row r="93" spans="34:52" ph="1">
      <c r="AJ93" s="64" t="s" ph="1">
        <v>487</v>
      </c>
      <c r="AK93" s="64" t="s" ph="1">
        <v>266</v>
      </c>
      <c r="AM93" s="64" t="s" ph="1">
        <v>488</v>
      </c>
      <c r="AN93" s="64" t="s" ph="1">
        <v>271</v>
      </c>
      <c r="AO93" s="64" t="s" ph="1">
        <v>303</v>
      </c>
      <c r="AP93" s="64" t="s" ph="1">
        <v>489</v>
      </c>
      <c r="AQ93" s="64" t="s" ph="1">
        <v>275</v>
      </c>
      <c r="AR93" s="64" t="s" ph="1">
        <v>303</v>
      </c>
      <c r="AS93" s="64" t="s" ph="1">
        <v>490</v>
      </c>
      <c r="AT93" s="64" t="s" ph="1">
        <v>281</v>
      </c>
      <c r="AU93" s="64" t="s" ph="1">
        <v>303</v>
      </c>
      <c r="AV93" s="64" t="s" ph="1">
        <v>491</v>
      </c>
      <c r="AW93" s="64" t="s" ph="1">
        <v>275</v>
      </c>
      <c r="AX93" s="64" t="s" ph="1">
        <v>303</v>
      </c>
    </row>
    <row r="94" spans="34:52" ph="1">
      <c r="AJ94" s="64" t="s" ph="1">
        <v>492</v>
      </c>
      <c r="AK94" s="64" t="s" ph="1">
        <v>338</v>
      </c>
      <c r="AM94" s="64" t="s" ph="1">
        <v>493</v>
      </c>
      <c r="AN94" s="64" t="s" ph="1">
        <v>275</v>
      </c>
      <c r="AO94" s="64" t="s" ph="1">
        <v>303</v>
      </c>
      <c r="AP94" s="64" t="s" ph="1">
        <v>494</v>
      </c>
      <c r="AQ94" s="64" t="s" ph="1">
        <v>283</v>
      </c>
      <c r="AR94" s="64" t="s" ph="1">
        <v>303</v>
      </c>
      <c r="AS94" s="64" t="s" ph="1">
        <v>495</v>
      </c>
      <c r="AT94" s="64" t="s" ph="1">
        <v>269</v>
      </c>
      <c r="AU94" s="64" t="s" ph="1">
        <v>303</v>
      </c>
      <c r="AV94" s="64" t="s" ph="1">
        <v>496</v>
      </c>
      <c r="AW94" s="64" t="s" ph="1">
        <v>269</v>
      </c>
      <c r="AX94" s="64" t="s" ph="1">
        <v>303</v>
      </c>
    </row>
    <row r="95" spans="34:52" ph="1">
      <c r="AJ95" s="64" t="s" ph="1">
        <v>497</v>
      </c>
      <c r="AK95" s="64" t="s" ph="1">
        <v>343</v>
      </c>
    </row>
    <row r="96" spans="34:52" ph="1">
      <c r="AH96" s="64" ph="1">
        <v>7</v>
      </c>
      <c r="AI96" s="64" t="s" ph="1">
        <v>498</v>
      </c>
      <c r="AJ96" s="64" t="s" ph="1">
        <v>497</v>
      </c>
      <c r="AK96" s="64" t="s" ph="1">
        <v>298</v>
      </c>
      <c r="AM96" s="64" t="s" ph="1">
        <v>499</v>
      </c>
      <c r="AN96" s="64" t="s" ph="1">
        <v>272</v>
      </c>
      <c r="AO96" s="64" t="s" ph="1">
        <v>303</v>
      </c>
      <c r="AP96" s="64" t="s" ph="1">
        <v>500</v>
      </c>
      <c r="AQ96" s="64" t="s" ph="1">
        <v>316</v>
      </c>
      <c r="AR96" s="64" t="s" ph="1">
        <v>331</v>
      </c>
      <c r="AS96" s="64" t="s" ph="1">
        <v>501</v>
      </c>
      <c r="AT96" s="64" t="s" ph="1">
        <v>275</v>
      </c>
      <c r="AU96" s="64" t="s" ph="1">
        <v>331</v>
      </c>
      <c r="AV96" s="64" t="s" ph="1">
        <v>502</v>
      </c>
      <c r="AW96" s="64" t="s" ph="1">
        <v>271</v>
      </c>
      <c r="AX96" s="64" t="s" ph="1">
        <v>331</v>
      </c>
      <c r="AY96" s="64" t="s" ph="1">
        <v>260</v>
      </c>
      <c r="AZ96" s="64" t="s" ph="1">
        <v>503</v>
      </c>
    </row>
    <row r="97" spans="33:52" ph="1">
      <c r="AJ97" s="64" t="s" ph="1">
        <v>504</v>
      </c>
      <c r="AK97" s="64" t="s" ph="1">
        <v>326</v>
      </c>
      <c r="AM97" s="64" t="s" ph="1">
        <v>505</v>
      </c>
      <c r="AN97" s="64" t="s" ph="1">
        <v>269</v>
      </c>
      <c r="AO97" s="64" t="s" ph="1">
        <v>303</v>
      </c>
      <c r="AP97" s="64" t="s" ph="1">
        <v>506</v>
      </c>
      <c r="AQ97" s="64" t="s" ph="1">
        <v>263</v>
      </c>
      <c r="AR97" s="64" t="s" ph="1">
        <v>331</v>
      </c>
      <c r="AS97" s="64" t="s" ph="1">
        <v>507</v>
      </c>
      <c r="AT97" s="64" t="s" ph="1">
        <v>266</v>
      </c>
      <c r="AU97" s="64" t="s" ph="1">
        <v>331</v>
      </c>
      <c r="AV97" s="64" t="s" ph="1">
        <v>508</v>
      </c>
      <c r="AW97" s="64" t="s" ph="1">
        <v>272</v>
      </c>
      <c r="AX97" s="64" t="s" ph="1">
        <v>331</v>
      </c>
    </row>
    <row r="98" spans="33:52" ph="1">
      <c r="AJ98" s="64" t="s" ph="1">
        <v>509</v>
      </c>
      <c r="AK98" s="64" t="s" ph="1">
        <v>275</v>
      </c>
      <c r="AM98" s="64" t="s" ph="1">
        <v>510</v>
      </c>
      <c r="AN98" s="64" t="s" ph="1">
        <v>283</v>
      </c>
      <c r="AO98" s="64" t="s" ph="1">
        <v>303</v>
      </c>
      <c r="AP98" s="64" t="s" ph="1">
        <v>511</v>
      </c>
      <c r="AQ98" s="64" t="s" ph="1">
        <v>263</v>
      </c>
      <c r="AR98" s="64" t="s" ph="1">
        <v>331</v>
      </c>
      <c r="AS98" s="64" t="s" ph="1">
        <v>512</v>
      </c>
      <c r="AT98" s="64" t="s" ph="1">
        <v>343</v>
      </c>
      <c r="AU98" s="64" t="s" ph="1">
        <v>331</v>
      </c>
      <c r="AV98" s="64" t="s" ph="1">
        <v>513</v>
      </c>
      <c r="AW98" s="64" t="s" ph="1">
        <v>266</v>
      </c>
      <c r="AX98" s="64" t="s" ph="1">
        <v>331</v>
      </c>
    </row>
    <row r="99" spans="33:52" ph="1">
      <c r="AH99" s="64" ph="1">
        <v>8</v>
      </c>
      <c r="AI99" s="64" t="s" ph="1">
        <v>514</v>
      </c>
      <c r="AJ99" s="64" t="s" ph="1">
        <v>515</v>
      </c>
      <c r="AK99" s="64" t="s" ph="1">
        <v>411</v>
      </c>
      <c r="AM99" s="64" t="s" ph="1">
        <v>516</v>
      </c>
      <c r="AN99" s="64" t="s" ph="1">
        <v>298</v>
      </c>
      <c r="AO99" s="64" t="s" ph="1">
        <v>303</v>
      </c>
      <c r="AP99" s="64" t="s" ph="1">
        <v>517</v>
      </c>
      <c r="AQ99" s="64" t="s" ph="1">
        <v>268</v>
      </c>
      <c r="AR99" s="64" t="s" ph="1">
        <v>331</v>
      </c>
      <c r="AS99" s="64" t="s" ph="1">
        <v>518</v>
      </c>
      <c r="AT99" s="64" t="s" ph="1">
        <v>283</v>
      </c>
      <c r="AU99" s="64" t="s" ph="1">
        <v>331</v>
      </c>
      <c r="AV99" s="64" t="s" ph="1">
        <v>519</v>
      </c>
      <c r="AW99" s="64" t="s" ph="1">
        <v>268</v>
      </c>
      <c r="AX99" s="64" t="s" ph="1">
        <v>331</v>
      </c>
      <c r="AY99" s="64" t="s" ph="1">
        <v>260</v>
      </c>
      <c r="AZ99" s="64" t="s" ph="1">
        <v>520</v>
      </c>
    </row>
    <row r="100" spans="33:52" ph="1">
      <c r="AJ100" s="64" t="s" ph="1">
        <v>521</v>
      </c>
      <c r="AK100" s="64" t="s" ph="1">
        <v>266</v>
      </c>
      <c r="AM100" s="64" t="s" ph="1">
        <v>522</v>
      </c>
      <c r="AN100" s="64" t="s" ph="1">
        <v>338</v>
      </c>
      <c r="AO100" s="64" t="s" ph="1">
        <v>303</v>
      </c>
      <c r="AP100" s="64" t="s" ph="1">
        <v>523</v>
      </c>
      <c r="AQ100" s="64" t="s" ph="1">
        <v>344</v>
      </c>
      <c r="AR100" s="64" t="s" ph="1">
        <v>331</v>
      </c>
      <c r="AS100" s="64" t="s" ph="1">
        <v>524</v>
      </c>
      <c r="AT100" s="64" t="s" ph="1">
        <v>411</v>
      </c>
      <c r="AU100" s="64" t="s" ph="1">
        <v>303</v>
      </c>
      <c r="AV100" s="64" t="s" ph="1">
        <v>525</v>
      </c>
      <c r="AW100" s="64" t="s" ph="1">
        <v>411</v>
      </c>
      <c r="AX100" s="64" t="s" ph="1">
        <v>303</v>
      </c>
    </row>
    <row r="101" spans="33:52" ph="1">
      <c r="AJ101" s="64" t="s" ph="1">
        <v>526</v>
      </c>
      <c r="AK101" s="64" t="s" ph="1">
        <v>411</v>
      </c>
      <c r="AM101" s="64" t="s" ph="1">
        <v>527</v>
      </c>
      <c r="AN101" s="64" t="s" ph="1">
        <v>269</v>
      </c>
      <c r="AO101" s="64" t="s" ph="1">
        <v>303</v>
      </c>
      <c r="AP101" s="64" t="s" ph="1">
        <v>528</v>
      </c>
      <c r="AQ101" s="64" t="s" ph="1">
        <v>281</v>
      </c>
      <c r="AR101" s="64" t="s" ph="1">
        <v>331</v>
      </c>
      <c r="AS101" s="64" t="s" ph="1">
        <v>529</v>
      </c>
      <c r="AT101" s="64" t="s" ph="1">
        <v>338</v>
      </c>
      <c r="AU101" s="64" t="s" ph="1">
        <v>331</v>
      </c>
      <c r="AV101" s="64" t="s" ph="1">
        <v>530</v>
      </c>
      <c r="AW101" s="64" t="s" ph="1">
        <v>269</v>
      </c>
      <c r="AX101" s="64" t="s" ph="1">
        <v>303</v>
      </c>
    </row>
    <row r="102" spans="33:52" ph="1">
      <c r="AJ102" s="64" t="s" ph="1">
        <v>531</v>
      </c>
      <c r="AK102" s="64" t="s" ph="1">
        <v>266</v>
      </c>
      <c r="AM102" s="64" t="s" ph="1">
        <v>532</v>
      </c>
      <c r="AN102" s="64" t="s" ph="1">
        <v>275</v>
      </c>
      <c r="AO102" s="64" t="s" ph="1">
        <v>303</v>
      </c>
      <c r="AP102" s="64" t="s" ph="1">
        <v>533</v>
      </c>
      <c r="AQ102" s="64" t="s" ph="1">
        <v>281</v>
      </c>
      <c r="AR102" s="64" t="s" ph="1">
        <v>303</v>
      </c>
      <c r="AS102" s="64" t="s" ph="1">
        <v>534</v>
      </c>
      <c r="AT102" s="64" t="s" ph="1">
        <v>298</v>
      </c>
      <c r="AU102" s="64" t="s" ph="1">
        <v>303</v>
      </c>
      <c r="AV102" s="64" t="s" ph="1">
        <v>535</v>
      </c>
      <c r="AW102" s="64" t="s" ph="1">
        <v>316</v>
      </c>
      <c r="AX102" s="64" t="s" ph="1">
        <v>303</v>
      </c>
    </row>
    <row r="103" spans="33:52" ph="1">
      <c r="AH103" s="64" ph="1">
        <v>9</v>
      </c>
      <c r="AI103" s="64" t="s" ph="1">
        <v>536</v>
      </c>
      <c r="AJ103" s="64" t="s" ph="1">
        <v>537</v>
      </c>
      <c r="AK103" s="64" t="s" ph="1">
        <v>411</v>
      </c>
      <c r="AM103" s="64" t="s" ph="1">
        <v>538</v>
      </c>
      <c r="AN103" s="64" t="s" ph="1">
        <v>326</v>
      </c>
      <c r="AO103" s="64" t="s" ph="1">
        <v>303</v>
      </c>
      <c r="AP103" s="64" t="s" ph="1">
        <v>380</v>
      </c>
      <c r="AQ103" s="64" t="s" ph="1">
        <v>269</v>
      </c>
      <c r="AR103" s="64" t="s" ph="1">
        <v>303</v>
      </c>
      <c r="AS103" s="64" t="s" ph="1">
        <v>614</v>
      </c>
      <c r="AT103" s="64" t="s" ph="1">
        <v>411</v>
      </c>
      <c r="AU103" s="64" t="s" ph="1">
        <v>303</v>
      </c>
      <c r="AY103" s="64" t="s" ph="1">
        <v>260</v>
      </c>
      <c r="AZ103" s="64" t="s" ph="1">
        <v>268</v>
      </c>
    </row>
    <row r="104" spans="33:52" ph="1">
      <c r="AZ104" s="64" t="s" ph="1">
        <v>539</v>
      </c>
    </row>
    <row r="105" spans="33:52" ph="1">
      <c r="AG105" s="64" t="s" ph="1">
        <v>339</v>
      </c>
      <c r="AI105" s="64" t="s" ph="1">
        <v>253</v>
      </c>
      <c r="AJ105" s="64" t="s" ph="1">
        <v>254</v>
      </c>
      <c r="AK105" s="64" t="s" ph="1">
        <v>255</v>
      </c>
      <c r="AM105" s="64" t="s" ph="1">
        <v>254</v>
      </c>
      <c r="AN105" s="64" t="s" ph="1">
        <v>255</v>
      </c>
      <c r="AO105" s="64" t="s" ph="1">
        <v>256</v>
      </c>
      <c r="AP105" s="64" t="s" ph="1">
        <v>254</v>
      </c>
      <c r="AQ105" s="64" t="s" ph="1">
        <v>255</v>
      </c>
      <c r="AR105" s="64" t="s" ph="1">
        <v>256</v>
      </c>
      <c r="AS105" s="64" t="s" ph="1">
        <v>254</v>
      </c>
      <c r="AT105" s="64" t="s" ph="1">
        <v>255</v>
      </c>
      <c r="AU105" s="64" t="s" ph="1">
        <v>256</v>
      </c>
      <c r="AV105" s="64" t="s" ph="1">
        <v>254</v>
      </c>
      <c r="AW105" s="64" t="s" ph="1">
        <v>255</v>
      </c>
      <c r="AX105" s="64" t="s" ph="1">
        <v>256</v>
      </c>
      <c r="AZ105" s="64" t="s" ph="1">
        <v>257</v>
      </c>
    </row>
    <row r="106" spans="33:52" ph="1">
      <c r="AH106" s="64" ph="1">
        <v>1</v>
      </c>
      <c r="AI106" s="64" t="s" ph="1">
        <v>540</v>
      </c>
      <c r="AJ106" s="64" t="s" ph="1">
        <v>614</v>
      </c>
      <c r="AK106" s="64" t="s" ph="1">
        <v>275</v>
      </c>
      <c r="AZ106" s="64" t="s" ph="1">
        <v>275</v>
      </c>
    </row>
    <row r="107" spans="33:52" ph="1">
      <c r="AH107" s="64" ph="1">
        <v>2</v>
      </c>
      <c r="AI107" s="64" t="s" ph="1">
        <v>541</v>
      </c>
      <c r="AJ107" s="64" t="s" ph="1">
        <v>542</v>
      </c>
      <c r="AK107" s="64" t="s" ph="1">
        <v>272</v>
      </c>
      <c r="AM107" s="64" t="s" ph="1">
        <v>378</v>
      </c>
      <c r="AN107" s="64" t="s" ph="1">
        <v>543</v>
      </c>
      <c r="AO107" s="64" t="s" ph="1">
        <v>544</v>
      </c>
      <c r="AP107" s="64" t="s" ph="1">
        <v>380</v>
      </c>
      <c r="AQ107" s="64" t="s" ph="1">
        <v>348</v>
      </c>
      <c r="AR107" s="64" t="s" ph="1">
        <v>544</v>
      </c>
      <c r="AS107" s="64" t="s" ph="1">
        <v>614</v>
      </c>
      <c r="AT107" s="64" t="s" ph="1">
        <v>543</v>
      </c>
      <c r="AU107" s="64" t="s" ph="1">
        <v>544</v>
      </c>
      <c r="AY107" s="64" t="s" ph="1">
        <v>260</v>
      </c>
      <c r="AZ107" s="64" t="s" ph="1">
        <v>624</v>
      </c>
    </row>
    <row r="108" spans="33:52" ph="1">
      <c r="AH108" s="64" ph="1">
        <v>3</v>
      </c>
      <c r="AI108" s="64" t="s" ph="1">
        <v>545</v>
      </c>
      <c r="AY108" s="64" t="s" ph="1">
        <v>260</v>
      </c>
      <c r="AZ108" s="64" t="s" ph="1">
        <v>411</v>
      </c>
    </row>
    <row r="109" spans="33:52" ph="1">
      <c r="AH109" s="64" ph="1">
        <v>4</v>
      </c>
      <c r="AI109" s="64" t="s" ph="1">
        <v>546</v>
      </c>
      <c r="AY109" s="64" t="s" ph="1">
        <v>260</v>
      </c>
      <c r="AZ109" s="64" t="s" ph="1">
        <v>411</v>
      </c>
    </row>
    <row r="110" spans="33:52" ph="1">
      <c r="AH110" s="64" ph="1">
        <v>5</v>
      </c>
      <c r="AI110" s="64" t="s" ph="1">
        <v>547</v>
      </c>
      <c r="AY110" s="64" t="s" ph="1">
        <v>260</v>
      </c>
      <c r="AZ110" s="64" t="s" ph="1">
        <v>411</v>
      </c>
    </row>
    <row r="111" spans="33:52" ph="1">
      <c r="AH111" s="64" ph="1">
        <v>6</v>
      </c>
      <c r="AI111" s="64" t="s" ph="1">
        <v>625</v>
      </c>
      <c r="AJ111" s="64" t="s" ph="1">
        <v>530</v>
      </c>
      <c r="AK111" s="64" t="s" ph="1">
        <v>269</v>
      </c>
      <c r="AM111" s="64" t="s" ph="1">
        <v>531</v>
      </c>
      <c r="AN111" s="64" t="s" ph="1">
        <v>263</v>
      </c>
      <c r="AO111" s="64" t="s" ph="1">
        <v>544</v>
      </c>
      <c r="AP111" s="64" t="s" ph="1">
        <v>532</v>
      </c>
      <c r="AQ111" s="64" t="s" ph="1">
        <v>272</v>
      </c>
      <c r="AR111" s="64" t="s" ph="1">
        <v>544</v>
      </c>
      <c r="AS111" s="64" t="s" ph="1">
        <v>533</v>
      </c>
      <c r="AT111" s="64" t="s" ph="1">
        <v>281</v>
      </c>
      <c r="AU111" s="64" t="s" ph="1">
        <v>544</v>
      </c>
      <c r="AV111" s="64" t="s" ph="1">
        <v>534</v>
      </c>
      <c r="AW111" s="64" t="s" ph="1">
        <v>271</v>
      </c>
      <c r="AX111" s="64" t="s" ph="1">
        <v>544</v>
      </c>
      <c r="AY111" s="64" t="s" ph="1">
        <v>260</v>
      </c>
      <c r="AZ111" s="64" t="s" ph="1">
        <v>548</v>
      </c>
    </row>
    <row r="112" spans="33:52" ph="1">
      <c r="AJ112" s="64" t="s" ph="1">
        <v>535</v>
      </c>
      <c r="AK112" s="64" t="s" ph="1">
        <v>316</v>
      </c>
      <c r="AM112" s="64" t="s" ph="1">
        <v>537</v>
      </c>
      <c r="AN112" s="64" t="s" ph="1">
        <v>340</v>
      </c>
      <c r="AO112" s="64" t="s" ph="1">
        <v>544</v>
      </c>
      <c r="AP112" s="64" t="s" ph="1">
        <v>538</v>
      </c>
      <c r="AQ112" s="64" t="s" ph="1">
        <v>549</v>
      </c>
      <c r="AR112" s="64" t="s" ph="1">
        <v>544</v>
      </c>
      <c r="AS112" s="64" t="s" ph="1">
        <v>550</v>
      </c>
      <c r="AT112" s="64" t="s" ph="1">
        <v>292</v>
      </c>
      <c r="AU112" s="64" t="s" ph="1">
        <v>544</v>
      </c>
      <c r="AV112" s="64" t="s" ph="1">
        <v>551</v>
      </c>
      <c r="AW112" s="64" t="s" ph="1">
        <v>338</v>
      </c>
      <c r="AX112" s="64" t="s" ph="1">
        <v>544</v>
      </c>
    </row>
    <row r="113" spans="33:52" ph="1">
      <c r="AH113" s="64" ph="1">
        <v>7</v>
      </c>
      <c r="AI113" s="64" t="s" ph="1">
        <v>552</v>
      </c>
      <c r="AJ113" s="64" t="s" ph="1">
        <v>633</v>
      </c>
      <c r="AK113" s="64" t="s" ph="1">
        <v>638</v>
      </c>
      <c r="AY113" s="64" t="s" ph="1">
        <v>260</v>
      </c>
      <c r="AZ113" s="64" t="s" ph="1">
        <v>638</v>
      </c>
    </row>
    <row r="114" spans="33:52" ph="1">
      <c r="AH114" s="64" ph="1">
        <v>8</v>
      </c>
      <c r="AI114" s="64" t="s" ph="1">
        <v>553</v>
      </c>
      <c r="AJ114" s="64" t="s" ph="1">
        <v>633</v>
      </c>
      <c r="AK114" s="64" t="s" ph="1">
        <v>639</v>
      </c>
      <c r="AY114" s="64" t="s" ph="1">
        <v>260</v>
      </c>
      <c r="AZ114" s="64" t="s" ph="1">
        <v>639</v>
      </c>
    </row>
    <row r="115" spans="33:52" ph="1">
      <c r="AH115" s="64" ph="1">
        <v>9</v>
      </c>
      <c r="AI115" s="64" t="s" ph="1">
        <v>554</v>
      </c>
      <c r="AJ115" s="64" t="s" ph="1">
        <v>633</v>
      </c>
      <c r="AK115" s="64" t="s" ph="1">
        <v>639</v>
      </c>
      <c r="AY115" s="64" t="s" ph="1">
        <v>260</v>
      </c>
      <c r="AZ115" s="64" t="s" ph="1">
        <v>639</v>
      </c>
    </row>
    <row r="116" spans="33:52" ph="1">
      <c r="AH116" s="64" ph="1">
        <v>10</v>
      </c>
      <c r="AI116" s="64" t="s" ph="1">
        <v>555</v>
      </c>
      <c r="AJ116" s="64" t="s" ph="1">
        <v>633</v>
      </c>
      <c r="AK116" s="64" t="s" ph="1">
        <v>639</v>
      </c>
      <c r="AY116" s="64" t="s" ph="1">
        <v>260</v>
      </c>
      <c r="AZ116" s="64" t="s" ph="1">
        <v>639</v>
      </c>
    </row>
    <row r="117" spans="33:52" ph="1">
      <c r="AH117" s="64" ph="1">
        <v>11</v>
      </c>
      <c r="AI117" s="64" t="s" ph="1">
        <v>556</v>
      </c>
      <c r="AJ117" s="64" t="s" ph="1">
        <v>633</v>
      </c>
      <c r="AK117" s="64" t="s" ph="1">
        <v>639</v>
      </c>
      <c r="AY117" s="64" t="s" ph="1">
        <v>260</v>
      </c>
      <c r="AZ117" s="64" t="s" ph="1">
        <v>639</v>
      </c>
    </row>
    <row r="118" spans="33:52" ph="1">
      <c r="AZ118" s="64" t="s" ph="1">
        <v>640</v>
      </c>
    </row>
    <row r="119" spans="33:52" ph="1">
      <c r="AI119" s="64" t="s" ph="1">
        <v>253</v>
      </c>
      <c r="AJ119" s="64" t="s" ph="1">
        <v>254</v>
      </c>
      <c r="AK119" s="64" t="s" ph="1">
        <v>255</v>
      </c>
      <c r="AM119" s="64" t="s" ph="1">
        <v>254</v>
      </c>
      <c r="AN119" s="64" t="s" ph="1">
        <v>255</v>
      </c>
      <c r="AO119" s="64" t="s" ph="1">
        <v>256</v>
      </c>
      <c r="AP119" s="64" t="s" ph="1">
        <v>254</v>
      </c>
      <c r="AQ119" s="64" t="s" ph="1">
        <v>255</v>
      </c>
      <c r="AR119" s="64" t="s" ph="1">
        <v>256</v>
      </c>
      <c r="AS119" s="64" t="s" ph="1">
        <v>254</v>
      </c>
      <c r="AT119" s="64" t="s" ph="1">
        <v>255</v>
      </c>
      <c r="AU119" s="64" t="s" ph="1">
        <v>256</v>
      </c>
      <c r="AV119" s="64" t="s" ph="1">
        <v>254</v>
      </c>
      <c r="AW119" s="64" t="s" ph="1">
        <v>255</v>
      </c>
      <c r="AX119" s="64" t="s" ph="1">
        <v>256</v>
      </c>
      <c r="AY119" s="64" t="s" ph="1">
        <v>255</v>
      </c>
      <c r="AZ119" s="64" t="s" ph="1">
        <v>257</v>
      </c>
    </row>
    <row r="120" spans="33:52" ph="1">
      <c r="AG120" s="64" t="s" ph="1">
        <v>397</v>
      </c>
      <c r="AH120" s="64" ph="1">
        <v>1</v>
      </c>
      <c r="AI120" s="64" t="s" ph="1">
        <v>557</v>
      </c>
      <c r="AJ120" s="64" t="s" ph="1">
        <v>631</v>
      </c>
      <c r="AK120" s="64" t="s" ph="1">
        <v>411</v>
      </c>
      <c r="AY120" s="64" t="s" ph="1">
        <v>260</v>
      </c>
      <c r="AZ120" s="64" t="s" ph="1">
        <v>411</v>
      </c>
    </row>
    <row r="121" spans="33:52" ph="1">
      <c r="AH121" s="64" ph="1">
        <v>2</v>
      </c>
      <c r="AI121" s="64" t="s" ph="1">
        <v>558</v>
      </c>
      <c r="AY121" s="64" t="s" ph="1">
        <v>260</v>
      </c>
      <c r="AZ121" s="64" t="s" ph="1">
        <v>411</v>
      </c>
    </row>
    <row r="122" spans="33:52" ph="1">
      <c r="AH122" s="64" ph="1">
        <v>3</v>
      </c>
      <c r="AI122" s="64" t="s" ph="1">
        <v>559</v>
      </c>
      <c r="AJ122" s="64" t="s" ph="1">
        <v>614</v>
      </c>
      <c r="AK122" s="64" t="s" ph="1">
        <v>626</v>
      </c>
      <c r="AM122" s="64" t="s" ph="1">
        <v>641</v>
      </c>
      <c r="AN122" s="64" t="s" ph="1">
        <v>634</v>
      </c>
      <c r="AO122" s="64" t="s" ph="1">
        <v>109</v>
      </c>
      <c r="AY122" s="64" t="s" ph="1">
        <v>260</v>
      </c>
      <c r="AZ122" s="64" t="s" ph="1">
        <v>623</v>
      </c>
    </row>
    <row r="123" spans="33:52" ph="1">
      <c r="AY123" s="64" t="s" ph="1">
        <v>260</v>
      </c>
      <c r="AZ123" s="64" t="s" ph="1">
        <v>623</v>
      </c>
    </row>
    <row r="124" spans="33:52" ph="1">
      <c r="AG124" s="64" t="s" ph="1">
        <v>400</v>
      </c>
      <c r="AH124" s="64" ph="1">
        <v>4</v>
      </c>
      <c r="AI124" s="64" t="s" ph="1">
        <v>560</v>
      </c>
      <c r="AJ124" s="64" t="s" ph="1">
        <v>561</v>
      </c>
      <c r="AK124" s="64" t="s" ph="1">
        <v>562</v>
      </c>
      <c r="AY124" s="64" t="s" ph="1">
        <v>260</v>
      </c>
      <c r="AZ124" s="64" t="s" ph="1">
        <v>562</v>
      </c>
    </row>
    <row r="125" spans="33:52" ph="1">
      <c r="AH125" s="64" ph="1">
        <v>5</v>
      </c>
      <c r="AI125" s="64" t="s" ph="1">
        <v>563</v>
      </c>
      <c r="AJ125" s="64" t="s" ph="1">
        <v>561</v>
      </c>
      <c r="AK125" s="64" t="s" ph="1">
        <v>562</v>
      </c>
      <c r="AY125" s="64" t="s" ph="1">
        <v>260</v>
      </c>
      <c r="AZ125" s="64" t="s" ph="1">
        <v>562</v>
      </c>
    </row>
    <row r="126" spans="33:52" ph="1">
      <c r="AH126" s="64" ph="1">
        <v>6</v>
      </c>
      <c r="AI126" s="64" t="s" ph="1">
        <v>564</v>
      </c>
      <c r="AJ126" s="64" t="s" ph="1">
        <v>633</v>
      </c>
      <c r="AK126" s="64" t="s" ph="1">
        <v>642</v>
      </c>
      <c r="AY126" s="64" t="s" ph="1">
        <v>260</v>
      </c>
      <c r="AZ126" s="64" t="s" ph="1">
        <v>642</v>
      </c>
    </row>
    <row r="127" spans="33:52" ph="1">
      <c r="AH127" s="64" ph="1">
        <v>7</v>
      </c>
      <c r="AI127" s="64" t="s" ph="1">
        <v>565</v>
      </c>
      <c r="AJ127" s="64" t="s" ph="1">
        <v>633</v>
      </c>
      <c r="AK127" s="64" t="s" ph="1">
        <v>643</v>
      </c>
      <c r="AY127" s="64" t="s" ph="1">
        <v>260</v>
      </c>
      <c r="AZ127" s="64" t="s" ph="1">
        <v>643</v>
      </c>
    </row>
    <row r="128" spans="33:52" ph="1">
      <c r="AH128" s="64" ph="1">
        <v>8</v>
      </c>
      <c r="AI128" s="64" t="s" ph="1">
        <v>566</v>
      </c>
      <c r="AY128" s="64" t="s" ph="1">
        <v>260</v>
      </c>
      <c r="AZ128" s="64" t="s" ph="1">
        <v>411</v>
      </c>
    </row>
    <row r="129" spans="33:52" ph="1">
      <c r="AH129" s="64" ph="1">
        <v>9</v>
      </c>
      <c r="AI129" s="64" t="s" ph="1">
        <v>567</v>
      </c>
      <c r="AY129" s="64" t="s" ph="1">
        <v>260</v>
      </c>
      <c r="AZ129" s="64" t="s" ph="1">
        <v>411</v>
      </c>
    </row>
    <row r="130" spans="33:52" ph="1">
      <c r="AH130" s="64" ph="1">
        <v>10</v>
      </c>
      <c r="AI130" s="64" t="s" ph="1">
        <v>568</v>
      </c>
      <c r="AY130" s="64" t="s" ph="1">
        <v>260</v>
      </c>
      <c r="AZ130" s="64" t="s" ph="1">
        <v>411</v>
      </c>
    </row>
    <row r="131" spans="33:52" ph="1">
      <c r="AH131" s="64" ph="1">
        <v>11</v>
      </c>
      <c r="AI131" s="64" t="s" ph="1">
        <v>569</v>
      </c>
      <c r="AJ131" s="64" t="s" ph="1">
        <v>627</v>
      </c>
      <c r="AK131" s="64" t="s" ph="1">
        <v>623</v>
      </c>
      <c r="AY131" s="64" t="s" ph="1">
        <v>260</v>
      </c>
      <c r="AZ131" s="64" t="s" ph="1">
        <v>623</v>
      </c>
    </row>
    <row r="132" spans="33:52" ph="1">
      <c r="AH132" s="64" ph="1">
        <v>12</v>
      </c>
      <c r="AI132" s="64" t="s" ph="1">
        <v>570</v>
      </c>
      <c r="AJ132" s="64" t="s" ph="1">
        <v>627</v>
      </c>
      <c r="AK132" s="64" t="s" ph="1">
        <v>562</v>
      </c>
      <c r="AY132" s="64" t="s" ph="1">
        <v>260</v>
      </c>
      <c r="AZ132" s="64" t="s" ph="1">
        <v>562</v>
      </c>
    </row>
    <row r="133" spans="33:52" ph="1">
      <c r="AH133" s="64" ph="1">
        <v>13</v>
      </c>
      <c r="AI133" s="64" t="s" ph="1">
        <v>571</v>
      </c>
      <c r="AJ133" s="64" t="s" ph="1">
        <v>627</v>
      </c>
      <c r="AK133" s="64" t="s" ph="1">
        <v>628</v>
      </c>
      <c r="AY133" s="64" t="s" ph="1">
        <v>260</v>
      </c>
      <c r="AZ133" s="64" t="s" ph="1">
        <v>628</v>
      </c>
    </row>
    <row r="134" spans="33:52" ph="1">
      <c r="AH134" s="64" ph="1">
        <v>14</v>
      </c>
      <c r="AI134" s="64" t="s" ph="1">
        <v>572</v>
      </c>
      <c r="AJ134" s="64" t="s" ph="1">
        <v>627</v>
      </c>
      <c r="AK134" s="64" t="s" ph="1">
        <v>629</v>
      </c>
      <c r="AY134" s="64" t="s" ph="1">
        <v>260</v>
      </c>
      <c r="AZ134" s="64" t="s" ph="1">
        <v>629</v>
      </c>
    </row>
    <row r="135" spans="33:52" ph="1">
      <c r="AH135" s="64" ph="1">
        <v>15</v>
      </c>
      <c r="AI135" s="64" t="s" ph="1">
        <v>573</v>
      </c>
      <c r="AJ135" s="64" t="s" ph="1">
        <v>627</v>
      </c>
      <c r="AK135" s="64" t="s" ph="1">
        <v>630</v>
      </c>
      <c r="AY135" s="64" t="s" ph="1">
        <v>260</v>
      </c>
      <c r="AZ135" s="64" t="s" ph="1">
        <v>630</v>
      </c>
    </row>
    <row r="136" spans="33:52" ph="1">
      <c r="AZ136" s="64" t="s" ph="1">
        <v>644</v>
      </c>
    </row>
    <row r="137" spans="33:52" ph="1">
      <c r="AG137" s="64" t="s" ph="1">
        <v>334</v>
      </c>
      <c r="AI137" s="64" t="s" ph="1">
        <v>253</v>
      </c>
      <c r="AJ137" s="64" t="s" ph="1">
        <v>254</v>
      </c>
      <c r="AK137" s="64" t="s" ph="1">
        <v>255</v>
      </c>
      <c r="AM137" s="64" t="s" ph="1">
        <v>254</v>
      </c>
      <c r="AN137" s="64" t="s" ph="1">
        <v>255</v>
      </c>
      <c r="AO137" s="64" t="s" ph="1">
        <v>256</v>
      </c>
      <c r="AP137" s="64" t="s" ph="1">
        <v>254</v>
      </c>
      <c r="AQ137" s="64" t="s" ph="1">
        <v>255</v>
      </c>
      <c r="AR137" s="64" t="s" ph="1">
        <v>256</v>
      </c>
      <c r="AS137" s="64" t="s" ph="1">
        <v>254</v>
      </c>
      <c r="AT137" s="64" t="s" ph="1">
        <v>255</v>
      </c>
      <c r="AU137" s="64" t="s" ph="1">
        <v>256</v>
      </c>
      <c r="AV137" s="64" t="s" ph="1">
        <v>254</v>
      </c>
      <c r="AW137" s="64" t="s" ph="1">
        <v>255</v>
      </c>
      <c r="AX137" s="64" t="s" ph="1">
        <v>256</v>
      </c>
      <c r="AY137" s="64" t="s" ph="1">
        <v>255</v>
      </c>
      <c r="AZ137" s="64" t="s" ph="1">
        <v>257</v>
      </c>
    </row>
    <row r="138" spans="33:52" ph="1">
      <c r="AH138" s="64" ph="1">
        <v>1</v>
      </c>
      <c r="AI138" s="64" t="s" ph="1">
        <v>574</v>
      </c>
      <c r="AJ138" s="64" t="s" ph="1">
        <v>575</v>
      </c>
      <c r="AK138" s="64" t="s" ph="1">
        <v>576</v>
      </c>
      <c r="AY138" s="64" t="s" ph="1">
        <v>260</v>
      </c>
      <c r="AZ138" s="64" t="s" ph="1">
        <v>576</v>
      </c>
    </row>
    <row r="139" spans="33:52" ph="1">
      <c r="AH139" s="64" ph="1">
        <v>2</v>
      </c>
      <c r="AI139" s="64" t="s" ph="1">
        <v>577</v>
      </c>
      <c r="AJ139" s="64" t="s" ph="1">
        <v>633</v>
      </c>
      <c r="AK139" s="64" t="s" ph="1">
        <v>645</v>
      </c>
      <c r="AY139" s="64" t="s" ph="1">
        <v>260</v>
      </c>
      <c r="AZ139" s="64" t="s" ph="1">
        <v>645</v>
      </c>
    </row>
    <row r="140" spans="33:52" ph="1">
      <c r="AH140" s="64" ph="1">
        <v>3</v>
      </c>
      <c r="AI140" s="64" t="s" ph="1">
        <v>578</v>
      </c>
      <c r="AJ140" s="64" t="s" ph="1">
        <v>531</v>
      </c>
      <c r="AK140" s="64" t="s" ph="1">
        <v>343</v>
      </c>
      <c r="AM140" s="64" t="s" ph="1">
        <v>532</v>
      </c>
      <c r="AN140" s="64" t="s" ph="1">
        <v>263</v>
      </c>
      <c r="AO140" s="64" t="s" ph="1">
        <v>579</v>
      </c>
      <c r="AP140" s="64" t="s" ph="1">
        <v>533</v>
      </c>
      <c r="AQ140" s="64" t="s" ph="1">
        <v>280</v>
      </c>
      <c r="AR140" s="64" t="s" ph="1">
        <v>579</v>
      </c>
      <c r="AS140" s="64" t="s" ph="1">
        <v>534</v>
      </c>
      <c r="AT140" s="64" t="s" ph="1">
        <v>273</v>
      </c>
      <c r="AU140" s="64" t="s" ph="1">
        <v>579</v>
      </c>
      <c r="AV140" s="64" t="s" ph="1">
        <v>535</v>
      </c>
      <c r="AW140" s="64" t="s" ph="1">
        <v>266</v>
      </c>
      <c r="AX140" s="64" t="s" ph="1">
        <v>579</v>
      </c>
      <c r="AY140" s="64" t="s" ph="1">
        <v>260</v>
      </c>
      <c r="AZ140" s="64" t="s" ph="1">
        <v>335</v>
      </c>
    </row>
    <row r="141" spans="33:52" ph="1">
      <c r="AJ141" s="64" t="s" ph="1">
        <v>537</v>
      </c>
      <c r="AK141" s="64" t="s" ph="1">
        <v>266</v>
      </c>
      <c r="AM141" s="64" t="s" ph="1">
        <v>538</v>
      </c>
      <c r="AN141" s="64" t="s" ph="1">
        <v>269</v>
      </c>
      <c r="AO141" s="64" t="s" ph="1">
        <v>579</v>
      </c>
      <c r="AP141" s="64" t="s" ph="1">
        <v>550</v>
      </c>
      <c r="AQ141" s="64" t="s" ph="1">
        <v>338</v>
      </c>
      <c r="AR141" s="64" t="s" ph="1">
        <v>579</v>
      </c>
      <c r="AS141" s="64" t="s" ph="1">
        <v>542</v>
      </c>
      <c r="AT141" s="64" t="s" ph="1">
        <v>266</v>
      </c>
      <c r="AU141" s="64" t="s" ph="1">
        <v>579</v>
      </c>
      <c r="AV141" s="64" t="s" ph="1">
        <v>378</v>
      </c>
      <c r="AW141" s="64" t="s" ph="1">
        <v>272</v>
      </c>
      <c r="AX141" s="64" t="s" ph="1">
        <v>579</v>
      </c>
    </row>
    <row r="142" spans="33:52" ph="1">
      <c r="AJ142" s="64" t="s" ph="1">
        <v>580</v>
      </c>
      <c r="AK142" s="64" t="s" ph="1">
        <v>283</v>
      </c>
    </row>
    <row r="143" spans="33:52" ph="1">
      <c r="AH143" s="64" ph="1">
        <v>4</v>
      </c>
      <c r="AI143" s="64" t="s" ph="1">
        <v>581</v>
      </c>
      <c r="AJ143" s="64" t="s" ph="1">
        <v>561</v>
      </c>
      <c r="AK143" s="64" t="s" ph="1">
        <v>582</v>
      </c>
      <c r="AY143" s="64" t="s" ph="1">
        <v>260</v>
      </c>
      <c r="AZ143" s="64" t="s" ph="1">
        <v>582</v>
      </c>
    </row>
    <row r="144" spans="33:52" ph="1">
      <c r="AH144" s="64" ph="1">
        <v>5</v>
      </c>
      <c r="AI144" s="64" t="s" ph="1">
        <v>583</v>
      </c>
      <c r="AY144" s="64" t="s" ph="1">
        <v>260</v>
      </c>
      <c r="AZ144" s="64" t="s" ph="1">
        <v>411</v>
      </c>
    </row>
    <row r="145" spans="33:52" ph="1">
      <c r="AH145" s="64" ph="1">
        <v>6</v>
      </c>
      <c r="AI145" s="64" t="s" ph="1">
        <v>584</v>
      </c>
      <c r="AY145" s="64" t="s" ph="1">
        <v>260</v>
      </c>
      <c r="AZ145" s="64" t="s" ph="1">
        <v>411</v>
      </c>
    </row>
    <row r="146" spans="33:52" ph="1">
      <c r="AH146" s="64" ph="1">
        <v>7</v>
      </c>
      <c r="AI146" s="64" t="s" ph="1">
        <v>585</v>
      </c>
      <c r="AY146" s="64" t="s" ph="1">
        <v>260</v>
      </c>
      <c r="AZ146" s="64" t="s" ph="1">
        <v>411</v>
      </c>
    </row>
    <row r="147" spans="33:52" ph="1">
      <c r="AH147" s="64" ph="1">
        <v>8</v>
      </c>
      <c r="AI147" s="64" t="s" ph="1">
        <v>586</v>
      </c>
      <c r="AY147" s="64" t="s" ph="1">
        <v>260</v>
      </c>
      <c r="AZ147" s="64" t="s" ph="1">
        <v>411</v>
      </c>
    </row>
    <row r="148" spans="33:52" ph="1">
      <c r="AH148" s="64" ph="1">
        <v>9</v>
      </c>
      <c r="AI148" s="64" t="s" ph="1">
        <v>587</v>
      </c>
      <c r="AY148" s="64" t="s" ph="1">
        <v>260</v>
      </c>
      <c r="AZ148" s="64" t="s" ph="1">
        <v>411</v>
      </c>
    </row>
    <row r="149" spans="33:52" ph="1">
      <c r="AH149" s="64" ph="1">
        <v>10</v>
      </c>
      <c r="AI149" s="64" t="s" ph="1">
        <v>588</v>
      </c>
      <c r="AY149" s="64" t="s" ph="1">
        <v>260</v>
      </c>
      <c r="AZ149" s="64" t="s" ph="1">
        <v>411</v>
      </c>
    </row>
    <row r="150" spans="33:52" ph="1">
      <c r="AH150" s="64" ph="1">
        <v>11</v>
      </c>
      <c r="AI150" s="64" t="s" ph="1">
        <v>589</v>
      </c>
      <c r="AY150" s="64" t="s" ph="1">
        <v>260</v>
      </c>
      <c r="AZ150" s="64" t="s" ph="1">
        <v>411</v>
      </c>
    </row>
    <row r="151" spans="33:52" ph="1">
      <c r="AH151" s="64" ph="1">
        <v>12</v>
      </c>
      <c r="AI151" s="64" t="s" ph="1">
        <v>590</v>
      </c>
      <c r="AY151" s="64" t="s" ph="1">
        <v>260</v>
      </c>
      <c r="AZ151" s="64" t="s" ph="1">
        <v>411</v>
      </c>
    </row>
    <row r="152" spans="33:52" ph="1">
      <c r="AH152" s="64" ph="1">
        <v>13</v>
      </c>
      <c r="AI152" s="64" t="s" ph="1">
        <v>591</v>
      </c>
      <c r="AY152" s="64" t="s" ph="1">
        <v>260</v>
      </c>
      <c r="AZ152" s="64" t="s" ph="1">
        <v>411</v>
      </c>
    </row>
    <row r="153" spans="33:52" ph="1">
      <c r="AH153" s="64" ph="1">
        <v>14</v>
      </c>
      <c r="AI153" s="64" t="s" ph="1">
        <v>592</v>
      </c>
      <c r="AY153" s="64" t="s" ph="1">
        <v>260</v>
      </c>
      <c r="AZ153" s="64" t="s" ph="1">
        <v>411</v>
      </c>
    </row>
    <row r="154" spans="33:52" ph="1">
      <c r="AH154" s="64" ph="1">
        <v>15</v>
      </c>
      <c r="AI154" s="64" t="s" ph="1">
        <v>593</v>
      </c>
      <c r="AY154" s="64" t="s" ph="1">
        <v>260</v>
      </c>
      <c r="AZ154" s="64" t="s" ph="1">
        <v>411</v>
      </c>
    </row>
    <row r="155" spans="33:52" ph="1">
      <c r="AH155" s="64" ph="1">
        <v>16</v>
      </c>
      <c r="AI155" s="64" t="s" ph="1">
        <v>594</v>
      </c>
      <c r="AJ155" s="64" t="s" ph="1">
        <v>380</v>
      </c>
      <c r="AK155" s="64" t="s" ph="1">
        <v>275</v>
      </c>
      <c r="AM155" s="64" t="s" ph="1">
        <v>614</v>
      </c>
      <c r="AN155" s="64" t="s" ph="1">
        <v>326</v>
      </c>
      <c r="AO155" s="64" t="s" ph="1">
        <v>579</v>
      </c>
      <c r="AY155" s="64" t="s" ph="1">
        <v>260</v>
      </c>
      <c r="AZ155" s="64" t="s" ph="1">
        <v>267</v>
      </c>
    </row>
    <row r="156" spans="33:52" ph="1">
      <c r="AZ156" s="64" t="s" ph="1">
        <v>646</v>
      </c>
    </row>
    <row r="157" spans="33:52" ph="1">
      <c r="AG157" s="64" t="s" ph="1">
        <v>595</v>
      </c>
      <c r="AI157" s="64" t="s" ph="1">
        <v>253</v>
      </c>
      <c r="AJ157" s="64" t="s" ph="1">
        <v>254</v>
      </c>
      <c r="AK157" s="64" t="s" ph="1">
        <v>255</v>
      </c>
      <c r="AM157" s="64" t="s" ph="1">
        <v>254</v>
      </c>
      <c r="AN157" s="64" t="s" ph="1">
        <v>255</v>
      </c>
      <c r="AO157" s="64" t="s" ph="1">
        <v>256</v>
      </c>
      <c r="AP157" s="64" t="s" ph="1">
        <v>254</v>
      </c>
      <c r="AQ157" s="64" t="s" ph="1">
        <v>255</v>
      </c>
      <c r="AR157" s="64" t="s" ph="1">
        <v>256</v>
      </c>
      <c r="AS157" s="64" t="s" ph="1">
        <v>254</v>
      </c>
      <c r="AT157" s="64" t="s" ph="1">
        <v>255</v>
      </c>
      <c r="AU157" s="64" t="s" ph="1">
        <v>256</v>
      </c>
      <c r="AV157" s="64" t="s" ph="1">
        <v>254</v>
      </c>
      <c r="AW157" s="64" t="s" ph="1">
        <v>255</v>
      </c>
      <c r="AX157" s="64" t="s" ph="1">
        <v>256</v>
      </c>
      <c r="AY157" s="64" t="s" ph="1">
        <v>255</v>
      </c>
      <c r="AZ157" s="64" t="s" ph="1">
        <v>257</v>
      </c>
    </row>
    <row r="158" spans="33:52" ph="1">
      <c r="AH158" s="64" ph="1">
        <v>1</v>
      </c>
      <c r="AI158" s="64" t="s" ph="1">
        <v>596</v>
      </c>
      <c r="AY158" s="64" t="s" ph="1">
        <v>260</v>
      </c>
      <c r="AZ158" s="64" t="s" ph="1">
        <v>411</v>
      </c>
    </row>
    <row r="159" spans="33:52" ph="1">
      <c r="AH159" s="64" ph="1">
        <v>2</v>
      </c>
      <c r="AI159" s="64" t="s" ph="1">
        <v>597</v>
      </c>
      <c r="AY159" s="64" t="s" ph="1">
        <v>260</v>
      </c>
      <c r="AZ159" s="64" t="s" ph="1">
        <v>411</v>
      </c>
    </row>
    <row r="160" spans="33:52" ph="1">
      <c r="AZ160" s="64" t="s" ph="1">
        <v>429</v>
      </c>
    </row>
    <row r="161" spans="33:52" ph="1">
      <c r="AG161" s="64" t="s" ph="1">
        <v>405</v>
      </c>
      <c r="AI161" s="64" t="s" ph="1">
        <v>253</v>
      </c>
      <c r="AJ161" s="64" t="s" ph="1">
        <v>254</v>
      </c>
      <c r="AK161" s="64" t="s" ph="1">
        <v>255</v>
      </c>
      <c r="AM161" s="64" t="s" ph="1">
        <v>254</v>
      </c>
      <c r="AN161" s="64" t="s" ph="1">
        <v>255</v>
      </c>
      <c r="AO161" s="64" t="s" ph="1">
        <v>256</v>
      </c>
      <c r="AP161" s="64" t="s" ph="1">
        <v>254</v>
      </c>
      <c r="AQ161" s="64" t="s" ph="1">
        <v>255</v>
      </c>
      <c r="AR161" s="64" t="s" ph="1">
        <v>256</v>
      </c>
      <c r="AS161" s="64" t="s" ph="1">
        <v>254</v>
      </c>
      <c r="AT161" s="64" t="s" ph="1">
        <v>255</v>
      </c>
      <c r="AU161" s="64" t="s" ph="1">
        <v>256</v>
      </c>
      <c r="AV161" s="64" t="s" ph="1">
        <v>254</v>
      </c>
      <c r="AW161" s="64" t="s" ph="1">
        <v>255</v>
      </c>
      <c r="AX161" s="64" t="s" ph="1">
        <v>256</v>
      </c>
      <c r="AY161" s="64" t="s" ph="1">
        <v>255</v>
      </c>
      <c r="AZ161" s="64" t="s" ph="1">
        <v>257</v>
      </c>
    </row>
    <row r="162" spans="33:52" ph="1">
      <c r="AH162" s="64" ph="1">
        <v>1</v>
      </c>
      <c r="AI162" s="64" t="s" ph="1">
        <v>598</v>
      </c>
      <c r="AJ162" s="64" t="s" ph="1">
        <v>599</v>
      </c>
      <c r="AK162" s="64" t="s" ph="1">
        <v>543</v>
      </c>
      <c r="AM162" s="64" t="s" ph="1">
        <v>600</v>
      </c>
      <c r="AN162" s="64" t="s" ph="1">
        <v>264</v>
      </c>
      <c r="AO162" s="64" t="s" ph="1">
        <v>601</v>
      </c>
      <c r="AY162" s="64" t="s" ph="1">
        <v>260</v>
      </c>
      <c r="AZ162" s="64" t="s" ph="1">
        <v>336</v>
      </c>
    </row>
    <row r="163" spans="33:52" ph="1">
      <c r="AH163" s="64" ph="1">
        <v>2</v>
      </c>
      <c r="AI163" s="64" t="s" ph="1">
        <v>602</v>
      </c>
      <c r="AJ163" s="64" t="s" ph="1">
        <v>599</v>
      </c>
      <c r="AK163" s="64" t="s" ph="1">
        <v>432</v>
      </c>
      <c r="AY163" s="64" t="s" ph="1">
        <v>260</v>
      </c>
      <c r="AZ163" s="64" t="s" ph="1">
        <v>432</v>
      </c>
    </row>
    <row r="164" spans="33:52" ph="1">
      <c r="AH164" s="64" ph="1">
        <v>3</v>
      </c>
      <c r="AI164" s="64" t="s" ph="1">
        <v>603</v>
      </c>
      <c r="AJ164" s="64" t="s" ph="1">
        <v>599</v>
      </c>
      <c r="AK164" s="64" t="s" ph="1">
        <v>336</v>
      </c>
      <c r="AY164" s="64" t="s" ph="1">
        <v>260</v>
      </c>
      <c r="AZ164" s="64" t="s" ph="1">
        <v>336</v>
      </c>
    </row>
    <row r="165" spans="33:52" ph="1">
      <c r="AH165" s="64" ph="1">
        <v>4</v>
      </c>
      <c r="AI165" s="64" t="s" ph="1">
        <v>604</v>
      </c>
      <c r="AY165" s="64" t="s" ph="1">
        <v>260</v>
      </c>
      <c r="AZ165" s="64" t="s" ph="1">
        <v>411</v>
      </c>
    </row>
    <row r="166" spans="33:52" ph="1">
      <c r="AH166" s="64" ph="1">
        <v>5</v>
      </c>
      <c r="AI166" s="64" t="s" ph="1">
        <v>605</v>
      </c>
      <c r="AY166" s="64" t="s" ph="1">
        <v>260</v>
      </c>
      <c r="AZ166" s="64" t="s" ph="1">
        <v>411</v>
      </c>
    </row>
    <row r="167" spans="33:52" ph="1">
      <c r="AZ167" s="64" t="s" ph="1">
        <v>606</v>
      </c>
    </row>
    <row r="168" spans="33:52" ph="1">
      <c r="AG168" s="64" t="s" ph="1">
        <v>349</v>
      </c>
      <c r="AI168" s="64" t="s" ph="1">
        <v>253</v>
      </c>
      <c r="AJ168" s="64" t="s" ph="1">
        <v>254</v>
      </c>
      <c r="AK168" s="64" t="s" ph="1">
        <v>255</v>
      </c>
      <c r="AM168" s="64" t="s" ph="1">
        <v>254</v>
      </c>
      <c r="AN168" s="64" t="s" ph="1">
        <v>255</v>
      </c>
      <c r="AO168" s="64" t="s" ph="1">
        <v>256</v>
      </c>
      <c r="AP168" s="64" t="s" ph="1">
        <v>254</v>
      </c>
      <c r="AQ168" s="64" t="s" ph="1">
        <v>255</v>
      </c>
      <c r="AR168" s="64" t="s" ph="1">
        <v>256</v>
      </c>
      <c r="AS168" s="64" t="s" ph="1">
        <v>254</v>
      </c>
      <c r="AT168" s="64" t="s" ph="1">
        <v>255</v>
      </c>
      <c r="AU168" s="64" t="s" ph="1">
        <v>256</v>
      </c>
      <c r="AV168" s="64" t="s" ph="1">
        <v>254</v>
      </c>
      <c r="AW168" s="64" t="s" ph="1">
        <v>255</v>
      </c>
      <c r="AX168" s="64" t="s" ph="1">
        <v>256</v>
      </c>
      <c r="AY168" s="64" t="s" ph="1">
        <v>255</v>
      </c>
      <c r="AZ168" s="64" t="s" ph="1">
        <v>257</v>
      </c>
    </row>
    <row r="169" spans="33:52" ph="1">
      <c r="AH169" s="64" ph="1">
        <v>1</v>
      </c>
      <c r="AI169" s="64" t="s" ph="1">
        <v>607</v>
      </c>
      <c r="AY169" s="64" t="s" ph="1">
        <v>260</v>
      </c>
      <c r="AZ169" s="64" t="s" ph="1">
        <v>411</v>
      </c>
    </row>
    <row r="170" spans="33:52" ph="1">
      <c r="AH170" s="64" ph="1">
        <v>2</v>
      </c>
      <c r="AI170" s="64" t="s" ph="1">
        <v>608</v>
      </c>
      <c r="AY170" s="64" t="s" ph="1">
        <v>260</v>
      </c>
      <c r="AZ170" s="64" t="s" ph="1">
        <v>411</v>
      </c>
    </row>
    <row r="171" spans="33:52" ph="1">
      <c r="AH171" s="64" ph="1">
        <v>3</v>
      </c>
      <c r="AI171" s="64" t="s" ph="1">
        <v>609</v>
      </c>
      <c r="AY171" s="64" t="s" ph="1">
        <v>260</v>
      </c>
      <c r="AZ171" s="64" t="s" ph="1">
        <v>411</v>
      </c>
    </row>
    <row r="172" spans="33:52" ph="1">
      <c r="AH172" s="64" ph="1">
        <v>4</v>
      </c>
      <c r="AI172" s="64" t="s" ph="1">
        <v>610</v>
      </c>
      <c r="AY172" s="64" t="s" ph="1">
        <v>260</v>
      </c>
      <c r="AZ172" s="64" t="s" ph="1">
        <v>411</v>
      </c>
    </row>
    <row r="173" spans="33:52" ph="1">
      <c r="AH173" s="64" ph="1">
        <v>5</v>
      </c>
      <c r="AI173" s="64" t="s" ph="1">
        <v>611</v>
      </c>
      <c r="AY173" s="64" t="s" ph="1">
        <v>260</v>
      </c>
      <c r="AZ173" s="64" t="s" ph="1">
        <v>411</v>
      </c>
    </row>
    <row r="174" spans="33:52" ph="1">
      <c r="AZ174" s="64" t="s" ph="1">
        <v>429</v>
      </c>
    </row>
    <row r="175" spans="33:52" ph="1">
      <c r="AJ175" s="64" t="s" ph="1">
        <v>350</v>
      </c>
    </row>
    <row r="176" spans="33:52" ph="1">
      <c r="AJ176" s="64" t="s" ph="1">
        <v>351</v>
      </c>
      <c r="AK176" s="64" t="s" ph="1">
        <v>352</v>
      </c>
      <c r="AM176" s="64" t="s" ph="1">
        <v>353</v>
      </c>
      <c r="AO176" s="64" t="s" ph="1">
        <v>354</v>
      </c>
      <c r="AP176" s="64" t="s" ph="1">
        <v>355</v>
      </c>
      <c r="AQ176" s="64" t="s" ph="1">
        <v>345</v>
      </c>
      <c r="AR176" s="64" t="s" ph="1">
        <v>265</v>
      </c>
    </row>
    <row r="177" spans="36:56" ph="1">
      <c r="AJ177" s="64" t="s" ph="1">
        <v>647</v>
      </c>
      <c r="AK177" s="64" t="s" ph="1">
        <v>356</v>
      </c>
      <c r="AO177" s="64" t="s" ph="1">
        <v>356</v>
      </c>
      <c r="AP177" s="64" t="s" ph="1">
        <v>356</v>
      </c>
      <c r="AQ177" s="64" t="s" ph="1">
        <v>357</v>
      </c>
      <c r="AR177" s="64" t="s" ph="1">
        <v>358</v>
      </c>
    </row>
    <row r="179" spans="36:56" ph="1">
      <c r="AJ179" s="64" t="s" ph="1">
        <v>359</v>
      </c>
      <c r="AK179" s="64" t="s" ph="1">
        <v>360</v>
      </c>
      <c r="AM179" s="64" t="s" ph="1">
        <v>361</v>
      </c>
      <c r="AN179" s="64" t="s" ph="1">
        <v>337</v>
      </c>
      <c r="AO179" s="64" t="s" ph="1">
        <v>362</v>
      </c>
      <c r="AP179" s="64" t="s" ph="1">
        <v>341</v>
      </c>
      <c r="AQ179" s="64" t="s" ph="1">
        <v>363</v>
      </c>
      <c r="AR179" s="64" t="s" ph="1">
        <v>364</v>
      </c>
    </row>
    <row r="180" spans="36:56" ph="1">
      <c r="AJ180" s="64" t="s" ph="1">
        <v>356</v>
      </c>
      <c r="AK180" s="64" t="s" ph="1">
        <v>356</v>
      </c>
      <c r="AL180" s="64" ph="1">
        <v>116</v>
      </c>
      <c r="AM180" s="64" t="s" ph="1">
        <v>356</v>
      </c>
      <c r="AN180" s="64" t="s" ph="1">
        <v>365</v>
      </c>
      <c r="AO180" s="64" t="s" ph="1">
        <v>356</v>
      </c>
      <c r="AP180" s="64" t="s" ph="1">
        <v>366</v>
      </c>
      <c r="AQ180" s="64" t="s" ph="1">
        <v>367</v>
      </c>
      <c r="AR180" s="64" t="s" ph="1">
        <v>368</v>
      </c>
    </row>
    <row r="189" spans="36:56" ph="1">
      <c r="BD189" s="64" t="s" ph="1">
        <v>612</v>
      </c>
    </row>
    <row r="223" spans="18:18" ph="1">
      <c r="R223" s="138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707" priority="92">
      <formula>ABS(D$7-D$10)&gt;=1000</formula>
    </cfRule>
  </conditionalFormatting>
  <conditionalFormatting sqref="E4 E6:E11">
    <cfRule type="expression" dxfId="1706" priority="91">
      <formula>ABS(E$7-E$10)&gt;=1000</formula>
    </cfRule>
  </conditionalFormatting>
  <conditionalFormatting sqref="F4:F11">
    <cfRule type="expression" dxfId="1705" priority="90">
      <formula>ABS(F$7-F$10)&gt;=1000</formula>
    </cfRule>
  </conditionalFormatting>
  <conditionalFormatting sqref="G4:G11">
    <cfRule type="expression" dxfId="1704" priority="89">
      <formula>ABS(G$7-G$10)&gt;=1000</formula>
    </cfRule>
  </conditionalFormatting>
  <conditionalFormatting sqref="H4:H11">
    <cfRule type="expression" dxfId="1703" priority="88">
      <formula>ABS(H$7-H$10)&gt;=1000</formula>
    </cfRule>
  </conditionalFormatting>
  <conditionalFormatting sqref="I4:I11">
    <cfRule type="expression" dxfId="1702" priority="87">
      <formula>ABS(I$7-I$10)&gt;=1000</formula>
    </cfRule>
  </conditionalFormatting>
  <conditionalFormatting sqref="J4:J11">
    <cfRule type="expression" dxfId="1701" priority="86">
      <formula>ABS(J$7-J$10)&gt;=1000</formula>
    </cfRule>
  </conditionalFormatting>
  <conditionalFormatting sqref="K4:K11">
    <cfRule type="expression" dxfId="1700" priority="85">
      <formula>ABS(K$7-K$10)&gt;=1000</formula>
    </cfRule>
  </conditionalFormatting>
  <conditionalFormatting sqref="L4:L11">
    <cfRule type="expression" dxfId="1699" priority="84">
      <formula>ABS(L$7-L$10)&gt;=1000</formula>
    </cfRule>
  </conditionalFormatting>
  <conditionalFormatting sqref="M4:M11">
    <cfRule type="expression" dxfId="1698" priority="83">
      <formula>ABS(M$7-M$10)&gt;=1000</formula>
    </cfRule>
  </conditionalFormatting>
  <conditionalFormatting sqref="N4:N11">
    <cfRule type="expression" dxfId="1697" priority="82">
      <formula>ABS(N$7-N$10)&gt;=1000</formula>
    </cfRule>
  </conditionalFormatting>
  <conditionalFormatting sqref="O4:O11">
    <cfRule type="expression" dxfId="1696" priority="81">
      <formula>ABS(O$7-O$10)&gt;=1000</formula>
    </cfRule>
  </conditionalFormatting>
  <conditionalFormatting sqref="P4:P11">
    <cfRule type="expression" dxfId="1695" priority="80">
      <formula>ABS(P$7-P$10)&gt;=1000</formula>
    </cfRule>
  </conditionalFormatting>
  <conditionalFormatting sqref="Q4:Q11">
    <cfRule type="expression" dxfId="1694" priority="79">
      <formula>ABS(Q$7-Q$10)&gt;=1000</formula>
    </cfRule>
  </conditionalFormatting>
  <conditionalFormatting sqref="R4:R11">
    <cfRule type="expression" dxfId="1693" priority="78">
      <formula>ABS(R$7-R$10)&gt;=1000</formula>
    </cfRule>
  </conditionalFormatting>
  <conditionalFormatting sqref="S4:S11">
    <cfRule type="expression" dxfId="1692" priority="77">
      <formula>ABS(S$7-S$10)&gt;=1000</formula>
    </cfRule>
  </conditionalFormatting>
  <conditionalFormatting sqref="T4:T9 T11">
    <cfRule type="expression" dxfId="1691" priority="76">
      <formula>ABS(T$7-T$10)&gt;=1000</formula>
    </cfRule>
  </conditionalFormatting>
  <conditionalFormatting sqref="U4:U9 U11">
    <cfRule type="expression" dxfId="1690" priority="75">
      <formula>ABS(U$7-U$10)&gt;=1000</formula>
    </cfRule>
  </conditionalFormatting>
  <conditionalFormatting sqref="V4:V9 V11">
    <cfRule type="expression" dxfId="1689" priority="74">
      <formula>ABS(V$7-V$10)&gt;=1000</formula>
    </cfRule>
  </conditionalFormatting>
  <conditionalFormatting sqref="W4:W9 W11">
    <cfRule type="expression" dxfId="1688" priority="73">
      <formula>ABS(W$7-W$10)&gt;=1000</formula>
    </cfRule>
  </conditionalFormatting>
  <conditionalFormatting sqref="X4:X9 X11">
    <cfRule type="expression" dxfId="1687" priority="72">
      <formula>ABS(X$7-X$10)&gt;=1000</formula>
    </cfRule>
  </conditionalFormatting>
  <conditionalFormatting sqref="Y4:Y9 Y11">
    <cfRule type="expression" dxfId="1686" priority="71">
      <formula>ABS(Y$7-Y$10)&gt;=1000</formula>
    </cfRule>
  </conditionalFormatting>
  <conditionalFormatting sqref="Z4:Z11">
    <cfRule type="expression" dxfId="1685" priority="70">
      <formula>ABS(Z$7-Z$10)&gt;=1000</formula>
    </cfRule>
  </conditionalFormatting>
  <conditionalFormatting sqref="AA4:AA11">
    <cfRule type="expression" dxfId="1684" priority="69">
      <formula>ABS(AA$7-AA$10)&gt;=1000</formula>
    </cfRule>
  </conditionalFormatting>
  <conditionalFormatting sqref="AB4:AB11">
    <cfRule type="expression" dxfId="1683" priority="68">
      <formula>ABS(AB$7-AB$10)&gt;=1000</formula>
    </cfRule>
  </conditionalFormatting>
  <conditionalFormatting sqref="AC4 AC6:AC11">
    <cfRule type="expression" dxfId="1682" priority="67">
      <formula>ABS(AC$7-AC$10)&gt;=1000</formula>
    </cfRule>
  </conditionalFormatting>
  <conditionalFormatting sqref="AD4:AD11">
    <cfRule type="expression" dxfId="1681" priority="66">
      <formula>ABS(AD$7-AD$10)&gt;=1000</formula>
    </cfRule>
  </conditionalFormatting>
  <conditionalFormatting sqref="AE4:AE11">
    <cfRule type="expression" dxfId="1680" priority="65">
      <formula>ABS(AE$7-AE$10)&gt;=1000</formula>
    </cfRule>
  </conditionalFormatting>
  <conditionalFormatting sqref="D13:D20">
    <cfRule type="expression" dxfId="1679" priority="64">
      <formula>ABS(D$16-D$19)&gt;=1000</formula>
    </cfRule>
  </conditionalFormatting>
  <conditionalFormatting sqref="E13:E20">
    <cfRule type="expression" dxfId="1678" priority="63">
      <formula>ABS(E$16-E$19)&gt;=1000</formula>
    </cfRule>
  </conditionalFormatting>
  <conditionalFormatting sqref="F13 F15:F20">
    <cfRule type="expression" dxfId="1677" priority="62">
      <formula>ABS(F$16-F$19)&gt;=1000</formula>
    </cfRule>
  </conditionalFormatting>
  <conditionalFormatting sqref="G13:G20">
    <cfRule type="expression" dxfId="1676" priority="61">
      <formula>ABS(G$16-G$19)&gt;=1000</formula>
    </cfRule>
  </conditionalFormatting>
  <conditionalFormatting sqref="H13:H20">
    <cfRule type="expression" dxfId="1675" priority="60">
      <formula>ABS(H$16-H$19)&gt;=1000</formula>
    </cfRule>
  </conditionalFormatting>
  <conditionalFormatting sqref="I13:I20">
    <cfRule type="expression" dxfId="1674" priority="59">
      <formula>ABS(I$16-I$19)&gt;=1000</formula>
    </cfRule>
  </conditionalFormatting>
  <conditionalFormatting sqref="J13:J20">
    <cfRule type="expression" dxfId="1673" priority="58">
      <formula>ABS(J$16-J$19)&gt;=1000</formula>
    </cfRule>
  </conditionalFormatting>
  <conditionalFormatting sqref="L13:L20">
    <cfRule type="expression" dxfId="1672" priority="57">
      <formula>ABS(L$16-L$19)&gt;=1000</formula>
    </cfRule>
  </conditionalFormatting>
  <conditionalFormatting sqref="M13 M15 M17:M18 M20">
    <cfRule type="expression" dxfId="1671" priority="56">
      <formula>ABS(M$16-M$19)&gt;=1000</formula>
    </cfRule>
  </conditionalFormatting>
  <conditionalFormatting sqref="N13:N20">
    <cfRule type="expression" dxfId="1670" priority="55">
      <formula>ABS(N$16-N$19)&gt;=1000</formula>
    </cfRule>
  </conditionalFormatting>
  <conditionalFormatting sqref="O13:O20">
    <cfRule type="expression" dxfId="1669" priority="54">
      <formula>ABS(O$16-O$19)&gt;=1000</formula>
    </cfRule>
  </conditionalFormatting>
  <conditionalFormatting sqref="P13:P20">
    <cfRule type="expression" dxfId="1668" priority="53">
      <formula>ABS(P$16-P$19)&gt;=1000</formula>
    </cfRule>
  </conditionalFormatting>
  <conditionalFormatting sqref="Q13 Q15:Q20">
    <cfRule type="expression" dxfId="1667" priority="52">
      <formula>ABS(Q$16-Q$19)&gt;=1000</formula>
    </cfRule>
  </conditionalFormatting>
  <conditionalFormatting sqref="R13:R20">
    <cfRule type="expression" dxfId="1666" priority="51">
      <formula>ABS(R$16-R$19)&gt;=1000</formula>
    </cfRule>
  </conditionalFormatting>
  <conditionalFormatting sqref="S13:S20">
    <cfRule type="expression" dxfId="1665" priority="50">
      <formula>ABS(S$16-S$19)&gt;=1000</formula>
    </cfRule>
  </conditionalFormatting>
  <conditionalFormatting sqref="T13:T20">
    <cfRule type="expression" dxfId="1664" priority="49">
      <formula>ABS(T$16-T$19)&gt;=1000</formula>
    </cfRule>
  </conditionalFormatting>
  <conditionalFormatting sqref="U13:U20">
    <cfRule type="expression" dxfId="1663" priority="48">
      <formula>ABS(U$16-U$19)&gt;=1000</formula>
    </cfRule>
  </conditionalFormatting>
  <conditionalFormatting sqref="V13:V20">
    <cfRule type="expression" dxfId="1662" priority="47">
      <formula>ABS(V$16-V$19)&gt;=1000</formula>
    </cfRule>
  </conditionalFormatting>
  <conditionalFormatting sqref="W13 W15:W18 W20">
    <cfRule type="expression" dxfId="1661" priority="46">
      <formula>ABS(W$16-W$19)&gt;=1000</formula>
    </cfRule>
  </conditionalFormatting>
  <conditionalFormatting sqref="X13 X15:X20 Y19">
    <cfRule type="expression" dxfId="1660" priority="45">
      <formula>ABS(X$16-X$19)&gt;=1000</formula>
    </cfRule>
  </conditionalFormatting>
  <conditionalFormatting sqref="Y13 Y15:Y18 Y20">
    <cfRule type="expression" dxfId="1659" priority="44">
      <formula>ABS(Y$16-Y$19)&gt;=1000</formula>
    </cfRule>
  </conditionalFormatting>
  <conditionalFormatting sqref="Z13:Z20">
    <cfRule type="expression" dxfId="1658" priority="43">
      <formula>ABS(Z$16-Z$19)&gt;=1000</formula>
    </cfRule>
  </conditionalFormatting>
  <conditionalFormatting sqref="AA13:AA20">
    <cfRule type="expression" dxfId="1657" priority="42">
      <formula>ABS(AA$16-AA$19)&gt;=1000</formula>
    </cfRule>
  </conditionalFormatting>
  <conditionalFormatting sqref="AB13 AB15:AB20">
    <cfRule type="expression" dxfId="1656" priority="41">
      <formula>ABS(AB$16-AB$19)&gt;=1000</formula>
    </cfRule>
  </conditionalFormatting>
  <conditionalFormatting sqref="AC13 AC15:AC20">
    <cfRule type="expression" dxfId="1655" priority="40">
      <formula>ABS(AC$16-AC$19)&gt;=1000</formula>
    </cfRule>
  </conditionalFormatting>
  <conditionalFormatting sqref="AD13:AD20">
    <cfRule type="expression" dxfId="1654" priority="39">
      <formula>ABS(AD$16-AD$19)&gt;=1000</formula>
    </cfRule>
  </conditionalFormatting>
  <conditionalFormatting sqref="AE13:AE20">
    <cfRule type="expression" dxfId="1653" priority="38">
      <formula>ABS(AE$16-AE$19)&gt;=1000</formula>
    </cfRule>
  </conditionalFormatting>
  <conditionalFormatting sqref="D22:D29">
    <cfRule type="expression" dxfId="1652" priority="37">
      <formula>ABS(D$25-D$28)&gt;=1000</formula>
    </cfRule>
  </conditionalFormatting>
  <conditionalFormatting sqref="E22:E29">
    <cfRule type="expression" dxfId="1651" priority="36">
      <formula>ABS(E$25-E$28)&gt;=1000</formula>
    </cfRule>
  </conditionalFormatting>
  <conditionalFormatting sqref="F22:F29">
    <cfRule type="expression" dxfId="1650" priority="35">
      <formula>ABS(F$25-F$28)&gt;=1000</formula>
    </cfRule>
  </conditionalFormatting>
  <conditionalFormatting sqref="G22:G29">
    <cfRule type="expression" dxfId="1649" priority="34">
      <formula>ABS(G$25-G$28)&gt;=1000</formula>
    </cfRule>
  </conditionalFormatting>
  <conditionalFormatting sqref="H22:H29">
    <cfRule type="expression" dxfId="1648" priority="33">
      <formula>ABS(H$25-H$28)&gt;=1000</formula>
    </cfRule>
  </conditionalFormatting>
  <conditionalFormatting sqref="I22 I24:I29">
    <cfRule type="expression" dxfId="1647" priority="32">
      <formula>ABS(I$25-I$28)&gt;=1000</formula>
    </cfRule>
  </conditionalFormatting>
  <conditionalFormatting sqref="J22:J29 K22">
    <cfRule type="expression" dxfId="1646" priority="31">
      <formula>ABS(J$25-J$28)&gt;=1000</formula>
    </cfRule>
  </conditionalFormatting>
  <conditionalFormatting sqref="K23:K29 L25 L28">
    <cfRule type="expression" dxfId="1645" priority="30">
      <formula>ABS(K$25-K$28)&gt;=1000</formula>
    </cfRule>
  </conditionalFormatting>
  <conditionalFormatting sqref="L22:L24 L26:L27 L29">
    <cfRule type="expression" dxfId="1644" priority="29">
      <formula>ABS(L$25-L$28)&gt;=1000</formula>
    </cfRule>
  </conditionalFormatting>
  <conditionalFormatting sqref="M22:M29">
    <cfRule type="expression" dxfId="1643" priority="28">
      <formula>ABS(M$25-M$28)&gt;=1000</formula>
    </cfRule>
  </conditionalFormatting>
  <conditionalFormatting sqref="N22:N29">
    <cfRule type="expression" dxfId="1642" priority="27">
      <formula>ABS(N$25-N$28)&gt;=1000</formula>
    </cfRule>
  </conditionalFormatting>
  <conditionalFormatting sqref="O22:O29">
    <cfRule type="expression" dxfId="1641" priority="26">
      <formula>ABS(O$25-O$28)&gt;=1000</formula>
    </cfRule>
  </conditionalFormatting>
  <conditionalFormatting sqref="P22:P29">
    <cfRule type="expression" dxfId="1640" priority="25">
      <formula>ABS(P$25-P$28)&gt;=1000</formula>
    </cfRule>
  </conditionalFormatting>
  <conditionalFormatting sqref="Q22:Q29">
    <cfRule type="expression" dxfId="1639" priority="24">
      <formula>ABS(Q$25-Q$28)&gt;=1000</formula>
    </cfRule>
  </conditionalFormatting>
  <conditionalFormatting sqref="R22:R29">
    <cfRule type="expression" dxfId="1638" priority="23">
      <formula>ABS(R$25-R$28)&gt;=1000</formula>
    </cfRule>
  </conditionalFormatting>
  <conditionalFormatting sqref="S22:S29">
    <cfRule type="expression" dxfId="1637" priority="22">
      <formula>ABS(S$25-S$28)&gt;=1000</formula>
    </cfRule>
  </conditionalFormatting>
  <conditionalFormatting sqref="T22:T29">
    <cfRule type="expression" dxfId="1636" priority="21">
      <formula>ABS(T$25-T$28)&gt;=1000</formula>
    </cfRule>
  </conditionalFormatting>
  <conditionalFormatting sqref="U22:U29">
    <cfRule type="expression" dxfId="1635" priority="20">
      <formula>ABS(U$25-U$28)&gt;=1000</formula>
    </cfRule>
  </conditionalFormatting>
  <conditionalFormatting sqref="V22:V29">
    <cfRule type="expression" dxfId="1634" priority="19">
      <formula>ABS(V$25-V$28)&gt;=1000</formula>
    </cfRule>
  </conditionalFormatting>
  <conditionalFormatting sqref="W22:W29">
    <cfRule type="expression" dxfId="1633" priority="18">
      <formula>ABS(W$25-W$28)&gt;=1000</formula>
    </cfRule>
  </conditionalFormatting>
  <conditionalFormatting sqref="X22:X29">
    <cfRule type="expression" dxfId="1632" priority="17">
      <formula>ABS(X$25-X$28)&gt;=1000</formula>
    </cfRule>
  </conditionalFormatting>
  <conditionalFormatting sqref="Y22:Y29">
    <cfRule type="expression" dxfId="1631" priority="16">
      <formula>ABS(Y$25-Y$28)&gt;=1000</formula>
    </cfRule>
  </conditionalFormatting>
  <conditionalFormatting sqref="I23">
    <cfRule type="expression" dxfId="1630" priority="15">
      <formula>ABS(I$25-I$28)&gt;=1000</formula>
    </cfRule>
  </conditionalFormatting>
  <conditionalFormatting sqref="F14">
    <cfRule type="expression" dxfId="1629" priority="14">
      <formula>ABS(F$16-F$19)&gt;=1000</formula>
    </cfRule>
  </conditionalFormatting>
  <conditionalFormatting sqref="Q14">
    <cfRule type="expression" dxfId="1628" priority="13">
      <formula>ABS(Q$16-Q$19)&gt;=1000</formula>
    </cfRule>
  </conditionalFormatting>
  <conditionalFormatting sqref="W14">
    <cfRule type="expression" dxfId="1627" priority="12">
      <formula>ABS(W$16-W$19)&gt;=1000</formula>
    </cfRule>
  </conditionalFormatting>
  <conditionalFormatting sqref="Y14">
    <cfRule type="expression" dxfId="1626" priority="11">
      <formula>ABS(Y$16-Y$19)&gt;=1000</formula>
    </cfRule>
  </conditionalFormatting>
  <conditionalFormatting sqref="X14">
    <cfRule type="expression" dxfId="1625" priority="10">
      <formula>ABS(X$16-X$19)&gt;=1000</formula>
    </cfRule>
  </conditionalFormatting>
  <conditionalFormatting sqref="T10:Y10">
    <cfRule type="expression" dxfId="1624" priority="9">
      <formula>ABS(T$7-T$10)&gt;=1000</formula>
    </cfRule>
  </conditionalFormatting>
  <conditionalFormatting sqref="W19">
    <cfRule type="expression" dxfId="1623" priority="8">
      <formula>ABS(W$16-W$19)&gt;=1000</formula>
    </cfRule>
  </conditionalFormatting>
  <conditionalFormatting sqref="AC5">
    <cfRule type="expression" dxfId="1622" priority="7">
      <formula>ABS(AC$7-AC$10)&gt;=1000</formula>
    </cfRule>
  </conditionalFormatting>
  <conditionalFormatting sqref="M14">
    <cfRule type="expression" dxfId="1621" priority="6">
      <formula>ABS(M$16-M$19)&gt;=1000</formula>
    </cfRule>
  </conditionalFormatting>
  <conditionalFormatting sqref="M16">
    <cfRule type="expression" dxfId="1620" priority="5">
      <formula>ABS(M$16-M$19)&gt;=1000</formula>
    </cfRule>
  </conditionalFormatting>
  <conditionalFormatting sqref="M19">
    <cfRule type="expression" dxfId="1619" priority="4">
      <formula>ABS(M$16-M$19)&gt;=1000</formula>
    </cfRule>
  </conditionalFormatting>
  <conditionalFormatting sqref="K13:K20">
    <cfRule type="expression" dxfId="1618" priority="3">
      <formula>ABS(K$16-K$19)&gt;=1000</formula>
    </cfRule>
  </conditionalFormatting>
  <conditionalFormatting sqref="E5">
    <cfRule type="expression" dxfId="1617" priority="2">
      <formula>ABS(E$7-E$10)&gt;=1000</formula>
    </cfRule>
  </conditionalFormatting>
  <conditionalFormatting sqref="AB14:AC14">
    <cfRule type="expression" dxfId="1616" priority="1">
      <formula>ABS(AB$16-AB$19)&gt;=1000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6544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51">
    <pageSetUpPr fitToPage="1"/>
  </sheetPr>
  <dimension ref="A1:CU223"/>
  <sheetViews>
    <sheetView view="pageBreakPreview" topLeftCell="A13" zoomScale="70" zoomScaleNormal="100" zoomScaleSheetLayoutView="70" workbookViewId="0">
      <selection activeCell="AB40" sqref="AB40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36" t="s" ph="1">
        <v>195</v>
      </c>
      <c r="C1" s="236" ph="1"/>
      <c r="D1" s="236" ph="1"/>
      <c r="E1" s="236" ph="1"/>
      <c r="F1" s="236" ph="1"/>
      <c r="G1" s="236" ph="1"/>
      <c r="H1" s="236" ph="1"/>
      <c r="I1" s="236" ph="1"/>
      <c r="J1" s="236" ph="1"/>
      <c r="K1" s="236" ph="1"/>
      <c r="L1" s="236" ph="1"/>
      <c r="M1" s="236" ph="1"/>
      <c r="N1" s="236" ph="1"/>
      <c r="O1" s="236" ph="1"/>
      <c r="P1" s="236" ph="1"/>
      <c r="Q1" s="236" ph="1"/>
      <c r="R1" s="236" ph="1"/>
      <c r="S1" s="236" ph="1"/>
      <c r="T1" s="236" ph="1"/>
      <c r="U1" s="236" ph="1"/>
      <c r="V1" s="236" ph="1"/>
      <c r="W1" s="236" ph="1"/>
      <c r="X1" s="236" ph="1"/>
      <c r="Y1" s="236" ph="1"/>
      <c r="Z1" s="236" ph="1"/>
      <c r="AA1" s="236" ph="1"/>
      <c r="AB1" s="236" ph="1"/>
      <c r="AC1" s="236" ph="1"/>
      <c r="AD1" s="236" ph="1"/>
      <c r="AE1" s="236" ph="1"/>
    </row>
    <row r="2" spans="1:99" s="66" customFormat="1" ht="24" customHeight="1" ph="1">
      <c r="B2" s="237" t="s" ph="1">
        <v>99</v>
      </c>
      <c r="C2" s="237" ph="1"/>
      <c r="D2" s="237" ph="1"/>
      <c r="E2" s="237" ph="1"/>
      <c r="F2" s="237" ph="1"/>
      <c r="G2" s="237" ph="1"/>
      <c r="H2" s="237" ph="1"/>
      <c r="I2" s="237" ph="1"/>
      <c r="J2" s="237" ph="1"/>
      <c r="K2" s="237" ph="1"/>
      <c r="L2" s="237" ph="1"/>
      <c r="M2" s="237" ph="1"/>
      <c r="N2" s="237" ph="1"/>
      <c r="O2" s="237" ph="1"/>
      <c r="P2" s="237" ph="1"/>
      <c r="Q2" s="237" ph="1"/>
      <c r="R2" s="237" ph="1"/>
      <c r="S2" s="237" ph="1"/>
      <c r="T2" s="237" ph="1"/>
      <c r="U2" s="237" ph="1"/>
      <c r="V2" s="237" ph="1"/>
      <c r="W2" s="237" ph="1"/>
      <c r="X2" s="237" ph="1"/>
      <c r="Y2" s="237" ph="1"/>
      <c r="Z2" s="237" ph="1"/>
      <c r="AA2" s="237" ph="1"/>
      <c r="AB2" s="237" ph="1"/>
      <c r="AC2" s="237" ph="1"/>
      <c r="AD2" s="237" ph="1"/>
      <c r="AE2" s="237" ph="1"/>
    </row>
    <row r="3" spans="1:99" ht="21" customHeight="1" ph="1">
      <c r="B3" s="238" ph="1">
        <v>45665</v>
      </c>
      <c r="C3" s="238"/>
      <c r="D3" s="238"/>
      <c r="E3" s="238"/>
      <c r="F3" s="238"/>
      <c r="G3" s="238"/>
      <c r="H3" s="238"/>
      <c r="I3" s="238"/>
      <c r="J3" s="238"/>
      <c r="K3" s="238"/>
      <c r="L3" s="238"/>
      <c r="M3" s="238"/>
      <c r="N3" s="238"/>
      <c r="O3" s="238"/>
      <c r="P3" s="238"/>
      <c r="Q3" s="238"/>
      <c r="R3" s="238"/>
      <c r="S3" s="238"/>
      <c r="T3" s="238"/>
      <c r="U3" s="238"/>
      <c r="V3" s="238"/>
      <c r="W3" s="238"/>
      <c r="X3" s="238"/>
      <c r="Y3" s="238"/>
      <c r="Z3" s="238"/>
      <c r="AA3" s="238"/>
      <c r="AB3" s="238"/>
      <c r="AC3" s="238"/>
      <c r="AD3" s="238"/>
      <c r="AE3" s="238"/>
    </row>
    <row r="4" spans="1:99" s="69" customFormat="1" ph="1">
      <c r="A4" s="65" ph="1"/>
      <c r="B4" s="217" t="s" ph="1">
        <v>37</v>
      </c>
      <c r="C4" s="67" t="s" ph="1">
        <v>210</v>
      </c>
      <c r="D4" s="68" t="s" ph="1">
        <v>45</v>
      </c>
      <c r="E4" s="68" t="s" ph="1">
        <v>46</v>
      </c>
      <c r="F4" s="68" t="s" ph="1">
        <v>39</v>
      </c>
      <c r="G4" s="68" t="s" ph="1">
        <v>47</v>
      </c>
      <c r="H4" s="68" t="s" ph="1">
        <v>48</v>
      </c>
      <c r="I4" s="68" t="s" ph="1">
        <v>133</v>
      </c>
      <c r="J4" s="68" t="s" ph="1">
        <v>49</v>
      </c>
      <c r="K4" s="68" t="s" ph="1">
        <v>134</v>
      </c>
      <c r="L4" s="68" t="s" ph="1">
        <v>135</v>
      </c>
      <c r="M4" s="68" t="s" ph="1">
        <v>50</v>
      </c>
      <c r="N4" s="68" t="s" ph="1">
        <v>51</v>
      </c>
      <c r="O4" s="68" t="s" ph="1">
        <v>137</v>
      </c>
      <c r="P4" s="68" t="s" ph="1">
        <v>139</v>
      </c>
      <c r="Q4" s="68" t="s" ph="1">
        <v>140</v>
      </c>
      <c r="R4" s="68" t="s" ph="1">
        <v>141</v>
      </c>
      <c r="S4" s="68" t="s" ph="1">
        <v>142</v>
      </c>
      <c r="T4" s="68" t="s" ph="1">
        <v>143</v>
      </c>
      <c r="U4" s="68" t="s" ph="1">
        <v>144</v>
      </c>
      <c r="V4" s="68" t="s" ph="1">
        <v>145</v>
      </c>
      <c r="W4" s="68" t="s" ph="1">
        <v>146</v>
      </c>
      <c r="X4" s="68" t="s" ph="1">
        <v>147</v>
      </c>
      <c r="Y4" s="68" t="s" ph="1">
        <v>148</v>
      </c>
      <c r="Z4" s="68" t="s" ph="1">
        <v>52</v>
      </c>
      <c r="AA4" s="68" t="s" ph="1">
        <v>149</v>
      </c>
      <c r="AB4" s="68" t="s" ph="1">
        <v>150</v>
      </c>
      <c r="AC4" s="68" t="s" ph="1">
        <v>151</v>
      </c>
      <c r="AD4" s="68" t="s" ph="1">
        <v>40</v>
      </c>
      <c r="AE4" s="68" t="s" ph="1">
        <v>152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7" ph="1"/>
      <c r="C5" s="67" t="s" ph="1">
        <v>36</v>
      </c>
      <c r="D5" s="70" t="s" ph="1">
        <v>194</v>
      </c>
      <c r="E5" s="70" t="s" ph="1">
        <v>55</v>
      </c>
      <c r="F5" s="70" t="s" ph="1">
        <v>130</v>
      </c>
      <c r="G5" s="70" t="s" ph="1">
        <v>56</v>
      </c>
      <c r="H5" s="70" t="s" ph="1">
        <v>56</v>
      </c>
      <c r="I5" s="70" t="s" ph="1">
        <v>57</v>
      </c>
      <c r="J5" s="70" t="s" ph="1">
        <v>58</v>
      </c>
      <c r="K5" s="70" t="s" ph="1">
        <v>59</v>
      </c>
      <c r="L5" s="70" t="s" ph="1">
        <v>136</v>
      </c>
      <c r="M5" s="70" t="s" ph="1">
        <v>60</v>
      </c>
      <c r="N5" s="70" t="s" ph="1">
        <v>61</v>
      </c>
      <c r="O5" s="70" t="s" ph="1">
        <v>138</v>
      </c>
      <c r="P5" s="70" t="s" ph="1">
        <v>88</v>
      </c>
      <c r="Q5" s="70" t="s" ph="1">
        <v>96</v>
      </c>
      <c r="R5" s="70" t="s" ph="1">
        <v>96</v>
      </c>
      <c r="S5" s="70" t="s" ph="1">
        <v>96</v>
      </c>
      <c r="T5" s="70" t="s" ph="1">
        <v>96</v>
      </c>
      <c r="U5" s="70" t="s" ph="1">
        <v>96</v>
      </c>
      <c r="V5" s="70" t="s" ph="1">
        <v>96</v>
      </c>
      <c r="W5" s="70" t="s" ph="1">
        <v>96</v>
      </c>
      <c r="X5" s="70" t="s" ph="1">
        <v>96</v>
      </c>
      <c r="Y5" s="70" t="s" ph="1">
        <v>96</v>
      </c>
      <c r="Z5" s="70" t="s" ph="1">
        <v>95</v>
      </c>
      <c r="AA5" s="70" t="s" ph="1">
        <v>62</v>
      </c>
      <c r="AB5" s="70" t="s" ph="1">
        <v>62</v>
      </c>
      <c r="AC5" s="70" t="s" ph="1">
        <v>222</v>
      </c>
      <c r="AD5" s="70" t="s" ph="1">
        <v>83</v>
      </c>
      <c r="AE5" s="70" t="s" ph="1">
        <v>661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5" ph="1">
        <v>0.33333333333333331</v>
      </c>
      <c r="C6" s="151" t="s" ph="1">
        <v>211</v>
      </c>
      <c r="D6" s="71">
        <v>4077</v>
      </c>
      <c r="E6" s="71">
        <v>0</v>
      </c>
      <c r="F6" s="71">
        <v>6467</v>
      </c>
      <c r="G6" s="71">
        <v>8893</v>
      </c>
      <c r="H6" s="71">
        <v>3593</v>
      </c>
      <c r="I6" s="71">
        <v>39.130000000000003</v>
      </c>
      <c r="J6" s="71">
        <v>79.97</v>
      </c>
      <c r="K6" s="71">
        <v>9.24</v>
      </c>
      <c r="L6" s="71">
        <v>57.17</v>
      </c>
      <c r="M6" s="71">
        <v>5701</v>
      </c>
      <c r="N6" s="71">
        <v>6728</v>
      </c>
      <c r="O6" s="71">
        <v>507</v>
      </c>
      <c r="P6" s="71">
        <v>429</v>
      </c>
      <c r="Q6" s="71">
        <v>3868</v>
      </c>
      <c r="R6" s="71">
        <v>0</v>
      </c>
      <c r="S6" s="71">
        <v>0</v>
      </c>
      <c r="T6" s="71">
        <v>2410</v>
      </c>
      <c r="U6" s="71">
        <v>6251</v>
      </c>
      <c r="V6" s="71">
        <v>4823</v>
      </c>
      <c r="W6" s="71">
        <v>6514</v>
      </c>
      <c r="X6" s="71">
        <v>2347</v>
      </c>
      <c r="Y6" s="71">
        <v>2992</v>
      </c>
      <c r="Z6" s="71">
        <v>2277</v>
      </c>
      <c r="AA6" s="71">
        <v>0</v>
      </c>
      <c r="AB6" s="71">
        <v>2780</v>
      </c>
      <c r="AC6" s="71">
        <v>6782</v>
      </c>
      <c r="AD6" s="71">
        <v>2138</v>
      </c>
      <c r="AE6" s="71">
        <v>4077</v>
      </c>
    </row>
    <row r="7" spans="1:99" s="72" customFormat="1" ht="22.5" ph="1">
      <c r="B7" s="235" ph="1"/>
      <c r="C7" s="68" t="s" ph="1">
        <v>212</v>
      </c>
      <c r="D7" s="73" ph="1">
        <f>D6*33.183*LOOKUP(D8,密度!$A$2:$A$50,密度!$Q$2:$Q$50)</f>
        <v>129009.76997759999</v>
      </c>
      <c r="E7" s="73" ph="1">
        <f>E6*51.53*LOOKUP(E8,密度!$A$2:$A$50,密度!$I$2:$I$50)</f>
        <v>0</v>
      </c>
      <c r="F7" s="73" ph="1">
        <f>F6*33.183*LOOKUP(F8,密度!$A$2:$A$50,密度!$C$2:$C$50)</f>
        <v>239315.74290720001</v>
      </c>
      <c r="G7" s="73" ph="1">
        <f xml:space="preserve"> (G6+2)*51.53*LOOKUP(G8,密度!$A$2:$A$50,密度!$B$2:$B$50)</f>
        <v>360820.48032000003</v>
      </c>
      <c r="H7" s="73" ph="1">
        <f>(H6)*51.53*LOOKUP(H8,密度!$A$2:$A$50,密度!$B$2:$B$50)</f>
        <v>145599.82885600001</v>
      </c>
      <c r="I7" s="73" ph="1">
        <f>I6*290.8*1.0267</f>
        <v>11682.8234068</v>
      </c>
      <c r="J7" s="73" ph="1">
        <f>J6*290.8*0.7892</f>
        <v>18353.063819200001</v>
      </c>
      <c r="K7" s="73" ph="1">
        <f>K6*290.8*1.1126</f>
        <v>2989.5472992000005</v>
      </c>
      <c r="L7" s="73" ph="1">
        <f>L6*290.8*0.777</f>
        <v>12917.652972</v>
      </c>
      <c r="M7" s="73" ph="1">
        <f>M6*33.183*LOOKUP(M8,密度!$A$2:$A$50,密度!$D$2:$D$50)</f>
        <v>195589.35899370001</v>
      </c>
      <c r="N7" s="73" ph="1">
        <f>N6*33.183*LOOKUP(N8,密度!$A$2:$A$50,密度!$E$2:$E$50)</f>
        <v>176438.6035272</v>
      </c>
      <c r="O7" s="73" ph="1">
        <f>O6*20.428*LOOKUP(O8,密度!$A$2:$A$50,密度!$C$2:$C$50)</f>
        <v>11529.407947200001</v>
      </c>
      <c r="P7" s="73" ph="1">
        <f>P6*51.53*LOOKUP(P8,密度!$A$2:$A$50,密度!$B$2:$B$50)</f>
        <v>17457.400388999999</v>
      </c>
      <c r="Q7" s="73" ph="1">
        <f>Q6*1.5*1.5*3.1416*LOOKUP(W8,密度!$A$2:$A$50,密度!$L$2:$L$50)</f>
        <v>25810.229491199996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16183.5597</v>
      </c>
      <c r="U7" s="73" ph="1">
        <f>U6*1.5*1.5*3.1416*LOOKUP(U8,密度!$A$2:$A$50,密度!$L$2:$L$50)</f>
        <v>41667.226939799999</v>
      </c>
      <c r="V7" s="73" ph="1">
        <f>V6*1.5*1.5*3.1416*LOOKUP(V8,密度!$A$2:$A$50,密度!$L$2:$L$50)</f>
        <v>32046.346331999997</v>
      </c>
      <c r="W7" s="73" ph="1">
        <f>W6*1.5*1.5*3.1416*LOOKUP(W8,密度!$A$2:$A$50,密度!$L$2:$L$50)</f>
        <v>43466.348217599996</v>
      </c>
      <c r="X7" s="73" ph="1">
        <f>X6*1.5*1.5*3.1416*LOOKUP(X8,密度!$A$2:$A$50,密度!$L$2:$L$50)</f>
        <v>15760.503989999999</v>
      </c>
      <c r="Y7" s="73" ph="1">
        <f>Y6*1.5*1.5*3.1416*LOOKUP(Y8,密度!$A$2:$A$50,密度!$L$2:$L$50)</f>
        <v>20007.191635199997</v>
      </c>
      <c r="Z7" s="73" ph="1">
        <f>Z6*33.183*LOOKUP(Z8,密度!$A$2:$A$50,密度!$L$2:$L$50)</f>
        <v>71704.248759000009</v>
      </c>
      <c r="AA7" s="73" ph="1">
        <f>AA6*33.183*LOOKUP(AA8,密度!$A$2:$A$50,密度!$D$2:$D$50)</f>
        <v>0</v>
      </c>
      <c r="AB7" s="73" ph="1">
        <f>AB6*20.428*LOOKUP(AB8,密度!$A$2:$A$50,密度!$D$2:$D$50)</f>
        <v>59163.65531200001</v>
      </c>
      <c r="AC7" s="73" ph="1">
        <f>AC6*51.53*LOOKUP(AC8,密度!$A$2:$A$50,密度!$Q$2:$Q$50)</f>
        <v>333260.75225600001</v>
      </c>
      <c r="AD7" s="73" ph="1">
        <f>AD6*20.428*LOOKUP(AD8,密度!$A$2:$A$50,密度!$V$2:$V$50)</f>
        <v>42102.761695999994</v>
      </c>
      <c r="AE7" s="73" ph="1">
        <f>AE6*20.428</f>
        <v>83284.956000000006</v>
      </c>
    </row>
    <row r="8" spans="1:99" ph="1">
      <c r="B8" s="235" ph="1"/>
      <c r="C8" s="68" t="s" ph="1">
        <v>213</v>
      </c>
      <c r="D8" s="74">
        <v>16</v>
      </c>
      <c r="E8" s="74">
        <v>16</v>
      </c>
      <c r="F8" s="74">
        <v>16</v>
      </c>
      <c r="G8" s="74">
        <v>16</v>
      </c>
      <c r="H8" s="74">
        <v>17</v>
      </c>
      <c r="I8" s="74">
        <v>25</v>
      </c>
      <c r="J8" s="74">
        <v>25</v>
      </c>
      <c r="K8" s="74">
        <v>25</v>
      </c>
      <c r="L8" s="74">
        <v>25</v>
      </c>
      <c r="M8" s="74">
        <v>17</v>
      </c>
      <c r="N8" s="74">
        <v>19</v>
      </c>
      <c r="O8" s="74">
        <v>19</v>
      </c>
      <c r="P8" s="74">
        <v>13</v>
      </c>
      <c r="Q8" s="74">
        <v>16</v>
      </c>
      <c r="R8" s="74">
        <v>21</v>
      </c>
      <c r="S8" s="74">
        <v>10</v>
      </c>
      <c r="T8" s="74">
        <v>12</v>
      </c>
      <c r="U8" s="74">
        <v>19</v>
      </c>
      <c r="V8" s="74">
        <v>22</v>
      </c>
      <c r="W8" s="74">
        <v>18</v>
      </c>
      <c r="X8" s="74">
        <v>12</v>
      </c>
      <c r="Y8" s="74">
        <v>16</v>
      </c>
      <c r="Z8" s="74">
        <v>13</v>
      </c>
      <c r="AA8" s="74">
        <v>16</v>
      </c>
      <c r="AB8" s="74">
        <v>8</v>
      </c>
      <c r="AC8" s="74">
        <v>16</v>
      </c>
      <c r="AD8" s="74">
        <v>16</v>
      </c>
      <c r="AE8" s="74">
        <v>23</v>
      </c>
    </row>
    <row r="9" spans="1:99" ph="1">
      <c r="B9" s="235" ph="1">
        <v>0.66666666666666663</v>
      </c>
      <c r="C9" s="151" t="s" ph="1">
        <v>214</v>
      </c>
      <c r="D9" s="71">
        <v>4077</v>
      </c>
      <c r="E9" s="71">
        <v>0</v>
      </c>
      <c r="F9" s="71">
        <v>6467</v>
      </c>
      <c r="G9" s="71">
        <v>8895</v>
      </c>
      <c r="H9" s="71">
        <v>4446</v>
      </c>
      <c r="I9" s="71">
        <v>39.15</v>
      </c>
      <c r="J9" s="71">
        <v>80.11</v>
      </c>
      <c r="K9" s="71">
        <v>9.16</v>
      </c>
      <c r="L9" s="71">
        <v>23.6</v>
      </c>
      <c r="M9" s="71">
        <v>5703</v>
      </c>
      <c r="N9" s="71">
        <v>6512</v>
      </c>
      <c r="O9" s="71">
        <v>506</v>
      </c>
      <c r="P9" s="71">
        <v>291</v>
      </c>
      <c r="Q9" s="71">
        <v>3869</v>
      </c>
      <c r="R9" s="71">
        <v>2230</v>
      </c>
      <c r="S9" s="71">
        <v>2070</v>
      </c>
      <c r="T9" s="71">
        <v>0</v>
      </c>
      <c r="U9" s="71">
        <v>3639</v>
      </c>
      <c r="V9" s="71">
        <v>4825</v>
      </c>
      <c r="W9" s="71">
        <v>6521</v>
      </c>
      <c r="X9" s="71">
        <v>2352</v>
      </c>
      <c r="Y9" s="71">
        <v>6150</v>
      </c>
      <c r="Z9" s="71">
        <v>1330</v>
      </c>
      <c r="AA9" s="71">
        <v>0</v>
      </c>
      <c r="AB9" s="71">
        <v>2627</v>
      </c>
      <c r="AC9" s="71">
        <v>6782</v>
      </c>
      <c r="AD9" s="71">
        <v>2654</v>
      </c>
      <c r="AE9" s="71">
        <v>3932</v>
      </c>
    </row>
    <row r="10" spans="1:99" s="72" customFormat="1" ht="22.5" ph="1">
      <c r="B10" s="235" ph="1"/>
      <c r="C10" s="151" t="s" ph="1">
        <v>212</v>
      </c>
      <c r="D10" s="73" ph="1">
        <f>D9*33.183*LOOKUP(D11,密度!$A$2:$A$50,密度!$Q$2:$Q$50)</f>
        <v>128689.13957192999</v>
      </c>
      <c r="E10" s="73" ph="1">
        <f>E9*51.53*LOOKUP(E11,密度!$A$2:$A$50,密度!$I$2:$I$50)</f>
        <v>0</v>
      </c>
      <c r="F10" s="73" ph="1">
        <f>F9*33.183*LOOKUP(F11,密度!$A$2:$A$50,密度!$C$2:$C$50)</f>
        <v>239444.4995838</v>
      </c>
      <c r="G10" s="73" ph="1">
        <f xml:space="preserve"> (G9+2)*51.53*LOOKUP(G11,密度!$A$2:$A$50,密度!$B$2:$B$50)</f>
        <v>360534.839224</v>
      </c>
      <c r="H10" s="73" ph="1">
        <f>(H9)*51.53*LOOKUP(H11,密度!$A$2:$A$50,密度!$B$2:$B$50)</f>
        <v>181311.623532</v>
      </c>
      <c r="I10" s="73" ph="1">
        <f>I9*290.8*1.0267</f>
        <v>11688.794693999998</v>
      </c>
      <c r="J10" s="73" ph="1">
        <f>J9*290.8*0.7892</f>
        <v>18385.1937296</v>
      </c>
      <c r="K10" s="73" ph="1">
        <f>K9*290.8*1.1126</f>
        <v>2963.6637728000001</v>
      </c>
      <c r="L10" s="73" ph="1">
        <f>L9*290.8*0.777</f>
        <v>5332.4577600000011</v>
      </c>
      <c r="M10" s="73" ph="1">
        <f>M9*33.183*LOOKUP(M11,密度!$A$2:$A$50,密度!$D$2:$D$50)</f>
        <v>195336.26229780001</v>
      </c>
      <c r="N10" s="73" ph="1">
        <f>N9*33.183*LOOKUP(N11,密度!$A$2:$A$50,密度!$E$2:$E$50)</f>
        <v>171011.80261439999</v>
      </c>
      <c r="O10" s="73" ph="1">
        <f>O9*20.428*LOOKUP(O11,密度!$A$2:$A$50,密度!$C$2:$C$50)</f>
        <v>11469.4558528</v>
      </c>
      <c r="P10" s="73" ph="1">
        <f>P9*51.53*LOOKUP(P11,密度!$A$2:$A$50,密度!$B$2:$B$50)</f>
        <v>11781.752210999999</v>
      </c>
      <c r="Q10" s="73" ph="1">
        <f>Q9*1.5*1.5*3.1416*LOOKUP(W11,密度!$A$2:$A$50,密度!$L$2:$L$50)</f>
        <v>25816.9022496</v>
      </c>
      <c r="R10" s="73" ph="1">
        <f>R9*1.5*1.5*3.1416*LOOKUP(R11,密度!$A$2:$A$50,密度!$L$2:$L$50)</f>
        <v>14801.436341999999</v>
      </c>
      <c r="S10" s="73" ph="1">
        <f>S9*1.5*1.5*3.1416*LOOKUP(S11,密度!$A$2:$A$50,密度!$L$2:$L$50)</f>
        <v>13871.137896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24230.7225468</v>
      </c>
      <c r="V10" s="73" ph="1">
        <f>V9*1.5*1.5*3.1416*LOOKUP(V11,密度!$A$2:$A$50,密度!$L$2:$L$50)</f>
        <v>32059.635300000002</v>
      </c>
      <c r="W10" s="73" ph="1">
        <f>W9*1.5*1.5*3.1416*LOOKUP(W11,密度!$A$2:$A$50,密度!$L$2:$L$50)</f>
        <v>43513.057526399993</v>
      </c>
      <c r="X10" s="73" ph="1">
        <f>X9*1.5*1.5*3.1416*LOOKUP(X11,密度!$A$2:$A$50,密度!$L$2:$L$50)</f>
        <v>15777.4544928</v>
      </c>
      <c r="Y10" s="73" ph="1">
        <f>Y9*1.5*1.5*3.1416*LOOKUP(Y11,密度!$A$2:$A$50,密度!$L$2:$L$50)</f>
        <v>41080.936049999997</v>
      </c>
      <c r="Z10" s="73" ph="1">
        <f>Z9*33.183*LOOKUP(Z11,密度!$A$2:$A$50,密度!$L$2:$L$50)</f>
        <v>41750.18694</v>
      </c>
      <c r="AA10" s="73" ph="1">
        <f>AA9*33.183*LOOKUP(AA11,密度!$A$2:$A$50,密度!$D$2:$D$50)</f>
        <v>0</v>
      </c>
      <c r="AB10" s="73" ph="1">
        <f>AB9*20.428*LOOKUP(AB11,密度!$A$2:$A$50,密度!$D$2:$D$50)</f>
        <v>55531.875588799994</v>
      </c>
      <c r="AC10" s="73" ph="1">
        <f>AC9*51.53*LOOKUP(AC11,密度!$A$2:$A$50,密度!$Q$2:$Q$50)</f>
        <v>332981.171088</v>
      </c>
      <c r="AD10" s="73" ph="1">
        <f>AD9*20.428*LOOKUP(AD11,密度!$A$2:$A$50,密度!$V$2:$V$50)</f>
        <v>52090.648249600003</v>
      </c>
      <c r="AE10" s="73" ph="1">
        <f>AE9*20.428</f>
        <v>80322.896000000008</v>
      </c>
    </row>
    <row r="11" spans="1:99" ph="1">
      <c r="A11" s="64" t="s" ph="1">
        <v>196</v>
      </c>
      <c r="B11" s="235" ph="1"/>
      <c r="C11" s="151" t="s" ph="1">
        <v>213</v>
      </c>
      <c r="D11" s="74">
        <v>19</v>
      </c>
      <c r="E11" s="74">
        <v>19</v>
      </c>
      <c r="F11" s="74">
        <v>15</v>
      </c>
      <c r="G11" s="74">
        <v>17</v>
      </c>
      <c r="H11" s="74">
        <v>11</v>
      </c>
      <c r="I11" s="74">
        <v>25</v>
      </c>
      <c r="J11" s="74">
        <v>25</v>
      </c>
      <c r="K11" s="74">
        <v>25</v>
      </c>
      <c r="L11" s="74">
        <v>25</v>
      </c>
      <c r="M11" s="74">
        <v>19</v>
      </c>
      <c r="N11" s="74">
        <v>18</v>
      </c>
      <c r="O11" s="74">
        <v>24</v>
      </c>
      <c r="P11" s="74">
        <v>18</v>
      </c>
      <c r="Q11" s="74">
        <v>20</v>
      </c>
      <c r="R11" s="74">
        <v>23</v>
      </c>
      <c r="S11" s="74">
        <v>14</v>
      </c>
      <c r="T11" s="74">
        <v>29</v>
      </c>
      <c r="U11" s="74">
        <v>20</v>
      </c>
      <c r="V11" s="74">
        <v>22</v>
      </c>
      <c r="W11" s="74">
        <v>18</v>
      </c>
      <c r="X11" s="74">
        <v>13</v>
      </c>
      <c r="Y11" s="74">
        <v>17</v>
      </c>
      <c r="Z11" s="74">
        <v>16</v>
      </c>
      <c r="AA11" s="74">
        <v>9</v>
      </c>
      <c r="AB11" s="74">
        <v>16</v>
      </c>
      <c r="AC11" s="74">
        <v>17</v>
      </c>
      <c r="AD11" s="74">
        <v>24</v>
      </c>
      <c r="AE11" s="74">
        <v>23</v>
      </c>
    </row>
    <row r="12" spans="1:99" ht="9.9499999999999993" customHeight="1" ph="1"/>
    <row r="13" spans="1:99" s="72" customFormat="1" ht="29.25" customHeight="1" ph="1">
      <c r="B13" s="212" t="s" ph="1">
        <v>37</v>
      </c>
      <c r="C13" s="151" t="s" ph="1">
        <v>210</v>
      </c>
      <c r="D13" s="76" t="s" ph="1">
        <v>53</v>
      </c>
      <c r="E13" s="76" t="s" ph="1">
        <v>54</v>
      </c>
      <c r="F13" s="76" t="s" ph="1">
        <v>66</v>
      </c>
      <c r="G13" s="76" t="s" ph="1">
        <v>67</v>
      </c>
      <c r="H13" s="76" t="s" ph="1">
        <v>154</v>
      </c>
      <c r="I13" s="76" t="s" ph="1">
        <v>68</v>
      </c>
      <c r="J13" s="76" t="s" ph="1">
        <v>155</v>
      </c>
      <c r="K13" s="76" t="s" ph="1">
        <v>63</v>
      </c>
      <c r="L13" s="76" t="s" ph="1">
        <v>69</v>
      </c>
      <c r="M13" s="76" t="s" ph="1">
        <v>70</v>
      </c>
      <c r="N13" s="76" t="s" ph="1">
        <v>156</v>
      </c>
      <c r="O13" s="76" t="s" ph="1">
        <v>64</v>
      </c>
      <c r="P13" s="76" t="s" ph="1">
        <v>71</v>
      </c>
      <c r="Q13" s="76" t="s" ph="1">
        <v>72</v>
      </c>
      <c r="R13" s="76" t="s" ph="1">
        <v>73</v>
      </c>
      <c r="S13" s="76" t="s" ph="1">
        <v>74</v>
      </c>
      <c r="T13" s="76" t="s" ph="1">
        <v>75</v>
      </c>
      <c r="U13" s="76" t="s" ph="1">
        <v>76</v>
      </c>
      <c r="V13" s="76" t="s" ph="1">
        <v>157</v>
      </c>
      <c r="W13" s="76" t="s" ph="1">
        <v>158</v>
      </c>
      <c r="X13" s="76" t="s" ph="1">
        <v>159</v>
      </c>
      <c r="Y13" s="105" t="s" ph="1">
        <v>77</v>
      </c>
      <c r="Z13" s="76" t="s" ph="1">
        <v>86</v>
      </c>
      <c r="AA13" s="76" t="s" ph="1">
        <v>160</v>
      </c>
      <c r="AB13" s="76" t="s" ph="1">
        <v>161</v>
      </c>
      <c r="AC13" s="76" t="s" ph="1">
        <v>162</v>
      </c>
      <c r="AD13" s="76" t="s" ph="1">
        <v>163</v>
      </c>
      <c r="AE13" s="76" t="s" ph="1">
        <v>164</v>
      </c>
      <c r="AG13" s="72" t="s" ph="1">
        <v>369</v>
      </c>
      <c r="AH13" s="72" t="s" ph="1">
        <v>232</v>
      </c>
      <c r="AI13" s="72" t="s" ph="1">
        <v>233</v>
      </c>
      <c r="AJ13" s="72" t="s" ph="1">
        <v>234</v>
      </c>
      <c r="AK13" s="72" t="s" ph="1">
        <v>235</v>
      </c>
      <c r="AL13" s="72" t="s" ph="1">
        <v>236</v>
      </c>
      <c r="AM13" s="72" t="s" ph="1">
        <v>237</v>
      </c>
      <c r="AN13" s="72" t="s" ph="1">
        <v>238</v>
      </c>
      <c r="AO13" s="72" t="s" ph="1">
        <v>239</v>
      </c>
      <c r="AP13" s="72" t="s" ph="1">
        <v>240</v>
      </c>
      <c r="AQ13" s="72" t="s" ph="1">
        <v>241</v>
      </c>
      <c r="AR13" s="72" t="s" ph="1">
        <v>242</v>
      </c>
      <c r="AS13" s="72" t="s" ph="1">
        <v>243</v>
      </c>
      <c r="AT13" s="72" t="s" ph="1">
        <v>244</v>
      </c>
      <c r="AU13" s="72" t="s" ph="1">
        <v>245</v>
      </c>
      <c r="AV13" s="72" t="s" ph="1">
        <v>246</v>
      </c>
      <c r="AW13" s="72" t="s" ph="1">
        <v>247</v>
      </c>
      <c r="AX13" s="72" t="s" ph="1">
        <v>248</v>
      </c>
      <c r="AY13" s="72" t="s" ph="1">
        <v>370</v>
      </c>
      <c r="AZ13" s="72" t="s" ph="1">
        <v>249</v>
      </c>
      <c r="BA13" s="72" t="s" ph="1">
        <v>250</v>
      </c>
      <c r="BB13" s="72" t="s" ph="1">
        <v>635</v>
      </c>
      <c r="BC13" s="72" t="s" ph="1">
        <v>251</v>
      </c>
      <c r="BD13" s="72" t="s" ph="1">
        <v>371</v>
      </c>
      <c r="BE13" s="72" t="s" ph="1">
        <v>372</v>
      </c>
      <c r="BF13" s="72" t="s" ph="1">
        <v>373</v>
      </c>
      <c r="BG13" s="72" t="s" ph="1">
        <v>374</v>
      </c>
      <c r="BH13" s="72" t="s" ph="1">
        <v>375</v>
      </c>
    </row>
    <row r="14" spans="1:99" s="72" customFormat="1" ht="24" ph="1">
      <c r="B14" s="213" ph="1"/>
      <c r="C14" s="67" t="s" ph="1">
        <v>36</v>
      </c>
      <c r="D14" s="77" t="s" ph="1">
        <v>131</v>
      </c>
      <c r="E14" s="77" t="s" ph="1">
        <v>131</v>
      </c>
      <c r="F14" s="153" t="s" ph="1">
        <v>656</v>
      </c>
      <c r="G14" s="77" t="s" ph="1">
        <v>220</v>
      </c>
      <c r="H14" s="77" t="s" ph="1">
        <v>648</v>
      </c>
      <c r="I14" s="77" t="s" ph="1">
        <v>65</v>
      </c>
      <c r="J14" s="77" t="s" ph="1">
        <v>230</v>
      </c>
      <c r="K14" s="77" t="s" ph="1">
        <v>226</v>
      </c>
      <c r="L14" s="77" t="s" ph="1">
        <v>41</v>
      </c>
      <c r="M14" s="104" t="s" ph="1">
        <v>225</v>
      </c>
      <c r="N14" s="104" t="s" ph="1">
        <v>221</v>
      </c>
      <c r="O14" s="104" t="s" ph="1">
        <v>229</v>
      </c>
      <c r="P14" s="77" t="s" ph="1">
        <v>82</v>
      </c>
      <c r="Q14" s="77" t="s" ph="1">
        <v>82</v>
      </c>
      <c r="R14" s="88" t="s" ph="1">
        <v>7</v>
      </c>
      <c r="S14" s="77" t="s" ph="1">
        <v>82</v>
      </c>
      <c r="T14" s="77" t="s" ph="1">
        <v>98</v>
      </c>
      <c r="U14" s="77" t="s" ph="1">
        <v>659</v>
      </c>
      <c r="V14" s="77" t="s" ph="1">
        <v>649</v>
      </c>
      <c r="W14" s="77" t="s" ph="1">
        <v>223</v>
      </c>
      <c r="X14" s="77" t="s" ph="1">
        <v>78</v>
      </c>
      <c r="Y14" s="144" t="s" ph="1">
        <v>0</v>
      </c>
      <c r="Z14" s="77" t="s" ph="1">
        <v>62</v>
      </c>
      <c r="AA14" s="77" t="s" ph="1">
        <v>88</v>
      </c>
      <c r="AB14" s="77" t="s" ph="1">
        <v>653</v>
      </c>
      <c r="AC14" s="77" t="s" ph="1">
        <v>653</v>
      </c>
      <c r="AD14" s="77" t="s" ph="1">
        <v>136</v>
      </c>
      <c r="AE14" s="77" t="s" ph="1">
        <v>136</v>
      </c>
      <c r="AG14" s="72" t="s" ph="1">
        <v>252</v>
      </c>
      <c r="AI14" s="72" t="s" ph="1">
        <v>253</v>
      </c>
      <c r="AJ14" s="72" t="s" ph="1">
        <v>376</v>
      </c>
      <c r="AK14" s="72" t="s" ph="1">
        <v>254</v>
      </c>
      <c r="AM14" s="72" t="s" ph="1">
        <v>256</v>
      </c>
      <c r="AN14" s="72" t="s" ph="1">
        <v>254</v>
      </c>
      <c r="AO14" s="72" t="s" ph="1">
        <v>255</v>
      </c>
      <c r="AP14" s="72" t="s" ph="1">
        <v>256</v>
      </c>
      <c r="AQ14" s="72" t="s" ph="1">
        <v>254</v>
      </c>
      <c r="AR14" s="72" t="s" ph="1">
        <v>255</v>
      </c>
      <c r="AS14" s="72" t="s" ph="1">
        <v>256</v>
      </c>
      <c r="AT14" s="72" t="s" ph="1">
        <v>254</v>
      </c>
      <c r="AU14" s="72" t="s" ph="1">
        <v>255</v>
      </c>
      <c r="AV14" s="72" t="s" ph="1">
        <v>256</v>
      </c>
      <c r="AW14" s="72" t="s" ph="1">
        <v>254</v>
      </c>
      <c r="AX14" s="72" t="s" ph="1">
        <v>255</v>
      </c>
      <c r="AY14" s="72" t="s" ph="1">
        <v>256</v>
      </c>
      <c r="AZ14" s="72" t="s" ph="1">
        <v>255</v>
      </c>
    </row>
    <row r="15" spans="1:99" ph="1">
      <c r="B15" s="214" ph="1">
        <v>0.33333333333333331</v>
      </c>
      <c r="C15" s="151" t="s" ph="1">
        <v>211</v>
      </c>
      <c r="D15" s="78">
        <v>0</v>
      </c>
      <c r="E15" s="78">
        <v>0</v>
      </c>
      <c r="F15" s="78">
        <v>3032</v>
      </c>
      <c r="G15" s="78">
        <v>2814</v>
      </c>
      <c r="H15" s="78">
        <v>1077</v>
      </c>
      <c r="I15" s="78">
        <v>1382</v>
      </c>
      <c r="J15" s="78">
        <v>392</v>
      </c>
      <c r="K15" s="78">
        <v>1815</v>
      </c>
      <c r="L15" s="78">
        <v>5408</v>
      </c>
      <c r="M15" s="78">
        <v>3410</v>
      </c>
      <c r="N15" s="78">
        <v>0</v>
      </c>
      <c r="O15" s="78">
        <v>233</v>
      </c>
      <c r="P15" s="78">
        <v>0</v>
      </c>
      <c r="Q15" s="78">
        <v>6080</v>
      </c>
      <c r="R15" s="78">
        <v>3495</v>
      </c>
      <c r="S15" s="78">
        <v>5618</v>
      </c>
      <c r="T15" s="78">
        <v>6654</v>
      </c>
      <c r="U15" s="78">
        <v>1561</v>
      </c>
      <c r="V15" s="78">
        <v>1191</v>
      </c>
      <c r="W15" s="78">
        <v>-594</v>
      </c>
      <c r="X15" s="78">
        <v>1069</v>
      </c>
      <c r="Y15" s="106">
        <v>-9903</v>
      </c>
      <c r="Z15" s="78">
        <v>0</v>
      </c>
      <c r="AA15" s="78">
        <v>29</v>
      </c>
      <c r="AB15" s="78" ph="1">
        <v>6281</v>
      </c>
      <c r="AC15" s="78" ph="1">
        <v>6505</v>
      </c>
      <c r="AD15" s="78">
        <v>34.71</v>
      </c>
      <c r="AE15" s="78">
        <v>84.96</v>
      </c>
      <c r="AG15" s="64" t="s" ph="1">
        <v>258</v>
      </c>
      <c r="AH15" s="64" ph="1">
        <v>1</v>
      </c>
      <c r="AI15" s="64" t="s" ph="1">
        <v>377</v>
      </c>
      <c r="AK15" s="64" t="s" ph="1">
        <v>631</v>
      </c>
      <c r="AM15" s="64" t="s" ph="1">
        <v>379</v>
      </c>
      <c r="AZ15" s="64" t="s" ph="1">
        <v>260</v>
      </c>
      <c r="BA15" s="64" ph="1">
        <v>0</v>
      </c>
    </row>
    <row r="16" spans="1:99" s="72" customFormat="1" ht="22.5" ph="1">
      <c r="B16" s="215" ph="1"/>
      <c r="C16" s="151" t="s" ph="1">
        <v>212</v>
      </c>
      <c r="D16" s="73" ph="1">
        <f>D15*7.0686*LOOKUP(D17,密度!$A$2:$A$50,密度!$L$2:$L$50)</f>
        <v>0</v>
      </c>
      <c r="E16" s="73" ph="1">
        <f>E15*7.0686*LOOKUP(E17,密度!$A$2:$A$50,密度!$L$2:$L$50)</f>
        <v>0</v>
      </c>
      <c r="F16" s="73" ph="1">
        <f>F15*9.0746*LOOKUP(F17,密度!$A$2:$A$50,密度!$L$2:$L$50)</f>
        <v>25945.878529599999</v>
      </c>
      <c r="G16" s="73" ph="1">
        <f>G15*9.0746*LOOKUP(G17,密度!$A$2:$A$50,密度!$B$2:$B$50)</f>
        <v>20063.575801079998</v>
      </c>
      <c r="H16" s="73" ph="1">
        <f>H15*9.0746*LOOKUP(H17,密度!$A$2:$A$50,密度!$L$2:$L$50)</f>
        <v>9304.2236783999997</v>
      </c>
      <c r="I16" s="73" ph="1">
        <f>I15*9.0746*LOOKUP(I17,密度!$A$2:$A$50,密度!$U$2:$U$50)</f>
        <v>12892.247921600001</v>
      </c>
      <c r="J16" s="73" ph="1">
        <f>J15*9.0746*LOOKUP(J17,密度!$A$2:$A$50,密度!$L$2:$L$50)</f>
        <v>3365.1520671999997</v>
      </c>
      <c r="K16" s="73" ph="1">
        <f>K15*9.0746*LOOKUP(K17,密度!$A$2:$A$50,密度!$C$2:$C$50)</f>
        <v>18356.259685500001</v>
      </c>
      <c r="L16" s="73" ph="1">
        <f>L15*9.0746*LOOKUP(L17,密度!$A$2:$A$50,密度!$E$2:$E$50)</f>
        <v>38838.300683519999</v>
      </c>
      <c r="M16" s="73" ph="1">
        <f>M15*9.0746*LOOKUP(M17,密度!$A$2:$A$50,密度!$M$2:$M$50)</f>
        <v>27240.342995800002</v>
      </c>
      <c r="N16" s="73" ph="1">
        <f>N15*9.0746*LOOKUP(N17,密度!$A$2:$A$50,密度!$M$2:$M$50)</f>
        <v>0</v>
      </c>
      <c r="O16" s="73" ph="1">
        <f>O15*9.0746*LOOKUP(O17,密度!$A$2:$A$50,密度!$G$2:$G$50)</f>
        <v>2046.7215824</v>
      </c>
      <c r="P16" s="73" ph="1">
        <f ca="1">P15*9.0746*LOOKUP(P17,密度!$A$2:$A$51,密度!$Q$2:$Q$50)</f>
        <v>0</v>
      </c>
      <c r="Q16" s="73" ph="1">
        <f>Q15*9.0746*LOOKUP(Q17,密度!$A$2:$A$50,密度!$Q$2:$Q$50)</f>
        <v>52569.375590399999</v>
      </c>
      <c r="R16" s="73" ph="1">
        <f>MAX(R15*9.0746*LOOKUP(R17,密度!$A$2:$A$50,密度!$B$2:$B$50),0)</f>
        <v>24893.674122300003</v>
      </c>
      <c r="S16" s="73" ph="1">
        <f>S15*9.0746*LOOKUP(S17,密度!$A$2:$A$50,密度!$Q$2:$Q$50)</f>
        <v>48615.579630079999</v>
      </c>
      <c r="T16" s="73" ph="1">
        <f>T15*9.0746*LOOKUP(T17,密度!$A$2:$A$50,密度!$O$2:$O$50)</f>
        <v>56397.150765600003</v>
      </c>
      <c r="U16" s="73" ph="1">
        <f>U15*9.0746*LOOKUP(U17,密度!$A$2:$A$50,密度!$H$2:$H$50)</f>
        <v>13001.05056068</v>
      </c>
      <c r="V16" s="73" ph="1">
        <f>MAX(5600*LOOKUP(V17,密度!$A$2:$A$50,密度!$Q$2:$Q$50)+V15*9.0476*LOOKUP(V17,密度!$A$2:$A$50,密度!$Q$2:$Q$50),0)</f>
        <v>15491.895524348</v>
      </c>
      <c r="W16" s="73" ph="1">
        <f>MAX(5600*LOOKUP(W17,密度!$A$2:$A$50,密度!$Q$2:$Q$50)+W15*9.0476*LOOKUP(W17,密度!$A$2:$A$50,密度!$Q$2:$Q$50),0)</f>
        <v>215.25193216000025</v>
      </c>
      <c r="X16" s="73" ph="1">
        <f>MAX(5600*LOOKUP(X17,密度!$A$2:$A$50,密度!$I$2:$I$50)+X15*9.0476*LOOKUP(X17,密度!$A$2:$A$50,密度!$I$2:$I$50),0)</f>
        <v>15957.592009559998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207.82013698</v>
      </c>
      <c r="AB16" s="73" ph="1">
        <f>AB15*9.0746*LOOKUP(AB17,密度!$A$2:$A$50,密度!$L$2:$L$50)</f>
        <v>53862.696657</v>
      </c>
      <c r="AC16" s="73" ph="1">
        <f>AC15*9.0746*LOOKUP(AC17,密度!$A$2:$A$50,密度!$L$2:$L$50)</f>
        <v>55960.698804</v>
      </c>
      <c r="AD16" s="73" ph="1">
        <f>AD15*268.68*LOOKUP(AD17,密度!$A$2:$A$50,密度!B2:B50)+IF(AD15&lt;=0,0,1566*LOOKUP(AD17,密度!$A$2:$A$50,密度!B2:B50))</f>
        <v>8491.3118308800003</v>
      </c>
      <c r="AE16" s="73" ph="1">
        <f>AE15*268.68*LOOKUP(AE17,密度!$A$2:$A$50,密度!B2:B50)+IF(AE15&lt;=0,0,1566*LOOKUP(AE17,密度!$A$2:$A$50,密度!B2:B50))</f>
        <v>19016.823962879997</v>
      </c>
      <c r="AH16" s="72" ph="1">
        <v>2</v>
      </c>
      <c r="AI16" s="72" t="s" ph="1">
        <v>381</v>
      </c>
      <c r="AZ16" s="72" t="s" ph="1">
        <v>260</v>
      </c>
      <c r="BA16" s="72" ph="1">
        <v>0</v>
      </c>
    </row>
    <row r="17" spans="1:57" ph="1">
      <c r="A17" s="64" t="s" ph="1">
        <v>85</v>
      </c>
      <c r="B17" s="216" ph="1"/>
      <c r="C17" s="79" t="s" ph="1">
        <v>213</v>
      </c>
      <c r="D17" s="74">
        <v>17</v>
      </c>
      <c r="E17" s="74">
        <v>17</v>
      </c>
      <c r="F17" s="74">
        <v>19</v>
      </c>
      <c r="G17" s="74">
        <v>18</v>
      </c>
      <c r="H17" s="74">
        <v>10</v>
      </c>
      <c r="I17" s="74">
        <v>16</v>
      </c>
      <c r="J17" s="74">
        <v>16</v>
      </c>
      <c r="K17" s="74">
        <v>17</v>
      </c>
      <c r="L17" s="74">
        <v>18</v>
      </c>
      <c r="M17" s="74">
        <v>19</v>
      </c>
      <c r="N17" s="74">
        <v>14</v>
      </c>
      <c r="O17" s="74">
        <v>18</v>
      </c>
      <c r="P17" s="74">
        <v>14</v>
      </c>
      <c r="Q17" s="74">
        <v>17</v>
      </c>
      <c r="R17" s="74">
        <v>19</v>
      </c>
      <c r="S17" s="74">
        <v>16</v>
      </c>
      <c r="T17" s="74">
        <v>16</v>
      </c>
      <c r="U17" s="74">
        <v>22</v>
      </c>
      <c r="V17" s="74">
        <v>26</v>
      </c>
      <c r="W17" s="74">
        <v>16</v>
      </c>
      <c r="X17" s="74">
        <v>23</v>
      </c>
      <c r="Y17" s="108">
        <v>23</v>
      </c>
      <c r="Z17" s="74">
        <v>16</v>
      </c>
      <c r="AA17" s="74">
        <v>13</v>
      </c>
      <c r="AB17" s="74">
        <v>17</v>
      </c>
      <c r="AC17" s="74">
        <v>14</v>
      </c>
      <c r="AD17" s="74">
        <v>25</v>
      </c>
      <c r="AE17" s="74">
        <v>25</v>
      </c>
      <c r="AH17" s="64" ph="1">
        <v>3</v>
      </c>
      <c r="AI17" s="64" t="s" ph="1">
        <v>382</v>
      </c>
      <c r="AK17" s="64" t="s" ph="1">
        <v>614</v>
      </c>
      <c r="AL17" s="64" ph="1">
        <v>80</v>
      </c>
      <c r="AM17" s="64" t="s" ph="1">
        <v>379</v>
      </c>
      <c r="AZ17" s="64" t="s" ph="1">
        <v>260</v>
      </c>
      <c r="BA17" s="64" ph="1">
        <v>80</v>
      </c>
      <c r="BD17" s="64" t="s" ph="1">
        <v>258</v>
      </c>
      <c r="BE17" s="64" ph="1">
        <v>2270</v>
      </c>
    </row>
    <row r="18" spans="1:57" ph="1">
      <c r="B18" s="214" ph="1">
        <v>0.66666666666666663</v>
      </c>
      <c r="C18" s="79" t="s" ph="1">
        <v>214</v>
      </c>
      <c r="D18" s="71">
        <v>1173</v>
      </c>
      <c r="E18" s="71">
        <v>0</v>
      </c>
      <c r="F18" s="71">
        <v>3248</v>
      </c>
      <c r="G18" s="71">
        <v>3149</v>
      </c>
      <c r="H18" s="71">
        <v>1077</v>
      </c>
      <c r="I18" s="71">
        <v>2680</v>
      </c>
      <c r="J18" s="71">
        <v>392</v>
      </c>
      <c r="K18" s="71">
        <v>1815</v>
      </c>
      <c r="L18" s="71">
        <v>3436</v>
      </c>
      <c r="M18" s="71">
        <v>3414</v>
      </c>
      <c r="N18" s="71">
        <v>1732</v>
      </c>
      <c r="O18" s="71">
        <v>232</v>
      </c>
      <c r="P18" s="71">
        <v>0</v>
      </c>
      <c r="Q18" s="71">
        <v>6085</v>
      </c>
      <c r="R18" s="71">
        <v>3500</v>
      </c>
      <c r="S18" s="71">
        <v>5621</v>
      </c>
      <c r="T18" s="71">
        <v>5978</v>
      </c>
      <c r="U18" s="71">
        <v>3352</v>
      </c>
      <c r="V18" s="71">
        <v>1193</v>
      </c>
      <c r="W18" s="71">
        <v>-592</v>
      </c>
      <c r="X18" s="71">
        <v>1067</v>
      </c>
      <c r="Y18" s="109">
        <v>-9903</v>
      </c>
      <c r="Z18" s="71">
        <v>0</v>
      </c>
      <c r="AA18" s="71">
        <v>30</v>
      </c>
      <c r="AB18" s="71">
        <v>6288</v>
      </c>
      <c r="AC18" s="71">
        <v>6503</v>
      </c>
      <c r="AD18" s="71">
        <v>59.93</v>
      </c>
      <c r="AE18" s="71">
        <v>84.67</v>
      </c>
      <c r="AH18" s="64" ph="1">
        <v>4</v>
      </c>
      <c r="AI18" s="64" t="s" ph="1">
        <v>384</v>
      </c>
      <c r="AJ18" s="64" t="s" ph="1">
        <v>632</v>
      </c>
      <c r="AK18" s="64" t="s" ph="1">
        <v>631</v>
      </c>
      <c r="AL18" s="64" ph="1">
        <v>740</v>
      </c>
      <c r="AM18" s="64" t="s" ph="1">
        <v>383</v>
      </c>
      <c r="AZ18" s="64" t="s" ph="1">
        <v>260</v>
      </c>
      <c r="BA18" s="64" ph="1">
        <v>740</v>
      </c>
    </row>
    <row r="19" spans="1:57" s="72" customFormat="1" ht="22.5" ph="1">
      <c r="B19" s="215" ph="1"/>
      <c r="C19" s="151" t="s" ph="1">
        <v>212</v>
      </c>
      <c r="D19" s="73" ph="1">
        <f>D18*7.0686*LOOKUP(D20,密度!$A$2:$A$50,密度!$L$2:$L$50)</f>
        <v>7827.1456031999996</v>
      </c>
      <c r="E19" s="73" ph="1">
        <f>E18*7.0686*LOOKUP(E20,密度!$A$2:$A$50,密度!$L$2:$L$50)</f>
        <v>0</v>
      </c>
      <c r="F19" s="73" ph="1">
        <f>F18*9.0746*LOOKUP(F20,密度!$A$2:$A$50,密度!$L$2:$L$50)</f>
        <v>27705.842752</v>
      </c>
      <c r="G19" s="73" ph="1">
        <f>G18*9.0746*LOOKUP(G20,密度!$A$2:$A$50,密度!$B$2:$B$50)</f>
        <v>22429.235997460004</v>
      </c>
      <c r="H19" s="73" ph="1">
        <f>H18*9.0746*LOOKUP(H20,密度!$A$2:$A$50,密度!$L$2:$L$50)</f>
        <v>9245.5836131999986</v>
      </c>
      <c r="I19" s="73" ph="1">
        <f>I18*9.0746*LOOKUP(I20,密度!$A$2:$A$50,密度!$U$2:$U$50)</f>
        <v>25000.885984</v>
      </c>
      <c r="J19" s="73" ph="1">
        <f>J18*9.0746*LOOKUP(J20,密度!$A$2:$A$50,密度!$L$2:$L$50)</f>
        <v>3350.9230943999996</v>
      </c>
      <c r="K19" s="73" ph="1">
        <f>K18*9.0746*LOOKUP(K20,密度!$A$2:$A$50,密度!$C$2:$C$50)</f>
        <v>18324.965927400001</v>
      </c>
      <c r="L19" s="73" ph="1">
        <f>L18*9.0746*LOOKUP(L20,密度!$A$2:$A$50,密度!$E$2:$E$50)</f>
        <v>24641.811321680001</v>
      </c>
      <c r="M19" s="73" ph="1">
        <f>M18*9.0746*LOOKUP(M20,密度!$A$2:$A$50,密度!$M$2:$M$50)</f>
        <v>27272.29647732</v>
      </c>
      <c r="N19" s="73" ph="1">
        <f>N18*9.0746*LOOKUP(N20,密度!$A$2:$A$50,密度!$M$2:$M$50)</f>
        <v>13835.85749816</v>
      </c>
      <c r="O19" s="73" ph="1">
        <f>O18*9.0746*LOOKUP(O20,密度!$A$2:$A$50,密度!$G$2:$G$50)</f>
        <v>2033.5162244800001</v>
      </c>
      <c r="P19" s="73" ph="1">
        <f ca="1">P18*9.0746*LOOKUP(P20,密度!$A$2:$A$51,密度!$Q$2:$Q$50)</f>
        <v>0</v>
      </c>
      <c r="Q19" s="73" ph="1">
        <f>Q18*9.0746*LOOKUP(Q20,密度!$A$2:$A$50,密度!$Q$2:$Q$50)</f>
        <v>52568.984021409997</v>
      </c>
      <c r="R19" s="73" ph="1">
        <f>MAX(R18*9.0746*LOOKUP(R20,密度!$A$2:$A$50,密度!$B$2:$B$50),0)</f>
        <v>24846.70853</v>
      </c>
      <c r="S19" s="73" ph="1">
        <f>S18*9.0746*LOOKUP(S20,密度!$A$2:$A$50,密度!$Q$2:$Q$50)</f>
        <v>48520.650511717999</v>
      </c>
      <c r="T19" s="73" ph="1">
        <f>T18*9.0746*LOOKUP(T20,密度!$A$2:$A$50,密度!$O$2:$O$50)</f>
        <v>50450.601684000001</v>
      </c>
      <c r="U19" s="73" ph="1">
        <f>U18*9.0746*LOOKUP(U20,密度!$A$2:$A$50,密度!$H$2:$H$50)</f>
        <v>28005.907105439997</v>
      </c>
      <c r="V19" s="73" ph="1">
        <f>MAX(5600*LOOKUP(V20,密度!$A$2:$A$50,密度!$Q$2:$Q$50)+V18*9.0476*LOOKUP(V20,密度!$A$2:$A$50,密度!$Q$2:$Q$50),0)</f>
        <v>15620.000063039999</v>
      </c>
      <c r="W19" s="73" ph="1">
        <f>MAX(5600*LOOKUP(W20,密度!$A$2:$A$50,密度!$Q$2:$Q$50)+W18*9.0476*LOOKUP(W20,密度!$A$2:$A$50,密度!$Q$2:$Q$50),0)</f>
        <v>232.5075148800006</v>
      </c>
      <c r="X19" s="73" ph="1">
        <f>MAX(5600*LOOKUP(X20,密度!$A$2:$A$50,密度!$I$2:$I$50)+X18*9.0476*LOOKUP(X20,密度!$A$2:$A$50,密度!$I$2:$I$50),0)</f>
        <v>15920.379788040002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214.7685582</v>
      </c>
      <c r="AB19" s="73" ph="1">
        <f>AB18*9.0746*LOOKUP(AB20,密度!$A$2:$A$50,密度!$L$2:$L$50)</f>
        <v>53808.602966400002</v>
      </c>
      <c r="AC19" s="73" ph="1">
        <f>AC18*9.0746*LOOKUP(AC20,密度!$A$2:$A$50,密度!$L$2:$L$50)</f>
        <v>55825.469114799998</v>
      </c>
      <c r="AD19" s="73" ph="1">
        <f>AD18*268.68*LOOKUP(AD20,密度!$A$2:$A$50,密度!B5:B53)+IF(AD18&lt;=0,0,1566*LOOKUP(AD20,密度!$A$2:$A$50,密度!B5:B53))</f>
        <v>13728.0300948</v>
      </c>
      <c r="AE19" s="73" ph="1">
        <f>AE18*268.68*LOOKUP(AE20,密度!$A$2:$A$50,密度!B5:B53)+IF(AE18&lt;=0,0,1566*LOOKUP(AE20,密度!$A$2:$A$50,密度!B5:B53))</f>
        <v>18892.860361200001</v>
      </c>
      <c r="AH19" s="72" ph="1">
        <v>5</v>
      </c>
      <c r="AI19" s="72" t="s" ph="1">
        <v>385</v>
      </c>
      <c r="AZ19" s="72" t="s" ph="1">
        <v>260</v>
      </c>
      <c r="BA19" s="72" ph="1">
        <v>0</v>
      </c>
      <c r="BD19" s="72" t="s" ph="1">
        <v>386</v>
      </c>
      <c r="BE19" s="72" ph="1">
        <v>1440</v>
      </c>
    </row>
    <row r="20" spans="1:57" ph="1">
      <c r="A20" s="72" ph="1"/>
      <c r="B20" s="215" ph="1"/>
      <c r="C20" s="80" t="s" ph="1">
        <v>213</v>
      </c>
      <c r="D20" s="81">
        <v>18</v>
      </c>
      <c r="E20" s="81">
        <v>18</v>
      </c>
      <c r="F20" s="81">
        <v>22</v>
      </c>
      <c r="G20" s="81">
        <v>19</v>
      </c>
      <c r="H20" s="81">
        <v>16</v>
      </c>
      <c r="I20" s="81">
        <v>20</v>
      </c>
      <c r="J20" s="81">
        <v>20</v>
      </c>
      <c r="K20" s="81">
        <v>20</v>
      </c>
      <c r="L20" s="81">
        <v>19</v>
      </c>
      <c r="M20" s="81">
        <v>20</v>
      </c>
      <c r="N20" s="81">
        <v>19</v>
      </c>
      <c r="O20" s="81">
        <v>20</v>
      </c>
      <c r="P20" s="81">
        <v>16</v>
      </c>
      <c r="Q20" s="81">
        <v>18</v>
      </c>
      <c r="R20" s="81">
        <v>22</v>
      </c>
      <c r="S20" s="81">
        <v>19</v>
      </c>
      <c r="T20" s="81">
        <v>20</v>
      </c>
      <c r="U20" s="81">
        <v>19</v>
      </c>
      <c r="V20" s="81">
        <v>17</v>
      </c>
      <c r="W20" s="81">
        <v>16</v>
      </c>
      <c r="X20" s="81">
        <v>24</v>
      </c>
      <c r="Y20" s="110">
        <v>24</v>
      </c>
      <c r="Z20" s="81">
        <v>22</v>
      </c>
      <c r="AA20" s="81">
        <v>14</v>
      </c>
      <c r="AB20" s="81">
        <v>19</v>
      </c>
      <c r="AC20" s="81">
        <v>16</v>
      </c>
      <c r="AD20" s="81">
        <v>25</v>
      </c>
      <c r="AE20" s="81">
        <v>25</v>
      </c>
      <c r="AH20" s="64" ph="1">
        <v>6</v>
      </c>
      <c r="AI20" s="64" t="s" ph="1">
        <v>387</v>
      </c>
      <c r="AZ20" s="64" t="s" ph="1">
        <v>260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388</v>
      </c>
      <c r="AZ21" s="64" t="s" ph="1">
        <v>260</v>
      </c>
      <c r="BA21" s="64" ph="1">
        <v>0</v>
      </c>
      <c r="BD21" s="64" t="s" ph="1">
        <v>276</v>
      </c>
      <c r="BE21" s="64" ph="1">
        <v>730</v>
      </c>
    </row>
    <row r="22" spans="1:57" ph="1">
      <c r="A22" s="72" ph="1"/>
      <c r="B22" s="213" t="s" ph="1">
        <v>37</v>
      </c>
      <c r="C22" s="85" t="s" ph="1">
        <v>210</v>
      </c>
      <c r="D22" s="86" t="s" ph="1">
        <v>104</v>
      </c>
      <c r="E22" s="86" t="s" ph="1">
        <v>105</v>
      </c>
      <c r="F22" s="86" t="s" ph="1">
        <v>106</v>
      </c>
      <c r="G22" s="86" t="s" ph="1">
        <v>107</v>
      </c>
      <c r="H22" s="86" t="s" ph="1">
        <v>108</v>
      </c>
      <c r="I22" s="86" t="s" ph="1">
        <v>109</v>
      </c>
      <c r="J22" s="86" t="s" ph="1">
        <v>110</v>
      </c>
      <c r="K22" s="86" t="s" ph="1">
        <v>111</v>
      </c>
      <c r="L22" s="86" t="s" ph="1">
        <v>112</v>
      </c>
      <c r="M22" s="86" t="s" ph="1">
        <v>113</v>
      </c>
      <c r="N22" s="86" t="s" ph="1">
        <v>114</v>
      </c>
      <c r="O22" s="86" t="s" ph="1">
        <v>115</v>
      </c>
      <c r="P22" s="86" t="s" ph="1">
        <v>116</v>
      </c>
      <c r="Q22" s="87" t="s" ph="1">
        <v>117</v>
      </c>
      <c r="R22" s="86" t="s" ph="1">
        <v>118</v>
      </c>
      <c r="S22" s="86" t="s" ph="1">
        <v>119</v>
      </c>
      <c r="T22" s="86" t="s" ph="1">
        <v>120</v>
      </c>
      <c r="U22" s="86" t="s" ph="1">
        <v>121</v>
      </c>
      <c r="V22" s="86" t="s" ph="1">
        <v>122</v>
      </c>
      <c r="W22" s="86" t="s" ph="1">
        <v>123</v>
      </c>
      <c r="X22" s="86" t="s" ph="1">
        <v>124</v>
      </c>
      <c r="Y22" s="86" t="s" ph="1">
        <v>126</v>
      </c>
      <c r="Z22" s="223" t="s" ph="1">
        <v>79</v>
      </c>
      <c r="AA22" s="224"/>
      <c r="AB22" s="224"/>
      <c r="AC22" s="224"/>
      <c r="AD22" s="224"/>
      <c r="AE22" s="225"/>
      <c r="AH22" s="64" ph="1">
        <v>8</v>
      </c>
      <c r="AI22" s="64" t="s" ph="1">
        <v>389</v>
      </c>
      <c r="AZ22" s="64" t="s" ph="1">
        <v>260</v>
      </c>
      <c r="BA22" s="64" ph="1">
        <v>0</v>
      </c>
    </row>
    <row r="23" spans="1:57" ph="1">
      <c r="A23" s="72" ph="1"/>
      <c r="B23" s="217" ph="1"/>
      <c r="C23" s="67" t="s" ph="1">
        <v>36</v>
      </c>
      <c r="D23" s="88" t="s" ph="1">
        <v>128</v>
      </c>
      <c r="E23" s="88" t="s" ph="1">
        <v>125</v>
      </c>
      <c r="F23" s="88" t="s" ph="1">
        <v>224</v>
      </c>
      <c r="G23" s="88" t="s" ph="1">
        <v>165</v>
      </c>
      <c r="H23" s="88" t="s" ph="1">
        <v>165</v>
      </c>
      <c r="I23" s="88" t="s" ph="1">
        <v>166</v>
      </c>
      <c r="J23" s="88" t="s" ph="1">
        <v>167</v>
      </c>
      <c r="K23" s="88" t="s" ph="1">
        <v>129</v>
      </c>
      <c r="L23" s="88" t="s" ph="1">
        <v>129</v>
      </c>
      <c r="M23" s="88" t="s" ph="1">
        <v>167</v>
      </c>
      <c r="N23" s="88" t="s" ph="1">
        <v>167</v>
      </c>
      <c r="O23" s="88" t="s" ph="1">
        <v>132</v>
      </c>
      <c r="P23" s="88" t="s" ph="1">
        <v>168</v>
      </c>
      <c r="Q23" s="89" t="s" ph="1">
        <v>168</v>
      </c>
      <c r="R23" s="88" t="s" ph="1">
        <v>169</v>
      </c>
      <c r="S23" s="88" t="s" ph="1">
        <v>170</v>
      </c>
      <c r="T23" s="88" t="s" ph="1">
        <v>651</v>
      </c>
      <c r="U23" s="88" t="s" ph="1">
        <v>660</v>
      </c>
      <c r="V23" s="88" t="s" ph="1">
        <v>172</v>
      </c>
      <c r="W23" s="88" t="s" ph="1">
        <v>170</v>
      </c>
      <c r="X23" s="88" t="s" ph="1">
        <v>231</v>
      </c>
      <c r="Y23" s="88" t="s" ph="1">
        <v>97</v>
      </c>
      <c r="Z23" s="226" t="s" ph="1">
        <v>662</v>
      </c>
      <c r="AA23" s="227"/>
      <c r="AB23" s="227"/>
      <c r="AC23" s="227"/>
      <c r="AD23" s="227"/>
      <c r="AE23" s="228"/>
      <c r="AH23" s="64" ph="1">
        <v>9</v>
      </c>
      <c r="AI23" s="64" t="s" ph="1">
        <v>390</v>
      </c>
      <c r="AZ23" s="64" t="s" ph="1">
        <v>260</v>
      </c>
      <c r="BA23" s="64" ph="1">
        <v>0</v>
      </c>
      <c r="BD23" s="64" t="s" ph="1">
        <v>282</v>
      </c>
      <c r="BE23" s="64" ph="1">
        <v>890</v>
      </c>
    </row>
    <row r="24" spans="1:57" ph="1">
      <c r="A24" s="72" ph="1"/>
      <c r="B24" s="235" ph="1">
        <v>0.33333333333333331</v>
      </c>
      <c r="C24" s="151" t="s" ph="1">
        <v>211</v>
      </c>
      <c r="D24" s="71">
        <v>44.24</v>
      </c>
      <c r="E24" s="71">
        <v>97.59</v>
      </c>
      <c r="F24" s="71">
        <v>2150</v>
      </c>
      <c r="G24" s="71">
        <v>3926</v>
      </c>
      <c r="H24" s="71">
        <v>3600</v>
      </c>
      <c r="I24" s="71">
        <v>2537</v>
      </c>
      <c r="J24" s="71">
        <v>2450</v>
      </c>
      <c r="K24" s="71">
        <v>5616</v>
      </c>
      <c r="L24" s="71">
        <v>5590</v>
      </c>
      <c r="M24" s="71">
        <v>1384</v>
      </c>
      <c r="N24" s="71">
        <v>869</v>
      </c>
      <c r="O24" s="71">
        <v>2054</v>
      </c>
      <c r="P24" s="71">
        <v>2483</v>
      </c>
      <c r="Q24" s="90">
        <v>1582</v>
      </c>
      <c r="R24" s="71">
        <v>2015</v>
      </c>
      <c r="S24" s="71">
        <v>183</v>
      </c>
      <c r="T24" s="71">
        <v>6395</v>
      </c>
      <c r="U24" s="71">
        <v>6002</v>
      </c>
      <c r="V24" s="71">
        <v>5862</v>
      </c>
      <c r="W24" s="71">
        <v>11520</v>
      </c>
      <c r="X24" s="71">
        <v>10693</v>
      </c>
      <c r="Y24" s="71">
        <v>5907</v>
      </c>
      <c r="Z24" s="229"/>
      <c r="AA24" s="230"/>
      <c r="AB24" s="230"/>
      <c r="AC24" s="230"/>
      <c r="AD24" s="230"/>
      <c r="AE24" s="231"/>
      <c r="AH24" s="64" ph="1">
        <v>10</v>
      </c>
      <c r="AI24" s="64" t="s" ph="1">
        <v>391</v>
      </c>
      <c r="AZ24" s="64" t="s" ph="1">
        <v>260</v>
      </c>
      <c r="BA24" s="64" ph="1">
        <v>0</v>
      </c>
    </row>
    <row r="25" spans="1:57" ph="1">
      <c r="A25" s="72" ph="1"/>
      <c r="B25" s="235" ph="1"/>
      <c r="C25" s="68" t="s" ph="1">
        <v>212</v>
      </c>
      <c r="D25" s="91" ph="1">
        <f>D24*268.68*LOOKUP(D26,密度!$A$2:$A$50,密度!$Q$2:$Q$50)+IF(D24&lt;=0,0,1566*LOOKUP(D26,密度!$A$2:$A$50,密度!$Q$2:$Q$50))</f>
        <v>12735.928205568001</v>
      </c>
      <c r="E25" s="91" ph="1">
        <f>E24*268.68*LOOKUP(E26,密度!$A$2:$A$50,密度!$C$2:$C$50)+IF(E24&lt;=0,0,1566*LOOKUP(E26,密度!$A$2:$A$50,密度!$C$2:$C$50))</f>
        <v>30812.429002680004</v>
      </c>
      <c r="F25" s="91" ph="1">
        <f>F24*11.702*LOOKUP(F26,密度!$A$2:$A$50,密度!$Q$2:$Q$50)</f>
        <v>23991.908479999998</v>
      </c>
      <c r="G25" s="91" ph="1">
        <f>G24*18.322*LOOKUP(G26,密度!$A$2:$A$50,密度!$B$2:$B$50)</f>
        <v>56682.551535999999</v>
      </c>
      <c r="H25" s="91" ph="1">
        <f>H24*18.322*LOOKUP(H26,密度!$A$2:$A$50,密度!$B$2:$B$50)</f>
        <v>52035.212879999999</v>
      </c>
      <c r="I25" s="91" ph="1">
        <f>I24*18.322*LOOKUP(I26,密度!$A$2:$A$50,密度!$Q$2:$Q$50)</f>
        <v>44369.800729559996</v>
      </c>
      <c r="J25" s="91" ph="1">
        <f>J24*18.322*LOOKUP(J26,密度!$A$2:$A$50,密度!$Q$2:$Q$50)</f>
        <v>42848.250606000001</v>
      </c>
      <c r="K25" s="91" ph="1">
        <f>K24*18.322*LOOKUP(K26,密度!$A$2:$A$50,密度!$Q$2:$Q$50)</f>
        <v>98121.961267199993</v>
      </c>
      <c r="L25" s="91" ph="1">
        <f>L24*18.322*LOOKUP(L26,密度!$A$2:$A$50,密度!$Q$2:$Q$50)</f>
        <v>97763.967709200006</v>
      </c>
      <c r="M25" s="91" ph="1">
        <f>M24*18.322*LOOKUP(M26,密度!$A$2:$A$50,密度!$Q$2:$Q$50)</f>
        <v>24204.88932192</v>
      </c>
      <c r="N25" s="91" ph="1">
        <f>N24*18.322*LOOKUP(N26,密度!$A$2:$A$50,密度!$Q$2:$Q$50)</f>
        <v>15198.012153719999</v>
      </c>
      <c r="O25" s="91" ph="1">
        <f>O24*18.322*LOOKUP(O26,密度!$A$2:$A$50,密度!$C$2:$C$50)</f>
        <v>42021.441040799997</v>
      </c>
      <c r="P25" s="91" ph="1">
        <f>P24*11.702*LOOKUP(P26,密度!$A$2:$A$50,密度!$B$2:$B$50)</f>
        <v>22945.575320199998</v>
      </c>
      <c r="Q25" s="92" ph="1">
        <f>Q24*18.322*LOOKUP(Q26,密度!$A$2:$A$50,密度!$B$2:$B$50)</f>
        <v>22866.5852156</v>
      </c>
      <c r="R25" s="91" ph="1">
        <f>R24*35.891*LOOKUP(R26,密度!$A$2:$A$50,密度!$C$2:$C$50)</f>
        <v>80651.671047999989</v>
      </c>
      <c r="S25" s="91" ph="1">
        <f>S24*35.891*LOOKUP(S26,密度!$A$2:$A$50,密度!$B$2:$B$50)</f>
        <v>5175.6257640000003</v>
      </c>
      <c r="T25" s="91" ph="1">
        <f>T24*35.891*LOOKUP(T26,密度!$A$2:$A$50,密度!$Q$2:$Q$50)</f>
        <v>218689.46199599997</v>
      </c>
      <c r="U25" s="91" ph="1">
        <f>U24*35.891</f>
        <v>215417.78199999998</v>
      </c>
      <c r="V25" s="91" ph="1">
        <f>V24*47.051*LOOKUP(V26,密度!$A$2:$A$50,密度!$B$2:$B$50)</f>
        <v>217119.96368640001</v>
      </c>
      <c r="W25" s="91" ph="1">
        <f>W24*47.051*LOOKUP(W26,密度!$A$2:$A$50,密度!$B$2:$B$50)</f>
        <v>427117.68576000002</v>
      </c>
      <c r="X25" s="91" ph="1">
        <f>X24*47.051*LOOKUP(X26,密度!$A$2:$A$50,密度!$I$2:$I$50)</f>
        <v>521047.40946451994</v>
      </c>
      <c r="Y25" s="91" ph="1">
        <f>Y24*47.051*LOOKUP(Y26,密度!$A$2:$A$50,密度!$L$2:$L$50)</f>
        <v>263477.88363599998</v>
      </c>
      <c r="Z25" s="229"/>
      <c r="AA25" s="230"/>
      <c r="AB25" s="230"/>
      <c r="AC25" s="230"/>
      <c r="AD25" s="230"/>
      <c r="AE25" s="231"/>
      <c r="AH25" s="64" ph="1">
        <v>11</v>
      </c>
      <c r="AI25" s="64" t="s" ph="1">
        <v>392</v>
      </c>
      <c r="AZ25" s="64" t="s" ph="1">
        <v>260</v>
      </c>
      <c r="BA25" s="64" ph="1">
        <v>0</v>
      </c>
      <c r="BD25" s="64" t="s" ph="1">
        <v>285</v>
      </c>
      <c r="BE25" s="64" ph="1">
        <v>8920</v>
      </c>
    </row>
    <row r="26" spans="1:57" ph="1">
      <c r="A26" s="72" ph="1"/>
      <c r="B26" s="235" ph="1"/>
      <c r="C26" s="68" t="s" ph="1">
        <v>213</v>
      </c>
      <c r="D26" s="74">
        <v>25</v>
      </c>
      <c r="E26" s="74">
        <v>25</v>
      </c>
      <c r="F26" s="74">
        <v>16</v>
      </c>
      <c r="G26" s="74">
        <v>15</v>
      </c>
      <c r="H26" s="74">
        <v>14</v>
      </c>
      <c r="I26" s="74">
        <v>14</v>
      </c>
      <c r="J26" s="74">
        <v>15</v>
      </c>
      <c r="K26" s="74">
        <v>16</v>
      </c>
      <c r="L26" s="74">
        <v>14</v>
      </c>
      <c r="M26" s="74">
        <v>14</v>
      </c>
      <c r="N26" s="74">
        <v>15</v>
      </c>
      <c r="O26" s="74">
        <v>14</v>
      </c>
      <c r="P26" s="74">
        <v>13</v>
      </c>
      <c r="Q26" s="93">
        <v>14</v>
      </c>
      <c r="R26" s="74">
        <v>16</v>
      </c>
      <c r="S26" s="74">
        <v>15</v>
      </c>
      <c r="T26" s="74">
        <v>17</v>
      </c>
      <c r="U26" s="74">
        <v>15</v>
      </c>
      <c r="V26" s="74">
        <v>16</v>
      </c>
      <c r="W26" s="74">
        <v>15</v>
      </c>
      <c r="X26" s="74">
        <v>54</v>
      </c>
      <c r="Y26" s="74">
        <v>14</v>
      </c>
      <c r="Z26" s="229"/>
      <c r="AA26" s="230"/>
      <c r="AB26" s="230"/>
      <c r="AC26" s="230"/>
      <c r="AD26" s="230"/>
      <c r="AE26" s="231"/>
      <c r="AH26" s="64" ph="1">
        <v>12</v>
      </c>
      <c r="AI26" s="64" t="s" ph="1">
        <v>393</v>
      </c>
      <c r="AZ26" s="64" t="s" ph="1">
        <v>260</v>
      </c>
      <c r="BA26" s="64" ph="1">
        <v>0</v>
      </c>
    </row>
    <row r="27" spans="1:57" ph="1">
      <c r="A27" s="72" ph="1"/>
      <c r="B27" s="235" ph="1">
        <v>0.66666666666666663</v>
      </c>
      <c r="C27" s="151" t="s" ph="1">
        <v>214</v>
      </c>
      <c r="D27" s="71">
        <v>44.29</v>
      </c>
      <c r="E27" s="71">
        <v>97.6</v>
      </c>
      <c r="F27" s="71">
        <v>2152</v>
      </c>
      <c r="G27" s="71">
        <v>3474</v>
      </c>
      <c r="H27" s="71">
        <v>3248</v>
      </c>
      <c r="I27" s="71">
        <v>2535</v>
      </c>
      <c r="J27" s="71">
        <v>2449</v>
      </c>
      <c r="K27" s="71">
        <v>5616</v>
      </c>
      <c r="L27" s="71">
        <v>5586</v>
      </c>
      <c r="M27" s="71">
        <v>1382</v>
      </c>
      <c r="N27" s="71">
        <v>866</v>
      </c>
      <c r="O27" s="71">
        <v>2053</v>
      </c>
      <c r="P27" s="71">
        <v>2484</v>
      </c>
      <c r="Q27" s="90">
        <v>1855</v>
      </c>
      <c r="R27" s="71">
        <v>2014</v>
      </c>
      <c r="S27" s="71">
        <v>181</v>
      </c>
      <c r="T27" s="71">
        <v>6395</v>
      </c>
      <c r="U27" s="71">
        <v>5410</v>
      </c>
      <c r="V27" s="71">
        <v>5679</v>
      </c>
      <c r="W27" s="71">
        <v>11520</v>
      </c>
      <c r="X27" s="71">
        <v>10310</v>
      </c>
      <c r="Y27" s="71">
        <v>6631</v>
      </c>
      <c r="Z27" s="229"/>
      <c r="AA27" s="230"/>
      <c r="AB27" s="230"/>
      <c r="AC27" s="230"/>
      <c r="AD27" s="230"/>
      <c r="AE27" s="231"/>
      <c r="AH27" s="64" ph="1">
        <v>13</v>
      </c>
      <c r="AI27" s="64" t="s" ph="1">
        <v>394</v>
      </c>
      <c r="AZ27" s="64" t="s" ph="1">
        <v>260</v>
      </c>
      <c r="BA27" s="64" ph="1">
        <v>0</v>
      </c>
      <c r="BD27" s="64" t="s" ph="1">
        <v>339</v>
      </c>
      <c r="BE27" s="64" ph="1">
        <v>7100</v>
      </c>
    </row>
    <row r="28" spans="1:57" ph="1">
      <c r="A28" s="72" ph="1"/>
      <c r="B28" s="235" ph="1"/>
      <c r="C28" s="151" t="s" ph="1">
        <v>212</v>
      </c>
      <c r="D28" s="91" ph="1">
        <f>D27*268.68*LOOKUP(D29,密度!$A$2:$A$50,密度!$Q$2:$Q$50)+IF(D27&lt;=0,0,1566*LOOKUP(D29,密度!$A$2:$A$50,密度!$Q$2:$Q$50))</f>
        <v>12748.646710728</v>
      </c>
      <c r="E28" s="91" ph="1">
        <f>E27*268.68*LOOKUP(E29,密度!$A$2:$A$50,密度!$C$2:$C$50)+IF(E27&lt;=0,0,1566*LOOKUP(E29,密度!$A$2:$A$50,密度!$C$2:$C$50))</f>
        <v>30815.4083952</v>
      </c>
      <c r="F28" s="91" ph="1">
        <f>F27*11.702*LOOKUP(F29,密度!$A$2:$A$50,密度!$Q$2:$Q$50)</f>
        <v>24014.226534400001</v>
      </c>
      <c r="G28" s="91" ph="1">
        <f>G27*18.322*LOOKUP(G29,密度!$A$2:$A$50,密度!$B$2:$B$50)</f>
        <v>50105.774361600001</v>
      </c>
      <c r="H28" s="91" ph="1">
        <f>H27*18.322*LOOKUP(H29,密度!$A$2:$A$50,密度!$B$2:$B$50)</f>
        <v>46798.550758400001</v>
      </c>
      <c r="I28" s="91" ph="1">
        <f>I27*18.322*LOOKUP(I29,密度!$A$2:$A$50,密度!$Q$2:$Q$50)</f>
        <v>44291.163071999996</v>
      </c>
      <c r="J28" s="91" ph="1">
        <f>J27*18.322*LOOKUP(J29,密度!$A$2:$A$50,密度!$Q$2:$Q$50)</f>
        <v>42788.5831808</v>
      </c>
      <c r="K28" s="91" ph="1">
        <f>K27*18.322*LOOKUP(K29,密度!$A$2:$A$50,密度!$Q$2:$Q$50)</f>
        <v>98218.683838080004</v>
      </c>
      <c r="L28" s="91" ph="1">
        <f>L27*18.322*LOOKUP(L29,密度!$A$2:$A$50,密度!$Q$2:$Q$50)</f>
        <v>97515.9281376</v>
      </c>
      <c r="M28" s="91" ph="1">
        <f>M27*18.322*LOOKUP(M29,密度!$A$2:$A$50,密度!$Q$2:$Q$50)</f>
        <v>24146.109414399998</v>
      </c>
      <c r="N28" s="91" ph="1">
        <f>N27*18.322*LOOKUP(N29,密度!$A$2:$A$50,密度!$Q$2:$Q$50)</f>
        <v>15145.544908079999</v>
      </c>
      <c r="O28" s="91" ph="1">
        <f>O27*18.322*LOOKUP(O29,密度!$A$2:$A$50,密度!$C$2:$C$50)</f>
        <v>41921.991056999999</v>
      </c>
      <c r="P28" s="91" ph="1">
        <f>P27*11.702*LOOKUP(P29,密度!$A$2:$A$50,密度!$B$2:$B$50)</f>
        <v>22882.146969599999</v>
      </c>
      <c r="Q28" s="92" ph="1">
        <f>Q27*18.322*LOOKUP(Q29,密度!$A$2:$A$50,密度!$B$2:$B$50)</f>
        <v>26782.00028</v>
      </c>
      <c r="R28" s="91" ph="1">
        <f>R27*35.891*LOOKUP(R29,密度!$A$2:$A$50,密度!$C$2:$C$50)</f>
        <v>80712.843668400004</v>
      </c>
      <c r="S28" s="91" ph="1">
        <f>S27*35.891*LOOKUP(S29,密度!$A$2:$A$50,密度!$B$2:$B$50)</f>
        <v>5108.6675144000001</v>
      </c>
      <c r="T28" s="91" ph="1">
        <f>T27*35.891*LOOKUP(T29,密度!$A$2:$A$50,密度!$Q$2:$Q$50)</f>
        <v>218689.46199599997</v>
      </c>
      <c r="U28" s="91" ph="1">
        <f>U27*35.891</f>
        <v>194170.31</v>
      </c>
      <c r="V28" s="91" ph="1">
        <f>V27*47.051*LOOKUP(V29,密度!$A$2:$A$50,密度!$B$2:$B$50)</f>
        <v>210555.67165200002</v>
      </c>
      <c r="W28" s="91" ph="1">
        <f>W27*47.051*LOOKUP(W29,密度!$A$2:$A$50,密度!$B$2:$B$50)</f>
        <v>427605.51052800001</v>
      </c>
      <c r="X28" s="91" ph="1">
        <f>X27*47.051*LOOKUP(X29,密度!$A$2:$A$50,密度!$I$2:$I$50)</f>
        <v>502384.62466839992</v>
      </c>
      <c r="Y28" s="91" ph="1">
        <f>Y27*47.051*LOOKUP(Y29,密度!$A$2:$A$50,密度!$L$2:$L$50)</f>
        <v>294835.44604500005</v>
      </c>
      <c r="Z28" s="229"/>
      <c r="AA28" s="230"/>
      <c r="AB28" s="230"/>
      <c r="AC28" s="230"/>
      <c r="AD28" s="230"/>
      <c r="AE28" s="231"/>
      <c r="AH28" s="64" ph="1">
        <v>14</v>
      </c>
      <c r="AI28" s="64" t="s" ph="1">
        <v>395</v>
      </c>
      <c r="AZ28" s="64" t="s" ph="1">
        <v>260</v>
      </c>
      <c r="BA28" s="64" ph="1">
        <v>0</v>
      </c>
    </row>
    <row r="29" spans="1:57" ph="1">
      <c r="A29" s="72" ph="1"/>
      <c r="B29" s="235" ph="1"/>
      <c r="C29" s="151" t="s" ph="1">
        <v>213</v>
      </c>
      <c r="D29" s="74">
        <v>25</v>
      </c>
      <c r="E29" s="74">
        <v>25</v>
      </c>
      <c r="F29" s="74">
        <v>16</v>
      </c>
      <c r="G29" s="74">
        <v>16</v>
      </c>
      <c r="H29" s="74">
        <v>17</v>
      </c>
      <c r="I29" s="74">
        <v>16</v>
      </c>
      <c r="J29" s="74">
        <v>16</v>
      </c>
      <c r="K29" s="74">
        <v>15</v>
      </c>
      <c r="L29" s="74">
        <v>17</v>
      </c>
      <c r="M29" s="74">
        <v>16</v>
      </c>
      <c r="N29" s="74">
        <v>15</v>
      </c>
      <c r="O29" s="74">
        <v>17</v>
      </c>
      <c r="P29" s="74">
        <v>16</v>
      </c>
      <c r="Q29" s="93">
        <v>15</v>
      </c>
      <c r="R29" s="74">
        <v>14</v>
      </c>
      <c r="S29" s="74">
        <v>17</v>
      </c>
      <c r="T29" s="74">
        <v>17</v>
      </c>
      <c r="U29" s="74">
        <v>16</v>
      </c>
      <c r="V29" s="74">
        <v>15</v>
      </c>
      <c r="W29" s="74">
        <v>14</v>
      </c>
      <c r="X29" s="74">
        <v>52</v>
      </c>
      <c r="Y29" s="74">
        <v>17</v>
      </c>
      <c r="Z29" s="232"/>
      <c r="AA29" s="233"/>
      <c r="AB29" s="233"/>
      <c r="AC29" s="233"/>
      <c r="AD29" s="233"/>
      <c r="AE29" s="234"/>
      <c r="AH29" s="64" ph="1">
        <v>15</v>
      </c>
      <c r="AI29" s="64" t="s" ph="1">
        <v>396</v>
      </c>
      <c r="AZ29" s="64" t="s" ph="1">
        <v>260</v>
      </c>
      <c r="BA29" s="64" ph="1">
        <v>0</v>
      </c>
      <c r="BD29" s="64" t="s" ph="1">
        <v>397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398</v>
      </c>
      <c r="AZ30" s="64" t="s" ph="1">
        <v>260</v>
      </c>
      <c r="BA30" s="64" ph="1">
        <v>0</v>
      </c>
    </row>
    <row r="31" spans="1:57" ht="28.5" ph="1">
      <c r="A31" s="64"/>
      <c r="B31" s="218" t="s" ph="1">
        <v>35</v>
      </c>
      <c r="C31" s="219" ph="1"/>
      <c r="D31" s="222" t="s" ph="1">
        <v>9</v>
      </c>
      <c r="E31" s="197" ph="1"/>
      <c r="F31" s="198" ph="1"/>
      <c r="G31" s="222" t="s" ph="1">
        <v>18</v>
      </c>
      <c r="H31" s="197" ph="1"/>
      <c r="I31" s="198" ph="1"/>
      <c r="J31" s="196" t="s" ph="1">
        <v>1</v>
      </c>
      <c r="K31" s="197" ph="1"/>
      <c r="L31" s="198" ph="1"/>
      <c r="M31" s="196" t="s" ph="1">
        <v>7</v>
      </c>
      <c r="N31" s="197" ph="1"/>
      <c r="O31" s="198" ph="1"/>
      <c r="P31" s="196" t="s" ph="1">
        <v>42</v>
      </c>
      <c r="Q31" s="197"/>
      <c r="R31" s="198"/>
      <c r="S31" s="196" t="s" ph="1">
        <v>2</v>
      </c>
      <c r="T31" s="197"/>
      <c r="U31" s="198"/>
      <c r="V31" s="196" t="s" ph="1">
        <v>81</v>
      </c>
      <c r="W31" s="197" ph="1"/>
      <c r="X31" s="198" ph="1"/>
      <c r="Y31" s="196" t="s" ph="1">
        <v>3</v>
      </c>
      <c r="Z31" s="197" ph="1"/>
      <c r="AA31" s="198" ph="1"/>
      <c r="AB31" s="199" t="s">
        <v>43</v>
      </c>
      <c r="AC31" s="200"/>
      <c r="AD31" s="200"/>
      <c r="AE31" s="201"/>
      <c r="AH31" s="64" ph="1">
        <v>17</v>
      </c>
      <c r="AI31" s="64" t="s" ph="1">
        <v>399</v>
      </c>
      <c r="AZ31" s="64" t="s" ph="1">
        <v>260</v>
      </c>
      <c r="BA31" s="64" ph="1">
        <v>0</v>
      </c>
      <c r="BD31" s="64" t="s" ph="1">
        <v>400</v>
      </c>
      <c r="BE31" s="64" ph="1">
        <v>9310</v>
      </c>
    </row>
    <row r="32" spans="1:57" ph="1">
      <c r="A32" s="64"/>
      <c r="B32" s="220" ph="1"/>
      <c r="C32" s="221" ph="1"/>
      <c r="D32" s="96" t="s" ph="1">
        <v>4</v>
      </c>
      <c r="E32" s="151" t="s" ph="1">
        <v>5</v>
      </c>
      <c r="F32" s="150" t="s" ph="1">
        <v>44</v>
      </c>
      <c r="G32" s="97" t="s" ph="1">
        <v>4</v>
      </c>
      <c r="H32" s="151" t="s" ph="1">
        <v>5</v>
      </c>
      <c r="I32" s="150" t="s" ph="1">
        <v>44</v>
      </c>
      <c r="J32" s="97" t="s" ph="1">
        <v>4</v>
      </c>
      <c r="K32" s="151" t="s" ph="1">
        <v>5</v>
      </c>
      <c r="L32" s="150" t="s" ph="1">
        <v>44</v>
      </c>
      <c r="M32" s="97" t="s" ph="1">
        <v>4</v>
      </c>
      <c r="N32" s="151" t="s" ph="1">
        <v>5</v>
      </c>
      <c r="O32" s="150" t="s" ph="1">
        <v>44</v>
      </c>
      <c r="P32" s="97" t="s" ph="1">
        <v>4</v>
      </c>
      <c r="Q32" s="98" t="s" ph="1">
        <v>5</v>
      </c>
      <c r="R32" s="99" t="s" ph="1">
        <v>44</v>
      </c>
      <c r="S32" s="97" t="s" ph="1">
        <v>4</v>
      </c>
      <c r="T32" s="151" t="s" ph="1">
        <v>5</v>
      </c>
      <c r="U32" s="99" t="s" ph="1">
        <v>44</v>
      </c>
      <c r="V32" s="97" t="s" ph="1">
        <v>4</v>
      </c>
      <c r="W32" s="151" t="s" ph="1">
        <v>5</v>
      </c>
      <c r="X32" s="99" t="s" ph="1">
        <v>44</v>
      </c>
      <c r="Y32" s="100" t="s" ph="1">
        <v>4</v>
      </c>
      <c r="Z32" s="151" t="s" ph="1">
        <v>5</v>
      </c>
      <c r="AA32" s="150" t="s" ph="1">
        <v>44</v>
      </c>
      <c r="AB32" s="97" t="s" ph="1">
        <v>102</v>
      </c>
      <c r="AC32" s="151" t="s" ph="1">
        <v>101</v>
      </c>
      <c r="AD32" s="202" t="s" ph="1">
        <v>100</v>
      </c>
      <c r="AE32" s="203"/>
      <c r="AH32" s="64" ph="1">
        <v>18</v>
      </c>
      <c r="AI32" s="64" t="s" ph="1">
        <v>401</v>
      </c>
      <c r="AZ32" s="64" t="s" ph="1">
        <v>260</v>
      </c>
      <c r="BA32" s="64" ph="1">
        <v>0</v>
      </c>
    </row>
    <row r="33" spans="1:57" ph="1">
      <c r="A33" s="64"/>
      <c r="B33" s="204" t="s" ph="1">
        <v>215</v>
      </c>
      <c r="C33" s="205" ph="1"/>
      <c r="D33" s="184" ph="1">
        <f>AA10+AB10+Z19</f>
        <v>55531.875588799994</v>
      </c>
      <c r="E33" s="184" ph="1">
        <f>M10+I10</f>
        <v>207025.05699180003</v>
      </c>
      <c r="F33" s="208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表格_取樣回收每月庫存表_0620更新152225263245678691011121314151617181920212345678910111213141516171819202223242435678910111213141516171819202122234567891011121314151617181920234567891011121314910151617181922212323456789101213141516171118192021222425234567[[#This Row],[F25]]</f>
        <v>3880</v>
      </c>
      <c r="G33" s="210" ph="1">
        <v>0</v>
      </c>
      <c r="H33" s="184" ph="1">
        <f>N19</f>
        <v>13835.85749816</v>
      </c>
      <c r="I33" s="188" ph="1">
        <v>0</v>
      </c>
      <c r="J33" s="192" ph="1">
        <f>F10+O28</f>
        <v>281366.49064079998</v>
      </c>
      <c r="K33" s="184" ph="1">
        <f>O10+K10+E28+R28</f>
        <v>125961.37168920001</v>
      </c>
      <c r="L33" s="194" ph="1">
        <f>BE27</f>
        <v>7100</v>
      </c>
      <c r="M33" s="192" ph="1">
        <f>G10+H10+W28+S28</f>
        <v>974560.64079840004</v>
      </c>
      <c r="N33" s="184" ph="1">
        <f>L10+P10++G28+H28+V28</f>
        <v>324574.20674300002</v>
      </c>
      <c r="O33" s="188" ph="1">
        <f>BE17</f>
        <v>2270</v>
      </c>
      <c r="P33" s="192" ph="1">
        <f>L19</f>
        <v>24641.811321680001</v>
      </c>
      <c r="Q33" s="184" ph="1">
        <f>J10+N10</f>
        <v>189396.99634399998</v>
      </c>
      <c r="R33" s="188" ph="1">
        <f>BE23</f>
        <v>890</v>
      </c>
      <c r="S33" s="192" ph="1">
        <f>E10+X28</f>
        <v>502384.62466839992</v>
      </c>
      <c r="T33" s="184" ph="1">
        <f>X19</f>
        <v>15920.379788040002</v>
      </c>
      <c r="U33" s="173" ph="1">
        <f>BE21</f>
        <v>730</v>
      </c>
      <c r="V33" s="186" ph="1">
        <f ca="1">P19+Q19+S19+M28+N28+J28</f>
        <v>183169.87203640799</v>
      </c>
      <c r="W33" s="186" ph="1">
        <f>D28+F28+V19+T28</f>
        <v>271072.33530416794</v>
      </c>
      <c r="X33" s="188" ph="1">
        <f>BE29+BE31</f>
        <v>10200</v>
      </c>
      <c r="Y33" s="190" ph="1">
        <f>+Q10+R10+S10+T10+U10+V10+W10+X10+Y10</f>
        <v>211151.28240359997</v>
      </c>
      <c r="Z33" s="171" ph="1">
        <f>D10+T19+U19+Y28+Z10</f>
        <v>543731.28134637</v>
      </c>
      <c r="AA33" s="173" ph="1">
        <f>BE19</f>
        <v>1440</v>
      </c>
      <c r="AB33" s="175" ph="1">
        <f>I19</f>
        <v>25000.885984</v>
      </c>
      <c r="AC33" s="177" ph="1">
        <f>AD10</f>
        <v>52090.648249600003</v>
      </c>
      <c r="AD33" s="179" ph="1">
        <v>0</v>
      </c>
      <c r="AE33" s="180"/>
      <c r="AH33" s="64" ph="1">
        <v>19</v>
      </c>
      <c r="AI33" s="64" t="s" ph="1">
        <v>402</v>
      </c>
      <c r="AJ33" s="64" t="s" ph="1">
        <v>636</v>
      </c>
      <c r="AK33" s="64" t="s" ph="1">
        <v>633</v>
      </c>
      <c r="AL33" s="64" ph="1">
        <v>730</v>
      </c>
      <c r="AM33" s="64" t="s" ph="1">
        <v>383</v>
      </c>
      <c r="AZ33" s="64" t="s" ph="1">
        <v>260</v>
      </c>
      <c r="BA33" s="64" ph="1">
        <v>730</v>
      </c>
      <c r="BD33" s="64" t="s" ph="1">
        <v>334</v>
      </c>
      <c r="BE33" s="64" ph="1">
        <v>3880</v>
      </c>
    </row>
    <row r="34" spans="1:57" ph="1">
      <c r="A34" s="64"/>
      <c r="B34" s="206" ph="1"/>
      <c r="C34" s="207" ph="1"/>
      <c r="D34" s="185" ph="1"/>
      <c r="E34" s="185" ph="1"/>
      <c r="F34" s="209" ph="1"/>
      <c r="G34" s="211" ph="1"/>
      <c r="H34" s="185" ph="1"/>
      <c r="I34" s="189" ph="1"/>
      <c r="J34" s="193" ph="1"/>
      <c r="K34" s="185" ph="1"/>
      <c r="L34" s="195" ph="1"/>
      <c r="M34" s="193" ph="1"/>
      <c r="N34" s="185" ph="1"/>
      <c r="O34" s="189" ph="1"/>
      <c r="P34" s="193" ph="1"/>
      <c r="Q34" s="185" ph="1"/>
      <c r="R34" s="189" ph="1"/>
      <c r="S34" s="193" ph="1"/>
      <c r="T34" s="185"/>
      <c r="U34" s="174"/>
      <c r="V34" s="187" ph="1"/>
      <c r="W34" s="187" ph="1"/>
      <c r="X34" s="189" ph="1"/>
      <c r="Y34" s="191" ph="1"/>
      <c r="Z34" s="172" ph="1"/>
      <c r="AA34" s="174" ph="1"/>
      <c r="AB34" s="176"/>
      <c r="AC34" s="178"/>
      <c r="AD34" s="181"/>
      <c r="AE34" s="182"/>
      <c r="AH34" s="64" ph="1">
        <v>20</v>
      </c>
      <c r="AI34" s="64" t="s" ph="1">
        <v>403</v>
      </c>
      <c r="AJ34" s="64" t="s" ph="1">
        <v>637</v>
      </c>
      <c r="AK34" s="64" t="s" ph="1">
        <v>633</v>
      </c>
      <c r="AL34" s="64" ph="1">
        <v>720</v>
      </c>
      <c r="AM34" s="64" t="s" ph="1">
        <v>383</v>
      </c>
      <c r="AZ34" s="64" t="s" ph="1">
        <v>260</v>
      </c>
      <c r="BA34" s="64" ph="1">
        <v>720</v>
      </c>
    </row>
    <row r="35" spans="1:57" ph="1">
      <c r="A35" s="64"/>
      <c r="AC35" s="183" t="s" ph="1">
        <v>84</v>
      </c>
      <c r="AD35" s="183"/>
      <c r="AE35" s="183"/>
      <c r="AH35" s="64" ph="1">
        <v>21</v>
      </c>
      <c r="AI35" s="64" t="s" ph="1">
        <v>404</v>
      </c>
      <c r="AZ35" s="64" t="s" ph="1">
        <v>260</v>
      </c>
      <c r="BA35" s="64" ph="1">
        <v>0</v>
      </c>
      <c r="BD35" s="64" t="s" ph="1">
        <v>405</v>
      </c>
      <c r="BE35" s="64" ph="1">
        <v>2030</v>
      </c>
    </row>
    <row r="36" spans="1:57" ht="28.5" ph="1">
      <c r="A36" s="64"/>
      <c r="B36" s="103" t="s" ph="1">
        <v>216</v>
      </c>
      <c r="I36" s="169" t="s" ph="1">
        <v>217</v>
      </c>
      <c r="J36" s="169" ph="1"/>
      <c r="K36" s="101" ph="1"/>
      <c r="P36" s="101" ph="1"/>
      <c r="R36" s="169" t="s" ph="1">
        <v>218</v>
      </c>
      <c r="S36" s="169" ph="1"/>
      <c r="Y36" s="102" ph="1"/>
      <c r="Z36" s="149" t="s" ph="1">
        <v>219</v>
      </c>
      <c r="AA36" s="149" ph="1"/>
      <c r="AB36" s="170" t="s" ph="1">
        <v>652</v>
      </c>
      <c r="AC36" s="170" ph="1"/>
      <c r="AD36" s="170" ph="1"/>
      <c r="AE36" s="170" ph="1"/>
      <c r="BA36" s="64" ph="1">
        <v>2270</v>
      </c>
    </row>
    <row r="37" spans="1:57" s="14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9" t="s" ph="1">
        <v>386</v>
      </c>
      <c r="AI37" s="149" t="s" ph="1">
        <v>253</v>
      </c>
      <c r="AJ37" s="149" t="s" ph="1">
        <v>254</v>
      </c>
      <c r="AK37" s="149" t="s" ph="1">
        <v>255</v>
      </c>
      <c r="AM37" s="149" t="s" ph="1">
        <v>254</v>
      </c>
      <c r="AN37" s="149" t="s" ph="1">
        <v>255</v>
      </c>
      <c r="AO37" s="149" t="s" ph="1">
        <v>256</v>
      </c>
      <c r="AP37" s="149" t="s" ph="1">
        <v>254</v>
      </c>
      <c r="AQ37" s="149" t="s" ph="1">
        <v>255</v>
      </c>
      <c r="AR37" s="149" t="s" ph="1">
        <v>256</v>
      </c>
      <c r="AS37" s="149" t="s" ph="1">
        <v>254</v>
      </c>
      <c r="AT37" s="149" t="s" ph="1">
        <v>255</v>
      </c>
      <c r="AU37" s="149" t="s" ph="1">
        <v>256</v>
      </c>
      <c r="AV37" s="149" t="s" ph="1">
        <v>254</v>
      </c>
      <c r="AW37" s="149" t="s" ph="1">
        <v>255</v>
      </c>
      <c r="AX37" s="149" t="s" ph="1">
        <v>256</v>
      </c>
      <c r="AY37" s="149" t="s" ph="1">
        <v>255</v>
      </c>
      <c r="AZ37" s="149" t="s" ph="1">
        <v>257</v>
      </c>
      <c r="BD37" s="149" t="s" ph="1">
        <v>349</v>
      </c>
      <c r="BE37" s="149" ph="1">
        <v>0</v>
      </c>
    </row>
    <row r="38" spans="1:57" ph="1">
      <c r="AE38" s="64" ph="1"/>
      <c r="AH38" s="64" ph="1">
        <v>1</v>
      </c>
      <c r="AI38" s="64" t="s" ph="1">
        <v>406</v>
      </c>
      <c r="AY38" s="64" t="s" ph="1">
        <v>260</v>
      </c>
      <c r="AZ38" s="64" t="s" ph="1">
        <v>411</v>
      </c>
    </row>
    <row r="39" spans="1:57" ph="1">
      <c r="AH39" s="64" ph="1">
        <v>2</v>
      </c>
      <c r="AI39" s="64" t="s" ph="1">
        <v>408</v>
      </c>
      <c r="AJ39" s="64" t="s" ph="1">
        <v>380</v>
      </c>
      <c r="AK39" s="64" t="s" ph="1">
        <v>409</v>
      </c>
      <c r="AM39" s="64" t="s" ph="1">
        <v>614</v>
      </c>
      <c r="AN39" s="64" t="s" ph="1">
        <v>272</v>
      </c>
      <c r="AO39" s="64" t="s" ph="1">
        <v>407</v>
      </c>
      <c r="AY39" s="64" t="s" ph="1">
        <v>260</v>
      </c>
      <c r="AZ39" s="64" t="s" ph="1">
        <v>543</v>
      </c>
    </row>
    <row r="40" spans="1:57" ph="1">
      <c r="AH40" s="64" ph="1">
        <v>3</v>
      </c>
      <c r="AI40" s="64" t="s" ph="1">
        <v>410</v>
      </c>
      <c r="AJ40" s="64" t="s" ph="1">
        <v>614</v>
      </c>
      <c r="AK40" s="64" t="s" ph="1">
        <v>615</v>
      </c>
      <c r="AY40" s="64" t="s" ph="1">
        <v>260</v>
      </c>
      <c r="AZ40" s="64" t="s" ph="1">
        <v>615</v>
      </c>
    </row>
    <row r="41" spans="1:57" ph="1">
      <c r="AH41" s="64" ph="1">
        <v>4</v>
      </c>
      <c r="AI41" s="64" t="s" ph="1">
        <v>412</v>
      </c>
      <c r="AJ41" s="64" t="s" ph="1">
        <v>616</v>
      </c>
      <c r="AK41" s="64" t="s" ph="1">
        <v>617</v>
      </c>
      <c r="AM41" s="64" t="s" ph="1">
        <v>618</v>
      </c>
      <c r="AY41" s="64" t="s" ph="1">
        <v>260</v>
      </c>
      <c r="AZ41" s="64" t="s" ph="1">
        <v>617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413</v>
      </c>
      <c r="AY42" s="64" t="s" ph="1">
        <v>260</v>
      </c>
      <c r="AZ42" s="64" t="s" ph="1">
        <v>411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414</v>
      </c>
      <c r="AY43" s="64" t="s" ph="1">
        <v>260</v>
      </c>
      <c r="AZ43" s="64" t="s" ph="1">
        <v>411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415</v>
      </c>
      <c r="AV44" s="64" t="s" ph="1">
        <v>261</v>
      </c>
      <c r="AY44" s="64" t="s" ph="1">
        <v>260</v>
      </c>
      <c r="AZ44" s="64" t="s" ph="1">
        <v>411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416</v>
      </c>
      <c r="AV45" s="64" t="s" ph="1">
        <v>261</v>
      </c>
      <c r="AY45" s="64" t="s" ph="1">
        <v>260</v>
      </c>
      <c r="AZ45" s="64" t="s" ph="1">
        <v>411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417</v>
      </c>
      <c r="AV46" s="64" t="s" ph="1">
        <v>261</v>
      </c>
      <c r="AY46" s="64" t="s" ph="1">
        <v>260</v>
      </c>
      <c r="AZ46" s="64" t="s" ph="1">
        <v>411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418</v>
      </c>
      <c r="AV47" s="64" t="s" ph="1">
        <v>261</v>
      </c>
      <c r="AY47" s="64" t="s" ph="1">
        <v>260</v>
      </c>
      <c r="AZ47" s="64" t="s" ph="1">
        <v>411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619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276</v>
      </c>
      <c r="AI49" s="64" t="s" ph="1">
        <v>253</v>
      </c>
      <c r="AJ49" s="64" t="s" ph="1">
        <v>254</v>
      </c>
      <c r="AK49" s="64" t="s" ph="1">
        <v>255</v>
      </c>
      <c r="AM49" s="64" t="s" ph="1">
        <v>254</v>
      </c>
      <c r="AN49" s="64" t="s" ph="1">
        <v>255</v>
      </c>
      <c r="AO49" s="64" t="s" ph="1">
        <v>256</v>
      </c>
      <c r="AP49" s="64" t="s" ph="1">
        <v>254</v>
      </c>
      <c r="AQ49" s="64" t="s" ph="1">
        <v>255</v>
      </c>
      <c r="AR49" s="64" t="s" ph="1">
        <v>256</v>
      </c>
      <c r="AS49" s="64" t="s" ph="1">
        <v>254</v>
      </c>
      <c r="AT49" s="64" t="s" ph="1">
        <v>255</v>
      </c>
      <c r="AU49" s="64" t="s" ph="1">
        <v>256</v>
      </c>
      <c r="AV49" s="64" t="s" ph="1">
        <v>254</v>
      </c>
      <c r="AW49" s="64" t="s" ph="1">
        <v>255</v>
      </c>
      <c r="AX49" s="64" t="s" ph="1">
        <v>256</v>
      </c>
      <c r="AY49" s="64" t="s" ph="1">
        <v>255</v>
      </c>
      <c r="AZ49" s="64" t="s" ph="1">
        <v>257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419</v>
      </c>
      <c r="AY50" s="64" t="s" ph="1">
        <v>260</v>
      </c>
      <c r="AZ50" s="64" t="s" ph="1">
        <v>411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420</v>
      </c>
      <c r="AY51" s="64" t="s" ph="1">
        <v>260</v>
      </c>
      <c r="AZ51" s="64" t="s" ph="1">
        <v>411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421</v>
      </c>
      <c r="AJ52" s="64" t="s" ph="1">
        <v>378</v>
      </c>
      <c r="AK52" s="64" t="s" ph="1">
        <v>272</v>
      </c>
      <c r="AM52" s="64" t="s" ph="1">
        <v>380</v>
      </c>
      <c r="AN52" s="64" t="s" ph="1">
        <v>344</v>
      </c>
      <c r="AO52" s="64" t="s" ph="1">
        <v>277</v>
      </c>
      <c r="AP52" s="64" t="s" ph="1">
        <v>614</v>
      </c>
      <c r="AQ52" s="64" t="s" ph="1">
        <v>326</v>
      </c>
      <c r="AR52" s="64" t="s" ph="1">
        <v>277</v>
      </c>
      <c r="AY52" s="64" t="s" ph="1">
        <v>260</v>
      </c>
      <c r="AZ52" s="64" t="s" ph="1">
        <v>620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422</v>
      </c>
      <c r="AY53" s="64" t="s" ph="1">
        <v>260</v>
      </c>
      <c r="AZ53" s="64" t="s" ph="1">
        <v>411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423</v>
      </c>
      <c r="AJ54" s="64" t="s" ph="1">
        <v>378</v>
      </c>
      <c r="AK54" s="64" t="s" ph="1">
        <v>263</v>
      </c>
      <c r="AM54" s="64" t="s" ph="1">
        <v>380</v>
      </c>
      <c r="AN54" s="64" t="s" ph="1">
        <v>268</v>
      </c>
      <c r="AO54" s="64" t="s" ph="1">
        <v>277</v>
      </c>
      <c r="AP54" s="64" t="s" ph="1">
        <v>614</v>
      </c>
      <c r="AQ54" s="64" t="s" ph="1">
        <v>284</v>
      </c>
      <c r="AR54" s="64" t="s" ph="1">
        <v>277</v>
      </c>
      <c r="AY54" s="64" t="s" ph="1">
        <v>260</v>
      </c>
      <c r="AZ54" s="64" t="s" ph="1">
        <v>278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424</v>
      </c>
      <c r="AY55" s="64" t="s" ph="1">
        <v>260</v>
      </c>
      <c r="AZ55" s="64" t="s" ph="1">
        <v>411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425</v>
      </c>
      <c r="AY56" s="64" t="s" ph="1">
        <v>260</v>
      </c>
      <c r="AZ56" s="64" t="s" ph="1">
        <v>411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426</v>
      </c>
      <c r="AY57" s="64" t="s" ph="1">
        <v>260</v>
      </c>
      <c r="AZ57" s="64" t="s" ph="1">
        <v>411</v>
      </c>
    </row>
    <row r="58" spans="16:52" ph="1">
      <c r="P58" s="64"/>
      <c r="AN58" s="64" t="s" ph="1">
        <v>261</v>
      </c>
      <c r="AZ58" s="64" t="s" ph="1">
        <v>621</v>
      </c>
    </row>
    <row r="59" spans="16:52" ph="1">
      <c r="V59" s="64"/>
      <c r="AG59" s="64" t="s" ph="1">
        <v>279</v>
      </c>
      <c r="AI59" s="64" t="s" ph="1">
        <v>253</v>
      </c>
      <c r="AJ59" s="64" t="s" ph="1">
        <v>254</v>
      </c>
      <c r="AK59" s="64" t="s" ph="1">
        <v>255</v>
      </c>
      <c r="AM59" s="64" t="s" ph="1">
        <v>254</v>
      </c>
      <c r="AN59" s="64" t="s" ph="1">
        <v>255</v>
      </c>
      <c r="AO59" s="64" t="s" ph="1">
        <v>256</v>
      </c>
      <c r="AP59" s="64" t="s" ph="1">
        <v>254</v>
      </c>
      <c r="AQ59" s="64" t="s" ph="1">
        <v>255</v>
      </c>
      <c r="AR59" s="64" t="s" ph="1">
        <v>256</v>
      </c>
      <c r="AS59" s="64" t="s" ph="1">
        <v>254</v>
      </c>
      <c r="AT59" s="64" t="s" ph="1">
        <v>255</v>
      </c>
      <c r="AU59" s="64" t="s" ph="1">
        <v>256</v>
      </c>
      <c r="AV59" s="64" t="s" ph="1">
        <v>254</v>
      </c>
      <c r="AW59" s="64" t="s" ph="1">
        <v>255</v>
      </c>
      <c r="AX59" s="64" t="s" ph="1">
        <v>256</v>
      </c>
      <c r="AY59" s="64" t="s" ph="1">
        <v>255</v>
      </c>
      <c r="AZ59" s="64" t="s" ph="1">
        <v>257</v>
      </c>
    </row>
    <row r="60" spans="16:52" ph="1">
      <c r="R60" s="64"/>
      <c r="S60" s="64"/>
      <c r="T60" s="64"/>
      <c r="AH60" s="64" ph="1">
        <v>1</v>
      </c>
      <c r="AI60" s="64" t="s" ph="1">
        <v>427</v>
      </c>
      <c r="AY60" s="64" t="s" ph="1">
        <v>260</v>
      </c>
      <c r="AZ60" s="64" t="s" ph="1">
        <v>411</v>
      </c>
    </row>
    <row r="61" spans="16:52" ph="1">
      <c r="AH61" s="64" ph="1">
        <v>2</v>
      </c>
      <c r="AI61" s="64" t="s" ph="1">
        <v>428</v>
      </c>
      <c r="AS61" s="64" t="s" ph="1">
        <v>261</v>
      </c>
      <c r="AY61" s="64" t="s" ph="1">
        <v>260</v>
      </c>
      <c r="AZ61" s="64" t="s" ph="1">
        <v>411</v>
      </c>
    </row>
    <row r="62" spans="16:52" ph="1">
      <c r="AZ62" s="64" t="s" ph="1">
        <v>429</v>
      </c>
    </row>
    <row r="63" spans="16:52" ph="1">
      <c r="AG63" s="64" t="s" ph="1">
        <v>282</v>
      </c>
      <c r="AI63" s="64" t="s" ph="1">
        <v>253</v>
      </c>
      <c r="AJ63" s="64" t="s" ph="1">
        <v>254</v>
      </c>
      <c r="AK63" s="64" t="s" ph="1">
        <v>255</v>
      </c>
      <c r="AM63" s="64" t="s" ph="1">
        <v>254</v>
      </c>
      <c r="AN63" s="64" t="s" ph="1">
        <v>255</v>
      </c>
      <c r="AO63" s="64" t="s" ph="1">
        <v>256</v>
      </c>
      <c r="AP63" s="64" t="s" ph="1">
        <v>254</v>
      </c>
      <c r="AQ63" s="64" t="s" ph="1">
        <v>255</v>
      </c>
      <c r="AR63" s="64" t="s" ph="1">
        <v>256</v>
      </c>
      <c r="AS63" s="64" t="s" ph="1">
        <v>254</v>
      </c>
      <c r="AT63" s="64" t="s" ph="1">
        <v>255</v>
      </c>
      <c r="AU63" s="64" t="s" ph="1">
        <v>256</v>
      </c>
      <c r="AV63" s="64" t="s" ph="1">
        <v>254</v>
      </c>
      <c r="AW63" s="64" t="s" ph="1">
        <v>255</v>
      </c>
      <c r="AX63" s="64" t="s" ph="1">
        <v>256</v>
      </c>
      <c r="AY63" s="64" t="s" ph="1">
        <v>255</v>
      </c>
      <c r="AZ63" s="64" t="s" ph="1">
        <v>257</v>
      </c>
    </row>
    <row r="64" spans="16:52" ph="1">
      <c r="AH64" s="64" ph="1">
        <v>1</v>
      </c>
      <c r="AI64" s="64" t="s" ph="1">
        <v>430</v>
      </c>
      <c r="AJ64" s="64" t="s" ph="1">
        <v>431</v>
      </c>
      <c r="AK64" s="64" t="s" ph="1">
        <v>432</v>
      </c>
      <c r="AY64" s="64" t="s" ph="1">
        <v>260</v>
      </c>
      <c r="AZ64" s="64" t="s" ph="1">
        <v>432</v>
      </c>
    </row>
    <row r="65" spans="33:52" ph="1">
      <c r="AH65" s="64" ph="1">
        <v>2</v>
      </c>
      <c r="AI65" s="64" t="s" ph="1">
        <v>433</v>
      </c>
      <c r="AY65" s="64" t="s" ph="1">
        <v>260</v>
      </c>
      <c r="AZ65" s="64" t="s" ph="1">
        <v>411</v>
      </c>
    </row>
    <row r="66" spans="33:52" ph="1">
      <c r="AH66" s="64" ph="1">
        <v>3</v>
      </c>
      <c r="AI66" s="64" t="s" ph="1">
        <v>434</v>
      </c>
      <c r="AY66" s="64" t="s" ph="1">
        <v>260</v>
      </c>
      <c r="AZ66" s="64" t="s" ph="1">
        <v>411</v>
      </c>
    </row>
    <row r="67" spans="33:52" ph="1">
      <c r="AH67" s="64" ph="1">
        <v>4</v>
      </c>
      <c r="AI67" s="64" t="s" ph="1">
        <v>435</v>
      </c>
      <c r="AY67" s="64" t="s" ph="1">
        <v>260</v>
      </c>
      <c r="AZ67" s="64" t="s" ph="1">
        <v>411</v>
      </c>
    </row>
    <row r="68" spans="33:52" ph="1">
      <c r="AH68" s="64" ph="1">
        <v>5</v>
      </c>
      <c r="AI68" s="64" t="s" ph="1">
        <v>436</v>
      </c>
      <c r="AY68" s="64" t="s" ph="1">
        <v>260</v>
      </c>
      <c r="AZ68" s="64" t="s" ph="1">
        <v>411</v>
      </c>
    </row>
    <row r="69" spans="33:52" ph="1">
      <c r="AH69" s="64" ph="1">
        <v>6</v>
      </c>
      <c r="AI69" s="64" t="s" ph="1">
        <v>437</v>
      </c>
      <c r="AY69" s="64" t="s" ph="1">
        <v>260</v>
      </c>
      <c r="AZ69" s="64" t="s" ph="1">
        <v>411</v>
      </c>
    </row>
    <row r="70" spans="33:52" ph="1">
      <c r="AI70" s="64" t="s" ph="1">
        <v>438</v>
      </c>
      <c r="AY70" s="64" t="s" ph="1">
        <v>260</v>
      </c>
      <c r="AZ70" s="64" t="s" ph="1">
        <v>411</v>
      </c>
    </row>
    <row r="71" spans="33:52" ph="1">
      <c r="AH71" s="64" ph="1">
        <v>7</v>
      </c>
      <c r="AI71" s="64" t="s" ph="1">
        <v>439</v>
      </c>
      <c r="AJ71" s="64" t="s" ph="1">
        <v>378</v>
      </c>
      <c r="AK71" s="64" t="s" ph="1">
        <v>272</v>
      </c>
      <c r="AM71" s="64" t="s" ph="1">
        <v>380</v>
      </c>
      <c r="AN71" s="64" t="s" ph="1">
        <v>272</v>
      </c>
      <c r="AO71" s="64" t="s" ph="1">
        <v>440</v>
      </c>
      <c r="AP71" s="64" t="s" ph="1">
        <v>614</v>
      </c>
      <c r="AQ71" s="64" t="s" ph="1">
        <v>263</v>
      </c>
      <c r="AR71" s="64" t="s" ph="1">
        <v>440</v>
      </c>
      <c r="AY71" s="64" t="s" ph="1">
        <v>260</v>
      </c>
      <c r="AZ71" s="64" t="s" ph="1">
        <v>622</v>
      </c>
    </row>
    <row r="72" spans="33:52" ph="1">
      <c r="AZ72" s="64" t="s" ph="1">
        <v>623</v>
      </c>
    </row>
    <row r="73" spans="33:52" ph="1">
      <c r="AG73" s="64" t="s" ph="1">
        <v>285</v>
      </c>
      <c r="AI73" s="64" t="s" ph="1">
        <v>253</v>
      </c>
      <c r="AJ73" s="64" t="s" ph="1">
        <v>254</v>
      </c>
      <c r="AK73" s="64" t="s" ph="1">
        <v>255</v>
      </c>
      <c r="AM73" s="64" t="s" ph="1">
        <v>254</v>
      </c>
      <c r="AN73" s="64" t="s" ph="1">
        <v>255</v>
      </c>
      <c r="AO73" s="64" t="s" ph="1">
        <v>256</v>
      </c>
      <c r="AP73" s="64" t="s" ph="1">
        <v>254</v>
      </c>
      <c r="AQ73" s="64" t="s" ph="1">
        <v>255</v>
      </c>
      <c r="AR73" s="64" t="s" ph="1">
        <v>256</v>
      </c>
      <c r="AS73" s="64" t="s" ph="1">
        <v>254</v>
      </c>
      <c r="AT73" s="64" t="s" ph="1">
        <v>255</v>
      </c>
      <c r="AU73" s="64" t="s" ph="1">
        <v>256</v>
      </c>
      <c r="AV73" s="64" t="s" ph="1">
        <v>254</v>
      </c>
      <c r="AW73" s="64" t="s" ph="1">
        <v>255</v>
      </c>
      <c r="AX73" s="64" t="s" ph="1">
        <v>256</v>
      </c>
      <c r="AY73" s="64" t="s" ph="1">
        <v>255</v>
      </c>
      <c r="AZ73" s="64" t="s" ph="1">
        <v>257</v>
      </c>
    </row>
    <row r="74" spans="33:52" ph="1">
      <c r="AH74" s="64" ph="1">
        <v>1</v>
      </c>
      <c r="AI74" s="64" t="s" ph="1">
        <v>441</v>
      </c>
      <c r="AJ74" s="64" t="s" ph="1">
        <v>286</v>
      </c>
      <c r="AK74" s="64" t="s" ph="1">
        <v>268</v>
      </c>
      <c r="AM74" s="64" t="s" ph="1">
        <v>288</v>
      </c>
      <c r="AN74" s="64" t="s" ph="1">
        <v>298</v>
      </c>
      <c r="AO74" s="64" t="s" ph="1">
        <v>287</v>
      </c>
      <c r="AP74" s="64" t="s" ph="1">
        <v>289</v>
      </c>
      <c r="AQ74" s="64" t="s" ph="1">
        <v>266</v>
      </c>
      <c r="AR74" s="64" t="s" ph="1">
        <v>287</v>
      </c>
      <c r="AS74" s="64" t="s" ph="1">
        <v>259</v>
      </c>
      <c r="AT74" s="64" t="s" ph="1">
        <v>261</v>
      </c>
      <c r="AV74" s="64" t="s" ph="1">
        <v>442</v>
      </c>
      <c r="AW74" s="64" t="s" ph="1">
        <v>443</v>
      </c>
      <c r="AX74" s="64" t="s" ph="1">
        <v>444</v>
      </c>
      <c r="AY74" s="64" t="s" ph="1">
        <v>260</v>
      </c>
      <c r="AZ74" s="64" t="s" ph="1">
        <v>445</v>
      </c>
    </row>
    <row r="75" spans="33:52" ph="1">
      <c r="AJ75" s="64" t="s" ph="1">
        <v>291</v>
      </c>
      <c r="AK75" s="64" t="s" ph="1">
        <v>344</v>
      </c>
      <c r="AM75" s="64" t="s" ph="1">
        <v>289</v>
      </c>
      <c r="AN75" s="64" t="s" ph="1">
        <v>269</v>
      </c>
      <c r="AO75" s="64" t="s" ph="1">
        <v>287</v>
      </c>
      <c r="AS75" s="64" t="s" ph="1">
        <v>259</v>
      </c>
      <c r="AT75" s="64" t="s" ph="1">
        <v>290</v>
      </c>
    </row>
    <row r="76" spans="33:52" ph="1">
      <c r="AJ76" s="64" t="s" ph="1">
        <v>291</v>
      </c>
      <c r="AK76" s="64" t="s" ph="1">
        <v>284</v>
      </c>
      <c r="AM76" s="64" t="s" ph="1">
        <v>289</v>
      </c>
      <c r="AN76" s="64" t="s" ph="1">
        <v>272</v>
      </c>
      <c r="AO76" s="64" t="s" ph="1">
        <v>287</v>
      </c>
      <c r="AS76" s="64" t="s" ph="1">
        <v>259</v>
      </c>
      <c r="AT76" s="64" t="s" ph="1">
        <v>290</v>
      </c>
    </row>
    <row r="77" spans="33:52" ph="1">
      <c r="AJ77" s="64" t="s" ph="1">
        <v>327</v>
      </c>
      <c r="AK77" s="64" t="s" ph="1">
        <v>284</v>
      </c>
      <c r="AM77" s="64" t="s" ph="1">
        <v>328</v>
      </c>
      <c r="AN77" s="64" t="s" ph="1">
        <v>267</v>
      </c>
      <c r="AO77" s="64" t="s" ph="1">
        <v>287</v>
      </c>
      <c r="AS77" s="64" t="s" ph="1">
        <v>259</v>
      </c>
      <c r="AT77" s="64" t="s" ph="1">
        <v>329</v>
      </c>
    </row>
    <row r="78" spans="33:52" ph="1">
      <c r="AH78" s="64" ph="1">
        <v>2</v>
      </c>
      <c r="AI78" s="64" t="s" ph="1">
        <v>293</v>
      </c>
      <c r="AJ78" s="64" t="s" ph="1">
        <v>294</v>
      </c>
      <c r="AK78" s="64" t="s" ph="1">
        <v>263</v>
      </c>
      <c r="AM78" s="64" t="s" ph="1">
        <v>295</v>
      </c>
      <c r="AN78" s="64" t="s" ph="1">
        <v>298</v>
      </c>
      <c r="AO78" s="64" t="s" ph="1">
        <v>287</v>
      </c>
      <c r="AP78" s="64" t="s" ph="1">
        <v>296</v>
      </c>
      <c r="AQ78" s="64" t="s" ph="1">
        <v>342</v>
      </c>
      <c r="AR78" s="64" t="s" ph="1">
        <v>287</v>
      </c>
      <c r="AS78" s="64" t="s" ph="1">
        <v>297</v>
      </c>
      <c r="AT78" s="64" t="s" ph="1">
        <v>298</v>
      </c>
      <c r="AU78" s="64" t="s" ph="1">
        <v>287</v>
      </c>
      <c r="AV78" s="64" t="s" ph="1">
        <v>299</v>
      </c>
      <c r="AW78" s="64" t="s" ph="1">
        <v>287</v>
      </c>
      <c r="AY78" s="64" t="s" ph="1">
        <v>260</v>
      </c>
      <c r="AZ78" s="64" t="s" ph="1">
        <v>446</v>
      </c>
    </row>
    <row r="79" spans="33:52" ph="1">
      <c r="AJ79" s="64" t="s" ph="1">
        <v>289</v>
      </c>
      <c r="AK79" s="64" t="s" ph="1">
        <v>300</v>
      </c>
      <c r="AM79" s="64" t="s" ph="1">
        <v>301</v>
      </c>
      <c r="AN79" s="64" t="s" ph="1">
        <v>269</v>
      </c>
      <c r="AO79" s="64" t="s" ph="1">
        <v>287</v>
      </c>
      <c r="AP79" s="64" t="s" ph="1">
        <v>302</v>
      </c>
      <c r="AQ79" s="64" t="s" ph="1">
        <v>267</v>
      </c>
      <c r="AR79" s="64" t="s" ph="1">
        <v>303</v>
      </c>
      <c r="AS79" s="64" t="s" ph="1">
        <v>259</v>
      </c>
      <c r="AT79" s="64" t="s" ph="1">
        <v>304</v>
      </c>
      <c r="AV79" s="64" t="s" ph="1">
        <v>447</v>
      </c>
      <c r="AW79" s="64" t="s" ph="1">
        <v>346</v>
      </c>
      <c r="AX79" s="64" t="s" ph="1">
        <v>444</v>
      </c>
    </row>
    <row r="80" spans="33:52" ph="1">
      <c r="AH80" s="64" ph="1">
        <v>3</v>
      </c>
      <c r="AI80" s="64" t="s" ph="1">
        <v>305</v>
      </c>
      <c r="AJ80" s="64" t="s" ph="1">
        <v>306</v>
      </c>
      <c r="AK80" s="64" t="s" ph="1">
        <v>307</v>
      </c>
      <c r="AM80" s="64" t="s" ph="1">
        <v>308</v>
      </c>
      <c r="AN80" s="64" t="s" ph="1">
        <v>298</v>
      </c>
      <c r="AO80" s="64" t="s" ph="1">
        <v>287</v>
      </c>
      <c r="AP80" s="64" t="s" ph="1">
        <v>309</v>
      </c>
      <c r="AQ80" s="64" t="s" ph="1">
        <v>272</v>
      </c>
      <c r="AR80" s="64" t="s" ph="1">
        <v>287</v>
      </c>
      <c r="AS80" s="64" t="s" ph="1">
        <v>310</v>
      </c>
      <c r="AT80" s="64" t="s" ph="1">
        <v>271</v>
      </c>
      <c r="AU80" s="64" t="s" ph="1">
        <v>287</v>
      </c>
      <c r="AV80" s="64" t="s" ph="1">
        <v>311</v>
      </c>
      <c r="AW80" s="64" t="s" ph="1">
        <v>287</v>
      </c>
      <c r="AY80" s="64" t="s" ph="1">
        <v>260</v>
      </c>
      <c r="AZ80" s="64" t="s" ph="1">
        <v>448</v>
      </c>
    </row>
    <row r="81" spans="34:52" ph="1">
      <c r="AJ81" s="64" t="s" ph="1">
        <v>312</v>
      </c>
      <c r="AK81" s="64" t="s" ph="1">
        <v>266</v>
      </c>
      <c r="AM81" s="64" t="s" ph="1">
        <v>313</v>
      </c>
      <c r="AN81" s="64" t="s" ph="1">
        <v>269</v>
      </c>
      <c r="AO81" s="64" t="s" ph="1">
        <v>287</v>
      </c>
      <c r="AP81" s="64" t="s" ph="1">
        <v>314</v>
      </c>
      <c r="AQ81" s="64" t="s" ph="1">
        <v>298</v>
      </c>
      <c r="AR81" s="64" t="s" ph="1">
        <v>287</v>
      </c>
      <c r="AS81" s="64" t="s" ph="1">
        <v>315</v>
      </c>
      <c r="AT81" s="64" t="s" ph="1">
        <v>316</v>
      </c>
      <c r="AU81" s="64" t="s" ph="1">
        <v>287</v>
      </c>
      <c r="AV81" s="64" t="s" ph="1">
        <v>317</v>
      </c>
    </row>
    <row r="82" spans="34:52" ph="1">
      <c r="AJ82" s="64" t="s" ph="1">
        <v>318</v>
      </c>
      <c r="AK82" s="64" t="s" ph="1">
        <v>266</v>
      </c>
      <c r="AM82" s="64" t="s" ph="1">
        <v>319</v>
      </c>
      <c r="AN82" s="64" t="s" ph="1">
        <v>316</v>
      </c>
      <c r="AO82" s="64" t="s" ph="1">
        <v>320</v>
      </c>
      <c r="AP82" s="64" t="s" ph="1">
        <v>321</v>
      </c>
      <c r="AQ82" s="64" t="s" ph="1">
        <v>298</v>
      </c>
      <c r="AR82" s="64" t="s" ph="1">
        <v>287</v>
      </c>
      <c r="AS82" s="64" t="s" ph="1">
        <v>322</v>
      </c>
      <c r="AT82" s="64" t="s" ph="1">
        <v>273</v>
      </c>
      <c r="AU82" s="64" t="s" ph="1">
        <v>287</v>
      </c>
      <c r="AV82" s="64" t="s" ph="1">
        <v>447</v>
      </c>
      <c r="AW82" s="64" t="s" ph="1">
        <v>347</v>
      </c>
      <c r="AX82" s="64" t="s" ph="1">
        <v>444</v>
      </c>
    </row>
    <row r="83" spans="34:52" ph="1">
      <c r="AJ83" s="64" t="s" ph="1">
        <v>323</v>
      </c>
      <c r="AK83" s="64" t="s" ph="1">
        <v>340</v>
      </c>
      <c r="AM83" s="64" t="s" ph="1">
        <v>324</v>
      </c>
      <c r="AN83" s="64" t="s" ph="1">
        <v>272</v>
      </c>
      <c r="AO83" s="64" t="s" ph="1">
        <v>303</v>
      </c>
      <c r="AP83" s="64" t="s" ph="1">
        <v>325</v>
      </c>
      <c r="AQ83" s="64" t="s" ph="1">
        <v>326</v>
      </c>
      <c r="AR83" s="64" t="s" ph="1">
        <v>303</v>
      </c>
      <c r="AS83" s="64" t="s" ph="1">
        <v>449</v>
      </c>
      <c r="AT83" s="64" t="s" ph="1">
        <v>298</v>
      </c>
      <c r="AU83" s="64" t="s" ph="1">
        <v>303</v>
      </c>
      <c r="AV83" s="64" t="s" ph="1">
        <v>450</v>
      </c>
      <c r="AW83" s="64" t="s" ph="1">
        <v>347</v>
      </c>
      <c r="AX83" s="64" t="s" ph="1">
        <v>451</v>
      </c>
    </row>
    <row r="84" spans="34:52" ph="1">
      <c r="AH84" s="64" ph="1">
        <v>4</v>
      </c>
      <c r="AI84" s="64" t="s" ph="1">
        <v>330</v>
      </c>
      <c r="AJ84" s="64" t="s" ph="1">
        <v>270</v>
      </c>
      <c r="AK84" s="64" t="s" ph="1">
        <v>273</v>
      </c>
      <c r="AM84" s="64" t="s" ph="1">
        <v>274</v>
      </c>
      <c r="AN84" s="64" t="s" ph="1">
        <v>267</v>
      </c>
      <c r="AO84" s="64" t="s" ph="1">
        <v>303</v>
      </c>
      <c r="AP84" s="64" t="s" ph="1">
        <v>332</v>
      </c>
      <c r="AQ84" s="64" t="s" ph="1">
        <v>266</v>
      </c>
      <c r="AR84" s="64" t="s" ph="1">
        <v>303</v>
      </c>
      <c r="AS84" s="64" t="s" ph="1">
        <v>332</v>
      </c>
      <c r="AT84" s="64" t="s" ph="1">
        <v>268</v>
      </c>
      <c r="AU84" s="64" t="s" ph="1">
        <v>303</v>
      </c>
      <c r="AY84" s="64" t="s" ph="1">
        <v>260</v>
      </c>
      <c r="AZ84" s="64" t="s" ph="1">
        <v>452</v>
      </c>
    </row>
    <row r="85" spans="34:52" ph="1">
      <c r="AJ85" s="64" t="s" ph="1">
        <v>262</v>
      </c>
      <c r="AK85" s="64" t="s" ph="1">
        <v>266</v>
      </c>
      <c r="AM85" s="64" t="s" ph="1">
        <v>453</v>
      </c>
      <c r="AN85" s="64" t="s" ph="1">
        <v>273</v>
      </c>
      <c r="AO85" s="64" t="s" ph="1">
        <v>303</v>
      </c>
      <c r="AP85" s="64" t="s" ph="1">
        <v>454</v>
      </c>
      <c r="AQ85" s="64" t="s" ph="1">
        <v>269</v>
      </c>
      <c r="AR85" s="64" t="s" ph="1">
        <v>303</v>
      </c>
      <c r="AS85" s="64" t="s" ph="1">
        <v>455</v>
      </c>
      <c r="AT85" s="64" t="s" ph="1">
        <v>269</v>
      </c>
      <c r="AU85" s="64" t="s" ph="1">
        <v>303</v>
      </c>
    </row>
    <row r="86" spans="34:52" ph="1">
      <c r="AJ86" s="64" t="s" ph="1">
        <v>456</v>
      </c>
      <c r="AK86" s="64" t="s" ph="1">
        <v>275</v>
      </c>
      <c r="AM86" s="64" t="s" ph="1">
        <v>457</v>
      </c>
      <c r="AN86" s="64" t="s" ph="1">
        <v>316</v>
      </c>
      <c r="AO86" s="64" t="s" ph="1">
        <v>303</v>
      </c>
      <c r="AP86" s="64" t="s" ph="1">
        <v>458</v>
      </c>
      <c r="AQ86" s="64" t="s" ph="1">
        <v>263</v>
      </c>
      <c r="AR86" s="64" t="s" ph="1">
        <v>303</v>
      </c>
      <c r="AS86" s="64" t="s" ph="1">
        <v>459</v>
      </c>
      <c r="AT86" s="64" t="s" ph="1">
        <v>281</v>
      </c>
      <c r="AU86" s="64" t="s" ph="1">
        <v>303</v>
      </c>
    </row>
    <row r="87" spans="34:52" ph="1">
      <c r="AJ87" s="64" t="s" ph="1">
        <v>460</v>
      </c>
      <c r="AK87" s="64" t="s" ph="1">
        <v>316</v>
      </c>
      <c r="AM87" s="64" t="s" ph="1">
        <v>447</v>
      </c>
      <c r="AN87" s="64" t="s" ph="1">
        <v>461</v>
      </c>
      <c r="AO87" s="64" t="s" ph="1">
        <v>444</v>
      </c>
    </row>
    <row r="88" spans="34:52" ph="1">
      <c r="AH88" s="64" ph="1">
        <v>5</v>
      </c>
      <c r="AI88" s="64" t="s" ph="1">
        <v>333</v>
      </c>
      <c r="AJ88" s="64" t="s" ph="1">
        <v>462</v>
      </c>
      <c r="AK88" s="64" t="s" ph="1">
        <v>316</v>
      </c>
      <c r="AM88" s="64" t="s" ph="1">
        <v>463</v>
      </c>
      <c r="AN88" s="64" t="s" ph="1">
        <v>316</v>
      </c>
      <c r="AO88" s="64" t="s" ph="1">
        <v>303</v>
      </c>
      <c r="AP88" s="64" t="s" ph="1">
        <v>464</v>
      </c>
      <c r="AQ88" s="64" t="s" ph="1">
        <v>266</v>
      </c>
      <c r="AR88" s="64" t="s" ph="1">
        <v>303</v>
      </c>
      <c r="AS88" s="64" t="s" ph="1">
        <v>465</v>
      </c>
      <c r="AT88" s="64" t="s" ph="1">
        <v>316</v>
      </c>
      <c r="AU88" s="64" t="s" ph="1">
        <v>303</v>
      </c>
      <c r="AV88" s="64" t="s" ph="1">
        <v>466</v>
      </c>
      <c r="AW88" s="64" t="s" ph="1">
        <v>271</v>
      </c>
      <c r="AX88" s="64" t="s" ph="1">
        <v>303</v>
      </c>
      <c r="AY88" s="64" t="s" ph="1">
        <v>260</v>
      </c>
      <c r="AZ88" s="64" t="s" ph="1">
        <v>467</v>
      </c>
    </row>
    <row r="89" spans="34:52" ph="1">
      <c r="AJ89" s="64" t="s" ph="1">
        <v>468</v>
      </c>
      <c r="AK89" s="64" t="s" ph="1">
        <v>269</v>
      </c>
      <c r="AM89" s="64" t="s" ph="1">
        <v>469</v>
      </c>
      <c r="AN89" s="64" t="s" ph="1">
        <v>272</v>
      </c>
      <c r="AO89" s="64" t="s" ph="1">
        <v>303</v>
      </c>
      <c r="AP89" s="64" t="s" ph="1">
        <v>470</v>
      </c>
      <c r="AQ89" s="64" t="s" ph="1">
        <v>281</v>
      </c>
      <c r="AR89" s="64" t="s" ph="1">
        <v>303</v>
      </c>
      <c r="AS89" s="64" t="s" ph="1">
        <v>471</v>
      </c>
      <c r="AT89" s="64" t="s" ph="1">
        <v>316</v>
      </c>
      <c r="AU89" s="64" t="s" ph="1">
        <v>303</v>
      </c>
      <c r="AV89" s="64" t="s" ph="1">
        <v>472</v>
      </c>
      <c r="AW89" s="64" t="s" ph="1">
        <v>298</v>
      </c>
      <c r="AX89" s="64" t="s" ph="1">
        <v>331</v>
      </c>
    </row>
    <row r="90" spans="34:52" ph="1">
      <c r="AJ90" s="64" t="s" ph="1">
        <v>473</v>
      </c>
      <c r="AK90" s="64" t="s" ph="1">
        <v>272</v>
      </c>
      <c r="AM90" s="64" t="s" ph="1">
        <v>474</v>
      </c>
      <c r="AN90" s="64" t="s" ph="1">
        <v>269</v>
      </c>
      <c r="AO90" s="64" t="s" ph="1">
        <v>303</v>
      </c>
      <c r="AP90" s="64" t="s" ph="1">
        <v>475</v>
      </c>
      <c r="AQ90" s="64" t="s" ph="1">
        <v>338</v>
      </c>
      <c r="AR90" s="64" t="s" ph="1">
        <v>303</v>
      </c>
      <c r="AS90" s="64" t="s" ph="1">
        <v>476</v>
      </c>
      <c r="AT90" s="64" t="s" ph="1">
        <v>326</v>
      </c>
      <c r="AU90" s="64" t="s" ph="1">
        <v>303</v>
      </c>
      <c r="AV90" s="64" t="s" ph="1">
        <v>477</v>
      </c>
      <c r="AW90" s="64" t="s" ph="1">
        <v>263</v>
      </c>
      <c r="AX90" s="64" t="s" ph="1">
        <v>303</v>
      </c>
    </row>
    <row r="91" spans="34:52" ph="1">
      <c r="AJ91" s="64" t="s" ph="1">
        <v>478</v>
      </c>
      <c r="AK91" s="64" t="s" ph="1">
        <v>316</v>
      </c>
      <c r="AM91" s="64" t="s" ph="1">
        <v>479</v>
      </c>
      <c r="AN91" s="64" t="s" ph="1">
        <v>283</v>
      </c>
      <c r="AO91" s="64" t="s" ph="1">
        <v>303</v>
      </c>
      <c r="AP91" s="64" t="s" ph="1">
        <v>480</v>
      </c>
      <c r="AQ91" s="64" t="s" ph="1">
        <v>263</v>
      </c>
      <c r="AS91" s="64" t="s" ph="1">
        <v>447</v>
      </c>
      <c r="AT91" s="64" t="s" ph="1">
        <v>443</v>
      </c>
      <c r="AU91" s="64" t="s" ph="1">
        <v>444</v>
      </c>
    </row>
    <row r="92" spans="34:52" ph="1">
      <c r="AH92" s="64" ph="1">
        <v>6</v>
      </c>
      <c r="AI92" s="64" t="s" ph="1">
        <v>481</v>
      </c>
      <c r="AJ92" s="64" t="s" ph="1">
        <v>482</v>
      </c>
      <c r="AK92" s="64" t="s" ph="1">
        <v>411</v>
      </c>
      <c r="AM92" s="64" t="s" ph="1">
        <v>483</v>
      </c>
      <c r="AN92" s="64" t="s" ph="1">
        <v>271</v>
      </c>
      <c r="AO92" s="64" t="s" ph="1">
        <v>303</v>
      </c>
      <c r="AP92" s="64" t="s" ph="1">
        <v>484</v>
      </c>
      <c r="AQ92" s="64" t="s" ph="1">
        <v>343</v>
      </c>
      <c r="AR92" s="64" t="s" ph="1">
        <v>303</v>
      </c>
      <c r="AS92" s="64" t="s" ph="1">
        <v>485</v>
      </c>
      <c r="AT92" s="64" t="s" ph="1">
        <v>316</v>
      </c>
      <c r="AU92" s="64" t="s" ph="1">
        <v>303</v>
      </c>
      <c r="AV92" s="64" t="s" ph="1">
        <v>486</v>
      </c>
      <c r="AW92" s="64" t="s" ph="1">
        <v>272</v>
      </c>
      <c r="AX92" s="64" t="s" ph="1">
        <v>303</v>
      </c>
      <c r="AY92" s="64" t="s" ph="1">
        <v>260</v>
      </c>
      <c r="AZ92" s="64" t="s" ph="1">
        <v>467</v>
      </c>
    </row>
    <row r="93" spans="34:52" ph="1">
      <c r="AJ93" s="64" t="s" ph="1">
        <v>487</v>
      </c>
      <c r="AK93" s="64" t="s" ph="1">
        <v>266</v>
      </c>
      <c r="AM93" s="64" t="s" ph="1">
        <v>488</v>
      </c>
      <c r="AN93" s="64" t="s" ph="1">
        <v>271</v>
      </c>
      <c r="AO93" s="64" t="s" ph="1">
        <v>303</v>
      </c>
      <c r="AP93" s="64" t="s" ph="1">
        <v>489</v>
      </c>
      <c r="AQ93" s="64" t="s" ph="1">
        <v>275</v>
      </c>
      <c r="AR93" s="64" t="s" ph="1">
        <v>303</v>
      </c>
      <c r="AS93" s="64" t="s" ph="1">
        <v>490</v>
      </c>
      <c r="AT93" s="64" t="s" ph="1">
        <v>281</v>
      </c>
      <c r="AU93" s="64" t="s" ph="1">
        <v>303</v>
      </c>
      <c r="AV93" s="64" t="s" ph="1">
        <v>491</v>
      </c>
      <c r="AW93" s="64" t="s" ph="1">
        <v>275</v>
      </c>
      <c r="AX93" s="64" t="s" ph="1">
        <v>303</v>
      </c>
    </row>
    <row r="94" spans="34:52" ph="1">
      <c r="AJ94" s="64" t="s" ph="1">
        <v>492</v>
      </c>
      <c r="AK94" s="64" t="s" ph="1">
        <v>338</v>
      </c>
      <c r="AM94" s="64" t="s" ph="1">
        <v>493</v>
      </c>
      <c r="AN94" s="64" t="s" ph="1">
        <v>275</v>
      </c>
      <c r="AO94" s="64" t="s" ph="1">
        <v>303</v>
      </c>
      <c r="AP94" s="64" t="s" ph="1">
        <v>494</v>
      </c>
      <c r="AQ94" s="64" t="s" ph="1">
        <v>283</v>
      </c>
      <c r="AR94" s="64" t="s" ph="1">
        <v>303</v>
      </c>
      <c r="AS94" s="64" t="s" ph="1">
        <v>495</v>
      </c>
      <c r="AT94" s="64" t="s" ph="1">
        <v>269</v>
      </c>
      <c r="AU94" s="64" t="s" ph="1">
        <v>303</v>
      </c>
      <c r="AV94" s="64" t="s" ph="1">
        <v>496</v>
      </c>
      <c r="AW94" s="64" t="s" ph="1">
        <v>269</v>
      </c>
      <c r="AX94" s="64" t="s" ph="1">
        <v>303</v>
      </c>
    </row>
    <row r="95" spans="34:52" ph="1">
      <c r="AJ95" s="64" t="s" ph="1">
        <v>497</v>
      </c>
      <c r="AK95" s="64" t="s" ph="1">
        <v>343</v>
      </c>
    </row>
    <row r="96" spans="34:52" ph="1">
      <c r="AH96" s="64" ph="1">
        <v>7</v>
      </c>
      <c r="AI96" s="64" t="s" ph="1">
        <v>498</v>
      </c>
      <c r="AJ96" s="64" t="s" ph="1">
        <v>497</v>
      </c>
      <c r="AK96" s="64" t="s" ph="1">
        <v>298</v>
      </c>
      <c r="AM96" s="64" t="s" ph="1">
        <v>499</v>
      </c>
      <c r="AN96" s="64" t="s" ph="1">
        <v>272</v>
      </c>
      <c r="AO96" s="64" t="s" ph="1">
        <v>303</v>
      </c>
      <c r="AP96" s="64" t="s" ph="1">
        <v>500</v>
      </c>
      <c r="AQ96" s="64" t="s" ph="1">
        <v>316</v>
      </c>
      <c r="AR96" s="64" t="s" ph="1">
        <v>331</v>
      </c>
      <c r="AS96" s="64" t="s" ph="1">
        <v>501</v>
      </c>
      <c r="AT96" s="64" t="s" ph="1">
        <v>275</v>
      </c>
      <c r="AU96" s="64" t="s" ph="1">
        <v>331</v>
      </c>
      <c r="AV96" s="64" t="s" ph="1">
        <v>502</v>
      </c>
      <c r="AW96" s="64" t="s" ph="1">
        <v>271</v>
      </c>
      <c r="AX96" s="64" t="s" ph="1">
        <v>331</v>
      </c>
      <c r="AY96" s="64" t="s" ph="1">
        <v>260</v>
      </c>
      <c r="AZ96" s="64" t="s" ph="1">
        <v>503</v>
      </c>
    </row>
    <row r="97" spans="33:52" ph="1">
      <c r="AJ97" s="64" t="s" ph="1">
        <v>504</v>
      </c>
      <c r="AK97" s="64" t="s" ph="1">
        <v>326</v>
      </c>
      <c r="AM97" s="64" t="s" ph="1">
        <v>505</v>
      </c>
      <c r="AN97" s="64" t="s" ph="1">
        <v>269</v>
      </c>
      <c r="AO97" s="64" t="s" ph="1">
        <v>303</v>
      </c>
      <c r="AP97" s="64" t="s" ph="1">
        <v>506</v>
      </c>
      <c r="AQ97" s="64" t="s" ph="1">
        <v>263</v>
      </c>
      <c r="AR97" s="64" t="s" ph="1">
        <v>331</v>
      </c>
      <c r="AS97" s="64" t="s" ph="1">
        <v>507</v>
      </c>
      <c r="AT97" s="64" t="s" ph="1">
        <v>266</v>
      </c>
      <c r="AU97" s="64" t="s" ph="1">
        <v>331</v>
      </c>
      <c r="AV97" s="64" t="s" ph="1">
        <v>508</v>
      </c>
      <c r="AW97" s="64" t="s" ph="1">
        <v>272</v>
      </c>
      <c r="AX97" s="64" t="s" ph="1">
        <v>331</v>
      </c>
    </row>
    <row r="98" spans="33:52" ph="1">
      <c r="AJ98" s="64" t="s" ph="1">
        <v>509</v>
      </c>
      <c r="AK98" s="64" t="s" ph="1">
        <v>275</v>
      </c>
      <c r="AM98" s="64" t="s" ph="1">
        <v>510</v>
      </c>
      <c r="AN98" s="64" t="s" ph="1">
        <v>283</v>
      </c>
      <c r="AO98" s="64" t="s" ph="1">
        <v>303</v>
      </c>
      <c r="AP98" s="64" t="s" ph="1">
        <v>511</v>
      </c>
      <c r="AQ98" s="64" t="s" ph="1">
        <v>263</v>
      </c>
      <c r="AR98" s="64" t="s" ph="1">
        <v>331</v>
      </c>
      <c r="AS98" s="64" t="s" ph="1">
        <v>512</v>
      </c>
      <c r="AT98" s="64" t="s" ph="1">
        <v>343</v>
      </c>
      <c r="AU98" s="64" t="s" ph="1">
        <v>331</v>
      </c>
      <c r="AV98" s="64" t="s" ph="1">
        <v>513</v>
      </c>
      <c r="AW98" s="64" t="s" ph="1">
        <v>266</v>
      </c>
      <c r="AX98" s="64" t="s" ph="1">
        <v>331</v>
      </c>
    </row>
    <row r="99" spans="33:52" ph="1">
      <c r="AH99" s="64" ph="1">
        <v>8</v>
      </c>
      <c r="AI99" s="64" t="s" ph="1">
        <v>514</v>
      </c>
      <c r="AJ99" s="64" t="s" ph="1">
        <v>515</v>
      </c>
      <c r="AK99" s="64" t="s" ph="1">
        <v>411</v>
      </c>
      <c r="AM99" s="64" t="s" ph="1">
        <v>516</v>
      </c>
      <c r="AN99" s="64" t="s" ph="1">
        <v>298</v>
      </c>
      <c r="AO99" s="64" t="s" ph="1">
        <v>303</v>
      </c>
      <c r="AP99" s="64" t="s" ph="1">
        <v>517</v>
      </c>
      <c r="AQ99" s="64" t="s" ph="1">
        <v>268</v>
      </c>
      <c r="AR99" s="64" t="s" ph="1">
        <v>331</v>
      </c>
      <c r="AS99" s="64" t="s" ph="1">
        <v>518</v>
      </c>
      <c r="AT99" s="64" t="s" ph="1">
        <v>283</v>
      </c>
      <c r="AU99" s="64" t="s" ph="1">
        <v>331</v>
      </c>
      <c r="AV99" s="64" t="s" ph="1">
        <v>519</v>
      </c>
      <c r="AW99" s="64" t="s" ph="1">
        <v>268</v>
      </c>
      <c r="AX99" s="64" t="s" ph="1">
        <v>331</v>
      </c>
      <c r="AY99" s="64" t="s" ph="1">
        <v>260</v>
      </c>
      <c r="AZ99" s="64" t="s" ph="1">
        <v>520</v>
      </c>
    </row>
    <row r="100" spans="33:52" ph="1">
      <c r="AJ100" s="64" t="s" ph="1">
        <v>521</v>
      </c>
      <c r="AK100" s="64" t="s" ph="1">
        <v>266</v>
      </c>
      <c r="AM100" s="64" t="s" ph="1">
        <v>522</v>
      </c>
      <c r="AN100" s="64" t="s" ph="1">
        <v>338</v>
      </c>
      <c r="AO100" s="64" t="s" ph="1">
        <v>303</v>
      </c>
      <c r="AP100" s="64" t="s" ph="1">
        <v>523</v>
      </c>
      <c r="AQ100" s="64" t="s" ph="1">
        <v>344</v>
      </c>
      <c r="AR100" s="64" t="s" ph="1">
        <v>331</v>
      </c>
      <c r="AS100" s="64" t="s" ph="1">
        <v>524</v>
      </c>
      <c r="AT100" s="64" t="s" ph="1">
        <v>411</v>
      </c>
      <c r="AU100" s="64" t="s" ph="1">
        <v>303</v>
      </c>
      <c r="AV100" s="64" t="s" ph="1">
        <v>525</v>
      </c>
      <c r="AW100" s="64" t="s" ph="1">
        <v>411</v>
      </c>
      <c r="AX100" s="64" t="s" ph="1">
        <v>303</v>
      </c>
    </row>
    <row r="101" spans="33:52" ph="1">
      <c r="AJ101" s="64" t="s" ph="1">
        <v>526</v>
      </c>
      <c r="AK101" s="64" t="s" ph="1">
        <v>411</v>
      </c>
      <c r="AM101" s="64" t="s" ph="1">
        <v>527</v>
      </c>
      <c r="AN101" s="64" t="s" ph="1">
        <v>269</v>
      </c>
      <c r="AO101" s="64" t="s" ph="1">
        <v>303</v>
      </c>
      <c r="AP101" s="64" t="s" ph="1">
        <v>528</v>
      </c>
      <c r="AQ101" s="64" t="s" ph="1">
        <v>281</v>
      </c>
      <c r="AR101" s="64" t="s" ph="1">
        <v>331</v>
      </c>
      <c r="AS101" s="64" t="s" ph="1">
        <v>529</v>
      </c>
      <c r="AT101" s="64" t="s" ph="1">
        <v>338</v>
      </c>
      <c r="AU101" s="64" t="s" ph="1">
        <v>331</v>
      </c>
      <c r="AV101" s="64" t="s" ph="1">
        <v>530</v>
      </c>
      <c r="AW101" s="64" t="s" ph="1">
        <v>269</v>
      </c>
      <c r="AX101" s="64" t="s" ph="1">
        <v>303</v>
      </c>
    </row>
    <row r="102" spans="33:52" ph="1">
      <c r="AJ102" s="64" t="s" ph="1">
        <v>531</v>
      </c>
      <c r="AK102" s="64" t="s" ph="1">
        <v>266</v>
      </c>
      <c r="AM102" s="64" t="s" ph="1">
        <v>532</v>
      </c>
      <c r="AN102" s="64" t="s" ph="1">
        <v>275</v>
      </c>
      <c r="AO102" s="64" t="s" ph="1">
        <v>303</v>
      </c>
      <c r="AP102" s="64" t="s" ph="1">
        <v>533</v>
      </c>
      <c r="AQ102" s="64" t="s" ph="1">
        <v>281</v>
      </c>
      <c r="AR102" s="64" t="s" ph="1">
        <v>303</v>
      </c>
      <c r="AS102" s="64" t="s" ph="1">
        <v>534</v>
      </c>
      <c r="AT102" s="64" t="s" ph="1">
        <v>298</v>
      </c>
      <c r="AU102" s="64" t="s" ph="1">
        <v>303</v>
      </c>
      <c r="AV102" s="64" t="s" ph="1">
        <v>535</v>
      </c>
      <c r="AW102" s="64" t="s" ph="1">
        <v>316</v>
      </c>
      <c r="AX102" s="64" t="s" ph="1">
        <v>303</v>
      </c>
    </row>
    <row r="103" spans="33:52" ph="1">
      <c r="AH103" s="64" ph="1">
        <v>9</v>
      </c>
      <c r="AI103" s="64" t="s" ph="1">
        <v>536</v>
      </c>
      <c r="AJ103" s="64" t="s" ph="1">
        <v>537</v>
      </c>
      <c r="AK103" s="64" t="s" ph="1">
        <v>411</v>
      </c>
      <c r="AM103" s="64" t="s" ph="1">
        <v>538</v>
      </c>
      <c r="AN103" s="64" t="s" ph="1">
        <v>326</v>
      </c>
      <c r="AO103" s="64" t="s" ph="1">
        <v>303</v>
      </c>
      <c r="AP103" s="64" t="s" ph="1">
        <v>380</v>
      </c>
      <c r="AQ103" s="64" t="s" ph="1">
        <v>269</v>
      </c>
      <c r="AR103" s="64" t="s" ph="1">
        <v>303</v>
      </c>
      <c r="AS103" s="64" t="s" ph="1">
        <v>614</v>
      </c>
      <c r="AT103" s="64" t="s" ph="1">
        <v>411</v>
      </c>
      <c r="AU103" s="64" t="s" ph="1">
        <v>303</v>
      </c>
      <c r="AY103" s="64" t="s" ph="1">
        <v>260</v>
      </c>
      <c r="AZ103" s="64" t="s" ph="1">
        <v>268</v>
      </c>
    </row>
    <row r="104" spans="33:52" ph="1">
      <c r="AZ104" s="64" t="s" ph="1">
        <v>539</v>
      </c>
    </row>
    <row r="105" spans="33:52" ph="1">
      <c r="AG105" s="64" t="s" ph="1">
        <v>339</v>
      </c>
      <c r="AI105" s="64" t="s" ph="1">
        <v>253</v>
      </c>
      <c r="AJ105" s="64" t="s" ph="1">
        <v>254</v>
      </c>
      <c r="AK105" s="64" t="s" ph="1">
        <v>255</v>
      </c>
      <c r="AM105" s="64" t="s" ph="1">
        <v>254</v>
      </c>
      <c r="AN105" s="64" t="s" ph="1">
        <v>255</v>
      </c>
      <c r="AO105" s="64" t="s" ph="1">
        <v>256</v>
      </c>
      <c r="AP105" s="64" t="s" ph="1">
        <v>254</v>
      </c>
      <c r="AQ105" s="64" t="s" ph="1">
        <v>255</v>
      </c>
      <c r="AR105" s="64" t="s" ph="1">
        <v>256</v>
      </c>
      <c r="AS105" s="64" t="s" ph="1">
        <v>254</v>
      </c>
      <c r="AT105" s="64" t="s" ph="1">
        <v>255</v>
      </c>
      <c r="AU105" s="64" t="s" ph="1">
        <v>256</v>
      </c>
      <c r="AV105" s="64" t="s" ph="1">
        <v>254</v>
      </c>
      <c r="AW105" s="64" t="s" ph="1">
        <v>255</v>
      </c>
      <c r="AX105" s="64" t="s" ph="1">
        <v>256</v>
      </c>
      <c r="AZ105" s="64" t="s" ph="1">
        <v>257</v>
      </c>
    </row>
    <row r="106" spans="33:52" ph="1">
      <c r="AH106" s="64" ph="1">
        <v>1</v>
      </c>
      <c r="AI106" s="64" t="s" ph="1">
        <v>540</v>
      </c>
      <c r="AJ106" s="64" t="s" ph="1">
        <v>614</v>
      </c>
      <c r="AK106" s="64" t="s" ph="1">
        <v>275</v>
      </c>
      <c r="AZ106" s="64" t="s" ph="1">
        <v>275</v>
      </c>
    </row>
    <row r="107" spans="33:52" ph="1">
      <c r="AH107" s="64" ph="1">
        <v>2</v>
      </c>
      <c r="AI107" s="64" t="s" ph="1">
        <v>541</v>
      </c>
      <c r="AJ107" s="64" t="s" ph="1">
        <v>542</v>
      </c>
      <c r="AK107" s="64" t="s" ph="1">
        <v>272</v>
      </c>
      <c r="AM107" s="64" t="s" ph="1">
        <v>378</v>
      </c>
      <c r="AN107" s="64" t="s" ph="1">
        <v>543</v>
      </c>
      <c r="AO107" s="64" t="s" ph="1">
        <v>544</v>
      </c>
      <c r="AP107" s="64" t="s" ph="1">
        <v>380</v>
      </c>
      <c r="AQ107" s="64" t="s" ph="1">
        <v>348</v>
      </c>
      <c r="AR107" s="64" t="s" ph="1">
        <v>544</v>
      </c>
      <c r="AS107" s="64" t="s" ph="1">
        <v>614</v>
      </c>
      <c r="AT107" s="64" t="s" ph="1">
        <v>543</v>
      </c>
      <c r="AU107" s="64" t="s" ph="1">
        <v>544</v>
      </c>
      <c r="AY107" s="64" t="s" ph="1">
        <v>260</v>
      </c>
      <c r="AZ107" s="64" t="s" ph="1">
        <v>624</v>
      </c>
    </row>
    <row r="108" spans="33:52" ph="1">
      <c r="AH108" s="64" ph="1">
        <v>3</v>
      </c>
      <c r="AI108" s="64" t="s" ph="1">
        <v>545</v>
      </c>
      <c r="AY108" s="64" t="s" ph="1">
        <v>260</v>
      </c>
      <c r="AZ108" s="64" t="s" ph="1">
        <v>411</v>
      </c>
    </row>
    <row r="109" spans="33:52" ph="1">
      <c r="AH109" s="64" ph="1">
        <v>4</v>
      </c>
      <c r="AI109" s="64" t="s" ph="1">
        <v>546</v>
      </c>
      <c r="AY109" s="64" t="s" ph="1">
        <v>260</v>
      </c>
      <c r="AZ109" s="64" t="s" ph="1">
        <v>411</v>
      </c>
    </row>
    <row r="110" spans="33:52" ph="1">
      <c r="AH110" s="64" ph="1">
        <v>5</v>
      </c>
      <c r="AI110" s="64" t="s" ph="1">
        <v>547</v>
      </c>
      <c r="AY110" s="64" t="s" ph="1">
        <v>260</v>
      </c>
      <c r="AZ110" s="64" t="s" ph="1">
        <v>411</v>
      </c>
    </row>
    <row r="111" spans="33:52" ph="1">
      <c r="AH111" s="64" ph="1">
        <v>6</v>
      </c>
      <c r="AI111" s="64" t="s" ph="1">
        <v>625</v>
      </c>
      <c r="AJ111" s="64" t="s" ph="1">
        <v>530</v>
      </c>
      <c r="AK111" s="64" t="s" ph="1">
        <v>269</v>
      </c>
      <c r="AM111" s="64" t="s" ph="1">
        <v>531</v>
      </c>
      <c r="AN111" s="64" t="s" ph="1">
        <v>263</v>
      </c>
      <c r="AO111" s="64" t="s" ph="1">
        <v>544</v>
      </c>
      <c r="AP111" s="64" t="s" ph="1">
        <v>532</v>
      </c>
      <c r="AQ111" s="64" t="s" ph="1">
        <v>272</v>
      </c>
      <c r="AR111" s="64" t="s" ph="1">
        <v>544</v>
      </c>
      <c r="AS111" s="64" t="s" ph="1">
        <v>533</v>
      </c>
      <c r="AT111" s="64" t="s" ph="1">
        <v>281</v>
      </c>
      <c r="AU111" s="64" t="s" ph="1">
        <v>544</v>
      </c>
      <c r="AV111" s="64" t="s" ph="1">
        <v>534</v>
      </c>
      <c r="AW111" s="64" t="s" ph="1">
        <v>271</v>
      </c>
      <c r="AX111" s="64" t="s" ph="1">
        <v>544</v>
      </c>
      <c r="AY111" s="64" t="s" ph="1">
        <v>260</v>
      </c>
      <c r="AZ111" s="64" t="s" ph="1">
        <v>548</v>
      </c>
    </row>
    <row r="112" spans="33:52" ph="1">
      <c r="AJ112" s="64" t="s" ph="1">
        <v>535</v>
      </c>
      <c r="AK112" s="64" t="s" ph="1">
        <v>316</v>
      </c>
      <c r="AM112" s="64" t="s" ph="1">
        <v>537</v>
      </c>
      <c r="AN112" s="64" t="s" ph="1">
        <v>340</v>
      </c>
      <c r="AO112" s="64" t="s" ph="1">
        <v>544</v>
      </c>
      <c r="AP112" s="64" t="s" ph="1">
        <v>538</v>
      </c>
      <c r="AQ112" s="64" t="s" ph="1">
        <v>549</v>
      </c>
      <c r="AR112" s="64" t="s" ph="1">
        <v>544</v>
      </c>
      <c r="AS112" s="64" t="s" ph="1">
        <v>550</v>
      </c>
      <c r="AT112" s="64" t="s" ph="1">
        <v>292</v>
      </c>
      <c r="AU112" s="64" t="s" ph="1">
        <v>544</v>
      </c>
      <c r="AV112" s="64" t="s" ph="1">
        <v>551</v>
      </c>
      <c r="AW112" s="64" t="s" ph="1">
        <v>338</v>
      </c>
      <c r="AX112" s="64" t="s" ph="1">
        <v>544</v>
      </c>
    </row>
    <row r="113" spans="33:52" ph="1">
      <c r="AH113" s="64" ph="1">
        <v>7</v>
      </c>
      <c r="AI113" s="64" t="s" ph="1">
        <v>552</v>
      </c>
      <c r="AJ113" s="64" t="s" ph="1">
        <v>633</v>
      </c>
      <c r="AK113" s="64" t="s" ph="1">
        <v>638</v>
      </c>
      <c r="AY113" s="64" t="s" ph="1">
        <v>260</v>
      </c>
      <c r="AZ113" s="64" t="s" ph="1">
        <v>638</v>
      </c>
    </row>
    <row r="114" spans="33:52" ph="1">
      <c r="AH114" s="64" ph="1">
        <v>8</v>
      </c>
      <c r="AI114" s="64" t="s" ph="1">
        <v>553</v>
      </c>
      <c r="AJ114" s="64" t="s" ph="1">
        <v>633</v>
      </c>
      <c r="AK114" s="64" t="s" ph="1">
        <v>639</v>
      </c>
      <c r="AY114" s="64" t="s" ph="1">
        <v>260</v>
      </c>
      <c r="AZ114" s="64" t="s" ph="1">
        <v>639</v>
      </c>
    </row>
    <row r="115" spans="33:52" ph="1">
      <c r="AH115" s="64" ph="1">
        <v>9</v>
      </c>
      <c r="AI115" s="64" t="s" ph="1">
        <v>554</v>
      </c>
      <c r="AJ115" s="64" t="s" ph="1">
        <v>633</v>
      </c>
      <c r="AK115" s="64" t="s" ph="1">
        <v>639</v>
      </c>
      <c r="AY115" s="64" t="s" ph="1">
        <v>260</v>
      </c>
      <c r="AZ115" s="64" t="s" ph="1">
        <v>639</v>
      </c>
    </row>
    <row r="116" spans="33:52" ph="1">
      <c r="AH116" s="64" ph="1">
        <v>10</v>
      </c>
      <c r="AI116" s="64" t="s" ph="1">
        <v>555</v>
      </c>
      <c r="AJ116" s="64" t="s" ph="1">
        <v>633</v>
      </c>
      <c r="AK116" s="64" t="s" ph="1">
        <v>639</v>
      </c>
      <c r="AY116" s="64" t="s" ph="1">
        <v>260</v>
      </c>
      <c r="AZ116" s="64" t="s" ph="1">
        <v>639</v>
      </c>
    </row>
    <row r="117" spans="33:52" ph="1">
      <c r="AH117" s="64" ph="1">
        <v>11</v>
      </c>
      <c r="AI117" s="64" t="s" ph="1">
        <v>556</v>
      </c>
      <c r="AJ117" s="64" t="s" ph="1">
        <v>633</v>
      </c>
      <c r="AK117" s="64" t="s" ph="1">
        <v>639</v>
      </c>
      <c r="AY117" s="64" t="s" ph="1">
        <v>260</v>
      </c>
      <c r="AZ117" s="64" t="s" ph="1">
        <v>639</v>
      </c>
    </row>
    <row r="118" spans="33:52" ph="1">
      <c r="AZ118" s="64" t="s" ph="1">
        <v>640</v>
      </c>
    </row>
    <row r="119" spans="33:52" ph="1">
      <c r="AI119" s="64" t="s" ph="1">
        <v>253</v>
      </c>
      <c r="AJ119" s="64" t="s" ph="1">
        <v>254</v>
      </c>
      <c r="AK119" s="64" t="s" ph="1">
        <v>255</v>
      </c>
      <c r="AM119" s="64" t="s" ph="1">
        <v>254</v>
      </c>
      <c r="AN119" s="64" t="s" ph="1">
        <v>255</v>
      </c>
      <c r="AO119" s="64" t="s" ph="1">
        <v>256</v>
      </c>
      <c r="AP119" s="64" t="s" ph="1">
        <v>254</v>
      </c>
      <c r="AQ119" s="64" t="s" ph="1">
        <v>255</v>
      </c>
      <c r="AR119" s="64" t="s" ph="1">
        <v>256</v>
      </c>
      <c r="AS119" s="64" t="s" ph="1">
        <v>254</v>
      </c>
      <c r="AT119" s="64" t="s" ph="1">
        <v>255</v>
      </c>
      <c r="AU119" s="64" t="s" ph="1">
        <v>256</v>
      </c>
      <c r="AV119" s="64" t="s" ph="1">
        <v>254</v>
      </c>
      <c r="AW119" s="64" t="s" ph="1">
        <v>255</v>
      </c>
      <c r="AX119" s="64" t="s" ph="1">
        <v>256</v>
      </c>
      <c r="AY119" s="64" t="s" ph="1">
        <v>255</v>
      </c>
      <c r="AZ119" s="64" t="s" ph="1">
        <v>257</v>
      </c>
    </row>
    <row r="120" spans="33:52" ph="1">
      <c r="AG120" s="64" t="s" ph="1">
        <v>397</v>
      </c>
      <c r="AH120" s="64" ph="1">
        <v>1</v>
      </c>
      <c r="AI120" s="64" t="s" ph="1">
        <v>557</v>
      </c>
      <c r="AJ120" s="64" t="s" ph="1">
        <v>631</v>
      </c>
      <c r="AK120" s="64" t="s" ph="1">
        <v>411</v>
      </c>
      <c r="AY120" s="64" t="s" ph="1">
        <v>260</v>
      </c>
      <c r="AZ120" s="64" t="s" ph="1">
        <v>411</v>
      </c>
    </row>
    <row r="121" spans="33:52" ph="1">
      <c r="AH121" s="64" ph="1">
        <v>2</v>
      </c>
      <c r="AI121" s="64" t="s" ph="1">
        <v>558</v>
      </c>
      <c r="AY121" s="64" t="s" ph="1">
        <v>260</v>
      </c>
      <c r="AZ121" s="64" t="s" ph="1">
        <v>411</v>
      </c>
    </row>
    <row r="122" spans="33:52" ph="1">
      <c r="AH122" s="64" ph="1">
        <v>3</v>
      </c>
      <c r="AI122" s="64" t="s" ph="1">
        <v>559</v>
      </c>
      <c r="AJ122" s="64" t="s" ph="1">
        <v>614</v>
      </c>
      <c r="AK122" s="64" t="s" ph="1">
        <v>626</v>
      </c>
      <c r="AM122" s="64" t="s" ph="1">
        <v>641</v>
      </c>
      <c r="AN122" s="64" t="s" ph="1">
        <v>634</v>
      </c>
      <c r="AO122" s="64" t="s" ph="1">
        <v>109</v>
      </c>
      <c r="AY122" s="64" t="s" ph="1">
        <v>260</v>
      </c>
      <c r="AZ122" s="64" t="s" ph="1">
        <v>623</v>
      </c>
    </row>
    <row r="123" spans="33:52" ph="1">
      <c r="AY123" s="64" t="s" ph="1">
        <v>260</v>
      </c>
      <c r="AZ123" s="64" t="s" ph="1">
        <v>623</v>
      </c>
    </row>
    <row r="124" spans="33:52" ph="1">
      <c r="AG124" s="64" t="s" ph="1">
        <v>400</v>
      </c>
      <c r="AH124" s="64" ph="1">
        <v>4</v>
      </c>
      <c r="AI124" s="64" t="s" ph="1">
        <v>560</v>
      </c>
      <c r="AJ124" s="64" t="s" ph="1">
        <v>561</v>
      </c>
      <c r="AK124" s="64" t="s" ph="1">
        <v>562</v>
      </c>
      <c r="AY124" s="64" t="s" ph="1">
        <v>260</v>
      </c>
      <c r="AZ124" s="64" t="s" ph="1">
        <v>562</v>
      </c>
    </row>
    <row r="125" spans="33:52" ph="1">
      <c r="AH125" s="64" ph="1">
        <v>5</v>
      </c>
      <c r="AI125" s="64" t="s" ph="1">
        <v>563</v>
      </c>
      <c r="AJ125" s="64" t="s" ph="1">
        <v>561</v>
      </c>
      <c r="AK125" s="64" t="s" ph="1">
        <v>562</v>
      </c>
      <c r="AY125" s="64" t="s" ph="1">
        <v>260</v>
      </c>
      <c r="AZ125" s="64" t="s" ph="1">
        <v>562</v>
      </c>
    </row>
    <row r="126" spans="33:52" ph="1">
      <c r="AH126" s="64" ph="1">
        <v>6</v>
      </c>
      <c r="AI126" s="64" t="s" ph="1">
        <v>564</v>
      </c>
      <c r="AJ126" s="64" t="s" ph="1">
        <v>633</v>
      </c>
      <c r="AK126" s="64" t="s" ph="1">
        <v>642</v>
      </c>
      <c r="AY126" s="64" t="s" ph="1">
        <v>260</v>
      </c>
      <c r="AZ126" s="64" t="s" ph="1">
        <v>642</v>
      </c>
    </row>
    <row r="127" spans="33:52" ph="1">
      <c r="AH127" s="64" ph="1">
        <v>7</v>
      </c>
      <c r="AI127" s="64" t="s" ph="1">
        <v>565</v>
      </c>
      <c r="AJ127" s="64" t="s" ph="1">
        <v>633</v>
      </c>
      <c r="AK127" s="64" t="s" ph="1">
        <v>643</v>
      </c>
      <c r="AY127" s="64" t="s" ph="1">
        <v>260</v>
      </c>
      <c r="AZ127" s="64" t="s" ph="1">
        <v>643</v>
      </c>
    </row>
    <row r="128" spans="33:52" ph="1">
      <c r="AH128" s="64" ph="1">
        <v>8</v>
      </c>
      <c r="AI128" s="64" t="s" ph="1">
        <v>566</v>
      </c>
      <c r="AY128" s="64" t="s" ph="1">
        <v>260</v>
      </c>
      <c r="AZ128" s="64" t="s" ph="1">
        <v>411</v>
      </c>
    </row>
    <row r="129" spans="33:52" ph="1">
      <c r="AH129" s="64" ph="1">
        <v>9</v>
      </c>
      <c r="AI129" s="64" t="s" ph="1">
        <v>567</v>
      </c>
      <c r="AY129" s="64" t="s" ph="1">
        <v>260</v>
      </c>
      <c r="AZ129" s="64" t="s" ph="1">
        <v>411</v>
      </c>
    </row>
    <row r="130" spans="33:52" ph="1">
      <c r="AH130" s="64" ph="1">
        <v>10</v>
      </c>
      <c r="AI130" s="64" t="s" ph="1">
        <v>568</v>
      </c>
      <c r="AY130" s="64" t="s" ph="1">
        <v>260</v>
      </c>
      <c r="AZ130" s="64" t="s" ph="1">
        <v>411</v>
      </c>
    </row>
    <row r="131" spans="33:52" ph="1">
      <c r="AH131" s="64" ph="1">
        <v>11</v>
      </c>
      <c r="AI131" s="64" t="s" ph="1">
        <v>569</v>
      </c>
      <c r="AJ131" s="64" t="s" ph="1">
        <v>627</v>
      </c>
      <c r="AK131" s="64" t="s" ph="1">
        <v>623</v>
      </c>
      <c r="AY131" s="64" t="s" ph="1">
        <v>260</v>
      </c>
      <c r="AZ131" s="64" t="s" ph="1">
        <v>623</v>
      </c>
    </row>
    <row r="132" spans="33:52" ph="1">
      <c r="AH132" s="64" ph="1">
        <v>12</v>
      </c>
      <c r="AI132" s="64" t="s" ph="1">
        <v>570</v>
      </c>
      <c r="AJ132" s="64" t="s" ph="1">
        <v>627</v>
      </c>
      <c r="AK132" s="64" t="s" ph="1">
        <v>562</v>
      </c>
      <c r="AY132" s="64" t="s" ph="1">
        <v>260</v>
      </c>
      <c r="AZ132" s="64" t="s" ph="1">
        <v>562</v>
      </c>
    </row>
    <row r="133" spans="33:52" ph="1">
      <c r="AH133" s="64" ph="1">
        <v>13</v>
      </c>
      <c r="AI133" s="64" t="s" ph="1">
        <v>571</v>
      </c>
      <c r="AJ133" s="64" t="s" ph="1">
        <v>627</v>
      </c>
      <c r="AK133" s="64" t="s" ph="1">
        <v>628</v>
      </c>
      <c r="AY133" s="64" t="s" ph="1">
        <v>260</v>
      </c>
      <c r="AZ133" s="64" t="s" ph="1">
        <v>628</v>
      </c>
    </row>
    <row r="134" spans="33:52" ph="1">
      <c r="AH134" s="64" ph="1">
        <v>14</v>
      </c>
      <c r="AI134" s="64" t="s" ph="1">
        <v>572</v>
      </c>
      <c r="AJ134" s="64" t="s" ph="1">
        <v>627</v>
      </c>
      <c r="AK134" s="64" t="s" ph="1">
        <v>629</v>
      </c>
      <c r="AY134" s="64" t="s" ph="1">
        <v>260</v>
      </c>
      <c r="AZ134" s="64" t="s" ph="1">
        <v>629</v>
      </c>
    </row>
    <row r="135" spans="33:52" ph="1">
      <c r="AH135" s="64" ph="1">
        <v>15</v>
      </c>
      <c r="AI135" s="64" t="s" ph="1">
        <v>573</v>
      </c>
      <c r="AJ135" s="64" t="s" ph="1">
        <v>627</v>
      </c>
      <c r="AK135" s="64" t="s" ph="1">
        <v>630</v>
      </c>
      <c r="AY135" s="64" t="s" ph="1">
        <v>260</v>
      </c>
      <c r="AZ135" s="64" t="s" ph="1">
        <v>630</v>
      </c>
    </row>
    <row r="136" spans="33:52" ph="1">
      <c r="AZ136" s="64" t="s" ph="1">
        <v>644</v>
      </c>
    </row>
    <row r="137" spans="33:52" ph="1">
      <c r="AG137" s="64" t="s" ph="1">
        <v>334</v>
      </c>
      <c r="AI137" s="64" t="s" ph="1">
        <v>253</v>
      </c>
      <c r="AJ137" s="64" t="s" ph="1">
        <v>254</v>
      </c>
      <c r="AK137" s="64" t="s" ph="1">
        <v>255</v>
      </c>
      <c r="AM137" s="64" t="s" ph="1">
        <v>254</v>
      </c>
      <c r="AN137" s="64" t="s" ph="1">
        <v>255</v>
      </c>
      <c r="AO137" s="64" t="s" ph="1">
        <v>256</v>
      </c>
      <c r="AP137" s="64" t="s" ph="1">
        <v>254</v>
      </c>
      <c r="AQ137" s="64" t="s" ph="1">
        <v>255</v>
      </c>
      <c r="AR137" s="64" t="s" ph="1">
        <v>256</v>
      </c>
      <c r="AS137" s="64" t="s" ph="1">
        <v>254</v>
      </c>
      <c r="AT137" s="64" t="s" ph="1">
        <v>255</v>
      </c>
      <c r="AU137" s="64" t="s" ph="1">
        <v>256</v>
      </c>
      <c r="AV137" s="64" t="s" ph="1">
        <v>254</v>
      </c>
      <c r="AW137" s="64" t="s" ph="1">
        <v>255</v>
      </c>
      <c r="AX137" s="64" t="s" ph="1">
        <v>256</v>
      </c>
      <c r="AY137" s="64" t="s" ph="1">
        <v>255</v>
      </c>
      <c r="AZ137" s="64" t="s" ph="1">
        <v>257</v>
      </c>
    </row>
    <row r="138" spans="33:52" ph="1">
      <c r="AH138" s="64" ph="1">
        <v>1</v>
      </c>
      <c r="AI138" s="64" t="s" ph="1">
        <v>574</v>
      </c>
      <c r="AJ138" s="64" t="s" ph="1">
        <v>575</v>
      </c>
      <c r="AK138" s="64" t="s" ph="1">
        <v>576</v>
      </c>
      <c r="AY138" s="64" t="s" ph="1">
        <v>260</v>
      </c>
      <c r="AZ138" s="64" t="s" ph="1">
        <v>576</v>
      </c>
    </row>
    <row r="139" spans="33:52" ph="1">
      <c r="AH139" s="64" ph="1">
        <v>2</v>
      </c>
      <c r="AI139" s="64" t="s" ph="1">
        <v>577</v>
      </c>
      <c r="AJ139" s="64" t="s" ph="1">
        <v>633</v>
      </c>
      <c r="AK139" s="64" t="s" ph="1">
        <v>645</v>
      </c>
      <c r="AY139" s="64" t="s" ph="1">
        <v>260</v>
      </c>
      <c r="AZ139" s="64" t="s" ph="1">
        <v>645</v>
      </c>
    </row>
    <row r="140" spans="33:52" ph="1">
      <c r="AH140" s="64" ph="1">
        <v>3</v>
      </c>
      <c r="AI140" s="64" t="s" ph="1">
        <v>578</v>
      </c>
      <c r="AJ140" s="64" t="s" ph="1">
        <v>531</v>
      </c>
      <c r="AK140" s="64" t="s" ph="1">
        <v>343</v>
      </c>
      <c r="AM140" s="64" t="s" ph="1">
        <v>532</v>
      </c>
      <c r="AN140" s="64" t="s" ph="1">
        <v>263</v>
      </c>
      <c r="AO140" s="64" t="s" ph="1">
        <v>579</v>
      </c>
      <c r="AP140" s="64" t="s" ph="1">
        <v>533</v>
      </c>
      <c r="AQ140" s="64" t="s" ph="1">
        <v>280</v>
      </c>
      <c r="AR140" s="64" t="s" ph="1">
        <v>579</v>
      </c>
      <c r="AS140" s="64" t="s" ph="1">
        <v>534</v>
      </c>
      <c r="AT140" s="64" t="s" ph="1">
        <v>273</v>
      </c>
      <c r="AU140" s="64" t="s" ph="1">
        <v>579</v>
      </c>
      <c r="AV140" s="64" t="s" ph="1">
        <v>535</v>
      </c>
      <c r="AW140" s="64" t="s" ph="1">
        <v>266</v>
      </c>
      <c r="AX140" s="64" t="s" ph="1">
        <v>579</v>
      </c>
      <c r="AY140" s="64" t="s" ph="1">
        <v>260</v>
      </c>
      <c r="AZ140" s="64" t="s" ph="1">
        <v>335</v>
      </c>
    </row>
    <row r="141" spans="33:52" ph="1">
      <c r="AJ141" s="64" t="s" ph="1">
        <v>537</v>
      </c>
      <c r="AK141" s="64" t="s" ph="1">
        <v>266</v>
      </c>
      <c r="AM141" s="64" t="s" ph="1">
        <v>538</v>
      </c>
      <c r="AN141" s="64" t="s" ph="1">
        <v>269</v>
      </c>
      <c r="AO141" s="64" t="s" ph="1">
        <v>579</v>
      </c>
      <c r="AP141" s="64" t="s" ph="1">
        <v>550</v>
      </c>
      <c r="AQ141" s="64" t="s" ph="1">
        <v>338</v>
      </c>
      <c r="AR141" s="64" t="s" ph="1">
        <v>579</v>
      </c>
      <c r="AS141" s="64" t="s" ph="1">
        <v>542</v>
      </c>
      <c r="AT141" s="64" t="s" ph="1">
        <v>266</v>
      </c>
      <c r="AU141" s="64" t="s" ph="1">
        <v>579</v>
      </c>
      <c r="AV141" s="64" t="s" ph="1">
        <v>378</v>
      </c>
      <c r="AW141" s="64" t="s" ph="1">
        <v>272</v>
      </c>
      <c r="AX141" s="64" t="s" ph="1">
        <v>579</v>
      </c>
    </row>
    <row r="142" spans="33:52" ph="1">
      <c r="AJ142" s="64" t="s" ph="1">
        <v>580</v>
      </c>
      <c r="AK142" s="64" t="s" ph="1">
        <v>283</v>
      </c>
    </row>
    <row r="143" spans="33:52" ph="1">
      <c r="AH143" s="64" ph="1">
        <v>4</v>
      </c>
      <c r="AI143" s="64" t="s" ph="1">
        <v>581</v>
      </c>
      <c r="AJ143" s="64" t="s" ph="1">
        <v>561</v>
      </c>
      <c r="AK143" s="64" t="s" ph="1">
        <v>582</v>
      </c>
      <c r="AY143" s="64" t="s" ph="1">
        <v>260</v>
      </c>
      <c r="AZ143" s="64" t="s" ph="1">
        <v>582</v>
      </c>
    </row>
    <row r="144" spans="33:52" ph="1">
      <c r="AH144" s="64" ph="1">
        <v>5</v>
      </c>
      <c r="AI144" s="64" t="s" ph="1">
        <v>583</v>
      </c>
      <c r="AY144" s="64" t="s" ph="1">
        <v>260</v>
      </c>
      <c r="AZ144" s="64" t="s" ph="1">
        <v>411</v>
      </c>
    </row>
    <row r="145" spans="33:52" ph="1">
      <c r="AH145" s="64" ph="1">
        <v>6</v>
      </c>
      <c r="AI145" s="64" t="s" ph="1">
        <v>584</v>
      </c>
      <c r="AY145" s="64" t="s" ph="1">
        <v>260</v>
      </c>
      <c r="AZ145" s="64" t="s" ph="1">
        <v>411</v>
      </c>
    </row>
    <row r="146" spans="33:52" ph="1">
      <c r="AH146" s="64" ph="1">
        <v>7</v>
      </c>
      <c r="AI146" s="64" t="s" ph="1">
        <v>585</v>
      </c>
      <c r="AY146" s="64" t="s" ph="1">
        <v>260</v>
      </c>
      <c r="AZ146" s="64" t="s" ph="1">
        <v>411</v>
      </c>
    </row>
    <row r="147" spans="33:52" ph="1">
      <c r="AH147" s="64" ph="1">
        <v>8</v>
      </c>
      <c r="AI147" s="64" t="s" ph="1">
        <v>586</v>
      </c>
      <c r="AY147" s="64" t="s" ph="1">
        <v>260</v>
      </c>
      <c r="AZ147" s="64" t="s" ph="1">
        <v>411</v>
      </c>
    </row>
    <row r="148" spans="33:52" ph="1">
      <c r="AH148" s="64" ph="1">
        <v>9</v>
      </c>
      <c r="AI148" s="64" t="s" ph="1">
        <v>587</v>
      </c>
      <c r="AY148" s="64" t="s" ph="1">
        <v>260</v>
      </c>
      <c r="AZ148" s="64" t="s" ph="1">
        <v>411</v>
      </c>
    </row>
    <row r="149" spans="33:52" ph="1">
      <c r="AH149" s="64" ph="1">
        <v>10</v>
      </c>
      <c r="AI149" s="64" t="s" ph="1">
        <v>588</v>
      </c>
      <c r="AY149" s="64" t="s" ph="1">
        <v>260</v>
      </c>
      <c r="AZ149" s="64" t="s" ph="1">
        <v>411</v>
      </c>
    </row>
    <row r="150" spans="33:52" ph="1">
      <c r="AH150" s="64" ph="1">
        <v>11</v>
      </c>
      <c r="AI150" s="64" t="s" ph="1">
        <v>589</v>
      </c>
      <c r="AY150" s="64" t="s" ph="1">
        <v>260</v>
      </c>
      <c r="AZ150" s="64" t="s" ph="1">
        <v>411</v>
      </c>
    </row>
    <row r="151" spans="33:52" ph="1">
      <c r="AH151" s="64" ph="1">
        <v>12</v>
      </c>
      <c r="AI151" s="64" t="s" ph="1">
        <v>590</v>
      </c>
      <c r="AY151" s="64" t="s" ph="1">
        <v>260</v>
      </c>
      <c r="AZ151" s="64" t="s" ph="1">
        <v>411</v>
      </c>
    </row>
    <row r="152" spans="33:52" ph="1">
      <c r="AH152" s="64" ph="1">
        <v>13</v>
      </c>
      <c r="AI152" s="64" t="s" ph="1">
        <v>591</v>
      </c>
      <c r="AY152" s="64" t="s" ph="1">
        <v>260</v>
      </c>
      <c r="AZ152" s="64" t="s" ph="1">
        <v>411</v>
      </c>
    </row>
    <row r="153" spans="33:52" ph="1">
      <c r="AH153" s="64" ph="1">
        <v>14</v>
      </c>
      <c r="AI153" s="64" t="s" ph="1">
        <v>592</v>
      </c>
      <c r="AY153" s="64" t="s" ph="1">
        <v>260</v>
      </c>
      <c r="AZ153" s="64" t="s" ph="1">
        <v>411</v>
      </c>
    </row>
    <row r="154" spans="33:52" ph="1">
      <c r="AH154" s="64" ph="1">
        <v>15</v>
      </c>
      <c r="AI154" s="64" t="s" ph="1">
        <v>593</v>
      </c>
      <c r="AY154" s="64" t="s" ph="1">
        <v>260</v>
      </c>
      <c r="AZ154" s="64" t="s" ph="1">
        <v>411</v>
      </c>
    </row>
    <row r="155" spans="33:52" ph="1">
      <c r="AH155" s="64" ph="1">
        <v>16</v>
      </c>
      <c r="AI155" s="64" t="s" ph="1">
        <v>594</v>
      </c>
      <c r="AJ155" s="64" t="s" ph="1">
        <v>380</v>
      </c>
      <c r="AK155" s="64" t="s" ph="1">
        <v>275</v>
      </c>
      <c r="AM155" s="64" t="s" ph="1">
        <v>614</v>
      </c>
      <c r="AN155" s="64" t="s" ph="1">
        <v>326</v>
      </c>
      <c r="AO155" s="64" t="s" ph="1">
        <v>579</v>
      </c>
      <c r="AY155" s="64" t="s" ph="1">
        <v>260</v>
      </c>
      <c r="AZ155" s="64" t="s" ph="1">
        <v>267</v>
      </c>
    </row>
    <row r="156" spans="33:52" ph="1">
      <c r="AZ156" s="64" t="s" ph="1">
        <v>646</v>
      </c>
    </row>
    <row r="157" spans="33:52" ph="1">
      <c r="AG157" s="64" t="s" ph="1">
        <v>595</v>
      </c>
      <c r="AI157" s="64" t="s" ph="1">
        <v>253</v>
      </c>
      <c r="AJ157" s="64" t="s" ph="1">
        <v>254</v>
      </c>
      <c r="AK157" s="64" t="s" ph="1">
        <v>255</v>
      </c>
      <c r="AM157" s="64" t="s" ph="1">
        <v>254</v>
      </c>
      <c r="AN157" s="64" t="s" ph="1">
        <v>255</v>
      </c>
      <c r="AO157" s="64" t="s" ph="1">
        <v>256</v>
      </c>
      <c r="AP157" s="64" t="s" ph="1">
        <v>254</v>
      </c>
      <c r="AQ157" s="64" t="s" ph="1">
        <v>255</v>
      </c>
      <c r="AR157" s="64" t="s" ph="1">
        <v>256</v>
      </c>
      <c r="AS157" s="64" t="s" ph="1">
        <v>254</v>
      </c>
      <c r="AT157" s="64" t="s" ph="1">
        <v>255</v>
      </c>
      <c r="AU157" s="64" t="s" ph="1">
        <v>256</v>
      </c>
      <c r="AV157" s="64" t="s" ph="1">
        <v>254</v>
      </c>
      <c r="AW157" s="64" t="s" ph="1">
        <v>255</v>
      </c>
      <c r="AX157" s="64" t="s" ph="1">
        <v>256</v>
      </c>
      <c r="AY157" s="64" t="s" ph="1">
        <v>255</v>
      </c>
      <c r="AZ157" s="64" t="s" ph="1">
        <v>257</v>
      </c>
    </row>
    <row r="158" spans="33:52" ph="1">
      <c r="AH158" s="64" ph="1">
        <v>1</v>
      </c>
      <c r="AI158" s="64" t="s" ph="1">
        <v>596</v>
      </c>
      <c r="AY158" s="64" t="s" ph="1">
        <v>260</v>
      </c>
      <c r="AZ158" s="64" t="s" ph="1">
        <v>411</v>
      </c>
    </row>
    <row r="159" spans="33:52" ph="1">
      <c r="AH159" s="64" ph="1">
        <v>2</v>
      </c>
      <c r="AI159" s="64" t="s" ph="1">
        <v>597</v>
      </c>
      <c r="AY159" s="64" t="s" ph="1">
        <v>260</v>
      </c>
      <c r="AZ159" s="64" t="s" ph="1">
        <v>411</v>
      </c>
    </row>
    <row r="160" spans="33:52" ph="1">
      <c r="AZ160" s="64" t="s" ph="1">
        <v>429</v>
      </c>
    </row>
    <row r="161" spans="33:52" ph="1">
      <c r="AG161" s="64" t="s" ph="1">
        <v>405</v>
      </c>
      <c r="AI161" s="64" t="s" ph="1">
        <v>253</v>
      </c>
      <c r="AJ161" s="64" t="s" ph="1">
        <v>254</v>
      </c>
      <c r="AK161" s="64" t="s" ph="1">
        <v>255</v>
      </c>
      <c r="AM161" s="64" t="s" ph="1">
        <v>254</v>
      </c>
      <c r="AN161" s="64" t="s" ph="1">
        <v>255</v>
      </c>
      <c r="AO161" s="64" t="s" ph="1">
        <v>256</v>
      </c>
      <c r="AP161" s="64" t="s" ph="1">
        <v>254</v>
      </c>
      <c r="AQ161" s="64" t="s" ph="1">
        <v>255</v>
      </c>
      <c r="AR161" s="64" t="s" ph="1">
        <v>256</v>
      </c>
      <c r="AS161" s="64" t="s" ph="1">
        <v>254</v>
      </c>
      <c r="AT161" s="64" t="s" ph="1">
        <v>255</v>
      </c>
      <c r="AU161" s="64" t="s" ph="1">
        <v>256</v>
      </c>
      <c r="AV161" s="64" t="s" ph="1">
        <v>254</v>
      </c>
      <c r="AW161" s="64" t="s" ph="1">
        <v>255</v>
      </c>
      <c r="AX161" s="64" t="s" ph="1">
        <v>256</v>
      </c>
      <c r="AY161" s="64" t="s" ph="1">
        <v>255</v>
      </c>
      <c r="AZ161" s="64" t="s" ph="1">
        <v>257</v>
      </c>
    </row>
    <row r="162" spans="33:52" ph="1">
      <c r="AH162" s="64" ph="1">
        <v>1</v>
      </c>
      <c r="AI162" s="64" t="s" ph="1">
        <v>598</v>
      </c>
      <c r="AJ162" s="64" t="s" ph="1">
        <v>599</v>
      </c>
      <c r="AK162" s="64" t="s" ph="1">
        <v>543</v>
      </c>
      <c r="AM162" s="64" t="s" ph="1">
        <v>600</v>
      </c>
      <c r="AN162" s="64" t="s" ph="1">
        <v>264</v>
      </c>
      <c r="AO162" s="64" t="s" ph="1">
        <v>601</v>
      </c>
      <c r="AY162" s="64" t="s" ph="1">
        <v>260</v>
      </c>
      <c r="AZ162" s="64" t="s" ph="1">
        <v>336</v>
      </c>
    </row>
    <row r="163" spans="33:52" ph="1">
      <c r="AH163" s="64" ph="1">
        <v>2</v>
      </c>
      <c r="AI163" s="64" t="s" ph="1">
        <v>602</v>
      </c>
      <c r="AJ163" s="64" t="s" ph="1">
        <v>599</v>
      </c>
      <c r="AK163" s="64" t="s" ph="1">
        <v>432</v>
      </c>
      <c r="AY163" s="64" t="s" ph="1">
        <v>260</v>
      </c>
      <c r="AZ163" s="64" t="s" ph="1">
        <v>432</v>
      </c>
    </row>
    <row r="164" spans="33:52" ph="1">
      <c r="AH164" s="64" ph="1">
        <v>3</v>
      </c>
      <c r="AI164" s="64" t="s" ph="1">
        <v>603</v>
      </c>
      <c r="AJ164" s="64" t="s" ph="1">
        <v>599</v>
      </c>
      <c r="AK164" s="64" t="s" ph="1">
        <v>336</v>
      </c>
      <c r="AY164" s="64" t="s" ph="1">
        <v>260</v>
      </c>
      <c r="AZ164" s="64" t="s" ph="1">
        <v>336</v>
      </c>
    </row>
    <row r="165" spans="33:52" ph="1">
      <c r="AH165" s="64" ph="1">
        <v>4</v>
      </c>
      <c r="AI165" s="64" t="s" ph="1">
        <v>604</v>
      </c>
      <c r="AY165" s="64" t="s" ph="1">
        <v>260</v>
      </c>
      <c r="AZ165" s="64" t="s" ph="1">
        <v>411</v>
      </c>
    </row>
    <row r="166" spans="33:52" ph="1">
      <c r="AH166" s="64" ph="1">
        <v>5</v>
      </c>
      <c r="AI166" s="64" t="s" ph="1">
        <v>605</v>
      </c>
      <c r="AY166" s="64" t="s" ph="1">
        <v>260</v>
      </c>
      <c r="AZ166" s="64" t="s" ph="1">
        <v>411</v>
      </c>
    </row>
    <row r="167" spans="33:52" ph="1">
      <c r="AZ167" s="64" t="s" ph="1">
        <v>606</v>
      </c>
    </row>
    <row r="168" spans="33:52" ph="1">
      <c r="AG168" s="64" t="s" ph="1">
        <v>349</v>
      </c>
      <c r="AI168" s="64" t="s" ph="1">
        <v>253</v>
      </c>
      <c r="AJ168" s="64" t="s" ph="1">
        <v>254</v>
      </c>
      <c r="AK168" s="64" t="s" ph="1">
        <v>255</v>
      </c>
      <c r="AM168" s="64" t="s" ph="1">
        <v>254</v>
      </c>
      <c r="AN168" s="64" t="s" ph="1">
        <v>255</v>
      </c>
      <c r="AO168" s="64" t="s" ph="1">
        <v>256</v>
      </c>
      <c r="AP168" s="64" t="s" ph="1">
        <v>254</v>
      </c>
      <c r="AQ168" s="64" t="s" ph="1">
        <v>255</v>
      </c>
      <c r="AR168" s="64" t="s" ph="1">
        <v>256</v>
      </c>
      <c r="AS168" s="64" t="s" ph="1">
        <v>254</v>
      </c>
      <c r="AT168" s="64" t="s" ph="1">
        <v>255</v>
      </c>
      <c r="AU168" s="64" t="s" ph="1">
        <v>256</v>
      </c>
      <c r="AV168" s="64" t="s" ph="1">
        <v>254</v>
      </c>
      <c r="AW168" s="64" t="s" ph="1">
        <v>255</v>
      </c>
      <c r="AX168" s="64" t="s" ph="1">
        <v>256</v>
      </c>
      <c r="AY168" s="64" t="s" ph="1">
        <v>255</v>
      </c>
      <c r="AZ168" s="64" t="s" ph="1">
        <v>257</v>
      </c>
    </row>
    <row r="169" spans="33:52" ph="1">
      <c r="AH169" s="64" ph="1">
        <v>1</v>
      </c>
      <c r="AI169" s="64" t="s" ph="1">
        <v>607</v>
      </c>
      <c r="AY169" s="64" t="s" ph="1">
        <v>260</v>
      </c>
      <c r="AZ169" s="64" t="s" ph="1">
        <v>411</v>
      </c>
    </row>
    <row r="170" spans="33:52" ph="1">
      <c r="AH170" s="64" ph="1">
        <v>2</v>
      </c>
      <c r="AI170" s="64" t="s" ph="1">
        <v>608</v>
      </c>
      <c r="AY170" s="64" t="s" ph="1">
        <v>260</v>
      </c>
      <c r="AZ170" s="64" t="s" ph="1">
        <v>411</v>
      </c>
    </row>
    <row r="171" spans="33:52" ph="1">
      <c r="AH171" s="64" ph="1">
        <v>3</v>
      </c>
      <c r="AI171" s="64" t="s" ph="1">
        <v>609</v>
      </c>
      <c r="AY171" s="64" t="s" ph="1">
        <v>260</v>
      </c>
      <c r="AZ171" s="64" t="s" ph="1">
        <v>411</v>
      </c>
    </row>
    <row r="172" spans="33:52" ph="1">
      <c r="AH172" s="64" ph="1">
        <v>4</v>
      </c>
      <c r="AI172" s="64" t="s" ph="1">
        <v>610</v>
      </c>
      <c r="AY172" s="64" t="s" ph="1">
        <v>260</v>
      </c>
      <c r="AZ172" s="64" t="s" ph="1">
        <v>411</v>
      </c>
    </row>
    <row r="173" spans="33:52" ph="1">
      <c r="AH173" s="64" ph="1">
        <v>5</v>
      </c>
      <c r="AI173" s="64" t="s" ph="1">
        <v>611</v>
      </c>
      <c r="AY173" s="64" t="s" ph="1">
        <v>260</v>
      </c>
      <c r="AZ173" s="64" t="s" ph="1">
        <v>411</v>
      </c>
    </row>
    <row r="174" spans="33:52" ph="1">
      <c r="AZ174" s="64" t="s" ph="1">
        <v>429</v>
      </c>
    </row>
    <row r="175" spans="33:52" ph="1">
      <c r="AJ175" s="64" t="s" ph="1">
        <v>350</v>
      </c>
    </row>
    <row r="176" spans="33:52" ph="1">
      <c r="AJ176" s="64" t="s" ph="1">
        <v>351</v>
      </c>
      <c r="AK176" s="64" t="s" ph="1">
        <v>352</v>
      </c>
      <c r="AM176" s="64" t="s" ph="1">
        <v>353</v>
      </c>
      <c r="AO176" s="64" t="s" ph="1">
        <v>354</v>
      </c>
      <c r="AP176" s="64" t="s" ph="1">
        <v>355</v>
      </c>
      <c r="AQ176" s="64" t="s" ph="1">
        <v>345</v>
      </c>
      <c r="AR176" s="64" t="s" ph="1">
        <v>265</v>
      </c>
    </row>
    <row r="177" spans="36:56" ph="1">
      <c r="AJ177" s="64" t="s" ph="1">
        <v>647</v>
      </c>
      <c r="AK177" s="64" t="s" ph="1">
        <v>356</v>
      </c>
      <c r="AO177" s="64" t="s" ph="1">
        <v>356</v>
      </c>
      <c r="AP177" s="64" t="s" ph="1">
        <v>356</v>
      </c>
      <c r="AQ177" s="64" t="s" ph="1">
        <v>357</v>
      </c>
      <c r="AR177" s="64" t="s" ph="1">
        <v>358</v>
      </c>
    </row>
    <row r="179" spans="36:56" ph="1">
      <c r="AJ179" s="64" t="s" ph="1">
        <v>359</v>
      </c>
      <c r="AK179" s="64" t="s" ph="1">
        <v>360</v>
      </c>
      <c r="AM179" s="64" t="s" ph="1">
        <v>361</v>
      </c>
      <c r="AN179" s="64" t="s" ph="1">
        <v>337</v>
      </c>
      <c r="AO179" s="64" t="s" ph="1">
        <v>362</v>
      </c>
      <c r="AP179" s="64" t="s" ph="1">
        <v>341</v>
      </c>
      <c r="AQ179" s="64" t="s" ph="1">
        <v>363</v>
      </c>
      <c r="AR179" s="64" t="s" ph="1">
        <v>364</v>
      </c>
    </row>
    <row r="180" spans="36:56" ph="1">
      <c r="AJ180" s="64" t="s" ph="1">
        <v>356</v>
      </c>
      <c r="AK180" s="64" t="s" ph="1">
        <v>356</v>
      </c>
      <c r="AL180" s="64" ph="1">
        <v>116</v>
      </c>
      <c r="AM180" s="64" t="s" ph="1">
        <v>356</v>
      </c>
      <c r="AN180" s="64" t="s" ph="1">
        <v>365</v>
      </c>
      <c r="AO180" s="64" t="s" ph="1">
        <v>356</v>
      </c>
      <c r="AP180" s="64" t="s" ph="1">
        <v>366</v>
      </c>
      <c r="AQ180" s="64" t="s" ph="1">
        <v>367</v>
      </c>
      <c r="AR180" s="64" t="s" ph="1">
        <v>368</v>
      </c>
    </row>
    <row r="189" spans="36:56" ph="1">
      <c r="BD189" s="64" t="s" ph="1">
        <v>612</v>
      </c>
    </row>
    <row r="223" spans="18:18" ph="1">
      <c r="R223" s="138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585" priority="92">
      <formula>ABS(D$7-D$10)&gt;=1000</formula>
    </cfRule>
  </conditionalFormatting>
  <conditionalFormatting sqref="E4 E6:E11">
    <cfRule type="expression" dxfId="1584" priority="91">
      <formula>ABS(E$7-E$10)&gt;=1000</formula>
    </cfRule>
  </conditionalFormatting>
  <conditionalFormatting sqref="F4:F11">
    <cfRule type="expression" dxfId="1583" priority="90">
      <formula>ABS(F$7-F$10)&gt;=1000</formula>
    </cfRule>
  </conditionalFormatting>
  <conditionalFormatting sqref="G4:G11">
    <cfRule type="expression" dxfId="1582" priority="89">
      <formula>ABS(G$7-G$10)&gt;=1000</formula>
    </cfRule>
  </conditionalFormatting>
  <conditionalFormatting sqref="H4:H11">
    <cfRule type="expression" dxfId="1581" priority="88">
      <formula>ABS(H$7-H$10)&gt;=1000</formula>
    </cfRule>
  </conditionalFormatting>
  <conditionalFormatting sqref="I4:I11">
    <cfRule type="expression" dxfId="1580" priority="87">
      <formula>ABS(I$7-I$10)&gt;=1000</formula>
    </cfRule>
  </conditionalFormatting>
  <conditionalFormatting sqref="J4:J11">
    <cfRule type="expression" dxfId="1579" priority="86">
      <formula>ABS(J$7-J$10)&gt;=1000</formula>
    </cfRule>
  </conditionalFormatting>
  <conditionalFormatting sqref="K4:K11">
    <cfRule type="expression" dxfId="1578" priority="85">
      <formula>ABS(K$7-K$10)&gt;=1000</formula>
    </cfRule>
  </conditionalFormatting>
  <conditionalFormatting sqref="L4:L11">
    <cfRule type="expression" dxfId="1577" priority="84">
      <formula>ABS(L$7-L$10)&gt;=1000</formula>
    </cfRule>
  </conditionalFormatting>
  <conditionalFormatting sqref="M4:M11">
    <cfRule type="expression" dxfId="1576" priority="83">
      <formula>ABS(M$7-M$10)&gt;=1000</formula>
    </cfRule>
  </conditionalFormatting>
  <conditionalFormatting sqref="N4:N11">
    <cfRule type="expression" dxfId="1575" priority="82">
      <formula>ABS(N$7-N$10)&gt;=1000</formula>
    </cfRule>
  </conditionalFormatting>
  <conditionalFormatting sqref="O4:O11">
    <cfRule type="expression" dxfId="1574" priority="81">
      <formula>ABS(O$7-O$10)&gt;=1000</formula>
    </cfRule>
  </conditionalFormatting>
  <conditionalFormatting sqref="P4:P11">
    <cfRule type="expression" dxfId="1573" priority="80">
      <formula>ABS(P$7-P$10)&gt;=1000</formula>
    </cfRule>
  </conditionalFormatting>
  <conditionalFormatting sqref="Q4:Q11">
    <cfRule type="expression" dxfId="1572" priority="79">
      <formula>ABS(Q$7-Q$10)&gt;=1000</formula>
    </cfRule>
  </conditionalFormatting>
  <conditionalFormatting sqref="R4:R11">
    <cfRule type="expression" dxfId="1571" priority="78">
      <formula>ABS(R$7-R$10)&gt;=1000</formula>
    </cfRule>
  </conditionalFormatting>
  <conditionalFormatting sqref="S4:S11">
    <cfRule type="expression" dxfId="1570" priority="77">
      <formula>ABS(S$7-S$10)&gt;=1000</formula>
    </cfRule>
  </conditionalFormatting>
  <conditionalFormatting sqref="T4:T9 T11">
    <cfRule type="expression" dxfId="1569" priority="76">
      <formula>ABS(T$7-T$10)&gt;=1000</formula>
    </cfRule>
  </conditionalFormatting>
  <conditionalFormatting sqref="U4:U9 U11">
    <cfRule type="expression" dxfId="1568" priority="75">
      <formula>ABS(U$7-U$10)&gt;=1000</formula>
    </cfRule>
  </conditionalFormatting>
  <conditionalFormatting sqref="V4:V9 V11">
    <cfRule type="expression" dxfId="1567" priority="74">
      <formula>ABS(V$7-V$10)&gt;=1000</formula>
    </cfRule>
  </conditionalFormatting>
  <conditionalFormatting sqref="W4:W9 W11">
    <cfRule type="expression" dxfId="1566" priority="73">
      <formula>ABS(W$7-W$10)&gt;=1000</formula>
    </cfRule>
  </conditionalFormatting>
  <conditionalFormatting sqref="X4:X9 X11">
    <cfRule type="expression" dxfId="1565" priority="72">
      <formula>ABS(X$7-X$10)&gt;=1000</formula>
    </cfRule>
  </conditionalFormatting>
  <conditionalFormatting sqref="Y4:Y9 Y11">
    <cfRule type="expression" dxfId="1564" priority="71">
      <formula>ABS(Y$7-Y$10)&gt;=1000</formula>
    </cfRule>
  </conditionalFormatting>
  <conditionalFormatting sqref="Z4:Z11">
    <cfRule type="expression" dxfId="1563" priority="70">
      <formula>ABS(Z$7-Z$10)&gt;=1000</formula>
    </cfRule>
  </conditionalFormatting>
  <conditionalFormatting sqref="AA4:AA11">
    <cfRule type="expression" dxfId="1562" priority="69">
      <formula>ABS(AA$7-AA$10)&gt;=1000</formula>
    </cfRule>
  </conditionalFormatting>
  <conditionalFormatting sqref="AB4:AB11">
    <cfRule type="expression" dxfId="1561" priority="68">
      <formula>ABS(AB$7-AB$10)&gt;=1000</formula>
    </cfRule>
  </conditionalFormatting>
  <conditionalFormatting sqref="AC4 AC6:AC11">
    <cfRule type="expression" dxfId="1560" priority="67">
      <formula>ABS(AC$7-AC$10)&gt;=1000</formula>
    </cfRule>
  </conditionalFormatting>
  <conditionalFormatting sqref="AD4:AD11">
    <cfRule type="expression" dxfId="1559" priority="66">
      <formula>ABS(AD$7-AD$10)&gt;=1000</formula>
    </cfRule>
  </conditionalFormatting>
  <conditionalFormatting sqref="AE4:AE11">
    <cfRule type="expression" dxfId="1558" priority="65">
      <formula>ABS(AE$7-AE$10)&gt;=1000</formula>
    </cfRule>
  </conditionalFormatting>
  <conditionalFormatting sqref="D13:D20">
    <cfRule type="expression" dxfId="1557" priority="64">
      <formula>ABS(D$16-D$19)&gt;=1000</formula>
    </cfRule>
  </conditionalFormatting>
  <conditionalFormatting sqref="E13:E20">
    <cfRule type="expression" dxfId="1556" priority="63">
      <formula>ABS(E$16-E$19)&gt;=1000</formula>
    </cfRule>
  </conditionalFormatting>
  <conditionalFormatting sqref="F13 F15:F20">
    <cfRule type="expression" dxfId="1555" priority="62">
      <formula>ABS(F$16-F$19)&gt;=1000</formula>
    </cfRule>
  </conditionalFormatting>
  <conditionalFormatting sqref="G13:G20">
    <cfRule type="expression" dxfId="1554" priority="61">
      <formula>ABS(G$16-G$19)&gt;=1000</formula>
    </cfRule>
  </conditionalFormatting>
  <conditionalFormatting sqref="H13:H20">
    <cfRule type="expression" dxfId="1553" priority="60">
      <formula>ABS(H$16-H$19)&gt;=1000</formula>
    </cfRule>
  </conditionalFormatting>
  <conditionalFormatting sqref="I13:I20">
    <cfRule type="expression" dxfId="1552" priority="59">
      <formula>ABS(I$16-I$19)&gt;=1000</formula>
    </cfRule>
  </conditionalFormatting>
  <conditionalFormatting sqref="J13:J20">
    <cfRule type="expression" dxfId="1551" priority="58">
      <formula>ABS(J$16-J$19)&gt;=1000</formula>
    </cfRule>
  </conditionalFormatting>
  <conditionalFormatting sqref="L13:L20">
    <cfRule type="expression" dxfId="1550" priority="57">
      <formula>ABS(L$16-L$19)&gt;=1000</formula>
    </cfRule>
  </conditionalFormatting>
  <conditionalFormatting sqref="M13 M15 M17:M18 M20">
    <cfRule type="expression" dxfId="1549" priority="56">
      <formula>ABS(M$16-M$19)&gt;=1000</formula>
    </cfRule>
  </conditionalFormatting>
  <conditionalFormatting sqref="N13:N20">
    <cfRule type="expression" dxfId="1548" priority="55">
      <formula>ABS(N$16-N$19)&gt;=1000</formula>
    </cfRule>
  </conditionalFormatting>
  <conditionalFormatting sqref="O13:O20">
    <cfRule type="expression" dxfId="1547" priority="54">
      <formula>ABS(O$16-O$19)&gt;=1000</formula>
    </cfRule>
  </conditionalFormatting>
  <conditionalFormatting sqref="P13:P20">
    <cfRule type="expression" dxfId="1546" priority="53">
      <formula>ABS(P$16-P$19)&gt;=1000</formula>
    </cfRule>
  </conditionalFormatting>
  <conditionalFormatting sqref="Q13 Q15:Q20">
    <cfRule type="expression" dxfId="1545" priority="52">
      <formula>ABS(Q$16-Q$19)&gt;=1000</formula>
    </cfRule>
  </conditionalFormatting>
  <conditionalFormatting sqref="R13:R20">
    <cfRule type="expression" dxfId="1544" priority="51">
      <formula>ABS(R$16-R$19)&gt;=1000</formula>
    </cfRule>
  </conditionalFormatting>
  <conditionalFormatting sqref="S13:S20">
    <cfRule type="expression" dxfId="1543" priority="50">
      <formula>ABS(S$16-S$19)&gt;=1000</formula>
    </cfRule>
  </conditionalFormatting>
  <conditionalFormatting sqref="T13:T20">
    <cfRule type="expression" dxfId="1542" priority="49">
      <formula>ABS(T$16-T$19)&gt;=1000</formula>
    </cfRule>
  </conditionalFormatting>
  <conditionalFormatting sqref="U13:U20">
    <cfRule type="expression" dxfId="1541" priority="48">
      <formula>ABS(U$16-U$19)&gt;=1000</formula>
    </cfRule>
  </conditionalFormatting>
  <conditionalFormatting sqref="V13:V20">
    <cfRule type="expression" dxfId="1540" priority="47">
      <formula>ABS(V$16-V$19)&gt;=1000</formula>
    </cfRule>
  </conditionalFormatting>
  <conditionalFormatting sqref="W13 W15:W18 W20">
    <cfRule type="expression" dxfId="1539" priority="46">
      <formula>ABS(W$16-W$19)&gt;=1000</formula>
    </cfRule>
  </conditionalFormatting>
  <conditionalFormatting sqref="X13 X15:X20 Y19">
    <cfRule type="expression" dxfId="1538" priority="45">
      <formula>ABS(X$16-X$19)&gt;=1000</formula>
    </cfRule>
  </conditionalFormatting>
  <conditionalFormatting sqref="Y13 Y15:Y18 Y20">
    <cfRule type="expression" dxfId="1537" priority="44">
      <formula>ABS(Y$16-Y$19)&gt;=1000</formula>
    </cfRule>
  </conditionalFormatting>
  <conditionalFormatting sqref="Z13:Z20">
    <cfRule type="expression" dxfId="1536" priority="43">
      <formula>ABS(Z$16-Z$19)&gt;=1000</formula>
    </cfRule>
  </conditionalFormatting>
  <conditionalFormatting sqref="AA13:AA20">
    <cfRule type="expression" dxfId="1535" priority="42">
      <formula>ABS(AA$16-AA$19)&gt;=1000</formula>
    </cfRule>
  </conditionalFormatting>
  <conditionalFormatting sqref="AB13 AB15:AB20">
    <cfRule type="expression" dxfId="1534" priority="41">
      <formula>ABS(AB$16-AB$19)&gt;=1000</formula>
    </cfRule>
  </conditionalFormatting>
  <conditionalFormatting sqref="AC13 AC15:AC20">
    <cfRule type="expression" dxfId="1533" priority="40">
      <formula>ABS(AC$16-AC$19)&gt;=1000</formula>
    </cfRule>
  </conditionalFormatting>
  <conditionalFormatting sqref="AD13:AD20">
    <cfRule type="expression" dxfId="1532" priority="39">
      <formula>ABS(AD$16-AD$19)&gt;=1000</formula>
    </cfRule>
  </conditionalFormatting>
  <conditionalFormatting sqref="AE13:AE20">
    <cfRule type="expression" dxfId="1531" priority="38">
      <formula>ABS(AE$16-AE$19)&gt;=1000</formula>
    </cfRule>
  </conditionalFormatting>
  <conditionalFormatting sqref="D22:D29">
    <cfRule type="expression" dxfId="1530" priority="37">
      <formula>ABS(D$25-D$28)&gt;=1000</formula>
    </cfRule>
  </conditionalFormatting>
  <conditionalFormatting sqref="E22:E29">
    <cfRule type="expression" dxfId="1529" priority="36">
      <formula>ABS(E$25-E$28)&gt;=1000</formula>
    </cfRule>
  </conditionalFormatting>
  <conditionalFormatting sqref="F22:F29">
    <cfRule type="expression" dxfId="1528" priority="35">
      <formula>ABS(F$25-F$28)&gt;=1000</formula>
    </cfRule>
  </conditionalFormatting>
  <conditionalFormatting sqref="G22:G29">
    <cfRule type="expression" dxfId="1527" priority="34">
      <formula>ABS(G$25-G$28)&gt;=1000</formula>
    </cfRule>
  </conditionalFormatting>
  <conditionalFormatting sqref="H22:H29">
    <cfRule type="expression" dxfId="1526" priority="33">
      <formula>ABS(H$25-H$28)&gt;=1000</formula>
    </cfRule>
  </conditionalFormatting>
  <conditionalFormatting sqref="I22 I24:I29">
    <cfRule type="expression" dxfId="1525" priority="32">
      <formula>ABS(I$25-I$28)&gt;=1000</formula>
    </cfRule>
  </conditionalFormatting>
  <conditionalFormatting sqref="J22:J29 K22">
    <cfRule type="expression" dxfId="1524" priority="31">
      <formula>ABS(J$25-J$28)&gt;=1000</formula>
    </cfRule>
  </conditionalFormatting>
  <conditionalFormatting sqref="K23:K29 L25 L28">
    <cfRule type="expression" dxfId="1523" priority="30">
      <formula>ABS(K$25-K$28)&gt;=1000</formula>
    </cfRule>
  </conditionalFormatting>
  <conditionalFormatting sqref="L22:L24 L26:L27 L29">
    <cfRule type="expression" dxfId="1522" priority="29">
      <formula>ABS(L$25-L$28)&gt;=1000</formula>
    </cfRule>
  </conditionalFormatting>
  <conditionalFormatting sqref="M22:M29">
    <cfRule type="expression" dxfId="1521" priority="28">
      <formula>ABS(M$25-M$28)&gt;=1000</formula>
    </cfRule>
  </conditionalFormatting>
  <conditionalFormatting sqref="N22:N29">
    <cfRule type="expression" dxfId="1520" priority="27">
      <formula>ABS(N$25-N$28)&gt;=1000</formula>
    </cfRule>
  </conditionalFormatting>
  <conditionalFormatting sqref="O22:O29">
    <cfRule type="expression" dxfId="1519" priority="26">
      <formula>ABS(O$25-O$28)&gt;=1000</formula>
    </cfRule>
  </conditionalFormatting>
  <conditionalFormatting sqref="P22:P29">
    <cfRule type="expression" dxfId="1518" priority="25">
      <formula>ABS(P$25-P$28)&gt;=1000</formula>
    </cfRule>
  </conditionalFormatting>
  <conditionalFormatting sqref="Q22:Q29">
    <cfRule type="expression" dxfId="1517" priority="24">
      <formula>ABS(Q$25-Q$28)&gt;=1000</formula>
    </cfRule>
  </conditionalFormatting>
  <conditionalFormatting sqref="R22:R29">
    <cfRule type="expression" dxfId="1516" priority="23">
      <formula>ABS(R$25-R$28)&gt;=1000</formula>
    </cfRule>
  </conditionalFormatting>
  <conditionalFormatting sqref="S22:S29">
    <cfRule type="expression" dxfId="1515" priority="22">
      <formula>ABS(S$25-S$28)&gt;=1000</formula>
    </cfRule>
  </conditionalFormatting>
  <conditionalFormatting sqref="T22:T29">
    <cfRule type="expression" dxfId="1514" priority="21">
      <formula>ABS(T$25-T$28)&gt;=1000</formula>
    </cfRule>
  </conditionalFormatting>
  <conditionalFormatting sqref="U22:U29">
    <cfRule type="expression" dxfId="1513" priority="20">
      <formula>ABS(U$25-U$28)&gt;=1000</formula>
    </cfRule>
  </conditionalFormatting>
  <conditionalFormatting sqref="V22:V29">
    <cfRule type="expression" dxfId="1512" priority="19">
      <formula>ABS(V$25-V$28)&gt;=1000</formula>
    </cfRule>
  </conditionalFormatting>
  <conditionalFormatting sqref="W22:W29">
    <cfRule type="expression" dxfId="1511" priority="18">
      <formula>ABS(W$25-W$28)&gt;=1000</formula>
    </cfRule>
  </conditionalFormatting>
  <conditionalFormatting sqref="X22:X29">
    <cfRule type="expression" dxfId="1510" priority="17">
      <formula>ABS(X$25-X$28)&gt;=1000</formula>
    </cfRule>
  </conditionalFormatting>
  <conditionalFormatting sqref="Y22:Y29">
    <cfRule type="expression" dxfId="1509" priority="16">
      <formula>ABS(Y$25-Y$28)&gt;=1000</formula>
    </cfRule>
  </conditionalFormatting>
  <conditionalFormatting sqref="I23">
    <cfRule type="expression" dxfId="1508" priority="15">
      <formula>ABS(I$25-I$28)&gt;=1000</formula>
    </cfRule>
  </conditionalFormatting>
  <conditionalFormatting sqref="F14">
    <cfRule type="expression" dxfId="1507" priority="14">
      <formula>ABS(F$16-F$19)&gt;=1000</formula>
    </cfRule>
  </conditionalFormatting>
  <conditionalFormatting sqref="Q14">
    <cfRule type="expression" dxfId="1506" priority="13">
      <formula>ABS(Q$16-Q$19)&gt;=1000</formula>
    </cfRule>
  </conditionalFormatting>
  <conditionalFormatting sqref="W14">
    <cfRule type="expression" dxfId="1505" priority="12">
      <formula>ABS(W$16-W$19)&gt;=1000</formula>
    </cfRule>
  </conditionalFormatting>
  <conditionalFormatting sqref="Y14">
    <cfRule type="expression" dxfId="1504" priority="11">
      <formula>ABS(Y$16-Y$19)&gt;=1000</formula>
    </cfRule>
  </conditionalFormatting>
  <conditionalFormatting sqref="X14">
    <cfRule type="expression" dxfId="1503" priority="10">
      <formula>ABS(X$16-X$19)&gt;=1000</formula>
    </cfRule>
  </conditionalFormatting>
  <conditionalFormatting sqref="T10:Y10">
    <cfRule type="expression" dxfId="1502" priority="9">
      <formula>ABS(T$7-T$10)&gt;=1000</formula>
    </cfRule>
  </conditionalFormatting>
  <conditionalFormatting sqref="W19">
    <cfRule type="expression" dxfId="1501" priority="8">
      <formula>ABS(W$16-W$19)&gt;=1000</formula>
    </cfRule>
  </conditionalFormatting>
  <conditionalFormatting sqref="AC5">
    <cfRule type="expression" dxfId="1500" priority="7">
      <formula>ABS(AC$7-AC$10)&gt;=1000</formula>
    </cfRule>
  </conditionalFormatting>
  <conditionalFormatting sqref="M14">
    <cfRule type="expression" dxfId="1499" priority="6">
      <formula>ABS(M$16-M$19)&gt;=1000</formula>
    </cfRule>
  </conditionalFormatting>
  <conditionalFormatting sqref="M16">
    <cfRule type="expression" dxfId="1498" priority="5">
      <formula>ABS(M$16-M$19)&gt;=1000</formula>
    </cfRule>
  </conditionalFormatting>
  <conditionalFormatting sqref="M19">
    <cfRule type="expression" dxfId="1497" priority="4">
      <formula>ABS(M$16-M$19)&gt;=1000</formula>
    </cfRule>
  </conditionalFormatting>
  <conditionalFormatting sqref="K13:K20">
    <cfRule type="expression" dxfId="1496" priority="3">
      <formula>ABS(K$16-K$19)&gt;=1000</formula>
    </cfRule>
  </conditionalFormatting>
  <conditionalFormatting sqref="E5">
    <cfRule type="expression" dxfId="1495" priority="2">
      <formula>ABS(E$7-E$10)&gt;=1000</formula>
    </cfRule>
  </conditionalFormatting>
  <conditionalFormatting sqref="AB14:AC14">
    <cfRule type="expression" dxfId="1494" priority="1">
      <formula>ABS(AB$16-AB$19)&gt;=1000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6646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52">
    <pageSetUpPr fitToPage="1"/>
  </sheetPr>
  <dimension ref="A1:CU223"/>
  <sheetViews>
    <sheetView view="pageBreakPreview" zoomScale="70" zoomScaleNormal="100" zoomScaleSheetLayoutView="70" workbookViewId="0">
      <selection activeCell="AB36" sqref="AB36:AC36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36" t="s" ph="1">
        <v>195</v>
      </c>
      <c r="C1" s="236" ph="1"/>
      <c r="D1" s="236" ph="1"/>
      <c r="E1" s="236" ph="1"/>
      <c r="F1" s="236" ph="1"/>
      <c r="G1" s="236" ph="1"/>
      <c r="H1" s="236" ph="1"/>
      <c r="I1" s="236" ph="1"/>
      <c r="J1" s="236" ph="1"/>
      <c r="K1" s="236" ph="1"/>
      <c r="L1" s="236" ph="1"/>
      <c r="M1" s="236" ph="1"/>
      <c r="N1" s="236" ph="1"/>
      <c r="O1" s="236" ph="1"/>
      <c r="P1" s="236" ph="1"/>
      <c r="Q1" s="236" ph="1"/>
      <c r="R1" s="236" ph="1"/>
      <c r="S1" s="236" ph="1"/>
      <c r="T1" s="236" ph="1"/>
      <c r="U1" s="236" ph="1"/>
      <c r="V1" s="236" ph="1"/>
      <c r="W1" s="236" ph="1"/>
      <c r="X1" s="236" ph="1"/>
      <c r="Y1" s="236" ph="1"/>
      <c r="Z1" s="236" ph="1"/>
      <c r="AA1" s="236" ph="1"/>
      <c r="AB1" s="236" ph="1"/>
      <c r="AC1" s="236" ph="1"/>
      <c r="AD1" s="236" ph="1"/>
      <c r="AE1" s="236" ph="1"/>
    </row>
    <row r="2" spans="1:99" s="66" customFormat="1" ht="24" customHeight="1" ph="1">
      <c r="B2" s="237" t="s" ph="1">
        <v>99</v>
      </c>
      <c r="C2" s="237" ph="1"/>
      <c r="D2" s="237" ph="1"/>
      <c r="E2" s="237" ph="1"/>
      <c r="F2" s="237" ph="1"/>
      <c r="G2" s="237" ph="1"/>
      <c r="H2" s="237" ph="1"/>
      <c r="I2" s="237" ph="1"/>
      <c r="J2" s="237" ph="1"/>
      <c r="K2" s="237" ph="1"/>
      <c r="L2" s="237" ph="1"/>
      <c r="M2" s="237" ph="1"/>
      <c r="N2" s="237" ph="1"/>
      <c r="O2" s="237" ph="1"/>
      <c r="P2" s="237" ph="1"/>
      <c r="Q2" s="237" ph="1"/>
      <c r="R2" s="237" ph="1"/>
      <c r="S2" s="237" ph="1"/>
      <c r="T2" s="237" ph="1"/>
      <c r="U2" s="237" ph="1"/>
      <c r="V2" s="237" ph="1"/>
      <c r="W2" s="237" ph="1"/>
      <c r="X2" s="237" ph="1"/>
      <c r="Y2" s="237" ph="1"/>
      <c r="Z2" s="237" ph="1"/>
      <c r="AA2" s="237" ph="1"/>
      <c r="AB2" s="237" ph="1"/>
      <c r="AC2" s="237" ph="1"/>
      <c r="AD2" s="237" ph="1"/>
      <c r="AE2" s="237" ph="1"/>
    </row>
    <row r="3" spans="1:99" ht="21" customHeight="1" ph="1">
      <c r="B3" s="238" ph="1">
        <v>45666</v>
      </c>
      <c r="C3" s="238"/>
      <c r="D3" s="238"/>
      <c r="E3" s="238"/>
      <c r="F3" s="238"/>
      <c r="G3" s="238"/>
      <c r="H3" s="238"/>
      <c r="I3" s="238"/>
      <c r="J3" s="238"/>
      <c r="K3" s="238"/>
      <c r="L3" s="238"/>
      <c r="M3" s="238"/>
      <c r="N3" s="238"/>
      <c r="O3" s="238"/>
      <c r="P3" s="238"/>
      <c r="Q3" s="238"/>
      <c r="R3" s="238"/>
      <c r="S3" s="238"/>
      <c r="T3" s="238"/>
      <c r="U3" s="238"/>
      <c r="V3" s="238"/>
      <c r="W3" s="238"/>
      <c r="X3" s="238"/>
      <c r="Y3" s="238"/>
      <c r="Z3" s="238"/>
      <c r="AA3" s="238"/>
      <c r="AB3" s="238"/>
      <c r="AC3" s="238"/>
      <c r="AD3" s="238"/>
      <c r="AE3" s="238"/>
    </row>
    <row r="4" spans="1:99" s="69" customFormat="1" ph="1">
      <c r="A4" s="65" ph="1"/>
      <c r="B4" s="217" t="s" ph="1">
        <v>37</v>
      </c>
      <c r="C4" s="67" t="s" ph="1">
        <v>210</v>
      </c>
      <c r="D4" s="68" t="s" ph="1">
        <v>45</v>
      </c>
      <c r="E4" s="68" t="s" ph="1">
        <v>46</v>
      </c>
      <c r="F4" s="68" t="s" ph="1">
        <v>39</v>
      </c>
      <c r="G4" s="68" t="s" ph="1">
        <v>47</v>
      </c>
      <c r="H4" s="68" t="s" ph="1">
        <v>48</v>
      </c>
      <c r="I4" s="68" t="s" ph="1">
        <v>133</v>
      </c>
      <c r="J4" s="68" t="s" ph="1">
        <v>49</v>
      </c>
      <c r="K4" s="68" t="s" ph="1">
        <v>134</v>
      </c>
      <c r="L4" s="68" t="s" ph="1">
        <v>135</v>
      </c>
      <c r="M4" s="68" t="s" ph="1">
        <v>50</v>
      </c>
      <c r="N4" s="68" t="s" ph="1">
        <v>51</v>
      </c>
      <c r="O4" s="68" t="s" ph="1">
        <v>137</v>
      </c>
      <c r="P4" s="68" t="s" ph="1">
        <v>139</v>
      </c>
      <c r="Q4" s="68" t="s" ph="1">
        <v>140</v>
      </c>
      <c r="R4" s="68" t="s" ph="1">
        <v>141</v>
      </c>
      <c r="S4" s="68" t="s" ph="1">
        <v>142</v>
      </c>
      <c r="T4" s="68" t="s" ph="1">
        <v>143</v>
      </c>
      <c r="U4" s="68" t="s" ph="1">
        <v>144</v>
      </c>
      <c r="V4" s="68" t="s" ph="1">
        <v>145</v>
      </c>
      <c r="W4" s="68" t="s" ph="1">
        <v>146</v>
      </c>
      <c r="X4" s="68" t="s" ph="1">
        <v>147</v>
      </c>
      <c r="Y4" s="68" t="s" ph="1">
        <v>148</v>
      </c>
      <c r="Z4" s="68" t="s" ph="1">
        <v>52</v>
      </c>
      <c r="AA4" s="68" t="s" ph="1">
        <v>149</v>
      </c>
      <c r="AB4" s="68" t="s" ph="1">
        <v>150</v>
      </c>
      <c r="AC4" s="68" t="s" ph="1">
        <v>151</v>
      </c>
      <c r="AD4" s="68" t="s" ph="1">
        <v>40</v>
      </c>
      <c r="AE4" s="68" t="s" ph="1">
        <v>152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7" ph="1"/>
      <c r="C5" s="67" t="s" ph="1">
        <v>36</v>
      </c>
      <c r="D5" s="70" t="s" ph="1">
        <v>194</v>
      </c>
      <c r="E5" s="70" t="s" ph="1">
        <v>55</v>
      </c>
      <c r="F5" s="70" t="s" ph="1">
        <v>130</v>
      </c>
      <c r="G5" s="70" t="s" ph="1">
        <v>56</v>
      </c>
      <c r="H5" s="70" t="s" ph="1">
        <v>56</v>
      </c>
      <c r="I5" s="70" t="s" ph="1">
        <v>57</v>
      </c>
      <c r="J5" s="70" t="s" ph="1">
        <v>58</v>
      </c>
      <c r="K5" s="70" t="s" ph="1">
        <v>59</v>
      </c>
      <c r="L5" s="70" t="s" ph="1">
        <v>136</v>
      </c>
      <c r="M5" s="70" t="s" ph="1">
        <v>60</v>
      </c>
      <c r="N5" s="70" t="s" ph="1">
        <v>61</v>
      </c>
      <c r="O5" s="70" t="s" ph="1">
        <v>138</v>
      </c>
      <c r="P5" s="70" t="s" ph="1">
        <v>88</v>
      </c>
      <c r="Q5" s="70" t="s" ph="1">
        <v>96</v>
      </c>
      <c r="R5" s="70" t="s" ph="1">
        <v>96</v>
      </c>
      <c r="S5" s="70" t="s" ph="1">
        <v>96</v>
      </c>
      <c r="T5" s="70" t="s" ph="1">
        <v>96</v>
      </c>
      <c r="U5" s="70" t="s" ph="1">
        <v>96</v>
      </c>
      <c r="V5" s="70" t="s" ph="1">
        <v>96</v>
      </c>
      <c r="W5" s="70" t="s" ph="1">
        <v>96</v>
      </c>
      <c r="X5" s="70" t="s" ph="1">
        <v>96</v>
      </c>
      <c r="Y5" s="70" t="s" ph="1">
        <v>96</v>
      </c>
      <c r="Z5" s="70" t="s" ph="1">
        <v>95</v>
      </c>
      <c r="AA5" s="70" t="s" ph="1">
        <v>62</v>
      </c>
      <c r="AB5" s="70" t="s" ph="1">
        <v>62</v>
      </c>
      <c r="AC5" s="70" t="s" ph="1">
        <v>222</v>
      </c>
      <c r="AD5" s="70" t="s" ph="1">
        <v>83</v>
      </c>
      <c r="AE5" s="70" t="s" ph="1">
        <v>661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5" ph="1">
        <v>0.33333333333333331</v>
      </c>
      <c r="C6" s="151" t="s" ph="1">
        <v>211</v>
      </c>
      <c r="D6" s="71">
        <v>4075</v>
      </c>
      <c r="E6" s="71">
        <v>0</v>
      </c>
      <c r="F6" s="71">
        <v>6250</v>
      </c>
      <c r="G6" s="71">
        <v>8893</v>
      </c>
      <c r="H6" s="71">
        <v>4052</v>
      </c>
      <c r="I6" s="71">
        <v>39.119999999999997</v>
      </c>
      <c r="J6" s="71">
        <v>80.02</v>
      </c>
      <c r="K6" s="71">
        <v>9.2200000000000006</v>
      </c>
      <c r="L6" s="71">
        <v>57.62</v>
      </c>
      <c r="M6" s="71">
        <v>5702</v>
      </c>
      <c r="N6" s="71">
        <v>6507</v>
      </c>
      <c r="O6" s="71">
        <v>508</v>
      </c>
      <c r="P6" s="71">
        <v>218</v>
      </c>
      <c r="Q6" s="71">
        <v>3867</v>
      </c>
      <c r="R6" s="71">
        <v>2228</v>
      </c>
      <c r="S6" s="71">
        <v>2067</v>
      </c>
      <c r="T6" s="71">
        <v>0</v>
      </c>
      <c r="U6" s="71">
        <v>0</v>
      </c>
      <c r="V6" s="71">
        <v>3342</v>
      </c>
      <c r="W6" s="71">
        <v>6515</v>
      </c>
      <c r="X6" s="71">
        <v>4900</v>
      </c>
      <c r="Y6" s="71">
        <v>6145</v>
      </c>
      <c r="Z6" s="71">
        <v>2405</v>
      </c>
      <c r="AA6" s="71">
        <v>0</v>
      </c>
      <c r="AB6" s="71">
        <v>2628</v>
      </c>
      <c r="AC6" s="71">
        <v>6780</v>
      </c>
      <c r="AD6" s="71">
        <v>2640</v>
      </c>
      <c r="AE6" s="71">
        <v>3913</v>
      </c>
    </row>
    <row r="7" spans="1:99" s="72" customFormat="1" ht="22.5" ph="1">
      <c r="B7" s="235" ph="1"/>
      <c r="C7" s="68" t="s" ph="1">
        <v>212</v>
      </c>
      <c r="D7" s="73" ph="1">
        <f>D6*33.183*LOOKUP(D8,密度!$A$2:$A$50,密度!$Q$2:$Q$50)</f>
        <v>128838.30678</v>
      </c>
      <c r="E7" s="73" ph="1">
        <f>E6*51.53*LOOKUP(E8,密度!$A$2:$A$50,密度!$I$2:$I$50)</f>
        <v>0</v>
      </c>
      <c r="F7" s="73" ph="1">
        <f>F6*33.183*LOOKUP(F8,密度!$A$2:$A$50,密度!$C$2:$C$50)</f>
        <v>231285.50999999998</v>
      </c>
      <c r="G7" s="73" ph="1">
        <f xml:space="preserve"> (G6+2)*51.53*LOOKUP(G8,密度!$A$2:$A$50,密度!$B$2:$B$50)</f>
        <v>360820.48032000003</v>
      </c>
      <c r="H7" s="73" ph="1">
        <f>(H6)*51.53*LOOKUP(H8,密度!$A$2:$A$50,密度!$B$2:$B$50)</f>
        <v>165598.93103599999</v>
      </c>
      <c r="I7" s="73" ph="1">
        <f>I6*290.8*1.0267</f>
        <v>11679.837763199999</v>
      </c>
      <c r="J7" s="73" ph="1">
        <f>J6*290.8*0.7892</f>
        <v>18364.538787199999</v>
      </c>
      <c r="K7" s="73" ph="1">
        <f>K6*290.8*1.1126</f>
        <v>2983.0764176000007</v>
      </c>
      <c r="L7" s="73" ph="1">
        <f>L6*290.8*0.777</f>
        <v>13019.331192000001</v>
      </c>
      <c r="M7" s="73" ph="1">
        <f>M6*33.183*LOOKUP(M8,密度!$A$2:$A$50,密度!$D$2:$D$50)</f>
        <v>195793.95541679999</v>
      </c>
      <c r="N7" s="73" ph="1">
        <f>N6*33.183*LOOKUP(N8,密度!$A$2:$A$50,密度!$E$2:$E$50)</f>
        <v>171118.01144249999</v>
      </c>
      <c r="O7" s="73" ph="1">
        <f>O6*20.428*LOOKUP(O8,密度!$A$2:$A$50,密度!$C$2:$C$50)</f>
        <v>11545.921942400002</v>
      </c>
      <c r="P7" s="73" ph="1">
        <f>P6*51.53*LOOKUP(P8,密度!$A$2:$A$50,密度!$B$2:$B$50)</f>
        <v>8862.1397060000018</v>
      </c>
      <c r="Q7" s="73" ph="1">
        <f>Q6*1.5*1.5*3.1416*LOOKUP(W8,密度!$A$2:$A$50,密度!$L$2:$L$50)</f>
        <v>25803.5567328</v>
      </c>
      <c r="R7" s="73" ph="1">
        <f>R6*1.5*1.5*3.1416*LOOKUP(R8,密度!$A$2:$A$50,密度!$L$2:$L$50)</f>
        <v>14788.1615112</v>
      </c>
      <c r="S7" s="73" ph="1">
        <f>S6*1.5*1.5*3.1416*LOOKUP(S8,密度!$A$2:$A$50,密度!$L$2:$L$50)</f>
        <v>13880.256389999999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22205.865527999998</v>
      </c>
      <c r="W7" s="73" ph="1">
        <f>W6*1.5*1.5*3.1416*LOOKUP(W8,密度!$A$2:$A$50,密度!$L$2:$L$50)</f>
        <v>43473.020975999993</v>
      </c>
      <c r="X7" s="73" ph="1">
        <f>X6*1.5*1.5*3.1416*LOOKUP(X8,密度!$A$2:$A$50,密度!$L$2:$L$50)</f>
        <v>33042.877560000001</v>
      </c>
      <c r="Y7" s="73" ph="1">
        <f>Y6*1.5*1.5*3.1416*LOOKUP(Y8,密度!$A$2:$A$50,密度!$L$2:$L$50)</f>
        <v>41090.973461999994</v>
      </c>
      <c r="Z7" s="73" ph="1">
        <f>Z6*33.183*LOOKUP(Z8,密度!$A$2:$A$50,密度!$L$2:$L$50)</f>
        <v>75575.443905000007</v>
      </c>
      <c r="AA7" s="73" ph="1">
        <f>AA6*33.183*LOOKUP(AA8,密度!$A$2:$A$50,密度!$D$2:$D$50)</f>
        <v>0</v>
      </c>
      <c r="AB7" s="73" ph="1">
        <f>AB6*20.428*LOOKUP(AB8,密度!$A$2:$A$50,密度!$D$2:$D$50)</f>
        <v>55977.124276800001</v>
      </c>
      <c r="AC7" s="73" ph="1">
        <f>AC6*51.53*LOOKUP(AC8,密度!$A$2:$A$50,密度!$Q$2:$Q$50)</f>
        <v>333162.47424000001</v>
      </c>
      <c r="AD7" s="73" ph="1">
        <f>AD6*20.428*LOOKUP(AD8,密度!$A$2:$A$50,密度!$V$2:$V$50)</f>
        <v>51988.442880000002</v>
      </c>
      <c r="AE7" s="73" ph="1">
        <f>AE6*20.428</f>
        <v>79934.76400000001</v>
      </c>
    </row>
    <row r="8" spans="1:99" ph="1">
      <c r="B8" s="235" ph="1"/>
      <c r="C8" s="68" t="s" ph="1">
        <v>213</v>
      </c>
      <c r="D8" s="74">
        <v>17</v>
      </c>
      <c r="E8" s="74">
        <v>15</v>
      </c>
      <c r="F8" s="74">
        <v>16</v>
      </c>
      <c r="G8" s="74">
        <v>16</v>
      </c>
      <c r="H8" s="74">
        <v>9</v>
      </c>
      <c r="I8" s="74">
        <v>25</v>
      </c>
      <c r="J8" s="74">
        <v>25</v>
      </c>
      <c r="K8" s="74">
        <v>25</v>
      </c>
      <c r="L8" s="74">
        <v>25</v>
      </c>
      <c r="M8" s="74">
        <v>16</v>
      </c>
      <c r="N8" s="74">
        <v>17</v>
      </c>
      <c r="O8" s="74">
        <v>20</v>
      </c>
      <c r="P8" s="74">
        <v>14</v>
      </c>
      <c r="Q8" s="74">
        <v>16</v>
      </c>
      <c r="R8" s="74">
        <v>23</v>
      </c>
      <c r="S8" s="74">
        <v>12</v>
      </c>
      <c r="T8" s="74">
        <v>13</v>
      </c>
      <c r="U8" s="74">
        <v>17</v>
      </c>
      <c r="V8" s="74">
        <v>22</v>
      </c>
      <c r="W8" s="74">
        <v>18</v>
      </c>
      <c r="X8" s="74">
        <v>8</v>
      </c>
      <c r="Y8" s="74">
        <v>16</v>
      </c>
      <c r="Z8" s="74">
        <v>15</v>
      </c>
      <c r="AA8" s="74">
        <v>16</v>
      </c>
      <c r="AB8" s="74">
        <v>7</v>
      </c>
      <c r="AC8" s="74">
        <v>16</v>
      </c>
      <c r="AD8" s="74">
        <v>20</v>
      </c>
      <c r="AE8" s="74">
        <v>23</v>
      </c>
    </row>
    <row r="9" spans="1:99" ph="1">
      <c r="B9" s="235" ph="1">
        <v>0.66666666666666663</v>
      </c>
      <c r="C9" s="151" t="s" ph="1">
        <v>214</v>
      </c>
      <c r="D9" s="71">
        <v>4075</v>
      </c>
      <c r="E9" s="71">
        <v>0</v>
      </c>
      <c r="F9" s="71">
        <v>6218</v>
      </c>
      <c r="G9" s="71">
        <v>8893</v>
      </c>
      <c r="H9" s="71">
        <v>5473</v>
      </c>
      <c r="I9" s="71">
        <v>39.119999999999997</v>
      </c>
      <c r="J9" s="71">
        <v>80.02</v>
      </c>
      <c r="K9" s="71">
        <v>11.43</v>
      </c>
      <c r="L9" s="71">
        <v>31.14</v>
      </c>
      <c r="M9" s="71">
        <v>5701</v>
      </c>
      <c r="N9" s="71">
        <v>6422</v>
      </c>
      <c r="O9" s="71">
        <v>507</v>
      </c>
      <c r="P9" s="71">
        <v>176</v>
      </c>
      <c r="Q9" s="71">
        <v>3867</v>
      </c>
      <c r="R9" s="71">
        <v>4337</v>
      </c>
      <c r="S9" s="71">
        <v>5237</v>
      </c>
      <c r="T9" s="71">
        <v>5300</v>
      </c>
      <c r="U9" s="71">
        <v>0</v>
      </c>
      <c r="V9" s="71">
        <v>0</v>
      </c>
      <c r="W9" s="71">
        <v>6500</v>
      </c>
      <c r="X9" s="71">
        <v>4900</v>
      </c>
      <c r="Y9" s="71">
        <v>6147</v>
      </c>
      <c r="Z9" s="71">
        <v>3260</v>
      </c>
      <c r="AA9" s="71">
        <v>0</v>
      </c>
      <c r="AB9" s="71">
        <v>2533</v>
      </c>
      <c r="AC9" s="71">
        <v>6780</v>
      </c>
      <c r="AD9" s="71">
        <v>3180</v>
      </c>
      <c r="AE9" s="71">
        <v>3741</v>
      </c>
    </row>
    <row r="10" spans="1:99" s="72" customFormat="1" ht="22.5" ph="1">
      <c r="B10" s="235" ph="1"/>
      <c r="C10" s="151" t="s" ph="1">
        <v>212</v>
      </c>
      <c r="D10" s="73" ph="1">
        <f>D9*33.183*LOOKUP(D11,密度!$A$2:$A$50,密度!$Q$2:$Q$50)</f>
        <v>128838.30678</v>
      </c>
      <c r="E10" s="73" ph="1">
        <f>E9*51.53*LOOKUP(E11,密度!$A$2:$A$50,密度!$I$2:$I$50)</f>
        <v>0</v>
      </c>
      <c r="F10" s="73" ph="1">
        <f>F9*33.183*LOOKUP(F11,密度!$A$2:$A$50,密度!$C$2:$C$50)</f>
        <v>230101.32818879999</v>
      </c>
      <c r="G10" s="73" ph="1">
        <f xml:space="preserve"> (G9+2)*51.53*LOOKUP(G11,密度!$A$2:$A$50,密度!$B$2:$B$50)</f>
        <v>360453.79284000001</v>
      </c>
      <c r="H10" s="73" ph="1">
        <f>(H9)*51.53*LOOKUP(H11,密度!$A$2:$A$50,密度!$B$2:$B$50)</f>
        <v>223193.548266</v>
      </c>
      <c r="I10" s="73" ph="1">
        <f>I9*290.8*1.0267</f>
        <v>11679.837763199999</v>
      </c>
      <c r="J10" s="73" ph="1">
        <f>J9*290.8*0.7892</f>
        <v>18364.538787199999</v>
      </c>
      <c r="K10" s="73" ph="1">
        <f>K9*290.8*1.1126</f>
        <v>3698.1088344</v>
      </c>
      <c r="L10" s="73" ph="1">
        <f>L9*290.8*0.777</f>
        <v>7036.1328240000003</v>
      </c>
      <c r="M10" s="73" ph="1">
        <f>M9*33.183*LOOKUP(M11,密度!$A$2:$A$50,密度!$D$2:$D$50)</f>
        <v>195589.35899370001</v>
      </c>
      <c r="N10" s="73" ph="1">
        <f>N9*33.183*LOOKUP(N11,密度!$A$2:$A$50,密度!$E$2:$E$50)</f>
        <v>168648.3102564</v>
      </c>
      <c r="O10" s="73" ph="1">
        <f>O9*20.428*LOOKUP(O11,密度!$A$2:$A$50,密度!$C$2:$C$50)</f>
        <v>11492.1227616</v>
      </c>
      <c r="P10" s="73" ph="1">
        <f>P9*51.53*LOOKUP(P11,密度!$A$2:$A$50,密度!$B$2:$B$50)</f>
        <v>7139.3372160000008</v>
      </c>
      <c r="Q10" s="73" ph="1">
        <f>Q9*1.5*1.5*3.1416*LOOKUP(W11,密度!$A$2:$A$50,密度!$L$2:$L$50)</f>
        <v>25803.5567328</v>
      </c>
      <c r="R10" s="73" ph="1">
        <f>R9*1.5*1.5*3.1416*LOOKUP(R11,密度!$A$2:$A$50,密度!$L$2:$L$50)</f>
        <v>28755.814071599998</v>
      </c>
      <c r="S10" s="73" ph="1">
        <f>S9*1.5*1.5*3.1416*LOOKUP(S11,密度!$A$2:$A$50,密度!$L$2:$L$50)</f>
        <v>35130.327031799992</v>
      </c>
      <c r="T10" s="73" ph="1">
        <f>T9*1.5*1.5*3.1416*LOOKUP(T11,密度!$A$2:$A$50,密度!$L$2:$L$50)</f>
        <v>35478.010260000003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43372.929599999996</v>
      </c>
      <c r="X10" s="73" ph="1">
        <f>X9*1.5*1.5*3.1416*LOOKUP(X11,密度!$A$2:$A$50,密度!$L$2:$L$50)</f>
        <v>32973.605279999996</v>
      </c>
      <c r="Y10" s="73" ph="1">
        <f>Y9*1.5*1.5*3.1416*LOOKUP(Y11,密度!$A$2:$A$50,密度!$L$2:$L$50)</f>
        <v>41060.896568999997</v>
      </c>
      <c r="Z10" s="73" ph="1">
        <f>Z9*33.183*LOOKUP(Z11,密度!$A$2:$A$50,密度!$L$2:$L$50)</f>
        <v>102226.86809999999</v>
      </c>
      <c r="AA10" s="73" ph="1">
        <f>AA9*33.183*LOOKUP(AA11,密度!$A$2:$A$50,密度!$D$2:$D$50)</f>
        <v>0</v>
      </c>
      <c r="AB10" s="73" ph="1">
        <f>AB9*20.428*LOOKUP(AB11,密度!$A$2:$A$50,密度!$D$2:$D$50)</f>
        <v>53907.028383200006</v>
      </c>
      <c r="AC10" s="73" ph="1">
        <f>AC9*51.53*LOOKUP(AC11,密度!$A$2:$A$50,密度!$Q$2:$Q$50)</f>
        <v>333162.47424000001</v>
      </c>
      <c r="AD10" s="73" ph="1">
        <f>AD9*20.428*LOOKUP(AD11,密度!$A$2:$A$50,密度!$V$2:$V$50)</f>
        <v>62206.691903999999</v>
      </c>
      <c r="AE10" s="73" ph="1">
        <f>AE9*20.428</f>
        <v>76421.148000000001</v>
      </c>
    </row>
    <row r="11" spans="1:99" ph="1">
      <c r="A11" s="64" t="s" ph="1">
        <v>196</v>
      </c>
      <c r="B11" s="235" ph="1"/>
      <c r="C11" s="151" t="s" ph="1">
        <v>213</v>
      </c>
      <c r="D11" s="74">
        <v>17</v>
      </c>
      <c r="E11" s="74">
        <v>17</v>
      </c>
      <c r="F11" s="74">
        <v>16</v>
      </c>
      <c r="G11" s="74">
        <v>17</v>
      </c>
      <c r="H11" s="74">
        <v>11</v>
      </c>
      <c r="I11" s="74">
        <v>25</v>
      </c>
      <c r="J11" s="74">
        <v>25</v>
      </c>
      <c r="K11" s="74">
        <v>25</v>
      </c>
      <c r="L11" s="74">
        <v>25</v>
      </c>
      <c r="M11" s="74">
        <v>17</v>
      </c>
      <c r="N11" s="74">
        <v>18</v>
      </c>
      <c r="O11" s="74">
        <v>24</v>
      </c>
      <c r="P11" s="74">
        <v>16</v>
      </c>
      <c r="Q11" s="74">
        <v>17</v>
      </c>
      <c r="R11" s="74">
        <v>24</v>
      </c>
      <c r="S11" s="74">
        <v>13</v>
      </c>
      <c r="T11" s="74">
        <v>15</v>
      </c>
      <c r="U11" s="74">
        <v>17</v>
      </c>
      <c r="V11" s="74">
        <v>23</v>
      </c>
      <c r="W11" s="74">
        <v>18</v>
      </c>
      <c r="X11" s="74">
        <v>10</v>
      </c>
      <c r="Y11" s="74">
        <v>17</v>
      </c>
      <c r="Z11" s="74">
        <v>17</v>
      </c>
      <c r="AA11" s="74">
        <v>16</v>
      </c>
      <c r="AB11" s="74">
        <v>8</v>
      </c>
      <c r="AC11" s="74">
        <v>16</v>
      </c>
      <c r="AD11" s="74">
        <v>28</v>
      </c>
      <c r="AE11" s="74">
        <v>23</v>
      </c>
    </row>
    <row r="12" spans="1:99" ht="9.9499999999999993" customHeight="1" ph="1"/>
    <row r="13" spans="1:99" s="72" customFormat="1" ht="29.25" customHeight="1" ph="1">
      <c r="B13" s="212" t="s" ph="1">
        <v>37</v>
      </c>
      <c r="C13" s="151" t="s" ph="1">
        <v>210</v>
      </c>
      <c r="D13" s="76" t="s" ph="1">
        <v>53</v>
      </c>
      <c r="E13" s="76" t="s" ph="1">
        <v>54</v>
      </c>
      <c r="F13" s="76" t="s" ph="1">
        <v>66</v>
      </c>
      <c r="G13" s="76" t="s" ph="1">
        <v>67</v>
      </c>
      <c r="H13" s="76" t="s" ph="1">
        <v>154</v>
      </c>
      <c r="I13" s="76" t="s" ph="1">
        <v>68</v>
      </c>
      <c r="J13" s="76" t="s" ph="1">
        <v>155</v>
      </c>
      <c r="K13" s="76" t="s" ph="1">
        <v>63</v>
      </c>
      <c r="L13" s="76" t="s" ph="1">
        <v>69</v>
      </c>
      <c r="M13" s="76" t="s" ph="1">
        <v>70</v>
      </c>
      <c r="N13" s="76" t="s" ph="1">
        <v>156</v>
      </c>
      <c r="O13" s="76" t="s" ph="1">
        <v>64</v>
      </c>
      <c r="P13" s="76" t="s" ph="1">
        <v>71</v>
      </c>
      <c r="Q13" s="76" t="s" ph="1">
        <v>72</v>
      </c>
      <c r="R13" s="76" t="s" ph="1">
        <v>73</v>
      </c>
      <c r="S13" s="76" t="s" ph="1">
        <v>74</v>
      </c>
      <c r="T13" s="76" t="s" ph="1">
        <v>75</v>
      </c>
      <c r="U13" s="76" t="s" ph="1">
        <v>76</v>
      </c>
      <c r="V13" s="76" t="s" ph="1">
        <v>157</v>
      </c>
      <c r="W13" s="76" t="s" ph="1">
        <v>158</v>
      </c>
      <c r="X13" s="76" t="s" ph="1">
        <v>159</v>
      </c>
      <c r="Y13" s="105" t="s" ph="1">
        <v>77</v>
      </c>
      <c r="Z13" s="76" t="s" ph="1">
        <v>86</v>
      </c>
      <c r="AA13" s="76" t="s" ph="1">
        <v>160</v>
      </c>
      <c r="AB13" s="76" t="s" ph="1">
        <v>161</v>
      </c>
      <c r="AC13" s="76" t="s" ph="1">
        <v>162</v>
      </c>
      <c r="AD13" s="76" t="s" ph="1">
        <v>163</v>
      </c>
      <c r="AE13" s="76" t="s" ph="1">
        <v>164</v>
      </c>
      <c r="AG13" s="72" t="s" ph="1">
        <v>369</v>
      </c>
      <c r="AH13" s="72" t="s" ph="1">
        <v>232</v>
      </c>
      <c r="AI13" s="72" t="s" ph="1">
        <v>233</v>
      </c>
      <c r="AJ13" s="72" t="s" ph="1">
        <v>234</v>
      </c>
      <c r="AK13" s="72" t="s" ph="1">
        <v>235</v>
      </c>
      <c r="AL13" s="72" t="s" ph="1">
        <v>236</v>
      </c>
      <c r="AM13" s="72" t="s" ph="1">
        <v>237</v>
      </c>
      <c r="AN13" s="72" t="s" ph="1">
        <v>238</v>
      </c>
      <c r="AO13" s="72" t="s" ph="1">
        <v>239</v>
      </c>
      <c r="AP13" s="72" t="s" ph="1">
        <v>240</v>
      </c>
      <c r="AQ13" s="72" t="s" ph="1">
        <v>241</v>
      </c>
      <c r="AR13" s="72" t="s" ph="1">
        <v>242</v>
      </c>
      <c r="AS13" s="72" t="s" ph="1">
        <v>243</v>
      </c>
      <c r="AT13" s="72" t="s" ph="1">
        <v>244</v>
      </c>
      <c r="AU13" s="72" t="s" ph="1">
        <v>245</v>
      </c>
      <c r="AV13" s="72" t="s" ph="1">
        <v>246</v>
      </c>
      <c r="AW13" s="72" t="s" ph="1">
        <v>247</v>
      </c>
      <c r="AX13" s="72" t="s" ph="1">
        <v>248</v>
      </c>
      <c r="AY13" s="72" t="s" ph="1">
        <v>370</v>
      </c>
      <c r="AZ13" s="72" t="s" ph="1">
        <v>249</v>
      </c>
      <c r="BA13" s="72" t="s" ph="1">
        <v>250</v>
      </c>
      <c r="BB13" s="72" t="s" ph="1">
        <v>635</v>
      </c>
      <c r="BC13" s="72" t="s" ph="1">
        <v>251</v>
      </c>
      <c r="BD13" s="72" t="s" ph="1">
        <v>371</v>
      </c>
      <c r="BE13" s="72" t="s" ph="1">
        <v>372</v>
      </c>
      <c r="BF13" s="72" t="s" ph="1">
        <v>373</v>
      </c>
      <c r="BG13" s="72" t="s" ph="1">
        <v>374</v>
      </c>
      <c r="BH13" s="72" t="s" ph="1">
        <v>375</v>
      </c>
    </row>
    <row r="14" spans="1:99" s="72" customFormat="1" ht="24" ph="1">
      <c r="B14" s="213" ph="1"/>
      <c r="C14" s="67" t="s" ph="1">
        <v>36</v>
      </c>
      <c r="D14" s="77" t="s" ph="1">
        <v>131</v>
      </c>
      <c r="E14" s="77" t="s" ph="1">
        <v>131</v>
      </c>
      <c r="F14" s="153" t="s" ph="1">
        <v>656</v>
      </c>
      <c r="G14" s="77" t="s" ph="1">
        <v>220</v>
      </c>
      <c r="H14" s="77" t="s" ph="1">
        <v>648</v>
      </c>
      <c r="I14" s="77" t="s" ph="1">
        <v>65</v>
      </c>
      <c r="J14" s="77" t="s" ph="1">
        <v>230</v>
      </c>
      <c r="K14" s="77" t="s" ph="1">
        <v>226</v>
      </c>
      <c r="L14" s="77" t="s" ph="1">
        <v>41</v>
      </c>
      <c r="M14" s="104" t="s" ph="1">
        <v>225</v>
      </c>
      <c r="N14" s="104" t="s" ph="1">
        <v>221</v>
      </c>
      <c r="O14" s="104" t="s" ph="1">
        <v>229</v>
      </c>
      <c r="P14" s="77" t="s" ph="1">
        <v>82</v>
      </c>
      <c r="Q14" s="77" t="s" ph="1">
        <v>82</v>
      </c>
      <c r="R14" s="88" t="s" ph="1">
        <v>7</v>
      </c>
      <c r="S14" s="77" t="s" ph="1">
        <v>82</v>
      </c>
      <c r="T14" s="77" t="s" ph="1">
        <v>98</v>
      </c>
      <c r="U14" s="77" t="s" ph="1">
        <v>659</v>
      </c>
      <c r="V14" s="77" t="s" ph="1">
        <v>649</v>
      </c>
      <c r="W14" s="77" t="s" ph="1">
        <v>223</v>
      </c>
      <c r="X14" s="77" t="s" ph="1">
        <v>78</v>
      </c>
      <c r="Y14" s="144" t="s" ph="1">
        <v>0</v>
      </c>
      <c r="Z14" s="77" t="s" ph="1">
        <v>62</v>
      </c>
      <c r="AA14" s="77" t="s" ph="1">
        <v>88</v>
      </c>
      <c r="AB14" s="77" t="s" ph="1">
        <v>653</v>
      </c>
      <c r="AC14" s="77" t="s" ph="1">
        <v>653</v>
      </c>
      <c r="AD14" s="77" t="s" ph="1">
        <v>136</v>
      </c>
      <c r="AE14" s="77" t="s" ph="1">
        <v>136</v>
      </c>
      <c r="AG14" s="72" t="s" ph="1">
        <v>252</v>
      </c>
      <c r="AI14" s="72" t="s" ph="1">
        <v>253</v>
      </c>
      <c r="AJ14" s="72" t="s" ph="1">
        <v>376</v>
      </c>
      <c r="AK14" s="72" t="s" ph="1">
        <v>254</v>
      </c>
      <c r="AM14" s="72" t="s" ph="1">
        <v>256</v>
      </c>
      <c r="AN14" s="72" t="s" ph="1">
        <v>254</v>
      </c>
      <c r="AO14" s="72" t="s" ph="1">
        <v>255</v>
      </c>
      <c r="AP14" s="72" t="s" ph="1">
        <v>256</v>
      </c>
      <c r="AQ14" s="72" t="s" ph="1">
        <v>254</v>
      </c>
      <c r="AR14" s="72" t="s" ph="1">
        <v>255</v>
      </c>
      <c r="AS14" s="72" t="s" ph="1">
        <v>256</v>
      </c>
      <c r="AT14" s="72" t="s" ph="1">
        <v>254</v>
      </c>
      <c r="AU14" s="72" t="s" ph="1">
        <v>255</v>
      </c>
      <c r="AV14" s="72" t="s" ph="1">
        <v>256</v>
      </c>
      <c r="AW14" s="72" t="s" ph="1">
        <v>254</v>
      </c>
      <c r="AX14" s="72" t="s" ph="1">
        <v>255</v>
      </c>
      <c r="AY14" s="72" t="s" ph="1">
        <v>256</v>
      </c>
      <c r="AZ14" s="72" t="s" ph="1">
        <v>255</v>
      </c>
    </row>
    <row r="15" spans="1:99" ph="1">
      <c r="B15" s="214" ph="1">
        <v>0.33333333333333331</v>
      </c>
      <c r="C15" s="151" t="s" ph="1">
        <v>211</v>
      </c>
      <c r="D15" s="78">
        <v>1240</v>
      </c>
      <c r="E15" s="78">
        <v>72</v>
      </c>
      <c r="F15" s="78">
        <v>3251</v>
      </c>
      <c r="G15" s="78">
        <v>3456</v>
      </c>
      <c r="H15" s="78">
        <v>1078</v>
      </c>
      <c r="I15" s="78">
        <v>2677</v>
      </c>
      <c r="J15" s="78">
        <v>392</v>
      </c>
      <c r="K15" s="78">
        <v>1815</v>
      </c>
      <c r="L15" s="78">
        <v>3430</v>
      </c>
      <c r="M15" s="78">
        <v>3411</v>
      </c>
      <c r="N15" s="78">
        <v>1739</v>
      </c>
      <c r="O15" s="78">
        <v>234</v>
      </c>
      <c r="P15" s="78">
        <v>0</v>
      </c>
      <c r="Q15" s="78">
        <v>6081</v>
      </c>
      <c r="R15" s="78">
        <v>3495</v>
      </c>
      <c r="S15" s="78">
        <v>5618</v>
      </c>
      <c r="T15" s="78">
        <v>5292</v>
      </c>
      <c r="U15" s="78">
        <v>3349</v>
      </c>
      <c r="V15" s="78">
        <v>-1192</v>
      </c>
      <c r="W15" s="78">
        <v>-593</v>
      </c>
      <c r="X15" s="78">
        <v>1068</v>
      </c>
      <c r="Y15" s="106">
        <v>-9901</v>
      </c>
      <c r="Z15" s="78">
        <v>0</v>
      </c>
      <c r="AA15" s="78">
        <v>28</v>
      </c>
      <c r="AB15" s="78" ph="1">
        <v>6252</v>
      </c>
      <c r="AC15" s="78" ph="1">
        <v>6506</v>
      </c>
      <c r="AD15" s="78">
        <v>84.52</v>
      </c>
      <c r="AE15" s="78">
        <v>52.12</v>
      </c>
      <c r="AG15" s="64" t="s" ph="1">
        <v>258</v>
      </c>
      <c r="AH15" s="64" ph="1">
        <v>1</v>
      </c>
      <c r="AI15" s="64" t="s" ph="1">
        <v>377</v>
      </c>
      <c r="AK15" s="64" t="s" ph="1">
        <v>631</v>
      </c>
      <c r="AM15" s="64" t="s" ph="1">
        <v>379</v>
      </c>
      <c r="AZ15" s="64" t="s" ph="1">
        <v>260</v>
      </c>
      <c r="BA15" s="64" ph="1">
        <v>0</v>
      </c>
    </row>
    <row r="16" spans="1:99" s="72" customFormat="1" ht="22.5" ph="1">
      <c r="B16" s="215" ph="1"/>
      <c r="C16" s="151" t="s" ph="1">
        <v>212</v>
      </c>
      <c r="D16" s="73" ph="1">
        <f>D15*7.0686*LOOKUP(D17,密度!$A$2:$A$50,密度!$L$2:$L$50)</f>
        <v>8282.9854799999994</v>
      </c>
      <c r="E16" s="73" ph="1">
        <f>E15*7.0686*LOOKUP(E17,密度!$A$2:$A$50,密度!$L$2:$L$50)</f>
        <v>480.94754399999999</v>
      </c>
      <c r="F16" s="73" ph="1">
        <f>F15*9.0746*LOOKUP(F17,密度!$A$2:$A$50,密度!$L$2:$L$50)</f>
        <v>27878.940747000001</v>
      </c>
      <c r="G16" s="73" ph="1">
        <f>G15*9.0746*LOOKUP(G17,密度!$A$2:$A$50,密度!$B$2:$B$50)</f>
        <v>24662.93336064</v>
      </c>
      <c r="H16" s="73" ph="1">
        <f>H15*9.0746*LOOKUP(H17,密度!$A$2:$A$50,密度!$L$2:$L$50)</f>
        <v>9283.5154411999993</v>
      </c>
      <c r="I16" s="73" ph="1">
        <f>I15*9.0746*LOOKUP(I17,密度!$A$2:$A$50,密度!$U$2:$U$50)</f>
        <v>24972.8999176</v>
      </c>
      <c r="J16" s="73" ph="1">
        <f>J15*9.0746*LOOKUP(J17,密度!$A$2:$A$50,密度!$L$2:$L$50)</f>
        <v>3365.1520671999997</v>
      </c>
      <c r="K16" s="73" ph="1">
        <f>K15*9.0746*LOOKUP(K17,密度!$A$2:$A$50,密度!$C$2:$C$50)</f>
        <v>18367.788964800002</v>
      </c>
      <c r="L16" s="73" ph="1">
        <f>L15*9.0746*LOOKUP(L17,密度!$A$2:$A$50,密度!$E$2:$E$50)</f>
        <v>24701.4967808</v>
      </c>
      <c r="M16" s="73" ph="1">
        <f>M15*9.0746*LOOKUP(M17,密度!$A$2:$A$50,密度!$M$2:$M$50)</f>
        <v>27248.331366180002</v>
      </c>
      <c r="N16" s="73" ph="1">
        <f>N15*9.0746*LOOKUP(N17,密度!$A$2:$A$50,密度!$M$2:$M$50)</f>
        <v>13891.77609082</v>
      </c>
      <c r="O16" s="73" ph="1">
        <f>O15*9.0746*LOOKUP(O17,密度!$A$2:$A$50,密度!$G$2:$G$50)</f>
        <v>2059.752708</v>
      </c>
      <c r="P16" s="73" ph="1">
        <f ca="1">P15*9.0746*LOOKUP(P17,密度!$A$2:$A$51,密度!$Q$2:$Q$50)</f>
        <v>0</v>
      </c>
      <c r="Q16" s="73" ph="1">
        <f>Q15*9.0746*LOOKUP(Q17,密度!$A$2:$A$50,密度!$Q$2:$Q$50)</f>
        <v>52578.021869279997</v>
      </c>
      <c r="R16" s="73" ph="1">
        <f>MAX(R15*9.0746*LOOKUP(R17,密度!$A$2:$A$50,密度!$B$2:$B$50),0)</f>
        <v>24893.674122300003</v>
      </c>
      <c r="S16" s="73" ph="1">
        <f>S15*9.0746*LOOKUP(S17,密度!$A$2:$A$50,密度!$Q$2:$Q$50)</f>
        <v>48615.579630079999</v>
      </c>
      <c r="T16" s="73" ph="1">
        <f>T15*9.0746*LOOKUP(T17,密度!$A$2:$A$50,密度!$O$2:$O$50)</f>
        <v>44853.279508799998</v>
      </c>
      <c r="U16" s="73" ph="1">
        <f>U15*9.0746*LOOKUP(U17,密度!$A$2:$A$50,密度!$H$2:$H$50)</f>
        <v>28132.796329779998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223.87972351999997</v>
      </c>
      <c r="X16" s="73" ph="1">
        <f>MAX(5600*LOOKUP(X17,密度!$A$2:$A$50,密度!$I$2:$I$50)+X15*9.0476*LOOKUP(X17,密度!$A$2:$A$50,密度!$I$2:$I$50),0)</f>
        <v>15908.454796639999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200.65392535999999</v>
      </c>
      <c r="AB16" s="73" ph="1">
        <f>AB15*9.0746*LOOKUP(AB17,密度!$A$2:$A$50,密度!$L$2:$L$50)</f>
        <v>53614.007244</v>
      </c>
      <c r="AC16" s="73" ph="1">
        <f>AC15*9.0746*LOOKUP(AC17,密度!$A$2:$A$50,密度!$L$2:$L$50)</f>
        <v>55969.301524800001</v>
      </c>
      <c r="AD16" s="73" ph="1">
        <f>AD15*268.68*LOOKUP(AD17,密度!$A$2:$A$50,密度!B2:B50)+IF(AD15&lt;=0,0,1566*LOOKUP(AD17,密度!$A$2:$A$50,密度!B2:B50))</f>
        <v>18924.660274559996</v>
      </c>
      <c r="AE16" s="73" ph="1">
        <f>AE15*268.68*LOOKUP(AE17,密度!$A$2:$A$50,密度!B2:B50)+IF(AE15&lt;=0,0,1566*LOOKUP(AE17,密度!$A$2:$A$50,密度!B2:B50))</f>
        <v>12138.061407359999</v>
      </c>
      <c r="AH16" s="72" ph="1">
        <v>2</v>
      </c>
      <c r="AI16" s="72" t="s" ph="1">
        <v>381</v>
      </c>
      <c r="AZ16" s="72" t="s" ph="1">
        <v>260</v>
      </c>
      <c r="BA16" s="72" ph="1">
        <v>0</v>
      </c>
    </row>
    <row r="17" spans="1:57" ph="1">
      <c r="A17" s="64" t="s" ph="1">
        <v>85</v>
      </c>
      <c r="B17" s="216" ph="1"/>
      <c r="C17" s="79" t="s" ph="1">
        <v>213</v>
      </c>
      <c r="D17" s="74">
        <v>17</v>
      </c>
      <c r="E17" s="74">
        <v>17</v>
      </c>
      <c r="F17" s="74">
        <v>17</v>
      </c>
      <c r="G17" s="74">
        <v>17</v>
      </c>
      <c r="H17" s="74">
        <v>13</v>
      </c>
      <c r="I17" s="74">
        <v>16</v>
      </c>
      <c r="J17" s="74">
        <v>16</v>
      </c>
      <c r="K17" s="74">
        <v>16</v>
      </c>
      <c r="L17" s="74">
        <v>16</v>
      </c>
      <c r="M17" s="74">
        <v>17</v>
      </c>
      <c r="N17" s="74">
        <v>16</v>
      </c>
      <c r="O17" s="74">
        <v>16</v>
      </c>
      <c r="P17" s="74">
        <v>15</v>
      </c>
      <c r="Q17" s="74">
        <v>17</v>
      </c>
      <c r="R17" s="74">
        <v>19</v>
      </c>
      <c r="S17" s="74">
        <v>16</v>
      </c>
      <c r="T17" s="74">
        <v>16</v>
      </c>
      <c r="U17" s="74">
        <v>14</v>
      </c>
      <c r="V17" s="74">
        <v>16</v>
      </c>
      <c r="W17" s="74">
        <v>16</v>
      </c>
      <c r="X17" s="74">
        <v>25</v>
      </c>
      <c r="Y17" s="108">
        <v>25</v>
      </c>
      <c r="Z17" s="74">
        <v>16</v>
      </c>
      <c r="AA17" s="74">
        <v>13</v>
      </c>
      <c r="AB17" s="74">
        <v>17</v>
      </c>
      <c r="AC17" s="74">
        <v>14</v>
      </c>
      <c r="AD17" s="74">
        <v>25</v>
      </c>
      <c r="AE17" s="74">
        <v>25</v>
      </c>
      <c r="AH17" s="64" ph="1">
        <v>3</v>
      </c>
      <c r="AI17" s="64" t="s" ph="1">
        <v>382</v>
      </c>
      <c r="AK17" s="64" t="s" ph="1">
        <v>614</v>
      </c>
      <c r="AL17" s="64" ph="1">
        <v>80</v>
      </c>
      <c r="AM17" s="64" t="s" ph="1">
        <v>379</v>
      </c>
      <c r="AZ17" s="64" t="s" ph="1">
        <v>260</v>
      </c>
      <c r="BA17" s="64" ph="1">
        <v>80</v>
      </c>
      <c r="BD17" s="64" t="s" ph="1">
        <v>258</v>
      </c>
      <c r="BE17" s="64" ph="1">
        <v>2270</v>
      </c>
    </row>
    <row r="18" spans="1:57" ph="1">
      <c r="B18" s="214" ph="1">
        <v>0.66666666666666663</v>
      </c>
      <c r="C18" s="79" t="s" ph="1">
        <v>214</v>
      </c>
      <c r="D18" s="71">
        <v>1240</v>
      </c>
      <c r="E18" s="71">
        <v>72</v>
      </c>
      <c r="F18" s="71">
        <v>3285</v>
      </c>
      <c r="G18" s="71">
        <v>3499</v>
      </c>
      <c r="H18" s="71">
        <v>1077</v>
      </c>
      <c r="I18" s="71">
        <v>1307</v>
      </c>
      <c r="J18" s="71">
        <v>391</v>
      </c>
      <c r="K18" s="71">
        <v>1815</v>
      </c>
      <c r="L18" s="71">
        <v>3431</v>
      </c>
      <c r="M18" s="71">
        <v>3622</v>
      </c>
      <c r="N18" s="71">
        <v>2690</v>
      </c>
      <c r="O18" s="71">
        <v>232</v>
      </c>
      <c r="P18" s="71">
        <v>0</v>
      </c>
      <c r="Q18" s="71">
        <v>6083</v>
      </c>
      <c r="R18" s="71">
        <v>3497</v>
      </c>
      <c r="S18" s="71">
        <v>5620</v>
      </c>
      <c r="T18" s="71">
        <v>4612</v>
      </c>
      <c r="U18" s="71">
        <v>3349</v>
      </c>
      <c r="V18" s="71">
        <v>-1193</v>
      </c>
      <c r="W18" s="71">
        <v>-594</v>
      </c>
      <c r="X18" s="71">
        <v>1064</v>
      </c>
      <c r="Y18" s="109">
        <v>-9901</v>
      </c>
      <c r="Z18" s="71">
        <v>0</v>
      </c>
      <c r="AA18" s="71">
        <v>28</v>
      </c>
      <c r="AB18" s="71">
        <v>6283</v>
      </c>
      <c r="AC18" s="71">
        <v>6508</v>
      </c>
      <c r="AD18" s="71">
        <v>31.23</v>
      </c>
      <c r="AE18" s="71">
        <v>79.98</v>
      </c>
      <c r="AH18" s="64" ph="1">
        <v>4</v>
      </c>
      <c r="AI18" s="64" t="s" ph="1">
        <v>384</v>
      </c>
      <c r="AJ18" s="64" t="s" ph="1">
        <v>632</v>
      </c>
      <c r="AK18" s="64" t="s" ph="1">
        <v>631</v>
      </c>
      <c r="AL18" s="64" ph="1">
        <v>740</v>
      </c>
      <c r="AM18" s="64" t="s" ph="1">
        <v>383</v>
      </c>
      <c r="AZ18" s="64" t="s" ph="1">
        <v>260</v>
      </c>
      <c r="BA18" s="64" ph="1">
        <v>740</v>
      </c>
    </row>
    <row r="19" spans="1:57" s="72" customFormat="1" ht="22.5" ph="1">
      <c r="B19" s="215" ph="1"/>
      <c r="C19" s="151" t="s" ph="1">
        <v>212</v>
      </c>
      <c r="D19" s="73" ph="1">
        <f>D18*7.0686*LOOKUP(D20,密度!$A$2:$A$50,密度!$L$2:$L$50)</f>
        <v>8282.9854799999994</v>
      </c>
      <c r="E19" s="73" ph="1">
        <f>E18*7.0686*LOOKUP(E20,密度!$A$2:$A$50,密度!$L$2:$L$50)</f>
        <v>480.94754399999999</v>
      </c>
      <c r="F19" s="73" ph="1">
        <f>F18*9.0746*LOOKUP(F20,密度!$A$2:$A$50,密度!$L$2:$L$50)</f>
        <v>28140.697584000001</v>
      </c>
      <c r="G19" s="73" ph="1">
        <f>G18*9.0746*LOOKUP(G20,密度!$A$2:$A$50,密度!$B$2:$B$50)</f>
        <v>24947.56635678</v>
      </c>
      <c r="H19" s="73" ph="1">
        <f>H18*9.0746*LOOKUP(H20,密度!$A$2:$A$50,密度!$L$2:$L$50)</f>
        <v>9265.1303015999983</v>
      </c>
      <c r="I19" s="73" ph="1">
        <f>I18*9.0746*LOOKUP(I20,密度!$A$2:$A$50,密度!$U$2:$U$50)</f>
        <v>12192.596261600002</v>
      </c>
      <c r="J19" s="73" ph="1">
        <f>J18*9.0746*LOOKUP(J20,密度!$A$2:$A$50,密度!$L$2:$L$50)</f>
        <v>3349.4711583999997</v>
      </c>
      <c r="K19" s="73" ph="1">
        <f>K18*9.0746*LOOKUP(K20,密度!$A$2:$A$50,密度!$C$2:$C$50)</f>
        <v>18356.259685500001</v>
      </c>
      <c r="L19" s="73" ph="1">
        <f>L18*9.0746*LOOKUP(L20,密度!$A$2:$A$50,密度!$E$2:$E$50)</f>
        <v>24674.449935500001</v>
      </c>
      <c r="M19" s="73" ph="1">
        <f>M18*9.0746*LOOKUP(M20,密度!$A$2:$A$50,密度!$M$2:$M$50)</f>
        <v>28933.87751636</v>
      </c>
      <c r="N19" s="73" ph="1">
        <f>N18*9.0746*LOOKUP(N20,密度!$A$2:$A$50,密度!$M$2:$M$50)</f>
        <v>21488.716322199998</v>
      </c>
      <c r="O19" s="73" ph="1">
        <f>O18*9.0746*LOOKUP(O20,密度!$A$2:$A$50,密度!$G$2:$G$50)</f>
        <v>2037.9373696000002</v>
      </c>
      <c r="P19" s="73" ph="1">
        <f ca="1">P18*9.0746*LOOKUP(P20,密度!$A$2:$A$51,密度!$Q$2:$Q$50)</f>
        <v>0</v>
      </c>
      <c r="Q19" s="73" ph="1">
        <f>Q18*9.0746*LOOKUP(Q20,密度!$A$2:$A$50,密度!$Q$2:$Q$50)</f>
        <v>52595.314427040001</v>
      </c>
      <c r="R19" s="73" ph="1">
        <f>MAX(R18*9.0746*LOOKUP(R20,密度!$A$2:$A$50,密度!$B$2:$B$50),0)</f>
        <v>24853.971839840004</v>
      </c>
      <c r="S19" s="73" ph="1">
        <f>S18*9.0746*LOOKUP(S20,密度!$A$2:$A$50,密度!$Q$2:$Q$50)</f>
        <v>48592.087305599998</v>
      </c>
      <c r="T19" s="73" ph="1">
        <f>T18*9.0746*LOOKUP(T20,密度!$A$2:$A$50,密度!$O$2:$O$50)</f>
        <v>39089.819556800001</v>
      </c>
      <c r="U19" s="73" ph="1">
        <f>U18*9.0746*LOOKUP(U20,密度!$A$2:$A$50,密度!$H$2:$H$50)</f>
        <v>28072.014658979999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215.07135168000059</v>
      </c>
      <c r="X19" s="73" ph="1">
        <f>MAX(5600*LOOKUP(X20,密度!$A$2:$A$50,密度!$I$2:$I$50)+X18*9.0476*LOOKUP(X20,密度!$A$2:$A$50,密度!$I$2:$I$50),0)</f>
        <v>15800.690969280002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200.22197439999999</v>
      </c>
      <c r="AB19" s="73" ph="1">
        <f>AB18*9.0746*LOOKUP(AB20,密度!$A$2:$A$50,密度!$L$2:$L$50)</f>
        <v>53822.831939200005</v>
      </c>
      <c r="AC19" s="73" ph="1">
        <f>AC18*9.0746*LOOKUP(AC20,密度!$A$2:$A$50,密度!$L$2:$L$50)</f>
        <v>55927.449469599997</v>
      </c>
      <c r="AD19" s="73" ph="1">
        <f>AD18*268.68*LOOKUP(AD20,密度!$A$2:$A$50,密度!B5:B53)+IF(AD18&lt;=0,0,1566*LOOKUP(AD20,密度!$A$2:$A$50,密度!B5:B53))</f>
        <v>7736.4929628000009</v>
      </c>
      <c r="AE19" s="73" ph="1">
        <f>AE18*268.68*LOOKUP(AE20,密度!$A$2:$A$50,密度!B5:B53)+IF(AE18&lt;=0,0,1566*LOOKUP(AE20,密度!$A$2:$A$50,密度!B5:B53))</f>
        <v>17913.755512800002</v>
      </c>
      <c r="AH19" s="72" ph="1">
        <v>5</v>
      </c>
      <c r="AI19" s="72" t="s" ph="1">
        <v>385</v>
      </c>
      <c r="AZ19" s="72" t="s" ph="1">
        <v>260</v>
      </c>
      <c r="BA19" s="72" ph="1">
        <v>0</v>
      </c>
      <c r="BD19" s="72" t="s" ph="1">
        <v>386</v>
      </c>
      <c r="BE19" s="72" ph="1">
        <v>1440</v>
      </c>
    </row>
    <row r="20" spans="1:57" ph="1">
      <c r="A20" s="72" ph="1"/>
      <c r="B20" s="215" ph="1"/>
      <c r="C20" s="80" t="s" ph="1">
        <v>213</v>
      </c>
      <c r="D20" s="81">
        <v>17</v>
      </c>
      <c r="E20" s="81">
        <v>17</v>
      </c>
      <c r="F20" s="81">
        <v>18</v>
      </c>
      <c r="G20" s="81">
        <v>18</v>
      </c>
      <c r="H20" s="81">
        <v>14</v>
      </c>
      <c r="I20" s="81">
        <v>18</v>
      </c>
      <c r="J20" s="81">
        <v>18</v>
      </c>
      <c r="K20" s="81">
        <v>17</v>
      </c>
      <c r="L20" s="81">
        <v>17</v>
      </c>
      <c r="M20" s="81">
        <v>19</v>
      </c>
      <c r="N20" s="81">
        <v>17</v>
      </c>
      <c r="O20" s="81">
        <v>18</v>
      </c>
      <c r="P20" s="81">
        <v>20</v>
      </c>
      <c r="Q20" s="81">
        <v>17</v>
      </c>
      <c r="R20" s="81">
        <v>21</v>
      </c>
      <c r="S20" s="81">
        <v>17</v>
      </c>
      <c r="T20" s="81">
        <v>17</v>
      </c>
      <c r="U20" s="81">
        <v>16</v>
      </c>
      <c r="V20" s="81">
        <v>17</v>
      </c>
      <c r="W20" s="81">
        <v>17</v>
      </c>
      <c r="X20" s="81">
        <v>29</v>
      </c>
      <c r="Y20" s="110">
        <v>29</v>
      </c>
      <c r="Z20" s="81">
        <v>19</v>
      </c>
      <c r="AA20" s="81">
        <v>15</v>
      </c>
      <c r="AB20" s="81">
        <v>18</v>
      </c>
      <c r="AC20" s="81">
        <v>15</v>
      </c>
      <c r="AD20" s="81">
        <v>25</v>
      </c>
      <c r="AE20" s="81">
        <v>25</v>
      </c>
      <c r="AH20" s="64" ph="1">
        <v>6</v>
      </c>
      <c r="AI20" s="64" t="s" ph="1">
        <v>387</v>
      </c>
      <c r="AZ20" s="64" t="s" ph="1">
        <v>260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388</v>
      </c>
      <c r="AZ21" s="64" t="s" ph="1">
        <v>260</v>
      </c>
      <c r="BA21" s="64" ph="1">
        <v>0</v>
      </c>
      <c r="BD21" s="64" t="s" ph="1">
        <v>276</v>
      </c>
      <c r="BE21" s="64" ph="1">
        <v>730</v>
      </c>
    </row>
    <row r="22" spans="1:57" ph="1">
      <c r="A22" s="72" ph="1"/>
      <c r="B22" s="213" t="s" ph="1">
        <v>37</v>
      </c>
      <c r="C22" s="85" t="s" ph="1">
        <v>210</v>
      </c>
      <c r="D22" s="86" t="s" ph="1">
        <v>104</v>
      </c>
      <c r="E22" s="86" t="s" ph="1">
        <v>105</v>
      </c>
      <c r="F22" s="86" t="s" ph="1">
        <v>106</v>
      </c>
      <c r="G22" s="86" t="s" ph="1">
        <v>107</v>
      </c>
      <c r="H22" s="86" t="s" ph="1">
        <v>108</v>
      </c>
      <c r="I22" s="86" t="s" ph="1">
        <v>109</v>
      </c>
      <c r="J22" s="86" t="s" ph="1">
        <v>110</v>
      </c>
      <c r="K22" s="86" t="s" ph="1">
        <v>111</v>
      </c>
      <c r="L22" s="86" t="s" ph="1">
        <v>112</v>
      </c>
      <c r="M22" s="86" t="s" ph="1">
        <v>113</v>
      </c>
      <c r="N22" s="86" t="s" ph="1">
        <v>114</v>
      </c>
      <c r="O22" s="86" t="s" ph="1">
        <v>115</v>
      </c>
      <c r="P22" s="86" t="s" ph="1">
        <v>116</v>
      </c>
      <c r="Q22" s="87" t="s" ph="1">
        <v>117</v>
      </c>
      <c r="R22" s="86" t="s" ph="1">
        <v>118</v>
      </c>
      <c r="S22" s="86" t="s" ph="1">
        <v>119</v>
      </c>
      <c r="T22" s="86" t="s" ph="1">
        <v>120</v>
      </c>
      <c r="U22" s="86" t="s" ph="1">
        <v>121</v>
      </c>
      <c r="V22" s="86" t="s" ph="1">
        <v>122</v>
      </c>
      <c r="W22" s="86" t="s" ph="1">
        <v>123</v>
      </c>
      <c r="X22" s="86" t="s" ph="1">
        <v>124</v>
      </c>
      <c r="Y22" s="86" t="s" ph="1">
        <v>126</v>
      </c>
      <c r="Z22" s="223" t="s" ph="1">
        <v>79</v>
      </c>
      <c r="AA22" s="224"/>
      <c r="AB22" s="224"/>
      <c r="AC22" s="224"/>
      <c r="AD22" s="224"/>
      <c r="AE22" s="225"/>
      <c r="AH22" s="64" ph="1">
        <v>8</v>
      </c>
      <c r="AI22" s="64" t="s" ph="1">
        <v>389</v>
      </c>
      <c r="AZ22" s="64" t="s" ph="1">
        <v>260</v>
      </c>
      <c r="BA22" s="64" ph="1">
        <v>0</v>
      </c>
    </row>
    <row r="23" spans="1:57" ph="1">
      <c r="A23" s="72" ph="1"/>
      <c r="B23" s="217" ph="1"/>
      <c r="C23" s="67" t="s" ph="1">
        <v>36</v>
      </c>
      <c r="D23" s="88" t="s" ph="1">
        <v>128</v>
      </c>
      <c r="E23" s="88" t="s" ph="1">
        <v>125</v>
      </c>
      <c r="F23" s="88" t="s" ph="1">
        <v>224</v>
      </c>
      <c r="G23" s="88" t="s" ph="1">
        <v>165</v>
      </c>
      <c r="H23" s="88" t="s" ph="1">
        <v>165</v>
      </c>
      <c r="I23" s="88" t="s" ph="1">
        <v>166</v>
      </c>
      <c r="J23" s="88" t="s" ph="1">
        <v>167</v>
      </c>
      <c r="K23" s="88" t="s" ph="1">
        <v>129</v>
      </c>
      <c r="L23" s="88" t="s" ph="1">
        <v>129</v>
      </c>
      <c r="M23" s="88" t="s" ph="1">
        <v>167</v>
      </c>
      <c r="N23" s="88" t="s" ph="1">
        <v>167</v>
      </c>
      <c r="O23" s="88" t="s" ph="1">
        <v>132</v>
      </c>
      <c r="P23" s="88" t="s" ph="1">
        <v>168</v>
      </c>
      <c r="Q23" s="89" t="s" ph="1">
        <v>168</v>
      </c>
      <c r="R23" s="88" t="s" ph="1">
        <v>169</v>
      </c>
      <c r="S23" s="88" t="s" ph="1">
        <v>170</v>
      </c>
      <c r="T23" s="88" t="s" ph="1">
        <v>651</v>
      </c>
      <c r="U23" s="88" t="s" ph="1">
        <v>660</v>
      </c>
      <c r="V23" s="88" t="s" ph="1">
        <v>172</v>
      </c>
      <c r="W23" s="88" t="s" ph="1">
        <v>170</v>
      </c>
      <c r="X23" s="88" t="s" ph="1">
        <v>231</v>
      </c>
      <c r="Y23" s="88" t="s" ph="1">
        <v>97</v>
      </c>
      <c r="Z23" s="226" t="s" ph="1">
        <v>658</v>
      </c>
      <c r="AA23" s="227"/>
      <c r="AB23" s="227"/>
      <c r="AC23" s="227"/>
      <c r="AD23" s="227"/>
      <c r="AE23" s="228"/>
      <c r="AH23" s="64" ph="1">
        <v>9</v>
      </c>
      <c r="AI23" s="64" t="s" ph="1">
        <v>390</v>
      </c>
      <c r="AZ23" s="64" t="s" ph="1">
        <v>260</v>
      </c>
      <c r="BA23" s="64" ph="1">
        <v>0</v>
      </c>
      <c r="BD23" s="64" t="s" ph="1">
        <v>282</v>
      </c>
      <c r="BE23" s="64" ph="1">
        <v>890</v>
      </c>
    </row>
    <row r="24" spans="1:57" ph="1">
      <c r="A24" s="72" ph="1"/>
      <c r="B24" s="235" ph="1">
        <v>0.33333333333333331</v>
      </c>
      <c r="C24" s="151" t="s" ph="1">
        <v>211</v>
      </c>
      <c r="D24" s="71">
        <v>44.25</v>
      </c>
      <c r="E24" s="71">
        <v>97.62</v>
      </c>
      <c r="F24" s="71">
        <v>2151</v>
      </c>
      <c r="G24" s="71">
        <v>3921</v>
      </c>
      <c r="H24" s="71">
        <v>3249</v>
      </c>
      <c r="I24" s="71">
        <v>2536</v>
      </c>
      <c r="J24" s="71">
        <v>2451</v>
      </c>
      <c r="K24" s="71">
        <v>5616</v>
      </c>
      <c r="L24" s="71">
        <v>5588</v>
      </c>
      <c r="M24" s="71">
        <v>1384</v>
      </c>
      <c r="N24" s="71">
        <v>869</v>
      </c>
      <c r="O24" s="71">
        <v>2055</v>
      </c>
      <c r="P24" s="71">
        <v>2483</v>
      </c>
      <c r="Q24" s="90">
        <v>2222</v>
      </c>
      <c r="R24" s="71">
        <v>2016</v>
      </c>
      <c r="S24" s="71">
        <v>183</v>
      </c>
      <c r="T24" s="71">
        <v>6395</v>
      </c>
      <c r="U24" s="71">
        <v>4900</v>
      </c>
      <c r="V24" s="71">
        <v>5604</v>
      </c>
      <c r="W24" s="71">
        <v>11521</v>
      </c>
      <c r="X24" s="71">
        <v>10302</v>
      </c>
      <c r="Y24" s="71">
        <v>6625</v>
      </c>
      <c r="Z24" s="229"/>
      <c r="AA24" s="230"/>
      <c r="AB24" s="230"/>
      <c r="AC24" s="230"/>
      <c r="AD24" s="230"/>
      <c r="AE24" s="231"/>
      <c r="AH24" s="64" ph="1">
        <v>10</v>
      </c>
      <c r="AI24" s="64" t="s" ph="1">
        <v>391</v>
      </c>
      <c r="AZ24" s="64" t="s" ph="1">
        <v>260</v>
      </c>
      <c r="BA24" s="64" ph="1">
        <v>0</v>
      </c>
    </row>
    <row r="25" spans="1:57" ph="1">
      <c r="A25" s="72" ph="1"/>
      <c r="B25" s="235" ph="1"/>
      <c r="C25" s="68" t="s" ph="1">
        <v>212</v>
      </c>
      <c r="D25" s="91" ph="1">
        <f>D24*268.68*LOOKUP(D26,密度!$A$2:$A$50,密度!$Q$2:$Q$50)+IF(D24&lt;=0,0,1566*LOOKUP(D26,密度!$A$2:$A$50,密度!$Q$2:$Q$50))</f>
        <v>12738.4719066</v>
      </c>
      <c r="E25" s="91" ph="1">
        <f>E24*268.68*LOOKUP(E26,密度!$A$2:$A$50,密度!$C$2:$C$50)+IF(E24&lt;=0,0,1566*LOOKUP(E26,密度!$A$2:$A$50,密度!$C$2:$C$50))</f>
        <v>30821.367180240002</v>
      </c>
      <c r="F25" s="91" ph="1">
        <f>F24*11.702*LOOKUP(F26,密度!$A$2:$A$50,密度!$Q$2:$Q$50)</f>
        <v>24003.067507200001</v>
      </c>
      <c r="G25" s="91" ph="1">
        <f>G24*18.322*LOOKUP(G26,密度!$A$2:$A$50,密度!$B$2:$B$50)</f>
        <v>56610.362855999992</v>
      </c>
      <c r="H25" s="91" ph="1">
        <f>H24*18.322*LOOKUP(H26,密度!$A$2:$A$50,密度!$B$2:$B$50)</f>
        <v>46961.779624200004</v>
      </c>
      <c r="I25" s="91" ph="1">
        <f>I24*18.322*LOOKUP(I26,密度!$A$2:$A$50,密度!$Q$2:$Q$50)</f>
        <v>44352.311647679999</v>
      </c>
      <c r="J25" s="91" ph="1">
        <f>J24*18.322*LOOKUP(J26,密度!$A$2:$A$50,密度!$Q$2:$Q$50)</f>
        <v>42865.739687880006</v>
      </c>
      <c r="K25" s="91" ph="1">
        <f>K24*18.322*LOOKUP(K26,密度!$A$2:$A$50,密度!$Q$2:$Q$50)</f>
        <v>98121.961267199993</v>
      </c>
      <c r="L25" s="91" ph="1">
        <f>L24*18.322*LOOKUP(L26,密度!$A$2:$A$50,密度!$Q$2:$Q$50)</f>
        <v>97728.989545439996</v>
      </c>
      <c r="M25" s="91" ph="1">
        <f>M24*18.322*LOOKUP(M26,密度!$A$2:$A$50,密度!$Q$2:$Q$50)</f>
        <v>24204.88932192</v>
      </c>
      <c r="N25" s="91" ph="1">
        <f>N24*18.322*LOOKUP(N26,密度!$A$2:$A$50,密度!$Q$2:$Q$50)</f>
        <v>15198.012153719999</v>
      </c>
      <c r="O25" s="91" ph="1">
        <f>O24*18.322*LOOKUP(O26,密度!$A$2:$A$50,密度!$C$2:$C$50)</f>
        <v>42041.899385999997</v>
      </c>
      <c r="P25" s="91" ph="1">
        <f>P24*11.702*LOOKUP(P26,密度!$A$2:$A$50,密度!$B$2:$B$50)</f>
        <v>22945.575320199998</v>
      </c>
      <c r="Q25" s="92" ph="1">
        <f>Q24*18.322*LOOKUP(Q26,密度!$A$2:$A$50,密度!$B$2:$B$50)</f>
        <v>32117.2897276</v>
      </c>
      <c r="R25" s="91" ph="1">
        <f>R24*35.891*LOOKUP(R26,密度!$A$2:$A$50,密度!$C$2:$C$50)</f>
        <v>80691.696691199992</v>
      </c>
      <c r="S25" s="91" ph="1">
        <f>S24*35.891*LOOKUP(S26,密度!$A$2:$A$50,密度!$B$2:$B$50)</f>
        <v>5175.6257640000003</v>
      </c>
      <c r="T25" s="91" ph="1">
        <f>T24*35.891*LOOKUP(T26,密度!$A$2:$A$50,密度!$Q$2:$Q$50)</f>
        <v>218689.46199599997</v>
      </c>
      <c r="U25" s="91" ph="1">
        <f>U24*35.891</f>
        <v>175865.9</v>
      </c>
      <c r="V25" s="91" ph="1">
        <f>V24*47.051*LOOKUP(V26,密度!$A$2:$A$50,密度!$B$2:$B$50)</f>
        <v>207564.01850880001</v>
      </c>
      <c r="W25" s="91" ph="1">
        <f>W24*47.051*LOOKUP(W26,密度!$A$2:$A$50,密度!$B$2:$B$50)</f>
        <v>427154.761948</v>
      </c>
      <c r="X25" s="91" ph="1">
        <f>X24*47.051*LOOKUP(X26,密度!$A$2:$A$50,密度!$I$2:$I$50)</f>
        <v>501994.80148727994</v>
      </c>
      <c r="Y25" s="91" ph="1">
        <f>Y24*47.051*LOOKUP(Y26,密度!$A$2:$A$50,密度!$L$2:$L$50)</f>
        <v>294568.666875</v>
      </c>
      <c r="Z25" s="229"/>
      <c r="AA25" s="230"/>
      <c r="AB25" s="230"/>
      <c r="AC25" s="230"/>
      <c r="AD25" s="230"/>
      <c r="AE25" s="231"/>
      <c r="AH25" s="64" ph="1">
        <v>11</v>
      </c>
      <c r="AI25" s="64" t="s" ph="1">
        <v>392</v>
      </c>
      <c r="AZ25" s="64" t="s" ph="1">
        <v>260</v>
      </c>
      <c r="BA25" s="64" ph="1">
        <v>0</v>
      </c>
      <c r="BD25" s="64" t="s" ph="1">
        <v>285</v>
      </c>
      <c r="BE25" s="64" ph="1">
        <v>8920</v>
      </c>
    </row>
    <row r="26" spans="1:57" ph="1">
      <c r="A26" s="72" ph="1"/>
      <c r="B26" s="235" ph="1"/>
      <c r="C26" s="68" t="s" ph="1">
        <v>213</v>
      </c>
      <c r="D26" s="74">
        <v>25</v>
      </c>
      <c r="E26" s="74">
        <v>25</v>
      </c>
      <c r="F26" s="74">
        <v>16</v>
      </c>
      <c r="G26" s="74">
        <v>15</v>
      </c>
      <c r="H26" s="74">
        <v>14</v>
      </c>
      <c r="I26" s="74">
        <v>14</v>
      </c>
      <c r="J26" s="74">
        <v>15</v>
      </c>
      <c r="K26" s="74">
        <v>16</v>
      </c>
      <c r="L26" s="74">
        <v>14</v>
      </c>
      <c r="M26" s="74">
        <v>14</v>
      </c>
      <c r="N26" s="74">
        <v>15</v>
      </c>
      <c r="O26" s="74">
        <v>14</v>
      </c>
      <c r="P26" s="74">
        <v>13</v>
      </c>
      <c r="Q26" s="93">
        <v>14</v>
      </c>
      <c r="R26" s="74">
        <v>16</v>
      </c>
      <c r="S26" s="74">
        <v>15</v>
      </c>
      <c r="T26" s="74">
        <v>17</v>
      </c>
      <c r="U26" s="74">
        <v>16</v>
      </c>
      <c r="V26" s="74">
        <v>16</v>
      </c>
      <c r="W26" s="74">
        <v>15</v>
      </c>
      <c r="X26" s="74">
        <v>54</v>
      </c>
      <c r="Y26" s="74">
        <v>17</v>
      </c>
      <c r="Z26" s="229"/>
      <c r="AA26" s="230"/>
      <c r="AB26" s="230"/>
      <c r="AC26" s="230"/>
      <c r="AD26" s="230"/>
      <c r="AE26" s="231"/>
      <c r="AH26" s="64" ph="1">
        <v>12</v>
      </c>
      <c r="AI26" s="64" t="s" ph="1">
        <v>393</v>
      </c>
      <c r="AZ26" s="64" t="s" ph="1">
        <v>260</v>
      </c>
      <c r="BA26" s="64" ph="1">
        <v>0</v>
      </c>
    </row>
    <row r="27" spans="1:57" ph="1">
      <c r="A27" s="72" ph="1"/>
      <c r="B27" s="235" ph="1">
        <v>0.66666666666666663</v>
      </c>
      <c r="C27" s="151" t="s" ph="1">
        <v>214</v>
      </c>
      <c r="D27" s="71">
        <v>44.35</v>
      </c>
      <c r="E27" s="71">
        <v>97.65</v>
      </c>
      <c r="F27" s="71">
        <v>2151</v>
      </c>
      <c r="G27" s="71">
        <v>3353</v>
      </c>
      <c r="H27" s="71">
        <v>3577</v>
      </c>
      <c r="I27" s="71">
        <v>2536</v>
      </c>
      <c r="J27" s="71">
        <v>2450</v>
      </c>
      <c r="K27" s="71">
        <v>5615</v>
      </c>
      <c r="L27" s="71">
        <v>5587</v>
      </c>
      <c r="M27" s="71">
        <v>1384</v>
      </c>
      <c r="N27" s="71">
        <v>867</v>
      </c>
      <c r="O27" s="71">
        <v>2053</v>
      </c>
      <c r="P27" s="71">
        <v>2483</v>
      </c>
      <c r="Q27" s="90">
        <v>2858</v>
      </c>
      <c r="R27" s="71">
        <v>2015</v>
      </c>
      <c r="S27" s="71">
        <v>181</v>
      </c>
      <c r="T27" s="71">
        <v>6394</v>
      </c>
      <c r="U27" s="71">
        <v>4895</v>
      </c>
      <c r="V27" s="71">
        <v>5564</v>
      </c>
      <c r="W27" s="71">
        <v>11518</v>
      </c>
      <c r="X27" s="71">
        <v>9924</v>
      </c>
      <c r="Y27" s="71">
        <v>5571</v>
      </c>
      <c r="Z27" s="229"/>
      <c r="AA27" s="230"/>
      <c r="AB27" s="230"/>
      <c r="AC27" s="230"/>
      <c r="AD27" s="230"/>
      <c r="AE27" s="231"/>
      <c r="AH27" s="64" ph="1">
        <v>13</v>
      </c>
      <c r="AI27" s="64" t="s" ph="1">
        <v>394</v>
      </c>
      <c r="AZ27" s="64" t="s" ph="1">
        <v>260</v>
      </c>
      <c r="BA27" s="64" ph="1">
        <v>0</v>
      </c>
      <c r="BD27" s="64" t="s" ph="1">
        <v>339</v>
      </c>
      <c r="BE27" s="64" ph="1">
        <v>7100</v>
      </c>
    </row>
    <row r="28" spans="1:57" ph="1">
      <c r="A28" s="72" ph="1"/>
      <c r="B28" s="235" ph="1"/>
      <c r="C28" s="151" t="s" ph="1">
        <v>212</v>
      </c>
      <c r="D28" s="91" ph="1">
        <f>D27*268.68*LOOKUP(D29,密度!$A$2:$A$50,密度!$Q$2:$Q$50)+IF(D27&lt;=0,0,1566*LOOKUP(D29,密度!$A$2:$A$50,密度!$Q$2:$Q$50))</f>
        <v>12763.90891692</v>
      </c>
      <c r="E28" s="91" ph="1">
        <f>E27*268.68*LOOKUP(E29,密度!$A$2:$A$50,密度!$C$2:$C$50)+IF(E27&lt;=0,0,1566*LOOKUP(E29,密度!$A$2:$A$50,密度!$C$2:$C$50))</f>
        <v>30830.305357800004</v>
      </c>
      <c r="F28" s="91" ph="1">
        <f>F27*11.702*LOOKUP(F29,密度!$A$2:$A$50,密度!$Q$2:$Q$50)</f>
        <v>23982.9307056</v>
      </c>
      <c r="G28" s="91" ph="1">
        <f>G27*18.322*LOOKUP(G29,密度!$A$2:$A$50,密度!$B$2:$B$50)</f>
        <v>48311.434942399996</v>
      </c>
      <c r="H28" s="91" ph="1">
        <f>H27*18.322*LOOKUP(H29,密度!$A$2:$A$50,密度!$B$2:$B$50)</f>
        <v>51591.351436799996</v>
      </c>
      <c r="I28" s="91" ph="1">
        <f>I27*18.322*LOOKUP(I29,密度!$A$2:$A$50,密度!$Q$2:$Q$50)</f>
        <v>44308.634931199995</v>
      </c>
      <c r="J28" s="91" ph="1">
        <f>J27*18.322*LOOKUP(J29,密度!$A$2:$A$50,密度!$Q$2:$Q$50)</f>
        <v>42770.143920000002</v>
      </c>
      <c r="K28" s="91" ph="1">
        <f>K27*18.322*LOOKUP(K29,密度!$A$2:$A$50,密度!$Q$2:$Q$50)</f>
        <v>97940.913340300001</v>
      </c>
      <c r="L28" s="91" ph="1">
        <f>L27*18.322*LOOKUP(L29,密度!$A$2:$A$50,密度!$Q$2:$Q$50)</f>
        <v>97615.277350399992</v>
      </c>
      <c r="M28" s="91" ph="1">
        <f>M27*18.322*LOOKUP(M29,密度!$A$2:$A$50,密度!$Q$2:$Q$50)</f>
        <v>24181.053132799996</v>
      </c>
      <c r="N28" s="91" ph="1">
        <f>N27*18.322*LOOKUP(N29,密度!$A$2:$A$50,密度!$Q$2:$Q$50)</f>
        <v>15135.393787199999</v>
      </c>
      <c r="O28" s="91" ph="1">
        <f>O27*18.322*LOOKUP(O29,密度!$A$2:$A$50,密度!$C$2:$C$50)</f>
        <v>41948.321603199998</v>
      </c>
      <c r="P28" s="91" ph="1">
        <f>P27*11.702*LOOKUP(P29,密度!$A$2:$A$50,密度!$B$2:$B$50)</f>
        <v>22896.180007999999</v>
      </c>
      <c r="Q28" s="92" ph="1">
        <f>Q27*18.322*LOOKUP(Q29,密度!$A$2:$A$50,密度!$B$2:$B$50)</f>
        <v>41221.158067199998</v>
      </c>
      <c r="R28" s="91" ph="1">
        <f>R27*35.891*LOOKUP(R29,密度!$A$2:$A$50,密度!$C$2:$C$50)</f>
        <v>80651.671047999989</v>
      </c>
      <c r="S28" s="91" ph="1">
        <f>S27*35.891*LOOKUP(S29,密度!$A$2:$A$50,密度!$B$2:$B$50)</f>
        <v>5108.6675144000001</v>
      </c>
      <c r="T28" s="91" ph="1">
        <f>T27*35.891*LOOKUP(T29,密度!$A$2:$A$50,密度!$Q$2:$Q$50)</f>
        <v>218655.26505119997</v>
      </c>
      <c r="U28" s="91" ph="1">
        <f>U27*35.891</f>
        <v>175686.44499999998</v>
      </c>
      <c r="V28" s="91" ph="1">
        <f>V27*47.051*LOOKUP(V29,密度!$A$2:$A$50,密度!$B$2:$B$50)</f>
        <v>206082.47662080004</v>
      </c>
      <c r="W28" s="91" ph="1">
        <f>W27*47.051*LOOKUP(W29,密度!$A$2:$A$50,密度!$B$2:$B$50)</f>
        <v>426609.98664960003</v>
      </c>
      <c r="X28" s="91" ph="1">
        <f>X27*47.051*LOOKUP(X29,密度!$A$2:$A$50,密度!$I$2:$I$50)</f>
        <v>483575.65617935994</v>
      </c>
      <c r="Y28" s="91" ph="1">
        <f>Y27*47.051*LOOKUP(Y29,密度!$A$2:$A$50,密度!$L$2:$L$50)</f>
        <v>247442.33822400001</v>
      </c>
      <c r="Z28" s="229"/>
      <c r="AA28" s="230"/>
      <c r="AB28" s="230"/>
      <c r="AC28" s="230"/>
      <c r="AD28" s="230"/>
      <c r="AE28" s="231"/>
      <c r="AH28" s="64" ph="1">
        <v>14</v>
      </c>
      <c r="AI28" s="64" t="s" ph="1">
        <v>395</v>
      </c>
      <c r="AZ28" s="64" t="s" ph="1">
        <v>260</v>
      </c>
      <c r="BA28" s="64" ph="1">
        <v>0</v>
      </c>
    </row>
    <row r="29" spans="1:57" ph="1">
      <c r="A29" s="72" ph="1"/>
      <c r="B29" s="235" ph="1"/>
      <c r="C29" s="151" t="s" ph="1">
        <v>213</v>
      </c>
      <c r="D29" s="74">
        <v>25</v>
      </c>
      <c r="E29" s="74">
        <v>25</v>
      </c>
      <c r="F29" s="74">
        <v>17</v>
      </c>
      <c r="G29" s="74">
        <v>17</v>
      </c>
      <c r="H29" s="74">
        <v>16</v>
      </c>
      <c r="I29" s="74">
        <v>16</v>
      </c>
      <c r="J29" s="74">
        <v>17</v>
      </c>
      <c r="K29" s="74">
        <v>18</v>
      </c>
      <c r="L29" s="74">
        <v>16</v>
      </c>
      <c r="M29" s="74">
        <v>16</v>
      </c>
      <c r="N29" s="74">
        <v>17</v>
      </c>
      <c r="O29" s="74">
        <v>16</v>
      </c>
      <c r="P29" s="74">
        <v>15</v>
      </c>
      <c r="Q29" s="93">
        <v>16</v>
      </c>
      <c r="R29" s="74">
        <v>16</v>
      </c>
      <c r="S29" s="74">
        <v>17</v>
      </c>
      <c r="T29" s="74">
        <v>17</v>
      </c>
      <c r="U29" s="74">
        <v>17</v>
      </c>
      <c r="V29" s="74">
        <v>16</v>
      </c>
      <c r="W29" s="74">
        <v>16</v>
      </c>
      <c r="X29" s="74">
        <v>55</v>
      </c>
      <c r="Y29" s="74">
        <v>18</v>
      </c>
      <c r="Z29" s="232"/>
      <c r="AA29" s="233"/>
      <c r="AB29" s="233"/>
      <c r="AC29" s="233"/>
      <c r="AD29" s="233"/>
      <c r="AE29" s="234"/>
      <c r="AH29" s="64" ph="1">
        <v>15</v>
      </c>
      <c r="AI29" s="64" t="s" ph="1">
        <v>396</v>
      </c>
      <c r="AZ29" s="64" t="s" ph="1">
        <v>260</v>
      </c>
      <c r="BA29" s="64" ph="1">
        <v>0</v>
      </c>
      <c r="BD29" s="64" t="s" ph="1">
        <v>397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398</v>
      </c>
      <c r="AZ30" s="64" t="s" ph="1">
        <v>260</v>
      </c>
      <c r="BA30" s="64" ph="1">
        <v>0</v>
      </c>
    </row>
    <row r="31" spans="1:57" ht="28.5" ph="1">
      <c r="A31" s="64"/>
      <c r="B31" s="218" t="s" ph="1">
        <v>35</v>
      </c>
      <c r="C31" s="219" ph="1"/>
      <c r="D31" s="222" t="s" ph="1">
        <v>9</v>
      </c>
      <c r="E31" s="197" ph="1"/>
      <c r="F31" s="198" ph="1"/>
      <c r="G31" s="222" t="s" ph="1">
        <v>18</v>
      </c>
      <c r="H31" s="197" ph="1"/>
      <c r="I31" s="198" ph="1"/>
      <c r="J31" s="196" t="s" ph="1">
        <v>1</v>
      </c>
      <c r="K31" s="197" ph="1"/>
      <c r="L31" s="198" ph="1"/>
      <c r="M31" s="196" t="s" ph="1">
        <v>7</v>
      </c>
      <c r="N31" s="197" ph="1"/>
      <c r="O31" s="198" ph="1"/>
      <c r="P31" s="196" t="s" ph="1">
        <v>42</v>
      </c>
      <c r="Q31" s="197"/>
      <c r="R31" s="198"/>
      <c r="S31" s="196" t="s" ph="1">
        <v>2</v>
      </c>
      <c r="T31" s="197"/>
      <c r="U31" s="198"/>
      <c r="V31" s="196" t="s" ph="1">
        <v>81</v>
      </c>
      <c r="W31" s="197" ph="1"/>
      <c r="X31" s="198" ph="1"/>
      <c r="Y31" s="196" t="s" ph="1">
        <v>3</v>
      </c>
      <c r="Z31" s="197" ph="1"/>
      <c r="AA31" s="198" ph="1"/>
      <c r="AB31" s="199" t="s">
        <v>43</v>
      </c>
      <c r="AC31" s="200"/>
      <c r="AD31" s="200"/>
      <c r="AE31" s="201"/>
      <c r="AH31" s="64" ph="1">
        <v>17</v>
      </c>
      <c r="AI31" s="64" t="s" ph="1">
        <v>399</v>
      </c>
      <c r="AZ31" s="64" t="s" ph="1">
        <v>260</v>
      </c>
      <c r="BA31" s="64" ph="1">
        <v>0</v>
      </c>
      <c r="BD31" s="64" t="s" ph="1">
        <v>400</v>
      </c>
      <c r="BE31" s="64" ph="1">
        <v>9310</v>
      </c>
    </row>
    <row r="32" spans="1:57" ph="1">
      <c r="A32" s="64"/>
      <c r="B32" s="220" ph="1"/>
      <c r="C32" s="221" ph="1"/>
      <c r="D32" s="96" t="s" ph="1">
        <v>4</v>
      </c>
      <c r="E32" s="151" t="s" ph="1">
        <v>5</v>
      </c>
      <c r="F32" s="150" t="s" ph="1">
        <v>44</v>
      </c>
      <c r="G32" s="97" t="s" ph="1">
        <v>4</v>
      </c>
      <c r="H32" s="151" t="s" ph="1">
        <v>5</v>
      </c>
      <c r="I32" s="150" t="s" ph="1">
        <v>44</v>
      </c>
      <c r="J32" s="97" t="s" ph="1">
        <v>4</v>
      </c>
      <c r="K32" s="151" t="s" ph="1">
        <v>5</v>
      </c>
      <c r="L32" s="150" t="s" ph="1">
        <v>44</v>
      </c>
      <c r="M32" s="97" t="s" ph="1">
        <v>4</v>
      </c>
      <c r="N32" s="151" t="s" ph="1">
        <v>5</v>
      </c>
      <c r="O32" s="150" t="s" ph="1">
        <v>44</v>
      </c>
      <c r="P32" s="97" t="s" ph="1">
        <v>4</v>
      </c>
      <c r="Q32" s="98" t="s" ph="1">
        <v>5</v>
      </c>
      <c r="R32" s="99" t="s" ph="1">
        <v>44</v>
      </c>
      <c r="S32" s="97" t="s" ph="1">
        <v>4</v>
      </c>
      <c r="T32" s="151" t="s" ph="1">
        <v>5</v>
      </c>
      <c r="U32" s="99" t="s" ph="1">
        <v>44</v>
      </c>
      <c r="V32" s="97" t="s" ph="1">
        <v>4</v>
      </c>
      <c r="W32" s="151" t="s" ph="1">
        <v>5</v>
      </c>
      <c r="X32" s="99" t="s" ph="1">
        <v>44</v>
      </c>
      <c r="Y32" s="100" t="s" ph="1">
        <v>4</v>
      </c>
      <c r="Z32" s="151" t="s" ph="1">
        <v>5</v>
      </c>
      <c r="AA32" s="150" t="s" ph="1">
        <v>44</v>
      </c>
      <c r="AB32" s="97" t="s" ph="1">
        <v>102</v>
      </c>
      <c r="AC32" s="151" t="s" ph="1">
        <v>101</v>
      </c>
      <c r="AD32" s="202" t="s" ph="1">
        <v>100</v>
      </c>
      <c r="AE32" s="203"/>
      <c r="AH32" s="64" ph="1">
        <v>18</v>
      </c>
      <c r="AI32" s="64" t="s" ph="1">
        <v>401</v>
      </c>
      <c r="AZ32" s="64" t="s" ph="1">
        <v>260</v>
      </c>
      <c r="BA32" s="64" ph="1">
        <v>0</v>
      </c>
    </row>
    <row r="33" spans="1:57" ph="1">
      <c r="A33" s="64"/>
      <c r="B33" s="204" t="s" ph="1">
        <v>215</v>
      </c>
      <c r="C33" s="205" ph="1"/>
      <c r="D33" s="184" ph="1">
        <f>AA10+AB10+Z19</f>
        <v>53907.028383200006</v>
      </c>
      <c r="E33" s="184" ph="1">
        <f>M10+I10</f>
        <v>207269.1967569</v>
      </c>
      <c r="F33" s="208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表格_取樣回收每月庫存表_0620更新1522252632456786910111213141516171819202123456789101112131415161718192022232424356789101112131415161718192021222345678910111213141516171819202345678910111213149101516171819222123234567891012131415161711181920212224252345678[[#This Row],[F25]]</f>
        <v>3880</v>
      </c>
      <c r="G33" s="210" ph="1">
        <v>0</v>
      </c>
      <c r="H33" s="184" ph="1">
        <f>N19</f>
        <v>21488.716322199998</v>
      </c>
      <c r="I33" s="188" ph="1">
        <v>0</v>
      </c>
      <c r="J33" s="192" ph="1">
        <f>F10+O28</f>
        <v>272049.64979200001</v>
      </c>
      <c r="K33" s="184" ph="1">
        <f>O10+K10+E28+R28</f>
        <v>126672.2080018</v>
      </c>
      <c r="L33" s="194" ph="1">
        <f>BE27</f>
        <v>7100</v>
      </c>
      <c r="M33" s="192" ph="1">
        <f>G10+H10+W28+S28</f>
        <v>1015365.99527</v>
      </c>
      <c r="N33" s="184" ph="1">
        <f>L10+P10++G28+H28+V28</f>
        <v>320160.73304000002</v>
      </c>
      <c r="O33" s="188" ph="1">
        <f>BE17</f>
        <v>2270</v>
      </c>
      <c r="P33" s="192" ph="1">
        <f>L19</f>
        <v>24674.449935500001</v>
      </c>
      <c r="Q33" s="184" ph="1">
        <f>J10+N10</f>
        <v>187012.8490436</v>
      </c>
      <c r="R33" s="188" ph="1">
        <f>BE23</f>
        <v>890</v>
      </c>
      <c r="S33" s="192" ph="1">
        <f>E10+X28</f>
        <v>483575.65617935994</v>
      </c>
      <c r="T33" s="184" ph="1">
        <f>X19</f>
        <v>15800.690969280002</v>
      </c>
      <c r="U33" s="173" ph="1">
        <f>BE21</f>
        <v>730</v>
      </c>
      <c r="V33" s="186" ph="1">
        <f ca="1">P19+Q19+S19+M28+N28+J28</f>
        <v>183273.99257263998</v>
      </c>
      <c r="W33" s="186" ph="1">
        <f>D28+F28+V19+T28</f>
        <v>255402.10467371996</v>
      </c>
      <c r="X33" s="188" ph="1">
        <f>BE29+BE31</f>
        <v>10200</v>
      </c>
      <c r="Y33" s="190" ph="1">
        <f>+Q10+R10+S10+T10+U10+V10+W10+X10+Y10</f>
        <v>242575.13954519999</v>
      </c>
      <c r="Z33" s="171" ph="1">
        <f>D10+T19+U19+Y28+Z10</f>
        <v>545669.34731978003</v>
      </c>
      <c r="AA33" s="173" ph="1">
        <f>BE19</f>
        <v>1440</v>
      </c>
      <c r="AB33" s="175" ph="1">
        <f>I19</f>
        <v>12192.596261600002</v>
      </c>
      <c r="AC33" s="177" ph="1">
        <f>AD10</f>
        <v>62206.691903999999</v>
      </c>
      <c r="AD33" s="179" ph="1">
        <v>0</v>
      </c>
      <c r="AE33" s="180"/>
      <c r="AH33" s="64" ph="1">
        <v>19</v>
      </c>
      <c r="AI33" s="64" t="s" ph="1">
        <v>402</v>
      </c>
      <c r="AJ33" s="64" t="s" ph="1">
        <v>636</v>
      </c>
      <c r="AK33" s="64" t="s" ph="1">
        <v>633</v>
      </c>
      <c r="AL33" s="64" ph="1">
        <v>730</v>
      </c>
      <c r="AM33" s="64" t="s" ph="1">
        <v>383</v>
      </c>
      <c r="AZ33" s="64" t="s" ph="1">
        <v>260</v>
      </c>
      <c r="BA33" s="64" ph="1">
        <v>730</v>
      </c>
      <c r="BD33" s="64" t="s" ph="1">
        <v>334</v>
      </c>
      <c r="BE33" s="64" ph="1">
        <v>3880</v>
      </c>
    </row>
    <row r="34" spans="1:57" ph="1">
      <c r="A34" s="64"/>
      <c r="B34" s="206" ph="1"/>
      <c r="C34" s="207" ph="1"/>
      <c r="D34" s="185" ph="1"/>
      <c r="E34" s="185" ph="1"/>
      <c r="F34" s="209" ph="1"/>
      <c r="G34" s="211" ph="1"/>
      <c r="H34" s="185" ph="1"/>
      <c r="I34" s="189" ph="1"/>
      <c r="J34" s="193" ph="1"/>
      <c r="K34" s="185" ph="1"/>
      <c r="L34" s="195" ph="1"/>
      <c r="M34" s="193" ph="1"/>
      <c r="N34" s="185" ph="1"/>
      <c r="O34" s="189" ph="1"/>
      <c r="P34" s="193" ph="1"/>
      <c r="Q34" s="185" ph="1"/>
      <c r="R34" s="189" ph="1"/>
      <c r="S34" s="193" ph="1"/>
      <c r="T34" s="185"/>
      <c r="U34" s="174"/>
      <c r="V34" s="187" ph="1"/>
      <c r="W34" s="187" ph="1"/>
      <c r="X34" s="189" ph="1"/>
      <c r="Y34" s="191" ph="1"/>
      <c r="Z34" s="172" ph="1"/>
      <c r="AA34" s="174" ph="1"/>
      <c r="AB34" s="176"/>
      <c r="AC34" s="178"/>
      <c r="AD34" s="181"/>
      <c r="AE34" s="182"/>
      <c r="AH34" s="64" ph="1">
        <v>20</v>
      </c>
      <c r="AI34" s="64" t="s" ph="1">
        <v>403</v>
      </c>
      <c r="AJ34" s="64" t="s" ph="1">
        <v>637</v>
      </c>
      <c r="AK34" s="64" t="s" ph="1">
        <v>633</v>
      </c>
      <c r="AL34" s="64" ph="1">
        <v>720</v>
      </c>
      <c r="AM34" s="64" t="s" ph="1">
        <v>383</v>
      </c>
      <c r="AZ34" s="64" t="s" ph="1">
        <v>260</v>
      </c>
      <c r="BA34" s="64" ph="1">
        <v>720</v>
      </c>
    </row>
    <row r="35" spans="1:57" ph="1">
      <c r="A35" s="64"/>
      <c r="AC35" s="183" t="s" ph="1">
        <v>84</v>
      </c>
      <c r="AD35" s="183"/>
      <c r="AE35" s="183"/>
      <c r="AH35" s="64" ph="1">
        <v>21</v>
      </c>
      <c r="AI35" s="64" t="s" ph="1">
        <v>404</v>
      </c>
      <c r="AZ35" s="64" t="s" ph="1">
        <v>260</v>
      </c>
      <c r="BA35" s="64" ph="1">
        <v>0</v>
      </c>
      <c r="BD35" s="64" t="s" ph="1">
        <v>405</v>
      </c>
      <c r="BE35" s="64" ph="1">
        <v>2030</v>
      </c>
    </row>
    <row r="36" spans="1:57" ht="28.5" ph="1">
      <c r="A36" s="64"/>
      <c r="B36" s="103" t="s" ph="1">
        <v>216</v>
      </c>
      <c r="I36" s="169" t="s" ph="1">
        <v>217</v>
      </c>
      <c r="J36" s="169" ph="1"/>
      <c r="K36" s="101" ph="1"/>
      <c r="P36" s="101" ph="1"/>
      <c r="R36" s="169" t="s" ph="1">
        <v>218</v>
      </c>
      <c r="S36" s="169" ph="1"/>
      <c r="Y36" s="102" ph="1"/>
      <c r="Z36" s="149" t="s" ph="1">
        <v>219</v>
      </c>
      <c r="AA36" s="149" ph="1"/>
      <c r="AB36" s="170" t="s" ph="1">
        <v>655</v>
      </c>
      <c r="AC36" s="170" ph="1"/>
      <c r="AD36" s="170" ph="1"/>
      <c r="AE36" s="170" ph="1"/>
      <c r="BA36" s="64" ph="1">
        <v>2270</v>
      </c>
    </row>
    <row r="37" spans="1:57" s="14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9" t="s" ph="1">
        <v>386</v>
      </c>
      <c r="AI37" s="149" t="s" ph="1">
        <v>253</v>
      </c>
      <c r="AJ37" s="149" t="s" ph="1">
        <v>254</v>
      </c>
      <c r="AK37" s="149" t="s" ph="1">
        <v>255</v>
      </c>
      <c r="AM37" s="149" t="s" ph="1">
        <v>254</v>
      </c>
      <c r="AN37" s="149" t="s" ph="1">
        <v>255</v>
      </c>
      <c r="AO37" s="149" t="s" ph="1">
        <v>256</v>
      </c>
      <c r="AP37" s="149" t="s" ph="1">
        <v>254</v>
      </c>
      <c r="AQ37" s="149" t="s" ph="1">
        <v>255</v>
      </c>
      <c r="AR37" s="149" t="s" ph="1">
        <v>256</v>
      </c>
      <c r="AS37" s="149" t="s" ph="1">
        <v>254</v>
      </c>
      <c r="AT37" s="149" t="s" ph="1">
        <v>255</v>
      </c>
      <c r="AU37" s="149" t="s" ph="1">
        <v>256</v>
      </c>
      <c r="AV37" s="149" t="s" ph="1">
        <v>254</v>
      </c>
      <c r="AW37" s="149" t="s" ph="1">
        <v>255</v>
      </c>
      <c r="AX37" s="149" t="s" ph="1">
        <v>256</v>
      </c>
      <c r="AY37" s="149" t="s" ph="1">
        <v>255</v>
      </c>
      <c r="AZ37" s="149" t="s" ph="1">
        <v>257</v>
      </c>
      <c r="BD37" s="149" t="s" ph="1">
        <v>349</v>
      </c>
      <c r="BE37" s="149" ph="1">
        <v>0</v>
      </c>
    </row>
    <row r="38" spans="1:57" ph="1">
      <c r="AE38" s="64" ph="1"/>
      <c r="AH38" s="64" ph="1">
        <v>1</v>
      </c>
      <c r="AI38" s="64" t="s" ph="1">
        <v>406</v>
      </c>
      <c r="AY38" s="64" t="s" ph="1">
        <v>260</v>
      </c>
      <c r="AZ38" s="64" t="s" ph="1">
        <v>411</v>
      </c>
    </row>
    <row r="39" spans="1:57" ph="1">
      <c r="AH39" s="64" ph="1">
        <v>2</v>
      </c>
      <c r="AI39" s="64" t="s" ph="1">
        <v>408</v>
      </c>
      <c r="AJ39" s="64" t="s" ph="1">
        <v>380</v>
      </c>
      <c r="AK39" s="64" t="s" ph="1">
        <v>409</v>
      </c>
      <c r="AM39" s="64" t="s" ph="1">
        <v>614</v>
      </c>
      <c r="AN39" s="64" t="s" ph="1">
        <v>272</v>
      </c>
      <c r="AO39" s="64" t="s" ph="1">
        <v>407</v>
      </c>
      <c r="AY39" s="64" t="s" ph="1">
        <v>260</v>
      </c>
      <c r="AZ39" s="64" t="s" ph="1">
        <v>543</v>
      </c>
    </row>
    <row r="40" spans="1:57" ph="1">
      <c r="AH40" s="64" ph="1">
        <v>3</v>
      </c>
      <c r="AI40" s="64" t="s" ph="1">
        <v>410</v>
      </c>
      <c r="AJ40" s="64" t="s" ph="1">
        <v>614</v>
      </c>
      <c r="AK40" s="64" t="s" ph="1">
        <v>615</v>
      </c>
      <c r="AY40" s="64" t="s" ph="1">
        <v>260</v>
      </c>
      <c r="AZ40" s="64" t="s" ph="1">
        <v>615</v>
      </c>
    </row>
    <row r="41" spans="1:57" ph="1">
      <c r="AH41" s="64" ph="1">
        <v>4</v>
      </c>
      <c r="AI41" s="64" t="s" ph="1">
        <v>412</v>
      </c>
      <c r="AJ41" s="64" t="s" ph="1">
        <v>616</v>
      </c>
      <c r="AK41" s="64" t="s" ph="1">
        <v>617</v>
      </c>
      <c r="AM41" s="64" t="s" ph="1">
        <v>618</v>
      </c>
      <c r="AY41" s="64" t="s" ph="1">
        <v>260</v>
      </c>
      <c r="AZ41" s="64" t="s" ph="1">
        <v>617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413</v>
      </c>
      <c r="AY42" s="64" t="s" ph="1">
        <v>260</v>
      </c>
      <c r="AZ42" s="64" t="s" ph="1">
        <v>411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414</v>
      </c>
      <c r="AY43" s="64" t="s" ph="1">
        <v>260</v>
      </c>
      <c r="AZ43" s="64" t="s" ph="1">
        <v>411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415</v>
      </c>
      <c r="AV44" s="64" t="s" ph="1">
        <v>261</v>
      </c>
      <c r="AY44" s="64" t="s" ph="1">
        <v>260</v>
      </c>
      <c r="AZ44" s="64" t="s" ph="1">
        <v>411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416</v>
      </c>
      <c r="AV45" s="64" t="s" ph="1">
        <v>261</v>
      </c>
      <c r="AY45" s="64" t="s" ph="1">
        <v>260</v>
      </c>
      <c r="AZ45" s="64" t="s" ph="1">
        <v>411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417</v>
      </c>
      <c r="AV46" s="64" t="s" ph="1">
        <v>261</v>
      </c>
      <c r="AY46" s="64" t="s" ph="1">
        <v>260</v>
      </c>
      <c r="AZ46" s="64" t="s" ph="1">
        <v>411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418</v>
      </c>
      <c r="AV47" s="64" t="s" ph="1">
        <v>261</v>
      </c>
      <c r="AY47" s="64" t="s" ph="1">
        <v>260</v>
      </c>
      <c r="AZ47" s="64" t="s" ph="1">
        <v>411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619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276</v>
      </c>
      <c r="AI49" s="64" t="s" ph="1">
        <v>253</v>
      </c>
      <c r="AJ49" s="64" t="s" ph="1">
        <v>254</v>
      </c>
      <c r="AK49" s="64" t="s" ph="1">
        <v>255</v>
      </c>
      <c r="AM49" s="64" t="s" ph="1">
        <v>254</v>
      </c>
      <c r="AN49" s="64" t="s" ph="1">
        <v>255</v>
      </c>
      <c r="AO49" s="64" t="s" ph="1">
        <v>256</v>
      </c>
      <c r="AP49" s="64" t="s" ph="1">
        <v>254</v>
      </c>
      <c r="AQ49" s="64" t="s" ph="1">
        <v>255</v>
      </c>
      <c r="AR49" s="64" t="s" ph="1">
        <v>256</v>
      </c>
      <c r="AS49" s="64" t="s" ph="1">
        <v>254</v>
      </c>
      <c r="AT49" s="64" t="s" ph="1">
        <v>255</v>
      </c>
      <c r="AU49" s="64" t="s" ph="1">
        <v>256</v>
      </c>
      <c r="AV49" s="64" t="s" ph="1">
        <v>254</v>
      </c>
      <c r="AW49" s="64" t="s" ph="1">
        <v>255</v>
      </c>
      <c r="AX49" s="64" t="s" ph="1">
        <v>256</v>
      </c>
      <c r="AY49" s="64" t="s" ph="1">
        <v>255</v>
      </c>
      <c r="AZ49" s="64" t="s" ph="1">
        <v>257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419</v>
      </c>
      <c r="AY50" s="64" t="s" ph="1">
        <v>260</v>
      </c>
      <c r="AZ50" s="64" t="s" ph="1">
        <v>411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420</v>
      </c>
      <c r="AY51" s="64" t="s" ph="1">
        <v>260</v>
      </c>
      <c r="AZ51" s="64" t="s" ph="1">
        <v>411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421</v>
      </c>
      <c r="AJ52" s="64" t="s" ph="1">
        <v>378</v>
      </c>
      <c r="AK52" s="64" t="s" ph="1">
        <v>272</v>
      </c>
      <c r="AM52" s="64" t="s" ph="1">
        <v>380</v>
      </c>
      <c r="AN52" s="64" t="s" ph="1">
        <v>344</v>
      </c>
      <c r="AO52" s="64" t="s" ph="1">
        <v>277</v>
      </c>
      <c r="AP52" s="64" t="s" ph="1">
        <v>614</v>
      </c>
      <c r="AQ52" s="64" t="s" ph="1">
        <v>326</v>
      </c>
      <c r="AR52" s="64" t="s" ph="1">
        <v>277</v>
      </c>
      <c r="AY52" s="64" t="s" ph="1">
        <v>260</v>
      </c>
      <c r="AZ52" s="64" t="s" ph="1">
        <v>620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422</v>
      </c>
      <c r="AY53" s="64" t="s" ph="1">
        <v>260</v>
      </c>
      <c r="AZ53" s="64" t="s" ph="1">
        <v>411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423</v>
      </c>
      <c r="AJ54" s="64" t="s" ph="1">
        <v>378</v>
      </c>
      <c r="AK54" s="64" t="s" ph="1">
        <v>263</v>
      </c>
      <c r="AM54" s="64" t="s" ph="1">
        <v>380</v>
      </c>
      <c r="AN54" s="64" t="s" ph="1">
        <v>268</v>
      </c>
      <c r="AO54" s="64" t="s" ph="1">
        <v>277</v>
      </c>
      <c r="AP54" s="64" t="s" ph="1">
        <v>614</v>
      </c>
      <c r="AQ54" s="64" t="s" ph="1">
        <v>284</v>
      </c>
      <c r="AR54" s="64" t="s" ph="1">
        <v>277</v>
      </c>
      <c r="AY54" s="64" t="s" ph="1">
        <v>260</v>
      </c>
      <c r="AZ54" s="64" t="s" ph="1">
        <v>278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424</v>
      </c>
      <c r="AY55" s="64" t="s" ph="1">
        <v>260</v>
      </c>
      <c r="AZ55" s="64" t="s" ph="1">
        <v>411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425</v>
      </c>
      <c r="AY56" s="64" t="s" ph="1">
        <v>260</v>
      </c>
      <c r="AZ56" s="64" t="s" ph="1">
        <v>411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426</v>
      </c>
      <c r="AY57" s="64" t="s" ph="1">
        <v>260</v>
      </c>
      <c r="AZ57" s="64" t="s" ph="1">
        <v>411</v>
      </c>
    </row>
    <row r="58" spans="16:52" ph="1">
      <c r="P58" s="64"/>
      <c r="AN58" s="64" t="s" ph="1">
        <v>261</v>
      </c>
      <c r="AZ58" s="64" t="s" ph="1">
        <v>621</v>
      </c>
    </row>
    <row r="59" spans="16:52" ph="1">
      <c r="V59" s="64"/>
      <c r="AG59" s="64" t="s" ph="1">
        <v>279</v>
      </c>
      <c r="AI59" s="64" t="s" ph="1">
        <v>253</v>
      </c>
      <c r="AJ59" s="64" t="s" ph="1">
        <v>254</v>
      </c>
      <c r="AK59" s="64" t="s" ph="1">
        <v>255</v>
      </c>
      <c r="AM59" s="64" t="s" ph="1">
        <v>254</v>
      </c>
      <c r="AN59" s="64" t="s" ph="1">
        <v>255</v>
      </c>
      <c r="AO59" s="64" t="s" ph="1">
        <v>256</v>
      </c>
      <c r="AP59" s="64" t="s" ph="1">
        <v>254</v>
      </c>
      <c r="AQ59" s="64" t="s" ph="1">
        <v>255</v>
      </c>
      <c r="AR59" s="64" t="s" ph="1">
        <v>256</v>
      </c>
      <c r="AS59" s="64" t="s" ph="1">
        <v>254</v>
      </c>
      <c r="AT59" s="64" t="s" ph="1">
        <v>255</v>
      </c>
      <c r="AU59" s="64" t="s" ph="1">
        <v>256</v>
      </c>
      <c r="AV59" s="64" t="s" ph="1">
        <v>254</v>
      </c>
      <c r="AW59" s="64" t="s" ph="1">
        <v>255</v>
      </c>
      <c r="AX59" s="64" t="s" ph="1">
        <v>256</v>
      </c>
      <c r="AY59" s="64" t="s" ph="1">
        <v>255</v>
      </c>
      <c r="AZ59" s="64" t="s" ph="1">
        <v>257</v>
      </c>
    </row>
    <row r="60" spans="16:52" ph="1">
      <c r="R60" s="64"/>
      <c r="S60" s="64"/>
      <c r="T60" s="64"/>
      <c r="AH60" s="64" ph="1">
        <v>1</v>
      </c>
      <c r="AI60" s="64" t="s" ph="1">
        <v>427</v>
      </c>
      <c r="AY60" s="64" t="s" ph="1">
        <v>260</v>
      </c>
      <c r="AZ60" s="64" t="s" ph="1">
        <v>411</v>
      </c>
    </row>
    <row r="61" spans="16:52" ph="1">
      <c r="AH61" s="64" ph="1">
        <v>2</v>
      </c>
      <c r="AI61" s="64" t="s" ph="1">
        <v>428</v>
      </c>
      <c r="AS61" s="64" t="s" ph="1">
        <v>261</v>
      </c>
      <c r="AY61" s="64" t="s" ph="1">
        <v>260</v>
      </c>
      <c r="AZ61" s="64" t="s" ph="1">
        <v>411</v>
      </c>
    </row>
    <row r="62" spans="16:52" ph="1">
      <c r="AZ62" s="64" t="s" ph="1">
        <v>429</v>
      </c>
    </row>
    <row r="63" spans="16:52" ph="1">
      <c r="AG63" s="64" t="s" ph="1">
        <v>282</v>
      </c>
      <c r="AI63" s="64" t="s" ph="1">
        <v>253</v>
      </c>
      <c r="AJ63" s="64" t="s" ph="1">
        <v>254</v>
      </c>
      <c r="AK63" s="64" t="s" ph="1">
        <v>255</v>
      </c>
      <c r="AM63" s="64" t="s" ph="1">
        <v>254</v>
      </c>
      <c r="AN63" s="64" t="s" ph="1">
        <v>255</v>
      </c>
      <c r="AO63" s="64" t="s" ph="1">
        <v>256</v>
      </c>
      <c r="AP63" s="64" t="s" ph="1">
        <v>254</v>
      </c>
      <c r="AQ63" s="64" t="s" ph="1">
        <v>255</v>
      </c>
      <c r="AR63" s="64" t="s" ph="1">
        <v>256</v>
      </c>
      <c r="AS63" s="64" t="s" ph="1">
        <v>254</v>
      </c>
      <c r="AT63" s="64" t="s" ph="1">
        <v>255</v>
      </c>
      <c r="AU63" s="64" t="s" ph="1">
        <v>256</v>
      </c>
      <c r="AV63" s="64" t="s" ph="1">
        <v>254</v>
      </c>
      <c r="AW63" s="64" t="s" ph="1">
        <v>255</v>
      </c>
      <c r="AX63" s="64" t="s" ph="1">
        <v>256</v>
      </c>
      <c r="AY63" s="64" t="s" ph="1">
        <v>255</v>
      </c>
      <c r="AZ63" s="64" t="s" ph="1">
        <v>257</v>
      </c>
    </row>
    <row r="64" spans="16:52" ph="1">
      <c r="AH64" s="64" ph="1">
        <v>1</v>
      </c>
      <c r="AI64" s="64" t="s" ph="1">
        <v>430</v>
      </c>
      <c r="AJ64" s="64" t="s" ph="1">
        <v>431</v>
      </c>
      <c r="AK64" s="64" t="s" ph="1">
        <v>432</v>
      </c>
      <c r="AY64" s="64" t="s" ph="1">
        <v>260</v>
      </c>
      <c r="AZ64" s="64" t="s" ph="1">
        <v>432</v>
      </c>
    </row>
    <row r="65" spans="33:52" ph="1">
      <c r="AH65" s="64" ph="1">
        <v>2</v>
      </c>
      <c r="AI65" s="64" t="s" ph="1">
        <v>433</v>
      </c>
      <c r="AY65" s="64" t="s" ph="1">
        <v>260</v>
      </c>
      <c r="AZ65" s="64" t="s" ph="1">
        <v>411</v>
      </c>
    </row>
    <row r="66" spans="33:52" ph="1">
      <c r="AH66" s="64" ph="1">
        <v>3</v>
      </c>
      <c r="AI66" s="64" t="s" ph="1">
        <v>434</v>
      </c>
      <c r="AY66" s="64" t="s" ph="1">
        <v>260</v>
      </c>
      <c r="AZ66" s="64" t="s" ph="1">
        <v>411</v>
      </c>
    </row>
    <row r="67" spans="33:52" ph="1">
      <c r="AH67" s="64" ph="1">
        <v>4</v>
      </c>
      <c r="AI67" s="64" t="s" ph="1">
        <v>435</v>
      </c>
      <c r="AY67" s="64" t="s" ph="1">
        <v>260</v>
      </c>
      <c r="AZ67" s="64" t="s" ph="1">
        <v>411</v>
      </c>
    </row>
    <row r="68" spans="33:52" ph="1">
      <c r="AH68" s="64" ph="1">
        <v>5</v>
      </c>
      <c r="AI68" s="64" t="s" ph="1">
        <v>436</v>
      </c>
      <c r="AY68" s="64" t="s" ph="1">
        <v>260</v>
      </c>
      <c r="AZ68" s="64" t="s" ph="1">
        <v>411</v>
      </c>
    </row>
    <row r="69" spans="33:52" ph="1">
      <c r="AH69" s="64" ph="1">
        <v>6</v>
      </c>
      <c r="AI69" s="64" t="s" ph="1">
        <v>437</v>
      </c>
      <c r="AY69" s="64" t="s" ph="1">
        <v>260</v>
      </c>
      <c r="AZ69" s="64" t="s" ph="1">
        <v>411</v>
      </c>
    </row>
    <row r="70" spans="33:52" ph="1">
      <c r="AI70" s="64" t="s" ph="1">
        <v>438</v>
      </c>
      <c r="AY70" s="64" t="s" ph="1">
        <v>260</v>
      </c>
      <c r="AZ70" s="64" t="s" ph="1">
        <v>411</v>
      </c>
    </row>
    <row r="71" spans="33:52" ph="1">
      <c r="AH71" s="64" ph="1">
        <v>7</v>
      </c>
      <c r="AI71" s="64" t="s" ph="1">
        <v>439</v>
      </c>
      <c r="AJ71" s="64" t="s" ph="1">
        <v>378</v>
      </c>
      <c r="AK71" s="64" t="s" ph="1">
        <v>272</v>
      </c>
      <c r="AM71" s="64" t="s" ph="1">
        <v>380</v>
      </c>
      <c r="AN71" s="64" t="s" ph="1">
        <v>272</v>
      </c>
      <c r="AO71" s="64" t="s" ph="1">
        <v>440</v>
      </c>
      <c r="AP71" s="64" t="s" ph="1">
        <v>614</v>
      </c>
      <c r="AQ71" s="64" t="s" ph="1">
        <v>263</v>
      </c>
      <c r="AR71" s="64" t="s" ph="1">
        <v>440</v>
      </c>
      <c r="AY71" s="64" t="s" ph="1">
        <v>260</v>
      </c>
      <c r="AZ71" s="64" t="s" ph="1">
        <v>622</v>
      </c>
    </row>
    <row r="72" spans="33:52" ph="1">
      <c r="AZ72" s="64" t="s" ph="1">
        <v>623</v>
      </c>
    </row>
    <row r="73" spans="33:52" ph="1">
      <c r="AG73" s="64" t="s" ph="1">
        <v>285</v>
      </c>
      <c r="AI73" s="64" t="s" ph="1">
        <v>253</v>
      </c>
      <c r="AJ73" s="64" t="s" ph="1">
        <v>254</v>
      </c>
      <c r="AK73" s="64" t="s" ph="1">
        <v>255</v>
      </c>
      <c r="AM73" s="64" t="s" ph="1">
        <v>254</v>
      </c>
      <c r="AN73" s="64" t="s" ph="1">
        <v>255</v>
      </c>
      <c r="AO73" s="64" t="s" ph="1">
        <v>256</v>
      </c>
      <c r="AP73" s="64" t="s" ph="1">
        <v>254</v>
      </c>
      <c r="AQ73" s="64" t="s" ph="1">
        <v>255</v>
      </c>
      <c r="AR73" s="64" t="s" ph="1">
        <v>256</v>
      </c>
      <c r="AS73" s="64" t="s" ph="1">
        <v>254</v>
      </c>
      <c r="AT73" s="64" t="s" ph="1">
        <v>255</v>
      </c>
      <c r="AU73" s="64" t="s" ph="1">
        <v>256</v>
      </c>
      <c r="AV73" s="64" t="s" ph="1">
        <v>254</v>
      </c>
      <c r="AW73" s="64" t="s" ph="1">
        <v>255</v>
      </c>
      <c r="AX73" s="64" t="s" ph="1">
        <v>256</v>
      </c>
      <c r="AY73" s="64" t="s" ph="1">
        <v>255</v>
      </c>
      <c r="AZ73" s="64" t="s" ph="1">
        <v>257</v>
      </c>
    </row>
    <row r="74" spans="33:52" ph="1">
      <c r="AH74" s="64" ph="1">
        <v>1</v>
      </c>
      <c r="AI74" s="64" t="s" ph="1">
        <v>441</v>
      </c>
      <c r="AJ74" s="64" t="s" ph="1">
        <v>286</v>
      </c>
      <c r="AK74" s="64" t="s" ph="1">
        <v>268</v>
      </c>
      <c r="AM74" s="64" t="s" ph="1">
        <v>288</v>
      </c>
      <c r="AN74" s="64" t="s" ph="1">
        <v>298</v>
      </c>
      <c r="AO74" s="64" t="s" ph="1">
        <v>287</v>
      </c>
      <c r="AP74" s="64" t="s" ph="1">
        <v>289</v>
      </c>
      <c r="AQ74" s="64" t="s" ph="1">
        <v>266</v>
      </c>
      <c r="AR74" s="64" t="s" ph="1">
        <v>287</v>
      </c>
      <c r="AS74" s="64" t="s" ph="1">
        <v>259</v>
      </c>
      <c r="AT74" s="64" t="s" ph="1">
        <v>261</v>
      </c>
      <c r="AV74" s="64" t="s" ph="1">
        <v>442</v>
      </c>
      <c r="AW74" s="64" t="s" ph="1">
        <v>443</v>
      </c>
      <c r="AX74" s="64" t="s" ph="1">
        <v>444</v>
      </c>
      <c r="AY74" s="64" t="s" ph="1">
        <v>260</v>
      </c>
      <c r="AZ74" s="64" t="s" ph="1">
        <v>445</v>
      </c>
    </row>
    <row r="75" spans="33:52" ph="1">
      <c r="AJ75" s="64" t="s" ph="1">
        <v>291</v>
      </c>
      <c r="AK75" s="64" t="s" ph="1">
        <v>344</v>
      </c>
      <c r="AM75" s="64" t="s" ph="1">
        <v>289</v>
      </c>
      <c r="AN75" s="64" t="s" ph="1">
        <v>269</v>
      </c>
      <c r="AO75" s="64" t="s" ph="1">
        <v>287</v>
      </c>
      <c r="AS75" s="64" t="s" ph="1">
        <v>259</v>
      </c>
      <c r="AT75" s="64" t="s" ph="1">
        <v>290</v>
      </c>
    </row>
    <row r="76" spans="33:52" ph="1">
      <c r="AJ76" s="64" t="s" ph="1">
        <v>291</v>
      </c>
      <c r="AK76" s="64" t="s" ph="1">
        <v>284</v>
      </c>
      <c r="AM76" s="64" t="s" ph="1">
        <v>289</v>
      </c>
      <c r="AN76" s="64" t="s" ph="1">
        <v>272</v>
      </c>
      <c r="AO76" s="64" t="s" ph="1">
        <v>287</v>
      </c>
      <c r="AS76" s="64" t="s" ph="1">
        <v>259</v>
      </c>
      <c r="AT76" s="64" t="s" ph="1">
        <v>290</v>
      </c>
    </row>
    <row r="77" spans="33:52" ph="1">
      <c r="AJ77" s="64" t="s" ph="1">
        <v>327</v>
      </c>
      <c r="AK77" s="64" t="s" ph="1">
        <v>284</v>
      </c>
      <c r="AM77" s="64" t="s" ph="1">
        <v>328</v>
      </c>
      <c r="AN77" s="64" t="s" ph="1">
        <v>267</v>
      </c>
      <c r="AO77" s="64" t="s" ph="1">
        <v>287</v>
      </c>
      <c r="AS77" s="64" t="s" ph="1">
        <v>259</v>
      </c>
      <c r="AT77" s="64" t="s" ph="1">
        <v>329</v>
      </c>
    </row>
    <row r="78" spans="33:52" ph="1">
      <c r="AH78" s="64" ph="1">
        <v>2</v>
      </c>
      <c r="AI78" s="64" t="s" ph="1">
        <v>293</v>
      </c>
      <c r="AJ78" s="64" t="s" ph="1">
        <v>294</v>
      </c>
      <c r="AK78" s="64" t="s" ph="1">
        <v>263</v>
      </c>
      <c r="AM78" s="64" t="s" ph="1">
        <v>295</v>
      </c>
      <c r="AN78" s="64" t="s" ph="1">
        <v>298</v>
      </c>
      <c r="AO78" s="64" t="s" ph="1">
        <v>287</v>
      </c>
      <c r="AP78" s="64" t="s" ph="1">
        <v>296</v>
      </c>
      <c r="AQ78" s="64" t="s" ph="1">
        <v>342</v>
      </c>
      <c r="AR78" s="64" t="s" ph="1">
        <v>287</v>
      </c>
      <c r="AS78" s="64" t="s" ph="1">
        <v>297</v>
      </c>
      <c r="AT78" s="64" t="s" ph="1">
        <v>298</v>
      </c>
      <c r="AU78" s="64" t="s" ph="1">
        <v>287</v>
      </c>
      <c r="AV78" s="64" t="s" ph="1">
        <v>299</v>
      </c>
      <c r="AW78" s="64" t="s" ph="1">
        <v>287</v>
      </c>
      <c r="AY78" s="64" t="s" ph="1">
        <v>260</v>
      </c>
      <c r="AZ78" s="64" t="s" ph="1">
        <v>446</v>
      </c>
    </row>
    <row r="79" spans="33:52" ph="1">
      <c r="AJ79" s="64" t="s" ph="1">
        <v>289</v>
      </c>
      <c r="AK79" s="64" t="s" ph="1">
        <v>300</v>
      </c>
      <c r="AM79" s="64" t="s" ph="1">
        <v>301</v>
      </c>
      <c r="AN79" s="64" t="s" ph="1">
        <v>269</v>
      </c>
      <c r="AO79" s="64" t="s" ph="1">
        <v>287</v>
      </c>
      <c r="AP79" s="64" t="s" ph="1">
        <v>302</v>
      </c>
      <c r="AQ79" s="64" t="s" ph="1">
        <v>267</v>
      </c>
      <c r="AR79" s="64" t="s" ph="1">
        <v>303</v>
      </c>
      <c r="AS79" s="64" t="s" ph="1">
        <v>259</v>
      </c>
      <c r="AT79" s="64" t="s" ph="1">
        <v>304</v>
      </c>
      <c r="AV79" s="64" t="s" ph="1">
        <v>447</v>
      </c>
      <c r="AW79" s="64" t="s" ph="1">
        <v>346</v>
      </c>
      <c r="AX79" s="64" t="s" ph="1">
        <v>444</v>
      </c>
    </row>
    <row r="80" spans="33:52" ph="1">
      <c r="AH80" s="64" ph="1">
        <v>3</v>
      </c>
      <c r="AI80" s="64" t="s" ph="1">
        <v>305</v>
      </c>
      <c r="AJ80" s="64" t="s" ph="1">
        <v>306</v>
      </c>
      <c r="AK80" s="64" t="s" ph="1">
        <v>307</v>
      </c>
      <c r="AM80" s="64" t="s" ph="1">
        <v>308</v>
      </c>
      <c r="AN80" s="64" t="s" ph="1">
        <v>298</v>
      </c>
      <c r="AO80" s="64" t="s" ph="1">
        <v>287</v>
      </c>
      <c r="AP80" s="64" t="s" ph="1">
        <v>309</v>
      </c>
      <c r="AQ80" s="64" t="s" ph="1">
        <v>272</v>
      </c>
      <c r="AR80" s="64" t="s" ph="1">
        <v>287</v>
      </c>
      <c r="AS80" s="64" t="s" ph="1">
        <v>310</v>
      </c>
      <c r="AT80" s="64" t="s" ph="1">
        <v>271</v>
      </c>
      <c r="AU80" s="64" t="s" ph="1">
        <v>287</v>
      </c>
      <c r="AV80" s="64" t="s" ph="1">
        <v>311</v>
      </c>
      <c r="AW80" s="64" t="s" ph="1">
        <v>287</v>
      </c>
      <c r="AY80" s="64" t="s" ph="1">
        <v>260</v>
      </c>
      <c r="AZ80" s="64" t="s" ph="1">
        <v>448</v>
      </c>
    </row>
    <row r="81" spans="34:52" ph="1">
      <c r="AJ81" s="64" t="s" ph="1">
        <v>312</v>
      </c>
      <c r="AK81" s="64" t="s" ph="1">
        <v>266</v>
      </c>
      <c r="AM81" s="64" t="s" ph="1">
        <v>313</v>
      </c>
      <c r="AN81" s="64" t="s" ph="1">
        <v>269</v>
      </c>
      <c r="AO81" s="64" t="s" ph="1">
        <v>287</v>
      </c>
      <c r="AP81" s="64" t="s" ph="1">
        <v>314</v>
      </c>
      <c r="AQ81" s="64" t="s" ph="1">
        <v>298</v>
      </c>
      <c r="AR81" s="64" t="s" ph="1">
        <v>287</v>
      </c>
      <c r="AS81" s="64" t="s" ph="1">
        <v>315</v>
      </c>
      <c r="AT81" s="64" t="s" ph="1">
        <v>316</v>
      </c>
      <c r="AU81" s="64" t="s" ph="1">
        <v>287</v>
      </c>
      <c r="AV81" s="64" t="s" ph="1">
        <v>317</v>
      </c>
    </row>
    <row r="82" spans="34:52" ph="1">
      <c r="AJ82" s="64" t="s" ph="1">
        <v>318</v>
      </c>
      <c r="AK82" s="64" t="s" ph="1">
        <v>266</v>
      </c>
      <c r="AM82" s="64" t="s" ph="1">
        <v>319</v>
      </c>
      <c r="AN82" s="64" t="s" ph="1">
        <v>316</v>
      </c>
      <c r="AO82" s="64" t="s" ph="1">
        <v>320</v>
      </c>
      <c r="AP82" s="64" t="s" ph="1">
        <v>321</v>
      </c>
      <c r="AQ82" s="64" t="s" ph="1">
        <v>298</v>
      </c>
      <c r="AR82" s="64" t="s" ph="1">
        <v>287</v>
      </c>
      <c r="AS82" s="64" t="s" ph="1">
        <v>322</v>
      </c>
      <c r="AT82" s="64" t="s" ph="1">
        <v>273</v>
      </c>
      <c r="AU82" s="64" t="s" ph="1">
        <v>287</v>
      </c>
      <c r="AV82" s="64" t="s" ph="1">
        <v>447</v>
      </c>
      <c r="AW82" s="64" t="s" ph="1">
        <v>347</v>
      </c>
      <c r="AX82" s="64" t="s" ph="1">
        <v>444</v>
      </c>
    </row>
    <row r="83" spans="34:52" ph="1">
      <c r="AJ83" s="64" t="s" ph="1">
        <v>323</v>
      </c>
      <c r="AK83" s="64" t="s" ph="1">
        <v>340</v>
      </c>
      <c r="AM83" s="64" t="s" ph="1">
        <v>324</v>
      </c>
      <c r="AN83" s="64" t="s" ph="1">
        <v>272</v>
      </c>
      <c r="AO83" s="64" t="s" ph="1">
        <v>303</v>
      </c>
      <c r="AP83" s="64" t="s" ph="1">
        <v>325</v>
      </c>
      <c r="AQ83" s="64" t="s" ph="1">
        <v>326</v>
      </c>
      <c r="AR83" s="64" t="s" ph="1">
        <v>303</v>
      </c>
      <c r="AS83" s="64" t="s" ph="1">
        <v>449</v>
      </c>
      <c r="AT83" s="64" t="s" ph="1">
        <v>298</v>
      </c>
      <c r="AU83" s="64" t="s" ph="1">
        <v>303</v>
      </c>
      <c r="AV83" s="64" t="s" ph="1">
        <v>450</v>
      </c>
      <c r="AW83" s="64" t="s" ph="1">
        <v>347</v>
      </c>
      <c r="AX83" s="64" t="s" ph="1">
        <v>451</v>
      </c>
    </row>
    <row r="84" spans="34:52" ph="1">
      <c r="AH84" s="64" ph="1">
        <v>4</v>
      </c>
      <c r="AI84" s="64" t="s" ph="1">
        <v>330</v>
      </c>
      <c r="AJ84" s="64" t="s" ph="1">
        <v>270</v>
      </c>
      <c r="AK84" s="64" t="s" ph="1">
        <v>273</v>
      </c>
      <c r="AM84" s="64" t="s" ph="1">
        <v>274</v>
      </c>
      <c r="AN84" s="64" t="s" ph="1">
        <v>267</v>
      </c>
      <c r="AO84" s="64" t="s" ph="1">
        <v>303</v>
      </c>
      <c r="AP84" s="64" t="s" ph="1">
        <v>332</v>
      </c>
      <c r="AQ84" s="64" t="s" ph="1">
        <v>266</v>
      </c>
      <c r="AR84" s="64" t="s" ph="1">
        <v>303</v>
      </c>
      <c r="AS84" s="64" t="s" ph="1">
        <v>332</v>
      </c>
      <c r="AT84" s="64" t="s" ph="1">
        <v>268</v>
      </c>
      <c r="AU84" s="64" t="s" ph="1">
        <v>303</v>
      </c>
      <c r="AY84" s="64" t="s" ph="1">
        <v>260</v>
      </c>
      <c r="AZ84" s="64" t="s" ph="1">
        <v>452</v>
      </c>
    </row>
    <row r="85" spans="34:52" ph="1">
      <c r="AJ85" s="64" t="s" ph="1">
        <v>262</v>
      </c>
      <c r="AK85" s="64" t="s" ph="1">
        <v>266</v>
      </c>
      <c r="AM85" s="64" t="s" ph="1">
        <v>453</v>
      </c>
      <c r="AN85" s="64" t="s" ph="1">
        <v>273</v>
      </c>
      <c r="AO85" s="64" t="s" ph="1">
        <v>303</v>
      </c>
      <c r="AP85" s="64" t="s" ph="1">
        <v>454</v>
      </c>
      <c r="AQ85" s="64" t="s" ph="1">
        <v>269</v>
      </c>
      <c r="AR85" s="64" t="s" ph="1">
        <v>303</v>
      </c>
      <c r="AS85" s="64" t="s" ph="1">
        <v>455</v>
      </c>
      <c r="AT85" s="64" t="s" ph="1">
        <v>269</v>
      </c>
      <c r="AU85" s="64" t="s" ph="1">
        <v>303</v>
      </c>
    </row>
    <row r="86" spans="34:52" ph="1">
      <c r="AJ86" s="64" t="s" ph="1">
        <v>456</v>
      </c>
      <c r="AK86" s="64" t="s" ph="1">
        <v>275</v>
      </c>
      <c r="AM86" s="64" t="s" ph="1">
        <v>457</v>
      </c>
      <c r="AN86" s="64" t="s" ph="1">
        <v>316</v>
      </c>
      <c r="AO86" s="64" t="s" ph="1">
        <v>303</v>
      </c>
      <c r="AP86" s="64" t="s" ph="1">
        <v>458</v>
      </c>
      <c r="AQ86" s="64" t="s" ph="1">
        <v>263</v>
      </c>
      <c r="AR86" s="64" t="s" ph="1">
        <v>303</v>
      </c>
      <c r="AS86" s="64" t="s" ph="1">
        <v>459</v>
      </c>
      <c r="AT86" s="64" t="s" ph="1">
        <v>281</v>
      </c>
      <c r="AU86" s="64" t="s" ph="1">
        <v>303</v>
      </c>
    </row>
    <row r="87" spans="34:52" ph="1">
      <c r="AJ87" s="64" t="s" ph="1">
        <v>460</v>
      </c>
      <c r="AK87" s="64" t="s" ph="1">
        <v>316</v>
      </c>
      <c r="AM87" s="64" t="s" ph="1">
        <v>447</v>
      </c>
      <c r="AN87" s="64" t="s" ph="1">
        <v>461</v>
      </c>
      <c r="AO87" s="64" t="s" ph="1">
        <v>444</v>
      </c>
    </row>
    <row r="88" spans="34:52" ph="1">
      <c r="AH88" s="64" ph="1">
        <v>5</v>
      </c>
      <c r="AI88" s="64" t="s" ph="1">
        <v>333</v>
      </c>
      <c r="AJ88" s="64" t="s" ph="1">
        <v>462</v>
      </c>
      <c r="AK88" s="64" t="s" ph="1">
        <v>316</v>
      </c>
      <c r="AM88" s="64" t="s" ph="1">
        <v>463</v>
      </c>
      <c r="AN88" s="64" t="s" ph="1">
        <v>316</v>
      </c>
      <c r="AO88" s="64" t="s" ph="1">
        <v>303</v>
      </c>
      <c r="AP88" s="64" t="s" ph="1">
        <v>464</v>
      </c>
      <c r="AQ88" s="64" t="s" ph="1">
        <v>266</v>
      </c>
      <c r="AR88" s="64" t="s" ph="1">
        <v>303</v>
      </c>
      <c r="AS88" s="64" t="s" ph="1">
        <v>465</v>
      </c>
      <c r="AT88" s="64" t="s" ph="1">
        <v>316</v>
      </c>
      <c r="AU88" s="64" t="s" ph="1">
        <v>303</v>
      </c>
      <c r="AV88" s="64" t="s" ph="1">
        <v>466</v>
      </c>
      <c r="AW88" s="64" t="s" ph="1">
        <v>271</v>
      </c>
      <c r="AX88" s="64" t="s" ph="1">
        <v>303</v>
      </c>
      <c r="AY88" s="64" t="s" ph="1">
        <v>260</v>
      </c>
      <c r="AZ88" s="64" t="s" ph="1">
        <v>467</v>
      </c>
    </row>
    <row r="89" spans="34:52" ph="1">
      <c r="AJ89" s="64" t="s" ph="1">
        <v>468</v>
      </c>
      <c r="AK89" s="64" t="s" ph="1">
        <v>269</v>
      </c>
      <c r="AM89" s="64" t="s" ph="1">
        <v>469</v>
      </c>
      <c r="AN89" s="64" t="s" ph="1">
        <v>272</v>
      </c>
      <c r="AO89" s="64" t="s" ph="1">
        <v>303</v>
      </c>
      <c r="AP89" s="64" t="s" ph="1">
        <v>470</v>
      </c>
      <c r="AQ89" s="64" t="s" ph="1">
        <v>281</v>
      </c>
      <c r="AR89" s="64" t="s" ph="1">
        <v>303</v>
      </c>
      <c r="AS89" s="64" t="s" ph="1">
        <v>471</v>
      </c>
      <c r="AT89" s="64" t="s" ph="1">
        <v>316</v>
      </c>
      <c r="AU89" s="64" t="s" ph="1">
        <v>303</v>
      </c>
      <c r="AV89" s="64" t="s" ph="1">
        <v>472</v>
      </c>
      <c r="AW89" s="64" t="s" ph="1">
        <v>298</v>
      </c>
      <c r="AX89" s="64" t="s" ph="1">
        <v>331</v>
      </c>
    </row>
    <row r="90" spans="34:52" ph="1">
      <c r="AJ90" s="64" t="s" ph="1">
        <v>473</v>
      </c>
      <c r="AK90" s="64" t="s" ph="1">
        <v>272</v>
      </c>
      <c r="AM90" s="64" t="s" ph="1">
        <v>474</v>
      </c>
      <c r="AN90" s="64" t="s" ph="1">
        <v>269</v>
      </c>
      <c r="AO90" s="64" t="s" ph="1">
        <v>303</v>
      </c>
      <c r="AP90" s="64" t="s" ph="1">
        <v>475</v>
      </c>
      <c r="AQ90" s="64" t="s" ph="1">
        <v>338</v>
      </c>
      <c r="AR90" s="64" t="s" ph="1">
        <v>303</v>
      </c>
      <c r="AS90" s="64" t="s" ph="1">
        <v>476</v>
      </c>
      <c r="AT90" s="64" t="s" ph="1">
        <v>326</v>
      </c>
      <c r="AU90" s="64" t="s" ph="1">
        <v>303</v>
      </c>
      <c r="AV90" s="64" t="s" ph="1">
        <v>477</v>
      </c>
      <c r="AW90" s="64" t="s" ph="1">
        <v>263</v>
      </c>
      <c r="AX90" s="64" t="s" ph="1">
        <v>303</v>
      </c>
    </row>
    <row r="91" spans="34:52" ph="1">
      <c r="AJ91" s="64" t="s" ph="1">
        <v>478</v>
      </c>
      <c r="AK91" s="64" t="s" ph="1">
        <v>316</v>
      </c>
      <c r="AM91" s="64" t="s" ph="1">
        <v>479</v>
      </c>
      <c r="AN91" s="64" t="s" ph="1">
        <v>283</v>
      </c>
      <c r="AO91" s="64" t="s" ph="1">
        <v>303</v>
      </c>
      <c r="AP91" s="64" t="s" ph="1">
        <v>480</v>
      </c>
      <c r="AQ91" s="64" t="s" ph="1">
        <v>263</v>
      </c>
      <c r="AS91" s="64" t="s" ph="1">
        <v>447</v>
      </c>
      <c r="AT91" s="64" t="s" ph="1">
        <v>443</v>
      </c>
      <c r="AU91" s="64" t="s" ph="1">
        <v>444</v>
      </c>
    </row>
    <row r="92" spans="34:52" ph="1">
      <c r="AH92" s="64" ph="1">
        <v>6</v>
      </c>
      <c r="AI92" s="64" t="s" ph="1">
        <v>481</v>
      </c>
      <c r="AJ92" s="64" t="s" ph="1">
        <v>482</v>
      </c>
      <c r="AK92" s="64" t="s" ph="1">
        <v>411</v>
      </c>
      <c r="AM92" s="64" t="s" ph="1">
        <v>483</v>
      </c>
      <c r="AN92" s="64" t="s" ph="1">
        <v>271</v>
      </c>
      <c r="AO92" s="64" t="s" ph="1">
        <v>303</v>
      </c>
      <c r="AP92" s="64" t="s" ph="1">
        <v>484</v>
      </c>
      <c r="AQ92" s="64" t="s" ph="1">
        <v>343</v>
      </c>
      <c r="AR92" s="64" t="s" ph="1">
        <v>303</v>
      </c>
      <c r="AS92" s="64" t="s" ph="1">
        <v>485</v>
      </c>
      <c r="AT92" s="64" t="s" ph="1">
        <v>316</v>
      </c>
      <c r="AU92" s="64" t="s" ph="1">
        <v>303</v>
      </c>
      <c r="AV92" s="64" t="s" ph="1">
        <v>486</v>
      </c>
      <c r="AW92" s="64" t="s" ph="1">
        <v>272</v>
      </c>
      <c r="AX92" s="64" t="s" ph="1">
        <v>303</v>
      </c>
      <c r="AY92" s="64" t="s" ph="1">
        <v>260</v>
      </c>
      <c r="AZ92" s="64" t="s" ph="1">
        <v>467</v>
      </c>
    </row>
    <row r="93" spans="34:52" ph="1">
      <c r="AJ93" s="64" t="s" ph="1">
        <v>487</v>
      </c>
      <c r="AK93" s="64" t="s" ph="1">
        <v>266</v>
      </c>
      <c r="AM93" s="64" t="s" ph="1">
        <v>488</v>
      </c>
      <c r="AN93" s="64" t="s" ph="1">
        <v>271</v>
      </c>
      <c r="AO93" s="64" t="s" ph="1">
        <v>303</v>
      </c>
      <c r="AP93" s="64" t="s" ph="1">
        <v>489</v>
      </c>
      <c r="AQ93" s="64" t="s" ph="1">
        <v>275</v>
      </c>
      <c r="AR93" s="64" t="s" ph="1">
        <v>303</v>
      </c>
      <c r="AS93" s="64" t="s" ph="1">
        <v>490</v>
      </c>
      <c r="AT93" s="64" t="s" ph="1">
        <v>281</v>
      </c>
      <c r="AU93" s="64" t="s" ph="1">
        <v>303</v>
      </c>
      <c r="AV93" s="64" t="s" ph="1">
        <v>491</v>
      </c>
      <c r="AW93" s="64" t="s" ph="1">
        <v>275</v>
      </c>
      <c r="AX93" s="64" t="s" ph="1">
        <v>303</v>
      </c>
    </row>
    <row r="94" spans="34:52" ph="1">
      <c r="AJ94" s="64" t="s" ph="1">
        <v>492</v>
      </c>
      <c r="AK94" s="64" t="s" ph="1">
        <v>338</v>
      </c>
      <c r="AM94" s="64" t="s" ph="1">
        <v>493</v>
      </c>
      <c r="AN94" s="64" t="s" ph="1">
        <v>275</v>
      </c>
      <c r="AO94" s="64" t="s" ph="1">
        <v>303</v>
      </c>
      <c r="AP94" s="64" t="s" ph="1">
        <v>494</v>
      </c>
      <c r="AQ94" s="64" t="s" ph="1">
        <v>283</v>
      </c>
      <c r="AR94" s="64" t="s" ph="1">
        <v>303</v>
      </c>
      <c r="AS94" s="64" t="s" ph="1">
        <v>495</v>
      </c>
      <c r="AT94" s="64" t="s" ph="1">
        <v>269</v>
      </c>
      <c r="AU94" s="64" t="s" ph="1">
        <v>303</v>
      </c>
      <c r="AV94" s="64" t="s" ph="1">
        <v>496</v>
      </c>
      <c r="AW94" s="64" t="s" ph="1">
        <v>269</v>
      </c>
      <c r="AX94" s="64" t="s" ph="1">
        <v>303</v>
      </c>
    </row>
    <row r="95" spans="34:52" ph="1">
      <c r="AJ95" s="64" t="s" ph="1">
        <v>497</v>
      </c>
      <c r="AK95" s="64" t="s" ph="1">
        <v>343</v>
      </c>
    </row>
    <row r="96" spans="34:52" ph="1">
      <c r="AH96" s="64" ph="1">
        <v>7</v>
      </c>
      <c r="AI96" s="64" t="s" ph="1">
        <v>498</v>
      </c>
      <c r="AJ96" s="64" t="s" ph="1">
        <v>497</v>
      </c>
      <c r="AK96" s="64" t="s" ph="1">
        <v>298</v>
      </c>
      <c r="AM96" s="64" t="s" ph="1">
        <v>499</v>
      </c>
      <c r="AN96" s="64" t="s" ph="1">
        <v>272</v>
      </c>
      <c r="AO96" s="64" t="s" ph="1">
        <v>303</v>
      </c>
      <c r="AP96" s="64" t="s" ph="1">
        <v>500</v>
      </c>
      <c r="AQ96" s="64" t="s" ph="1">
        <v>316</v>
      </c>
      <c r="AR96" s="64" t="s" ph="1">
        <v>331</v>
      </c>
      <c r="AS96" s="64" t="s" ph="1">
        <v>501</v>
      </c>
      <c r="AT96" s="64" t="s" ph="1">
        <v>275</v>
      </c>
      <c r="AU96" s="64" t="s" ph="1">
        <v>331</v>
      </c>
      <c r="AV96" s="64" t="s" ph="1">
        <v>502</v>
      </c>
      <c r="AW96" s="64" t="s" ph="1">
        <v>271</v>
      </c>
      <c r="AX96" s="64" t="s" ph="1">
        <v>331</v>
      </c>
      <c r="AY96" s="64" t="s" ph="1">
        <v>260</v>
      </c>
      <c r="AZ96" s="64" t="s" ph="1">
        <v>503</v>
      </c>
    </row>
    <row r="97" spans="33:52" ph="1">
      <c r="AJ97" s="64" t="s" ph="1">
        <v>504</v>
      </c>
      <c r="AK97" s="64" t="s" ph="1">
        <v>326</v>
      </c>
      <c r="AM97" s="64" t="s" ph="1">
        <v>505</v>
      </c>
      <c r="AN97" s="64" t="s" ph="1">
        <v>269</v>
      </c>
      <c r="AO97" s="64" t="s" ph="1">
        <v>303</v>
      </c>
      <c r="AP97" s="64" t="s" ph="1">
        <v>506</v>
      </c>
      <c r="AQ97" s="64" t="s" ph="1">
        <v>263</v>
      </c>
      <c r="AR97" s="64" t="s" ph="1">
        <v>331</v>
      </c>
      <c r="AS97" s="64" t="s" ph="1">
        <v>507</v>
      </c>
      <c r="AT97" s="64" t="s" ph="1">
        <v>266</v>
      </c>
      <c r="AU97" s="64" t="s" ph="1">
        <v>331</v>
      </c>
      <c r="AV97" s="64" t="s" ph="1">
        <v>508</v>
      </c>
      <c r="AW97" s="64" t="s" ph="1">
        <v>272</v>
      </c>
      <c r="AX97" s="64" t="s" ph="1">
        <v>331</v>
      </c>
    </row>
    <row r="98" spans="33:52" ph="1">
      <c r="AJ98" s="64" t="s" ph="1">
        <v>509</v>
      </c>
      <c r="AK98" s="64" t="s" ph="1">
        <v>275</v>
      </c>
      <c r="AM98" s="64" t="s" ph="1">
        <v>510</v>
      </c>
      <c r="AN98" s="64" t="s" ph="1">
        <v>283</v>
      </c>
      <c r="AO98" s="64" t="s" ph="1">
        <v>303</v>
      </c>
      <c r="AP98" s="64" t="s" ph="1">
        <v>511</v>
      </c>
      <c r="AQ98" s="64" t="s" ph="1">
        <v>263</v>
      </c>
      <c r="AR98" s="64" t="s" ph="1">
        <v>331</v>
      </c>
      <c r="AS98" s="64" t="s" ph="1">
        <v>512</v>
      </c>
      <c r="AT98" s="64" t="s" ph="1">
        <v>343</v>
      </c>
      <c r="AU98" s="64" t="s" ph="1">
        <v>331</v>
      </c>
      <c r="AV98" s="64" t="s" ph="1">
        <v>513</v>
      </c>
      <c r="AW98" s="64" t="s" ph="1">
        <v>266</v>
      </c>
      <c r="AX98" s="64" t="s" ph="1">
        <v>331</v>
      </c>
    </row>
    <row r="99" spans="33:52" ph="1">
      <c r="AH99" s="64" ph="1">
        <v>8</v>
      </c>
      <c r="AI99" s="64" t="s" ph="1">
        <v>514</v>
      </c>
      <c r="AJ99" s="64" t="s" ph="1">
        <v>515</v>
      </c>
      <c r="AK99" s="64" t="s" ph="1">
        <v>411</v>
      </c>
      <c r="AM99" s="64" t="s" ph="1">
        <v>516</v>
      </c>
      <c r="AN99" s="64" t="s" ph="1">
        <v>298</v>
      </c>
      <c r="AO99" s="64" t="s" ph="1">
        <v>303</v>
      </c>
      <c r="AP99" s="64" t="s" ph="1">
        <v>517</v>
      </c>
      <c r="AQ99" s="64" t="s" ph="1">
        <v>268</v>
      </c>
      <c r="AR99" s="64" t="s" ph="1">
        <v>331</v>
      </c>
      <c r="AS99" s="64" t="s" ph="1">
        <v>518</v>
      </c>
      <c r="AT99" s="64" t="s" ph="1">
        <v>283</v>
      </c>
      <c r="AU99" s="64" t="s" ph="1">
        <v>331</v>
      </c>
      <c r="AV99" s="64" t="s" ph="1">
        <v>519</v>
      </c>
      <c r="AW99" s="64" t="s" ph="1">
        <v>268</v>
      </c>
      <c r="AX99" s="64" t="s" ph="1">
        <v>331</v>
      </c>
      <c r="AY99" s="64" t="s" ph="1">
        <v>260</v>
      </c>
      <c r="AZ99" s="64" t="s" ph="1">
        <v>520</v>
      </c>
    </row>
    <row r="100" spans="33:52" ph="1">
      <c r="AJ100" s="64" t="s" ph="1">
        <v>521</v>
      </c>
      <c r="AK100" s="64" t="s" ph="1">
        <v>266</v>
      </c>
      <c r="AM100" s="64" t="s" ph="1">
        <v>522</v>
      </c>
      <c r="AN100" s="64" t="s" ph="1">
        <v>338</v>
      </c>
      <c r="AO100" s="64" t="s" ph="1">
        <v>303</v>
      </c>
      <c r="AP100" s="64" t="s" ph="1">
        <v>523</v>
      </c>
      <c r="AQ100" s="64" t="s" ph="1">
        <v>344</v>
      </c>
      <c r="AR100" s="64" t="s" ph="1">
        <v>331</v>
      </c>
      <c r="AS100" s="64" t="s" ph="1">
        <v>524</v>
      </c>
      <c r="AT100" s="64" t="s" ph="1">
        <v>411</v>
      </c>
      <c r="AU100" s="64" t="s" ph="1">
        <v>303</v>
      </c>
      <c r="AV100" s="64" t="s" ph="1">
        <v>525</v>
      </c>
      <c r="AW100" s="64" t="s" ph="1">
        <v>411</v>
      </c>
      <c r="AX100" s="64" t="s" ph="1">
        <v>303</v>
      </c>
    </row>
    <row r="101" spans="33:52" ph="1">
      <c r="AJ101" s="64" t="s" ph="1">
        <v>526</v>
      </c>
      <c r="AK101" s="64" t="s" ph="1">
        <v>411</v>
      </c>
      <c r="AM101" s="64" t="s" ph="1">
        <v>527</v>
      </c>
      <c r="AN101" s="64" t="s" ph="1">
        <v>269</v>
      </c>
      <c r="AO101" s="64" t="s" ph="1">
        <v>303</v>
      </c>
      <c r="AP101" s="64" t="s" ph="1">
        <v>528</v>
      </c>
      <c r="AQ101" s="64" t="s" ph="1">
        <v>281</v>
      </c>
      <c r="AR101" s="64" t="s" ph="1">
        <v>331</v>
      </c>
      <c r="AS101" s="64" t="s" ph="1">
        <v>529</v>
      </c>
      <c r="AT101" s="64" t="s" ph="1">
        <v>338</v>
      </c>
      <c r="AU101" s="64" t="s" ph="1">
        <v>331</v>
      </c>
      <c r="AV101" s="64" t="s" ph="1">
        <v>530</v>
      </c>
      <c r="AW101" s="64" t="s" ph="1">
        <v>269</v>
      </c>
      <c r="AX101" s="64" t="s" ph="1">
        <v>303</v>
      </c>
    </row>
    <row r="102" spans="33:52" ph="1">
      <c r="AJ102" s="64" t="s" ph="1">
        <v>531</v>
      </c>
      <c r="AK102" s="64" t="s" ph="1">
        <v>266</v>
      </c>
      <c r="AM102" s="64" t="s" ph="1">
        <v>532</v>
      </c>
      <c r="AN102" s="64" t="s" ph="1">
        <v>275</v>
      </c>
      <c r="AO102" s="64" t="s" ph="1">
        <v>303</v>
      </c>
      <c r="AP102" s="64" t="s" ph="1">
        <v>533</v>
      </c>
      <c r="AQ102" s="64" t="s" ph="1">
        <v>281</v>
      </c>
      <c r="AR102" s="64" t="s" ph="1">
        <v>303</v>
      </c>
      <c r="AS102" s="64" t="s" ph="1">
        <v>534</v>
      </c>
      <c r="AT102" s="64" t="s" ph="1">
        <v>298</v>
      </c>
      <c r="AU102" s="64" t="s" ph="1">
        <v>303</v>
      </c>
      <c r="AV102" s="64" t="s" ph="1">
        <v>535</v>
      </c>
      <c r="AW102" s="64" t="s" ph="1">
        <v>316</v>
      </c>
      <c r="AX102" s="64" t="s" ph="1">
        <v>303</v>
      </c>
    </row>
    <row r="103" spans="33:52" ph="1">
      <c r="AH103" s="64" ph="1">
        <v>9</v>
      </c>
      <c r="AI103" s="64" t="s" ph="1">
        <v>536</v>
      </c>
      <c r="AJ103" s="64" t="s" ph="1">
        <v>537</v>
      </c>
      <c r="AK103" s="64" t="s" ph="1">
        <v>411</v>
      </c>
      <c r="AM103" s="64" t="s" ph="1">
        <v>538</v>
      </c>
      <c r="AN103" s="64" t="s" ph="1">
        <v>326</v>
      </c>
      <c r="AO103" s="64" t="s" ph="1">
        <v>303</v>
      </c>
      <c r="AP103" s="64" t="s" ph="1">
        <v>380</v>
      </c>
      <c r="AQ103" s="64" t="s" ph="1">
        <v>269</v>
      </c>
      <c r="AR103" s="64" t="s" ph="1">
        <v>303</v>
      </c>
      <c r="AS103" s="64" t="s" ph="1">
        <v>614</v>
      </c>
      <c r="AT103" s="64" t="s" ph="1">
        <v>411</v>
      </c>
      <c r="AU103" s="64" t="s" ph="1">
        <v>303</v>
      </c>
      <c r="AY103" s="64" t="s" ph="1">
        <v>260</v>
      </c>
      <c r="AZ103" s="64" t="s" ph="1">
        <v>268</v>
      </c>
    </row>
    <row r="104" spans="33:52" ph="1">
      <c r="AZ104" s="64" t="s" ph="1">
        <v>539</v>
      </c>
    </row>
    <row r="105" spans="33:52" ph="1">
      <c r="AG105" s="64" t="s" ph="1">
        <v>339</v>
      </c>
      <c r="AI105" s="64" t="s" ph="1">
        <v>253</v>
      </c>
      <c r="AJ105" s="64" t="s" ph="1">
        <v>254</v>
      </c>
      <c r="AK105" s="64" t="s" ph="1">
        <v>255</v>
      </c>
      <c r="AM105" s="64" t="s" ph="1">
        <v>254</v>
      </c>
      <c r="AN105" s="64" t="s" ph="1">
        <v>255</v>
      </c>
      <c r="AO105" s="64" t="s" ph="1">
        <v>256</v>
      </c>
      <c r="AP105" s="64" t="s" ph="1">
        <v>254</v>
      </c>
      <c r="AQ105" s="64" t="s" ph="1">
        <v>255</v>
      </c>
      <c r="AR105" s="64" t="s" ph="1">
        <v>256</v>
      </c>
      <c r="AS105" s="64" t="s" ph="1">
        <v>254</v>
      </c>
      <c r="AT105" s="64" t="s" ph="1">
        <v>255</v>
      </c>
      <c r="AU105" s="64" t="s" ph="1">
        <v>256</v>
      </c>
      <c r="AV105" s="64" t="s" ph="1">
        <v>254</v>
      </c>
      <c r="AW105" s="64" t="s" ph="1">
        <v>255</v>
      </c>
      <c r="AX105" s="64" t="s" ph="1">
        <v>256</v>
      </c>
      <c r="AZ105" s="64" t="s" ph="1">
        <v>257</v>
      </c>
    </row>
    <row r="106" spans="33:52" ph="1">
      <c r="AH106" s="64" ph="1">
        <v>1</v>
      </c>
      <c r="AI106" s="64" t="s" ph="1">
        <v>540</v>
      </c>
      <c r="AJ106" s="64" t="s" ph="1">
        <v>614</v>
      </c>
      <c r="AK106" s="64" t="s" ph="1">
        <v>275</v>
      </c>
      <c r="AZ106" s="64" t="s" ph="1">
        <v>275</v>
      </c>
    </row>
    <row r="107" spans="33:52" ph="1">
      <c r="AH107" s="64" ph="1">
        <v>2</v>
      </c>
      <c r="AI107" s="64" t="s" ph="1">
        <v>541</v>
      </c>
      <c r="AJ107" s="64" t="s" ph="1">
        <v>542</v>
      </c>
      <c r="AK107" s="64" t="s" ph="1">
        <v>272</v>
      </c>
      <c r="AM107" s="64" t="s" ph="1">
        <v>378</v>
      </c>
      <c r="AN107" s="64" t="s" ph="1">
        <v>543</v>
      </c>
      <c r="AO107" s="64" t="s" ph="1">
        <v>544</v>
      </c>
      <c r="AP107" s="64" t="s" ph="1">
        <v>380</v>
      </c>
      <c r="AQ107" s="64" t="s" ph="1">
        <v>348</v>
      </c>
      <c r="AR107" s="64" t="s" ph="1">
        <v>544</v>
      </c>
      <c r="AS107" s="64" t="s" ph="1">
        <v>614</v>
      </c>
      <c r="AT107" s="64" t="s" ph="1">
        <v>543</v>
      </c>
      <c r="AU107" s="64" t="s" ph="1">
        <v>544</v>
      </c>
      <c r="AY107" s="64" t="s" ph="1">
        <v>260</v>
      </c>
      <c r="AZ107" s="64" t="s" ph="1">
        <v>624</v>
      </c>
    </row>
    <row r="108" spans="33:52" ph="1">
      <c r="AH108" s="64" ph="1">
        <v>3</v>
      </c>
      <c r="AI108" s="64" t="s" ph="1">
        <v>545</v>
      </c>
      <c r="AY108" s="64" t="s" ph="1">
        <v>260</v>
      </c>
      <c r="AZ108" s="64" t="s" ph="1">
        <v>411</v>
      </c>
    </row>
    <row r="109" spans="33:52" ph="1">
      <c r="AH109" s="64" ph="1">
        <v>4</v>
      </c>
      <c r="AI109" s="64" t="s" ph="1">
        <v>546</v>
      </c>
      <c r="AY109" s="64" t="s" ph="1">
        <v>260</v>
      </c>
      <c r="AZ109" s="64" t="s" ph="1">
        <v>411</v>
      </c>
    </row>
    <row r="110" spans="33:52" ph="1">
      <c r="AH110" s="64" ph="1">
        <v>5</v>
      </c>
      <c r="AI110" s="64" t="s" ph="1">
        <v>547</v>
      </c>
      <c r="AY110" s="64" t="s" ph="1">
        <v>260</v>
      </c>
      <c r="AZ110" s="64" t="s" ph="1">
        <v>411</v>
      </c>
    </row>
    <row r="111" spans="33:52" ph="1">
      <c r="AH111" s="64" ph="1">
        <v>6</v>
      </c>
      <c r="AI111" s="64" t="s" ph="1">
        <v>625</v>
      </c>
      <c r="AJ111" s="64" t="s" ph="1">
        <v>530</v>
      </c>
      <c r="AK111" s="64" t="s" ph="1">
        <v>269</v>
      </c>
      <c r="AM111" s="64" t="s" ph="1">
        <v>531</v>
      </c>
      <c r="AN111" s="64" t="s" ph="1">
        <v>263</v>
      </c>
      <c r="AO111" s="64" t="s" ph="1">
        <v>544</v>
      </c>
      <c r="AP111" s="64" t="s" ph="1">
        <v>532</v>
      </c>
      <c r="AQ111" s="64" t="s" ph="1">
        <v>272</v>
      </c>
      <c r="AR111" s="64" t="s" ph="1">
        <v>544</v>
      </c>
      <c r="AS111" s="64" t="s" ph="1">
        <v>533</v>
      </c>
      <c r="AT111" s="64" t="s" ph="1">
        <v>281</v>
      </c>
      <c r="AU111" s="64" t="s" ph="1">
        <v>544</v>
      </c>
      <c r="AV111" s="64" t="s" ph="1">
        <v>534</v>
      </c>
      <c r="AW111" s="64" t="s" ph="1">
        <v>271</v>
      </c>
      <c r="AX111" s="64" t="s" ph="1">
        <v>544</v>
      </c>
      <c r="AY111" s="64" t="s" ph="1">
        <v>260</v>
      </c>
      <c r="AZ111" s="64" t="s" ph="1">
        <v>548</v>
      </c>
    </row>
    <row r="112" spans="33:52" ph="1">
      <c r="AJ112" s="64" t="s" ph="1">
        <v>535</v>
      </c>
      <c r="AK112" s="64" t="s" ph="1">
        <v>316</v>
      </c>
      <c r="AM112" s="64" t="s" ph="1">
        <v>537</v>
      </c>
      <c r="AN112" s="64" t="s" ph="1">
        <v>340</v>
      </c>
      <c r="AO112" s="64" t="s" ph="1">
        <v>544</v>
      </c>
      <c r="AP112" s="64" t="s" ph="1">
        <v>538</v>
      </c>
      <c r="AQ112" s="64" t="s" ph="1">
        <v>549</v>
      </c>
      <c r="AR112" s="64" t="s" ph="1">
        <v>544</v>
      </c>
      <c r="AS112" s="64" t="s" ph="1">
        <v>550</v>
      </c>
      <c r="AT112" s="64" t="s" ph="1">
        <v>292</v>
      </c>
      <c r="AU112" s="64" t="s" ph="1">
        <v>544</v>
      </c>
      <c r="AV112" s="64" t="s" ph="1">
        <v>551</v>
      </c>
      <c r="AW112" s="64" t="s" ph="1">
        <v>338</v>
      </c>
      <c r="AX112" s="64" t="s" ph="1">
        <v>544</v>
      </c>
    </row>
    <row r="113" spans="33:52" ph="1">
      <c r="AH113" s="64" ph="1">
        <v>7</v>
      </c>
      <c r="AI113" s="64" t="s" ph="1">
        <v>552</v>
      </c>
      <c r="AJ113" s="64" t="s" ph="1">
        <v>633</v>
      </c>
      <c r="AK113" s="64" t="s" ph="1">
        <v>638</v>
      </c>
      <c r="AY113" s="64" t="s" ph="1">
        <v>260</v>
      </c>
      <c r="AZ113" s="64" t="s" ph="1">
        <v>638</v>
      </c>
    </row>
    <row r="114" spans="33:52" ph="1">
      <c r="AH114" s="64" ph="1">
        <v>8</v>
      </c>
      <c r="AI114" s="64" t="s" ph="1">
        <v>553</v>
      </c>
      <c r="AJ114" s="64" t="s" ph="1">
        <v>633</v>
      </c>
      <c r="AK114" s="64" t="s" ph="1">
        <v>639</v>
      </c>
      <c r="AY114" s="64" t="s" ph="1">
        <v>260</v>
      </c>
      <c r="AZ114" s="64" t="s" ph="1">
        <v>639</v>
      </c>
    </row>
    <row r="115" spans="33:52" ph="1">
      <c r="AH115" s="64" ph="1">
        <v>9</v>
      </c>
      <c r="AI115" s="64" t="s" ph="1">
        <v>554</v>
      </c>
      <c r="AJ115" s="64" t="s" ph="1">
        <v>633</v>
      </c>
      <c r="AK115" s="64" t="s" ph="1">
        <v>639</v>
      </c>
      <c r="AY115" s="64" t="s" ph="1">
        <v>260</v>
      </c>
      <c r="AZ115" s="64" t="s" ph="1">
        <v>639</v>
      </c>
    </row>
    <row r="116" spans="33:52" ph="1">
      <c r="AH116" s="64" ph="1">
        <v>10</v>
      </c>
      <c r="AI116" s="64" t="s" ph="1">
        <v>555</v>
      </c>
      <c r="AJ116" s="64" t="s" ph="1">
        <v>633</v>
      </c>
      <c r="AK116" s="64" t="s" ph="1">
        <v>639</v>
      </c>
      <c r="AY116" s="64" t="s" ph="1">
        <v>260</v>
      </c>
      <c r="AZ116" s="64" t="s" ph="1">
        <v>639</v>
      </c>
    </row>
    <row r="117" spans="33:52" ph="1">
      <c r="AH117" s="64" ph="1">
        <v>11</v>
      </c>
      <c r="AI117" s="64" t="s" ph="1">
        <v>556</v>
      </c>
      <c r="AJ117" s="64" t="s" ph="1">
        <v>633</v>
      </c>
      <c r="AK117" s="64" t="s" ph="1">
        <v>639</v>
      </c>
      <c r="AY117" s="64" t="s" ph="1">
        <v>260</v>
      </c>
      <c r="AZ117" s="64" t="s" ph="1">
        <v>639</v>
      </c>
    </row>
    <row r="118" spans="33:52" ph="1">
      <c r="AZ118" s="64" t="s" ph="1">
        <v>640</v>
      </c>
    </row>
    <row r="119" spans="33:52" ph="1">
      <c r="AI119" s="64" t="s" ph="1">
        <v>253</v>
      </c>
      <c r="AJ119" s="64" t="s" ph="1">
        <v>254</v>
      </c>
      <c r="AK119" s="64" t="s" ph="1">
        <v>255</v>
      </c>
      <c r="AM119" s="64" t="s" ph="1">
        <v>254</v>
      </c>
      <c r="AN119" s="64" t="s" ph="1">
        <v>255</v>
      </c>
      <c r="AO119" s="64" t="s" ph="1">
        <v>256</v>
      </c>
      <c r="AP119" s="64" t="s" ph="1">
        <v>254</v>
      </c>
      <c r="AQ119" s="64" t="s" ph="1">
        <v>255</v>
      </c>
      <c r="AR119" s="64" t="s" ph="1">
        <v>256</v>
      </c>
      <c r="AS119" s="64" t="s" ph="1">
        <v>254</v>
      </c>
      <c r="AT119" s="64" t="s" ph="1">
        <v>255</v>
      </c>
      <c r="AU119" s="64" t="s" ph="1">
        <v>256</v>
      </c>
      <c r="AV119" s="64" t="s" ph="1">
        <v>254</v>
      </c>
      <c r="AW119" s="64" t="s" ph="1">
        <v>255</v>
      </c>
      <c r="AX119" s="64" t="s" ph="1">
        <v>256</v>
      </c>
      <c r="AY119" s="64" t="s" ph="1">
        <v>255</v>
      </c>
      <c r="AZ119" s="64" t="s" ph="1">
        <v>257</v>
      </c>
    </row>
    <row r="120" spans="33:52" ph="1">
      <c r="AG120" s="64" t="s" ph="1">
        <v>397</v>
      </c>
      <c r="AH120" s="64" ph="1">
        <v>1</v>
      </c>
      <c r="AI120" s="64" t="s" ph="1">
        <v>557</v>
      </c>
      <c r="AJ120" s="64" t="s" ph="1">
        <v>631</v>
      </c>
      <c r="AK120" s="64" t="s" ph="1">
        <v>411</v>
      </c>
      <c r="AY120" s="64" t="s" ph="1">
        <v>260</v>
      </c>
      <c r="AZ120" s="64" t="s" ph="1">
        <v>411</v>
      </c>
    </row>
    <row r="121" spans="33:52" ph="1">
      <c r="AH121" s="64" ph="1">
        <v>2</v>
      </c>
      <c r="AI121" s="64" t="s" ph="1">
        <v>558</v>
      </c>
      <c r="AY121" s="64" t="s" ph="1">
        <v>260</v>
      </c>
      <c r="AZ121" s="64" t="s" ph="1">
        <v>411</v>
      </c>
    </row>
    <row r="122" spans="33:52" ph="1">
      <c r="AH122" s="64" ph="1">
        <v>3</v>
      </c>
      <c r="AI122" s="64" t="s" ph="1">
        <v>559</v>
      </c>
      <c r="AJ122" s="64" t="s" ph="1">
        <v>614</v>
      </c>
      <c r="AK122" s="64" t="s" ph="1">
        <v>626</v>
      </c>
      <c r="AM122" s="64" t="s" ph="1">
        <v>641</v>
      </c>
      <c r="AN122" s="64" t="s" ph="1">
        <v>634</v>
      </c>
      <c r="AO122" s="64" t="s" ph="1">
        <v>109</v>
      </c>
      <c r="AY122" s="64" t="s" ph="1">
        <v>260</v>
      </c>
      <c r="AZ122" s="64" t="s" ph="1">
        <v>623</v>
      </c>
    </row>
    <row r="123" spans="33:52" ph="1">
      <c r="AY123" s="64" t="s" ph="1">
        <v>260</v>
      </c>
      <c r="AZ123" s="64" t="s" ph="1">
        <v>623</v>
      </c>
    </row>
    <row r="124" spans="33:52" ph="1">
      <c r="AG124" s="64" t="s" ph="1">
        <v>400</v>
      </c>
      <c r="AH124" s="64" ph="1">
        <v>4</v>
      </c>
      <c r="AI124" s="64" t="s" ph="1">
        <v>560</v>
      </c>
      <c r="AJ124" s="64" t="s" ph="1">
        <v>561</v>
      </c>
      <c r="AK124" s="64" t="s" ph="1">
        <v>562</v>
      </c>
      <c r="AY124" s="64" t="s" ph="1">
        <v>260</v>
      </c>
      <c r="AZ124" s="64" t="s" ph="1">
        <v>562</v>
      </c>
    </row>
    <row r="125" spans="33:52" ph="1">
      <c r="AH125" s="64" ph="1">
        <v>5</v>
      </c>
      <c r="AI125" s="64" t="s" ph="1">
        <v>563</v>
      </c>
      <c r="AJ125" s="64" t="s" ph="1">
        <v>561</v>
      </c>
      <c r="AK125" s="64" t="s" ph="1">
        <v>562</v>
      </c>
      <c r="AY125" s="64" t="s" ph="1">
        <v>260</v>
      </c>
      <c r="AZ125" s="64" t="s" ph="1">
        <v>562</v>
      </c>
    </row>
    <row r="126" spans="33:52" ph="1">
      <c r="AH126" s="64" ph="1">
        <v>6</v>
      </c>
      <c r="AI126" s="64" t="s" ph="1">
        <v>564</v>
      </c>
      <c r="AJ126" s="64" t="s" ph="1">
        <v>633</v>
      </c>
      <c r="AK126" s="64" t="s" ph="1">
        <v>642</v>
      </c>
      <c r="AY126" s="64" t="s" ph="1">
        <v>260</v>
      </c>
      <c r="AZ126" s="64" t="s" ph="1">
        <v>642</v>
      </c>
    </row>
    <row r="127" spans="33:52" ph="1">
      <c r="AH127" s="64" ph="1">
        <v>7</v>
      </c>
      <c r="AI127" s="64" t="s" ph="1">
        <v>565</v>
      </c>
      <c r="AJ127" s="64" t="s" ph="1">
        <v>633</v>
      </c>
      <c r="AK127" s="64" t="s" ph="1">
        <v>643</v>
      </c>
      <c r="AY127" s="64" t="s" ph="1">
        <v>260</v>
      </c>
      <c r="AZ127" s="64" t="s" ph="1">
        <v>643</v>
      </c>
    </row>
    <row r="128" spans="33:52" ph="1">
      <c r="AH128" s="64" ph="1">
        <v>8</v>
      </c>
      <c r="AI128" s="64" t="s" ph="1">
        <v>566</v>
      </c>
      <c r="AY128" s="64" t="s" ph="1">
        <v>260</v>
      </c>
      <c r="AZ128" s="64" t="s" ph="1">
        <v>411</v>
      </c>
    </row>
    <row r="129" spans="33:52" ph="1">
      <c r="AH129" s="64" ph="1">
        <v>9</v>
      </c>
      <c r="AI129" s="64" t="s" ph="1">
        <v>567</v>
      </c>
      <c r="AY129" s="64" t="s" ph="1">
        <v>260</v>
      </c>
      <c r="AZ129" s="64" t="s" ph="1">
        <v>411</v>
      </c>
    </row>
    <row r="130" spans="33:52" ph="1">
      <c r="AH130" s="64" ph="1">
        <v>10</v>
      </c>
      <c r="AI130" s="64" t="s" ph="1">
        <v>568</v>
      </c>
      <c r="AY130" s="64" t="s" ph="1">
        <v>260</v>
      </c>
      <c r="AZ130" s="64" t="s" ph="1">
        <v>411</v>
      </c>
    </row>
    <row r="131" spans="33:52" ph="1">
      <c r="AH131" s="64" ph="1">
        <v>11</v>
      </c>
      <c r="AI131" s="64" t="s" ph="1">
        <v>569</v>
      </c>
      <c r="AJ131" s="64" t="s" ph="1">
        <v>627</v>
      </c>
      <c r="AK131" s="64" t="s" ph="1">
        <v>623</v>
      </c>
      <c r="AY131" s="64" t="s" ph="1">
        <v>260</v>
      </c>
      <c r="AZ131" s="64" t="s" ph="1">
        <v>623</v>
      </c>
    </row>
    <row r="132" spans="33:52" ph="1">
      <c r="AH132" s="64" ph="1">
        <v>12</v>
      </c>
      <c r="AI132" s="64" t="s" ph="1">
        <v>570</v>
      </c>
      <c r="AJ132" s="64" t="s" ph="1">
        <v>627</v>
      </c>
      <c r="AK132" s="64" t="s" ph="1">
        <v>562</v>
      </c>
      <c r="AY132" s="64" t="s" ph="1">
        <v>260</v>
      </c>
      <c r="AZ132" s="64" t="s" ph="1">
        <v>562</v>
      </c>
    </row>
    <row r="133" spans="33:52" ph="1">
      <c r="AH133" s="64" ph="1">
        <v>13</v>
      </c>
      <c r="AI133" s="64" t="s" ph="1">
        <v>571</v>
      </c>
      <c r="AJ133" s="64" t="s" ph="1">
        <v>627</v>
      </c>
      <c r="AK133" s="64" t="s" ph="1">
        <v>628</v>
      </c>
      <c r="AY133" s="64" t="s" ph="1">
        <v>260</v>
      </c>
      <c r="AZ133" s="64" t="s" ph="1">
        <v>628</v>
      </c>
    </row>
    <row r="134" spans="33:52" ph="1">
      <c r="AH134" s="64" ph="1">
        <v>14</v>
      </c>
      <c r="AI134" s="64" t="s" ph="1">
        <v>572</v>
      </c>
      <c r="AJ134" s="64" t="s" ph="1">
        <v>627</v>
      </c>
      <c r="AK134" s="64" t="s" ph="1">
        <v>629</v>
      </c>
      <c r="AY134" s="64" t="s" ph="1">
        <v>260</v>
      </c>
      <c r="AZ134" s="64" t="s" ph="1">
        <v>629</v>
      </c>
    </row>
    <row r="135" spans="33:52" ph="1">
      <c r="AH135" s="64" ph="1">
        <v>15</v>
      </c>
      <c r="AI135" s="64" t="s" ph="1">
        <v>573</v>
      </c>
      <c r="AJ135" s="64" t="s" ph="1">
        <v>627</v>
      </c>
      <c r="AK135" s="64" t="s" ph="1">
        <v>630</v>
      </c>
      <c r="AY135" s="64" t="s" ph="1">
        <v>260</v>
      </c>
      <c r="AZ135" s="64" t="s" ph="1">
        <v>630</v>
      </c>
    </row>
    <row r="136" spans="33:52" ph="1">
      <c r="AZ136" s="64" t="s" ph="1">
        <v>644</v>
      </c>
    </row>
    <row r="137" spans="33:52" ph="1">
      <c r="AG137" s="64" t="s" ph="1">
        <v>334</v>
      </c>
      <c r="AI137" s="64" t="s" ph="1">
        <v>253</v>
      </c>
      <c r="AJ137" s="64" t="s" ph="1">
        <v>254</v>
      </c>
      <c r="AK137" s="64" t="s" ph="1">
        <v>255</v>
      </c>
      <c r="AM137" s="64" t="s" ph="1">
        <v>254</v>
      </c>
      <c r="AN137" s="64" t="s" ph="1">
        <v>255</v>
      </c>
      <c r="AO137" s="64" t="s" ph="1">
        <v>256</v>
      </c>
      <c r="AP137" s="64" t="s" ph="1">
        <v>254</v>
      </c>
      <c r="AQ137" s="64" t="s" ph="1">
        <v>255</v>
      </c>
      <c r="AR137" s="64" t="s" ph="1">
        <v>256</v>
      </c>
      <c r="AS137" s="64" t="s" ph="1">
        <v>254</v>
      </c>
      <c r="AT137" s="64" t="s" ph="1">
        <v>255</v>
      </c>
      <c r="AU137" s="64" t="s" ph="1">
        <v>256</v>
      </c>
      <c r="AV137" s="64" t="s" ph="1">
        <v>254</v>
      </c>
      <c r="AW137" s="64" t="s" ph="1">
        <v>255</v>
      </c>
      <c r="AX137" s="64" t="s" ph="1">
        <v>256</v>
      </c>
      <c r="AY137" s="64" t="s" ph="1">
        <v>255</v>
      </c>
      <c r="AZ137" s="64" t="s" ph="1">
        <v>257</v>
      </c>
    </row>
    <row r="138" spans="33:52" ph="1">
      <c r="AH138" s="64" ph="1">
        <v>1</v>
      </c>
      <c r="AI138" s="64" t="s" ph="1">
        <v>574</v>
      </c>
      <c r="AJ138" s="64" t="s" ph="1">
        <v>575</v>
      </c>
      <c r="AK138" s="64" t="s" ph="1">
        <v>576</v>
      </c>
      <c r="AY138" s="64" t="s" ph="1">
        <v>260</v>
      </c>
      <c r="AZ138" s="64" t="s" ph="1">
        <v>576</v>
      </c>
    </row>
    <row r="139" spans="33:52" ph="1">
      <c r="AH139" s="64" ph="1">
        <v>2</v>
      </c>
      <c r="AI139" s="64" t="s" ph="1">
        <v>577</v>
      </c>
      <c r="AJ139" s="64" t="s" ph="1">
        <v>633</v>
      </c>
      <c r="AK139" s="64" t="s" ph="1">
        <v>645</v>
      </c>
      <c r="AY139" s="64" t="s" ph="1">
        <v>260</v>
      </c>
      <c r="AZ139" s="64" t="s" ph="1">
        <v>645</v>
      </c>
    </row>
    <row r="140" spans="33:52" ph="1">
      <c r="AH140" s="64" ph="1">
        <v>3</v>
      </c>
      <c r="AI140" s="64" t="s" ph="1">
        <v>578</v>
      </c>
      <c r="AJ140" s="64" t="s" ph="1">
        <v>531</v>
      </c>
      <c r="AK140" s="64" t="s" ph="1">
        <v>343</v>
      </c>
      <c r="AM140" s="64" t="s" ph="1">
        <v>532</v>
      </c>
      <c r="AN140" s="64" t="s" ph="1">
        <v>263</v>
      </c>
      <c r="AO140" s="64" t="s" ph="1">
        <v>579</v>
      </c>
      <c r="AP140" s="64" t="s" ph="1">
        <v>533</v>
      </c>
      <c r="AQ140" s="64" t="s" ph="1">
        <v>280</v>
      </c>
      <c r="AR140" s="64" t="s" ph="1">
        <v>579</v>
      </c>
      <c r="AS140" s="64" t="s" ph="1">
        <v>534</v>
      </c>
      <c r="AT140" s="64" t="s" ph="1">
        <v>273</v>
      </c>
      <c r="AU140" s="64" t="s" ph="1">
        <v>579</v>
      </c>
      <c r="AV140" s="64" t="s" ph="1">
        <v>535</v>
      </c>
      <c r="AW140" s="64" t="s" ph="1">
        <v>266</v>
      </c>
      <c r="AX140" s="64" t="s" ph="1">
        <v>579</v>
      </c>
      <c r="AY140" s="64" t="s" ph="1">
        <v>260</v>
      </c>
      <c r="AZ140" s="64" t="s" ph="1">
        <v>335</v>
      </c>
    </row>
    <row r="141" spans="33:52" ph="1">
      <c r="AJ141" s="64" t="s" ph="1">
        <v>537</v>
      </c>
      <c r="AK141" s="64" t="s" ph="1">
        <v>266</v>
      </c>
      <c r="AM141" s="64" t="s" ph="1">
        <v>538</v>
      </c>
      <c r="AN141" s="64" t="s" ph="1">
        <v>269</v>
      </c>
      <c r="AO141" s="64" t="s" ph="1">
        <v>579</v>
      </c>
      <c r="AP141" s="64" t="s" ph="1">
        <v>550</v>
      </c>
      <c r="AQ141" s="64" t="s" ph="1">
        <v>338</v>
      </c>
      <c r="AR141" s="64" t="s" ph="1">
        <v>579</v>
      </c>
      <c r="AS141" s="64" t="s" ph="1">
        <v>542</v>
      </c>
      <c r="AT141" s="64" t="s" ph="1">
        <v>266</v>
      </c>
      <c r="AU141" s="64" t="s" ph="1">
        <v>579</v>
      </c>
      <c r="AV141" s="64" t="s" ph="1">
        <v>378</v>
      </c>
      <c r="AW141" s="64" t="s" ph="1">
        <v>272</v>
      </c>
      <c r="AX141" s="64" t="s" ph="1">
        <v>579</v>
      </c>
    </row>
    <row r="142" spans="33:52" ph="1">
      <c r="AJ142" s="64" t="s" ph="1">
        <v>580</v>
      </c>
      <c r="AK142" s="64" t="s" ph="1">
        <v>283</v>
      </c>
    </row>
    <row r="143" spans="33:52" ph="1">
      <c r="AH143" s="64" ph="1">
        <v>4</v>
      </c>
      <c r="AI143" s="64" t="s" ph="1">
        <v>581</v>
      </c>
      <c r="AJ143" s="64" t="s" ph="1">
        <v>561</v>
      </c>
      <c r="AK143" s="64" t="s" ph="1">
        <v>582</v>
      </c>
      <c r="AY143" s="64" t="s" ph="1">
        <v>260</v>
      </c>
      <c r="AZ143" s="64" t="s" ph="1">
        <v>582</v>
      </c>
    </row>
    <row r="144" spans="33:52" ph="1">
      <c r="AH144" s="64" ph="1">
        <v>5</v>
      </c>
      <c r="AI144" s="64" t="s" ph="1">
        <v>583</v>
      </c>
      <c r="AY144" s="64" t="s" ph="1">
        <v>260</v>
      </c>
      <c r="AZ144" s="64" t="s" ph="1">
        <v>411</v>
      </c>
    </row>
    <row r="145" spans="33:52" ph="1">
      <c r="AH145" s="64" ph="1">
        <v>6</v>
      </c>
      <c r="AI145" s="64" t="s" ph="1">
        <v>584</v>
      </c>
      <c r="AY145" s="64" t="s" ph="1">
        <v>260</v>
      </c>
      <c r="AZ145" s="64" t="s" ph="1">
        <v>411</v>
      </c>
    </row>
    <row r="146" spans="33:52" ph="1">
      <c r="AH146" s="64" ph="1">
        <v>7</v>
      </c>
      <c r="AI146" s="64" t="s" ph="1">
        <v>585</v>
      </c>
      <c r="AY146" s="64" t="s" ph="1">
        <v>260</v>
      </c>
      <c r="AZ146" s="64" t="s" ph="1">
        <v>411</v>
      </c>
    </row>
    <row r="147" spans="33:52" ph="1">
      <c r="AH147" s="64" ph="1">
        <v>8</v>
      </c>
      <c r="AI147" s="64" t="s" ph="1">
        <v>586</v>
      </c>
      <c r="AY147" s="64" t="s" ph="1">
        <v>260</v>
      </c>
      <c r="AZ147" s="64" t="s" ph="1">
        <v>411</v>
      </c>
    </row>
    <row r="148" spans="33:52" ph="1">
      <c r="AH148" s="64" ph="1">
        <v>9</v>
      </c>
      <c r="AI148" s="64" t="s" ph="1">
        <v>587</v>
      </c>
      <c r="AY148" s="64" t="s" ph="1">
        <v>260</v>
      </c>
      <c r="AZ148" s="64" t="s" ph="1">
        <v>411</v>
      </c>
    </row>
    <row r="149" spans="33:52" ph="1">
      <c r="AH149" s="64" ph="1">
        <v>10</v>
      </c>
      <c r="AI149" s="64" t="s" ph="1">
        <v>588</v>
      </c>
      <c r="AY149" s="64" t="s" ph="1">
        <v>260</v>
      </c>
      <c r="AZ149" s="64" t="s" ph="1">
        <v>411</v>
      </c>
    </row>
    <row r="150" spans="33:52" ph="1">
      <c r="AH150" s="64" ph="1">
        <v>11</v>
      </c>
      <c r="AI150" s="64" t="s" ph="1">
        <v>589</v>
      </c>
      <c r="AY150" s="64" t="s" ph="1">
        <v>260</v>
      </c>
      <c r="AZ150" s="64" t="s" ph="1">
        <v>411</v>
      </c>
    </row>
    <row r="151" spans="33:52" ph="1">
      <c r="AH151" s="64" ph="1">
        <v>12</v>
      </c>
      <c r="AI151" s="64" t="s" ph="1">
        <v>590</v>
      </c>
      <c r="AY151" s="64" t="s" ph="1">
        <v>260</v>
      </c>
      <c r="AZ151" s="64" t="s" ph="1">
        <v>411</v>
      </c>
    </row>
    <row r="152" spans="33:52" ph="1">
      <c r="AH152" s="64" ph="1">
        <v>13</v>
      </c>
      <c r="AI152" s="64" t="s" ph="1">
        <v>591</v>
      </c>
      <c r="AY152" s="64" t="s" ph="1">
        <v>260</v>
      </c>
      <c r="AZ152" s="64" t="s" ph="1">
        <v>411</v>
      </c>
    </row>
    <row r="153" spans="33:52" ph="1">
      <c r="AH153" s="64" ph="1">
        <v>14</v>
      </c>
      <c r="AI153" s="64" t="s" ph="1">
        <v>592</v>
      </c>
      <c r="AY153" s="64" t="s" ph="1">
        <v>260</v>
      </c>
      <c r="AZ153" s="64" t="s" ph="1">
        <v>411</v>
      </c>
    </row>
    <row r="154" spans="33:52" ph="1">
      <c r="AH154" s="64" ph="1">
        <v>15</v>
      </c>
      <c r="AI154" s="64" t="s" ph="1">
        <v>593</v>
      </c>
      <c r="AY154" s="64" t="s" ph="1">
        <v>260</v>
      </c>
      <c r="AZ154" s="64" t="s" ph="1">
        <v>411</v>
      </c>
    </row>
    <row r="155" spans="33:52" ph="1">
      <c r="AH155" s="64" ph="1">
        <v>16</v>
      </c>
      <c r="AI155" s="64" t="s" ph="1">
        <v>594</v>
      </c>
      <c r="AJ155" s="64" t="s" ph="1">
        <v>380</v>
      </c>
      <c r="AK155" s="64" t="s" ph="1">
        <v>275</v>
      </c>
      <c r="AM155" s="64" t="s" ph="1">
        <v>614</v>
      </c>
      <c r="AN155" s="64" t="s" ph="1">
        <v>326</v>
      </c>
      <c r="AO155" s="64" t="s" ph="1">
        <v>579</v>
      </c>
      <c r="AY155" s="64" t="s" ph="1">
        <v>260</v>
      </c>
      <c r="AZ155" s="64" t="s" ph="1">
        <v>267</v>
      </c>
    </row>
    <row r="156" spans="33:52" ph="1">
      <c r="AZ156" s="64" t="s" ph="1">
        <v>646</v>
      </c>
    </row>
    <row r="157" spans="33:52" ph="1">
      <c r="AG157" s="64" t="s" ph="1">
        <v>595</v>
      </c>
      <c r="AI157" s="64" t="s" ph="1">
        <v>253</v>
      </c>
      <c r="AJ157" s="64" t="s" ph="1">
        <v>254</v>
      </c>
      <c r="AK157" s="64" t="s" ph="1">
        <v>255</v>
      </c>
      <c r="AM157" s="64" t="s" ph="1">
        <v>254</v>
      </c>
      <c r="AN157" s="64" t="s" ph="1">
        <v>255</v>
      </c>
      <c r="AO157" s="64" t="s" ph="1">
        <v>256</v>
      </c>
      <c r="AP157" s="64" t="s" ph="1">
        <v>254</v>
      </c>
      <c r="AQ157" s="64" t="s" ph="1">
        <v>255</v>
      </c>
      <c r="AR157" s="64" t="s" ph="1">
        <v>256</v>
      </c>
      <c r="AS157" s="64" t="s" ph="1">
        <v>254</v>
      </c>
      <c r="AT157" s="64" t="s" ph="1">
        <v>255</v>
      </c>
      <c r="AU157" s="64" t="s" ph="1">
        <v>256</v>
      </c>
      <c r="AV157" s="64" t="s" ph="1">
        <v>254</v>
      </c>
      <c r="AW157" s="64" t="s" ph="1">
        <v>255</v>
      </c>
      <c r="AX157" s="64" t="s" ph="1">
        <v>256</v>
      </c>
      <c r="AY157" s="64" t="s" ph="1">
        <v>255</v>
      </c>
      <c r="AZ157" s="64" t="s" ph="1">
        <v>257</v>
      </c>
    </row>
    <row r="158" spans="33:52" ph="1">
      <c r="AH158" s="64" ph="1">
        <v>1</v>
      </c>
      <c r="AI158" s="64" t="s" ph="1">
        <v>596</v>
      </c>
      <c r="AY158" s="64" t="s" ph="1">
        <v>260</v>
      </c>
      <c r="AZ158" s="64" t="s" ph="1">
        <v>411</v>
      </c>
    </row>
    <row r="159" spans="33:52" ph="1">
      <c r="AH159" s="64" ph="1">
        <v>2</v>
      </c>
      <c r="AI159" s="64" t="s" ph="1">
        <v>597</v>
      </c>
      <c r="AY159" s="64" t="s" ph="1">
        <v>260</v>
      </c>
      <c r="AZ159" s="64" t="s" ph="1">
        <v>411</v>
      </c>
    </row>
    <row r="160" spans="33:52" ph="1">
      <c r="AZ160" s="64" t="s" ph="1">
        <v>429</v>
      </c>
    </row>
    <row r="161" spans="33:52" ph="1">
      <c r="AG161" s="64" t="s" ph="1">
        <v>405</v>
      </c>
      <c r="AI161" s="64" t="s" ph="1">
        <v>253</v>
      </c>
      <c r="AJ161" s="64" t="s" ph="1">
        <v>254</v>
      </c>
      <c r="AK161" s="64" t="s" ph="1">
        <v>255</v>
      </c>
      <c r="AM161" s="64" t="s" ph="1">
        <v>254</v>
      </c>
      <c r="AN161" s="64" t="s" ph="1">
        <v>255</v>
      </c>
      <c r="AO161" s="64" t="s" ph="1">
        <v>256</v>
      </c>
      <c r="AP161" s="64" t="s" ph="1">
        <v>254</v>
      </c>
      <c r="AQ161" s="64" t="s" ph="1">
        <v>255</v>
      </c>
      <c r="AR161" s="64" t="s" ph="1">
        <v>256</v>
      </c>
      <c r="AS161" s="64" t="s" ph="1">
        <v>254</v>
      </c>
      <c r="AT161" s="64" t="s" ph="1">
        <v>255</v>
      </c>
      <c r="AU161" s="64" t="s" ph="1">
        <v>256</v>
      </c>
      <c r="AV161" s="64" t="s" ph="1">
        <v>254</v>
      </c>
      <c r="AW161" s="64" t="s" ph="1">
        <v>255</v>
      </c>
      <c r="AX161" s="64" t="s" ph="1">
        <v>256</v>
      </c>
      <c r="AY161" s="64" t="s" ph="1">
        <v>255</v>
      </c>
      <c r="AZ161" s="64" t="s" ph="1">
        <v>257</v>
      </c>
    </row>
    <row r="162" spans="33:52" ph="1">
      <c r="AH162" s="64" ph="1">
        <v>1</v>
      </c>
      <c r="AI162" s="64" t="s" ph="1">
        <v>598</v>
      </c>
      <c r="AJ162" s="64" t="s" ph="1">
        <v>599</v>
      </c>
      <c r="AK162" s="64" t="s" ph="1">
        <v>543</v>
      </c>
      <c r="AM162" s="64" t="s" ph="1">
        <v>600</v>
      </c>
      <c r="AN162" s="64" t="s" ph="1">
        <v>264</v>
      </c>
      <c r="AO162" s="64" t="s" ph="1">
        <v>601</v>
      </c>
      <c r="AY162" s="64" t="s" ph="1">
        <v>260</v>
      </c>
      <c r="AZ162" s="64" t="s" ph="1">
        <v>336</v>
      </c>
    </row>
    <row r="163" spans="33:52" ph="1">
      <c r="AH163" s="64" ph="1">
        <v>2</v>
      </c>
      <c r="AI163" s="64" t="s" ph="1">
        <v>602</v>
      </c>
      <c r="AJ163" s="64" t="s" ph="1">
        <v>599</v>
      </c>
      <c r="AK163" s="64" t="s" ph="1">
        <v>432</v>
      </c>
      <c r="AY163" s="64" t="s" ph="1">
        <v>260</v>
      </c>
      <c r="AZ163" s="64" t="s" ph="1">
        <v>432</v>
      </c>
    </row>
    <row r="164" spans="33:52" ph="1">
      <c r="AH164" s="64" ph="1">
        <v>3</v>
      </c>
      <c r="AI164" s="64" t="s" ph="1">
        <v>603</v>
      </c>
      <c r="AJ164" s="64" t="s" ph="1">
        <v>599</v>
      </c>
      <c r="AK164" s="64" t="s" ph="1">
        <v>336</v>
      </c>
      <c r="AY164" s="64" t="s" ph="1">
        <v>260</v>
      </c>
      <c r="AZ164" s="64" t="s" ph="1">
        <v>336</v>
      </c>
    </row>
    <row r="165" spans="33:52" ph="1">
      <c r="AH165" s="64" ph="1">
        <v>4</v>
      </c>
      <c r="AI165" s="64" t="s" ph="1">
        <v>604</v>
      </c>
      <c r="AY165" s="64" t="s" ph="1">
        <v>260</v>
      </c>
      <c r="AZ165" s="64" t="s" ph="1">
        <v>411</v>
      </c>
    </row>
    <row r="166" spans="33:52" ph="1">
      <c r="AH166" s="64" ph="1">
        <v>5</v>
      </c>
      <c r="AI166" s="64" t="s" ph="1">
        <v>605</v>
      </c>
      <c r="AY166" s="64" t="s" ph="1">
        <v>260</v>
      </c>
      <c r="AZ166" s="64" t="s" ph="1">
        <v>411</v>
      </c>
    </row>
    <row r="167" spans="33:52" ph="1">
      <c r="AZ167" s="64" t="s" ph="1">
        <v>606</v>
      </c>
    </row>
    <row r="168" spans="33:52" ph="1">
      <c r="AG168" s="64" t="s" ph="1">
        <v>349</v>
      </c>
      <c r="AI168" s="64" t="s" ph="1">
        <v>253</v>
      </c>
      <c r="AJ168" s="64" t="s" ph="1">
        <v>254</v>
      </c>
      <c r="AK168" s="64" t="s" ph="1">
        <v>255</v>
      </c>
      <c r="AM168" s="64" t="s" ph="1">
        <v>254</v>
      </c>
      <c r="AN168" s="64" t="s" ph="1">
        <v>255</v>
      </c>
      <c r="AO168" s="64" t="s" ph="1">
        <v>256</v>
      </c>
      <c r="AP168" s="64" t="s" ph="1">
        <v>254</v>
      </c>
      <c r="AQ168" s="64" t="s" ph="1">
        <v>255</v>
      </c>
      <c r="AR168" s="64" t="s" ph="1">
        <v>256</v>
      </c>
      <c r="AS168" s="64" t="s" ph="1">
        <v>254</v>
      </c>
      <c r="AT168" s="64" t="s" ph="1">
        <v>255</v>
      </c>
      <c r="AU168" s="64" t="s" ph="1">
        <v>256</v>
      </c>
      <c r="AV168" s="64" t="s" ph="1">
        <v>254</v>
      </c>
      <c r="AW168" s="64" t="s" ph="1">
        <v>255</v>
      </c>
      <c r="AX168" s="64" t="s" ph="1">
        <v>256</v>
      </c>
      <c r="AY168" s="64" t="s" ph="1">
        <v>255</v>
      </c>
      <c r="AZ168" s="64" t="s" ph="1">
        <v>257</v>
      </c>
    </row>
    <row r="169" spans="33:52" ph="1">
      <c r="AH169" s="64" ph="1">
        <v>1</v>
      </c>
      <c r="AI169" s="64" t="s" ph="1">
        <v>607</v>
      </c>
      <c r="AY169" s="64" t="s" ph="1">
        <v>260</v>
      </c>
      <c r="AZ169" s="64" t="s" ph="1">
        <v>411</v>
      </c>
    </row>
    <row r="170" spans="33:52" ph="1">
      <c r="AH170" s="64" ph="1">
        <v>2</v>
      </c>
      <c r="AI170" s="64" t="s" ph="1">
        <v>608</v>
      </c>
      <c r="AY170" s="64" t="s" ph="1">
        <v>260</v>
      </c>
      <c r="AZ170" s="64" t="s" ph="1">
        <v>411</v>
      </c>
    </row>
    <row r="171" spans="33:52" ph="1">
      <c r="AH171" s="64" ph="1">
        <v>3</v>
      </c>
      <c r="AI171" s="64" t="s" ph="1">
        <v>609</v>
      </c>
      <c r="AY171" s="64" t="s" ph="1">
        <v>260</v>
      </c>
      <c r="AZ171" s="64" t="s" ph="1">
        <v>411</v>
      </c>
    </row>
    <row r="172" spans="33:52" ph="1">
      <c r="AH172" s="64" ph="1">
        <v>4</v>
      </c>
      <c r="AI172" s="64" t="s" ph="1">
        <v>610</v>
      </c>
      <c r="AY172" s="64" t="s" ph="1">
        <v>260</v>
      </c>
      <c r="AZ172" s="64" t="s" ph="1">
        <v>411</v>
      </c>
    </row>
    <row r="173" spans="33:52" ph="1">
      <c r="AH173" s="64" ph="1">
        <v>5</v>
      </c>
      <c r="AI173" s="64" t="s" ph="1">
        <v>611</v>
      </c>
      <c r="AY173" s="64" t="s" ph="1">
        <v>260</v>
      </c>
      <c r="AZ173" s="64" t="s" ph="1">
        <v>411</v>
      </c>
    </row>
    <row r="174" spans="33:52" ph="1">
      <c r="AZ174" s="64" t="s" ph="1">
        <v>429</v>
      </c>
    </row>
    <row r="175" spans="33:52" ph="1">
      <c r="AJ175" s="64" t="s" ph="1">
        <v>350</v>
      </c>
    </row>
    <row r="176" spans="33:52" ph="1">
      <c r="AJ176" s="64" t="s" ph="1">
        <v>351</v>
      </c>
      <c r="AK176" s="64" t="s" ph="1">
        <v>352</v>
      </c>
      <c r="AM176" s="64" t="s" ph="1">
        <v>353</v>
      </c>
      <c r="AO176" s="64" t="s" ph="1">
        <v>354</v>
      </c>
      <c r="AP176" s="64" t="s" ph="1">
        <v>355</v>
      </c>
      <c r="AQ176" s="64" t="s" ph="1">
        <v>345</v>
      </c>
      <c r="AR176" s="64" t="s" ph="1">
        <v>265</v>
      </c>
    </row>
    <row r="177" spans="36:56" ph="1">
      <c r="AJ177" s="64" t="s" ph="1">
        <v>647</v>
      </c>
      <c r="AK177" s="64" t="s" ph="1">
        <v>356</v>
      </c>
      <c r="AO177" s="64" t="s" ph="1">
        <v>356</v>
      </c>
      <c r="AP177" s="64" t="s" ph="1">
        <v>356</v>
      </c>
      <c r="AQ177" s="64" t="s" ph="1">
        <v>357</v>
      </c>
      <c r="AR177" s="64" t="s" ph="1">
        <v>358</v>
      </c>
    </row>
    <row r="179" spans="36:56" ph="1">
      <c r="AJ179" s="64" t="s" ph="1">
        <v>359</v>
      </c>
      <c r="AK179" s="64" t="s" ph="1">
        <v>360</v>
      </c>
      <c r="AM179" s="64" t="s" ph="1">
        <v>361</v>
      </c>
      <c r="AN179" s="64" t="s" ph="1">
        <v>337</v>
      </c>
      <c r="AO179" s="64" t="s" ph="1">
        <v>362</v>
      </c>
      <c r="AP179" s="64" t="s" ph="1">
        <v>341</v>
      </c>
      <c r="AQ179" s="64" t="s" ph="1">
        <v>363</v>
      </c>
      <c r="AR179" s="64" t="s" ph="1">
        <v>364</v>
      </c>
    </row>
    <row r="180" spans="36:56" ph="1">
      <c r="AJ180" s="64" t="s" ph="1">
        <v>356</v>
      </c>
      <c r="AK180" s="64" t="s" ph="1">
        <v>356</v>
      </c>
      <c r="AL180" s="64" ph="1">
        <v>116</v>
      </c>
      <c r="AM180" s="64" t="s" ph="1">
        <v>356</v>
      </c>
      <c r="AN180" s="64" t="s" ph="1">
        <v>365</v>
      </c>
      <c r="AO180" s="64" t="s" ph="1">
        <v>356</v>
      </c>
      <c r="AP180" s="64" t="s" ph="1">
        <v>366</v>
      </c>
      <c r="AQ180" s="64" t="s" ph="1">
        <v>367</v>
      </c>
      <c r="AR180" s="64" t="s" ph="1">
        <v>368</v>
      </c>
    </row>
    <row r="189" spans="36:56" ph="1">
      <c r="BD189" s="64" t="s" ph="1">
        <v>612</v>
      </c>
    </row>
    <row r="223" spans="18:18" ph="1">
      <c r="R223" s="138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463" priority="92">
      <formula>ABS(D$7-D$10)&gt;=1000</formula>
    </cfRule>
  </conditionalFormatting>
  <conditionalFormatting sqref="E4 E6:E11">
    <cfRule type="expression" dxfId="1462" priority="91">
      <formula>ABS(E$7-E$10)&gt;=1000</formula>
    </cfRule>
  </conditionalFormatting>
  <conditionalFormatting sqref="F4:F11">
    <cfRule type="expression" dxfId="1461" priority="90">
      <formula>ABS(F$7-F$10)&gt;=1000</formula>
    </cfRule>
  </conditionalFormatting>
  <conditionalFormatting sqref="G4:G11">
    <cfRule type="expression" dxfId="1460" priority="89">
      <formula>ABS(G$7-G$10)&gt;=1000</formula>
    </cfRule>
  </conditionalFormatting>
  <conditionalFormatting sqref="H4:H11">
    <cfRule type="expression" dxfId="1459" priority="88">
      <formula>ABS(H$7-H$10)&gt;=1000</formula>
    </cfRule>
  </conditionalFormatting>
  <conditionalFormatting sqref="I4:I11">
    <cfRule type="expression" dxfId="1458" priority="87">
      <formula>ABS(I$7-I$10)&gt;=1000</formula>
    </cfRule>
  </conditionalFormatting>
  <conditionalFormatting sqref="J4:J11">
    <cfRule type="expression" dxfId="1457" priority="86">
      <formula>ABS(J$7-J$10)&gt;=1000</formula>
    </cfRule>
  </conditionalFormatting>
  <conditionalFormatting sqref="K4:K11">
    <cfRule type="expression" dxfId="1456" priority="85">
      <formula>ABS(K$7-K$10)&gt;=1000</formula>
    </cfRule>
  </conditionalFormatting>
  <conditionalFormatting sqref="L4:L11">
    <cfRule type="expression" dxfId="1455" priority="84">
      <formula>ABS(L$7-L$10)&gt;=1000</formula>
    </cfRule>
  </conditionalFormatting>
  <conditionalFormatting sqref="M4:M11">
    <cfRule type="expression" dxfId="1454" priority="83">
      <formula>ABS(M$7-M$10)&gt;=1000</formula>
    </cfRule>
  </conditionalFormatting>
  <conditionalFormatting sqref="N4:N11">
    <cfRule type="expression" dxfId="1453" priority="82">
      <formula>ABS(N$7-N$10)&gt;=1000</formula>
    </cfRule>
  </conditionalFormatting>
  <conditionalFormatting sqref="O4:O11">
    <cfRule type="expression" dxfId="1452" priority="81">
      <formula>ABS(O$7-O$10)&gt;=1000</formula>
    </cfRule>
  </conditionalFormatting>
  <conditionalFormatting sqref="P4:P11">
    <cfRule type="expression" dxfId="1451" priority="80">
      <formula>ABS(P$7-P$10)&gt;=1000</formula>
    </cfRule>
  </conditionalFormatting>
  <conditionalFormatting sqref="Q4:Q11">
    <cfRule type="expression" dxfId="1450" priority="79">
      <formula>ABS(Q$7-Q$10)&gt;=1000</formula>
    </cfRule>
  </conditionalFormatting>
  <conditionalFormatting sqref="R4:R11">
    <cfRule type="expression" dxfId="1449" priority="78">
      <formula>ABS(R$7-R$10)&gt;=1000</formula>
    </cfRule>
  </conditionalFormatting>
  <conditionalFormatting sqref="S4:S11">
    <cfRule type="expression" dxfId="1448" priority="77">
      <formula>ABS(S$7-S$10)&gt;=1000</formula>
    </cfRule>
  </conditionalFormatting>
  <conditionalFormatting sqref="T4:T9 T11">
    <cfRule type="expression" dxfId="1447" priority="76">
      <formula>ABS(T$7-T$10)&gt;=1000</formula>
    </cfRule>
  </conditionalFormatting>
  <conditionalFormatting sqref="U4:U9 U11">
    <cfRule type="expression" dxfId="1446" priority="75">
      <formula>ABS(U$7-U$10)&gt;=1000</formula>
    </cfRule>
  </conditionalFormatting>
  <conditionalFormatting sqref="V4:V9 V11">
    <cfRule type="expression" dxfId="1445" priority="74">
      <formula>ABS(V$7-V$10)&gt;=1000</formula>
    </cfRule>
  </conditionalFormatting>
  <conditionalFormatting sqref="W4:W9 W11">
    <cfRule type="expression" dxfId="1444" priority="73">
      <formula>ABS(W$7-W$10)&gt;=1000</formula>
    </cfRule>
  </conditionalFormatting>
  <conditionalFormatting sqref="X4:X9 X11">
    <cfRule type="expression" dxfId="1443" priority="72">
      <formula>ABS(X$7-X$10)&gt;=1000</formula>
    </cfRule>
  </conditionalFormatting>
  <conditionalFormatting sqref="Y4:Y9 Y11">
    <cfRule type="expression" dxfId="1442" priority="71">
      <formula>ABS(Y$7-Y$10)&gt;=1000</formula>
    </cfRule>
  </conditionalFormatting>
  <conditionalFormatting sqref="Z4:Z11">
    <cfRule type="expression" dxfId="1441" priority="70">
      <formula>ABS(Z$7-Z$10)&gt;=1000</formula>
    </cfRule>
  </conditionalFormatting>
  <conditionalFormatting sqref="AA4:AA11">
    <cfRule type="expression" dxfId="1440" priority="69">
      <formula>ABS(AA$7-AA$10)&gt;=1000</formula>
    </cfRule>
  </conditionalFormatting>
  <conditionalFormatting sqref="AB4:AB11">
    <cfRule type="expression" dxfId="1439" priority="68">
      <formula>ABS(AB$7-AB$10)&gt;=1000</formula>
    </cfRule>
  </conditionalFormatting>
  <conditionalFormatting sqref="AC4 AC6:AC11">
    <cfRule type="expression" dxfId="1438" priority="67">
      <formula>ABS(AC$7-AC$10)&gt;=1000</formula>
    </cfRule>
  </conditionalFormatting>
  <conditionalFormatting sqref="AD4:AD11">
    <cfRule type="expression" dxfId="1437" priority="66">
      <formula>ABS(AD$7-AD$10)&gt;=1000</formula>
    </cfRule>
  </conditionalFormatting>
  <conditionalFormatting sqref="AE4:AE11">
    <cfRule type="expression" dxfId="1436" priority="65">
      <formula>ABS(AE$7-AE$10)&gt;=1000</formula>
    </cfRule>
  </conditionalFormatting>
  <conditionalFormatting sqref="D13:D20">
    <cfRule type="expression" dxfId="1435" priority="64">
      <formula>ABS(D$16-D$19)&gt;=1000</formula>
    </cfRule>
  </conditionalFormatting>
  <conditionalFormatting sqref="E13:E20">
    <cfRule type="expression" dxfId="1434" priority="63">
      <formula>ABS(E$16-E$19)&gt;=1000</formula>
    </cfRule>
  </conditionalFormatting>
  <conditionalFormatting sqref="F13 F15:F20">
    <cfRule type="expression" dxfId="1433" priority="62">
      <formula>ABS(F$16-F$19)&gt;=1000</formula>
    </cfRule>
  </conditionalFormatting>
  <conditionalFormatting sqref="G13:G20">
    <cfRule type="expression" dxfId="1432" priority="61">
      <formula>ABS(G$16-G$19)&gt;=1000</formula>
    </cfRule>
  </conditionalFormatting>
  <conditionalFormatting sqref="H13:H20">
    <cfRule type="expression" dxfId="1431" priority="60">
      <formula>ABS(H$16-H$19)&gt;=1000</formula>
    </cfRule>
  </conditionalFormatting>
  <conditionalFormatting sqref="I13:I20">
    <cfRule type="expression" dxfId="1430" priority="59">
      <formula>ABS(I$16-I$19)&gt;=1000</formula>
    </cfRule>
  </conditionalFormatting>
  <conditionalFormatting sqref="J13:J20">
    <cfRule type="expression" dxfId="1429" priority="58">
      <formula>ABS(J$16-J$19)&gt;=1000</formula>
    </cfRule>
  </conditionalFormatting>
  <conditionalFormatting sqref="L13:L20">
    <cfRule type="expression" dxfId="1428" priority="57">
      <formula>ABS(L$16-L$19)&gt;=1000</formula>
    </cfRule>
  </conditionalFormatting>
  <conditionalFormatting sqref="M13 M15 M17:M18 M20">
    <cfRule type="expression" dxfId="1427" priority="56">
      <formula>ABS(M$16-M$19)&gt;=1000</formula>
    </cfRule>
  </conditionalFormatting>
  <conditionalFormatting sqref="N13:N20">
    <cfRule type="expression" dxfId="1426" priority="55">
      <formula>ABS(N$16-N$19)&gt;=1000</formula>
    </cfRule>
  </conditionalFormatting>
  <conditionalFormatting sqref="O13:O20">
    <cfRule type="expression" dxfId="1425" priority="54">
      <formula>ABS(O$16-O$19)&gt;=1000</formula>
    </cfRule>
  </conditionalFormatting>
  <conditionalFormatting sqref="P13:P20">
    <cfRule type="expression" dxfId="1424" priority="53">
      <formula>ABS(P$16-P$19)&gt;=1000</formula>
    </cfRule>
  </conditionalFormatting>
  <conditionalFormatting sqref="Q13 Q15:Q20">
    <cfRule type="expression" dxfId="1423" priority="52">
      <formula>ABS(Q$16-Q$19)&gt;=1000</formula>
    </cfRule>
  </conditionalFormatting>
  <conditionalFormatting sqref="R13:R20">
    <cfRule type="expression" dxfId="1422" priority="51">
      <formula>ABS(R$16-R$19)&gt;=1000</formula>
    </cfRule>
  </conditionalFormatting>
  <conditionalFormatting sqref="S13:S20">
    <cfRule type="expression" dxfId="1421" priority="50">
      <formula>ABS(S$16-S$19)&gt;=1000</formula>
    </cfRule>
  </conditionalFormatting>
  <conditionalFormatting sqref="T13:T20">
    <cfRule type="expression" dxfId="1420" priority="49">
      <formula>ABS(T$16-T$19)&gt;=1000</formula>
    </cfRule>
  </conditionalFormatting>
  <conditionalFormatting sqref="U13:U20">
    <cfRule type="expression" dxfId="1419" priority="48">
      <formula>ABS(U$16-U$19)&gt;=1000</formula>
    </cfRule>
  </conditionalFormatting>
  <conditionalFormatting sqref="V13:V20">
    <cfRule type="expression" dxfId="1418" priority="47">
      <formula>ABS(V$16-V$19)&gt;=1000</formula>
    </cfRule>
  </conditionalFormatting>
  <conditionalFormatting sqref="W13 W15:W18 W20">
    <cfRule type="expression" dxfId="1417" priority="46">
      <formula>ABS(W$16-W$19)&gt;=1000</formula>
    </cfRule>
  </conditionalFormatting>
  <conditionalFormatting sqref="X13 X15:X20 Y19">
    <cfRule type="expression" dxfId="1416" priority="45">
      <formula>ABS(X$16-X$19)&gt;=1000</formula>
    </cfRule>
  </conditionalFormatting>
  <conditionalFormatting sqref="Y13 Y15:Y18 Y20">
    <cfRule type="expression" dxfId="1415" priority="44">
      <formula>ABS(Y$16-Y$19)&gt;=1000</formula>
    </cfRule>
  </conditionalFormatting>
  <conditionalFormatting sqref="Z13:Z20">
    <cfRule type="expression" dxfId="1414" priority="43">
      <formula>ABS(Z$16-Z$19)&gt;=1000</formula>
    </cfRule>
  </conditionalFormatting>
  <conditionalFormatting sqref="AA13:AA20">
    <cfRule type="expression" dxfId="1413" priority="42">
      <formula>ABS(AA$16-AA$19)&gt;=1000</formula>
    </cfRule>
  </conditionalFormatting>
  <conditionalFormatting sqref="AB13 AB15:AB20">
    <cfRule type="expression" dxfId="1412" priority="41">
      <formula>ABS(AB$16-AB$19)&gt;=1000</formula>
    </cfRule>
  </conditionalFormatting>
  <conditionalFormatting sqref="AC13 AC15:AC20">
    <cfRule type="expression" dxfId="1411" priority="40">
      <formula>ABS(AC$16-AC$19)&gt;=1000</formula>
    </cfRule>
  </conditionalFormatting>
  <conditionalFormatting sqref="AD13:AD20">
    <cfRule type="expression" dxfId="1410" priority="39">
      <formula>ABS(AD$16-AD$19)&gt;=1000</formula>
    </cfRule>
  </conditionalFormatting>
  <conditionalFormatting sqref="AE13:AE20">
    <cfRule type="expression" dxfId="1409" priority="38">
      <formula>ABS(AE$16-AE$19)&gt;=1000</formula>
    </cfRule>
  </conditionalFormatting>
  <conditionalFormatting sqref="D22:D29">
    <cfRule type="expression" dxfId="1408" priority="37">
      <formula>ABS(D$25-D$28)&gt;=1000</formula>
    </cfRule>
  </conditionalFormatting>
  <conditionalFormatting sqref="E22:E29">
    <cfRule type="expression" dxfId="1407" priority="36">
      <formula>ABS(E$25-E$28)&gt;=1000</formula>
    </cfRule>
  </conditionalFormatting>
  <conditionalFormatting sqref="F22:F29">
    <cfRule type="expression" dxfId="1406" priority="35">
      <formula>ABS(F$25-F$28)&gt;=1000</formula>
    </cfRule>
  </conditionalFormatting>
  <conditionalFormatting sqref="G22:G29">
    <cfRule type="expression" dxfId="1405" priority="34">
      <formula>ABS(G$25-G$28)&gt;=1000</formula>
    </cfRule>
  </conditionalFormatting>
  <conditionalFormatting sqref="H22:H29">
    <cfRule type="expression" dxfId="1404" priority="33">
      <formula>ABS(H$25-H$28)&gt;=1000</formula>
    </cfRule>
  </conditionalFormatting>
  <conditionalFormatting sqref="I22 I24:I29">
    <cfRule type="expression" dxfId="1403" priority="32">
      <formula>ABS(I$25-I$28)&gt;=1000</formula>
    </cfRule>
  </conditionalFormatting>
  <conditionalFormatting sqref="J22:J29 K22">
    <cfRule type="expression" dxfId="1402" priority="31">
      <formula>ABS(J$25-J$28)&gt;=1000</formula>
    </cfRule>
  </conditionalFormatting>
  <conditionalFormatting sqref="K23:K29 L25 L28">
    <cfRule type="expression" dxfId="1401" priority="30">
      <formula>ABS(K$25-K$28)&gt;=1000</formula>
    </cfRule>
  </conditionalFormatting>
  <conditionalFormatting sqref="L22:L24 L26:L27 L29">
    <cfRule type="expression" dxfId="1400" priority="29">
      <formula>ABS(L$25-L$28)&gt;=1000</formula>
    </cfRule>
  </conditionalFormatting>
  <conditionalFormatting sqref="M22:M29">
    <cfRule type="expression" dxfId="1399" priority="28">
      <formula>ABS(M$25-M$28)&gt;=1000</formula>
    </cfRule>
  </conditionalFormatting>
  <conditionalFormatting sqref="N22:N29">
    <cfRule type="expression" dxfId="1398" priority="27">
      <formula>ABS(N$25-N$28)&gt;=1000</formula>
    </cfRule>
  </conditionalFormatting>
  <conditionalFormatting sqref="O22:O29">
    <cfRule type="expression" dxfId="1397" priority="26">
      <formula>ABS(O$25-O$28)&gt;=1000</formula>
    </cfRule>
  </conditionalFormatting>
  <conditionalFormatting sqref="P22:P29">
    <cfRule type="expression" dxfId="1396" priority="25">
      <formula>ABS(P$25-P$28)&gt;=1000</formula>
    </cfRule>
  </conditionalFormatting>
  <conditionalFormatting sqref="Q22:Q29">
    <cfRule type="expression" dxfId="1395" priority="24">
      <formula>ABS(Q$25-Q$28)&gt;=1000</formula>
    </cfRule>
  </conditionalFormatting>
  <conditionalFormatting sqref="R22:R29">
    <cfRule type="expression" dxfId="1394" priority="23">
      <formula>ABS(R$25-R$28)&gt;=1000</formula>
    </cfRule>
  </conditionalFormatting>
  <conditionalFormatting sqref="S22:S29">
    <cfRule type="expression" dxfId="1393" priority="22">
      <formula>ABS(S$25-S$28)&gt;=1000</formula>
    </cfRule>
  </conditionalFormatting>
  <conditionalFormatting sqref="T22:T29">
    <cfRule type="expression" dxfId="1392" priority="21">
      <formula>ABS(T$25-T$28)&gt;=1000</formula>
    </cfRule>
  </conditionalFormatting>
  <conditionalFormatting sqref="U22:U29">
    <cfRule type="expression" dxfId="1391" priority="20">
      <formula>ABS(U$25-U$28)&gt;=1000</formula>
    </cfRule>
  </conditionalFormatting>
  <conditionalFormatting sqref="V22:V29">
    <cfRule type="expression" dxfId="1390" priority="19">
      <formula>ABS(V$25-V$28)&gt;=1000</formula>
    </cfRule>
  </conditionalFormatting>
  <conditionalFormatting sqref="W22:W29">
    <cfRule type="expression" dxfId="1389" priority="18">
      <formula>ABS(W$25-W$28)&gt;=1000</formula>
    </cfRule>
  </conditionalFormatting>
  <conditionalFormatting sqref="X22:X29">
    <cfRule type="expression" dxfId="1388" priority="17">
      <formula>ABS(X$25-X$28)&gt;=1000</formula>
    </cfRule>
  </conditionalFormatting>
  <conditionalFormatting sqref="Y22:Y29">
    <cfRule type="expression" dxfId="1387" priority="16">
      <formula>ABS(Y$25-Y$28)&gt;=1000</formula>
    </cfRule>
  </conditionalFormatting>
  <conditionalFormatting sqref="I23">
    <cfRule type="expression" dxfId="1386" priority="15">
      <formula>ABS(I$25-I$28)&gt;=1000</formula>
    </cfRule>
  </conditionalFormatting>
  <conditionalFormatting sqref="F14">
    <cfRule type="expression" dxfId="1385" priority="14">
      <formula>ABS(F$16-F$19)&gt;=1000</formula>
    </cfRule>
  </conditionalFormatting>
  <conditionalFormatting sqref="Q14">
    <cfRule type="expression" dxfId="1384" priority="13">
      <formula>ABS(Q$16-Q$19)&gt;=1000</formula>
    </cfRule>
  </conditionalFormatting>
  <conditionalFormatting sqref="W14">
    <cfRule type="expression" dxfId="1383" priority="12">
      <formula>ABS(W$16-W$19)&gt;=1000</formula>
    </cfRule>
  </conditionalFormatting>
  <conditionalFormatting sqref="Y14">
    <cfRule type="expression" dxfId="1382" priority="11">
      <formula>ABS(Y$16-Y$19)&gt;=1000</formula>
    </cfRule>
  </conditionalFormatting>
  <conditionalFormatting sqref="X14">
    <cfRule type="expression" dxfId="1381" priority="10">
      <formula>ABS(X$16-X$19)&gt;=1000</formula>
    </cfRule>
  </conditionalFormatting>
  <conditionalFormatting sqref="T10:Y10">
    <cfRule type="expression" dxfId="1380" priority="9">
      <formula>ABS(T$7-T$10)&gt;=1000</formula>
    </cfRule>
  </conditionalFormatting>
  <conditionalFormatting sqref="W19">
    <cfRule type="expression" dxfId="1379" priority="8">
      <formula>ABS(W$16-W$19)&gt;=1000</formula>
    </cfRule>
  </conditionalFormatting>
  <conditionalFormatting sqref="AC5">
    <cfRule type="expression" dxfId="1378" priority="7">
      <formula>ABS(AC$7-AC$10)&gt;=1000</formula>
    </cfRule>
  </conditionalFormatting>
  <conditionalFormatting sqref="M14">
    <cfRule type="expression" dxfId="1377" priority="6">
      <formula>ABS(M$16-M$19)&gt;=1000</formula>
    </cfRule>
  </conditionalFormatting>
  <conditionalFormatting sqref="M16">
    <cfRule type="expression" dxfId="1376" priority="5">
      <formula>ABS(M$16-M$19)&gt;=1000</formula>
    </cfRule>
  </conditionalFormatting>
  <conditionalFormatting sqref="M19">
    <cfRule type="expression" dxfId="1375" priority="4">
      <formula>ABS(M$16-M$19)&gt;=1000</formula>
    </cfRule>
  </conditionalFormatting>
  <conditionalFormatting sqref="K13:K20">
    <cfRule type="expression" dxfId="1374" priority="3">
      <formula>ABS(K$16-K$19)&gt;=1000</formula>
    </cfRule>
  </conditionalFormatting>
  <conditionalFormatting sqref="E5">
    <cfRule type="expression" dxfId="1373" priority="2">
      <formula>ABS(E$7-E$10)&gt;=1000</formula>
    </cfRule>
  </conditionalFormatting>
  <conditionalFormatting sqref="AB14:AC14">
    <cfRule type="expression" dxfId="1372" priority="1">
      <formula>ABS(AB$16-AB$19)&gt;=1000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6748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53">
    <pageSetUpPr fitToPage="1"/>
  </sheetPr>
  <dimension ref="A1:CU223"/>
  <sheetViews>
    <sheetView view="pageBreakPreview" zoomScale="70" zoomScaleNormal="100" zoomScaleSheetLayoutView="70" workbookViewId="0">
      <selection activeCell="Q27" sqref="Q27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36" t="s" ph="1">
        <v>195</v>
      </c>
      <c r="C1" s="236" ph="1"/>
      <c r="D1" s="236" ph="1"/>
      <c r="E1" s="236" ph="1"/>
      <c r="F1" s="236" ph="1"/>
      <c r="G1" s="236" ph="1"/>
      <c r="H1" s="236" ph="1"/>
      <c r="I1" s="236" ph="1"/>
      <c r="J1" s="236" ph="1"/>
      <c r="K1" s="236" ph="1"/>
      <c r="L1" s="236" ph="1"/>
      <c r="M1" s="236" ph="1"/>
      <c r="N1" s="236" ph="1"/>
      <c r="O1" s="236" ph="1"/>
      <c r="P1" s="236" ph="1"/>
      <c r="Q1" s="236" ph="1"/>
      <c r="R1" s="236" ph="1"/>
      <c r="S1" s="236" ph="1"/>
      <c r="T1" s="236" ph="1"/>
      <c r="U1" s="236" ph="1"/>
      <c r="V1" s="236" ph="1"/>
      <c r="W1" s="236" ph="1"/>
      <c r="X1" s="236" ph="1"/>
      <c r="Y1" s="236" ph="1"/>
      <c r="Z1" s="236" ph="1"/>
      <c r="AA1" s="236" ph="1"/>
      <c r="AB1" s="236" ph="1"/>
      <c r="AC1" s="236" ph="1"/>
      <c r="AD1" s="236" ph="1"/>
      <c r="AE1" s="236" ph="1"/>
    </row>
    <row r="2" spans="1:99" s="66" customFormat="1" ht="24" customHeight="1" ph="1">
      <c r="B2" s="237" t="s" ph="1">
        <v>99</v>
      </c>
      <c r="C2" s="237" ph="1"/>
      <c r="D2" s="237" ph="1"/>
      <c r="E2" s="237" ph="1"/>
      <c r="F2" s="237" ph="1"/>
      <c r="G2" s="237" ph="1"/>
      <c r="H2" s="237" ph="1"/>
      <c r="I2" s="237" ph="1"/>
      <c r="J2" s="237" ph="1"/>
      <c r="K2" s="237" ph="1"/>
      <c r="L2" s="237" ph="1"/>
      <c r="M2" s="237" ph="1"/>
      <c r="N2" s="237" ph="1"/>
      <c r="O2" s="237" ph="1"/>
      <c r="P2" s="237" ph="1"/>
      <c r="Q2" s="237" ph="1"/>
      <c r="R2" s="237" ph="1"/>
      <c r="S2" s="237" ph="1"/>
      <c r="T2" s="237" ph="1"/>
      <c r="U2" s="237" ph="1"/>
      <c r="V2" s="237" ph="1"/>
      <c r="W2" s="237" ph="1"/>
      <c r="X2" s="237" ph="1"/>
      <c r="Y2" s="237" ph="1"/>
      <c r="Z2" s="237" ph="1"/>
      <c r="AA2" s="237" ph="1"/>
      <c r="AB2" s="237" ph="1"/>
      <c r="AC2" s="237" ph="1"/>
      <c r="AD2" s="237" ph="1"/>
      <c r="AE2" s="237" ph="1"/>
    </row>
    <row r="3" spans="1:99" ht="21" customHeight="1" ph="1">
      <c r="B3" s="238" ph="1">
        <v>45667</v>
      </c>
      <c r="C3" s="238"/>
      <c r="D3" s="238"/>
      <c r="E3" s="238"/>
      <c r="F3" s="238"/>
      <c r="G3" s="238"/>
      <c r="H3" s="238"/>
      <c r="I3" s="238"/>
      <c r="J3" s="238"/>
      <c r="K3" s="238"/>
      <c r="L3" s="238"/>
      <c r="M3" s="238"/>
      <c r="N3" s="238"/>
      <c r="O3" s="238"/>
      <c r="P3" s="238"/>
      <c r="Q3" s="238"/>
      <c r="R3" s="238"/>
      <c r="S3" s="238"/>
      <c r="T3" s="238"/>
      <c r="U3" s="238"/>
      <c r="V3" s="238"/>
      <c r="W3" s="238"/>
      <c r="X3" s="238"/>
      <c r="Y3" s="238"/>
      <c r="Z3" s="238"/>
      <c r="AA3" s="238"/>
      <c r="AB3" s="238"/>
      <c r="AC3" s="238"/>
      <c r="AD3" s="238"/>
      <c r="AE3" s="238"/>
    </row>
    <row r="4" spans="1:99" s="69" customFormat="1" ph="1">
      <c r="A4" s="65" ph="1"/>
      <c r="B4" s="217" t="s" ph="1">
        <v>37</v>
      </c>
      <c r="C4" s="67" t="s" ph="1">
        <v>210</v>
      </c>
      <c r="D4" s="68" t="s" ph="1">
        <v>45</v>
      </c>
      <c r="E4" s="68" t="s" ph="1">
        <v>46</v>
      </c>
      <c r="F4" s="68" t="s" ph="1">
        <v>39</v>
      </c>
      <c r="G4" s="68" t="s" ph="1">
        <v>47</v>
      </c>
      <c r="H4" s="68" t="s" ph="1">
        <v>48</v>
      </c>
      <c r="I4" s="68" t="s" ph="1">
        <v>133</v>
      </c>
      <c r="J4" s="68" t="s" ph="1">
        <v>49</v>
      </c>
      <c r="K4" s="68" t="s" ph="1">
        <v>134</v>
      </c>
      <c r="L4" s="68" t="s" ph="1">
        <v>135</v>
      </c>
      <c r="M4" s="68" t="s" ph="1">
        <v>50</v>
      </c>
      <c r="N4" s="68" t="s" ph="1">
        <v>51</v>
      </c>
      <c r="O4" s="68" t="s" ph="1">
        <v>137</v>
      </c>
      <c r="P4" s="68" t="s" ph="1">
        <v>139</v>
      </c>
      <c r="Q4" s="68" t="s" ph="1">
        <v>140</v>
      </c>
      <c r="R4" s="68" t="s" ph="1">
        <v>141</v>
      </c>
      <c r="S4" s="68" t="s" ph="1">
        <v>142</v>
      </c>
      <c r="T4" s="68" t="s" ph="1">
        <v>143</v>
      </c>
      <c r="U4" s="68" t="s" ph="1">
        <v>144</v>
      </c>
      <c r="V4" s="68" t="s" ph="1">
        <v>145</v>
      </c>
      <c r="W4" s="68" t="s" ph="1">
        <v>146</v>
      </c>
      <c r="X4" s="68" t="s" ph="1">
        <v>147</v>
      </c>
      <c r="Y4" s="68" t="s" ph="1">
        <v>148</v>
      </c>
      <c r="Z4" s="68" t="s" ph="1">
        <v>52</v>
      </c>
      <c r="AA4" s="68" t="s" ph="1">
        <v>149</v>
      </c>
      <c r="AB4" s="68" t="s" ph="1">
        <v>150</v>
      </c>
      <c r="AC4" s="68" t="s" ph="1">
        <v>151</v>
      </c>
      <c r="AD4" s="68" t="s" ph="1">
        <v>40</v>
      </c>
      <c r="AE4" s="68" t="s" ph="1">
        <v>152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7" ph="1"/>
      <c r="C5" s="67" t="s" ph="1">
        <v>36</v>
      </c>
      <c r="D5" s="70" t="s" ph="1">
        <v>194</v>
      </c>
      <c r="E5" s="70" t="s" ph="1">
        <v>55</v>
      </c>
      <c r="F5" s="70" t="s" ph="1">
        <v>130</v>
      </c>
      <c r="G5" s="70" t="s" ph="1">
        <v>56</v>
      </c>
      <c r="H5" s="70" t="s" ph="1">
        <v>56</v>
      </c>
      <c r="I5" s="70" t="s" ph="1">
        <v>57</v>
      </c>
      <c r="J5" s="70" t="s" ph="1">
        <v>58</v>
      </c>
      <c r="K5" s="70" t="s" ph="1">
        <v>59</v>
      </c>
      <c r="L5" s="70" t="s" ph="1">
        <v>136</v>
      </c>
      <c r="M5" s="70" t="s" ph="1">
        <v>60</v>
      </c>
      <c r="N5" s="70" t="s" ph="1">
        <v>61</v>
      </c>
      <c r="O5" s="70" t="s" ph="1">
        <v>138</v>
      </c>
      <c r="P5" s="70" t="s" ph="1">
        <v>88</v>
      </c>
      <c r="Q5" s="70" t="s" ph="1">
        <v>96</v>
      </c>
      <c r="R5" s="70" t="s" ph="1">
        <v>96</v>
      </c>
      <c r="S5" s="70" t="s" ph="1">
        <v>96</v>
      </c>
      <c r="T5" s="70" t="s" ph="1">
        <v>96</v>
      </c>
      <c r="U5" s="70" t="s" ph="1">
        <v>96</v>
      </c>
      <c r="V5" s="70" t="s" ph="1">
        <v>96</v>
      </c>
      <c r="W5" s="70" t="s" ph="1">
        <v>96</v>
      </c>
      <c r="X5" s="70" t="s" ph="1">
        <v>96</v>
      </c>
      <c r="Y5" s="70" t="s" ph="1">
        <v>96</v>
      </c>
      <c r="Z5" s="70" t="s" ph="1">
        <v>95</v>
      </c>
      <c r="AA5" s="70" t="s" ph="1">
        <v>62</v>
      </c>
      <c r="AB5" s="70" t="s" ph="1">
        <v>62</v>
      </c>
      <c r="AC5" s="70" t="s" ph="1">
        <v>222</v>
      </c>
      <c r="AD5" s="70" t="s" ph="1">
        <v>83</v>
      </c>
      <c r="AE5" s="70" t="s" ph="1">
        <v>661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5" ph="1">
        <v>0.33333333333333331</v>
      </c>
      <c r="C6" s="151" t="s" ph="1">
        <v>211</v>
      </c>
      <c r="D6" s="71">
        <v>4070</v>
      </c>
      <c r="E6" s="71">
        <v>0</v>
      </c>
      <c r="F6" s="71">
        <v>5795</v>
      </c>
      <c r="G6" s="71">
        <v>8887</v>
      </c>
      <c r="H6" s="71">
        <v>4847</v>
      </c>
      <c r="I6" s="71">
        <v>39.119999999999997</v>
      </c>
      <c r="J6" s="71">
        <v>79.760000000000005</v>
      </c>
      <c r="K6" s="71">
        <v>59.37</v>
      </c>
      <c r="L6" s="71">
        <v>40.51</v>
      </c>
      <c r="M6" s="71">
        <v>5697</v>
      </c>
      <c r="N6" s="71">
        <v>6277</v>
      </c>
      <c r="O6" s="71">
        <v>507</v>
      </c>
      <c r="P6" s="71">
        <v>899</v>
      </c>
      <c r="Q6" s="71">
        <v>3860</v>
      </c>
      <c r="R6" s="71">
        <v>4328</v>
      </c>
      <c r="S6" s="71">
        <v>5225</v>
      </c>
      <c r="T6" s="71">
        <v>5289</v>
      </c>
      <c r="U6" s="71">
        <v>0</v>
      </c>
      <c r="V6" s="71">
        <v>0</v>
      </c>
      <c r="W6" s="71">
        <v>5640</v>
      </c>
      <c r="X6" s="71">
        <v>4900</v>
      </c>
      <c r="Y6" s="71">
        <v>6133</v>
      </c>
      <c r="Z6" s="71">
        <v>3248</v>
      </c>
      <c r="AA6" s="71">
        <v>0</v>
      </c>
      <c r="AB6" s="71">
        <v>2532</v>
      </c>
      <c r="AC6" s="71">
        <v>6777</v>
      </c>
      <c r="AD6" s="71">
        <v>3145</v>
      </c>
      <c r="AE6" s="71">
        <v>3927</v>
      </c>
    </row>
    <row r="7" spans="1:99" s="72" customFormat="1" ht="22.5" ph="1">
      <c r="B7" s="235" ph="1"/>
      <c r="C7" s="68" t="s" ph="1">
        <v>212</v>
      </c>
      <c r="D7" s="73" ph="1">
        <f>D6*33.183*LOOKUP(D8,密度!$A$2:$A$50,密度!$Q$2:$Q$50)</f>
        <v>128915.2183374</v>
      </c>
      <c r="E7" s="73" ph="1">
        <f>E6*51.53*LOOKUP(E8,密度!$A$2:$A$50,密度!$I$2:$I$50)</f>
        <v>0</v>
      </c>
      <c r="F7" s="73" ph="1">
        <f>F6*33.183*LOOKUP(F8,密度!$A$2:$A$50,密度!$C$2:$C$50)</f>
        <v>214870.97493899998</v>
      </c>
      <c r="G7" s="73" ph="1">
        <f xml:space="preserve"> (G6+2)*51.53*LOOKUP(G8,密度!$A$2:$A$50,密度!$B$2:$B$50)</f>
        <v>361355.77911300003</v>
      </c>
      <c r="H7" s="73" ph="1">
        <f>(H6)*51.53*LOOKUP(H8,密度!$A$2:$A$50,密度!$B$2:$B$50)</f>
        <v>198513.94526799998</v>
      </c>
      <c r="I7" s="73" ph="1">
        <f>I6*290.8*1.0267</f>
        <v>11679.837763199999</v>
      </c>
      <c r="J7" s="73" ph="1">
        <f>J6*290.8*0.7892</f>
        <v>18304.868953600002</v>
      </c>
      <c r="K7" s="73" ph="1">
        <f>K6*290.8*1.1126</f>
        <v>19208.812029599998</v>
      </c>
      <c r="L7" s="73" ph="1">
        <f>L6*290.8*0.777</f>
        <v>9153.2993159999987</v>
      </c>
      <c r="M7" s="73" ph="1">
        <f>M6*33.183*LOOKUP(M8,密度!$A$2:$A$50,密度!$D$2:$D$50)</f>
        <v>195943.64061150001</v>
      </c>
      <c r="N7" s="73" ph="1">
        <f>N6*33.183*LOOKUP(N8,密度!$A$2:$A$50,密度!$E$2:$E$50)</f>
        <v>165298.69877759999</v>
      </c>
      <c r="O7" s="73" ph="1">
        <f>O6*20.428*LOOKUP(O8,密度!$A$2:$A$50,密度!$C$2:$C$50)</f>
        <v>11542.872042000001</v>
      </c>
      <c r="P7" s="73" ph="1">
        <f>P6*51.53*LOOKUP(P8,密度!$A$2:$A$50,密度!$B$2:$B$50)</f>
        <v>36703.669881000002</v>
      </c>
      <c r="Q7" s="73" ph="1">
        <f>Q6*1.5*1.5*3.1416*LOOKUP(W8,密度!$A$2:$A$50,密度!$L$2:$L$50)</f>
        <v>25811.417015999996</v>
      </c>
      <c r="R7" s="73" ph="1">
        <f>R6*1.5*1.5*3.1416*LOOKUP(R8,密度!$A$2:$A$50,密度!$L$2:$L$50)</f>
        <v>28818.512553599998</v>
      </c>
      <c r="S7" s="73" ph="1">
        <f>S6*1.5*1.5*3.1416*LOOKUP(S8,密度!$A$2:$A$50,密度!$L$2:$L$50)</f>
        <v>35197.563554999993</v>
      </c>
      <c r="T7" s="73" ph="1">
        <f>T6*1.5*1.5*3.1416*LOOKUP(T8,密度!$A$2:$A$50,密度!$L$2:$L$50)</f>
        <v>35553.919955400001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37714.091183999997</v>
      </c>
      <c r="X7" s="73" ph="1">
        <f>X6*1.5*1.5*3.1416*LOOKUP(X8,密度!$A$2:$A$50,密度!$L$2:$L$50)</f>
        <v>33112.149839999998</v>
      </c>
      <c r="Y7" s="73" ph="1">
        <f>Y6*1.5*1.5*3.1416*LOOKUP(Y8,密度!$A$2:$A$50,密度!$L$2:$L$50)</f>
        <v>41097.434162400001</v>
      </c>
      <c r="Z7" s="73" ph="1">
        <f>Z6*33.183*LOOKUP(Z8,密度!$A$2:$A$50,密度!$L$2:$L$50)</f>
        <v>102281.686416</v>
      </c>
      <c r="AA7" s="73" ph="1">
        <f>AA6*33.183*LOOKUP(AA8,密度!$A$2:$A$50,密度!$D$2:$D$50)</f>
        <v>0</v>
      </c>
      <c r="AB7" s="73" ph="1">
        <f>AB6*20.428*LOOKUP(AB8,密度!$A$2:$A$50,密度!$D$2:$D$50)</f>
        <v>54025.400472000001</v>
      </c>
      <c r="AC7" s="73" ph="1">
        <f>AC6*51.53*LOOKUP(AC8,密度!$A$2:$A$50,密度!$Q$2:$Q$50)</f>
        <v>333343.32289740001</v>
      </c>
      <c r="AD7" s="73" ph="1">
        <f>AD6*20.428*LOOKUP(AD8,密度!$A$2:$A$50,密度!$V$2:$V$50)</f>
        <v>61727.614448000008</v>
      </c>
      <c r="AE7" s="73" ph="1">
        <f>AE6*20.428</f>
        <v>80220.756000000008</v>
      </c>
    </row>
    <row r="8" spans="1:99" ph="1">
      <c r="B8" s="235" ph="1"/>
      <c r="C8" s="68" t="s" ph="1">
        <v>213</v>
      </c>
      <c r="D8" s="74">
        <v>15</v>
      </c>
      <c r="E8" s="74">
        <v>12</v>
      </c>
      <c r="F8" s="74">
        <v>13</v>
      </c>
      <c r="G8" s="74">
        <v>14</v>
      </c>
      <c r="H8" s="74">
        <v>7</v>
      </c>
      <c r="I8" s="74">
        <v>25</v>
      </c>
      <c r="J8" s="74">
        <v>25</v>
      </c>
      <c r="K8" s="74">
        <v>25</v>
      </c>
      <c r="L8" s="74">
        <v>25</v>
      </c>
      <c r="M8" s="74">
        <v>14</v>
      </c>
      <c r="N8" s="74">
        <v>16</v>
      </c>
      <c r="O8" s="74">
        <v>17</v>
      </c>
      <c r="P8" s="74">
        <v>10</v>
      </c>
      <c r="Q8" s="74">
        <v>14</v>
      </c>
      <c r="R8" s="74">
        <v>20</v>
      </c>
      <c r="S8" s="74">
        <v>9</v>
      </c>
      <c r="T8" s="74">
        <v>11</v>
      </c>
      <c r="U8" s="74">
        <v>13</v>
      </c>
      <c r="V8" s="74">
        <v>14</v>
      </c>
      <c r="W8" s="74">
        <v>16</v>
      </c>
      <c r="X8" s="74">
        <v>6</v>
      </c>
      <c r="Y8" s="74">
        <v>14</v>
      </c>
      <c r="Z8" s="74">
        <v>13</v>
      </c>
      <c r="AA8" s="74">
        <v>14</v>
      </c>
      <c r="AB8" s="74">
        <v>5</v>
      </c>
      <c r="AC8" s="74">
        <v>11</v>
      </c>
      <c r="AD8" s="74">
        <v>21</v>
      </c>
      <c r="AE8" s="74">
        <v>21</v>
      </c>
    </row>
    <row r="9" spans="1:99" ph="1">
      <c r="B9" s="235" ph="1">
        <v>0.66666666666666663</v>
      </c>
      <c r="C9" s="151" t="s" ph="1">
        <v>214</v>
      </c>
      <c r="D9" s="71">
        <v>4099</v>
      </c>
      <c r="E9" s="71">
        <v>0</v>
      </c>
      <c r="F9" s="71">
        <v>5585</v>
      </c>
      <c r="G9" s="71">
        <v>8887</v>
      </c>
      <c r="H9" s="71">
        <v>5430</v>
      </c>
      <c r="I9" s="71">
        <v>39.159999999999997</v>
      </c>
      <c r="J9" s="71">
        <v>79.81</v>
      </c>
      <c r="K9" s="71">
        <v>19.25</v>
      </c>
      <c r="L9" s="71">
        <v>35.590000000000003</v>
      </c>
      <c r="M9" s="71">
        <v>5697</v>
      </c>
      <c r="N9" s="71">
        <v>6277</v>
      </c>
      <c r="O9" s="71">
        <v>1443</v>
      </c>
      <c r="P9" s="71">
        <v>681</v>
      </c>
      <c r="Q9" s="71">
        <v>3859</v>
      </c>
      <c r="R9" s="71">
        <v>4326</v>
      </c>
      <c r="S9" s="71">
        <v>5223</v>
      </c>
      <c r="T9" s="71">
        <v>7000</v>
      </c>
      <c r="U9" s="71">
        <v>3588</v>
      </c>
      <c r="V9" s="71">
        <v>0</v>
      </c>
      <c r="W9" s="71">
        <v>685</v>
      </c>
      <c r="X9" s="71">
        <v>4900</v>
      </c>
      <c r="Y9" s="71">
        <v>6135</v>
      </c>
      <c r="Z9" s="71">
        <v>4206</v>
      </c>
      <c r="AA9" s="71">
        <v>544</v>
      </c>
      <c r="AB9" s="71">
        <v>2267</v>
      </c>
      <c r="AC9" s="71">
        <v>6775</v>
      </c>
      <c r="AD9" s="71">
        <v>3656</v>
      </c>
      <c r="AE9" s="71">
        <v>3753</v>
      </c>
    </row>
    <row r="10" spans="1:99" s="72" customFormat="1" ht="22.5" ph="1">
      <c r="B10" s="235" ph="1"/>
      <c r="C10" s="151" t="s" ph="1">
        <v>212</v>
      </c>
      <c r="D10" s="73" ph="1">
        <f>D9*33.183*LOOKUP(D11,密度!$A$2:$A$50,密度!$Q$2:$Q$50)</f>
        <v>129833.77886118001</v>
      </c>
      <c r="E10" s="73" ph="1">
        <f>E9*51.53*LOOKUP(E11,密度!$A$2:$A$50,密度!$I$2:$I$50)</f>
        <v>0</v>
      </c>
      <c r="F10" s="73" ph="1">
        <f>F9*33.183*LOOKUP(F11,密度!$A$2:$A$50,密度!$C$2:$C$50)</f>
        <v>206936.189613</v>
      </c>
      <c r="G10" s="73" ph="1">
        <f xml:space="preserve"> (G9+2)*51.53*LOOKUP(G11,密度!$A$2:$A$50,密度!$B$2:$B$50)</f>
        <v>360943.53396000003</v>
      </c>
      <c r="H10" s="73" ph="1">
        <f>(H9)*51.53*LOOKUP(H11,密度!$A$2:$A$50,密度!$B$2:$B$50)</f>
        <v>222167.47260000004</v>
      </c>
      <c r="I10" s="73" ph="1">
        <f>I9*290.8*1.0267</f>
        <v>11691.780337599999</v>
      </c>
      <c r="J10" s="73" ph="1">
        <f>J9*290.8*0.7892</f>
        <v>18316.343921600004</v>
      </c>
      <c r="K10" s="73" ph="1">
        <f>K9*290.8*1.1126</f>
        <v>6228.2235400000009</v>
      </c>
      <c r="L10" s="73" ph="1">
        <f>L9*290.8*0.777</f>
        <v>8041.6174440000013</v>
      </c>
      <c r="M10" s="73" ph="1">
        <f>M9*33.183*LOOKUP(M11,密度!$A$2:$A$50,密度!$D$2:$D$50)</f>
        <v>195943.64061150001</v>
      </c>
      <c r="N10" s="73" ph="1">
        <f>N9*33.183*LOOKUP(N11,密度!$A$2:$A$50,密度!$E$2:$E$50)</f>
        <v>165298.69877759999</v>
      </c>
      <c r="O10" s="73" ph="1">
        <f>O9*20.428*LOOKUP(O11,密度!$A$2:$A$50,密度!$C$2:$C$50)</f>
        <v>32776.147887600004</v>
      </c>
      <c r="P10" s="73" ph="1">
        <f>P9*51.53*LOOKUP(P11,密度!$A$2:$A$50,密度!$B$2:$B$50)</f>
        <v>27712.097120999999</v>
      </c>
      <c r="Q10" s="73" ph="1">
        <f>Q9*1.5*1.5*3.1416*LOOKUP(W11,密度!$A$2:$A$50,密度!$L$2:$L$50)</f>
        <v>25722.8969382</v>
      </c>
      <c r="R10" s="73" ph="1">
        <f>R9*1.5*1.5*3.1416*LOOKUP(R11,密度!$A$2:$A$50,密度!$L$2:$L$50)</f>
        <v>28774.616547599995</v>
      </c>
      <c r="S10" s="73" ph="1">
        <f>S9*1.5*1.5*3.1416*LOOKUP(S11,密度!$A$2:$A$50,密度!$L$2:$L$50)</f>
        <v>35147.171505599996</v>
      </c>
      <c r="T10" s="73" ph="1">
        <f>T9*1.5*1.5*3.1416*LOOKUP(T11,密度!$A$2:$A$50,密度!$L$2:$L$50)</f>
        <v>46907.229599999991</v>
      </c>
      <c r="U10" s="73" ph="1">
        <f>U9*1.5*1.5*3.1416*LOOKUP(U11,密度!$A$2:$A$50,密度!$L$2:$L$50)</f>
        <v>24017.943549600001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4565.9975129999993</v>
      </c>
      <c r="X10" s="73" ph="1">
        <f>X9*1.5*1.5*3.1416*LOOKUP(X11,密度!$A$2:$A$50,密度!$L$2:$L$50)</f>
        <v>33042.877560000001</v>
      </c>
      <c r="Y10" s="73" ph="1">
        <f>Y9*1.5*1.5*3.1416*LOOKUP(Y11,密度!$A$2:$A$50,密度!$L$2:$L$50)</f>
        <v>41067.470366999994</v>
      </c>
      <c r="Z10" s="73" ph="1">
        <f>Z9*33.183*LOOKUP(Z11,密度!$A$2:$A$50,密度!$L$2:$L$50)</f>
        <v>132310.177704</v>
      </c>
      <c r="AA10" s="73" ph="1">
        <f>AA9*33.183*LOOKUP(AA11,密度!$A$2:$A$50,密度!$D$2:$D$50)</f>
        <v>18710.433647999998</v>
      </c>
      <c r="AB10" s="73" ph="1">
        <f>AB9*20.428*LOOKUP(AB11,密度!$A$2:$A$50,密度!$D$2:$D$50)</f>
        <v>48287.7247852</v>
      </c>
      <c r="AC10" s="73" ph="1">
        <f>AC9*51.53*LOOKUP(AC11,密度!$A$2:$A$50,密度!$Q$2:$Q$50)</f>
        <v>333244.94800500001</v>
      </c>
      <c r="AD10" s="73" ph="1">
        <f>AD9*20.428*LOOKUP(AD11,密度!$A$2:$A$50,密度!$V$2:$V$50)</f>
        <v>71757.125094399991</v>
      </c>
      <c r="AE10" s="73" ph="1">
        <f>AE9*20.428</f>
        <v>76666.284</v>
      </c>
    </row>
    <row r="11" spans="1:99" ph="1">
      <c r="A11" s="64" t="s" ph="1">
        <v>196</v>
      </c>
      <c r="B11" s="235" ph="1"/>
      <c r="C11" s="151" t="s" ph="1">
        <v>213</v>
      </c>
      <c r="D11" s="74">
        <v>15</v>
      </c>
      <c r="E11" s="74">
        <v>14</v>
      </c>
      <c r="F11" s="74">
        <v>14</v>
      </c>
      <c r="G11" s="74">
        <v>15</v>
      </c>
      <c r="H11" s="74">
        <v>8</v>
      </c>
      <c r="I11" s="74">
        <v>25</v>
      </c>
      <c r="J11" s="74">
        <v>25</v>
      </c>
      <c r="K11" s="74">
        <v>25</v>
      </c>
      <c r="L11" s="74">
        <v>25</v>
      </c>
      <c r="M11" s="74">
        <v>14</v>
      </c>
      <c r="N11" s="74">
        <v>16</v>
      </c>
      <c r="O11" s="74">
        <v>21</v>
      </c>
      <c r="P11" s="74">
        <v>13</v>
      </c>
      <c r="Q11" s="74">
        <v>15</v>
      </c>
      <c r="R11" s="74">
        <v>21</v>
      </c>
      <c r="S11" s="74">
        <v>10</v>
      </c>
      <c r="T11" s="74">
        <v>14</v>
      </c>
      <c r="U11" s="74">
        <v>15</v>
      </c>
      <c r="V11" s="74">
        <v>19</v>
      </c>
      <c r="W11" s="74">
        <v>19</v>
      </c>
      <c r="X11" s="74">
        <v>8</v>
      </c>
      <c r="Y11" s="74">
        <v>15</v>
      </c>
      <c r="Z11" s="74">
        <v>14</v>
      </c>
      <c r="AA11" s="74">
        <v>14</v>
      </c>
      <c r="AB11" s="74">
        <v>7</v>
      </c>
      <c r="AC11" s="74">
        <v>13</v>
      </c>
      <c r="AD11" s="74">
        <v>23</v>
      </c>
      <c r="AE11" s="74">
        <v>22</v>
      </c>
    </row>
    <row r="12" spans="1:99" ht="9.9499999999999993" customHeight="1" ph="1"/>
    <row r="13" spans="1:99" s="72" customFormat="1" ht="29.25" customHeight="1" ph="1">
      <c r="B13" s="212" t="s" ph="1">
        <v>37</v>
      </c>
      <c r="C13" s="151" t="s" ph="1">
        <v>210</v>
      </c>
      <c r="D13" s="76" t="s" ph="1">
        <v>53</v>
      </c>
      <c r="E13" s="76" t="s" ph="1">
        <v>54</v>
      </c>
      <c r="F13" s="76" t="s" ph="1">
        <v>66</v>
      </c>
      <c r="G13" s="76" t="s" ph="1">
        <v>67</v>
      </c>
      <c r="H13" s="76" t="s" ph="1">
        <v>154</v>
      </c>
      <c r="I13" s="76" t="s" ph="1">
        <v>68</v>
      </c>
      <c r="J13" s="76" t="s" ph="1">
        <v>155</v>
      </c>
      <c r="K13" s="76" t="s" ph="1">
        <v>63</v>
      </c>
      <c r="L13" s="76" t="s" ph="1">
        <v>69</v>
      </c>
      <c r="M13" s="76" t="s" ph="1">
        <v>70</v>
      </c>
      <c r="N13" s="76" t="s" ph="1">
        <v>156</v>
      </c>
      <c r="O13" s="76" t="s" ph="1">
        <v>64</v>
      </c>
      <c r="P13" s="76" t="s" ph="1">
        <v>71</v>
      </c>
      <c r="Q13" s="76" t="s" ph="1">
        <v>72</v>
      </c>
      <c r="R13" s="76" t="s" ph="1">
        <v>73</v>
      </c>
      <c r="S13" s="76" t="s" ph="1">
        <v>74</v>
      </c>
      <c r="T13" s="76" t="s" ph="1">
        <v>75</v>
      </c>
      <c r="U13" s="76" t="s" ph="1">
        <v>76</v>
      </c>
      <c r="V13" s="76" t="s" ph="1">
        <v>157</v>
      </c>
      <c r="W13" s="76" t="s" ph="1">
        <v>158</v>
      </c>
      <c r="X13" s="76" t="s" ph="1">
        <v>159</v>
      </c>
      <c r="Y13" s="105" t="s" ph="1">
        <v>77</v>
      </c>
      <c r="Z13" s="76" t="s" ph="1">
        <v>86</v>
      </c>
      <c r="AA13" s="76" t="s" ph="1">
        <v>160</v>
      </c>
      <c r="AB13" s="76" t="s" ph="1">
        <v>161</v>
      </c>
      <c r="AC13" s="76" t="s" ph="1">
        <v>162</v>
      </c>
      <c r="AD13" s="76" t="s" ph="1">
        <v>163</v>
      </c>
      <c r="AE13" s="76" t="s" ph="1">
        <v>164</v>
      </c>
      <c r="AG13" s="72" t="s" ph="1">
        <v>369</v>
      </c>
      <c r="AH13" s="72" t="s" ph="1">
        <v>232</v>
      </c>
      <c r="AI13" s="72" t="s" ph="1">
        <v>233</v>
      </c>
      <c r="AJ13" s="72" t="s" ph="1">
        <v>234</v>
      </c>
      <c r="AK13" s="72" t="s" ph="1">
        <v>235</v>
      </c>
      <c r="AL13" s="72" t="s" ph="1">
        <v>236</v>
      </c>
      <c r="AM13" s="72" t="s" ph="1">
        <v>237</v>
      </c>
      <c r="AN13" s="72" t="s" ph="1">
        <v>238</v>
      </c>
      <c r="AO13" s="72" t="s" ph="1">
        <v>239</v>
      </c>
      <c r="AP13" s="72" t="s" ph="1">
        <v>240</v>
      </c>
      <c r="AQ13" s="72" t="s" ph="1">
        <v>241</v>
      </c>
      <c r="AR13" s="72" t="s" ph="1">
        <v>242</v>
      </c>
      <c r="AS13" s="72" t="s" ph="1">
        <v>243</v>
      </c>
      <c r="AT13" s="72" t="s" ph="1">
        <v>244</v>
      </c>
      <c r="AU13" s="72" t="s" ph="1">
        <v>245</v>
      </c>
      <c r="AV13" s="72" t="s" ph="1">
        <v>246</v>
      </c>
      <c r="AW13" s="72" t="s" ph="1">
        <v>247</v>
      </c>
      <c r="AX13" s="72" t="s" ph="1">
        <v>248</v>
      </c>
      <c r="AY13" s="72" t="s" ph="1">
        <v>370</v>
      </c>
      <c r="AZ13" s="72" t="s" ph="1">
        <v>249</v>
      </c>
      <c r="BA13" s="72" t="s" ph="1">
        <v>250</v>
      </c>
      <c r="BB13" s="72" t="s" ph="1">
        <v>635</v>
      </c>
      <c r="BC13" s="72" t="s" ph="1">
        <v>251</v>
      </c>
      <c r="BD13" s="72" t="s" ph="1">
        <v>371</v>
      </c>
      <c r="BE13" s="72" t="s" ph="1">
        <v>372</v>
      </c>
      <c r="BF13" s="72" t="s" ph="1">
        <v>373</v>
      </c>
      <c r="BG13" s="72" t="s" ph="1">
        <v>374</v>
      </c>
      <c r="BH13" s="72" t="s" ph="1">
        <v>375</v>
      </c>
    </row>
    <row r="14" spans="1:99" s="72" customFormat="1" ht="24" ph="1">
      <c r="B14" s="213" ph="1"/>
      <c r="C14" s="67" t="s" ph="1">
        <v>36</v>
      </c>
      <c r="D14" s="77" t="s" ph="1">
        <v>131</v>
      </c>
      <c r="E14" s="77" t="s" ph="1">
        <v>131</v>
      </c>
      <c r="F14" s="153" t="s" ph="1">
        <v>656</v>
      </c>
      <c r="G14" s="77" t="s" ph="1">
        <v>220</v>
      </c>
      <c r="H14" s="77" t="s" ph="1">
        <v>648</v>
      </c>
      <c r="I14" s="77" t="s" ph="1">
        <v>65</v>
      </c>
      <c r="J14" s="77" t="s" ph="1">
        <v>230</v>
      </c>
      <c r="K14" s="77" t="s" ph="1">
        <v>226</v>
      </c>
      <c r="L14" s="77" t="s" ph="1">
        <v>41</v>
      </c>
      <c r="M14" s="104" t="s" ph="1">
        <v>225</v>
      </c>
      <c r="N14" s="104" t="s" ph="1">
        <v>221</v>
      </c>
      <c r="O14" s="104" t="s" ph="1">
        <v>229</v>
      </c>
      <c r="P14" s="77" t="s" ph="1">
        <v>82</v>
      </c>
      <c r="Q14" s="77" t="s" ph="1">
        <v>82</v>
      </c>
      <c r="R14" s="88" t="s" ph="1">
        <v>7</v>
      </c>
      <c r="S14" s="77" t="s" ph="1">
        <v>82</v>
      </c>
      <c r="T14" s="77" t="s" ph="1">
        <v>98</v>
      </c>
      <c r="U14" s="77" t="s" ph="1">
        <v>659</v>
      </c>
      <c r="V14" s="77" t="s" ph="1">
        <v>649</v>
      </c>
      <c r="W14" s="77" t="s" ph="1">
        <v>223</v>
      </c>
      <c r="X14" s="77" t="s" ph="1">
        <v>78</v>
      </c>
      <c r="Y14" s="144" t="s" ph="1">
        <v>0</v>
      </c>
      <c r="Z14" s="77" t="s" ph="1">
        <v>62</v>
      </c>
      <c r="AA14" s="77" t="s" ph="1">
        <v>88</v>
      </c>
      <c r="AB14" s="77" t="s" ph="1">
        <v>653</v>
      </c>
      <c r="AC14" s="77" t="s" ph="1">
        <v>653</v>
      </c>
      <c r="AD14" s="77" t="s" ph="1">
        <v>136</v>
      </c>
      <c r="AE14" s="77" t="s" ph="1">
        <v>136</v>
      </c>
      <c r="AG14" s="72" t="s" ph="1">
        <v>252</v>
      </c>
      <c r="AI14" s="72" t="s" ph="1">
        <v>253</v>
      </c>
      <c r="AJ14" s="72" t="s" ph="1">
        <v>376</v>
      </c>
      <c r="AK14" s="72" t="s" ph="1">
        <v>254</v>
      </c>
      <c r="AM14" s="72" t="s" ph="1">
        <v>256</v>
      </c>
      <c r="AN14" s="72" t="s" ph="1">
        <v>254</v>
      </c>
      <c r="AO14" s="72" t="s" ph="1">
        <v>255</v>
      </c>
      <c r="AP14" s="72" t="s" ph="1">
        <v>256</v>
      </c>
      <c r="AQ14" s="72" t="s" ph="1">
        <v>254</v>
      </c>
      <c r="AR14" s="72" t="s" ph="1">
        <v>255</v>
      </c>
      <c r="AS14" s="72" t="s" ph="1">
        <v>256</v>
      </c>
      <c r="AT14" s="72" t="s" ph="1">
        <v>254</v>
      </c>
      <c r="AU14" s="72" t="s" ph="1">
        <v>255</v>
      </c>
      <c r="AV14" s="72" t="s" ph="1">
        <v>256</v>
      </c>
      <c r="AW14" s="72" t="s" ph="1">
        <v>254</v>
      </c>
      <c r="AX14" s="72" t="s" ph="1">
        <v>255</v>
      </c>
      <c r="AY14" s="72" t="s" ph="1">
        <v>256</v>
      </c>
      <c r="AZ14" s="72" t="s" ph="1">
        <v>255</v>
      </c>
    </row>
    <row r="15" spans="1:99" ph="1">
      <c r="B15" s="214" ph="1">
        <v>0.33333333333333331</v>
      </c>
      <c r="C15" s="151" t="s" ph="1">
        <v>211</v>
      </c>
      <c r="D15" s="78">
        <v>1240</v>
      </c>
      <c r="E15" s="78">
        <v>72</v>
      </c>
      <c r="F15" s="78">
        <v>3414</v>
      </c>
      <c r="G15" s="78">
        <v>3540</v>
      </c>
      <c r="H15" s="78">
        <v>1076</v>
      </c>
      <c r="I15" s="78">
        <v>1304</v>
      </c>
      <c r="J15" s="78">
        <v>392</v>
      </c>
      <c r="K15" s="78">
        <v>1825</v>
      </c>
      <c r="L15" s="78">
        <v>3423</v>
      </c>
      <c r="M15" s="78">
        <v>4014</v>
      </c>
      <c r="N15" s="78">
        <v>2306</v>
      </c>
      <c r="O15" s="78">
        <v>234</v>
      </c>
      <c r="P15" s="78">
        <v>0</v>
      </c>
      <c r="Q15" s="78">
        <v>6070</v>
      </c>
      <c r="R15" s="78">
        <v>3490</v>
      </c>
      <c r="S15" s="78">
        <v>5607</v>
      </c>
      <c r="T15" s="78">
        <v>3925</v>
      </c>
      <c r="U15" s="78">
        <v>3343</v>
      </c>
      <c r="V15" s="78">
        <v>-1187</v>
      </c>
      <c r="W15" s="78">
        <v>-593</v>
      </c>
      <c r="X15" s="78">
        <v>1067</v>
      </c>
      <c r="Y15" s="106">
        <v>-9901</v>
      </c>
      <c r="Z15" s="78">
        <v>0</v>
      </c>
      <c r="AA15" s="78">
        <v>29</v>
      </c>
      <c r="AB15" s="78" ph="1">
        <v>6266</v>
      </c>
      <c r="AC15" s="78" ph="1">
        <v>6493</v>
      </c>
      <c r="AD15" s="78">
        <v>83.62</v>
      </c>
      <c r="AE15" s="78">
        <v>25.96</v>
      </c>
      <c r="AG15" s="64" t="s" ph="1">
        <v>258</v>
      </c>
      <c r="AH15" s="64" ph="1">
        <v>1</v>
      </c>
      <c r="AI15" s="64" t="s" ph="1">
        <v>377</v>
      </c>
      <c r="AK15" s="64" t="s" ph="1">
        <v>631</v>
      </c>
      <c r="AM15" s="64" t="s" ph="1">
        <v>379</v>
      </c>
      <c r="AZ15" s="64" t="s" ph="1">
        <v>260</v>
      </c>
      <c r="BA15" s="64" ph="1">
        <v>0</v>
      </c>
    </row>
    <row r="16" spans="1:99" s="72" customFormat="1" ht="22.5" ph="1">
      <c r="B16" s="215" ph="1"/>
      <c r="C16" s="151" t="s" ph="1">
        <v>212</v>
      </c>
      <c r="D16" s="73" ph="1">
        <f>D15*7.0686*LOOKUP(D17,密度!$A$2:$A$50,密度!$L$2:$L$50)</f>
        <v>8309.2806720000008</v>
      </c>
      <c r="E16" s="73" ph="1">
        <f>E15*7.0686*LOOKUP(E17,密度!$A$2:$A$50,密度!$L$2:$L$50)</f>
        <v>482.47436160000001</v>
      </c>
      <c r="F16" s="73" ph="1">
        <f>F15*9.0746*LOOKUP(F17,密度!$A$2:$A$50,密度!$L$2:$L$50)</f>
        <v>29338.7081268</v>
      </c>
      <c r="G16" s="73" ph="1">
        <f>G15*9.0746*LOOKUP(G17,密度!$A$2:$A$50,密度!$B$2:$B$50)</f>
        <v>25313.778192000002</v>
      </c>
      <c r="H16" s="73" ph="1">
        <f>H15*9.0746*LOOKUP(H17,密度!$A$2:$A$50,密度!$L$2:$L$50)</f>
        <v>9305.3489288000001</v>
      </c>
      <c r="I16" s="73" ph="1">
        <f>I15*9.0746*LOOKUP(I17,密度!$A$2:$A$50,密度!$U$2:$U$50)</f>
        <v>12164.610195200001</v>
      </c>
      <c r="J16" s="73" ph="1">
        <f>J15*9.0746*LOOKUP(J17,密度!$A$2:$A$50,密度!$L$2:$L$50)</f>
        <v>3375.8237967999999</v>
      </c>
      <c r="K16" s="73" ph="1">
        <f>K15*9.0746*LOOKUP(K17,密度!$A$2:$A$50,密度!$C$2:$C$50)</f>
        <v>18505.423423</v>
      </c>
      <c r="L16" s="73" ph="1">
        <f>L15*9.0746*LOOKUP(L17,密度!$A$2:$A$50,密度!$E$2:$E$50)</f>
        <v>24756.697572600002</v>
      </c>
      <c r="M16" s="73" ph="1">
        <f>M15*9.0746*LOOKUP(M17,密度!$A$2:$A$50,密度!$M$2:$M$50)</f>
        <v>32065.318705319998</v>
      </c>
      <c r="N16" s="73" ph="1">
        <f>N15*9.0746*LOOKUP(N17,密度!$A$2:$A$50,密度!$M$2:$M$50)</f>
        <v>18421.182096280001</v>
      </c>
      <c r="O16" s="73" ph="1">
        <f>O15*9.0746*LOOKUP(O17,密度!$A$2:$A$50,密度!$G$2:$G$50)</f>
        <v>2062.30085568</v>
      </c>
      <c r="P16" s="73" ph="1">
        <f ca="1">P15*9.0746*LOOKUP(P17,密度!$A$2:$A$51,密度!$Q$2:$Q$50)</f>
        <v>0</v>
      </c>
      <c r="Q16" s="73" ph="1">
        <f>Q15*9.0746*LOOKUP(Q17,密度!$A$2:$A$50,密度!$Q$2:$Q$50)</f>
        <v>52578.756911880002</v>
      </c>
      <c r="R16" s="73" ph="1">
        <f>MAX(R15*9.0746*LOOKUP(R17,密度!$A$2:$A$50,密度!$B$2:$B$50),0)</f>
        <v>24930.902668800001</v>
      </c>
      <c r="S16" s="73" ph="1">
        <f>S15*9.0746*LOOKUP(S17,密度!$A$2:$A$50,密度!$Q$2:$Q$50)</f>
        <v>48568.219111188002</v>
      </c>
      <c r="T16" s="73" ph="1">
        <f>T15*9.0746*LOOKUP(T17,密度!$A$2:$A$50,密度!$O$2:$O$50)</f>
        <v>33267.029870000006</v>
      </c>
      <c r="U16" s="73" ph="1">
        <f>U15*9.0746*LOOKUP(U17,密度!$A$2:$A$50,密度!$H$2:$H$50)</f>
        <v>28173.40334986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224.10041032800018</v>
      </c>
      <c r="X16" s="73" ph="1">
        <f>MAX(5600*LOOKUP(X17,密度!$A$2:$A$50,密度!$I$2:$I$50)+X15*9.0476*LOOKUP(X17,密度!$A$2:$A$50,密度!$I$2:$I$50),0)</f>
        <v>15744.656136456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208.50436182000001</v>
      </c>
      <c r="AB16" s="73" ph="1">
        <f>AB15*9.0746*LOOKUP(AB17,密度!$A$2:$A$50,密度!$L$2:$L$50)</f>
        <v>53847.787089199999</v>
      </c>
      <c r="AC16" s="73" ph="1">
        <f>AC15*9.0746*LOOKUP(AC17,密度!$A$2:$A$50,密度!$L$2:$L$50)</f>
        <v>55975.30891</v>
      </c>
      <c r="AD16" s="73" ph="1">
        <f>AD15*268.68*LOOKUP(AD17,密度!$A$2:$A$50,密度!B2:B50)+IF(AD15&lt;=0,0,1566*LOOKUP(AD17,密度!$A$2:$A$50,密度!B2:B50))</f>
        <v>18736.143639359998</v>
      </c>
      <c r="AE16" s="73" ph="1">
        <f>AE15*268.68*LOOKUP(AE17,密度!$A$2:$A$50,密度!B2:B50)+IF(AE15&lt;=0,0,1566*LOOKUP(AE17,密度!$A$2:$A$50,密度!B2:B50))</f>
        <v>6658.5112108800004</v>
      </c>
      <c r="AH16" s="72" ph="1">
        <v>2</v>
      </c>
      <c r="AI16" s="72" t="s" ph="1">
        <v>381</v>
      </c>
      <c r="AZ16" s="72" t="s" ph="1">
        <v>260</v>
      </c>
      <c r="BA16" s="72" ph="1">
        <v>0</v>
      </c>
    </row>
    <row r="17" spans="1:57" ph="1">
      <c r="A17" s="64" t="s" ph="1">
        <v>85</v>
      </c>
      <c r="B17" s="216" ph="1"/>
      <c r="C17" s="79" t="s" ph="1">
        <v>213</v>
      </c>
      <c r="D17" s="74">
        <v>14</v>
      </c>
      <c r="E17" s="74">
        <v>14</v>
      </c>
      <c r="F17" s="74">
        <v>15</v>
      </c>
      <c r="G17" s="74">
        <v>15</v>
      </c>
      <c r="H17" s="74">
        <v>9</v>
      </c>
      <c r="I17" s="74">
        <v>12</v>
      </c>
      <c r="J17" s="74">
        <v>13</v>
      </c>
      <c r="K17" s="74">
        <v>13</v>
      </c>
      <c r="L17" s="74">
        <v>14</v>
      </c>
      <c r="M17" s="74">
        <v>15</v>
      </c>
      <c r="N17" s="74">
        <v>14</v>
      </c>
      <c r="O17" s="74">
        <v>15</v>
      </c>
      <c r="P17" s="74">
        <v>11</v>
      </c>
      <c r="Q17" s="74">
        <v>14</v>
      </c>
      <c r="R17" s="74">
        <v>16</v>
      </c>
      <c r="S17" s="74">
        <v>14</v>
      </c>
      <c r="T17" s="74">
        <v>14</v>
      </c>
      <c r="U17" s="74">
        <v>11</v>
      </c>
      <c r="V17" s="74">
        <v>13</v>
      </c>
      <c r="W17" s="74">
        <v>13</v>
      </c>
      <c r="X17" s="74">
        <v>34</v>
      </c>
      <c r="Y17" s="108">
        <v>34</v>
      </c>
      <c r="Z17" s="74">
        <v>13</v>
      </c>
      <c r="AA17" s="74">
        <v>10</v>
      </c>
      <c r="AB17" s="74">
        <v>15</v>
      </c>
      <c r="AC17" s="74">
        <v>12</v>
      </c>
      <c r="AD17" s="74">
        <v>25</v>
      </c>
      <c r="AE17" s="74">
        <v>25</v>
      </c>
      <c r="AH17" s="64" ph="1">
        <v>3</v>
      </c>
      <c r="AI17" s="64" t="s" ph="1">
        <v>382</v>
      </c>
      <c r="AK17" s="64" t="s" ph="1">
        <v>614</v>
      </c>
      <c r="AL17" s="64" ph="1">
        <v>80</v>
      </c>
      <c r="AM17" s="64" t="s" ph="1">
        <v>379</v>
      </c>
      <c r="AZ17" s="64" t="s" ph="1">
        <v>260</v>
      </c>
      <c r="BA17" s="64" ph="1">
        <v>80</v>
      </c>
      <c r="BD17" s="64" t="s" ph="1">
        <v>258</v>
      </c>
      <c r="BE17" s="64" ph="1">
        <v>2270</v>
      </c>
    </row>
    <row r="18" spans="1:57" ph="1">
      <c r="B18" s="214" ph="1">
        <v>0.66666666666666663</v>
      </c>
      <c r="C18" s="79" t="s" ph="1">
        <v>214</v>
      </c>
      <c r="D18" s="71">
        <v>2470</v>
      </c>
      <c r="E18" s="71">
        <v>72</v>
      </c>
      <c r="F18" s="71">
        <v>3560</v>
      </c>
      <c r="G18" s="71">
        <v>3560</v>
      </c>
      <c r="H18" s="71">
        <v>1076</v>
      </c>
      <c r="I18" s="71">
        <v>4</v>
      </c>
      <c r="J18" s="71">
        <v>391</v>
      </c>
      <c r="K18" s="71">
        <v>1834</v>
      </c>
      <c r="L18" s="71">
        <v>3425</v>
      </c>
      <c r="M18" s="71">
        <v>3285</v>
      </c>
      <c r="N18" s="71">
        <v>114</v>
      </c>
      <c r="O18" s="71">
        <v>231</v>
      </c>
      <c r="P18" s="71">
        <v>0</v>
      </c>
      <c r="Q18" s="71">
        <v>6071</v>
      </c>
      <c r="R18" s="71">
        <v>3492</v>
      </c>
      <c r="S18" s="71">
        <v>5608</v>
      </c>
      <c r="T18" s="71">
        <v>3926</v>
      </c>
      <c r="U18" s="71">
        <v>3343</v>
      </c>
      <c r="V18" s="71">
        <v>-1193</v>
      </c>
      <c r="W18" s="71">
        <v>-594</v>
      </c>
      <c r="X18" s="71">
        <v>1067</v>
      </c>
      <c r="Y18" s="109">
        <v>-9901</v>
      </c>
      <c r="Z18" s="71">
        <v>0</v>
      </c>
      <c r="AA18" s="71">
        <v>28</v>
      </c>
      <c r="AB18" s="71">
        <v>6270</v>
      </c>
      <c r="AC18" s="71">
        <v>6494</v>
      </c>
      <c r="AD18" s="71">
        <v>84.36</v>
      </c>
      <c r="AE18" s="71">
        <v>54.46</v>
      </c>
      <c r="AH18" s="64" ph="1">
        <v>4</v>
      </c>
      <c r="AI18" s="64" t="s" ph="1">
        <v>384</v>
      </c>
      <c r="AJ18" s="64" t="s" ph="1">
        <v>632</v>
      </c>
      <c r="AK18" s="64" t="s" ph="1">
        <v>631</v>
      </c>
      <c r="AL18" s="64" ph="1">
        <v>740</v>
      </c>
      <c r="AM18" s="64" t="s" ph="1">
        <v>383</v>
      </c>
      <c r="AZ18" s="64" t="s" ph="1">
        <v>260</v>
      </c>
      <c r="BA18" s="64" ph="1">
        <v>740</v>
      </c>
    </row>
    <row r="19" spans="1:57" s="72" customFormat="1" ht="22.5" ph="1">
      <c r="B19" s="215" ph="1"/>
      <c r="C19" s="151" t="s" ph="1">
        <v>212</v>
      </c>
      <c r="D19" s="73" ph="1">
        <f>D18*7.0686*LOOKUP(D20,密度!$A$2:$A$50,密度!$L$2:$L$50)</f>
        <v>16534.091573999998</v>
      </c>
      <c r="E19" s="73" ph="1">
        <f>E18*7.0686*LOOKUP(E20,密度!$A$2:$A$50,密度!$L$2:$L$50)</f>
        <v>481.96542240000002</v>
      </c>
      <c r="F19" s="73" ph="1">
        <f>F18*9.0746*LOOKUP(F20,密度!$A$2:$A$50,密度!$L$2:$L$50)</f>
        <v>30561.074895999998</v>
      </c>
      <c r="G19" s="73" ph="1">
        <f>G18*9.0746*LOOKUP(G20,密度!$A$2:$A$50,密度!$B$2:$B$50)</f>
        <v>25456.793888</v>
      </c>
      <c r="H19" s="73" ph="1">
        <f>H18*9.0746*LOOKUP(H20,密度!$A$2:$A$50,密度!$L$2:$L$50)</f>
        <v>9276.0561199999993</v>
      </c>
      <c r="I19" s="73" ph="1">
        <f>I18*9.0746*LOOKUP(I20,密度!$A$2:$A$50,密度!$U$2:$U$50)</f>
        <v>37.3147552</v>
      </c>
      <c r="J19" s="73" ph="1">
        <f>J18*9.0746*LOOKUP(J20,密度!$A$2:$A$50,密度!$L$2:$L$50)</f>
        <v>3360.1156641999996</v>
      </c>
      <c r="K19" s="73" ph="1">
        <f>K18*9.0746*LOOKUP(K20,密度!$A$2:$A$50,密度!$C$2:$C$50)</f>
        <v>18570.054539119999</v>
      </c>
      <c r="L19" s="73" ph="1">
        <f>L18*9.0746*LOOKUP(L20,密度!$A$2:$A$50,密度!$E$2:$E$50)</f>
        <v>24699.6773235</v>
      </c>
      <c r="M19" s="73" ph="1">
        <f>M18*9.0746*LOOKUP(M20,密度!$A$2:$A$50,密度!$M$2:$M$50)</f>
        <v>26241.796698300001</v>
      </c>
      <c r="N19" s="73" ph="1">
        <f>N18*9.0746*LOOKUP(N20,密度!$A$2:$A$50,密度!$M$2:$M$50)</f>
        <v>910.67422332000001</v>
      </c>
      <c r="O19" s="73" ph="1">
        <f>O18*9.0746*LOOKUP(O20,密度!$A$2:$A$50,密度!$G$2:$G$50)</f>
        <v>2033.3456220000003</v>
      </c>
      <c r="P19" s="73" ph="1">
        <f ca="1">P18*9.0746*LOOKUP(P20,密度!$A$2:$A$51,密度!$Q$2:$Q$50)</f>
        <v>0</v>
      </c>
      <c r="Q19" s="73" ph="1">
        <f>Q18*9.0746*LOOKUP(Q20,密度!$A$2:$A$50,密度!$Q$2:$Q$50)</f>
        <v>52587.418980564005</v>
      </c>
      <c r="R19" s="73" ph="1">
        <f>MAX(R18*9.0746*LOOKUP(R20,密度!$A$2:$A$50,密度!$B$2:$B$50),0)</f>
        <v>24872.306161680001</v>
      </c>
      <c r="S19" s="73" ph="1">
        <f>S18*9.0746*LOOKUP(S20,密度!$A$2:$A$50,密度!$Q$2:$Q$50)</f>
        <v>48576.881179872005</v>
      </c>
      <c r="T19" s="73" ph="1">
        <f>T18*9.0746*LOOKUP(T20,密度!$A$2:$A$50,密度!$O$2:$O$50)</f>
        <v>33275.505546400003</v>
      </c>
      <c r="U19" s="73" ph="1">
        <f>U18*9.0746*LOOKUP(U20,密度!$A$2:$A$50,密度!$H$2:$H$50)</f>
        <v>28112.73057426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215.4641142240007</v>
      </c>
      <c r="X19" s="73" ph="1">
        <f>MAX(5600*LOOKUP(X20,密度!$A$2:$A$50,密度!$I$2:$I$50)+X18*9.0476*LOOKUP(X20,密度!$A$2:$A$50,密度!$I$2:$I$50),0)</f>
        <v>15828.857052840001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200.88260527999998</v>
      </c>
      <c r="AB19" s="73" ph="1">
        <f>AB18*9.0746*LOOKUP(AB20,密度!$A$2:$A$50,密度!$L$2:$L$50)</f>
        <v>53825.263931999994</v>
      </c>
      <c r="AC19" s="73" ph="1">
        <f>AC18*9.0746*LOOKUP(AC20,密度!$A$2:$A$50,密度!$L$2:$L$50)</f>
        <v>55866.068875199999</v>
      </c>
      <c r="AD19" s="73" ph="1">
        <f>AD18*268.68*LOOKUP(AD20,密度!$A$2:$A$50,密度!B5:B53)+IF(AD18&lt;=0,0,1566*LOOKUP(AD20,密度!$A$2:$A$50,密度!B5:B53))</f>
        <v>18828.143409599998</v>
      </c>
      <c r="AE19" s="73" ph="1">
        <f>AE18*268.68*LOOKUP(AE20,密度!$A$2:$A$50,密度!B5:B53)+IF(AE18&lt;=0,0,1566*LOOKUP(AE20,密度!$A$2:$A$50,密度!B5:B53))</f>
        <v>12586.0890456</v>
      </c>
      <c r="AH19" s="72" ph="1">
        <v>5</v>
      </c>
      <c r="AI19" s="72" t="s" ph="1">
        <v>385</v>
      </c>
      <c r="AZ19" s="72" t="s" ph="1">
        <v>260</v>
      </c>
      <c r="BA19" s="72" ph="1">
        <v>0</v>
      </c>
      <c r="BD19" s="72" t="s" ph="1">
        <v>386</v>
      </c>
      <c r="BE19" s="72" ph="1">
        <v>1440</v>
      </c>
    </row>
    <row r="20" spans="1:57" ph="1">
      <c r="A20" s="72" ph="1"/>
      <c r="B20" s="215" ph="1"/>
      <c r="C20" s="80" t="s" ph="1">
        <v>213</v>
      </c>
      <c r="D20" s="81">
        <v>15</v>
      </c>
      <c r="E20" s="81">
        <v>15</v>
      </c>
      <c r="F20" s="81">
        <v>16</v>
      </c>
      <c r="G20" s="81">
        <v>15</v>
      </c>
      <c r="H20" s="81">
        <v>12</v>
      </c>
      <c r="I20" s="81">
        <v>15</v>
      </c>
      <c r="J20" s="81">
        <v>15</v>
      </c>
      <c r="K20" s="81">
        <v>15</v>
      </c>
      <c r="L20" s="81">
        <v>15</v>
      </c>
      <c r="M20" s="81">
        <v>16</v>
      </c>
      <c r="N20" s="81">
        <v>14</v>
      </c>
      <c r="O20" s="81">
        <v>16</v>
      </c>
      <c r="P20" s="81">
        <v>20</v>
      </c>
      <c r="Q20" s="81">
        <v>15</v>
      </c>
      <c r="R20" s="81">
        <v>19</v>
      </c>
      <c r="S20" s="81">
        <v>15</v>
      </c>
      <c r="T20" s="81">
        <v>15</v>
      </c>
      <c r="U20" s="81">
        <v>13</v>
      </c>
      <c r="V20" s="81">
        <v>15</v>
      </c>
      <c r="W20" s="81">
        <v>15</v>
      </c>
      <c r="X20" s="81">
        <v>29</v>
      </c>
      <c r="Y20" s="110">
        <v>29</v>
      </c>
      <c r="Z20" s="81">
        <v>18</v>
      </c>
      <c r="AA20" s="81">
        <v>12</v>
      </c>
      <c r="AB20" s="81">
        <v>16</v>
      </c>
      <c r="AC20" s="81">
        <v>14</v>
      </c>
      <c r="AD20" s="81">
        <v>25</v>
      </c>
      <c r="AE20" s="81">
        <v>25</v>
      </c>
      <c r="AH20" s="64" ph="1">
        <v>6</v>
      </c>
      <c r="AI20" s="64" t="s" ph="1">
        <v>387</v>
      </c>
      <c r="AZ20" s="64" t="s" ph="1">
        <v>260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388</v>
      </c>
      <c r="AZ21" s="64" t="s" ph="1">
        <v>260</v>
      </c>
      <c r="BA21" s="64" ph="1">
        <v>0</v>
      </c>
      <c r="BD21" s="64" t="s" ph="1">
        <v>276</v>
      </c>
      <c r="BE21" s="64" ph="1">
        <v>730</v>
      </c>
    </row>
    <row r="22" spans="1:57" ph="1">
      <c r="A22" s="72" ph="1"/>
      <c r="B22" s="213" t="s" ph="1">
        <v>37</v>
      </c>
      <c r="C22" s="85" t="s" ph="1">
        <v>210</v>
      </c>
      <c r="D22" s="86" t="s" ph="1">
        <v>104</v>
      </c>
      <c r="E22" s="86" t="s" ph="1">
        <v>105</v>
      </c>
      <c r="F22" s="86" t="s" ph="1">
        <v>106</v>
      </c>
      <c r="G22" s="86" t="s" ph="1">
        <v>107</v>
      </c>
      <c r="H22" s="86" t="s" ph="1">
        <v>108</v>
      </c>
      <c r="I22" s="86" t="s" ph="1">
        <v>109</v>
      </c>
      <c r="J22" s="86" t="s" ph="1">
        <v>110</v>
      </c>
      <c r="K22" s="86" t="s" ph="1">
        <v>111</v>
      </c>
      <c r="L22" s="86" t="s" ph="1">
        <v>112</v>
      </c>
      <c r="M22" s="86" t="s" ph="1">
        <v>113</v>
      </c>
      <c r="N22" s="86" t="s" ph="1">
        <v>114</v>
      </c>
      <c r="O22" s="86" t="s" ph="1">
        <v>115</v>
      </c>
      <c r="P22" s="86" t="s" ph="1">
        <v>116</v>
      </c>
      <c r="Q22" s="87" t="s" ph="1">
        <v>117</v>
      </c>
      <c r="R22" s="86" t="s" ph="1">
        <v>118</v>
      </c>
      <c r="S22" s="86" t="s" ph="1">
        <v>119</v>
      </c>
      <c r="T22" s="86" t="s" ph="1">
        <v>120</v>
      </c>
      <c r="U22" s="86" t="s" ph="1">
        <v>121</v>
      </c>
      <c r="V22" s="86" t="s" ph="1">
        <v>122</v>
      </c>
      <c r="W22" s="86" t="s" ph="1">
        <v>123</v>
      </c>
      <c r="X22" s="86" t="s" ph="1">
        <v>124</v>
      </c>
      <c r="Y22" s="86" t="s" ph="1">
        <v>126</v>
      </c>
      <c r="Z22" s="223" t="s" ph="1">
        <v>79</v>
      </c>
      <c r="AA22" s="224"/>
      <c r="AB22" s="224"/>
      <c r="AC22" s="224"/>
      <c r="AD22" s="224"/>
      <c r="AE22" s="225"/>
      <c r="AH22" s="64" ph="1">
        <v>8</v>
      </c>
      <c r="AI22" s="64" t="s" ph="1">
        <v>389</v>
      </c>
      <c r="AZ22" s="64" t="s" ph="1">
        <v>260</v>
      </c>
      <c r="BA22" s="64" ph="1">
        <v>0</v>
      </c>
    </row>
    <row r="23" spans="1:57" ph="1">
      <c r="A23" s="72" ph="1"/>
      <c r="B23" s="217" ph="1"/>
      <c r="C23" s="67" t="s" ph="1">
        <v>36</v>
      </c>
      <c r="D23" s="88" t="s" ph="1">
        <v>128</v>
      </c>
      <c r="E23" s="88" t="s" ph="1">
        <v>125</v>
      </c>
      <c r="F23" s="88" t="s" ph="1">
        <v>224</v>
      </c>
      <c r="G23" s="88" t="s" ph="1">
        <v>165</v>
      </c>
      <c r="H23" s="88" t="s" ph="1">
        <v>165</v>
      </c>
      <c r="I23" s="88" t="s" ph="1">
        <v>166</v>
      </c>
      <c r="J23" s="88" t="s" ph="1">
        <v>167</v>
      </c>
      <c r="K23" s="88" t="s" ph="1">
        <v>129</v>
      </c>
      <c r="L23" s="88" t="s" ph="1">
        <v>129</v>
      </c>
      <c r="M23" s="88" t="s" ph="1">
        <v>167</v>
      </c>
      <c r="N23" s="88" t="s" ph="1">
        <v>167</v>
      </c>
      <c r="O23" s="88" t="s" ph="1">
        <v>132</v>
      </c>
      <c r="P23" s="88" t="s" ph="1">
        <v>168</v>
      </c>
      <c r="Q23" s="89" t="s" ph="1">
        <v>168</v>
      </c>
      <c r="R23" s="88" t="s" ph="1">
        <v>169</v>
      </c>
      <c r="S23" s="88" t="s" ph="1">
        <v>170</v>
      </c>
      <c r="T23" s="88" t="s" ph="1">
        <v>651</v>
      </c>
      <c r="U23" s="88" t="s" ph="1">
        <v>660</v>
      </c>
      <c r="V23" s="88" t="s" ph="1">
        <v>172</v>
      </c>
      <c r="W23" s="88" t="s" ph="1">
        <v>170</v>
      </c>
      <c r="X23" s="88" t="s" ph="1">
        <v>231</v>
      </c>
      <c r="Y23" s="88" t="s" ph="1">
        <v>97</v>
      </c>
      <c r="Z23" s="226" t="s" ph="1">
        <v>658</v>
      </c>
      <c r="AA23" s="227"/>
      <c r="AB23" s="227"/>
      <c r="AC23" s="227"/>
      <c r="AD23" s="227"/>
      <c r="AE23" s="228"/>
      <c r="AH23" s="64" ph="1">
        <v>9</v>
      </c>
      <c r="AI23" s="64" t="s" ph="1">
        <v>390</v>
      </c>
      <c r="AZ23" s="64" t="s" ph="1">
        <v>260</v>
      </c>
      <c r="BA23" s="64" ph="1">
        <v>0</v>
      </c>
      <c r="BD23" s="64" t="s" ph="1">
        <v>282</v>
      </c>
      <c r="BE23" s="64" ph="1">
        <v>890</v>
      </c>
    </row>
    <row r="24" spans="1:57" ph="1">
      <c r="A24" s="72" ph="1"/>
      <c r="B24" s="235" ph="1">
        <v>0.33333333333333331</v>
      </c>
      <c r="C24" s="151" t="s" ph="1">
        <v>211</v>
      </c>
      <c r="D24" s="71">
        <v>44.11</v>
      </c>
      <c r="E24" s="71">
        <v>97.55</v>
      </c>
      <c r="F24" s="71">
        <v>2148</v>
      </c>
      <c r="G24" s="71">
        <v>3913</v>
      </c>
      <c r="H24" s="71">
        <v>3574</v>
      </c>
      <c r="I24" s="71">
        <v>2533</v>
      </c>
      <c r="J24" s="71">
        <v>2449</v>
      </c>
      <c r="K24" s="71">
        <v>5609</v>
      </c>
      <c r="L24" s="71">
        <v>5583</v>
      </c>
      <c r="M24" s="71">
        <v>1384</v>
      </c>
      <c r="N24" s="71">
        <v>869</v>
      </c>
      <c r="O24" s="71">
        <v>2055</v>
      </c>
      <c r="P24" s="71">
        <v>2478</v>
      </c>
      <c r="Q24" s="90">
        <v>2858</v>
      </c>
      <c r="R24" s="71">
        <v>2016</v>
      </c>
      <c r="S24" s="71">
        <v>184</v>
      </c>
      <c r="T24" s="71">
        <v>6391</v>
      </c>
      <c r="U24" s="71">
        <v>5070</v>
      </c>
      <c r="V24" s="71">
        <v>5080</v>
      </c>
      <c r="W24" s="71">
        <v>11509</v>
      </c>
      <c r="X24" s="71">
        <v>9917</v>
      </c>
      <c r="Y24" s="71">
        <v>5030</v>
      </c>
      <c r="Z24" s="229"/>
      <c r="AA24" s="230"/>
      <c r="AB24" s="230"/>
      <c r="AC24" s="230"/>
      <c r="AD24" s="230"/>
      <c r="AE24" s="231"/>
      <c r="AH24" s="64" ph="1">
        <v>10</v>
      </c>
      <c r="AI24" s="64" t="s" ph="1">
        <v>391</v>
      </c>
      <c r="AZ24" s="64" t="s" ph="1">
        <v>260</v>
      </c>
      <c r="BA24" s="64" ph="1">
        <v>0</v>
      </c>
    </row>
    <row r="25" spans="1:57" ph="1">
      <c r="A25" s="72" ph="1"/>
      <c r="B25" s="235" ph="1"/>
      <c r="C25" s="68" t="s" ph="1">
        <v>212</v>
      </c>
      <c r="D25" s="91" ph="1">
        <f>D24*268.68*LOOKUP(D26,密度!$A$2:$A$50,密度!$Q$2:$Q$50)+IF(D24&lt;=0,0,1566*LOOKUP(D26,密度!$A$2:$A$50,密度!$Q$2:$Q$50))</f>
        <v>12702.860092151999</v>
      </c>
      <c r="E25" s="91" ph="1">
        <f>E24*268.68*LOOKUP(E26,密度!$A$2:$A$50,密度!$C$2:$C$50)+IF(E24&lt;=0,0,1566*LOOKUP(E26,密度!$A$2:$A$50,密度!$C$2:$C$50))</f>
        <v>30800.5114326</v>
      </c>
      <c r="F25" s="91" ph="1">
        <f>F24*11.702*LOOKUP(F26,密度!$A$2:$A$50,密度!$Q$2:$Q$50)</f>
        <v>23993.218167840001</v>
      </c>
      <c r="G25" s="91" ph="1">
        <f>G24*18.322*LOOKUP(G26,密度!$A$2:$A$50,密度!$B$2:$B$50)</f>
        <v>56559.385555399997</v>
      </c>
      <c r="H25" s="91" ph="1">
        <f>H24*18.322*LOOKUP(H26,密度!$A$2:$A$50,密度!$B$2:$B$50)</f>
        <v>51659.403009199996</v>
      </c>
      <c r="I25" s="91" ph="1">
        <f>I24*18.322*LOOKUP(I26,密度!$A$2:$A$50,密度!$Q$2:$Q$50)</f>
        <v>44299.844402039998</v>
      </c>
      <c r="J25" s="91" ph="1">
        <f>J24*18.322*LOOKUP(J26,密度!$A$2:$A$50,密度!$Q$2:$Q$50)</f>
        <v>42830.761524120004</v>
      </c>
      <c r="K25" s="91" ph="1">
        <f>K24*18.322*LOOKUP(K26,密度!$A$2:$A$50,密度!$Q$2:$Q$50)</f>
        <v>98096.260264919998</v>
      </c>
      <c r="L25" s="91" ph="1">
        <f>L24*18.322*LOOKUP(L26,密度!$A$2:$A$50,密度!$Q$2:$Q$50)</f>
        <v>97641.54413604</v>
      </c>
      <c r="M25" s="91" ph="1">
        <f>M24*18.322*LOOKUP(M26,密度!$A$2:$A$50,密度!$Q$2:$Q$50)</f>
        <v>24204.88932192</v>
      </c>
      <c r="N25" s="91" ph="1">
        <f>N24*18.322*LOOKUP(N26,密度!$A$2:$A$50,密度!$Q$2:$Q$50)</f>
        <v>15198.012153719999</v>
      </c>
      <c r="O25" s="91" ph="1">
        <f>O24*18.322*LOOKUP(O26,密度!$A$2:$A$50,密度!$C$2:$C$50)</f>
        <v>42041.899385999997</v>
      </c>
      <c r="P25" s="91" ph="1">
        <f>P24*11.702*LOOKUP(P26,密度!$A$2:$A$50,密度!$B$2:$B$50)</f>
        <v>22899.369973199999</v>
      </c>
      <c r="Q25" s="92" ph="1">
        <f>Q24*18.322*LOOKUP(Q26,密度!$A$2:$A$50,密度!$B$2:$B$50)</f>
        <v>41352.068757199995</v>
      </c>
      <c r="R25" s="91" ph="1">
        <f>R24*35.891*LOOKUP(R26,密度!$A$2:$A$50,密度!$C$2:$C$50)</f>
        <v>80792.995449599999</v>
      </c>
      <c r="S25" s="91" ph="1">
        <f>S24*35.891*LOOKUP(S26,密度!$A$2:$A$50,密度!$B$2:$B$50)</f>
        <v>5209.8514216000003</v>
      </c>
      <c r="T25" s="91" ph="1">
        <f>T24*35.891*LOOKUP(T26,密度!$A$2:$A$50,密度!$Q$2:$Q$50)</f>
        <v>218736.17772159999</v>
      </c>
      <c r="U25" s="91" ph="1">
        <f>U24*35.891</f>
        <v>181967.37</v>
      </c>
      <c r="V25" s="91" ph="1">
        <f>V24*47.051*LOOKUP(V26,密度!$A$2:$A$50,密度!$B$2:$B$50)</f>
        <v>188347.03504000002</v>
      </c>
      <c r="W25" s="91" ph="1">
        <f>W24*47.051*LOOKUP(W26,密度!$A$2:$A$50,密度!$B$2:$B$50)</f>
        <v>427197.20665510005</v>
      </c>
      <c r="X25" s="91" ph="1">
        <f>X24*47.051*LOOKUP(X26,密度!$A$2:$A$50,密度!$I$2:$I$50)</f>
        <v>483234.56089587993</v>
      </c>
      <c r="Y25" s="91" ph="1">
        <f>Y24*47.051*LOOKUP(Y26,密度!$A$2:$A$50,密度!$L$2:$L$50)</f>
        <v>224123.20390999998</v>
      </c>
      <c r="Z25" s="229"/>
      <c r="AA25" s="230"/>
      <c r="AB25" s="230"/>
      <c r="AC25" s="230"/>
      <c r="AD25" s="230"/>
      <c r="AE25" s="231"/>
      <c r="AH25" s="64" ph="1">
        <v>11</v>
      </c>
      <c r="AI25" s="64" t="s" ph="1">
        <v>392</v>
      </c>
      <c r="AZ25" s="64" t="s" ph="1">
        <v>260</v>
      </c>
      <c r="BA25" s="64" ph="1">
        <v>0</v>
      </c>
      <c r="BD25" s="64" t="s" ph="1">
        <v>285</v>
      </c>
      <c r="BE25" s="64" ph="1">
        <v>8920</v>
      </c>
    </row>
    <row r="26" spans="1:57" ph="1">
      <c r="A26" s="72" ph="1"/>
      <c r="B26" s="235" ph="1"/>
      <c r="C26" s="68" t="s" ph="1">
        <v>213</v>
      </c>
      <c r="D26" s="74">
        <v>25</v>
      </c>
      <c r="E26" s="74">
        <v>25</v>
      </c>
      <c r="F26" s="74">
        <v>15</v>
      </c>
      <c r="G26" s="74">
        <v>14</v>
      </c>
      <c r="H26" s="74">
        <v>14</v>
      </c>
      <c r="I26" s="74">
        <v>13</v>
      </c>
      <c r="J26" s="74">
        <v>15</v>
      </c>
      <c r="K26" s="74">
        <v>13</v>
      </c>
      <c r="L26" s="74">
        <v>15</v>
      </c>
      <c r="M26" s="74">
        <v>14</v>
      </c>
      <c r="N26" s="74">
        <v>14</v>
      </c>
      <c r="O26" s="74">
        <v>14</v>
      </c>
      <c r="P26" s="74">
        <v>13</v>
      </c>
      <c r="Q26" s="93">
        <v>13</v>
      </c>
      <c r="R26" s="74">
        <v>14</v>
      </c>
      <c r="S26" s="74">
        <v>14</v>
      </c>
      <c r="T26" s="74">
        <v>16</v>
      </c>
      <c r="U26" s="74">
        <v>15</v>
      </c>
      <c r="V26" s="74">
        <v>15</v>
      </c>
      <c r="W26" s="74">
        <v>14</v>
      </c>
      <c r="X26" s="74">
        <v>53</v>
      </c>
      <c r="Y26" s="74">
        <v>15</v>
      </c>
      <c r="Z26" s="229"/>
      <c r="AA26" s="230"/>
      <c r="AB26" s="230"/>
      <c r="AC26" s="230"/>
      <c r="AD26" s="230"/>
      <c r="AE26" s="231"/>
      <c r="AH26" s="64" ph="1">
        <v>12</v>
      </c>
      <c r="AI26" s="64" t="s" ph="1">
        <v>393</v>
      </c>
      <c r="AZ26" s="64" t="s" ph="1">
        <v>260</v>
      </c>
      <c r="BA26" s="64" ph="1">
        <v>0</v>
      </c>
    </row>
    <row r="27" spans="1:57" ph="1">
      <c r="A27" s="72" ph="1"/>
      <c r="B27" s="235" ph="1">
        <v>0.66666666666666663</v>
      </c>
      <c r="C27" s="151" t="s" ph="1">
        <v>214</v>
      </c>
      <c r="D27" s="71">
        <v>44.12</v>
      </c>
      <c r="E27" s="71">
        <v>97.56</v>
      </c>
      <c r="F27" s="71">
        <v>2148</v>
      </c>
      <c r="G27" s="71">
        <v>3305</v>
      </c>
      <c r="H27" s="71">
        <v>3426</v>
      </c>
      <c r="I27" s="71">
        <v>2531</v>
      </c>
      <c r="J27" s="71">
        <v>2446</v>
      </c>
      <c r="K27" s="71">
        <v>5606</v>
      </c>
      <c r="L27" s="71">
        <v>5577</v>
      </c>
      <c r="M27" s="71">
        <v>1381</v>
      </c>
      <c r="N27" s="71">
        <v>866</v>
      </c>
      <c r="O27" s="71">
        <v>2052</v>
      </c>
      <c r="P27" s="71">
        <v>2478</v>
      </c>
      <c r="Q27" s="90">
        <v>3469</v>
      </c>
      <c r="R27" s="71">
        <v>2014</v>
      </c>
      <c r="S27" s="71">
        <v>182</v>
      </c>
      <c r="T27" s="71">
        <v>6389</v>
      </c>
      <c r="U27" s="71">
        <v>5050</v>
      </c>
      <c r="V27" s="71">
        <v>4826</v>
      </c>
      <c r="W27" s="71">
        <v>11507</v>
      </c>
      <c r="X27" s="71">
        <v>9427</v>
      </c>
      <c r="Y27" s="71">
        <v>3975</v>
      </c>
      <c r="Z27" s="229"/>
      <c r="AA27" s="230"/>
      <c r="AB27" s="230"/>
      <c r="AC27" s="230"/>
      <c r="AD27" s="230"/>
      <c r="AE27" s="231"/>
      <c r="AH27" s="64" ph="1">
        <v>13</v>
      </c>
      <c r="AI27" s="64" t="s" ph="1">
        <v>394</v>
      </c>
      <c r="AZ27" s="64" t="s" ph="1">
        <v>260</v>
      </c>
      <c r="BA27" s="64" ph="1">
        <v>0</v>
      </c>
      <c r="BD27" s="64" t="s" ph="1">
        <v>339</v>
      </c>
      <c r="BE27" s="64" ph="1">
        <v>7100</v>
      </c>
    </row>
    <row r="28" spans="1:57" ph="1">
      <c r="A28" s="72" ph="1"/>
      <c r="B28" s="235" ph="1"/>
      <c r="C28" s="151" t="s" ph="1">
        <v>212</v>
      </c>
      <c r="D28" s="91" ph="1">
        <f>D27*268.68*LOOKUP(D29,密度!$A$2:$A$50,密度!$Q$2:$Q$50)+IF(D27&lt;=0,0,1566*LOOKUP(D29,密度!$A$2:$A$50,密度!$Q$2:$Q$50))</f>
        <v>12705.403793183999</v>
      </c>
      <c r="E28" s="91" ph="1">
        <f>E27*268.68*LOOKUP(E29,密度!$A$2:$A$50,密度!$C$2:$C$50)+IF(E27&lt;=0,0,1566*LOOKUP(E29,密度!$A$2:$A$50,密度!$C$2:$C$50))</f>
        <v>30803.490825119999</v>
      </c>
      <c r="F28" s="91" ph="1">
        <f>F27*11.702*LOOKUP(F29,密度!$A$2:$A$50,密度!$Q$2:$Q$50)</f>
        <v>23949.481708800002</v>
      </c>
      <c r="G28" s="91" ph="1">
        <f>G27*18.322*LOOKUP(G29,密度!$A$2:$A$50,密度!$B$2:$B$50)</f>
        <v>47716.717479999999</v>
      </c>
      <c r="H28" s="91" ph="1">
        <f>H27*18.322*LOOKUP(H29,密度!$A$2:$A$50,密度!$B$2:$B$50)</f>
        <v>49463.683536000004</v>
      </c>
      <c r="I28" s="91" ph="1">
        <f>I27*18.322*LOOKUP(I29,密度!$A$2:$A$50,密度!$Q$2:$Q$50)</f>
        <v>44264.866238279996</v>
      </c>
      <c r="J28" s="91" ph="1">
        <f>J27*18.322*LOOKUP(J29,密度!$A$2:$A$50,密度!$Q$2:$Q$50)</f>
        <v>42778.294278480003</v>
      </c>
      <c r="K28" s="91" ph="1">
        <f>K27*18.322*LOOKUP(K29,密度!$A$2:$A$50,密度!$Q$2:$Q$50)</f>
        <v>98043.793019279998</v>
      </c>
      <c r="L28" s="91" ph="1">
        <f>L27*18.322*LOOKUP(L29,密度!$A$2:$A$50,密度!$Q$2:$Q$50)</f>
        <v>97440.558758400002</v>
      </c>
      <c r="M28" s="91" ph="1">
        <f>M27*18.322*LOOKUP(M29,密度!$A$2:$A$50,密度!$Q$2:$Q$50)</f>
        <v>24152.42207628</v>
      </c>
      <c r="N28" s="91" ph="1">
        <f>N27*18.322*LOOKUP(N29,密度!$A$2:$A$50,密度!$Q$2:$Q$50)</f>
        <v>15145.544908079999</v>
      </c>
      <c r="O28" s="91" ph="1">
        <f>O27*18.322*LOOKUP(O29,密度!$A$2:$A$50,密度!$C$2:$C$50)</f>
        <v>41950.446955199994</v>
      </c>
      <c r="P28" s="91" ph="1">
        <f>P27*11.702*LOOKUP(P29,密度!$A$2:$A$50,密度!$B$2:$B$50)</f>
        <v>22826.876083200001</v>
      </c>
      <c r="Q28" s="92" ph="1">
        <f>Q27*18.322*LOOKUP(Q29,密度!$A$2:$A$50,密度!$B$2:$B$50)</f>
        <v>50141.709300199997</v>
      </c>
      <c r="R28" s="91" ph="1">
        <f>R27*35.891*LOOKUP(R29,密度!$A$2:$A$50,密度!$C$2:$C$50)</f>
        <v>80712.843668400004</v>
      </c>
      <c r="S28" s="91" ph="1">
        <f>S27*35.891*LOOKUP(S29,密度!$A$2:$A$50,密度!$B$2:$B$50)</f>
        <v>5147.343656</v>
      </c>
      <c r="T28" s="91" ph="1">
        <f>T27*35.891*LOOKUP(T29,密度!$A$2:$A$50,密度!$Q$2:$Q$50)</f>
        <v>218484.28032719999</v>
      </c>
      <c r="U28" s="91" ph="1">
        <f>U27*35.891</f>
        <v>181249.55</v>
      </c>
      <c r="V28" s="91" ph="1">
        <f>V27*47.051*LOOKUP(V29,密度!$A$2:$A$50,密度!$B$2:$B$50)</f>
        <v>178929.68328800003</v>
      </c>
      <c r="W28" s="91" ph="1">
        <f>W27*47.051*LOOKUP(W29,密度!$A$2:$A$50,密度!$B$2:$B$50)</f>
        <v>426202.56263040006</v>
      </c>
      <c r="X28" s="91" ph="1">
        <f>X27*47.051*LOOKUP(X29,密度!$A$2:$A$50,密度!$I$2:$I$50)</f>
        <v>459357.89105227997</v>
      </c>
      <c r="Y28" s="91" ph="1">
        <f>Y27*47.051*LOOKUP(Y29,密度!$A$2:$A$50,密度!$L$2:$L$50)</f>
        <v>176741.200125</v>
      </c>
      <c r="Z28" s="229"/>
      <c r="AA28" s="230"/>
      <c r="AB28" s="230"/>
      <c r="AC28" s="230"/>
      <c r="AD28" s="230"/>
      <c r="AE28" s="231"/>
      <c r="AH28" s="64" ph="1">
        <v>14</v>
      </c>
      <c r="AI28" s="64" t="s" ph="1">
        <v>395</v>
      </c>
      <c r="AZ28" s="64" t="s" ph="1">
        <v>260</v>
      </c>
      <c r="BA28" s="64" ph="1">
        <v>0</v>
      </c>
    </row>
    <row r="29" spans="1:57" ph="1">
      <c r="A29" s="72" ph="1"/>
      <c r="B29" s="235" ph="1"/>
      <c r="C29" s="151" t="s" ph="1">
        <v>213</v>
      </c>
      <c r="D29" s="74">
        <v>25</v>
      </c>
      <c r="E29" s="74">
        <v>25</v>
      </c>
      <c r="F29" s="74">
        <v>17</v>
      </c>
      <c r="G29" s="74">
        <v>15</v>
      </c>
      <c r="H29" s="74">
        <v>15</v>
      </c>
      <c r="I29" s="74">
        <v>14</v>
      </c>
      <c r="J29" s="74">
        <v>15</v>
      </c>
      <c r="K29" s="74">
        <v>15</v>
      </c>
      <c r="L29" s="74">
        <v>16</v>
      </c>
      <c r="M29" s="74">
        <v>15</v>
      </c>
      <c r="N29" s="74">
        <v>15</v>
      </c>
      <c r="O29" s="74">
        <v>15</v>
      </c>
      <c r="P29" s="74">
        <v>16</v>
      </c>
      <c r="Q29" s="93">
        <v>14</v>
      </c>
      <c r="R29" s="74">
        <v>14</v>
      </c>
      <c r="S29" s="74">
        <v>15</v>
      </c>
      <c r="T29" s="74">
        <v>17</v>
      </c>
      <c r="U29" s="74">
        <v>16</v>
      </c>
      <c r="V29" s="74">
        <v>15</v>
      </c>
      <c r="W29" s="74">
        <v>16</v>
      </c>
      <c r="X29" s="74">
        <v>54</v>
      </c>
      <c r="Y29" s="74">
        <v>17</v>
      </c>
      <c r="Z29" s="232"/>
      <c r="AA29" s="233"/>
      <c r="AB29" s="233"/>
      <c r="AC29" s="233"/>
      <c r="AD29" s="233"/>
      <c r="AE29" s="234"/>
      <c r="AH29" s="64" ph="1">
        <v>15</v>
      </c>
      <c r="AI29" s="64" t="s" ph="1">
        <v>396</v>
      </c>
      <c r="AZ29" s="64" t="s" ph="1">
        <v>260</v>
      </c>
      <c r="BA29" s="64" ph="1">
        <v>0</v>
      </c>
      <c r="BD29" s="64" t="s" ph="1">
        <v>397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398</v>
      </c>
      <c r="AZ30" s="64" t="s" ph="1">
        <v>260</v>
      </c>
      <c r="BA30" s="64" ph="1">
        <v>0</v>
      </c>
    </row>
    <row r="31" spans="1:57" ht="28.5" ph="1">
      <c r="A31" s="64"/>
      <c r="B31" s="218" t="s" ph="1">
        <v>35</v>
      </c>
      <c r="C31" s="219" ph="1"/>
      <c r="D31" s="222" t="s" ph="1">
        <v>9</v>
      </c>
      <c r="E31" s="197" ph="1"/>
      <c r="F31" s="198" ph="1"/>
      <c r="G31" s="222" t="s" ph="1">
        <v>18</v>
      </c>
      <c r="H31" s="197" ph="1"/>
      <c r="I31" s="198" ph="1"/>
      <c r="J31" s="196" t="s" ph="1">
        <v>1</v>
      </c>
      <c r="K31" s="197" ph="1"/>
      <c r="L31" s="198" ph="1"/>
      <c r="M31" s="196" t="s" ph="1">
        <v>7</v>
      </c>
      <c r="N31" s="197" ph="1"/>
      <c r="O31" s="198" ph="1"/>
      <c r="P31" s="196" t="s" ph="1">
        <v>42</v>
      </c>
      <c r="Q31" s="197"/>
      <c r="R31" s="198"/>
      <c r="S31" s="196" t="s" ph="1">
        <v>2</v>
      </c>
      <c r="T31" s="197"/>
      <c r="U31" s="198"/>
      <c r="V31" s="196" t="s" ph="1">
        <v>81</v>
      </c>
      <c r="W31" s="197" ph="1"/>
      <c r="X31" s="198" ph="1"/>
      <c r="Y31" s="196" t="s" ph="1">
        <v>3</v>
      </c>
      <c r="Z31" s="197" ph="1"/>
      <c r="AA31" s="198" ph="1"/>
      <c r="AB31" s="199" t="s">
        <v>43</v>
      </c>
      <c r="AC31" s="200"/>
      <c r="AD31" s="200"/>
      <c r="AE31" s="201"/>
      <c r="AH31" s="64" ph="1">
        <v>17</v>
      </c>
      <c r="AI31" s="64" t="s" ph="1">
        <v>399</v>
      </c>
      <c r="AZ31" s="64" t="s" ph="1">
        <v>260</v>
      </c>
      <c r="BA31" s="64" ph="1">
        <v>0</v>
      </c>
      <c r="BD31" s="64" t="s" ph="1">
        <v>400</v>
      </c>
      <c r="BE31" s="64" ph="1">
        <v>9310</v>
      </c>
    </row>
    <row r="32" spans="1:57" ph="1">
      <c r="A32" s="64"/>
      <c r="B32" s="220" ph="1"/>
      <c r="C32" s="221" ph="1"/>
      <c r="D32" s="96" t="s" ph="1">
        <v>4</v>
      </c>
      <c r="E32" s="151" t="s" ph="1">
        <v>5</v>
      </c>
      <c r="F32" s="150" t="s" ph="1">
        <v>44</v>
      </c>
      <c r="G32" s="97" t="s" ph="1">
        <v>4</v>
      </c>
      <c r="H32" s="151" t="s" ph="1">
        <v>5</v>
      </c>
      <c r="I32" s="150" t="s" ph="1">
        <v>44</v>
      </c>
      <c r="J32" s="97" t="s" ph="1">
        <v>4</v>
      </c>
      <c r="K32" s="151" t="s" ph="1">
        <v>5</v>
      </c>
      <c r="L32" s="150" t="s" ph="1">
        <v>44</v>
      </c>
      <c r="M32" s="97" t="s" ph="1">
        <v>4</v>
      </c>
      <c r="N32" s="151" t="s" ph="1">
        <v>5</v>
      </c>
      <c r="O32" s="150" t="s" ph="1">
        <v>44</v>
      </c>
      <c r="P32" s="97" t="s" ph="1">
        <v>4</v>
      </c>
      <c r="Q32" s="98" t="s" ph="1">
        <v>5</v>
      </c>
      <c r="R32" s="99" t="s" ph="1">
        <v>44</v>
      </c>
      <c r="S32" s="97" t="s" ph="1">
        <v>4</v>
      </c>
      <c r="T32" s="151" t="s" ph="1">
        <v>5</v>
      </c>
      <c r="U32" s="99" t="s" ph="1">
        <v>44</v>
      </c>
      <c r="V32" s="97" t="s" ph="1">
        <v>4</v>
      </c>
      <c r="W32" s="151" t="s" ph="1">
        <v>5</v>
      </c>
      <c r="X32" s="99" t="s" ph="1">
        <v>44</v>
      </c>
      <c r="Y32" s="100" t="s" ph="1">
        <v>4</v>
      </c>
      <c r="Z32" s="151" t="s" ph="1">
        <v>5</v>
      </c>
      <c r="AA32" s="150" t="s" ph="1">
        <v>44</v>
      </c>
      <c r="AB32" s="97" t="s" ph="1">
        <v>102</v>
      </c>
      <c r="AC32" s="151" t="s" ph="1">
        <v>101</v>
      </c>
      <c r="AD32" s="202" t="s" ph="1">
        <v>100</v>
      </c>
      <c r="AE32" s="203"/>
      <c r="AH32" s="64" ph="1">
        <v>18</v>
      </c>
      <c r="AI32" s="64" t="s" ph="1">
        <v>401</v>
      </c>
      <c r="AZ32" s="64" t="s" ph="1">
        <v>260</v>
      </c>
      <c r="BA32" s="64" ph="1">
        <v>0</v>
      </c>
    </row>
    <row r="33" spans="1:57" ph="1">
      <c r="A33" s="64"/>
      <c r="B33" s="204" t="s" ph="1">
        <v>215</v>
      </c>
      <c r="C33" s="205" ph="1"/>
      <c r="D33" s="184" ph="1">
        <f>AA10+AB10+Z19</f>
        <v>66998.158433200006</v>
      </c>
      <c r="E33" s="184" ph="1">
        <f>M10+I10</f>
        <v>207635.42094910002</v>
      </c>
      <c r="F33" s="208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表格_取樣回收每月庫存表_0620更新15222526324567869101112131415161718192021234567891011121314151617181920222324243567891011121314151617181920212223456789101112131415161718192023456789101112131491015161718192221232345678910121314151617111819202122242523456789[[#This Row],[F25]]</f>
        <v>3880</v>
      </c>
      <c r="G33" s="210" ph="1">
        <v>0</v>
      </c>
      <c r="H33" s="184" ph="1">
        <f>N19</f>
        <v>910.67422332000001</v>
      </c>
      <c r="I33" s="188" ph="1">
        <v>0</v>
      </c>
      <c r="J33" s="192" ph="1">
        <f>F10+O28</f>
        <v>248886.63656819999</v>
      </c>
      <c r="K33" s="184" ph="1">
        <f>O10+K10+E28+R28</f>
        <v>150520.70592112001</v>
      </c>
      <c r="L33" s="194" ph="1">
        <f>BE27</f>
        <v>7100</v>
      </c>
      <c r="M33" s="192" ph="1">
        <f>G10+H10+W28+S28</f>
        <v>1014460.9128464002</v>
      </c>
      <c r="N33" s="184" ph="1">
        <f>L10+P10++G28+H28+V28</f>
        <v>311863.79886900005</v>
      </c>
      <c r="O33" s="188" ph="1">
        <f>BE17</f>
        <v>2270</v>
      </c>
      <c r="P33" s="192" ph="1">
        <f>L19</f>
        <v>24699.6773235</v>
      </c>
      <c r="Q33" s="184" ph="1">
        <f>J10+N10</f>
        <v>183615.04269919998</v>
      </c>
      <c r="R33" s="188" ph="1">
        <f>BE23</f>
        <v>890</v>
      </c>
      <c r="S33" s="192" ph="1">
        <f>E10+X28</f>
        <v>459357.89105227997</v>
      </c>
      <c r="T33" s="184" ph="1">
        <f>X19</f>
        <v>15828.857052840001</v>
      </c>
      <c r="U33" s="173" ph="1">
        <f>BE21</f>
        <v>730</v>
      </c>
      <c r="V33" s="186" ph="1">
        <f ca="1">P19+Q19+S19+M28+N28+J28</f>
        <v>183240.561423276</v>
      </c>
      <c r="W33" s="186" ph="1">
        <f>D28+F28+V19+T28</f>
        <v>255139.165829184</v>
      </c>
      <c r="X33" s="188" ph="1">
        <f>BE29+BE31</f>
        <v>10200</v>
      </c>
      <c r="Y33" s="190" ph="1">
        <f>+Q10+R10+S10+T10+U10+V10+W10+X10+Y10</f>
        <v>239246.20358099998</v>
      </c>
      <c r="Z33" s="171" ph="1">
        <f>D10+T19+U19+Y28+Z10</f>
        <v>500273.39281084004</v>
      </c>
      <c r="AA33" s="173" ph="1">
        <f>BE19</f>
        <v>1440</v>
      </c>
      <c r="AB33" s="175" ph="1">
        <f>I19</f>
        <v>37.3147552</v>
      </c>
      <c r="AC33" s="177" ph="1">
        <f>AD10</f>
        <v>71757.125094399991</v>
      </c>
      <c r="AD33" s="179" ph="1">
        <v>0</v>
      </c>
      <c r="AE33" s="180"/>
      <c r="AH33" s="64" ph="1">
        <v>19</v>
      </c>
      <c r="AI33" s="64" t="s" ph="1">
        <v>402</v>
      </c>
      <c r="AJ33" s="64" t="s" ph="1">
        <v>636</v>
      </c>
      <c r="AK33" s="64" t="s" ph="1">
        <v>633</v>
      </c>
      <c r="AL33" s="64" ph="1">
        <v>730</v>
      </c>
      <c r="AM33" s="64" t="s" ph="1">
        <v>383</v>
      </c>
      <c r="AZ33" s="64" t="s" ph="1">
        <v>260</v>
      </c>
      <c r="BA33" s="64" ph="1">
        <v>730</v>
      </c>
      <c r="BD33" s="64" t="s" ph="1">
        <v>334</v>
      </c>
      <c r="BE33" s="64" ph="1">
        <v>3880</v>
      </c>
    </row>
    <row r="34" spans="1:57" ph="1">
      <c r="A34" s="64"/>
      <c r="B34" s="206" ph="1"/>
      <c r="C34" s="207" ph="1"/>
      <c r="D34" s="185" ph="1"/>
      <c r="E34" s="185" ph="1"/>
      <c r="F34" s="209" ph="1"/>
      <c r="G34" s="211" ph="1"/>
      <c r="H34" s="185" ph="1"/>
      <c r="I34" s="189" ph="1"/>
      <c r="J34" s="193" ph="1"/>
      <c r="K34" s="185" ph="1"/>
      <c r="L34" s="195" ph="1"/>
      <c r="M34" s="193" ph="1"/>
      <c r="N34" s="185" ph="1"/>
      <c r="O34" s="189" ph="1"/>
      <c r="P34" s="193" ph="1"/>
      <c r="Q34" s="185" ph="1"/>
      <c r="R34" s="189" ph="1"/>
      <c r="S34" s="193" ph="1"/>
      <c r="T34" s="185"/>
      <c r="U34" s="174"/>
      <c r="V34" s="187" ph="1"/>
      <c r="W34" s="187" ph="1"/>
      <c r="X34" s="189" ph="1"/>
      <c r="Y34" s="191" ph="1"/>
      <c r="Z34" s="172" ph="1"/>
      <c r="AA34" s="174" ph="1"/>
      <c r="AB34" s="176"/>
      <c r="AC34" s="178"/>
      <c r="AD34" s="181"/>
      <c r="AE34" s="182"/>
      <c r="AH34" s="64" ph="1">
        <v>20</v>
      </c>
      <c r="AI34" s="64" t="s" ph="1">
        <v>403</v>
      </c>
      <c r="AJ34" s="64" t="s" ph="1">
        <v>637</v>
      </c>
      <c r="AK34" s="64" t="s" ph="1">
        <v>633</v>
      </c>
      <c r="AL34" s="64" ph="1">
        <v>720</v>
      </c>
      <c r="AM34" s="64" t="s" ph="1">
        <v>383</v>
      </c>
      <c r="AZ34" s="64" t="s" ph="1">
        <v>260</v>
      </c>
      <c r="BA34" s="64" ph="1">
        <v>720</v>
      </c>
    </row>
    <row r="35" spans="1:57" ph="1">
      <c r="A35" s="64"/>
      <c r="AC35" s="183" t="s" ph="1">
        <v>84</v>
      </c>
      <c r="AD35" s="183"/>
      <c r="AE35" s="183"/>
      <c r="AH35" s="64" ph="1">
        <v>21</v>
      </c>
      <c r="AI35" s="64" t="s" ph="1">
        <v>404</v>
      </c>
      <c r="AZ35" s="64" t="s" ph="1">
        <v>260</v>
      </c>
      <c r="BA35" s="64" ph="1">
        <v>0</v>
      </c>
      <c r="BD35" s="64" t="s" ph="1">
        <v>405</v>
      </c>
      <c r="BE35" s="64" ph="1">
        <v>2030</v>
      </c>
    </row>
    <row r="36" spans="1:57" ht="28.5" ph="1">
      <c r="A36" s="64"/>
      <c r="B36" s="103" t="s" ph="1">
        <v>216</v>
      </c>
      <c r="I36" s="169" t="s" ph="1">
        <v>217</v>
      </c>
      <c r="J36" s="169" ph="1"/>
      <c r="K36" s="101" ph="1"/>
      <c r="P36" s="101" ph="1"/>
      <c r="R36" s="169" t="s" ph="1">
        <v>218</v>
      </c>
      <c r="S36" s="169" ph="1"/>
      <c r="Y36" s="102" ph="1"/>
      <c r="Z36" s="149" t="s" ph="1">
        <v>219</v>
      </c>
      <c r="AA36" s="149" ph="1"/>
      <c r="AB36" s="170" t="s" ph="1">
        <v>655</v>
      </c>
      <c r="AC36" s="170" ph="1"/>
      <c r="AD36" s="170" ph="1"/>
      <c r="AE36" s="170" ph="1"/>
      <c r="BA36" s="64" ph="1">
        <v>2270</v>
      </c>
    </row>
    <row r="37" spans="1:57" s="14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9" t="s" ph="1">
        <v>386</v>
      </c>
      <c r="AI37" s="149" t="s" ph="1">
        <v>253</v>
      </c>
      <c r="AJ37" s="149" t="s" ph="1">
        <v>254</v>
      </c>
      <c r="AK37" s="149" t="s" ph="1">
        <v>255</v>
      </c>
      <c r="AM37" s="149" t="s" ph="1">
        <v>254</v>
      </c>
      <c r="AN37" s="149" t="s" ph="1">
        <v>255</v>
      </c>
      <c r="AO37" s="149" t="s" ph="1">
        <v>256</v>
      </c>
      <c r="AP37" s="149" t="s" ph="1">
        <v>254</v>
      </c>
      <c r="AQ37" s="149" t="s" ph="1">
        <v>255</v>
      </c>
      <c r="AR37" s="149" t="s" ph="1">
        <v>256</v>
      </c>
      <c r="AS37" s="149" t="s" ph="1">
        <v>254</v>
      </c>
      <c r="AT37" s="149" t="s" ph="1">
        <v>255</v>
      </c>
      <c r="AU37" s="149" t="s" ph="1">
        <v>256</v>
      </c>
      <c r="AV37" s="149" t="s" ph="1">
        <v>254</v>
      </c>
      <c r="AW37" s="149" t="s" ph="1">
        <v>255</v>
      </c>
      <c r="AX37" s="149" t="s" ph="1">
        <v>256</v>
      </c>
      <c r="AY37" s="149" t="s" ph="1">
        <v>255</v>
      </c>
      <c r="AZ37" s="149" t="s" ph="1">
        <v>257</v>
      </c>
      <c r="BD37" s="149" t="s" ph="1">
        <v>349</v>
      </c>
      <c r="BE37" s="149" ph="1">
        <v>0</v>
      </c>
    </row>
    <row r="38" spans="1:57" ph="1">
      <c r="AE38" s="64" ph="1"/>
      <c r="AH38" s="64" ph="1">
        <v>1</v>
      </c>
      <c r="AI38" s="64" t="s" ph="1">
        <v>406</v>
      </c>
      <c r="AY38" s="64" t="s" ph="1">
        <v>260</v>
      </c>
      <c r="AZ38" s="64" t="s" ph="1">
        <v>411</v>
      </c>
    </row>
    <row r="39" spans="1:57" ph="1">
      <c r="AH39" s="64" ph="1">
        <v>2</v>
      </c>
      <c r="AI39" s="64" t="s" ph="1">
        <v>408</v>
      </c>
      <c r="AJ39" s="64" t="s" ph="1">
        <v>380</v>
      </c>
      <c r="AK39" s="64" t="s" ph="1">
        <v>409</v>
      </c>
      <c r="AM39" s="64" t="s" ph="1">
        <v>614</v>
      </c>
      <c r="AN39" s="64" t="s" ph="1">
        <v>272</v>
      </c>
      <c r="AO39" s="64" t="s" ph="1">
        <v>407</v>
      </c>
      <c r="AY39" s="64" t="s" ph="1">
        <v>260</v>
      </c>
      <c r="AZ39" s="64" t="s" ph="1">
        <v>543</v>
      </c>
    </row>
    <row r="40" spans="1:57" ph="1">
      <c r="AH40" s="64" ph="1">
        <v>3</v>
      </c>
      <c r="AI40" s="64" t="s" ph="1">
        <v>410</v>
      </c>
      <c r="AJ40" s="64" t="s" ph="1">
        <v>614</v>
      </c>
      <c r="AK40" s="64" t="s" ph="1">
        <v>615</v>
      </c>
      <c r="AY40" s="64" t="s" ph="1">
        <v>260</v>
      </c>
      <c r="AZ40" s="64" t="s" ph="1">
        <v>615</v>
      </c>
    </row>
    <row r="41" spans="1:57" ph="1">
      <c r="AH41" s="64" ph="1">
        <v>4</v>
      </c>
      <c r="AI41" s="64" t="s" ph="1">
        <v>412</v>
      </c>
      <c r="AJ41" s="64" t="s" ph="1">
        <v>616</v>
      </c>
      <c r="AK41" s="64" t="s" ph="1">
        <v>617</v>
      </c>
      <c r="AM41" s="64" t="s" ph="1">
        <v>618</v>
      </c>
      <c r="AY41" s="64" t="s" ph="1">
        <v>260</v>
      </c>
      <c r="AZ41" s="64" t="s" ph="1">
        <v>617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413</v>
      </c>
      <c r="AY42" s="64" t="s" ph="1">
        <v>260</v>
      </c>
      <c r="AZ42" s="64" t="s" ph="1">
        <v>411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414</v>
      </c>
      <c r="AY43" s="64" t="s" ph="1">
        <v>260</v>
      </c>
      <c r="AZ43" s="64" t="s" ph="1">
        <v>411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415</v>
      </c>
      <c r="AV44" s="64" t="s" ph="1">
        <v>261</v>
      </c>
      <c r="AY44" s="64" t="s" ph="1">
        <v>260</v>
      </c>
      <c r="AZ44" s="64" t="s" ph="1">
        <v>411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416</v>
      </c>
      <c r="AV45" s="64" t="s" ph="1">
        <v>261</v>
      </c>
      <c r="AY45" s="64" t="s" ph="1">
        <v>260</v>
      </c>
      <c r="AZ45" s="64" t="s" ph="1">
        <v>411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417</v>
      </c>
      <c r="AV46" s="64" t="s" ph="1">
        <v>261</v>
      </c>
      <c r="AY46" s="64" t="s" ph="1">
        <v>260</v>
      </c>
      <c r="AZ46" s="64" t="s" ph="1">
        <v>411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418</v>
      </c>
      <c r="AV47" s="64" t="s" ph="1">
        <v>261</v>
      </c>
      <c r="AY47" s="64" t="s" ph="1">
        <v>260</v>
      </c>
      <c r="AZ47" s="64" t="s" ph="1">
        <v>411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619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276</v>
      </c>
      <c r="AI49" s="64" t="s" ph="1">
        <v>253</v>
      </c>
      <c r="AJ49" s="64" t="s" ph="1">
        <v>254</v>
      </c>
      <c r="AK49" s="64" t="s" ph="1">
        <v>255</v>
      </c>
      <c r="AM49" s="64" t="s" ph="1">
        <v>254</v>
      </c>
      <c r="AN49" s="64" t="s" ph="1">
        <v>255</v>
      </c>
      <c r="AO49" s="64" t="s" ph="1">
        <v>256</v>
      </c>
      <c r="AP49" s="64" t="s" ph="1">
        <v>254</v>
      </c>
      <c r="AQ49" s="64" t="s" ph="1">
        <v>255</v>
      </c>
      <c r="AR49" s="64" t="s" ph="1">
        <v>256</v>
      </c>
      <c r="AS49" s="64" t="s" ph="1">
        <v>254</v>
      </c>
      <c r="AT49" s="64" t="s" ph="1">
        <v>255</v>
      </c>
      <c r="AU49" s="64" t="s" ph="1">
        <v>256</v>
      </c>
      <c r="AV49" s="64" t="s" ph="1">
        <v>254</v>
      </c>
      <c r="AW49" s="64" t="s" ph="1">
        <v>255</v>
      </c>
      <c r="AX49" s="64" t="s" ph="1">
        <v>256</v>
      </c>
      <c r="AY49" s="64" t="s" ph="1">
        <v>255</v>
      </c>
      <c r="AZ49" s="64" t="s" ph="1">
        <v>257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419</v>
      </c>
      <c r="AY50" s="64" t="s" ph="1">
        <v>260</v>
      </c>
      <c r="AZ50" s="64" t="s" ph="1">
        <v>411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420</v>
      </c>
      <c r="AY51" s="64" t="s" ph="1">
        <v>260</v>
      </c>
      <c r="AZ51" s="64" t="s" ph="1">
        <v>411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421</v>
      </c>
      <c r="AJ52" s="64" t="s" ph="1">
        <v>378</v>
      </c>
      <c r="AK52" s="64" t="s" ph="1">
        <v>272</v>
      </c>
      <c r="AM52" s="64" t="s" ph="1">
        <v>380</v>
      </c>
      <c r="AN52" s="64" t="s" ph="1">
        <v>344</v>
      </c>
      <c r="AO52" s="64" t="s" ph="1">
        <v>277</v>
      </c>
      <c r="AP52" s="64" t="s" ph="1">
        <v>614</v>
      </c>
      <c r="AQ52" s="64" t="s" ph="1">
        <v>326</v>
      </c>
      <c r="AR52" s="64" t="s" ph="1">
        <v>277</v>
      </c>
      <c r="AY52" s="64" t="s" ph="1">
        <v>260</v>
      </c>
      <c r="AZ52" s="64" t="s" ph="1">
        <v>620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422</v>
      </c>
      <c r="AY53" s="64" t="s" ph="1">
        <v>260</v>
      </c>
      <c r="AZ53" s="64" t="s" ph="1">
        <v>411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423</v>
      </c>
      <c r="AJ54" s="64" t="s" ph="1">
        <v>378</v>
      </c>
      <c r="AK54" s="64" t="s" ph="1">
        <v>263</v>
      </c>
      <c r="AM54" s="64" t="s" ph="1">
        <v>380</v>
      </c>
      <c r="AN54" s="64" t="s" ph="1">
        <v>268</v>
      </c>
      <c r="AO54" s="64" t="s" ph="1">
        <v>277</v>
      </c>
      <c r="AP54" s="64" t="s" ph="1">
        <v>614</v>
      </c>
      <c r="AQ54" s="64" t="s" ph="1">
        <v>284</v>
      </c>
      <c r="AR54" s="64" t="s" ph="1">
        <v>277</v>
      </c>
      <c r="AY54" s="64" t="s" ph="1">
        <v>260</v>
      </c>
      <c r="AZ54" s="64" t="s" ph="1">
        <v>278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424</v>
      </c>
      <c r="AY55" s="64" t="s" ph="1">
        <v>260</v>
      </c>
      <c r="AZ55" s="64" t="s" ph="1">
        <v>411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425</v>
      </c>
      <c r="AY56" s="64" t="s" ph="1">
        <v>260</v>
      </c>
      <c r="AZ56" s="64" t="s" ph="1">
        <v>411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426</v>
      </c>
      <c r="AY57" s="64" t="s" ph="1">
        <v>260</v>
      </c>
      <c r="AZ57" s="64" t="s" ph="1">
        <v>411</v>
      </c>
    </row>
    <row r="58" spans="16:52" ph="1">
      <c r="P58" s="64"/>
      <c r="AN58" s="64" t="s" ph="1">
        <v>261</v>
      </c>
      <c r="AZ58" s="64" t="s" ph="1">
        <v>621</v>
      </c>
    </row>
    <row r="59" spans="16:52" ph="1">
      <c r="V59" s="64"/>
      <c r="AG59" s="64" t="s" ph="1">
        <v>279</v>
      </c>
      <c r="AI59" s="64" t="s" ph="1">
        <v>253</v>
      </c>
      <c r="AJ59" s="64" t="s" ph="1">
        <v>254</v>
      </c>
      <c r="AK59" s="64" t="s" ph="1">
        <v>255</v>
      </c>
      <c r="AM59" s="64" t="s" ph="1">
        <v>254</v>
      </c>
      <c r="AN59" s="64" t="s" ph="1">
        <v>255</v>
      </c>
      <c r="AO59" s="64" t="s" ph="1">
        <v>256</v>
      </c>
      <c r="AP59" s="64" t="s" ph="1">
        <v>254</v>
      </c>
      <c r="AQ59" s="64" t="s" ph="1">
        <v>255</v>
      </c>
      <c r="AR59" s="64" t="s" ph="1">
        <v>256</v>
      </c>
      <c r="AS59" s="64" t="s" ph="1">
        <v>254</v>
      </c>
      <c r="AT59" s="64" t="s" ph="1">
        <v>255</v>
      </c>
      <c r="AU59" s="64" t="s" ph="1">
        <v>256</v>
      </c>
      <c r="AV59" s="64" t="s" ph="1">
        <v>254</v>
      </c>
      <c r="AW59" s="64" t="s" ph="1">
        <v>255</v>
      </c>
      <c r="AX59" s="64" t="s" ph="1">
        <v>256</v>
      </c>
      <c r="AY59" s="64" t="s" ph="1">
        <v>255</v>
      </c>
      <c r="AZ59" s="64" t="s" ph="1">
        <v>257</v>
      </c>
    </row>
    <row r="60" spans="16:52" ph="1">
      <c r="R60" s="64"/>
      <c r="S60" s="64"/>
      <c r="T60" s="64"/>
      <c r="AH60" s="64" ph="1">
        <v>1</v>
      </c>
      <c r="AI60" s="64" t="s" ph="1">
        <v>427</v>
      </c>
      <c r="AY60" s="64" t="s" ph="1">
        <v>260</v>
      </c>
      <c r="AZ60" s="64" t="s" ph="1">
        <v>411</v>
      </c>
    </row>
    <row r="61" spans="16:52" ph="1">
      <c r="AH61" s="64" ph="1">
        <v>2</v>
      </c>
      <c r="AI61" s="64" t="s" ph="1">
        <v>428</v>
      </c>
      <c r="AS61" s="64" t="s" ph="1">
        <v>261</v>
      </c>
      <c r="AY61" s="64" t="s" ph="1">
        <v>260</v>
      </c>
      <c r="AZ61" s="64" t="s" ph="1">
        <v>411</v>
      </c>
    </row>
    <row r="62" spans="16:52" ph="1">
      <c r="AZ62" s="64" t="s" ph="1">
        <v>429</v>
      </c>
    </row>
    <row r="63" spans="16:52" ph="1">
      <c r="AG63" s="64" t="s" ph="1">
        <v>282</v>
      </c>
      <c r="AI63" s="64" t="s" ph="1">
        <v>253</v>
      </c>
      <c r="AJ63" s="64" t="s" ph="1">
        <v>254</v>
      </c>
      <c r="AK63" s="64" t="s" ph="1">
        <v>255</v>
      </c>
      <c r="AM63" s="64" t="s" ph="1">
        <v>254</v>
      </c>
      <c r="AN63" s="64" t="s" ph="1">
        <v>255</v>
      </c>
      <c r="AO63" s="64" t="s" ph="1">
        <v>256</v>
      </c>
      <c r="AP63" s="64" t="s" ph="1">
        <v>254</v>
      </c>
      <c r="AQ63" s="64" t="s" ph="1">
        <v>255</v>
      </c>
      <c r="AR63" s="64" t="s" ph="1">
        <v>256</v>
      </c>
      <c r="AS63" s="64" t="s" ph="1">
        <v>254</v>
      </c>
      <c r="AT63" s="64" t="s" ph="1">
        <v>255</v>
      </c>
      <c r="AU63" s="64" t="s" ph="1">
        <v>256</v>
      </c>
      <c r="AV63" s="64" t="s" ph="1">
        <v>254</v>
      </c>
      <c r="AW63" s="64" t="s" ph="1">
        <v>255</v>
      </c>
      <c r="AX63" s="64" t="s" ph="1">
        <v>256</v>
      </c>
      <c r="AY63" s="64" t="s" ph="1">
        <v>255</v>
      </c>
      <c r="AZ63" s="64" t="s" ph="1">
        <v>257</v>
      </c>
    </row>
    <row r="64" spans="16:52" ph="1">
      <c r="AH64" s="64" ph="1">
        <v>1</v>
      </c>
      <c r="AI64" s="64" t="s" ph="1">
        <v>430</v>
      </c>
      <c r="AJ64" s="64" t="s" ph="1">
        <v>431</v>
      </c>
      <c r="AK64" s="64" t="s" ph="1">
        <v>432</v>
      </c>
      <c r="AY64" s="64" t="s" ph="1">
        <v>260</v>
      </c>
      <c r="AZ64" s="64" t="s" ph="1">
        <v>432</v>
      </c>
    </row>
    <row r="65" spans="33:52" ph="1">
      <c r="AH65" s="64" ph="1">
        <v>2</v>
      </c>
      <c r="AI65" s="64" t="s" ph="1">
        <v>433</v>
      </c>
      <c r="AY65" s="64" t="s" ph="1">
        <v>260</v>
      </c>
      <c r="AZ65" s="64" t="s" ph="1">
        <v>411</v>
      </c>
    </row>
    <row r="66" spans="33:52" ph="1">
      <c r="AH66" s="64" ph="1">
        <v>3</v>
      </c>
      <c r="AI66" s="64" t="s" ph="1">
        <v>434</v>
      </c>
      <c r="AY66" s="64" t="s" ph="1">
        <v>260</v>
      </c>
      <c r="AZ66" s="64" t="s" ph="1">
        <v>411</v>
      </c>
    </row>
    <row r="67" spans="33:52" ph="1">
      <c r="AH67" s="64" ph="1">
        <v>4</v>
      </c>
      <c r="AI67" s="64" t="s" ph="1">
        <v>435</v>
      </c>
      <c r="AY67" s="64" t="s" ph="1">
        <v>260</v>
      </c>
      <c r="AZ67" s="64" t="s" ph="1">
        <v>411</v>
      </c>
    </row>
    <row r="68" spans="33:52" ph="1">
      <c r="AH68" s="64" ph="1">
        <v>5</v>
      </c>
      <c r="AI68" s="64" t="s" ph="1">
        <v>436</v>
      </c>
      <c r="AY68" s="64" t="s" ph="1">
        <v>260</v>
      </c>
      <c r="AZ68" s="64" t="s" ph="1">
        <v>411</v>
      </c>
    </row>
    <row r="69" spans="33:52" ph="1">
      <c r="AH69" s="64" ph="1">
        <v>6</v>
      </c>
      <c r="AI69" s="64" t="s" ph="1">
        <v>437</v>
      </c>
      <c r="AY69" s="64" t="s" ph="1">
        <v>260</v>
      </c>
      <c r="AZ69" s="64" t="s" ph="1">
        <v>411</v>
      </c>
    </row>
    <row r="70" spans="33:52" ph="1">
      <c r="AI70" s="64" t="s" ph="1">
        <v>438</v>
      </c>
      <c r="AY70" s="64" t="s" ph="1">
        <v>260</v>
      </c>
      <c r="AZ70" s="64" t="s" ph="1">
        <v>411</v>
      </c>
    </row>
    <row r="71" spans="33:52" ph="1">
      <c r="AH71" s="64" ph="1">
        <v>7</v>
      </c>
      <c r="AI71" s="64" t="s" ph="1">
        <v>439</v>
      </c>
      <c r="AJ71" s="64" t="s" ph="1">
        <v>378</v>
      </c>
      <c r="AK71" s="64" t="s" ph="1">
        <v>272</v>
      </c>
      <c r="AM71" s="64" t="s" ph="1">
        <v>380</v>
      </c>
      <c r="AN71" s="64" t="s" ph="1">
        <v>272</v>
      </c>
      <c r="AO71" s="64" t="s" ph="1">
        <v>440</v>
      </c>
      <c r="AP71" s="64" t="s" ph="1">
        <v>614</v>
      </c>
      <c r="AQ71" s="64" t="s" ph="1">
        <v>263</v>
      </c>
      <c r="AR71" s="64" t="s" ph="1">
        <v>440</v>
      </c>
      <c r="AY71" s="64" t="s" ph="1">
        <v>260</v>
      </c>
      <c r="AZ71" s="64" t="s" ph="1">
        <v>622</v>
      </c>
    </row>
    <row r="72" spans="33:52" ph="1">
      <c r="AZ72" s="64" t="s" ph="1">
        <v>623</v>
      </c>
    </row>
    <row r="73" spans="33:52" ph="1">
      <c r="AG73" s="64" t="s" ph="1">
        <v>285</v>
      </c>
      <c r="AI73" s="64" t="s" ph="1">
        <v>253</v>
      </c>
      <c r="AJ73" s="64" t="s" ph="1">
        <v>254</v>
      </c>
      <c r="AK73" s="64" t="s" ph="1">
        <v>255</v>
      </c>
      <c r="AM73" s="64" t="s" ph="1">
        <v>254</v>
      </c>
      <c r="AN73" s="64" t="s" ph="1">
        <v>255</v>
      </c>
      <c r="AO73" s="64" t="s" ph="1">
        <v>256</v>
      </c>
      <c r="AP73" s="64" t="s" ph="1">
        <v>254</v>
      </c>
      <c r="AQ73" s="64" t="s" ph="1">
        <v>255</v>
      </c>
      <c r="AR73" s="64" t="s" ph="1">
        <v>256</v>
      </c>
      <c r="AS73" s="64" t="s" ph="1">
        <v>254</v>
      </c>
      <c r="AT73" s="64" t="s" ph="1">
        <v>255</v>
      </c>
      <c r="AU73" s="64" t="s" ph="1">
        <v>256</v>
      </c>
      <c r="AV73" s="64" t="s" ph="1">
        <v>254</v>
      </c>
      <c r="AW73" s="64" t="s" ph="1">
        <v>255</v>
      </c>
      <c r="AX73" s="64" t="s" ph="1">
        <v>256</v>
      </c>
      <c r="AY73" s="64" t="s" ph="1">
        <v>255</v>
      </c>
      <c r="AZ73" s="64" t="s" ph="1">
        <v>257</v>
      </c>
    </row>
    <row r="74" spans="33:52" ph="1">
      <c r="AH74" s="64" ph="1">
        <v>1</v>
      </c>
      <c r="AI74" s="64" t="s" ph="1">
        <v>441</v>
      </c>
      <c r="AJ74" s="64" t="s" ph="1">
        <v>286</v>
      </c>
      <c r="AK74" s="64" t="s" ph="1">
        <v>268</v>
      </c>
      <c r="AM74" s="64" t="s" ph="1">
        <v>288</v>
      </c>
      <c r="AN74" s="64" t="s" ph="1">
        <v>298</v>
      </c>
      <c r="AO74" s="64" t="s" ph="1">
        <v>287</v>
      </c>
      <c r="AP74" s="64" t="s" ph="1">
        <v>289</v>
      </c>
      <c r="AQ74" s="64" t="s" ph="1">
        <v>266</v>
      </c>
      <c r="AR74" s="64" t="s" ph="1">
        <v>287</v>
      </c>
      <c r="AS74" s="64" t="s" ph="1">
        <v>259</v>
      </c>
      <c r="AT74" s="64" t="s" ph="1">
        <v>261</v>
      </c>
      <c r="AV74" s="64" t="s" ph="1">
        <v>442</v>
      </c>
      <c r="AW74" s="64" t="s" ph="1">
        <v>443</v>
      </c>
      <c r="AX74" s="64" t="s" ph="1">
        <v>444</v>
      </c>
      <c r="AY74" s="64" t="s" ph="1">
        <v>260</v>
      </c>
      <c r="AZ74" s="64" t="s" ph="1">
        <v>445</v>
      </c>
    </row>
    <row r="75" spans="33:52" ph="1">
      <c r="AJ75" s="64" t="s" ph="1">
        <v>291</v>
      </c>
      <c r="AK75" s="64" t="s" ph="1">
        <v>344</v>
      </c>
      <c r="AM75" s="64" t="s" ph="1">
        <v>289</v>
      </c>
      <c r="AN75" s="64" t="s" ph="1">
        <v>269</v>
      </c>
      <c r="AO75" s="64" t="s" ph="1">
        <v>287</v>
      </c>
      <c r="AS75" s="64" t="s" ph="1">
        <v>259</v>
      </c>
      <c r="AT75" s="64" t="s" ph="1">
        <v>290</v>
      </c>
    </row>
    <row r="76" spans="33:52" ph="1">
      <c r="AJ76" s="64" t="s" ph="1">
        <v>291</v>
      </c>
      <c r="AK76" s="64" t="s" ph="1">
        <v>284</v>
      </c>
      <c r="AM76" s="64" t="s" ph="1">
        <v>289</v>
      </c>
      <c r="AN76" s="64" t="s" ph="1">
        <v>272</v>
      </c>
      <c r="AO76" s="64" t="s" ph="1">
        <v>287</v>
      </c>
      <c r="AS76" s="64" t="s" ph="1">
        <v>259</v>
      </c>
      <c r="AT76" s="64" t="s" ph="1">
        <v>290</v>
      </c>
    </row>
    <row r="77" spans="33:52" ph="1">
      <c r="AJ77" s="64" t="s" ph="1">
        <v>327</v>
      </c>
      <c r="AK77" s="64" t="s" ph="1">
        <v>284</v>
      </c>
      <c r="AM77" s="64" t="s" ph="1">
        <v>328</v>
      </c>
      <c r="AN77" s="64" t="s" ph="1">
        <v>267</v>
      </c>
      <c r="AO77" s="64" t="s" ph="1">
        <v>287</v>
      </c>
      <c r="AS77" s="64" t="s" ph="1">
        <v>259</v>
      </c>
      <c r="AT77" s="64" t="s" ph="1">
        <v>329</v>
      </c>
    </row>
    <row r="78" spans="33:52" ph="1">
      <c r="AH78" s="64" ph="1">
        <v>2</v>
      </c>
      <c r="AI78" s="64" t="s" ph="1">
        <v>293</v>
      </c>
      <c r="AJ78" s="64" t="s" ph="1">
        <v>294</v>
      </c>
      <c r="AK78" s="64" t="s" ph="1">
        <v>263</v>
      </c>
      <c r="AM78" s="64" t="s" ph="1">
        <v>295</v>
      </c>
      <c r="AN78" s="64" t="s" ph="1">
        <v>298</v>
      </c>
      <c r="AO78" s="64" t="s" ph="1">
        <v>287</v>
      </c>
      <c r="AP78" s="64" t="s" ph="1">
        <v>296</v>
      </c>
      <c r="AQ78" s="64" t="s" ph="1">
        <v>342</v>
      </c>
      <c r="AR78" s="64" t="s" ph="1">
        <v>287</v>
      </c>
      <c r="AS78" s="64" t="s" ph="1">
        <v>297</v>
      </c>
      <c r="AT78" s="64" t="s" ph="1">
        <v>298</v>
      </c>
      <c r="AU78" s="64" t="s" ph="1">
        <v>287</v>
      </c>
      <c r="AV78" s="64" t="s" ph="1">
        <v>299</v>
      </c>
      <c r="AW78" s="64" t="s" ph="1">
        <v>287</v>
      </c>
      <c r="AY78" s="64" t="s" ph="1">
        <v>260</v>
      </c>
      <c r="AZ78" s="64" t="s" ph="1">
        <v>446</v>
      </c>
    </row>
    <row r="79" spans="33:52" ph="1">
      <c r="AJ79" s="64" t="s" ph="1">
        <v>289</v>
      </c>
      <c r="AK79" s="64" t="s" ph="1">
        <v>300</v>
      </c>
      <c r="AM79" s="64" t="s" ph="1">
        <v>301</v>
      </c>
      <c r="AN79" s="64" t="s" ph="1">
        <v>269</v>
      </c>
      <c r="AO79" s="64" t="s" ph="1">
        <v>287</v>
      </c>
      <c r="AP79" s="64" t="s" ph="1">
        <v>302</v>
      </c>
      <c r="AQ79" s="64" t="s" ph="1">
        <v>267</v>
      </c>
      <c r="AR79" s="64" t="s" ph="1">
        <v>303</v>
      </c>
      <c r="AS79" s="64" t="s" ph="1">
        <v>259</v>
      </c>
      <c r="AT79" s="64" t="s" ph="1">
        <v>304</v>
      </c>
      <c r="AV79" s="64" t="s" ph="1">
        <v>447</v>
      </c>
      <c r="AW79" s="64" t="s" ph="1">
        <v>346</v>
      </c>
      <c r="AX79" s="64" t="s" ph="1">
        <v>444</v>
      </c>
    </row>
    <row r="80" spans="33:52" ph="1">
      <c r="AH80" s="64" ph="1">
        <v>3</v>
      </c>
      <c r="AI80" s="64" t="s" ph="1">
        <v>305</v>
      </c>
      <c r="AJ80" s="64" t="s" ph="1">
        <v>306</v>
      </c>
      <c r="AK80" s="64" t="s" ph="1">
        <v>307</v>
      </c>
      <c r="AM80" s="64" t="s" ph="1">
        <v>308</v>
      </c>
      <c r="AN80" s="64" t="s" ph="1">
        <v>298</v>
      </c>
      <c r="AO80" s="64" t="s" ph="1">
        <v>287</v>
      </c>
      <c r="AP80" s="64" t="s" ph="1">
        <v>309</v>
      </c>
      <c r="AQ80" s="64" t="s" ph="1">
        <v>272</v>
      </c>
      <c r="AR80" s="64" t="s" ph="1">
        <v>287</v>
      </c>
      <c r="AS80" s="64" t="s" ph="1">
        <v>310</v>
      </c>
      <c r="AT80" s="64" t="s" ph="1">
        <v>271</v>
      </c>
      <c r="AU80" s="64" t="s" ph="1">
        <v>287</v>
      </c>
      <c r="AV80" s="64" t="s" ph="1">
        <v>311</v>
      </c>
      <c r="AW80" s="64" t="s" ph="1">
        <v>287</v>
      </c>
      <c r="AY80" s="64" t="s" ph="1">
        <v>260</v>
      </c>
      <c r="AZ80" s="64" t="s" ph="1">
        <v>448</v>
      </c>
    </row>
    <row r="81" spans="34:52" ph="1">
      <c r="AJ81" s="64" t="s" ph="1">
        <v>312</v>
      </c>
      <c r="AK81" s="64" t="s" ph="1">
        <v>266</v>
      </c>
      <c r="AM81" s="64" t="s" ph="1">
        <v>313</v>
      </c>
      <c r="AN81" s="64" t="s" ph="1">
        <v>269</v>
      </c>
      <c r="AO81" s="64" t="s" ph="1">
        <v>287</v>
      </c>
      <c r="AP81" s="64" t="s" ph="1">
        <v>314</v>
      </c>
      <c r="AQ81" s="64" t="s" ph="1">
        <v>298</v>
      </c>
      <c r="AR81" s="64" t="s" ph="1">
        <v>287</v>
      </c>
      <c r="AS81" s="64" t="s" ph="1">
        <v>315</v>
      </c>
      <c r="AT81" s="64" t="s" ph="1">
        <v>316</v>
      </c>
      <c r="AU81" s="64" t="s" ph="1">
        <v>287</v>
      </c>
      <c r="AV81" s="64" t="s" ph="1">
        <v>317</v>
      </c>
    </row>
    <row r="82" spans="34:52" ph="1">
      <c r="AJ82" s="64" t="s" ph="1">
        <v>318</v>
      </c>
      <c r="AK82" s="64" t="s" ph="1">
        <v>266</v>
      </c>
      <c r="AM82" s="64" t="s" ph="1">
        <v>319</v>
      </c>
      <c r="AN82" s="64" t="s" ph="1">
        <v>316</v>
      </c>
      <c r="AO82" s="64" t="s" ph="1">
        <v>320</v>
      </c>
      <c r="AP82" s="64" t="s" ph="1">
        <v>321</v>
      </c>
      <c r="AQ82" s="64" t="s" ph="1">
        <v>298</v>
      </c>
      <c r="AR82" s="64" t="s" ph="1">
        <v>287</v>
      </c>
      <c r="AS82" s="64" t="s" ph="1">
        <v>322</v>
      </c>
      <c r="AT82" s="64" t="s" ph="1">
        <v>273</v>
      </c>
      <c r="AU82" s="64" t="s" ph="1">
        <v>287</v>
      </c>
      <c r="AV82" s="64" t="s" ph="1">
        <v>447</v>
      </c>
      <c r="AW82" s="64" t="s" ph="1">
        <v>347</v>
      </c>
      <c r="AX82" s="64" t="s" ph="1">
        <v>444</v>
      </c>
    </row>
    <row r="83" spans="34:52" ph="1">
      <c r="AJ83" s="64" t="s" ph="1">
        <v>323</v>
      </c>
      <c r="AK83" s="64" t="s" ph="1">
        <v>340</v>
      </c>
      <c r="AM83" s="64" t="s" ph="1">
        <v>324</v>
      </c>
      <c r="AN83" s="64" t="s" ph="1">
        <v>272</v>
      </c>
      <c r="AO83" s="64" t="s" ph="1">
        <v>303</v>
      </c>
      <c r="AP83" s="64" t="s" ph="1">
        <v>325</v>
      </c>
      <c r="AQ83" s="64" t="s" ph="1">
        <v>326</v>
      </c>
      <c r="AR83" s="64" t="s" ph="1">
        <v>303</v>
      </c>
      <c r="AS83" s="64" t="s" ph="1">
        <v>449</v>
      </c>
      <c r="AT83" s="64" t="s" ph="1">
        <v>298</v>
      </c>
      <c r="AU83" s="64" t="s" ph="1">
        <v>303</v>
      </c>
      <c r="AV83" s="64" t="s" ph="1">
        <v>450</v>
      </c>
      <c r="AW83" s="64" t="s" ph="1">
        <v>347</v>
      </c>
      <c r="AX83" s="64" t="s" ph="1">
        <v>451</v>
      </c>
    </row>
    <row r="84" spans="34:52" ph="1">
      <c r="AH84" s="64" ph="1">
        <v>4</v>
      </c>
      <c r="AI84" s="64" t="s" ph="1">
        <v>330</v>
      </c>
      <c r="AJ84" s="64" t="s" ph="1">
        <v>270</v>
      </c>
      <c r="AK84" s="64" t="s" ph="1">
        <v>273</v>
      </c>
      <c r="AM84" s="64" t="s" ph="1">
        <v>274</v>
      </c>
      <c r="AN84" s="64" t="s" ph="1">
        <v>267</v>
      </c>
      <c r="AO84" s="64" t="s" ph="1">
        <v>303</v>
      </c>
      <c r="AP84" s="64" t="s" ph="1">
        <v>332</v>
      </c>
      <c r="AQ84" s="64" t="s" ph="1">
        <v>266</v>
      </c>
      <c r="AR84" s="64" t="s" ph="1">
        <v>303</v>
      </c>
      <c r="AS84" s="64" t="s" ph="1">
        <v>332</v>
      </c>
      <c r="AT84" s="64" t="s" ph="1">
        <v>268</v>
      </c>
      <c r="AU84" s="64" t="s" ph="1">
        <v>303</v>
      </c>
      <c r="AY84" s="64" t="s" ph="1">
        <v>260</v>
      </c>
      <c r="AZ84" s="64" t="s" ph="1">
        <v>452</v>
      </c>
    </row>
    <row r="85" spans="34:52" ph="1">
      <c r="AJ85" s="64" t="s" ph="1">
        <v>262</v>
      </c>
      <c r="AK85" s="64" t="s" ph="1">
        <v>266</v>
      </c>
      <c r="AM85" s="64" t="s" ph="1">
        <v>453</v>
      </c>
      <c r="AN85" s="64" t="s" ph="1">
        <v>273</v>
      </c>
      <c r="AO85" s="64" t="s" ph="1">
        <v>303</v>
      </c>
      <c r="AP85" s="64" t="s" ph="1">
        <v>454</v>
      </c>
      <c r="AQ85" s="64" t="s" ph="1">
        <v>269</v>
      </c>
      <c r="AR85" s="64" t="s" ph="1">
        <v>303</v>
      </c>
      <c r="AS85" s="64" t="s" ph="1">
        <v>455</v>
      </c>
      <c r="AT85" s="64" t="s" ph="1">
        <v>269</v>
      </c>
      <c r="AU85" s="64" t="s" ph="1">
        <v>303</v>
      </c>
    </row>
    <row r="86" spans="34:52" ph="1">
      <c r="AJ86" s="64" t="s" ph="1">
        <v>456</v>
      </c>
      <c r="AK86" s="64" t="s" ph="1">
        <v>275</v>
      </c>
      <c r="AM86" s="64" t="s" ph="1">
        <v>457</v>
      </c>
      <c r="AN86" s="64" t="s" ph="1">
        <v>316</v>
      </c>
      <c r="AO86" s="64" t="s" ph="1">
        <v>303</v>
      </c>
      <c r="AP86" s="64" t="s" ph="1">
        <v>458</v>
      </c>
      <c r="AQ86" s="64" t="s" ph="1">
        <v>263</v>
      </c>
      <c r="AR86" s="64" t="s" ph="1">
        <v>303</v>
      </c>
      <c r="AS86" s="64" t="s" ph="1">
        <v>459</v>
      </c>
      <c r="AT86" s="64" t="s" ph="1">
        <v>281</v>
      </c>
      <c r="AU86" s="64" t="s" ph="1">
        <v>303</v>
      </c>
    </row>
    <row r="87" spans="34:52" ph="1">
      <c r="AJ87" s="64" t="s" ph="1">
        <v>460</v>
      </c>
      <c r="AK87" s="64" t="s" ph="1">
        <v>316</v>
      </c>
      <c r="AM87" s="64" t="s" ph="1">
        <v>447</v>
      </c>
      <c r="AN87" s="64" t="s" ph="1">
        <v>461</v>
      </c>
      <c r="AO87" s="64" t="s" ph="1">
        <v>444</v>
      </c>
    </row>
    <row r="88" spans="34:52" ph="1">
      <c r="AH88" s="64" ph="1">
        <v>5</v>
      </c>
      <c r="AI88" s="64" t="s" ph="1">
        <v>333</v>
      </c>
      <c r="AJ88" s="64" t="s" ph="1">
        <v>462</v>
      </c>
      <c r="AK88" s="64" t="s" ph="1">
        <v>316</v>
      </c>
      <c r="AM88" s="64" t="s" ph="1">
        <v>463</v>
      </c>
      <c r="AN88" s="64" t="s" ph="1">
        <v>316</v>
      </c>
      <c r="AO88" s="64" t="s" ph="1">
        <v>303</v>
      </c>
      <c r="AP88" s="64" t="s" ph="1">
        <v>464</v>
      </c>
      <c r="AQ88" s="64" t="s" ph="1">
        <v>266</v>
      </c>
      <c r="AR88" s="64" t="s" ph="1">
        <v>303</v>
      </c>
      <c r="AS88" s="64" t="s" ph="1">
        <v>465</v>
      </c>
      <c r="AT88" s="64" t="s" ph="1">
        <v>316</v>
      </c>
      <c r="AU88" s="64" t="s" ph="1">
        <v>303</v>
      </c>
      <c r="AV88" s="64" t="s" ph="1">
        <v>466</v>
      </c>
      <c r="AW88" s="64" t="s" ph="1">
        <v>271</v>
      </c>
      <c r="AX88" s="64" t="s" ph="1">
        <v>303</v>
      </c>
      <c r="AY88" s="64" t="s" ph="1">
        <v>260</v>
      </c>
      <c r="AZ88" s="64" t="s" ph="1">
        <v>467</v>
      </c>
    </row>
    <row r="89" spans="34:52" ph="1">
      <c r="AJ89" s="64" t="s" ph="1">
        <v>468</v>
      </c>
      <c r="AK89" s="64" t="s" ph="1">
        <v>269</v>
      </c>
      <c r="AM89" s="64" t="s" ph="1">
        <v>469</v>
      </c>
      <c r="AN89" s="64" t="s" ph="1">
        <v>272</v>
      </c>
      <c r="AO89" s="64" t="s" ph="1">
        <v>303</v>
      </c>
      <c r="AP89" s="64" t="s" ph="1">
        <v>470</v>
      </c>
      <c r="AQ89" s="64" t="s" ph="1">
        <v>281</v>
      </c>
      <c r="AR89" s="64" t="s" ph="1">
        <v>303</v>
      </c>
      <c r="AS89" s="64" t="s" ph="1">
        <v>471</v>
      </c>
      <c r="AT89" s="64" t="s" ph="1">
        <v>316</v>
      </c>
      <c r="AU89" s="64" t="s" ph="1">
        <v>303</v>
      </c>
      <c r="AV89" s="64" t="s" ph="1">
        <v>472</v>
      </c>
      <c r="AW89" s="64" t="s" ph="1">
        <v>298</v>
      </c>
      <c r="AX89" s="64" t="s" ph="1">
        <v>331</v>
      </c>
    </row>
    <row r="90" spans="34:52" ph="1">
      <c r="AJ90" s="64" t="s" ph="1">
        <v>473</v>
      </c>
      <c r="AK90" s="64" t="s" ph="1">
        <v>272</v>
      </c>
      <c r="AM90" s="64" t="s" ph="1">
        <v>474</v>
      </c>
      <c r="AN90" s="64" t="s" ph="1">
        <v>269</v>
      </c>
      <c r="AO90" s="64" t="s" ph="1">
        <v>303</v>
      </c>
      <c r="AP90" s="64" t="s" ph="1">
        <v>475</v>
      </c>
      <c r="AQ90" s="64" t="s" ph="1">
        <v>338</v>
      </c>
      <c r="AR90" s="64" t="s" ph="1">
        <v>303</v>
      </c>
      <c r="AS90" s="64" t="s" ph="1">
        <v>476</v>
      </c>
      <c r="AT90" s="64" t="s" ph="1">
        <v>326</v>
      </c>
      <c r="AU90" s="64" t="s" ph="1">
        <v>303</v>
      </c>
      <c r="AV90" s="64" t="s" ph="1">
        <v>477</v>
      </c>
      <c r="AW90" s="64" t="s" ph="1">
        <v>263</v>
      </c>
      <c r="AX90" s="64" t="s" ph="1">
        <v>303</v>
      </c>
    </row>
    <row r="91" spans="34:52" ph="1">
      <c r="AJ91" s="64" t="s" ph="1">
        <v>478</v>
      </c>
      <c r="AK91" s="64" t="s" ph="1">
        <v>316</v>
      </c>
      <c r="AM91" s="64" t="s" ph="1">
        <v>479</v>
      </c>
      <c r="AN91" s="64" t="s" ph="1">
        <v>283</v>
      </c>
      <c r="AO91" s="64" t="s" ph="1">
        <v>303</v>
      </c>
      <c r="AP91" s="64" t="s" ph="1">
        <v>480</v>
      </c>
      <c r="AQ91" s="64" t="s" ph="1">
        <v>263</v>
      </c>
      <c r="AS91" s="64" t="s" ph="1">
        <v>447</v>
      </c>
      <c r="AT91" s="64" t="s" ph="1">
        <v>443</v>
      </c>
      <c r="AU91" s="64" t="s" ph="1">
        <v>444</v>
      </c>
    </row>
    <row r="92" spans="34:52" ph="1">
      <c r="AH92" s="64" ph="1">
        <v>6</v>
      </c>
      <c r="AI92" s="64" t="s" ph="1">
        <v>481</v>
      </c>
      <c r="AJ92" s="64" t="s" ph="1">
        <v>482</v>
      </c>
      <c r="AK92" s="64" t="s" ph="1">
        <v>411</v>
      </c>
      <c r="AM92" s="64" t="s" ph="1">
        <v>483</v>
      </c>
      <c r="AN92" s="64" t="s" ph="1">
        <v>271</v>
      </c>
      <c r="AO92" s="64" t="s" ph="1">
        <v>303</v>
      </c>
      <c r="AP92" s="64" t="s" ph="1">
        <v>484</v>
      </c>
      <c r="AQ92" s="64" t="s" ph="1">
        <v>343</v>
      </c>
      <c r="AR92" s="64" t="s" ph="1">
        <v>303</v>
      </c>
      <c r="AS92" s="64" t="s" ph="1">
        <v>485</v>
      </c>
      <c r="AT92" s="64" t="s" ph="1">
        <v>316</v>
      </c>
      <c r="AU92" s="64" t="s" ph="1">
        <v>303</v>
      </c>
      <c r="AV92" s="64" t="s" ph="1">
        <v>486</v>
      </c>
      <c r="AW92" s="64" t="s" ph="1">
        <v>272</v>
      </c>
      <c r="AX92" s="64" t="s" ph="1">
        <v>303</v>
      </c>
      <c r="AY92" s="64" t="s" ph="1">
        <v>260</v>
      </c>
      <c r="AZ92" s="64" t="s" ph="1">
        <v>467</v>
      </c>
    </row>
    <row r="93" spans="34:52" ph="1">
      <c r="AJ93" s="64" t="s" ph="1">
        <v>487</v>
      </c>
      <c r="AK93" s="64" t="s" ph="1">
        <v>266</v>
      </c>
      <c r="AM93" s="64" t="s" ph="1">
        <v>488</v>
      </c>
      <c r="AN93" s="64" t="s" ph="1">
        <v>271</v>
      </c>
      <c r="AO93" s="64" t="s" ph="1">
        <v>303</v>
      </c>
      <c r="AP93" s="64" t="s" ph="1">
        <v>489</v>
      </c>
      <c r="AQ93" s="64" t="s" ph="1">
        <v>275</v>
      </c>
      <c r="AR93" s="64" t="s" ph="1">
        <v>303</v>
      </c>
      <c r="AS93" s="64" t="s" ph="1">
        <v>490</v>
      </c>
      <c r="AT93" s="64" t="s" ph="1">
        <v>281</v>
      </c>
      <c r="AU93" s="64" t="s" ph="1">
        <v>303</v>
      </c>
      <c r="AV93" s="64" t="s" ph="1">
        <v>491</v>
      </c>
      <c r="AW93" s="64" t="s" ph="1">
        <v>275</v>
      </c>
      <c r="AX93" s="64" t="s" ph="1">
        <v>303</v>
      </c>
    </row>
    <row r="94" spans="34:52" ph="1">
      <c r="AJ94" s="64" t="s" ph="1">
        <v>492</v>
      </c>
      <c r="AK94" s="64" t="s" ph="1">
        <v>338</v>
      </c>
      <c r="AM94" s="64" t="s" ph="1">
        <v>493</v>
      </c>
      <c r="AN94" s="64" t="s" ph="1">
        <v>275</v>
      </c>
      <c r="AO94" s="64" t="s" ph="1">
        <v>303</v>
      </c>
      <c r="AP94" s="64" t="s" ph="1">
        <v>494</v>
      </c>
      <c r="AQ94" s="64" t="s" ph="1">
        <v>283</v>
      </c>
      <c r="AR94" s="64" t="s" ph="1">
        <v>303</v>
      </c>
      <c r="AS94" s="64" t="s" ph="1">
        <v>495</v>
      </c>
      <c r="AT94" s="64" t="s" ph="1">
        <v>269</v>
      </c>
      <c r="AU94" s="64" t="s" ph="1">
        <v>303</v>
      </c>
      <c r="AV94" s="64" t="s" ph="1">
        <v>496</v>
      </c>
      <c r="AW94" s="64" t="s" ph="1">
        <v>269</v>
      </c>
      <c r="AX94" s="64" t="s" ph="1">
        <v>303</v>
      </c>
    </row>
    <row r="95" spans="34:52" ph="1">
      <c r="AJ95" s="64" t="s" ph="1">
        <v>497</v>
      </c>
      <c r="AK95" s="64" t="s" ph="1">
        <v>343</v>
      </c>
    </row>
    <row r="96" spans="34:52" ph="1">
      <c r="AH96" s="64" ph="1">
        <v>7</v>
      </c>
      <c r="AI96" s="64" t="s" ph="1">
        <v>498</v>
      </c>
      <c r="AJ96" s="64" t="s" ph="1">
        <v>497</v>
      </c>
      <c r="AK96" s="64" t="s" ph="1">
        <v>298</v>
      </c>
      <c r="AM96" s="64" t="s" ph="1">
        <v>499</v>
      </c>
      <c r="AN96" s="64" t="s" ph="1">
        <v>272</v>
      </c>
      <c r="AO96" s="64" t="s" ph="1">
        <v>303</v>
      </c>
      <c r="AP96" s="64" t="s" ph="1">
        <v>500</v>
      </c>
      <c r="AQ96" s="64" t="s" ph="1">
        <v>316</v>
      </c>
      <c r="AR96" s="64" t="s" ph="1">
        <v>331</v>
      </c>
      <c r="AS96" s="64" t="s" ph="1">
        <v>501</v>
      </c>
      <c r="AT96" s="64" t="s" ph="1">
        <v>275</v>
      </c>
      <c r="AU96" s="64" t="s" ph="1">
        <v>331</v>
      </c>
      <c r="AV96" s="64" t="s" ph="1">
        <v>502</v>
      </c>
      <c r="AW96" s="64" t="s" ph="1">
        <v>271</v>
      </c>
      <c r="AX96" s="64" t="s" ph="1">
        <v>331</v>
      </c>
      <c r="AY96" s="64" t="s" ph="1">
        <v>260</v>
      </c>
      <c r="AZ96" s="64" t="s" ph="1">
        <v>503</v>
      </c>
    </row>
    <row r="97" spans="33:52" ph="1">
      <c r="AJ97" s="64" t="s" ph="1">
        <v>504</v>
      </c>
      <c r="AK97" s="64" t="s" ph="1">
        <v>326</v>
      </c>
      <c r="AM97" s="64" t="s" ph="1">
        <v>505</v>
      </c>
      <c r="AN97" s="64" t="s" ph="1">
        <v>269</v>
      </c>
      <c r="AO97" s="64" t="s" ph="1">
        <v>303</v>
      </c>
      <c r="AP97" s="64" t="s" ph="1">
        <v>506</v>
      </c>
      <c r="AQ97" s="64" t="s" ph="1">
        <v>263</v>
      </c>
      <c r="AR97" s="64" t="s" ph="1">
        <v>331</v>
      </c>
      <c r="AS97" s="64" t="s" ph="1">
        <v>507</v>
      </c>
      <c r="AT97" s="64" t="s" ph="1">
        <v>266</v>
      </c>
      <c r="AU97" s="64" t="s" ph="1">
        <v>331</v>
      </c>
      <c r="AV97" s="64" t="s" ph="1">
        <v>508</v>
      </c>
      <c r="AW97" s="64" t="s" ph="1">
        <v>272</v>
      </c>
      <c r="AX97" s="64" t="s" ph="1">
        <v>331</v>
      </c>
    </row>
    <row r="98" spans="33:52" ph="1">
      <c r="AJ98" s="64" t="s" ph="1">
        <v>509</v>
      </c>
      <c r="AK98" s="64" t="s" ph="1">
        <v>275</v>
      </c>
      <c r="AM98" s="64" t="s" ph="1">
        <v>510</v>
      </c>
      <c r="AN98" s="64" t="s" ph="1">
        <v>283</v>
      </c>
      <c r="AO98" s="64" t="s" ph="1">
        <v>303</v>
      </c>
      <c r="AP98" s="64" t="s" ph="1">
        <v>511</v>
      </c>
      <c r="AQ98" s="64" t="s" ph="1">
        <v>263</v>
      </c>
      <c r="AR98" s="64" t="s" ph="1">
        <v>331</v>
      </c>
      <c r="AS98" s="64" t="s" ph="1">
        <v>512</v>
      </c>
      <c r="AT98" s="64" t="s" ph="1">
        <v>343</v>
      </c>
      <c r="AU98" s="64" t="s" ph="1">
        <v>331</v>
      </c>
      <c r="AV98" s="64" t="s" ph="1">
        <v>513</v>
      </c>
      <c r="AW98" s="64" t="s" ph="1">
        <v>266</v>
      </c>
      <c r="AX98" s="64" t="s" ph="1">
        <v>331</v>
      </c>
    </row>
    <row r="99" spans="33:52" ph="1">
      <c r="AH99" s="64" ph="1">
        <v>8</v>
      </c>
      <c r="AI99" s="64" t="s" ph="1">
        <v>514</v>
      </c>
      <c r="AJ99" s="64" t="s" ph="1">
        <v>515</v>
      </c>
      <c r="AK99" s="64" t="s" ph="1">
        <v>411</v>
      </c>
      <c r="AM99" s="64" t="s" ph="1">
        <v>516</v>
      </c>
      <c r="AN99" s="64" t="s" ph="1">
        <v>298</v>
      </c>
      <c r="AO99" s="64" t="s" ph="1">
        <v>303</v>
      </c>
      <c r="AP99" s="64" t="s" ph="1">
        <v>517</v>
      </c>
      <c r="AQ99" s="64" t="s" ph="1">
        <v>268</v>
      </c>
      <c r="AR99" s="64" t="s" ph="1">
        <v>331</v>
      </c>
      <c r="AS99" s="64" t="s" ph="1">
        <v>518</v>
      </c>
      <c r="AT99" s="64" t="s" ph="1">
        <v>283</v>
      </c>
      <c r="AU99" s="64" t="s" ph="1">
        <v>331</v>
      </c>
      <c r="AV99" s="64" t="s" ph="1">
        <v>519</v>
      </c>
      <c r="AW99" s="64" t="s" ph="1">
        <v>268</v>
      </c>
      <c r="AX99" s="64" t="s" ph="1">
        <v>331</v>
      </c>
      <c r="AY99" s="64" t="s" ph="1">
        <v>260</v>
      </c>
      <c r="AZ99" s="64" t="s" ph="1">
        <v>520</v>
      </c>
    </row>
    <row r="100" spans="33:52" ph="1">
      <c r="AJ100" s="64" t="s" ph="1">
        <v>521</v>
      </c>
      <c r="AK100" s="64" t="s" ph="1">
        <v>266</v>
      </c>
      <c r="AM100" s="64" t="s" ph="1">
        <v>522</v>
      </c>
      <c r="AN100" s="64" t="s" ph="1">
        <v>338</v>
      </c>
      <c r="AO100" s="64" t="s" ph="1">
        <v>303</v>
      </c>
      <c r="AP100" s="64" t="s" ph="1">
        <v>523</v>
      </c>
      <c r="AQ100" s="64" t="s" ph="1">
        <v>344</v>
      </c>
      <c r="AR100" s="64" t="s" ph="1">
        <v>331</v>
      </c>
      <c r="AS100" s="64" t="s" ph="1">
        <v>524</v>
      </c>
      <c r="AT100" s="64" t="s" ph="1">
        <v>411</v>
      </c>
      <c r="AU100" s="64" t="s" ph="1">
        <v>303</v>
      </c>
      <c r="AV100" s="64" t="s" ph="1">
        <v>525</v>
      </c>
      <c r="AW100" s="64" t="s" ph="1">
        <v>411</v>
      </c>
      <c r="AX100" s="64" t="s" ph="1">
        <v>303</v>
      </c>
    </row>
    <row r="101" spans="33:52" ph="1">
      <c r="AJ101" s="64" t="s" ph="1">
        <v>526</v>
      </c>
      <c r="AK101" s="64" t="s" ph="1">
        <v>411</v>
      </c>
      <c r="AM101" s="64" t="s" ph="1">
        <v>527</v>
      </c>
      <c r="AN101" s="64" t="s" ph="1">
        <v>269</v>
      </c>
      <c r="AO101" s="64" t="s" ph="1">
        <v>303</v>
      </c>
      <c r="AP101" s="64" t="s" ph="1">
        <v>528</v>
      </c>
      <c r="AQ101" s="64" t="s" ph="1">
        <v>281</v>
      </c>
      <c r="AR101" s="64" t="s" ph="1">
        <v>331</v>
      </c>
      <c r="AS101" s="64" t="s" ph="1">
        <v>529</v>
      </c>
      <c r="AT101" s="64" t="s" ph="1">
        <v>338</v>
      </c>
      <c r="AU101" s="64" t="s" ph="1">
        <v>331</v>
      </c>
      <c r="AV101" s="64" t="s" ph="1">
        <v>530</v>
      </c>
      <c r="AW101" s="64" t="s" ph="1">
        <v>269</v>
      </c>
      <c r="AX101" s="64" t="s" ph="1">
        <v>303</v>
      </c>
    </row>
    <row r="102" spans="33:52" ph="1">
      <c r="AJ102" s="64" t="s" ph="1">
        <v>531</v>
      </c>
      <c r="AK102" s="64" t="s" ph="1">
        <v>266</v>
      </c>
      <c r="AM102" s="64" t="s" ph="1">
        <v>532</v>
      </c>
      <c r="AN102" s="64" t="s" ph="1">
        <v>275</v>
      </c>
      <c r="AO102" s="64" t="s" ph="1">
        <v>303</v>
      </c>
      <c r="AP102" s="64" t="s" ph="1">
        <v>533</v>
      </c>
      <c r="AQ102" s="64" t="s" ph="1">
        <v>281</v>
      </c>
      <c r="AR102" s="64" t="s" ph="1">
        <v>303</v>
      </c>
      <c r="AS102" s="64" t="s" ph="1">
        <v>534</v>
      </c>
      <c r="AT102" s="64" t="s" ph="1">
        <v>298</v>
      </c>
      <c r="AU102" s="64" t="s" ph="1">
        <v>303</v>
      </c>
      <c r="AV102" s="64" t="s" ph="1">
        <v>535</v>
      </c>
      <c r="AW102" s="64" t="s" ph="1">
        <v>316</v>
      </c>
      <c r="AX102" s="64" t="s" ph="1">
        <v>303</v>
      </c>
    </row>
    <row r="103" spans="33:52" ph="1">
      <c r="AH103" s="64" ph="1">
        <v>9</v>
      </c>
      <c r="AI103" s="64" t="s" ph="1">
        <v>536</v>
      </c>
      <c r="AJ103" s="64" t="s" ph="1">
        <v>537</v>
      </c>
      <c r="AK103" s="64" t="s" ph="1">
        <v>411</v>
      </c>
      <c r="AM103" s="64" t="s" ph="1">
        <v>538</v>
      </c>
      <c r="AN103" s="64" t="s" ph="1">
        <v>326</v>
      </c>
      <c r="AO103" s="64" t="s" ph="1">
        <v>303</v>
      </c>
      <c r="AP103" s="64" t="s" ph="1">
        <v>380</v>
      </c>
      <c r="AQ103" s="64" t="s" ph="1">
        <v>269</v>
      </c>
      <c r="AR103" s="64" t="s" ph="1">
        <v>303</v>
      </c>
      <c r="AS103" s="64" t="s" ph="1">
        <v>614</v>
      </c>
      <c r="AT103" s="64" t="s" ph="1">
        <v>411</v>
      </c>
      <c r="AU103" s="64" t="s" ph="1">
        <v>303</v>
      </c>
      <c r="AY103" s="64" t="s" ph="1">
        <v>260</v>
      </c>
      <c r="AZ103" s="64" t="s" ph="1">
        <v>268</v>
      </c>
    </row>
    <row r="104" spans="33:52" ph="1">
      <c r="AZ104" s="64" t="s" ph="1">
        <v>539</v>
      </c>
    </row>
    <row r="105" spans="33:52" ph="1">
      <c r="AG105" s="64" t="s" ph="1">
        <v>339</v>
      </c>
      <c r="AI105" s="64" t="s" ph="1">
        <v>253</v>
      </c>
      <c r="AJ105" s="64" t="s" ph="1">
        <v>254</v>
      </c>
      <c r="AK105" s="64" t="s" ph="1">
        <v>255</v>
      </c>
      <c r="AM105" s="64" t="s" ph="1">
        <v>254</v>
      </c>
      <c r="AN105" s="64" t="s" ph="1">
        <v>255</v>
      </c>
      <c r="AO105" s="64" t="s" ph="1">
        <v>256</v>
      </c>
      <c r="AP105" s="64" t="s" ph="1">
        <v>254</v>
      </c>
      <c r="AQ105" s="64" t="s" ph="1">
        <v>255</v>
      </c>
      <c r="AR105" s="64" t="s" ph="1">
        <v>256</v>
      </c>
      <c r="AS105" s="64" t="s" ph="1">
        <v>254</v>
      </c>
      <c r="AT105" s="64" t="s" ph="1">
        <v>255</v>
      </c>
      <c r="AU105" s="64" t="s" ph="1">
        <v>256</v>
      </c>
      <c r="AV105" s="64" t="s" ph="1">
        <v>254</v>
      </c>
      <c r="AW105" s="64" t="s" ph="1">
        <v>255</v>
      </c>
      <c r="AX105" s="64" t="s" ph="1">
        <v>256</v>
      </c>
      <c r="AZ105" s="64" t="s" ph="1">
        <v>257</v>
      </c>
    </row>
    <row r="106" spans="33:52" ph="1">
      <c r="AH106" s="64" ph="1">
        <v>1</v>
      </c>
      <c r="AI106" s="64" t="s" ph="1">
        <v>540</v>
      </c>
      <c r="AJ106" s="64" t="s" ph="1">
        <v>614</v>
      </c>
      <c r="AK106" s="64" t="s" ph="1">
        <v>275</v>
      </c>
      <c r="AZ106" s="64" t="s" ph="1">
        <v>275</v>
      </c>
    </row>
    <row r="107" spans="33:52" ph="1">
      <c r="AH107" s="64" ph="1">
        <v>2</v>
      </c>
      <c r="AI107" s="64" t="s" ph="1">
        <v>541</v>
      </c>
      <c r="AJ107" s="64" t="s" ph="1">
        <v>542</v>
      </c>
      <c r="AK107" s="64" t="s" ph="1">
        <v>272</v>
      </c>
      <c r="AM107" s="64" t="s" ph="1">
        <v>378</v>
      </c>
      <c r="AN107" s="64" t="s" ph="1">
        <v>543</v>
      </c>
      <c r="AO107" s="64" t="s" ph="1">
        <v>544</v>
      </c>
      <c r="AP107" s="64" t="s" ph="1">
        <v>380</v>
      </c>
      <c r="AQ107" s="64" t="s" ph="1">
        <v>348</v>
      </c>
      <c r="AR107" s="64" t="s" ph="1">
        <v>544</v>
      </c>
      <c r="AS107" s="64" t="s" ph="1">
        <v>614</v>
      </c>
      <c r="AT107" s="64" t="s" ph="1">
        <v>543</v>
      </c>
      <c r="AU107" s="64" t="s" ph="1">
        <v>544</v>
      </c>
      <c r="AY107" s="64" t="s" ph="1">
        <v>260</v>
      </c>
      <c r="AZ107" s="64" t="s" ph="1">
        <v>624</v>
      </c>
    </row>
    <row r="108" spans="33:52" ph="1">
      <c r="AH108" s="64" ph="1">
        <v>3</v>
      </c>
      <c r="AI108" s="64" t="s" ph="1">
        <v>545</v>
      </c>
      <c r="AY108" s="64" t="s" ph="1">
        <v>260</v>
      </c>
      <c r="AZ108" s="64" t="s" ph="1">
        <v>411</v>
      </c>
    </row>
    <row r="109" spans="33:52" ph="1">
      <c r="AH109" s="64" ph="1">
        <v>4</v>
      </c>
      <c r="AI109" s="64" t="s" ph="1">
        <v>546</v>
      </c>
      <c r="AY109" s="64" t="s" ph="1">
        <v>260</v>
      </c>
      <c r="AZ109" s="64" t="s" ph="1">
        <v>411</v>
      </c>
    </row>
    <row r="110" spans="33:52" ph="1">
      <c r="AH110" s="64" ph="1">
        <v>5</v>
      </c>
      <c r="AI110" s="64" t="s" ph="1">
        <v>547</v>
      </c>
      <c r="AY110" s="64" t="s" ph="1">
        <v>260</v>
      </c>
      <c r="AZ110" s="64" t="s" ph="1">
        <v>411</v>
      </c>
    </row>
    <row r="111" spans="33:52" ph="1">
      <c r="AH111" s="64" ph="1">
        <v>6</v>
      </c>
      <c r="AI111" s="64" t="s" ph="1">
        <v>625</v>
      </c>
      <c r="AJ111" s="64" t="s" ph="1">
        <v>530</v>
      </c>
      <c r="AK111" s="64" t="s" ph="1">
        <v>269</v>
      </c>
      <c r="AM111" s="64" t="s" ph="1">
        <v>531</v>
      </c>
      <c r="AN111" s="64" t="s" ph="1">
        <v>263</v>
      </c>
      <c r="AO111" s="64" t="s" ph="1">
        <v>544</v>
      </c>
      <c r="AP111" s="64" t="s" ph="1">
        <v>532</v>
      </c>
      <c r="AQ111" s="64" t="s" ph="1">
        <v>272</v>
      </c>
      <c r="AR111" s="64" t="s" ph="1">
        <v>544</v>
      </c>
      <c r="AS111" s="64" t="s" ph="1">
        <v>533</v>
      </c>
      <c r="AT111" s="64" t="s" ph="1">
        <v>281</v>
      </c>
      <c r="AU111" s="64" t="s" ph="1">
        <v>544</v>
      </c>
      <c r="AV111" s="64" t="s" ph="1">
        <v>534</v>
      </c>
      <c r="AW111" s="64" t="s" ph="1">
        <v>271</v>
      </c>
      <c r="AX111" s="64" t="s" ph="1">
        <v>544</v>
      </c>
      <c r="AY111" s="64" t="s" ph="1">
        <v>260</v>
      </c>
      <c r="AZ111" s="64" t="s" ph="1">
        <v>548</v>
      </c>
    </row>
    <row r="112" spans="33:52" ph="1">
      <c r="AJ112" s="64" t="s" ph="1">
        <v>535</v>
      </c>
      <c r="AK112" s="64" t="s" ph="1">
        <v>316</v>
      </c>
      <c r="AM112" s="64" t="s" ph="1">
        <v>537</v>
      </c>
      <c r="AN112" s="64" t="s" ph="1">
        <v>340</v>
      </c>
      <c r="AO112" s="64" t="s" ph="1">
        <v>544</v>
      </c>
      <c r="AP112" s="64" t="s" ph="1">
        <v>538</v>
      </c>
      <c r="AQ112" s="64" t="s" ph="1">
        <v>549</v>
      </c>
      <c r="AR112" s="64" t="s" ph="1">
        <v>544</v>
      </c>
      <c r="AS112" s="64" t="s" ph="1">
        <v>550</v>
      </c>
      <c r="AT112" s="64" t="s" ph="1">
        <v>292</v>
      </c>
      <c r="AU112" s="64" t="s" ph="1">
        <v>544</v>
      </c>
      <c r="AV112" s="64" t="s" ph="1">
        <v>551</v>
      </c>
      <c r="AW112" s="64" t="s" ph="1">
        <v>338</v>
      </c>
      <c r="AX112" s="64" t="s" ph="1">
        <v>544</v>
      </c>
    </row>
    <row r="113" spans="33:52" ph="1">
      <c r="AH113" s="64" ph="1">
        <v>7</v>
      </c>
      <c r="AI113" s="64" t="s" ph="1">
        <v>552</v>
      </c>
      <c r="AJ113" s="64" t="s" ph="1">
        <v>633</v>
      </c>
      <c r="AK113" s="64" t="s" ph="1">
        <v>638</v>
      </c>
      <c r="AY113" s="64" t="s" ph="1">
        <v>260</v>
      </c>
      <c r="AZ113" s="64" t="s" ph="1">
        <v>638</v>
      </c>
    </row>
    <row r="114" spans="33:52" ph="1">
      <c r="AH114" s="64" ph="1">
        <v>8</v>
      </c>
      <c r="AI114" s="64" t="s" ph="1">
        <v>553</v>
      </c>
      <c r="AJ114" s="64" t="s" ph="1">
        <v>633</v>
      </c>
      <c r="AK114" s="64" t="s" ph="1">
        <v>639</v>
      </c>
      <c r="AY114" s="64" t="s" ph="1">
        <v>260</v>
      </c>
      <c r="AZ114" s="64" t="s" ph="1">
        <v>639</v>
      </c>
    </row>
    <row r="115" spans="33:52" ph="1">
      <c r="AH115" s="64" ph="1">
        <v>9</v>
      </c>
      <c r="AI115" s="64" t="s" ph="1">
        <v>554</v>
      </c>
      <c r="AJ115" s="64" t="s" ph="1">
        <v>633</v>
      </c>
      <c r="AK115" s="64" t="s" ph="1">
        <v>639</v>
      </c>
      <c r="AY115" s="64" t="s" ph="1">
        <v>260</v>
      </c>
      <c r="AZ115" s="64" t="s" ph="1">
        <v>639</v>
      </c>
    </row>
    <row r="116" spans="33:52" ph="1">
      <c r="AH116" s="64" ph="1">
        <v>10</v>
      </c>
      <c r="AI116" s="64" t="s" ph="1">
        <v>555</v>
      </c>
      <c r="AJ116" s="64" t="s" ph="1">
        <v>633</v>
      </c>
      <c r="AK116" s="64" t="s" ph="1">
        <v>639</v>
      </c>
      <c r="AY116" s="64" t="s" ph="1">
        <v>260</v>
      </c>
      <c r="AZ116" s="64" t="s" ph="1">
        <v>639</v>
      </c>
    </row>
    <row r="117" spans="33:52" ph="1">
      <c r="AH117" s="64" ph="1">
        <v>11</v>
      </c>
      <c r="AI117" s="64" t="s" ph="1">
        <v>556</v>
      </c>
      <c r="AJ117" s="64" t="s" ph="1">
        <v>633</v>
      </c>
      <c r="AK117" s="64" t="s" ph="1">
        <v>639</v>
      </c>
      <c r="AY117" s="64" t="s" ph="1">
        <v>260</v>
      </c>
      <c r="AZ117" s="64" t="s" ph="1">
        <v>639</v>
      </c>
    </row>
    <row r="118" spans="33:52" ph="1">
      <c r="AZ118" s="64" t="s" ph="1">
        <v>640</v>
      </c>
    </row>
    <row r="119" spans="33:52" ph="1">
      <c r="AI119" s="64" t="s" ph="1">
        <v>253</v>
      </c>
      <c r="AJ119" s="64" t="s" ph="1">
        <v>254</v>
      </c>
      <c r="AK119" s="64" t="s" ph="1">
        <v>255</v>
      </c>
      <c r="AM119" s="64" t="s" ph="1">
        <v>254</v>
      </c>
      <c r="AN119" s="64" t="s" ph="1">
        <v>255</v>
      </c>
      <c r="AO119" s="64" t="s" ph="1">
        <v>256</v>
      </c>
      <c r="AP119" s="64" t="s" ph="1">
        <v>254</v>
      </c>
      <c r="AQ119" s="64" t="s" ph="1">
        <v>255</v>
      </c>
      <c r="AR119" s="64" t="s" ph="1">
        <v>256</v>
      </c>
      <c r="AS119" s="64" t="s" ph="1">
        <v>254</v>
      </c>
      <c r="AT119" s="64" t="s" ph="1">
        <v>255</v>
      </c>
      <c r="AU119" s="64" t="s" ph="1">
        <v>256</v>
      </c>
      <c r="AV119" s="64" t="s" ph="1">
        <v>254</v>
      </c>
      <c r="AW119" s="64" t="s" ph="1">
        <v>255</v>
      </c>
      <c r="AX119" s="64" t="s" ph="1">
        <v>256</v>
      </c>
      <c r="AY119" s="64" t="s" ph="1">
        <v>255</v>
      </c>
      <c r="AZ119" s="64" t="s" ph="1">
        <v>257</v>
      </c>
    </row>
    <row r="120" spans="33:52" ph="1">
      <c r="AG120" s="64" t="s" ph="1">
        <v>397</v>
      </c>
      <c r="AH120" s="64" ph="1">
        <v>1</v>
      </c>
      <c r="AI120" s="64" t="s" ph="1">
        <v>557</v>
      </c>
      <c r="AJ120" s="64" t="s" ph="1">
        <v>631</v>
      </c>
      <c r="AK120" s="64" t="s" ph="1">
        <v>411</v>
      </c>
      <c r="AY120" s="64" t="s" ph="1">
        <v>260</v>
      </c>
      <c r="AZ120" s="64" t="s" ph="1">
        <v>411</v>
      </c>
    </row>
    <row r="121" spans="33:52" ph="1">
      <c r="AH121" s="64" ph="1">
        <v>2</v>
      </c>
      <c r="AI121" s="64" t="s" ph="1">
        <v>558</v>
      </c>
      <c r="AY121" s="64" t="s" ph="1">
        <v>260</v>
      </c>
      <c r="AZ121" s="64" t="s" ph="1">
        <v>411</v>
      </c>
    </row>
    <row r="122" spans="33:52" ph="1">
      <c r="AH122" s="64" ph="1">
        <v>3</v>
      </c>
      <c r="AI122" s="64" t="s" ph="1">
        <v>559</v>
      </c>
      <c r="AJ122" s="64" t="s" ph="1">
        <v>614</v>
      </c>
      <c r="AK122" s="64" t="s" ph="1">
        <v>626</v>
      </c>
      <c r="AM122" s="64" t="s" ph="1">
        <v>641</v>
      </c>
      <c r="AN122" s="64" t="s" ph="1">
        <v>634</v>
      </c>
      <c r="AO122" s="64" t="s" ph="1">
        <v>109</v>
      </c>
      <c r="AY122" s="64" t="s" ph="1">
        <v>260</v>
      </c>
      <c r="AZ122" s="64" t="s" ph="1">
        <v>623</v>
      </c>
    </row>
    <row r="123" spans="33:52" ph="1">
      <c r="AY123" s="64" t="s" ph="1">
        <v>260</v>
      </c>
      <c r="AZ123" s="64" t="s" ph="1">
        <v>623</v>
      </c>
    </row>
    <row r="124" spans="33:52" ph="1">
      <c r="AG124" s="64" t="s" ph="1">
        <v>400</v>
      </c>
      <c r="AH124" s="64" ph="1">
        <v>4</v>
      </c>
      <c r="AI124" s="64" t="s" ph="1">
        <v>560</v>
      </c>
      <c r="AJ124" s="64" t="s" ph="1">
        <v>561</v>
      </c>
      <c r="AK124" s="64" t="s" ph="1">
        <v>562</v>
      </c>
      <c r="AY124" s="64" t="s" ph="1">
        <v>260</v>
      </c>
      <c r="AZ124" s="64" t="s" ph="1">
        <v>562</v>
      </c>
    </row>
    <row r="125" spans="33:52" ph="1">
      <c r="AH125" s="64" ph="1">
        <v>5</v>
      </c>
      <c r="AI125" s="64" t="s" ph="1">
        <v>563</v>
      </c>
      <c r="AJ125" s="64" t="s" ph="1">
        <v>561</v>
      </c>
      <c r="AK125" s="64" t="s" ph="1">
        <v>562</v>
      </c>
      <c r="AY125" s="64" t="s" ph="1">
        <v>260</v>
      </c>
      <c r="AZ125" s="64" t="s" ph="1">
        <v>562</v>
      </c>
    </row>
    <row r="126" spans="33:52" ph="1">
      <c r="AH126" s="64" ph="1">
        <v>6</v>
      </c>
      <c r="AI126" s="64" t="s" ph="1">
        <v>564</v>
      </c>
      <c r="AJ126" s="64" t="s" ph="1">
        <v>633</v>
      </c>
      <c r="AK126" s="64" t="s" ph="1">
        <v>642</v>
      </c>
      <c r="AY126" s="64" t="s" ph="1">
        <v>260</v>
      </c>
      <c r="AZ126" s="64" t="s" ph="1">
        <v>642</v>
      </c>
    </row>
    <row r="127" spans="33:52" ph="1">
      <c r="AH127" s="64" ph="1">
        <v>7</v>
      </c>
      <c r="AI127" s="64" t="s" ph="1">
        <v>565</v>
      </c>
      <c r="AJ127" s="64" t="s" ph="1">
        <v>633</v>
      </c>
      <c r="AK127" s="64" t="s" ph="1">
        <v>643</v>
      </c>
      <c r="AY127" s="64" t="s" ph="1">
        <v>260</v>
      </c>
      <c r="AZ127" s="64" t="s" ph="1">
        <v>643</v>
      </c>
    </row>
    <row r="128" spans="33:52" ph="1">
      <c r="AH128" s="64" ph="1">
        <v>8</v>
      </c>
      <c r="AI128" s="64" t="s" ph="1">
        <v>566</v>
      </c>
      <c r="AY128" s="64" t="s" ph="1">
        <v>260</v>
      </c>
      <c r="AZ128" s="64" t="s" ph="1">
        <v>411</v>
      </c>
    </row>
    <row r="129" spans="33:52" ph="1">
      <c r="AH129" s="64" ph="1">
        <v>9</v>
      </c>
      <c r="AI129" s="64" t="s" ph="1">
        <v>567</v>
      </c>
      <c r="AY129" s="64" t="s" ph="1">
        <v>260</v>
      </c>
      <c r="AZ129" s="64" t="s" ph="1">
        <v>411</v>
      </c>
    </row>
    <row r="130" spans="33:52" ph="1">
      <c r="AH130" s="64" ph="1">
        <v>10</v>
      </c>
      <c r="AI130" s="64" t="s" ph="1">
        <v>568</v>
      </c>
      <c r="AY130" s="64" t="s" ph="1">
        <v>260</v>
      </c>
      <c r="AZ130" s="64" t="s" ph="1">
        <v>411</v>
      </c>
    </row>
    <row r="131" spans="33:52" ph="1">
      <c r="AH131" s="64" ph="1">
        <v>11</v>
      </c>
      <c r="AI131" s="64" t="s" ph="1">
        <v>569</v>
      </c>
      <c r="AJ131" s="64" t="s" ph="1">
        <v>627</v>
      </c>
      <c r="AK131" s="64" t="s" ph="1">
        <v>623</v>
      </c>
      <c r="AY131" s="64" t="s" ph="1">
        <v>260</v>
      </c>
      <c r="AZ131" s="64" t="s" ph="1">
        <v>623</v>
      </c>
    </row>
    <row r="132" spans="33:52" ph="1">
      <c r="AH132" s="64" ph="1">
        <v>12</v>
      </c>
      <c r="AI132" s="64" t="s" ph="1">
        <v>570</v>
      </c>
      <c r="AJ132" s="64" t="s" ph="1">
        <v>627</v>
      </c>
      <c r="AK132" s="64" t="s" ph="1">
        <v>562</v>
      </c>
      <c r="AY132" s="64" t="s" ph="1">
        <v>260</v>
      </c>
      <c r="AZ132" s="64" t="s" ph="1">
        <v>562</v>
      </c>
    </row>
    <row r="133" spans="33:52" ph="1">
      <c r="AH133" s="64" ph="1">
        <v>13</v>
      </c>
      <c r="AI133" s="64" t="s" ph="1">
        <v>571</v>
      </c>
      <c r="AJ133" s="64" t="s" ph="1">
        <v>627</v>
      </c>
      <c r="AK133" s="64" t="s" ph="1">
        <v>628</v>
      </c>
      <c r="AY133" s="64" t="s" ph="1">
        <v>260</v>
      </c>
      <c r="AZ133" s="64" t="s" ph="1">
        <v>628</v>
      </c>
    </row>
    <row r="134" spans="33:52" ph="1">
      <c r="AH134" s="64" ph="1">
        <v>14</v>
      </c>
      <c r="AI134" s="64" t="s" ph="1">
        <v>572</v>
      </c>
      <c r="AJ134" s="64" t="s" ph="1">
        <v>627</v>
      </c>
      <c r="AK134" s="64" t="s" ph="1">
        <v>629</v>
      </c>
      <c r="AY134" s="64" t="s" ph="1">
        <v>260</v>
      </c>
      <c r="AZ134" s="64" t="s" ph="1">
        <v>629</v>
      </c>
    </row>
    <row r="135" spans="33:52" ph="1">
      <c r="AH135" s="64" ph="1">
        <v>15</v>
      </c>
      <c r="AI135" s="64" t="s" ph="1">
        <v>573</v>
      </c>
      <c r="AJ135" s="64" t="s" ph="1">
        <v>627</v>
      </c>
      <c r="AK135" s="64" t="s" ph="1">
        <v>630</v>
      </c>
      <c r="AY135" s="64" t="s" ph="1">
        <v>260</v>
      </c>
      <c r="AZ135" s="64" t="s" ph="1">
        <v>630</v>
      </c>
    </row>
    <row r="136" spans="33:52" ph="1">
      <c r="AZ136" s="64" t="s" ph="1">
        <v>644</v>
      </c>
    </row>
    <row r="137" spans="33:52" ph="1">
      <c r="AG137" s="64" t="s" ph="1">
        <v>334</v>
      </c>
      <c r="AI137" s="64" t="s" ph="1">
        <v>253</v>
      </c>
      <c r="AJ137" s="64" t="s" ph="1">
        <v>254</v>
      </c>
      <c r="AK137" s="64" t="s" ph="1">
        <v>255</v>
      </c>
      <c r="AM137" s="64" t="s" ph="1">
        <v>254</v>
      </c>
      <c r="AN137" s="64" t="s" ph="1">
        <v>255</v>
      </c>
      <c r="AO137" s="64" t="s" ph="1">
        <v>256</v>
      </c>
      <c r="AP137" s="64" t="s" ph="1">
        <v>254</v>
      </c>
      <c r="AQ137" s="64" t="s" ph="1">
        <v>255</v>
      </c>
      <c r="AR137" s="64" t="s" ph="1">
        <v>256</v>
      </c>
      <c r="AS137" s="64" t="s" ph="1">
        <v>254</v>
      </c>
      <c r="AT137" s="64" t="s" ph="1">
        <v>255</v>
      </c>
      <c r="AU137" s="64" t="s" ph="1">
        <v>256</v>
      </c>
      <c r="AV137" s="64" t="s" ph="1">
        <v>254</v>
      </c>
      <c r="AW137" s="64" t="s" ph="1">
        <v>255</v>
      </c>
      <c r="AX137" s="64" t="s" ph="1">
        <v>256</v>
      </c>
      <c r="AY137" s="64" t="s" ph="1">
        <v>255</v>
      </c>
      <c r="AZ137" s="64" t="s" ph="1">
        <v>257</v>
      </c>
    </row>
    <row r="138" spans="33:52" ph="1">
      <c r="AH138" s="64" ph="1">
        <v>1</v>
      </c>
      <c r="AI138" s="64" t="s" ph="1">
        <v>574</v>
      </c>
      <c r="AJ138" s="64" t="s" ph="1">
        <v>575</v>
      </c>
      <c r="AK138" s="64" t="s" ph="1">
        <v>576</v>
      </c>
      <c r="AY138" s="64" t="s" ph="1">
        <v>260</v>
      </c>
      <c r="AZ138" s="64" t="s" ph="1">
        <v>576</v>
      </c>
    </row>
    <row r="139" spans="33:52" ph="1">
      <c r="AH139" s="64" ph="1">
        <v>2</v>
      </c>
      <c r="AI139" s="64" t="s" ph="1">
        <v>577</v>
      </c>
      <c r="AJ139" s="64" t="s" ph="1">
        <v>633</v>
      </c>
      <c r="AK139" s="64" t="s" ph="1">
        <v>645</v>
      </c>
      <c r="AY139" s="64" t="s" ph="1">
        <v>260</v>
      </c>
      <c r="AZ139" s="64" t="s" ph="1">
        <v>645</v>
      </c>
    </row>
    <row r="140" spans="33:52" ph="1">
      <c r="AH140" s="64" ph="1">
        <v>3</v>
      </c>
      <c r="AI140" s="64" t="s" ph="1">
        <v>578</v>
      </c>
      <c r="AJ140" s="64" t="s" ph="1">
        <v>531</v>
      </c>
      <c r="AK140" s="64" t="s" ph="1">
        <v>343</v>
      </c>
      <c r="AM140" s="64" t="s" ph="1">
        <v>532</v>
      </c>
      <c r="AN140" s="64" t="s" ph="1">
        <v>263</v>
      </c>
      <c r="AO140" s="64" t="s" ph="1">
        <v>579</v>
      </c>
      <c r="AP140" s="64" t="s" ph="1">
        <v>533</v>
      </c>
      <c r="AQ140" s="64" t="s" ph="1">
        <v>280</v>
      </c>
      <c r="AR140" s="64" t="s" ph="1">
        <v>579</v>
      </c>
      <c r="AS140" s="64" t="s" ph="1">
        <v>534</v>
      </c>
      <c r="AT140" s="64" t="s" ph="1">
        <v>273</v>
      </c>
      <c r="AU140" s="64" t="s" ph="1">
        <v>579</v>
      </c>
      <c r="AV140" s="64" t="s" ph="1">
        <v>535</v>
      </c>
      <c r="AW140" s="64" t="s" ph="1">
        <v>266</v>
      </c>
      <c r="AX140" s="64" t="s" ph="1">
        <v>579</v>
      </c>
      <c r="AY140" s="64" t="s" ph="1">
        <v>260</v>
      </c>
      <c r="AZ140" s="64" t="s" ph="1">
        <v>335</v>
      </c>
    </row>
    <row r="141" spans="33:52" ph="1">
      <c r="AJ141" s="64" t="s" ph="1">
        <v>537</v>
      </c>
      <c r="AK141" s="64" t="s" ph="1">
        <v>266</v>
      </c>
      <c r="AM141" s="64" t="s" ph="1">
        <v>538</v>
      </c>
      <c r="AN141" s="64" t="s" ph="1">
        <v>269</v>
      </c>
      <c r="AO141" s="64" t="s" ph="1">
        <v>579</v>
      </c>
      <c r="AP141" s="64" t="s" ph="1">
        <v>550</v>
      </c>
      <c r="AQ141" s="64" t="s" ph="1">
        <v>338</v>
      </c>
      <c r="AR141" s="64" t="s" ph="1">
        <v>579</v>
      </c>
      <c r="AS141" s="64" t="s" ph="1">
        <v>542</v>
      </c>
      <c r="AT141" s="64" t="s" ph="1">
        <v>266</v>
      </c>
      <c r="AU141" s="64" t="s" ph="1">
        <v>579</v>
      </c>
      <c r="AV141" s="64" t="s" ph="1">
        <v>378</v>
      </c>
      <c r="AW141" s="64" t="s" ph="1">
        <v>272</v>
      </c>
      <c r="AX141" s="64" t="s" ph="1">
        <v>579</v>
      </c>
    </row>
    <row r="142" spans="33:52" ph="1">
      <c r="AJ142" s="64" t="s" ph="1">
        <v>580</v>
      </c>
      <c r="AK142" s="64" t="s" ph="1">
        <v>283</v>
      </c>
    </row>
    <row r="143" spans="33:52" ph="1">
      <c r="AH143" s="64" ph="1">
        <v>4</v>
      </c>
      <c r="AI143" s="64" t="s" ph="1">
        <v>581</v>
      </c>
      <c r="AJ143" s="64" t="s" ph="1">
        <v>561</v>
      </c>
      <c r="AK143" s="64" t="s" ph="1">
        <v>582</v>
      </c>
      <c r="AY143" s="64" t="s" ph="1">
        <v>260</v>
      </c>
      <c r="AZ143" s="64" t="s" ph="1">
        <v>582</v>
      </c>
    </row>
    <row r="144" spans="33:52" ph="1">
      <c r="AH144" s="64" ph="1">
        <v>5</v>
      </c>
      <c r="AI144" s="64" t="s" ph="1">
        <v>583</v>
      </c>
      <c r="AY144" s="64" t="s" ph="1">
        <v>260</v>
      </c>
      <c r="AZ144" s="64" t="s" ph="1">
        <v>411</v>
      </c>
    </row>
    <row r="145" spans="33:52" ph="1">
      <c r="AH145" s="64" ph="1">
        <v>6</v>
      </c>
      <c r="AI145" s="64" t="s" ph="1">
        <v>584</v>
      </c>
      <c r="AY145" s="64" t="s" ph="1">
        <v>260</v>
      </c>
      <c r="AZ145" s="64" t="s" ph="1">
        <v>411</v>
      </c>
    </row>
    <row r="146" spans="33:52" ph="1">
      <c r="AH146" s="64" ph="1">
        <v>7</v>
      </c>
      <c r="AI146" s="64" t="s" ph="1">
        <v>585</v>
      </c>
      <c r="AY146" s="64" t="s" ph="1">
        <v>260</v>
      </c>
      <c r="AZ146" s="64" t="s" ph="1">
        <v>411</v>
      </c>
    </row>
    <row r="147" spans="33:52" ph="1">
      <c r="AH147" s="64" ph="1">
        <v>8</v>
      </c>
      <c r="AI147" s="64" t="s" ph="1">
        <v>586</v>
      </c>
      <c r="AY147" s="64" t="s" ph="1">
        <v>260</v>
      </c>
      <c r="AZ147" s="64" t="s" ph="1">
        <v>411</v>
      </c>
    </row>
    <row r="148" spans="33:52" ph="1">
      <c r="AH148" s="64" ph="1">
        <v>9</v>
      </c>
      <c r="AI148" s="64" t="s" ph="1">
        <v>587</v>
      </c>
      <c r="AY148" s="64" t="s" ph="1">
        <v>260</v>
      </c>
      <c r="AZ148" s="64" t="s" ph="1">
        <v>411</v>
      </c>
    </row>
    <row r="149" spans="33:52" ph="1">
      <c r="AH149" s="64" ph="1">
        <v>10</v>
      </c>
      <c r="AI149" s="64" t="s" ph="1">
        <v>588</v>
      </c>
      <c r="AY149" s="64" t="s" ph="1">
        <v>260</v>
      </c>
      <c r="AZ149" s="64" t="s" ph="1">
        <v>411</v>
      </c>
    </row>
    <row r="150" spans="33:52" ph="1">
      <c r="AH150" s="64" ph="1">
        <v>11</v>
      </c>
      <c r="AI150" s="64" t="s" ph="1">
        <v>589</v>
      </c>
      <c r="AY150" s="64" t="s" ph="1">
        <v>260</v>
      </c>
      <c r="AZ150" s="64" t="s" ph="1">
        <v>411</v>
      </c>
    </row>
    <row r="151" spans="33:52" ph="1">
      <c r="AH151" s="64" ph="1">
        <v>12</v>
      </c>
      <c r="AI151" s="64" t="s" ph="1">
        <v>590</v>
      </c>
      <c r="AY151" s="64" t="s" ph="1">
        <v>260</v>
      </c>
      <c r="AZ151" s="64" t="s" ph="1">
        <v>411</v>
      </c>
    </row>
    <row r="152" spans="33:52" ph="1">
      <c r="AH152" s="64" ph="1">
        <v>13</v>
      </c>
      <c r="AI152" s="64" t="s" ph="1">
        <v>591</v>
      </c>
      <c r="AY152" s="64" t="s" ph="1">
        <v>260</v>
      </c>
      <c r="AZ152" s="64" t="s" ph="1">
        <v>411</v>
      </c>
    </row>
    <row r="153" spans="33:52" ph="1">
      <c r="AH153" s="64" ph="1">
        <v>14</v>
      </c>
      <c r="AI153" s="64" t="s" ph="1">
        <v>592</v>
      </c>
      <c r="AY153" s="64" t="s" ph="1">
        <v>260</v>
      </c>
      <c r="AZ153" s="64" t="s" ph="1">
        <v>411</v>
      </c>
    </row>
    <row r="154" spans="33:52" ph="1">
      <c r="AH154" s="64" ph="1">
        <v>15</v>
      </c>
      <c r="AI154" s="64" t="s" ph="1">
        <v>593</v>
      </c>
      <c r="AY154" s="64" t="s" ph="1">
        <v>260</v>
      </c>
      <c r="AZ154" s="64" t="s" ph="1">
        <v>411</v>
      </c>
    </row>
    <row r="155" spans="33:52" ph="1">
      <c r="AH155" s="64" ph="1">
        <v>16</v>
      </c>
      <c r="AI155" s="64" t="s" ph="1">
        <v>594</v>
      </c>
      <c r="AJ155" s="64" t="s" ph="1">
        <v>380</v>
      </c>
      <c r="AK155" s="64" t="s" ph="1">
        <v>275</v>
      </c>
      <c r="AM155" s="64" t="s" ph="1">
        <v>614</v>
      </c>
      <c r="AN155" s="64" t="s" ph="1">
        <v>326</v>
      </c>
      <c r="AO155" s="64" t="s" ph="1">
        <v>579</v>
      </c>
      <c r="AY155" s="64" t="s" ph="1">
        <v>260</v>
      </c>
      <c r="AZ155" s="64" t="s" ph="1">
        <v>267</v>
      </c>
    </row>
    <row r="156" spans="33:52" ph="1">
      <c r="AZ156" s="64" t="s" ph="1">
        <v>646</v>
      </c>
    </row>
    <row r="157" spans="33:52" ph="1">
      <c r="AG157" s="64" t="s" ph="1">
        <v>595</v>
      </c>
      <c r="AI157" s="64" t="s" ph="1">
        <v>253</v>
      </c>
      <c r="AJ157" s="64" t="s" ph="1">
        <v>254</v>
      </c>
      <c r="AK157" s="64" t="s" ph="1">
        <v>255</v>
      </c>
      <c r="AM157" s="64" t="s" ph="1">
        <v>254</v>
      </c>
      <c r="AN157" s="64" t="s" ph="1">
        <v>255</v>
      </c>
      <c r="AO157" s="64" t="s" ph="1">
        <v>256</v>
      </c>
      <c r="AP157" s="64" t="s" ph="1">
        <v>254</v>
      </c>
      <c r="AQ157" s="64" t="s" ph="1">
        <v>255</v>
      </c>
      <c r="AR157" s="64" t="s" ph="1">
        <v>256</v>
      </c>
      <c r="AS157" s="64" t="s" ph="1">
        <v>254</v>
      </c>
      <c r="AT157" s="64" t="s" ph="1">
        <v>255</v>
      </c>
      <c r="AU157" s="64" t="s" ph="1">
        <v>256</v>
      </c>
      <c r="AV157" s="64" t="s" ph="1">
        <v>254</v>
      </c>
      <c r="AW157" s="64" t="s" ph="1">
        <v>255</v>
      </c>
      <c r="AX157" s="64" t="s" ph="1">
        <v>256</v>
      </c>
      <c r="AY157" s="64" t="s" ph="1">
        <v>255</v>
      </c>
      <c r="AZ157" s="64" t="s" ph="1">
        <v>257</v>
      </c>
    </row>
    <row r="158" spans="33:52" ph="1">
      <c r="AH158" s="64" ph="1">
        <v>1</v>
      </c>
      <c r="AI158" s="64" t="s" ph="1">
        <v>596</v>
      </c>
      <c r="AY158" s="64" t="s" ph="1">
        <v>260</v>
      </c>
      <c r="AZ158" s="64" t="s" ph="1">
        <v>411</v>
      </c>
    </row>
    <row r="159" spans="33:52" ph="1">
      <c r="AH159" s="64" ph="1">
        <v>2</v>
      </c>
      <c r="AI159" s="64" t="s" ph="1">
        <v>597</v>
      </c>
      <c r="AY159" s="64" t="s" ph="1">
        <v>260</v>
      </c>
      <c r="AZ159" s="64" t="s" ph="1">
        <v>411</v>
      </c>
    </row>
    <row r="160" spans="33:52" ph="1">
      <c r="AZ160" s="64" t="s" ph="1">
        <v>429</v>
      </c>
    </row>
    <row r="161" spans="33:52" ph="1">
      <c r="AG161" s="64" t="s" ph="1">
        <v>405</v>
      </c>
      <c r="AI161" s="64" t="s" ph="1">
        <v>253</v>
      </c>
      <c r="AJ161" s="64" t="s" ph="1">
        <v>254</v>
      </c>
      <c r="AK161" s="64" t="s" ph="1">
        <v>255</v>
      </c>
      <c r="AM161" s="64" t="s" ph="1">
        <v>254</v>
      </c>
      <c r="AN161" s="64" t="s" ph="1">
        <v>255</v>
      </c>
      <c r="AO161" s="64" t="s" ph="1">
        <v>256</v>
      </c>
      <c r="AP161" s="64" t="s" ph="1">
        <v>254</v>
      </c>
      <c r="AQ161" s="64" t="s" ph="1">
        <v>255</v>
      </c>
      <c r="AR161" s="64" t="s" ph="1">
        <v>256</v>
      </c>
      <c r="AS161" s="64" t="s" ph="1">
        <v>254</v>
      </c>
      <c r="AT161" s="64" t="s" ph="1">
        <v>255</v>
      </c>
      <c r="AU161" s="64" t="s" ph="1">
        <v>256</v>
      </c>
      <c r="AV161" s="64" t="s" ph="1">
        <v>254</v>
      </c>
      <c r="AW161" s="64" t="s" ph="1">
        <v>255</v>
      </c>
      <c r="AX161" s="64" t="s" ph="1">
        <v>256</v>
      </c>
      <c r="AY161" s="64" t="s" ph="1">
        <v>255</v>
      </c>
      <c r="AZ161" s="64" t="s" ph="1">
        <v>257</v>
      </c>
    </row>
    <row r="162" spans="33:52" ph="1">
      <c r="AH162" s="64" ph="1">
        <v>1</v>
      </c>
      <c r="AI162" s="64" t="s" ph="1">
        <v>598</v>
      </c>
      <c r="AJ162" s="64" t="s" ph="1">
        <v>599</v>
      </c>
      <c r="AK162" s="64" t="s" ph="1">
        <v>543</v>
      </c>
      <c r="AM162" s="64" t="s" ph="1">
        <v>600</v>
      </c>
      <c r="AN162" s="64" t="s" ph="1">
        <v>264</v>
      </c>
      <c r="AO162" s="64" t="s" ph="1">
        <v>601</v>
      </c>
      <c r="AY162" s="64" t="s" ph="1">
        <v>260</v>
      </c>
      <c r="AZ162" s="64" t="s" ph="1">
        <v>336</v>
      </c>
    </row>
    <row r="163" spans="33:52" ph="1">
      <c r="AH163" s="64" ph="1">
        <v>2</v>
      </c>
      <c r="AI163" s="64" t="s" ph="1">
        <v>602</v>
      </c>
      <c r="AJ163" s="64" t="s" ph="1">
        <v>599</v>
      </c>
      <c r="AK163" s="64" t="s" ph="1">
        <v>432</v>
      </c>
      <c r="AY163" s="64" t="s" ph="1">
        <v>260</v>
      </c>
      <c r="AZ163" s="64" t="s" ph="1">
        <v>432</v>
      </c>
    </row>
    <row r="164" spans="33:52" ph="1">
      <c r="AH164" s="64" ph="1">
        <v>3</v>
      </c>
      <c r="AI164" s="64" t="s" ph="1">
        <v>603</v>
      </c>
      <c r="AJ164" s="64" t="s" ph="1">
        <v>599</v>
      </c>
      <c r="AK164" s="64" t="s" ph="1">
        <v>336</v>
      </c>
      <c r="AY164" s="64" t="s" ph="1">
        <v>260</v>
      </c>
      <c r="AZ164" s="64" t="s" ph="1">
        <v>336</v>
      </c>
    </row>
    <row r="165" spans="33:52" ph="1">
      <c r="AH165" s="64" ph="1">
        <v>4</v>
      </c>
      <c r="AI165" s="64" t="s" ph="1">
        <v>604</v>
      </c>
      <c r="AY165" s="64" t="s" ph="1">
        <v>260</v>
      </c>
      <c r="AZ165" s="64" t="s" ph="1">
        <v>411</v>
      </c>
    </row>
    <row r="166" spans="33:52" ph="1">
      <c r="AH166" s="64" ph="1">
        <v>5</v>
      </c>
      <c r="AI166" s="64" t="s" ph="1">
        <v>605</v>
      </c>
      <c r="AY166" s="64" t="s" ph="1">
        <v>260</v>
      </c>
      <c r="AZ166" s="64" t="s" ph="1">
        <v>411</v>
      </c>
    </row>
    <row r="167" spans="33:52" ph="1">
      <c r="AZ167" s="64" t="s" ph="1">
        <v>606</v>
      </c>
    </row>
    <row r="168" spans="33:52" ph="1">
      <c r="AG168" s="64" t="s" ph="1">
        <v>349</v>
      </c>
      <c r="AI168" s="64" t="s" ph="1">
        <v>253</v>
      </c>
      <c r="AJ168" s="64" t="s" ph="1">
        <v>254</v>
      </c>
      <c r="AK168" s="64" t="s" ph="1">
        <v>255</v>
      </c>
      <c r="AM168" s="64" t="s" ph="1">
        <v>254</v>
      </c>
      <c r="AN168" s="64" t="s" ph="1">
        <v>255</v>
      </c>
      <c r="AO168" s="64" t="s" ph="1">
        <v>256</v>
      </c>
      <c r="AP168" s="64" t="s" ph="1">
        <v>254</v>
      </c>
      <c r="AQ168" s="64" t="s" ph="1">
        <v>255</v>
      </c>
      <c r="AR168" s="64" t="s" ph="1">
        <v>256</v>
      </c>
      <c r="AS168" s="64" t="s" ph="1">
        <v>254</v>
      </c>
      <c r="AT168" s="64" t="s" ph="1">
        <v>255</v>
      </c>
      <c r="AU168" s="64" t="s" ph="1">
        <v>256</v>
      </c>
      <c r="AV168" s="64" t="s" ph="1">
        <v>254</v>
      </c>
      <c r="AW168" s="64" t="s" ph="1">
        <v>255</v>
      </c>
      <c r="AX168" s="64" t="s" ph="1">
        <v>256</v>
      </c>
      <c r="AY168" s="64" t="s" ph="1">
        <v>255</v>
      </c>
      <c r="AZ168" s="64" t="s" ph="1">
        <v>257</v>
      </c>
    </row>
    <row r="169" spans="33:52" ph="1">
      <c r="AH169" s="64" ph="1">
        <v>1</v>
      </c>
      <c r="AI169" s="64" t="s" ph="1">
        <v>607</v>
      </c>
      <c r="AY169" s="64" t="s" ph="1">
        <v>260</v>
      </c>
      <c r="AZ169" s="64" t="s" ph="1">
        <v>411</v>
      </c>
    </row>
    <row r="170" spans="33:52" ph="1">
      <c r="AH170" s="64" ph="1">
        <v>2</v>
      </c>
      <c r="AI170" s="64" t="s" ph="1">
        <v>608</v>
      </c>
      <c r="AY170" s="64" t="s" ph="1">
        <v>260</v>
      </c>
      <c r="AZ170" s="64" t="s" ph="1">
        <v>411</v>
      </c>
    </row>
    <row r="171" spans="33:52" ph="1">
      <c r="AH171" s="64" ph="1">
        <v>3</v>
      </c>
      <c r="AI171" s="64" t="s" ph="1">
        <v>609</v>
      </c>
      <c r="AY171" s="64" t="s" ph="1">
        <v>260</v>
      </c>
      <c r="AZ171" s="64" t="s" ph="1">
        <v>411</v>
      </c>
    </row>
    <row r="172" spans="33:52" ph="1">
      <c r="AH172" s="64" ph="1">
        <v>4</v>
      </c>
      <c r="AI172" s="64" t="s" ph="1">
        <v>610</v>
      </c>
      <c r="AY172" s="64" t="s" ph="1">
        <v>260</v>
      </c>
      <c r="AZ172" s="64" t="s" ph="1">
        <v>411</v>
      </c>
    </row>
    <row r="173" spans="33:52" ph="1">
      <c r="AH173" s="64" ph="1">
        <v>5</v>
      </c>
      <c r="AI173" s="64" t="s" ph="1">
        <v>611</v>
      </c>
      <c r="AY173" s="64" t="s" ph="1">
        <v>260</v>
      </c>
      <c r="AZ173" s="64" t="s" ph="1">
        <v>411</v>
      </c>
    </row>
    <row r="174" spans="33:52" ph="1">
      <c r="AZ174" s="64" t="s" ph="1">
        <v>429</v>
      </c>
    </row>
    <row r="175" spans="33:52" ph="1">
      <c r="AJ175" s="64" t="s" ph="1">
        <v>350</v>
      </c>
    </row>
    <row r="176" spans="33:52" ph="1">
      <c r="AJ176" s="64" t="s" ph="1">
        <v>351</v>
      </c>
      <c r="AK176" s="64" t="s" ph="1">
        <v>352</v>
      </c>
      <c r="AM176" s="64" t="s" ph="1">
        <v>353</v>
      </c>
      <c r="AO176" s="64" t="s" ph="1">
        <v>354</v>
      </c>
      <c r="AP176" s="64" t="s" ph="1">
        <v>355</v>
      </c>
      <c r="AQ176" s="64" t="s" ph="1">
        <v>345</v>
      </c>
      <c r="AR176" s="64" t="s" ph="1">
        <v>265</v>
      </c>
    </row>
    <row r="177" spans="36:56" ph="1">
      <c r="AJ177" s="64" t="s" ph="1">
        <v>647</v>
      </c>
      <c r="AK177" s="64" t="s" ph="1">
        <v>356</v>
      </c>
      <c r="AO177" s="64" t="s" ph="1">
        <v>356</v>
      </c>
      <c r="AP177" s="64" t="s" ph="1">
        <v>356</v>
      </c>
      <c r="AQ177" s="64" t="s" ph="1">
        <v>357</v>
      </c>
      <c r="AR177" s="64" t="s" ph="1">
        <v>358</v>
      </c>
    </row>
    <row r="179" spans="36:56" ph="1">
      <c r="AJ179" s="64" t="s" ph="1">
        <v>359</v>
      </c>
      <c r="AK179" s="64" t="s" ph="1">
        <v>360</v>
      </c>
      <c r="AM179" s="64" t="s" ph="1">
        <v>361</v>
      </c>
      <c r="AN179" s="64" t="s" ph="1">
        <v>337</v>
      </c>
      <c r="AO179" s="64" t="s" ph="1">
        <v>362</v>
      </c>
      <c r="AP179" s="64" t="s" ph="1">
        <v>341</v>
      </c>
      <c r="AQ179" s="64" t="s" ph="1">
        <v>363</v>
      </c>
      <c r="AR179" s="64" t="s" ph="1">
        <v>364</v>
      </c>
    </row>
    <row r="180" spans="36:56" ph="1">
      <c r="AJ180" s="64" t="s" ph="1">
        <v>356</v>
      </c>
      <c r="AK180" s="64" t="s" ph="1">
        <v>356</v>
      </c>
      <c r="AL180" s="64" ph="1">
        <v>116</v>
      </c>
      <c r="AM180" s="64" t="s" ph="1">
        <v>356</v>
      </c>
      <c r="AN180" s="64" t="s" ph="1">
        <v>365</v>
      </c>
      <c r="AO180" s="64" t="s" ph="1">
        <v>356</v>
      </c>
      <c r="AP180" s="64" t="s" ph="1">
        <v>366</v>
      </c>
      <c r="AQ180" s="64" t="s" ph="1">
        <v>367</v>
      </c>
      <c r="AR180" s="64" t="s" ph="1">
        <v>368</v>
      </c>
    </row>
    <row r="189" spans="36:56" ph="1">
      <c r="BD189" s="64" t="s" ph="1">
        <v>612</v>
      </c>
    </row>
    <row r="223" spans="18:18" ph="1">
      <c r="R223" s="138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341" priority="92">
      <formula>ABS(D$7-D$10)&gt;=1000</formula>
    </cfRule>
  </conditionalFormatting>
  <conditionalFormatting sqref="E4 E6:E11">
    <cfRule type="expression" dxfId="1340" priority="91">
      <formula>ABS(E$7-E$10)&gt;=1000</formula>
    </cfRule>
  </conditionalFormatting>
  <conditionalFormatting sqref="F4:F11">
    <cfRule type="expression" dxfId="1339" priority="90">
      <formula>ABS(F$7-F$10)&gt;=1000</formula>
    </cfRule>
  </conditionalFormatting>
  <conditionalFormatting sqref="G4:G11">
    <cfRule type="expression" dxfId="1338" priority="89">
      <formula>ABS(G$7-G$10)&gt;=1000</formula>
    </cfRule>
  </conditionalFormatting>
  <conditionalFormatting sqref="H4:H11">
    <cfRule type="expression" dxfId="1337" priority="88">
      <formula>ABS(H$7-H$10)&gt;=1000</formula>
    </cfRule>
  </conditionalFormatting>
  <conditionalFormatting sqref="I4:I11">
    <cfRule type="expression" dxfId="1336" priority="87">
      <formula>ABS(I$7-I$10)&gt;=1000</formula>
    </cfRule>
  </conditionalFormatting>
  <conditionalFormatting sqref="J4:J11">
    <cfRule type="expression" dxfId="1335" priority="86">
      <formula>ABS(J$7-J$10)&gt;=1000</formula>
    </cfRule>
  </conditionalFormatting>
  <conditionalFormatting sqref="K4:K11">
    <cfRule type="expression" dxfId="1334" priority="85">
      <formula>ABS(K$7-K$10)&gt;=1000</formula>
    </cfRule>
  </conditionalFormatting>
  <conditionalFormatting sqref="L4:L11">
    <cfRule type="expression" dxfId="1333" priority="84">
      <formula>ABS(L$7-L$10)&gt;=1000</formula>
    </cfRule>
  </conditionalFormatting>
  <conditionalFormatting sqref="M4:M11">
    <cfRule type="expression" dxfId="1332" priority="83">
      <formula>ABS(M$7-M$10)&gt;=1000</formula>
    </cfRule>
  </conditionalFormatting>
  <conditionalFormatting sqref="N4:N11">
    <cfRule type="expression" dxfId="1331" priority="82">
      <formula>ABS(N$7-N$10)&gt;=1000</formula>
    </cfRule>
  </conditionalFormatting>
  <conditionalFormatting sqref="O4:O11">
    <cfRule type="expression" dxfId="1330" priority="81">
      <formula>ABS(O$7-O$10)&gt;=1000</formula>
    </cfRule>
  </conditionalFormatting>
  <conditionalFormatting sqref="P4:P11">
    <cfRule type="expression" dxfId="1329" priority="80">
      <formula>ABS(P$7-P$10)&gt;=1000</formula>
    </cfRule>
  </conditionalFormatting>
  <conditionalFormatting sqref="Q4:Q11">
    <cfRule type="expression" dxfId="1328" priority="79">
      <formula>ABS(Q$7-Q$10)&gt;=1000</formula>
    </cfRule>
  </conditionalFormatting>
  <conditionalFormatting sqref="R4:R11">
    <cfRule type="expression" dxfId="1327" priority="78">
      <formula>ABS(R$7-R$10)&gt;=1000</formula>
    </cfRule>
  </conditionalFormatting>
  <conditionalFormatting sqref="S4:S11">
    <cfRule type="expression" dxfId="1326" priority="77">
      <formula>ABS(S$7-S$10)&gt;=1000</formula>
    </cfRule>
  </conditionalFormatting>
  <conditionalFormatting sqref="T4:T9 T11">
    <cfRule type="expression" dxfId="1325" priority="76">
      <formula>ABS(T$7-T$10)&gt;=1000</formula>
    </cfRule>
  </conditionalFormatting>
  <conditionalFormatting sqref="U4:U9 U11">
    <cfRule type="expression" dxfId="1324" priority="75">
      <formula>ABS(U$7-U$10)&gt;=1000</formula>
    </cfRule>
  </conditionalFormatting>
  <conditionalFormatting sqref="V4:V9 V11">
    <cfRule type="expression" dxfId="1323" priority="74">
      <formula>ABS(V$7-V$10)&gt;=1000</formula>
    </cfRule>
  </conditionalFormatting>
  <conditionalFormatting sqref="W4:W9 W11">
    <cfRule type="expression" dxfId="1322" priority="73">
      <formula>ABS(W$7-W$10)&gt;=1000</formula>
    </cfRule>
  </conditionalFormatting>
  <conditionalFormatting sqref="X4:X9 X11">
    <cfRule type="expression" dxfId="1321" priority="72">
      <formula>ABS(X$7-X$10)&gt;=1000</formula>
    </cfRule>
  </conditionalFormatting>
  <conditionalFormatting sqref="Y4:Y9 Y11">
    <cfRule type="expression" dxfId="1320" priority="71">
      <formula>ABS(Y$7-Y$10)&gt;=1000</formula>
    </cfRule>
  </conditionalFormatting>
  <conditionalFormatting sqref="Z4:Z11">
    <cfRule type="expression" dxfId="1319" priority="70">
      <formula>ABS(Z$7-Z$10)&gt;=1000</formula>
    </cfRule>
  </conditionalFormatting>
  <conditionalFormatting sqref="AA4:AA11">
    <cfRule type="expression" dxfId="1318" priority="69">
      <formula>ABS(AA$7-AA$10)&gt;=1000</formula>
    </cfRule>
  </conditionalFormatting>
  <conditionalFormatting sqref="AB4:AB11">
    <cfRule type="expression" dxfId="1317" priority="68">
      <formula>ABS(AB$7-AB$10)&gt;=1000</formula>
    </cfRule>
  </conditionalFormatting>
  <conditionalFormatting sqref="AC4 AC6:AC11">
    <cfRule type="expression" dxfId="1316" priority="67">
      <formula>ABS(AC$7-AC$10)&gt;=1000</formula>
    </cfRule>
  </conditionalFormatting>
  <conditionalFormatting sqref="AD4:AD11">
    <cfRule type="expression" dxfId="1315" priority="66">
      <formula>ABS(AD$7-AD$10)&gt;=1000</formula>
    </cfRule>
  </conditionalFormatting>
  <conditionalFormatting sqref="AE4:AE11">
    <cfRule type="expression" dxfId="1314" priority="65">
      <formula>ABS(AE$7-AE$10)&gt;=1000</formula>
    </cfRule>
  </conditionalFormatting>
  <conditionalFormatting sqref="D13:D20">
    <cfRule type="expression" dxfId="1313" priority="64">
      <formula>ABS(D$16-D$19)&gt;=1000</formula>
    </cfRule>
  </conditionalFormatting>
  <conditionalFormatting sqref="E13:E20">
    <cfRule type="expression" dxfId="1312" priority="63">
      <formula>ABS(E$16-E$19)&gt;=1000</formula>
    </cfRule>
  </conditionalFormatting>
  <conditionalFormatting sqref="F13 F15:F20">
    <cfRule type="expression" dxfId="1311" priority="62">
      <formula>ABS(F$16-F$19)&gt;=1000</formula>
    </cfRule>
  </conditionalFormatting>
  <conditionalFormatting sqref="G13:G20">
    <cfRule type="expression" dxfId="1310" priority="61">
      <formula>ABS(G$16-G$19)&gt;=1000</formula>
    </cfRule>
  </conditionalFormatting>
  <conditionalFormatting sqref="H13:H20">
    <cfRule type="expression" dxfId="1309" priority="60">
      <formula>ABS(H$16-H$19)&gt;=1000</formula>
    </cfRule>
  </conditionalFormatting>
  <conditionalFormatting sqref="I13:I20">
    <cfRule type="expression" dxfId="1308" priority="59">
      <formula>ABS(I$16-I$19)&gt;=1000</formula>
    </cfRule>
  </conditionalFormatting>
  <conditionalFormatting sqref="J13:J20">
    <cfRule type="expression" dxfId="1307" priority="58">
      <formula>ABS(J$16-J$19)&gt;=1000</formula>
    </cfRule>
  </conditionalFormatting>
  <conditionalFormatting sqref="L13:L20">
    <cfRule type="expression" dxfId="1306" priority="57">
      <formula>ABS(L$16-L$19)&gt;=1000</formula>
    </cfRule>
  </conditionalFormatting>
  <conditionalFormatting sqref="M13 M15 M17:M18 M20">
    <cfRule type="expression" dxfId="1305" priority="56">
      <formula>ABS(M$16-M$19)&gt;=1000</formula>
    </cfRule>
  </conditionalFormatting>
  <conditionalFormatting sqref="N13:N20">
    <cfRule type="expression" dxfId="1304" priority="55">
      <formula>ABS(N$16-N$19)&gt;=1000</formula>
    </cfRule>
  </conditionalFormatting>
  <conditionalFormatting sqref="O13:O20">
    <cfRule type="expression" dxfId="1303" priority="54">
      <formula>ABS(O$16-O$19)&gt;=1000</formula>
    </cfRule>
  </conditionalFormatting>
  <conditionalFormatting sqref="P13:P20">
    <cfRule type="expression" dxfId="1302" priority="53">
      <formula>ABS(P$16-P$19)&gt;=1000</formula>
    </cfRule>
  </conditionalFormatting>
  <conditionalFormatting sqref="Q13 Q15:Q20">
    <cfRule type="expression" dxfId="1301" priority="52">
      <formula>ABS(Q$16-Q$19)&gt;=1000</formula>
    </cfRule>
  </conditionalFormatting>
  <conditionalFormatting sqref="R13:R20">
    <cfRule type="expression" dxfId="1300" priority="51">
      <formula>ABS(R$16-R$19)&gt;=1000</formula>
    </cfRule>
  </conditionalFormatting>
  <conditionalFormatting sqref="S13:S20">
    <cfRule type="expression" dxfId="1299" priority="50">
      <formula>ABS(S$16-S$19)&gt;=1000</formula>
    </cfRule>
  </conditionalFormatting>
  <conditionalFormatting sqref="T13:T20">
    <cfRule type="expression" dxfId="1298" priority="49">
      <formula>ABS(T$16-T$19)&gt;=1000</formula>
    </cfRule>
  </conditionalFormatting>
  <conditionalFormatting sqref="U13:U20">
    <cfRule type="expression" dxfId="1297" priority="48">
      <formula>ABS(U$16-U$19)&gt;=1000</formula>
    </cfRule>
  </conditionalFormatting>
  <conditionalFormatting sqref="V13:V20">
    <cfRule type="expression" dxfId="1296" priority="47">
      <formula>ABS(V$16-V$19)&gt;=1000</formula>
    </cfRule>
  </conditionalFormatting>
  <conditionalFormatting sqref="W13 W15:W18 W20">
    <cfRule type="expression" dxfId="1295" priority="46">
      <formula>ABS(W$16-W$19)&gt;=1000</formula>
    </cfRule>
  </conditionalFormatting>
  <conditionalFormatting sqref="X13 X15:X20 Y19">
    <cfRule type="expression" dxfId="1294" priority="45">
      <formula>ABS(X$16-X$19)&gt;=1000</formula>
    </cfRule>
  </conditionalFormatting>
  <conditionalFormatting sqref="Y13 Y15:Y18 Y20">
    <cfRule type="expression" dxfId="1293" priority="44">
      <formula>ABS(Y$16-Y$19)&gt;=1000</formula>
    </cfRule>
  </conditionalFormatting>
  <conditionalFormatting sqref="Z13:Z20">
    <cfRule type="expression" dxfId="1292" priority="43">
      <formula>ABS(Z$16-Z$19)&gt;=1000</formula>
    </cfRule>
  </conditionalFormatting>
  <conditionalFormatting sqref="AA13:AA20">
    <cfRule type="expression" dxfId="1291" priority="42">
      <formula>ABS(AA$16-AA$19)&gt;=1000</formula>
    </cfRule>
  </conditionalFormatting>
  <conditionalFormatting sqref="AB13 AB15:AB20">
    <cfRule type="expression" dxfId="1290" priority="41">
      <formula>ABS(AB$16-AB$19)&gt;=1000</formula>
    </cfRule>
  </conditionalFormatting>
  <conditionalFormatting sqref="AC13 AC15:AC20">
    <cfRule type="expression" dxfId="1289" priority="40">
      <formula>ABS(AC$16-AC$19)&gt;=1000</formula>
    </cfRule>
  </conditionalFormatting>
  <conditionalFormatting sqref="AD13:AD20">
    <cfRule type="expression" dxfId="1288" priority="39">
      <formula>ABS(AD$16-AD$19)&gt;=1000</formula>
    </cfRule>
  </conditionalFormatting>
  <conditionalFormatting sqref="AE13:AE20">
    <cfRule type="expression" dxfId="1287" priority="38">
      <formula>ABS(AE$16-AE$19)&gt;=1000</formula>
    </cfRule>
  </conditionalFormatting>
  <conditionalFormatting sqref="D22:D29">
    <cfRule type="expression" dxfId="1286" priority="37">
      <formula>ABS(D$25-D$28)&gt;=1000</formula>
    </cfRule>
  </conditionalFormatting>
  <conditionalFormatting sqref="E22:E29">
    <cfRule type="expression" dxfId="1285" priority="36">
      <formula>ABS(E$25-E$28)&gt;=1000</formula>
    </cfRule>
  </conditionalFormatting>
  <conditionalFormatting sqref="F22:F29">
    <cfRule type="expression" dxfId="1284" priority="35">
      <formula>ABS(F$25-F$28)&gt;=1000</formula>
    </cfRule>
  </conditionalFormatting>
  <conditionalFormatting sqref="G22:G29">
    <cfRule type="expression" dxfId="1283" priority="34">
      <formula>ABS(G$25-G$28)&gt;=1000</formula>
    </cfRule>
  </conditionalFormatting>
  <conditionalFormatting sqref="H22:H29">
    <cfRule type="expression" dxfId="1282" priority="33">
      <formula>ABS(H$25-H$28)&gt;=1000</formula>
    </cfRule>
  </conditionalFormatting>
  <conditionalFormatting sqref="I22 I24:I29">
    <cfRule type="expression" dxfId="1281" priority="32">
      <formula>ABS(I$25-I$28)&gt;=1000</formula>
    </cfRule>
  </conditionalFormatting>
  <conditionalFormatting sqref="J22:J29 K22">
    <cfRule type="expression" dxfId="1280" priority="31">
      <formula>ABS(J$25-J$28)&gt;=1000</formula>
    </cfRule>
  </conditionalFormatting>
  <conditionalFormatting sqref="K23:K29 L25 L28">
    <cfRule type="expression" dxfId="1279" priority="30">
      <formula>ABS(K$25-K$28)&gt;=1000</formula>
    </cfRule>
  </conditionalFormatting>
  <conditionalFormatting sqref="L22:L24 L26:L27 L29">
    <cfRule type="expression" dxfId="1278" priority="29">
      <formula>ABS(L$25-L$28)&gt;=1000</formula>
    </cfRule>
  </conditionalFormatting>
  <conditionalFormatting sqref="M22:M29">
    <cfRule type="expression" dxfId="1277" priority="28">
      <formula>ABS(M$25-M$28)&gt;=1000</formula>
    </cfRule>
  </conditionalFormatting>
  <conditionalFormatting sqref="N22:N29">
    <cfRule type="expression" dxfId="1276" priority="27">
      <formula>ABS(N$25-N$28)&gt;=1000</formula>
    </cfRule>
  </conditionalFormatting>
  <conditionalFormatting sqref="O22:O29">
    <cfRule type="expression" dxfId="1275" priority="26">
      <formula>ABS(O$25-O$28)&gt;=1000</formula>
    </cfRule>
  </conditionalFormatting>
  <conditionalFormatting sqref="P22:P29">
    <cfRule type="expression" dxfId="1274" priority="25">
      <formula>ABS(P$25-P$28)&gt;=1000</formula>
    </cfRule>
  </conditionalFormatting>
  <conditionalFormatting sqref="Q22:Q29">
    <cfRule type="expression" dxfId="1273" priority="24">
      <formula>ABS(Q$25-Q$28)&gt;=1000</formula>
    </cfRule>
  </conditionalFormatting>
  <conditionalFormatting sqref="R22:R29">
    <cfRule type="expression" dxfId="1272" priority="23">
      <formula>ABS(R$25-R$28)&gt;=1000</formula>
    </cfRule>
  </conditionalFormatting>
  <conditionalFormatting sqref="S22:S29">
    <cfRule type="expression" dxfId="1271" priority="22">
      <formula>ABS(S$25-S$28)&gt;=1000</formula>
    </cfRule>
  </conditionalFormatting>
  <conditionalFormatting sqref="T22:T29">
    <cfRule type="expression" dxfId="1270" priority="21">
      <formula>ABS(T$25-T$28)&gt;=1000</formula>
    </cfRule>
  </conditionalFormatting>
  <conditionalFormatting sqref="U22:U29">
    <cfRule type="expression" dxfId="1269" priority="20">
      <formula>ABS(U$25-U$28)&gt;=1000</formula>
    </cfRule>
  </conditionalFormatting>
  <conditionalFormatting sqref="V22:V29">
    <cfRule type="expression" dxfId="1268" priority="19">
      <formula>ABS(V$25-V$28)&gt;=1000</formula>
    </cfRule>
  </conditionalFormatting>
  <conditionalFormatting sqref="W22:W29">
    <cfRule type="expression" dxfId="1267" priority="18">
      <formula>ABS(W$25-W$28)&gt;=1000</formula>
    </cfRule>
  </conditionalFormatting>
  <conditionalFormatting sqref="X22:X29">
    <cfRule type="expression" dxfId="1266" priority="17">
      <formula>ABS(X$25-X$28)&gt;=1000</formula>
    </cfRule>
  </conditionalFormatting>
  <conditionalFormatting sqref="Y22:Y29">
    <cfRule type="expression" dxfId="1265" priority="16">
      <formula>ABS(Y$25-Y$28)&gt;=1000</formula>
    </cfRule>
  </conditionalFormatting>
  <conditionalFormatting sqref="I23">
    <cfRule type="expression" dxfId="1264" priority="15">
      <formula>ABS(I$25-I$28)&gt;=1000</formula>
    </cfRule>
  </conditionalFormatting>
  <conditionalFormatting sqref="F14">
    <cfRule type="expression" dxfId="1263" priority="14">
      <formula>ABS(F$16-F$19)&gt;=1000</formula>
    </cfRule>
  </conditionalFormatting>
  <conditionalFormatting sqref="Q14">
    <cfRule type="expression" dxfId="1262" priority="13">
      <formula>ABS(Q$16-Q$19)&gt;=1000</formula>
    </cfRule>
  </conditionalFormatting>
  <conditionalFormatting sqref="W14">
    <cfRule type="expression" dxfId="1261" priority="12">
      <formula>ABS(W$16-W$19)&gt;=1000</formula>
    </cfRule>
  </conditionalFormatting>
  <conditionalFormatting sqref="Y14">
    <cfRule type="expression" dxfId="1260" priority="11">
      <formula>ABS(Y$16-Y$19)&gt;=1000</formula>
    </cfRule>
  </conditionalFormatting>
  <conditionalFormatting sqref="X14">
    <cfRule type="expression" dxfId="1259" priority="10">
      <formula>ABS(X$16-X$19)&gt;=1000</formula>
    </cfRule>
  </conditionalFormatting>
  <conditionalFormatting sqref="T10:Y10">
    <cfRule type="expression" dxfId="1258" priority="9">
      <formula>ABS(T$7-T$10)&gt;=1000</formula>
    </cfRule>
  </conditionalFormatting>
  <conditionalFormatting sqref="W19">
    <cfRule type="expression" dxfId="1257" priority="8">
      <formula>ABS(W$16-W$19)&gt;=1000</formula>
    </cfRule>
  </conditionalFormatting>
  <conditionalFormatting sqref="AC5">
    <cfRule type="expression" dxfId="1256" priority="7">
      <formula>ABS(AC$7-AC$10)&gt;=1000</formula>
    </cfRule>
  </conditionalFormatting>
  <conditionalFormatting sqref="M14">
    <cfRule type="expression" dxfId="1255" priority="6">
      <formula>ABS(M$16-M$19)&gt;=1000</formula>
    </cfRule>
  </conditionalFormatting>
  <conditionalFormatting sqref="M16">
    <cfRule type="expression" dxfId="1254" priority="5">
      <formula>ABS(M$16-M$19)&gt;=1000</formula>
    </cfRule>
  </conditionalFormatting>
  <conditionalFormatting sqref="M19">
    <cfRule type="expression" dxfId="1253" priority="4">
      <formula>ABS(M$16-M$19)&gt;=1000</formula>
    </cfRule>
  </conditionalFormatting>
  <conditionalFormatting sqref="K13:K20">
    <cfRule type="expression" dxfId="1252" priority="3">
      <formula>ABS(K$16-K$19)&gt;=1000</formula>
    </cfRule>
  </conditionalFormatting>
  <conditionalFormatting sqref="E5">
    <cfRule type="expression" dxfId="1251" priority="2">
      <formula>ABS(E$7-E$10)&gt;=1000</formula>
    </cfRule>
  </conditionalFormatting>
  <conditionalFormatting sqref="AB14:AC14">
    <cfRule type="expression" dxfId="1250" priority="1">
      <formula>ABS(AB$16-AB$19)&gt;=1000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6851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54">
    <pageSetUpPr fitToPage="1"/>
  </sheetPr>
  <dimension ref="A1:CU223"/>
  <sheetViews>
    <sheetView view="pageBreakPreview" zoomScale="70" zoomScaleNormal="100" zoomScaleSheetLayoutView="70" workbookViewId="0">
      <selection activeCell="O17" sqref="O17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36" t="s" ph="1">
        <v>195</v>
      </c>
      <c r="C1" s="236" ph="1"/>
      <c r="D1" s="236" ph="1"/>
      <c r="E1" s="236" ph="1"/>
      <c r="F1" s="236" ph="1"/>
      <c r="G1" s="236" ph="1"/>
      <c r="H1" s="236" ph="1"/>
      <c r="I1" s="236" ph="1"/>
      <c r="J1" s="236" ph="1"/>
      <c r="K1" s="236" ph="1"/>
      <c r="L1" s="236" ph="1"/>
      <c r="M1" s="236" ph="1"/>
      <c r="N1" s="236" ph="1"/>
      <c r="O1" s="236" ph="1"/>
      <c r="P1" s="236" ph="1"/>
      <c r="Q1" s="236" ph="1"/>
      <c r="R1" s="236" ph="1"/>
      <c r="S1" s="236" ph="1"/>
      <c r="T1" s="236" ph="1"/>
      <c r="U1" s="236" ph="1"/>
      <c r="V1" s="236" ph="1"/>
      <c r="W1" s="236" ph="1"/>
      <c r="X1" s="236" ph="1"/>
      <c r="Y1" s="236" ph="1"/>
      <c r="Z1" s="236" ph="1"/>
      <c r="AA1" s="236" ph="1"/>
      <c r="AB1" s="236" ph="1"/>
      <c r="AC1" s="236" ph="1"/>
      <c r="AD1" s="236" ph="1"/>
      <c r="AE1" s="236" ph="1"/>
    </row>
    <row r="2" spans="1:99" s="66" customFormat="1" ht="24" customHeight="1" ph="1">
      <c r="B2" s="237" t="s" ph="1">
        <v>99</v>
      </c>
      <c r="C2" s="237" ph="1"/>
      <c r="D2" s="237" ph="1"/>
      <c r="E2" s="237" ph="1"/>
      <c r="F2" s="237" ph="1"/>
      <c r="G2" s="237" ph="1"/>
      <c r="H2" s="237" ph="1"/>
      <c r="I2" s="237" ph="1"/>
      <c r="J2" s="237" ph="1"/>
      <c r="K2" s="237" ph="1"/>
      <c r="L2" s="237" ph="1"/>
      <c r="M2" s="237" ph="1"/>
      <c r="N2" s="237" ph="1"/>
      <c r="O2" s="237" ph="1"/>
      <c r="P2" s="237" ph="1"/>
      <c r="Q2" s="237" ph="1"/>
      <c r="R2" s="237" ph="1"/>
      <c r="S2" s="237" ph="1"/>
      <c r="T2" s="237" ph="1"/>
      <c r="U2" s="237" ph="1"/>
      <c r="V2" s="237" ph="1"/>
      <c r="W2" s="237" ph="1"/>
      <c r="X2" s="237" ph="1"/>
      <c r="Y2" s="237" ph="1"/>
      <c r="Z2" s="237" ph="1"/>
      <c r="AA2" s="237" ph="1"/>
      <c r="AB2" s="237" ph="1"/>
      <c r="AC2" s="237" ph="1"/>
      <c r="AD2" s="237" ph="1"/>
      <c r="AE2" s="237" ph="1"/>
    </row>
    <row r="3" spans="1:99" ht="21" customHeight="1" ph="1">
      <c r="B3" s="238" ph="1">
        <v>45670</v>
      </c>
      <c r="C3" s="238"/>
      <c r="D3" s="238"/>
      <c r="E3" s="238"/>
      <c r="F3" s="238"/>
      <c r="G3" s="238"/>
      <c r="H3" s="238"/>
      <c r="I3" s="238"/>
      <c r="J3" s="238"/>
      <c r="K3" s="238"/>
      <c r="L3" s="238"/>
      <c r="M3" s="238"/>
      <c r="N3" s="238"/>
      <c r="O3" s="238"/>
      <c r="P3" s="238"/>
      <c r="Q3" s="238"/>
      <c r="R3" s="238"/>
      <c r="S3" s="238"/>
      <c r="T3" s="238"/>
      <c r="U3" s="238"/>
      <c r="V3" s="238"/>
      <c r="W3" s="238"/>
      <c r="X3" s="238"/>
      <c r="Y3" s="238"/>
      <c r="Z3" s="238"/>
      <c r="AA3" s="238"/>
      <c r="AB3" s="238"/>
      <c r="AC3" s="238"/>
      <c r="AD3" s="238"/>
      <c r="AE3" s="238"/>
    </row>
    <row r="4" spans="1:99" s="69" customFormat="1" ph="1">
      <c r="A4" s="65" ph="1"/>
      <c r="B4" s="217" t="s" ph="1">
        <v>37</v>
      </c>
      <c r="C4" s="67" t="s" ph="1">
        <v>210</v>
      </c>
      <c r="D4" s="68" t="s" ph="1">
        <v>45</v>
      </c>
      <c r="E4" s="68" t="s" ph="1">
        <v>46</v>
      </c>
      <c r="F4" s="68" t="s" ph="1">
        <v>39</v>
      </c>
      <c r="G4" s="68" t="s" ph="1">
        <v>47</v>
      </c>
      <c r="H4" s="68" t="s" ph="1">
        <v>48</v>
      </c>
      <c r="I4" s="68" t="s" ph="1">
        <v>133</v>
      </c>
      <c r="J4" s="68" t="s" ph="1">
        <v>49</v>
      </c>
      <c r="K4" s="68" t="s" ph="1">
        <v>134</v>
      </c>
      <c r="L4" s="68" t="s" ph="1">
        <v>135</v>
      </c>
      <c r="M4" s="68" t="s" ph="1">
        <v>50</v>
      </c>
      <c r="N4" s="68" t="s" ph="1">
        <v>51</v>
      </c>
      <c r="O4" s="68" t="s" ph="1">
        <v>137</v>
      </c>
      <c r="P4" s="68" t="s" ph="1">
        <v>139</v>
      </c>
      <c r="Q4" s="68" t="s" ph="1">
        <v>140</v>
      </c>
      <c r="R4" s="68" t="s" ph="1">
        <v>141</v>
      </c>
      <c r="S4" s="68" t="s" ph="1">
        <v>142</v>
      </c>
      <c r="T4" s="68" t="s" ph="1">
        <v>143</v>
      </c>
      <c r="U4" s="68" t="s" ph="1">
        <v>144</v>
      </c>
      <c r="V4" s="68" t="s" ph="1">
        <v>145</v>
      </c>
      <c r="W4" s="68" t="s" ph="1">
        <v>146</v>
      </c>
      <c r="X4" s="68" t="s" ph="1">
        <v>147</v>
      </c>
      <c r="Y4" s="68" t="s" ph="1">
        <v>148</v>
      </c>
      <c r="Z4" s="68" t="s" ph="1">
        <v>52</v>
      </c>
      <c r="AA4" s="68" t="s" ph="1">
        <v>149</v>
      </c>
      <c r="AB4" s="68" t="s" ph="1">
        <v>150</v>
      </c>
      <c r="AC4" s="68" t="s" ph="1">
        <v>151</v>
      </c>
      <c r="AD4" s="68" t="s" ph="1">
        <v>40</v>
      </c>
      <c r="AE4" s="68" t="s" ph="1">
        <v>152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7" ph="1"/>
      <c r="C5" s="67" t="s" ph="1">
        <v>36</v>
      </c>
      <c r="D5" s="70" t="s" ph="1">
        <v>194</v>
      </c>
      <c r="E5" s="70" t="s" ph="1">
        <v>55</v>
      </c>
      <c r="F5" s="70" t="s" ph="1">
        <v>130</v>
      </c>
      <c r="G5" s="70" t="s" ph="1">
        <v>56</v>
      </c>
      <c r="H5" s="70" t="s" ph="1">
        <v>56</v>
      </c>
      <c r="I5" s="70" t="s" ph="1">
        <v>57</v>
      </c>
      <c r="J5" s="70" t="s" ph="1">
        <v>58</v>
      </c>
      <c r="K5" s="70" t="s" ph="1">
        <v>59</v>
      </c>
      <c r="L5" s="70" t="s" ph="1">
        <v>136</v>
      </c>
      <c r="M5" s="70" t="s" ph="1">
        <v>60</v>
      </c>
      <c r="N5" s="70" t="s" ph="1">
        <v>61</v>
      </c>
      <c r="O5" s="70" t="s" ph="1">
        <v>138</v>
      </c>
      <c r="P5" s="70" t="s" ph="1">
        <v>88</v>
      </c>
      <c r="Q5" s="70" t="s" ph="1">
        <v>96</v>
      </c>
      <c r="R5" s="70" t="s" ph="1">
        <v>96</v>
      </c>
      <c r="S5" s="70" t="s" ph="1">
        <v>96</v>
      </c>
      <c r="T5" s="70" t="s" ph="1">
        <v>96</v>
      </c>
      <c r="U5" s="70" t="s" ph="1">
        <v>96</v>
      </c>
      <c r="V5" s="70" t="s" ph="1">
        <v>96</v>
      </c>
      <c r="W5" s="70" t="s" ph="1">
        <v>96</v>
      </c>
      <c r="X5" s="70" t="s" ph="1">
        <v>96</v>
      </c>
      <c r="Y5" s="70" t="s" ph="1">
        <v>96</v>
      </c>
      <c r="Z5" s="70" t="s" ph="1">
        <v>95</v>
      </c>
      <c r="AA5" s="70" t="s" ph="1">
        <v>62</v>
      </c>
      <c r="AB5" s="70" t="s" ph="1">
        <v>62</v>
      </c>
      <c r="AC5" s="70" t="s" ph="1">
        <v>222</v>
      </c>
      <c r="AD5" s="70" t="s" ph="1">
        <v>83</v>
      </c>
      <c r="AE5" s="70" t="s" ph="1">
        <v>661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5" ph="1">
        <v>0.33333333333333331</v>
      </c>
      <c r="C6" s="151" t="s" ph="1">
        <v>211</v>
      </c>
      <c r="D6" s="71">
        <v>4094</v>
      </c>
      <c r="E6" s="71">
        <v>0</v>
      </c>
      <c r="F6" s="71">
        <v>3702</v>
      </c>
      <c r="G6" s="71">
        <v>8874</v>
      </c>
      <c r="H6" s="71">
        <v>4648</v>
      </c>
      <c r="I6" s="71">
        <v>39.11</v>
      </c>
      <c r="J6" s="71">
        <v>79.760000000000005</v>
      </c>
      <c r="K6" s="71">
        <v>46.62</v>
      </c>
      <c r="L6" s="71">
        <v>40.75</v>
      </c>
      <c r="M6" s="71">
        <v>5690</v>
      </c>
      <c r="N6" s="71">
        <v>6266</v>
      </c>
      <c r="O6" s="71">
        <v>4093</v>
      </c>
      <c r="P6" s="71">
        <v>1706</v>
      </c>
      <c r="Q6" s="71">
        <v>2606</v>
      </c>
      <c r="R6" s="71">
        <v>4318</v>
      </c>
      <c r="S6" s="71">
        <v>5200</v>
      </c>
      <c r="T6" s="71">
        <v>7000</v>
      </c>
      <c r="U6" s="71">
        <v>6253</v>
      </c>
      <c r="V6" s="71">
        <v>6016</v>
      </c>
      <c r="W6" s="71">
        <v>2000</v>
      </c>
      <c r="X6" s="71">
        <v>0</v>
      </c>
      <c r="Y6" s="71">
        <v>0</v>
      </c>
      <c r="Z6" s="71">
        <v>6882</v>
      </c>
      <c r="AA6" s="71">
        <v>1129</v>
      </c>
      <c r="AB6" s="71">
        <v>2266</v>
      </c>
      <c r="AC6" s="71">
        <v>6766</v>
      </c>
      <c r="AD6" s="71">
        <v>4219</v>
      </c>
      <c r="AE6" s="71">
        <v>3288</v>
      </c>
    </row>
    <row r="7" spans="1:99" s="72" customFormat="1" ht="22.5" ph="1">
      <c r="B7" s="235" ph="1"/>
      <c r="C7" s="68" t="s" ph="1">
        <v>212</v>
      </c>
      <c r="D7" s="73" ph="1">
        <f>D6*33.183*LOOKUP(D8,密度!$A$2:$A$50,密度!$Q$2:$Q$50)</f>
        <v>129675.40635707999</v>
      </c>
      <c r="E7" s="73" ph="1">
        <f>E6*51.53*LOOKUP(E8,密度!$A$2:$A$50,密度!$I$2:$I$50)</f>
        <v>0</v>
      </c>
      <c r="F7" s="73" ph="1">
        <f>F6*33.183*LOOKUP(F8,密度!$A$2:$A$50,密度!$C$2:$C$50)</f>
        <v>137265.28890839999</v>
      </c>
      <c r="G7" s="73" ph="1">
        <f xml:space="preserve"> (G6+2)*51.53*LOOKUP(G8,密度!$A$2:$A$50,密度!$B$2:$B$50)</f>
        <v>360827.30289200007</v>
      </c>
      <c r="H7" s="73" ph="1">
        <f>(H6)*51.53*LOOKUP(H8,密度!$A$2:$A$50,密度!$B$2:$B$50)</f>
        <v>190363.69251199998</v>
      </c>
      <c r="I7" s="73" ph="1">
        <f>I6*290.8*1.0267</f>
        <v>11676.8521196</v>
      </c>
      <c r="J7" s="73" ph="1">
        <f>J6*290.8*0.7892</f>
        <v>18304.868953600002</v>
      </c>
      <c r="K7" s="73" ph="1">
        <f>K6*290.8*1.1126</f>
        <v>15083.6250096</v>
      </c>
      <c r="L7" s="73" ph="1">
        <f>L6*290.8*0.777</f>
        <v>9207.5277000000006</v>
      </c>
      <c r="M7" s="73" ph="1">
        <f>M6*33.183*LOOKUP(M8,密度!$A$2:$A$50,密度!$D$2:$D$50)</f>
        <v>195872.811498</v>
      </c>
      <c r="N7" s="73" ph="1">
        <f>N6*33.183*LOOKUP(N8,密度!$A$2:$A$50,密度!$E$2:$E$50)</f>
        <v>165237.74160659997</v>
      </c>
      <c r="O7" s="73" ph="1">
        <f>O6*20.428*LOOKUP(O8,密度!$A$2:$A$50,密度!$C$2:$C$50)</f>
        <v>92967.964867600007</v>
      </c>
      <c r="P7" s="73" ph="1">
        <f>P6*51.53*LOOKUP(P8,密度!$A$2:$A$50,密度!$B$2:$B$50)</f>
        <v>69422.669146</v>
      </c>
      <c r="Q7" s="73" ph="1">
        <f>Q6*1.5*1.5*3.1416*LOOKUP(W8,密度!$A$2:$A$50,密度!$L$2:$L$50)</f>
        <v>17407.629161999997</v>
      </c>
      <c r="R7" s="73" ph="1">
        <f>R6*1.5*1.5*3.1416*LOOKUP(R8,密度!$A$2:$A$50,密度!$L$2:$L$50)</f>
        <v>28751.926341599996</v>
      </c>
      <c r="S7" s="73" ph="1">
        <f>S6*1.5*1.5*3.1416*LOOKUP(S8,密度!$A$2:$A$50,密度!$L$2:$L$50)</f>
        <v>35065.910880000003</v>
      </c>
      <c r="T7" s="73" ph="1">
        <f>T6*1.5*1.5*3.1416*LOOKUP(T8,密度!$A$2:$A$50,密度!$L$2:$L$50)</f>
        <v>47105.150399999999</v>
      </c>
      <c r="U7" s="73" ph="1">
        <f>U6*1.5*1.5*3.1416*LOOKUP(U8,密度!$A$2:$A$50,密度!$L$2:$L$50)</f>
        <v>41901.558098399997</v>
      </c>
      <c r="V7" s="73" ph="1">
        <f>V6*1.5*1.5*3.1416*LOOKUP(V8,密度!$A$2:$A$50,密度!$L$2:$L$50)</f>
        <v>40143.3145344</v>
      </c>
      <c r="W7" s="73" ph="1">
        <f>W6*1.5*1.5*3.1416*LOOKUP(W8,密度!$A$2:$A$50,密度!$L$2:$L$50)</f>
        <v>13359.653999999999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216947.13569999998</v>
      </c>
      <c r="AA7" s="73" ph="1">
        <f>AA6*33.183*LOOKUP(AA8,密度!$A$2:$A$50,密度!$D$2:$D$50)</f>
        <v>38864.745901800001</v>
      </c>
      <c r="AB7" s="73" ph="1">
        <f>AB6*20.428*LOOKUP(AB8,密度!$A$2:$A$50,密度!$D$2:$D$50)</f>
        <v>48349.746236000006</v>
      </c>
      <c r="AC7" s="73" ph="1">
        <f>AC6*51.53*LOOKUP(AC8,密度!$A$2:$A$50,密度!$Q$2:$Q$50)</f>
        <v>332802.26098919997</v>
      </c>
      <c r="AD7" s="73" ph="1">
        <f>AD6*20.428*LOOKUP(AD8,密度!$A$2:$A$50,密度!$V$2:$V$50)</f>
        <v>83083.045647999999</v>
      </c>
      <c r="AE7" s="73" ph="1">
        <f>AE6*20.428</f>
        <v>67167.263999999996</v>
      </c>
    </row>
    <row r="8" spans="1:99" ph="1">
      <c r="B8" s="235" ph="1"/>
      <c r="C8" s="68" t="s" ph="1">
        <v>213</v>
      </c>
      <c r="D8" s="74">
        <v>14</v>
      </c>
      <c r="E8" s="74">
        <v>12</v>
      </c>
      <c r="F8" s="74">
        <v>13</v>
      </c>
      <c r="G8" s="74">
        <v>14</v>
      </c>
      <c r="H8" s="74">
        <v>7</v>
      </c>
      <c r="I8" s="74">
        <v>25</v>
      </c>
      <c r="J8" s="74">
        <v>25</v>
      </c>
      <c r="K8" s="74">
        <v>25</v>
      </c>
      <c r="L8" s="74">
        <v>25</v>
      </c>
      <c r="M8" s="74">
        <v>13</v>
      </c>
      <c r="N8" s="74">
        <v>15</v>
      </c>
      <c r="O8" s="74">
        <v>21</v>
      </c>
      <c r="P8" s="74">
        <v>13</v>
      </c>
      <c r="Q8" s="74">
        <v>13</v>
      </c>
      <c r="R8" s="74">
        <v>20</v>
      </c>
      <c r="S8" s="74">
        <v>8</v>
      </c>
      <c r="T8" s="74">
        <v>10</v>
      </c>
      <c r="U8" s="74">
        <v>14</v>
      </c>
      <c r="V8" s="74">
        <v>18</v>
      </c>
      <c r="W8" s="74">
        <v>17</v>
      </c>
      <c r="X8" s="74">
        <v>5</v>
      </c>
      <c r="Y8" s="74">
        <v>11</v>
      </c>
      <c r="Z8" s="74">
        <v>12</v>
      </c>
      <c r="AA8" s="74">
        <v>13</v>
      </c>
      <c r="AB8" s="74">
        <v>5</v>
      </c>
      <c r="AC8" s="74">
        <v>10</v>
      </c>
      <c r="AD8" s="74">
        <v>16</v>
      </c>
      <c r="AE8" s="74">
        <v>18</v>
      </c>
    </row>
    <row r="9" spans="1:99" ph="1">
      <c r="B9" s="235" ph="1">
        <v>0.66666666666666663</v>
      </c>
      <c r="C9" s="151" t="s" ph="1">
        <v>214</v>
      </c>
      <c r="D9" s="71">
        <v>4049</v>
      </c>
      <c r="E9" s="71">
        <v>0</v>
      </c>
      <c r="F9" s="71">
        <v>4275</v>
      </c>
      <c r="G9" s="71">
        <v>8876</v>
      </c>
      <c r="H9" s="71">
        <v>4645</v>
      </c>
      <c r="I9" s="71">
        <v>39.020000000000003</v>
      </c>
      <c r="J9" s="71">
        <v>79.72</v>
      </c>
      <c r="K9" s="71">
        <v>90.93</v>
      </c>
      <c r="L9" s="71">
        <v>36.409999999999997</v>
      </c>
      <c r="M9" s="71">
        <v>5692</v>
      </c>
      <c r="N9" s="71">
        <v>6271</v>
      </c>
      <c r="O9" s="71">
        <v>4000</v>
      </c>
      <c r="P9" s="71">
        <v>1467</v>
      </c>
      <c r="Q9" s="71">
        <v>0</v>
      </c>
      <c r="R9" s="71">
        <v>3240</v>
      </c>
      <c r="S9" s="71">
        <v>5220</v>
      </c>
      <c r="T9" s="71">
        <v>7000</v>
      </c>
      <c r="U9" s="71">
        <v>6258</v>
      </c>
      <c r="V9" s="71">
        <v>6022</v>
      </c>
      <c r="W9" s="71">
        <v>4629</v>
      </c>
      <c r="X9" s="71">
        <v>0</v>
      </c>
      <c r="Y9" s="71">
        <v>0</v>
      </c>
      <c r="Z9" s="71">
        <v>4590</v>
      </c>
      <c r="AA9" s="71">
        <v>1124</v>
      </c>
      <c r="AB9" s="71">
        <v>2228</v>
      </c>
      <c r="AC9" s="71">
        <v>6762</v>
      </c>
      <c r="AD9" s="71">
        <v>2215</v>
      </c>
      <c r="AE9" s="71">
        <v>3288</v>
      </c>
    </row>
    <row r="10" spans="1:99" s="72" customFormat="1" ht="22.5" ph="1">
      <c r="B10" s="235" ph="1"/>
      <c r="C10" s="151" t="s" ph="1">
        <v>212</v>
      </c>
      <c r="D10" s="73" ph="1">
        <f>D9*33.183*LOOKUP(D11,密度!$A$2:$A$50,密度!$Q$2:$Q$50)</f>
        <v>128123.7573312</v>
      </c>
      <c r="E10" s="73" ph="1">
        <f>E9*51.53*LOOKUP(E11,密度!$A$2:$A$50,密度!$I$2:$I$50)</f>
        <v>0</v>
      </c>
      <c r="F10" s="73" ph="1">
        <f>F9*33.183*LOOKUP(F11,密度!$A$2:$A$50,密度!$C$2:$C$50)</f>
        <v>158199.28884000002</v>
      </c>
      <c r="G10" s="73" ph="1">
        <f xml:space="preserve"> (G9+2)*51.53*LOOKUP(G11,密度!$A$2:$A$50,密度!$B$2:$B$50)</f>
        <v>360130.88524800004</v>
      </c>
      <c r="H10" s="73" ph="1">
        <f>(H9)*51.53*LOOKUP(H11,密度!$A$2:$A$50,密度!$B$2:$B$50)</f>
        <v>189427.01109000001</v>
      </c>
      <c r="I10" s="73" ph="1">
        <f>I9*290.8*1.0267</f>
        <v>11649.981327200001</v>
      </c>
      <c r="J10" s="73" ph="1">
        <f>J9*290.8*0.7892</f>
        <v>18295.6889792</v>
      </c>
      <c r="K10" s="73" ph="1">
        <f>K9*290.8*1.1126</f>
        <v>29419.863194400004</v>
      </c>
      <c r="L10" s="73" ph="1">
        <f>L9*290.8*0.777</f>
        <v>8226.8977560000003</v>
      </c>
      <c r="M10" s="73" ph="1">
        <f>M9*33.183*LOOKUP(M11,密度!$A$2:$A$50,密度!$D$2:$D$50)</f>
        <v>195280.5878604</v>
      </c>
      <c r="N10" s="73" ph="1">
        <f>N9*33.183*LOOKUP(N11,密度!$A$2:$A$50,密度!$E$2:$E$50)</f>
        <v>165140.6946048</v>
      </c>
      <c r="O10" s="73" ph="1">
        <f>O9*20.428*LOOKUP(O11,密度!$A$2:$A$50,密度!$C$2:$C$50)</f>
        <v>90667.63519999999</v>
      </c>
      <c r="P10" s="73" ph="1">
        <f>P9*51.53*LOOKUP(P11,密度!$A$2:$A$50,密度!$B$2:$B$50)</f>
        <v>59273.655290999995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21528.128159999997</v>
      </c>
      <c r="S10" s="73" ph="1">
        <f>S9*1.5*1.5*3.1416*LOOKUP(S11,密度!$A$2:$A$50,密度!$L$2:$L$50)</f>
        <v>35126.983583999994</v>
      </c>
      <c r="T10" s="73" ph="1">
        <f>T9*1.5*1.5*3.1416*LOOKUP(T11,密度!$A$2:$A$50,密度!$L$2:$L$50)</f>
        <v>47006.189999999995</v>
      </c>
      <c r="U10" s="73" ph="1">
        <f>U9*1.5*1.5*3.1416*LOOKUP(U11,密度!$A$2:$A$50,密度!$L$2:$L$50)</f>
        <v>41890.827963599993</v>
      </c>
      <c r="V10" s="73" ph="1">
        <f>V9*1.5*1.5*3.1416*LOOKUP(V11,密度!$A$2:$A$50,密度!$L$2:$L$50)</f>
        <v>40013.082647999996</v>
      </c>
      <c r="W10" s="73" ph="1">
        <f>W9*1.5*1.5*3.1416*LOOKUP(W11,密度!$A$2:$A$50,密度!$L$2:$L$50)</f>
        <v>30953.639732399999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144237.54159000001</v>
      </c>
      <c r="AA10" s="73" ph="1">
        <f>AA9*33.183*LOOKUP(AA11,密度!$A$2:$A$50,密度!$D$2:$D$50)</f>
        <v>38562.083758800007</v>
      </c>
      <c r="AB10" s="73" ph="1">
        <f>AB9*20.428*LOOKUP(AB11,密度!$A$2:$A$50,密度!$D$2:$D$50)</f>
        <v>47457.014036799999</v>
      </c>
      <c r="AC10" s="73" ph="1">
        <f>AC9*51.53*LOOKUP(AC11,密度!$A$2:$A$50,密度!$Q$2:$Q$50)</f>
        <v>332605.51120439998</v>
      </c>
      <c r="AD10" s="73" ph="1">
        <f>AD9*20.428*LOOKUP(AD11,密度!$A$2:$A$50,密度!$V$2:$V$50)</f>
        <v>43619.091280000001</v>
      </c>
      <c r="AE10" s="73" ph="1">
        <f>AE9*20.428</f>
        <v>67167.263999999996</v>
      </c>
    </row>
    <row r="11" spans="1:99" ph="1">
      <c r="A11" s="64" t="s" ph="1">
        <v>196</v>
      </c>
      <c r="B11" s="235" ph="1"/>
      <c r="C11" s="151" t="s" ph="1">
        <v>213</v>
      </c>
      <c r="D11" s="74">
        <v>16</v>
      </c>
      <c r="E11" s="74">
        <v>17</v>
      </c>
      <c r="F11" s="74">
        <v>16</v>
      </c>
      <c r="G11" s="74">
        <v>16</v>
      </c>
      <c r="H11" s="74">
        <v>11</v>
      </c>
      <c r="I11" s="74">
        <v>25</v>
      </c>
      <c r="J11" s="74">
        <v>25</v>
      </c>
      <c r="K11" s="74">
        <v>25</v>
      </c>
      <c r="L11" s="74">
        <v>25</v>
      </c>
      <c r="M11" s="74">
        <v>17</v>
      </c>
      <c r="N11" s="74">
        <v>16</v>
      </c>
      <c r="O11" s="74">
        <v>24</v>
      </c>
      <c r="P11" s="74">
        <v>20</v>
      </c>
      <c r="Q11" s="74">
        <v>28</v>
      </c>
      <c r="R11" s="74">
        <v>22</v>
      </c>
      <c r="S11" s="74">
        <v>10</v>
      </c>
      <c r="T11" s="74">
        <v>12</v>
      </c>
      <c r="U11" s="74">
        <v>15</v>
      </c>
      <c r="V11" s="74">
        <v>22</v>
      </c>
      <c r="W11" s="74">
        <v>16</v>
      </c>
      <c r="X11" s="74">
        <v>7</v>
      </c>
      <c r="Y11" s="74">
        <v>19</v>
      </c>
      <c r="Z11" s="74">
        <v>15</v>
      </c>
      <c r="AA11" s="74">
        <v>17</v>
      </c>
      <c r="AB11" s="74">
        <v>7</v>
      </c>
      <c r="AC11" s="74">
        <v>15</v>
      </c>
      <c r="AD11" s="74">
        <v>20</v>
      </c>
      <c r="AE11" s="74">
        <v>21</v>
      </c>
    </row>
    <row r="12" spans="1:99" ht="9.9499999999999993" customHeight="1" ph="1"/>
    <row r="13" spans="1:99" s="72" customFormat="1" ht="29.25" customHeight="1" ph="1">
      <c r="B13" s="212" t="s" ph="1">
        <v>37</v>
      </c>
      <c r="C13" s="151" t="s" ph="1">
        <v>210</v>
      </c>
      <c r="D13" s="76" t="s" ph="1">
        <v>53</v>
      </c>
      <c r="E13" s="76" t="s" ph="1">
        <v>54</v>
      </c>
      <c r="F13" s="76" t="s" ph="1">
        <v>66</v>
      </c>
      <c r="G13" s="76" t="s" ph="1">
        <v>67</v>
      </c>
      <c r="H13" s="76" t="s" ph="1">
        <v>154</v>
      </c>
      <c r="I13" s="76" t="s" ph="1">
        <v>68</v>
      </c>
      <c r="J13" s="76" t="s" ph="1">
        <v>155</v>
      </c>
      <c r="K13" s="76" t="s" ph="1">
        <v>63</v>
      </c>
      <c r="L13" s="76" t="s" ph="1">
        <v>69</v>
      </c>
      <c r="M13" s="76" t="s" ph="1">
        <v>70</v>
      </c>
      <c r="N13" s="76" t="s" ph="1">
        <v>156</v>
      </c>
      <c r="O13" s="76" t="s" ph="1">
        <v>64</v>
      </c>
      <c r="P13" s="76" t="s" ph="1">
        <v>71</v>
      </c>
      <c r="Q13" s="76" t="s" ph="1">
        <v>72</v>
      </c>
      <c r="R13" s="76" t="s" ph="1">
        <v>73</v>
      </c>
      <c r="S13" s="76" t="s" ph="1">
        <v>74</v>
      </c>
      <c r="T13" s="76" t="s" ph="1">
        <v>75</v>
      </c>
      <c r="U13" s="76" t="s" ph="1">
        <v>76</v>
      </c>
      <c r="V13" s="76" t="s" ph="1">
        <v>157</v>
      </c>
      <c r="W13" s="76" t="s" ph="1">
        <v>158</v>
      </c>
      <c r="X13" s="76" t="s" ph="1">
        <v>159</v>
      </c>
      <c r="Y13" s="105" t="s" ph="1">
        <v>77</v>
      </c>
      <c r="Z13" s="76" t="s" ph="1">
        <v>86</v>
      </c>
      <c r="AA13" s="76" t="s" ph="1">
        <v>160</v>
      </c>
      <c r="AB13" s="76" t="s" ph="1">
        <v>161</v>
      </c>
      <c r="AC13" s="76" t="s" ph="1">
        <v>162</v>
      </c>
      <c r="AD13" s="76" t="s" ph="1">
        <v>163</v>
      </c>
      <c r="AE13" s="76" t="s" ph="1">
        <v>164</v>
      </c>
      <c r="AG13" s="72" t="s" ph="1">
        <v>369</v>
      </c>
      <c r="AH13" s="72" t="s" ph="1">
        <v>232</v>
      </c>
      <c r="AI13" s="72" t="s" ph="1">
        <v>233</v>
      </c>
      <c r="AJ13" s="72" t="s" ph="1">
        <v>234</v>
      </c>
      <c r="AK13" s="72" t="s" ph="1">
        <v>235</v>
      </c>
      <c r="AL13" s="72" t="s" ph="1">
        <v>236</v>
      </c>
      <c r="AM13" s="72" t="s" ph="1">
        <v>237</v>
      </c>
      <c r="AN13" s="72" t="s" ph="1">
        <v>238</v>
      </c>
      <c r="AO13" s="72" t="s" ph="1">
        <v>239</v>
      </c>
      <c r="AP13" s="72" t="s" ph="1">
        <v>240</v>
      </c>
      <c r="AQ13" s="72" t="s" ph="1">
        <v>241</v>
      </c>
      <c r="AR13" s="72" t="s" ph="1">
        <v>242</v>
      </c>
      <c r="AS13" s="72" t="s" ph="1">
        <v>243</v>
      </c>
      <c r="AT13" s="72" t="s" ph="1">
        <v>244</v>
      </c>
      <c r="AU13" s="72" t="s" ph="1">
        <v>245</v>
      </c>
      <c r="AV13" s="72" t="s" ph="1">
        <v>246</v>
      </c>
      <c r="AW13" s="72" t="s" ph="1">
        <v>247</v>
      </c>
      <c r="AX13" s="72" t="s" ph="1">
        <v>248</v>
      </c>
      <c r="AY13" s="72" t="s" ph="1">
        <v>370</v>
      </c>
      <c r="AZ13" s="72" t="s" ph="1">
        <v>249</v>
      </c>
      <c r="BA13" s="72" t="s" ph="1">
        <v>250</v>
      </c>
      <c r="BB13" s="72" t="s" ph="1">
        <v>635</v>
      </c>
      <c r="BC13" s="72" t="s" ph="1">
        <v>251</v>
      </c>
      <c r="BD13" s="72" t="s" ph="1">
        <v>371</v>
      </c>
      <c r="BE13" s="72" t="s" ph="1">
        <v>372</v>
      </c>
      <c r="BF13" s="72" t="s" ph="1">
        <v>373</v>
      </c>
      <c r="BG13" s="72" t="s" ph="1">
        <v>374</v>
      </c>
      <c r="BH13" s="72" t="s" ph="1">
        <v>375</v>
      </c>
    </row>
    <row r="14" spans="1:99" s="72" customFormat="1" ht="24" ph="1">
      <c r="B14" s="213" ph="1"/>
      <c r="C14" s="67" t="s" ph="1">
        <v>36</v>
      </c>
      <c r="D14" s="77" t="s" ph="1">
        <v>131</v>
      </c>
      <c r="E14" s="77" t="s" ph="1">
        <v>131</v>
      </c>
      <c r="F14" s="153" t="s" ph="1">
        <v>656</v>
      </c>
      <c r="G14" s="77" t="s" ph="1">
        <v>220</v>
      </c>
      <c r="H14" s="77" t="s" ph="1">
        <v>648</v>
      </c>
      <c r="I14" s="77" t="s" ph="1">
        <v>65</v>
      </c>
      <c r="J14" s="77" t="s" ph="1">
        <v>230</v>
      </c>
      <c r="K14" s="77" t="s" ph="1">
        <v>226</v>
      </c>
      <c r="L14" s="77" t="s" ph="1">
        <v>41</v>
      </c>
      <c r="M14" s="104" t="s" ph="1">
        <v>225</v>
      </c>
      <c r="N14" s="104" t="s" ph="1">
        <v>221</v>
      </c>
      <c r="O14" s="104" t="s" ph="1">
        <v>229</v>
      </c>
      <c r="P14" s="77" t="s" ph="1">
        <v>82</v>
      </c>
      <c r="Q14" s="77" t="s" ph="1">
        <v>82</v>
      </c>
      <c r="R14" s="88" t="s" ph="1">
        <v>7</v>
      </c>
      <c r="S14" s="77" t="s" ph="1">
        <v>82</v>
      </c>
      <c r="T14" s="77" t="s" ph="1">
        <v>98</v>
      </c>
      <c r="U14" s="77" t="s" ph="1">
        <v>659</v>
      </c>
      <c r="V14" s="77" t="s" ph="1">
        <v>649</v>
      </c>
      <c r="W14" s="77" t="s" ph="1">
        <v>223</v>
      </c>
      <c r="X14" s="77" t="s" ph="1">
        <v>78</v>
      </c>
      <c r="Y14" s="144" t="s" ph="1">
        <v>0</v>
      </c>
      <c r="Z14" s="77" t="s" ph="1">
        <v>62</v>
      </c>
      <c r="AA14" s="77" t="s" ph="1">
        <v>88</v>
      </c>
      <c r="AB14" s="77" t="s" ph="1">
        <v>653</v>
      </c>
      <c r="AC14" s="77" t="s" ph="1">
        <v>653</v>
      </c>
      <c r="AD14" s="77" t="s" ph="1">
        <v>136</v>
      </c>
      <c r="AE14" s="77" t="s" ph="1">
        <v>136</v>
      </c>
      <c r="AG14" s="72" t="s" ph="1">
        <v>252</v>
      </c>
      <c r="AI14" s="72" t="s" ph="1">
        <v>253</v>
      </c>
      <c r="AJ14" s="72" t="s" ph="1">
        <v>376</v>
      </c>
      <c r="AK14" s="72" t="s" ph="1">
        <v>254</v>
      </c>
      <c r="AM14" s="72" t="s" ph="1">
        <v>256</v>
      </c>
      <c r="AN14" s="72" t="s" ph="1">
        <v>254</v>
      </c>
      <c r="AO14" s="72" t="s" ph="1">
        <v>255</v>
      </c>
      <c r="AP14" s="72" t="s" ph="1">
        <v>256</v>
      </c>
      <c r="AQ14" s="72" t="s" ph="1">
        <v>254</v>
      </c>
      <c r="AR14" s="72" t="s" ph="1">
        <v>255</v>
      </c>
      <c r="AS14" s="72" t="s" ph="1">
        <v>256</v>
      </c>
      <c r="AT14" s="72" t="s" ph="1">
        <v>254</v>
      </c>
      <c r="AU14" s="72" t="s" ph="1">
        <v>255</v>
      </c>
      <c r="AV14" s="72" t="s" ph="1">
        <v>256</v>
      </c>
      <c r="AW14" s="72" t="s" ph="1">
        <v>254</v>
      </c>
      <c r="AX14" s="72" t="s" ph="1">
        <v>255</v>
      </c>
      <c r="AY14" s="72" t="s" ph="1">
        <v>256</v>
      </c>
      <c r="AZ14" s="72" t="s" ph="1">
        <v>255</v>
      </c>
    </row>
    <row r="15" spans="1:99" ph="1">
      <c r="B15" s="214" ph="1">
        <v>0.33333333333333331</v>
      </c>
      <c r="C15" s="151" t="s" ph="1">
        <v>211</v>
      </c>
      <c r="D15" s="78">
        <v>3450</v>
      </c>
      <c r="E15" s="78">
        <v>72</v>
      </c>
      <c r="F15" s="78">
        <v>3556</v>
      </c>
      <c r="G15" s="78">
        <v>3744</v>
      </c>
      <c r="H15" s="78">
        <v>1075</v>
      </c>
      <c r="I15" s="78">
        <v>8</v>
      </c>
      <c r="J15" s="78">
        <v>391</v>
      </c>
      <c r="K15" s="78">
        <v>1845</v>
      </c>
      <c r="L15" s="78">
        <v>3419</v>
      </c>
      <c r="M15" s="78">
        <v>3346</v>
      </c>
      <c r="N15" s="78">
        <v>2109</v>
      </c>
      <c r="O15" s="78">
        <v>234</v>
      </c>
      <c r="P15" s="78">
        <v>0</v>
      </c>
      <c r="Q15" s="78">
        <v>6063</v>
      </c>
      <c r="R15" s="78">
        <v>3486</v>
      </c>
      <c r="S15" s="78">
        <v>5599</v>
      </c>
      <c r="T15" s="78">
        <v>3921</v>
      </c>
      <c r="U15" s="78">
        <v>3337</v>
      </c>
      <c r="V15" s="78">
        <v>-1189</v>
      </c>
      <c r="W15" s="78">
        <v>-593</v>
      </c>
      <c r="X15" s="78">
        <v>1067</v>
      </c>
      <c r="Y15" s="106">
        <v>-9901</v>
      </c>
      <c r="Z15" s="78">
        <v>0</v>
      </c>
      <c r="AA15" s="78">
        <v>30</v>
      </c>
      <c r="AB15" s="78" ph="1">
        <v>6261</v>
      </c>
      <c r="AC15" s="78" ph="1">
        <v>6485</v>
      </c>
      <c r="AD15" s="78">
        <v>24.46</v>
      </c>
      <c r="AE15" s="78">
        <v>84.52</v>
      </c>
      <c r="AG15" s="64" t="s" ph="1">
        <v>258</v>
      </c>
      <c r="AH15" s="64" ph="1">
        <v>1</v>
      </c>
      <c r="AI15" s="64" t="s" ph="1">
        <v>377</v>
      </c>
      <c r="AK15" s="64" t="s" ph="1">
        <v>631</v>
      </c>
      <c r="AM15" s="64" t="s" ph="1">
        <v>379</v>
      </c>
      <c r="AZ15" s="64" t="s" ph="1">
        <v>260</v>
      </c>
      <c r="BA15" s="64" ph="1">
        <v>0</v>
      </c>
    </row>
    <row r="16" spans="1:99" s="72" customFormat="1" ht="22.5" ph="1">
      <c r="B16" s="215" ph="1"/>
      <c r="C16" s="151" t="s" ph="1">
        <v>212</v>
      </c>
      <c r="D16" s="73" ph="1">
        <f>D15*7.0686*LOOKUP(D17,密度!$A$2:$A$50,密度!$L$2:$L$50)</f>
        <v>23167.336499999998</v>
      </c>
      <c r="E16" s="73" ph="1">
        <f>E15*7.0686*LOOKUP(E17,密度!$A$2:$A$50,密度!$L$2:$L$50)</f>
        <v>483.49223999999998</v>
      </c>
      <c r="F16" s="73" ph="1">
        <f>F15*9.0746*LOOKUP(F17,密度!$A$2:$A$50,密度!$L$2:$L$50)</f>
        <v>30591.275164800001</v>
      </c>
      <c r="G16" s="73" ph="1">
        <f>G15*9.0746*LOOKUP(G17,密度!$A$2:$A$50,密度!$B$2:$B$50)</f>
        <v>26772.538291200002</v>
      </c>
      <c r="H16" s="73" ph="1">
        <f>H15*9.0746*LOOKUP(H17,密度!$A$2:$A$50,密度!$L$2:$L$50)</f>
        <v>9306.4560299999994</v>
      </c>
      <c r="I16" s="73" ph="1">
        <f>I15*9.0746*LOOKUP(I17,密度!$A$2:$A$50,密度!$U$2:$U$50)</f>
        <v>74.629510400000001</v>
      </c>
      <c r="J16" s="73" ph="1">
        <f>J15*9.0746*LOOKUP(J17,密度!$A$2:$A$50,密度!$L$2:$L$50)</f>
        <v>3374.3083385999998</v>
      </c>
      <c r="K16" s="73" ph="1">
        <f>K15*9.0746*LOOKUP(K17,密度!$A$2:$A$50,密度!$C$2:$C$50)</f>
        <v>18735.010802999997</v>
      </c>
      <c r="L16" s="73" ph="1">
        <f>L15*9.0746*LOOKUP(L17,密度!$A$2:$A$50,密度!$E$2:$E$50)</f>
        <v>24761.896410940004</v>
      </c>
      <c r="M16" s="73" ph="1">
        <f>M15*9.0746*LOOKUP(M17,密度!$A$2:$A$50,密度!$M$2:$M$50)</f>
        <v>26729.087291479998</v>
      </c>
      <c r="N16" s="73" ph="1">
        <f>N15*9.0746*LOOKUP(N17,密度!$A$2:$A$50,密度!$M$2:$M$50)</f>
        <v>16847.47313142</v>
      </c>
      <c r="O16" s="73" ph="1">
        <f>O15*9.0746*LOOKUP(O17,密度!$A$2:$A$50,密度!$G$2:$G$50)</f>
        <v>2068.67122488</v>
      </c>
      <c r="P16" s="73" ph="1">
        <f ca="1">P15*9.0746*LOOKUP(P17,密度!$A$2:$A$51,密度!$Q$2:$Q$50)</f>
        <v>0</v>
      </c>
      <c r="Q16" s="73" ph="1">
        <f>Q15*9.0746*LOOKUP(Q17,密度!$A$2:$A$50,密度!$Q$2:$Q$50)</f>
        <v>52518.122431092001</v>
      </c>
      <c r="R16" s="73" ph="1">
        <f>MAX(R15*9.0746*LOOKUP(R17,密度!$A$2:$A$50,密度!$B$2:$B$50),0)</f>
        <v>24927.635812799999</v>
      </c>
      <c r="S16" s="73" ph="1">
        <f>S15*9.0746*LOOKUP(S17,密度!$A$2:$A$50,密度!$Q$2:$Q$50)</f>
        <v>48498.922561716005</v>
      </c>
      <c r="T16" s="73" ph="1">
        <f>T15*9.0746*LOOKUP(T17,密度!$A$2:$A$50,密度!$O$2:$O$50)</f>
        <v>33233.127164400001</v>
      </c>
      <c r="U16" s="73" ph="1">
        <f>U15*9.0746*LOOKUP(U17,密度!$A$2:$A$50,密度!$H$2:$H$50)</f>
        <v>28153.119803940001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224.10041032800018</v>
      </c>
      <c r="X16" s="73" ph="1">
        <f>MAX(5600*LOOKUP(X17,密度!$A$2:$A$50,密度!$I$2:$I$50)+X15*9.0476*LOOKUP(X17,密度!$A$2:$A$50,密度!$I$2:$I$50),0)</f>
        <v>15710.792724431998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215.91195780000001</v>
      </c>
      <c r="AB16" s="73" ph="1">
        <f>AB15*9.0746*LOOKUP(AB17,密度!$A$2:$A$50,密度!$L$2:$L$50)</f>
        <v>53804.818858199993</v>
      </c>
      <c r="AC16" s="73" ph="1">
        <f>AC15*9.0746*LOOKUP(AC17,密度!$A$2:$A$50,密度!$L$2:$L$50)</f>
        <v>55965.190731000002</v>
      </c>
      <c r="AD16" s="73" ph="1">
        <f>AD15*268.68*LOOKUP(AD17,密度!$A$2:$A$50,密度!B2:B50)+IF(AD15&lt;=0,0,1566*LOOKUP(AD17,密度!$A$2:$A$50,密度!B2:B50))</f>
        <v>6344.3168188799991</v>
      </c>
      <c r="AE16" s="73" ph="1">
        <f>AE15*268.68*LOOKUP(AE17,密度!$A$2:$A$50,密度!B2:B50)+IF(AE15&lt;=0,0,1566*LOOKUP(AE17,密度!$A$2:$A$50,密度!B2:B50))</f>
        <v>18924.660274559996</v>
      </c>
      <c r="AH16" s="72" ph="1">
        <v>2</v>
      </c>
      <c r="AI16" s="72" t="s" ph="1">
        <v>381</v>
      </c>
      <c r="AZ16" s="72" t="s" ph="1">
        <v>260</v>
      </c>
      <c r="BA16" s="72" ph="1">
        <v>0</v>
      </c>
    </row>
    <row r="17" spans="1:57" ph="1">
      <c r="A17" s="64" t="s" ph="1">
        <v>85</v>
      </c>
      <c r="B17" s="216" ph="1"/>
      <c r="C17" s="79" t="s" ph="1">
        <v>213</v>
      </c>
      <c r="D17" s="74">
        <v>12</v>
      </c>
      <c r="E17" s="74">
        <v>12</v>
      </c>
      <c r="F17" s="74">
        <v>14</v>
      </c>
      <c r="G17" s="74">
        <v>15</v>
      </c>
      <c r="H17" s="74">
        <v>8</v>
      </c>
      <c r="I17" s="74">
        <v>10</v>
      </c>
      <c r="J17" s="74">
        <v>11</v>
      </c>
      <c r="K17" s="74">
        <v>11</v>
      </c>
      <c r="L17" s="74">
        <v>13</v>
      </c>
      <c r="M17" s="74">
        <v>15</v>
      </c>
      <c r="N17" s="74">
        <v>14</v>
      </c>
      <c r="O17" s="74">
        <v>12</v>
      </c>
      <c r="P17" s="74">
        <v>10</v>
      </c>
      <c r="Q17" s="74">
        <v>12</v>
      </c>
      <c r="R17" s="74">
        <v>15</v>
      </c>
      <c r="S17" s="74">
        <v>13</v>
      </c>
      <c r="T17" s="74">
        <v>13</v>
      </c>
      <c r="U17" s="74">
        <v>10</v>
      </c>
      <c r="V17" s="74">
        <v>13</v>
      </c>
      <c r="W17" s="74">
        <v>12</v>
      </c>
      <c r="X17" s="74">
        <v>36</v>
      </c>
      <c r="Y17" s="108">
        <v>36</v>
      </c>
      <c r="Z17" s="74">
        <v>12</v>
      </c>
      <c r="AA17" s="74">
        <v>9</v>
      </c>
      <c r="AB17" s="74">
        <v>15</v>
      </c>
      <c r="AC17" s="74">
        <v>11</v>
      </c>
      <c r="AD17" s="74">
        <v>25</v>
      </c>
      <c r="AE17" s="74">
        <v>25</v>
      </c>
      <c r="AH17" s="64" ph="1">
        <v>3</v>
      </c>
      <c r="AI17" s="64" t="s" ph="1">
        <v>382</v>
      </c>
      <c r="AK17" s="64" t="s" ph="1">
        <v>614</v>
      </c>
      <c r="AL17" s="64" ph="1">
        <v>80</v>
      </c>
      <c r="AM17" s="64" t="s" ph="1">
        <v>379</v>
      </c>
      <c r="AZ17" s="64" t="s" ph="1">
        <v>260</v>
      </c>
      <c r="BA17" s="64" ph="1">
        <v>80</v>
      </c>
      <c r="BD17" s="64" t="s" ph="1">
        <v>258</v>
      </c>
      <c r="BE17" s="64" ph="1">
        <v>2270</v>
      </c>
    </row>
    <row r="18" spans="1:57" ph="1">
      <c r="B18" s="214" ph="1">
        <v>0.66666666666666663</v>
      </c>
      <c r="C18" s="79" t="s" ph="1">
        <v>214</v>
      </c>
      <c r="D18" s="71">
        <v>3460</v>
      </c>
      <c r="E18" s="71">
        <v>72</v>
      </c>
      <c r="F18" s="71">
        <v>3557</v>
      </c>
      <c r="G18" s="71">
        <v>3788</v>
      </c>
      <c r="H18" s="71">
        <v>1074</v>
      </c>
      <c r="I18" s="71">
        <v>6</v>
      </c>
      <c r="J18" s="71">
        <v>389</v>
      </c>
      <c r="K18" s="71">
        <v>1861</v>
      </c>
      <c r="L18" s="71">
        <v>3424</v>
      </c>
      <c r="M18" s="71">
        <v>419</v>
      </c>
      <c r="N18" s="71">
        <v>4163</v>
      </c>
      <c r="O18" s="71">
        <v>226</v>
      </c>
      <c r="P18" s="71">
        <v>0</v>
      </c>
      <c r="Q18" s="71">
        <v>6069</v>
      </c>
      <c r="R18" s="71">
        <v>3490</v>
      </c>
      <c r="S18" s="71">
        <v>5605</v>
      </c>
      <c r="T18" s="71">
        <v>3931</v>
      </c>
      <c r="U18" s="71">
        <v>3337</v>
      </c>
      <c r="V18" s="71">
        <v>-1193</v>
      </c>
      <c r="W18" s="71">
        <v>-595</v>
      </c>
      <c r="X18" s="71">
        <v>1065</v>
      </c>
      <c r="Y18" s="109">
        <v>-9901</v>
      </c>
      <c r="Z18" s="71">
        <v>0</v>
      </c>
      <c r="AA18" s="71">
        <v>28</v>
      </c>
      <c r="AB18" s="71">
        <v>6273</v>
      </c>
      <c r="AC18" s="71">
        <v>6494</v>
      </c>
      <c r="AD18" s="71">
        <v>42.35</v>
      </c>
      <c r="AE18" s="71">
        <v>84.22</v>
      </c>
      <c r="AH18" s="64" ph="1">
        <v>4</v>
      </c>
      <c r="AI18" s="64" t="s" ph="1">
        <v>384</v>
      </c>
      <c r="AJ18" s="64" t="s" ph="1">
        <v>632</v>
      </c>
      <c r="AK18" s="64" t="s" ph="1">
        <v>631</v>
      </c>
      <c r="AL18" s="64" ph="1">
        <v>740</v>
      </c>
      <c r="AM18" s="64" t="s" ph="1">
        <v>383</v>
      </c>
      <c r="AZ18" s="64" t="s" ph="1">
        <v>260</v>
      </c>
      <c r="BA18" s="64" ph="1">
        <v>740</v>
      </c>
    </row>
    <row r="19" spans="1:57" s="72" customFormat="1" ht="22.5" ph="1">
      <c r="B19" s="215" ph="1"/>
      <c r="C19" s="151" t="s" ph="1">
        <v>212</v>
      </c>
      <c r="D19" s="73" ph="1">
        <f>D18*7.0686*LOOKUP(D20,密度!$A$2:$A$50,密度!$L$2:$L$50)</f>
        <v>23112.201419999998</v>
      </c>
      <c r="E19" s="73" ph="1">
        <f>E18*7.0686*LOOKUP(E20,密度!$A$2:$A$50,密度!$L$2:$L$50)</f>
        <v>480.94754399999999</v>
      </c>
      <c r="F19" s="73" ph="1">
        <f>F18*9.0746*LOOKUP(F20,密度!$A$2:$A$50,密度!$L$2:$L$50)</f>
        <v>30503.042828999998</v>
      </c>
      <c r="G19" s="73" ph="1">
        <f>G18*9.0746*LOOKUP(G20,密度!$A$2:$A$50,密度!$B$2:$B$50)</f>
        <v>27059.673154560005</v>
      </c>
      <c r="H19" s="73" ph="1">
        <f>H18*9.0746*LOOKUP(H20,密度!$A$2:$A$50,密度!$L$2:$L$50)</f>
        <v>9229.5760187999986</v>
      </c>
      <c r="I19" s="73" ph="1">
        <f>I18*9.0746*LOOKUP(I20,密度!$A$2:$A$50,密度!$U$2:$U$50)</f>
        <v>55.972132800000004</v>
      </c>
      <c r="J19" s="73" ph="1">
        <f>J18*9.0746*LOOKUP(J20,密度!$A$2:$A$50,密度!$L$2:$L$50)</f>
        <v>3325.2782748</v>
      </c>
      <c r="K19" s="73" ph="1">
        <f>K18*9.0746*LOOKUP(K20,密度!$A$2:$A$50,密度!$C$2:$C$50)</f>
        <v>18821.487203700002</v>
      </c>
      <c r="L19" s="73" ph="1">
        <f>L18*9.0746*LOOKUP(L20,密度!$A$2:$A$50,密度!$E$2:$E$50)</f>
        <v>24658.287165440001</v>
      </c>
      <c r="M19" s="73" ph="1">
        <f>M18*9.0746*LOOKUP(M20,密度!$A$2:$A$50,密度!$M$2:$M$50)</f>
        <v>3334.5797398</v>
      </c>
      <c r="N19" s="73" ph="1">
        <f>N18*9.0746*LOOKUP(N20,密度!$A$2:$A$50,密度!$M$2:$M$50)</f>
        <v>33255.585891939998</v>
      </c>
      <c r="O19" s="73" ph="1">
        <f>O18*9.0746*LOOKUP(O20,密度!$A$2:$A$50,密度!$G$2:$G$50)</f>
        <v>1980.9252876400001</v>
      </c>
      <c r="P19" s="73" ph="1">
        <f ca="1">P18*9.0746*LOOKUP(P20,密度!$A$2:$A$51,密度!$Q$2:$Q$50)</f>
        <v>0</v>
      </c>
      <c r="Q19" s="73" ph="1">
        <f>Q18*9.0746*LOOKUP(Q20,密度!$A$2:$A$50,密度!$Q$2:$Q$50)</f>
        <v>52474.266522719998</v>
      </c>
      <c r="R19" s="73" ph="1">
        <f>MAX(R18*9.0746*LOOKUP(R20,密度!$A$2:$A$50,密度!$B$2:$B$50),0)</f>
        <v>24804.221252799998</v>
      </c>
      <c r="S19" s="73" ph="1">
        <f>S18*9.0746*LOOKUP(S20,密度!$A$2:$A$50,密度!$Q$2:$Q$50)</f>
        <v>48503.083628799999</v>
      </c>
      <c r="T19" s="73" ph="1">
        <f>T18*9.0746*LOOKUP(T20,密度!$A$2:$A$50,密度!$O$2:$O$50)</f>
        <v>33317.883928399999</v>
      </c>
      <c r="U19" s="73" ph="1">
        <f>U18*9.0746*LOOKUP(U20,密度!$A$2:$A$50,密度!$H$2:$H$50)</f>
        <v>28001.71010294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206.1106139400008</v>
      </c>
      <c r="X19" s="73" ph="1">
        <f>MAX(5600*LOOKUP(X20,密度!$A$2:$A$50,密度!$I$2:$I$50)+X18*9.0476*LOOKUP(X20,密度!$A$2:$A$50,密度!$I$2:$I$50),0)</f>
        <v>15692.15539224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199.81543231999999</v>
      </c>
      <c r="AB19" s="73" ph="1">
        <f>AB18*9.0746*LOOKUP(AB20,密度!$A$2:$A$50,密度!$L$2:$L$50)</f>
        <v>53794.092680999995</v>
      </c>
      <c r="AC19" s="73" ph="1">
        <f>AC18*9.0746*LOOKUP(AC20,密度!$A$2:$A$50,密度!$L$2:$L$50)</f>
        <v>55807.138422800002</v>
      </c>
      <c r="AD19" s="73" ph="1">
        <f>AD18*268.68*LOOKUP(AD20,密度!$A$2:$A$50,密度!B5:B53)+IF(AD18&lt;=0,0,1566*LOOKUP(AD20,密度!$A$2:$A$50,密度!B5:B53))</f>
        <v>10057.952646</v>
      </c>
      <c r="AE19" s="73" ph="1">
        <f>AE18*268.68*LOOKUP(AE20,密度!$A$2:$A$50,密度!B5:B53)+IF(AE18&lt;=0,0,1566*LOOKUP(AE20,密度!$A$2:$A$50,密度!B5:B53))</f>
        <v>18798.916399199999</v>
      </c>
      <c r="AH19" s="72" ph="1">
        <v>5</v>
      </c>
      <c r="AI19" s="72" t="s" ph="1">
        <v>385</v>
      </c>
      <c r="AZ19" s="72" t="s" ph="1">
        <v>260</v>
      </c>
      <c r="BA19" s="72" ph="1">
        <v>0</v>
      </c>
      <c r="BD19" s="72" t="s" ph="1">
        <v>386</v>
      </c>
      <c r="BE19" s="72" ph="1">
        <v>1440</v>
      </c>
    </row>
    <row r="20" spans="1:57" ph="1">
      <c r="A20" s="72" ph="1"/>
      <c r="B20" s="215" ph="1"/>
      <c r="C20" s="80" t="s" ph="1">
        <v>213</v>
      </c>
      <c r="D20" s="81">
        <v>17</v>
      </c>
      <c r="E20" s="81">
        <v>17</v>
      </c>
      <c r="F20" s="81">
        <v>17</v>
      </c>
      <c r="G20" s="81">
        <v>16</v>
      </c>
      <c r="H20" s="81">
        <v>15</v>
      </c>
      <c r="I20" s="81">
        <v>17</v>
      </c>
      <c r="J20" s="81">
        <v>20</v>
      </c>
      <c r="K20" s="81">
        <v>17</v>
      </c>
      <c r="L20" s="81">
        <v>16</v>
      </c>
      <c r="M20" s="81">
        <v>23</v>
      </c>
      <c r="N20" s="81">
        <v>16</v>
      </c>
      <c r="O20" s="81">
        <v>20</v>
      </c>
      <c r="P20" s="81">
        <v>20</v>
      </c>
      <c r="Q20" s="81">
        <v>17</v>
      </c>
      <c r="R20" s="81">
        <v>21</v>
      </c>
      <c r="S20" s="81">
        <v>16</v>
      </c>
      <c r="T20" s="81">
        <v>18</v>
      </c>
      <c r="U20" s="81">
        <v>15</v>
      </c>
      <c r="V20" s="81">
        <v>17</v>
      </c>
      <c r="W20" s="81">
        <v>19</v>
      </c>
      <c r="X20" s="81">
        <v>36</v>
      </c>
      <c r="Y20" s="110">
        <v>36</v>
      </c>
      <c r="Z20" s="81">
        <v>29</v>
      </c>
      <c r="AA20" s="81">
        <v>17</v>
      </c>
      <c r="AB20" s="81">
        <v>17</v>
      </c>
      <c r="AC20" s="81">
        <v>15</v>
      </c>
      <c r="AD20" s="81">
        <v>25</v>
      </c>
      <c r="AE20" s="81">
        <v>25</v>
      </c>
      <c r="AH20" s="64" ph="1">
        <v>6</v>
      </c>
      <c r="AI20" s="64" t="s" ph="1">
        <v>387</v>
      </c>
      <c r="AZ20" s="64" t="s" ph="1">
        <v>260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388</v>
      </c>
      <c r="AZ21" s="64" t="s" ph="1">
        <v>260</v>
      </c>
      <c r="BA21" s="64" ph="1">
        <v>0</v>
      </c>
      <c r="BD21" s="64" t="s" ph="1">
        <v>276</v>
      </c>
      <c r="BE21" s="64" ph="1">
        <v>730</v>
      </c>
    </row>
    <row r="22" spans="1:57" ph="1">
      <c r="A22" s="72" ph="1"/>
      <c r="B22" s="213" t="s" ph="1">
        <v>37</v>
      </c>
      <c r="C22" s="85" t="s" ph="1">
        <v>210</v>
      </c>
      <c r="D22" s="86" t="s" ph="1">
        <v>104</v>
      </c>
      <c r="E22" s="86" t="s" ph="1">
        <v>105</v>
      </c>
      <c r="F22" s="86" t="s" ph="1">
        <v>106</v>
      </c>
      <c r="G22" s="86" t="s" ph="1">
        <v>107</v>
      </c>
      <c r="H22" s="86" t="s" ph="1">
        <v>108</v>
      </c>
      <c r="I22" s="86" t="s" ph="1">
        <v>109</v>
      </c>
      <c r="J22" s="86" t="s" ph="1">
        <v>110</v>
      </c>
      <c r="K22" s="86" t="s" ph="1">
        <v>111</v>
      </c>
      <c r="L22" s="86" t="s" ph="1">
        <v>112</v>
      </c>
      <c r="M22" s="86" t="s" ph="1">
        <v>113</v>
      </c>
      <c r="N22" s="86" t="s" ph="1">
        <v>114</v>
      </c>
      <c r="O22" s="86" t="s" ph="1">
        <v>115</v>
      </c>
      <c r="P22" s="86" t="s" ph="1">
        <v>116</v>
      </c>
      <c r="Q22" s="87" t="s" ph="1">
        <v>117</v>
      </c>
      <c r="R22" s="86" t="s" ph="1">
        <v>118</v>
      </c>
      <c r="S22" s="86" t="s" ph="1">
        <v>119</v>
      </c>
      <c r="T22" s="86" t="s" ph="1">
        <v>120</v>
      </c>
      <c r="U22" s="86" t="s" ph="1">
        <v>121</v>
      </c>
      <c r="V22" s="86" t="s" ph="1">
        <v>122</v>
      </c>
      <c r="W22" s="86" t="s" ph="1">
        <v>123</v>
      </c>
      <c r="X22" s="86" t="s" ph="1">
        <v>124</v>
      </c>
      <c r="Y22" s="86" t="s" ph="1">
        <v>126</v>
      </c>
      <c r="Z22" s="223" t="s" ph="1">
        <v>79</v>
      </c>
      <c r="AA22" s="224"/>
      <c r="AB22" s="224"/>
      <c r="AC22" s="224"/>
      <c r="AD22" s="224"/>
      <c r="AE22" s="225"/>
      <c r="AH22" s="64" ph="1">
        <v>8</v>
      </c>
      <c r="AI22" s="64" t="s" ph="1">
        <v>389</v>
      </c>
      <c r="AZ22" s="64" t="s" ph="1">
        <v>260</v>
      </c>
      <c r="BA22" s="64" ph="1">
        <v>0</v>
      </c>
    </row>
    <row r="23" spans="1:57" ph="1">
      <c r="A23" s="72" ph="1"/>
      <c r="B23" s="217" ph="1"/>
      <c r="C23" s="67" t="s" ph="1">
        <v>36</v>
      </c>
      <c r="D23" s="88" t="s" ph="1">
        <v>128</v>
      </c>
      <c r="E23" s="88" t="s" ph="1">
        <v>125</v>
      </c>
      <c r="F23" s="88" t="s" ph="1">
        <v>224</v>
      </c>
      <c r="G23" s="88" t="s" ph="1">
        <v>165</v>
      </c>
      <c r="H23" s="88" t="s" ph="1">
        <v>165</v>
      </c>
      <c r="I23" s="88" t="s" ph="1">
        <v>166</v>
      </c>
      <c r="J23" s="88" t="s" ph="1">
        <v>167</v>
      </c>
      <c r="K23" s="88" t="s" ph="1">
        <v>129</v>
      </c>
      <c r="L23" s="88" t="s" ph="1">
        <v>129</v>
      </c>
      <c r="M23" s="88" t="s" ph="1">
        <v>167</v>
      </c>
      <c r="N23" s="88" t="s" ph="1">
        <v>167</v>
      </c>
      <c r="O23" s="88" t="s" ph="1">
        <v>132</v>
      </c>
      <c r="P23" s="88" t="s" ph="1">
        <v>168</v>
      </c>
      <c r="Q23" s="89" t="s" ph="1">
        <v>168</v>
      </c>
      <c r="R23" s="88" t="s" ph="1">
        <v>169</v>
      </c>
      <c r="S23" s="88" t="s" ph="1">
        <v>170</v>
      </c>
      <c r="T23" s="88" t="s" ph="1">
        <v>651</v>
      </c>
      <c r="U23" s="88" t="s" ph="1">
        <v>660</v>
      </c>
      <c r="V23" s="88" t="s" ph="1">
        <v>172</v>
      </c>
      <c r="W23" s="88" t="s" ph="1">
        <v>170</v>
      </c>
      <c r="X23" s="88" t="s" ph="1">
        <v>231</v>
      </c>
      <c r="Y23" s="88" t="s" ph="1">
        <v>97</v>
      </c>
      <c r="Z23" s="226" t="s" ph="1">
        <v>663</v>
      </c>
      <c r="AA23" s="227"/>
      <c r="AB23" s="227"/>
      <c r="AC23" s="227"/>
      <c r="AD23" s="227"/>
      <c r="AE23" s="228"/>
      <c r="AH23" s="64" ph="1">
        <v>9</v>
      </c>
      <c r="AI23" s="64" t="s" ph="1">
        <v>390</v>
      </c>
      <c r="AZ23" s="64" t="s" ph="1">
        <v>260</v>
      </c>
      <c r="BA23" s="64" ph="1">
        <v>0</v>
      </c>
      <c r="BD23" s="64" t="s" ph="1">
        <v>282</v>
      </c>
      <c r="BE23" s="64" ph="1">
        <v>890</v>
      </c>
    </row>
    <row r="24" spans="1:57" ph="1">
      <c r="A24" s="72" ph="1"/>
      <c r="B24" s="235" ph="1">
        <v>0.33333333333333331</v>
      </c>
      <c r="C24" s="151" t="s" ph="1">
        <v>211</v>
      </c>
      <c r="D24" s="71">
        <v>44.12</v>
      </c>
      <c r="E24" s="71">
        <v>97.45</v>
      </c>
      <c r="F24" s="71">
        <v>2147</v>
      </c>
      <c r="G24" s="71">
        <v>3876</v>
      </c>
      <c r="H24" s="71">
        <v>3344</v>
      </c>
      <c r="I24" s="71">
        <v>2530</v>
      </c>
      <c r="J24" s="71">
        <v>2445</v>
      </c>
      <c r="K24" s="71">
        <v>5599</v>
      </c>
      <c r="L24" s="71">
        <v>5574</v>
      </c>
      <c r="M24" s="71">
        <v>1381</v>
      </c>
      <c r="N24" s="71">
        <v>868</v>
      </c>
      <c r="O24" s="71">
        <v>2053</v>
      </c>
      <c r="P24" s="71">
        <v>2476</v>
      </c>
      <c r="Q24" s="90">
        <v>953</v>
      </c>
      <c r="R24" s="71">
        <v>2016</v>
      </c>
      <c r="S24" s="71">
        <v>185</v>
      </c>
      <c r="T24" s="71">
        <v>6382</v>
      </c>
      <c r="U24" s="71">
        <v>5059</v>
      </c>
      <c r="V24" s="71">
        <v>2662</v>
      </c>
      <c r="W24" s="71">
        <v>11496</v>
      </c>
      <c r="X24" s="71">
        <v>8938</v>
      </c>
      <c r="Y24" s="71">
        <v>3974</v>
      </c>
      <c r="Z24" s="229"/>
      <c r="AA24" s="230"/>
      <c r="AB24" s="230"/>
      <c r="AC24" s="230"/>
      <c r="AD24" s="230"/>
      <c r="AE24" s="231"/>
      <c r="AH24" s="64" ph="1">
        <v>10</v>
      </c>
      <c r="AI24" s="64" t="s" ph="1">
        <v>391</v>
      </c>
      <c r="AZ24" s="64" t="s" ph="1">
        <v>260</v>
      </c>
      <c r="BA24" s="64" ph="1">
        <v>0</v>
      </c>
    </row>
    <row r="25" spans="1:57" ph="1">
      <c r="A25" s="72" ph="1"/>
      <c r="B25" s="235" ph="1"/>
      <c r="C25" s="68" t="s" ph="1">
        <v>212</v>
      </c>
      <c r="D25" s="91" ph="1">
        <f>D24*268.68*LOOKUP(D26,密度!$A$2:$A$50,密度!$Q$2:$Q$50)+IF(D24&lt;=0,0,1566*LOOKUP(D26,密度!$A$2:$A$50,密度!$Q$2:$Q$50))</f>
        <v>12705.403793183999</v>
      </c>
      <c r="E25" s="91" ph="1">
        <f>E24*268.68*LOOKUP(E26,密度!$A$2:$A$50,密度!$C$2:$C$50)+IF(E24&lt;=0,0,1566*LOOKUP(E26,密度!$A$2:$A$50,密度!$C$2:$C$50))</f>
        <v>30770.717507400004</v>
      </c>
      <c r="F25" s="91" ph="1">
        <f>F24*11.702*LOOKUP(F26,密度!$A$2:$A$50,密度!$Q$2:$Q$50)</f>
        <v>23982.048140760002</v>
      </c>
      <c r="G25" s="91" ph="1">
        <f>G24*18.322*LOOKUP(G26,密度!$A$2:$A$50,密度!$B$2:$B$50)</f>
        <v>56081.392058400001</v>
      </c>
      <c r="H25" s="91" ph="1">
        <f>H24*18.322*LOOKUP(H26,密度!$A$2:$A$50,密度!$B$2:$B$50)</f>
        <v>48383.946089599995</v>
      </c>
      <c r="I25" s="91" ph="1">
        <f>I24*18.322*LOOKUP(I26,密度!$A$2:$A$50,密度!$Q$2:$Q$50)</f>
        <v>44247.377156399998</v>
      </c>
      <c r="J25" s="91" ph="1">
        <f>J24*18.322*LOOKUP(J26,密度!$A$2:$A$50,密度!$Q$2:$Q$50)</f>
        <v>42760.805196600006</v>
      </c>
      <c r="K25" s="91" ph="1">
        <f>K24*18.322*LOOKUP(K26,密度!$A$2:$A$50,密度!$Q$2:$Q$50)</f>
        <v>97921.369446120007</v>
      </c>
      <c r="L25" s="91" ph="1">
        <f>L24*18.322*LOOKUP(L26,密度!$A$2:$A$50,密度!$Q$2:$Q$50)</f>
        <v>97484.142399119999</v>
      </c>
      <c r="M25" s="91" ph="1">
        <f>M24*18.322*LOOKUP(M26,密度!$A$2:$A$50,密度!$Q$2:$Q$50)</f>
        <v>24152.42207628</v>
      </c>
      <c r="N25" s="91" ph="1">
        <f>N24*18.322*LOOKUP(N26,密度!$A$2:$A$50,密度!$Q$2:$Q$50)</f>
        <v>15180.52307184</v>
      </c>
      <c r="O25" s="91" ph="1">
        <f>O24*18.322*LOOKUP(O26,密度!$A$2:$A$50,密度!$C$2:$C$50)</f>
        <v>42061.166801200001</v>
      </c>
      <c r="P25" s="91" ph="1">
        <f>P24*11.702*LOOKUP(P26,密度!$A$2:$A$50,密度!$B$2:$B$50)</f>
        <v>22831.631775999998</v>
      </c>
      <c r="Q25" s="92" ph="1">
        <f>Q24*18.322*LOOKUP(Q26,密度!$A$2:$A$50,密度!$B$2:$B$50)</f>
        <v>13788.845880199999</v>
      </c>
      <c r="R25" s="91" ph="1">
        <f>R24*35.891*LOOKUP(R26,密度!$A$2:$A$50,密度!$C$2:$C$50)</f>
        <v>80792.995449599999</v>
      </c>
      <c r="S25" s="91" ph="1">
        <f>S24*35.891*LOOKUP(S26,密度!$A$2:$A$50,密度!$B$2:$B$50)</f>
        <v>5238.1658315000004</v>
      </c>
      <c r="T25" s="91" ph="1">
        <f>T24*35.891*LOOKUP(T26,密度!$A$2:$A$50,密度!$Q$2:$Q$50)</f>
        <v>218643.45978348001</v>
      </c>
      <c r="U25" s="91" ph="1">
        <f>U24*35.891</f>
        <v>181572.56899999999</v>
      </c>
      <c r="V25" s="91" ph="1">
        <f>V24*47.051*LOOKUP(V26,密度!$A$2:$A$50,密度!$B$2:$B$50)</f>
        <v>98809.537241800004</v>
      </c>
      <c r="W25" s="91" ph="1">
        <f>W24*47.051*LOOKUP(W26,密度!$A$2:$A$50,密度!$B$2:$B$50)</f>
        <v>425795.13861119997</v>
      </c>
      <c r="X25" s="91" ph="1">
        <f>X24*47.051*LOOKUP(X26,密度!$A$2:$A$50,密度!$I$2:$I$50)</f>
        <v>435529.94910631992</v>
      </c>
      <c r="Y25" s="91" ph="1">
        <f>Y24*47.051*LOOKUP(Y26,密度!$A$2:$A$50,密度!$L$2:$L$50)</f>
        <v>177070.698278</v>
      </c>
      <c r="Z25" s="229"/>
      <c r="AA25" s="230"/>
      <c r="AB25" s="230"/>
      <c r="AC25" s="230"/>
      <c r="AD25" s="230"/>
      <c r="AE25" s="231"/>
      <c r="AH25" s="64" ph="1">
        <v>11</v>
      </c>
      <c r="AI25" s="64" t="s" ph="1">
        <v>392</v>
      </c>
      <c r="AZ25" s="64" t="s" ph="1">
        <v>260</v>
      </c>
      <c r="BA25" s="64" ph="1">
        <v>0</v>
      </c>
      <c r="BD25" s="64" t="s" ph="1">
        <v>285</v>
      </c>
      <c r="BE25" s="64" ph="1">
        <v>8920</v>
      </c>
    </row>
    <row r="26" spans="1:57" ph="1">
      <c r="A26" s="72" ph="1"/>
      <c r="B26" s="235" ph="1"/>
      <c r="C26" s="68" t="s" ph="1">
        <v>213</v>
      </c>
      <c r="D26" s="74">
        <v>25</v>
      </c>
      <c r="E26" s="74">
        <v>25</v>
      </c>
      <c r="F26" s="74">
        <v>15</v>
      </c>
      <c r="G26" s="74">
        <v>13</v>
      </c>
      <c r="H26" s="74">
        <v>13</v>
      </c>
      <c r="I26" s="74">
        <v>14</v>
      </c>
      <c r="J26" s="74">
        <v>13</v>
      </c>
      <c r="K26" s="74">
        <v>15</v>
      </c>
      <c r="L26" s="74">
        <v>13</v>
      </c>
      <c r="M26" s="74">
        <v>11</v>
      </c>
      <c r="N26" s="74">
        <v>13</v>
      </c>
      <c r="O26" s="74">
        <v>12</v>
      </c>
      <c r="P26" s="74">
        <v>15</v>
      </c>
      <c r="Q26" s="93">
        <v>13</v>
      </c>
      <c r="R26" s="74">
        <v>14</v>
      </c>
      <c r="S26" s="74">
        <v>14</v>
      </c>
      <c r="T26" s="74">
        <v>13</v>
      </c>
      <c r="U26" s="74">
        <v>13</v>
      </c>
      <c r="V26" s="74">
        <v>14</v>
      </c>
      <c r="W26" s="74">
        <v>16</v>
      </c>
      <c r="X26" s="74">
        <v>54</v>
      </c>
      <c r="Y26" s="74">
        <v>15</v>
      </c>
      <c r="Z26" s="229"/>
      <c r="AA26" s="230"/>
      <c r="AB26" s="230"/>
      <c r="AC26" s="230"/>
      <c r="AD26" s="230"/>
      <c r="AE26" s="231"/>
      <c r="AH26" s="64" ph="1">
        <v>12</v>
      </c>
      <c r="AI26" s="64" t="s" ph="1">
        <v>393</v>
      </c>
      <c r="AZ26" s="64" t="s" ph="1">
        <v>260</v>
      </c>
      <c r="BA26" s="64" ph="1">
        <v>0</v>
      </c>
    </row>
    <row r="27" spans="1:57" ph="1">
      <c r="A27" s="72" ph="1"/>
      <c r="B27" s="235" ph="1">
        <v>0.66666666666666663</v>
      </c>
      <c r="C27" s="151" t="s" ph="1">
        <v>214</v>
      </c>
      <c r="D27" s="71">
        <v>44.11</v>
      </c>
      <c r="E27" s="71">
        <v>97.56</v>
      </c>
      <c r="F27" s="71">
        <v>2147</v>
      </c>
      <c r="G27" s="71">
        <v>3431</v>
      </c>
      <c r="H27" s="71">
        <v>2990</v>
      </c>
      <c r="I27" s="71">
        <v>2528</v>
      </c>
      <c r="J27" s="71">
        <v>2443</v>
      </c>
      <c r="K27" s="71">
        <v>5600</v>
      </c>
      <c r="L27" s="71">
        <v>5569</v>
      </c>
      <c r="M27" s="71">
        <v>1377</v>
      </c>
      <c r="N27" s="71">
        <v>862</v>
      </c>
      <c r="O27" s="71">
        <v>2049</v>
      </c>
      <c r="P27" s="71">
        <v>2480</v>
      </c>
      <c r="Q27" s="90">
        <v>1157</v>
      </c>
      <c r="R27" s="71">
        <v>2011</v>
      </c>
      <c r="S27" s="71">
        <v>180</v>
      </c>
      <c r="T27" s="71">
        <v>6382</v>
      </c>
      <c r="U27" s="71">
        <v>4641</v>
      </c>
      <c r="V27" s="71">
        <v>2384</v>
      </c>
      <c r="W27" s="71">
        <v>11498</v>
      </c>
      <c r="X27" s="71">
        <v>8940</v>
      </c>
      <c r="Y27" s="71">
        <v>4558</v>
      </c>
      <c r="Z27" s="229"/>
      <c r="AA27" s="230"/>
      <c r="AB27" s="230"/>
      <c r="AC27" s="230"/>
      <c r="AD27" s="230"/>
      <c r="AE27" s="231"/>
      <c r="AH27" s="64" ph="1">
        <v>13</v>
      </c>
      <c r="AI27" s="64" t="s" ph="1">
        <v>394</v>
      </c>
      <c r="AZ27" s="64" t="s" ph="1">
        <v>260</v>
      </c>
      <c r="BA27" s="64" ph="1">
        <v>0</v>
      </c>
      <c r="BD27" s="64" t="s" ph="1">
        <v>339</v>
      </c>
      <c r="BE27" s="64" ph="1">
        <v>7100</v>
      </c>
    </row>
    <row r="28" spans="1:57" ph="1">
      <c r="A28" s="72" ph="1"/>
      <c r="B28" s="235" ph="1"/>
      <c r="C28" s="151" t="s" ph="1">
        <v>212</v>
      </c>
      <c r="D28" s="91" ph="1">
        <f>D27*268.68*LOOKUP(D29,密度!$A$2:$A$50,密度!$Q$2:$Q$50)+IF(D27&lt;=0,0,1566*LOOKUP(D29,密度!$A$2:$A$50,密度!$Q$2:$Q$50))</f>
        <v>12702.860092151999</v>
      </c>
      <c r="E28" s="91" ph="1">
        <f>E27*268.68*LOOKUP(E29,密度!$A$2:$A$50,密度!$C$2:$C$50)+IF(E27&lt;=0,0,1566*LOOKUP(E29,密度!$A$2:$A$50,密度!$C$2:$C$50))</f>
        <v>30803.490825119999</v>
      </c>
      <c r="F28" s="91" ph="1">
        <f>F27*11.702*LOOKUP(F29,密度!$A$2:$A$50,密度!$Q$2:$Q$50)</f>
        <v>23958.4313984</v>
      </c>
      <c r="G28" s="91" ph="1">
        <f>G27*18.322*LOOKUP(G29,密度!$A$2:$A$50,密度!$B$2:$B$50)</f>
        <v>49535.872216000003</v>
      </c>
      <c r="H28" s="91" ph="1">
        <f>H27*18.322*LOOKUP(H29,密度!$A$2:$A$50,密度!$B$2:$B$50)</f>
        <v>43168.83064</v>
      </c>
      <c r="I28" s="91" ph="1">
        <f>I27*18.322*LOOKUP(I29,密度!$A$2:$A$50,密度!$Q$2:$Q$50)</f>
        <v>44212.398992639995</v>
      </c>
      <c r="J28" s="91" ph="1">
        <f>J27*18.322*LOOKUP(J29,密度!$A$2:$A$50,密度!$Q$2:$Q$50)</f>
        <v>42725.827032840003</v>
      </c>
      <c r="K28" s="91" ph="1">
        <f>K27*18.322*LOOKUP(K29,密度!$A$2:$A$50,密度!$Q$2:$Q$50)</f>
        <v>97842.411519999994</v>
      </c>
      <c r="L28" s="91" ph="1">
        <f>L27*18.322*LOOKUP(L29,密度!$A$2:$A$50,密度!$Q$2:$Q$50)</f>
        <v>97396.696989720003</v>
      </c>
      <c r="M28" s="91" ph="1">
        <f>M27*18.322*LOOKUP(M29,密度!$A$2:$A$50,密度!$Q$2:$Q$50)</f>
        <v>24082.465748760002</v>
      </c>
      <c r="N28" s="91" ph="1">
        <f>N27*18.322*LOOKUP(N29,密度!$A$2:$A$50,密度!$Q$2:$Q$50)</f>
        <v>15075.588580559999</v>
      </c>
      <c r="O28" s="91" ph="1">
        <f>O27*18.322*LOOKUP(O29,密度!$A$2:$A$50,密度!$C$2:$C$50)</f>
        <v>41866.590825599997</v>
      </c>
      <c r="P28" s="91" ph="1">
        <f>P27*11.702*LOOKUP(P29,密度!$A$2:$A$50,密度!$B$2:$B$50)</f>
        <v>22845.299712</v>
      </c>
      <c r="Q28" s="92" ph="1">
        <f>Q27*18.322*LOOKUP(Q29,密度!$A$2:$A$50,密度!$B$2:$B$50)</f>
        <v>16687.501708799999</v>
      </c>
      <c r="R28" s="91" ph="1">
        <f>R27*35.891*LOOKUP(R29,密度!$A$2:$A$50,密度!$C$2:$C$50)</f>
        <v>80534.874555799979</v>
      </c>
      <c r="S28" s="91" ph="1">
        <f>S27*35.891*LOOKUP(S29,密度!$A$2:$A$50,密度!$B$2:$B$50)</f>
        <v>5090.7794400000002</v>
      </c>
      <c r="T28" s="91" ph="1">
        <f>T27*35.891*LOOKUP(T29,密度!$A$2:$A$50,密度!$Q$2:$Q$50)</f>
        <v>218643.45978348001</v>
      </c>
      <c r="U28" s="91" ph="1">
        <f>U27*35.891</f>
        <v>166570.13099999999</v>
      </c>
      <c r="V28" s="91" ph="1">
        <f>V27*47.051*LOOKUP(V29,密度!$A$2:$A$50,密度!$B$2:$B$50)</f>
        <v>88490.5848176</v>
      </c>
      <c r="W28" s="91" ph="1">
        <f>W27*47.051*LOOKUP(W29,密度!$A$2:$A$50,密度!$B$2:$B$50)</f>
        <v>425869.21570560004</v>
      </c>
      <c r="X28" s="91" ph="1">
        <f>X27*47.051*LOOKUP(X29,密度!$A$2:$A$50,密度!$I$2:$I$50)</f>
        <v>434188.82998679997</v>
      </c>
      <c r="Y28" s="91" ph="1">
        <f>Y27*47.051*LOOKUP(Y29,密度!$A$2:$A$50,密度!$L$2:$L$50)</f>
        <v>202663.24281</v>
      </c>
      <c r="Z28" s="229"/>
      <c r="AA28" s="230"/>
      <c r="AB28" s="230"/>
      <c r="AC28" s="230"/>
      <c r="AD28" s="230"/>
      <c r="AE28" s="231"/>
      <c r="AH28" s="64" ph="1">
        <v>14</v>
      </c>
      <c r="AI28" s="64" t="s" ph="1">
        <v>395</v>
      </c>
      <c r="AZ28" s="64" t="s" ph="1">
        <v>260</v>
      </c>
      <c r="BA28" s="64" ph="1">
        <v>0</v>
      </c>
    </row>
    <row r="29" spans="1:57" ph="1">
      <c r="A29" s="72" ph="1"/>
      <c r="B29" s="235" ph="1"/>
      <c r="C29" s="151" t="s" ph="1">
        <v>213</v>
      </c>
      <c r="D29" s="74">
        <v>25</v>
      </c>
      <c r="E29" s="74">
        <v>25</v>
      </c>
      <c r="F29" s="74">
        <v>16</v>
      </c>
      <c r="G29" s="74">
        <v>15</v>
      </c>
      <c r="H29" s="74">
        <v>15</v>
      </c>
      <c r="I29" s="74">
        <v>14</v>
      </c>
      <c r="J29" s="74">
        <v>15</v>
      </c>
      <c r="K29" s="74">
        <v>16</v>
      </c>
      <c r="L29" s="74">
        <v>14</v>
      </c>
      <c r="M29" s="74">
        <v>15</v>
      </c>
      <c r="N29" s="74">
        <v>14</v>
      </c>
      <c r="O29" s="74">
        <v>16</v>
      </c>
      <c r="P29" s="74">
        <v>16</v>
      </c>
      <c r="Q29" s="93">
        <v>16</v>
      </c>
      <c r="R29" s="74">
        <v>15</v>
      </c>
      <c r="S29" s="74">
        <v>15</v>
      </c>
      <c r="T29" s="74">
        <v>14</v>
      </c>
      <c r="U29" s="74">
        <v>14</v>
      </c>
      <c r="V29" s="74">
        <v>14</v>
      </c>
      <c r="W29" s="74">
        <v>16</v>
      </c>
      <c r="X29" s="74">
        <v>46</v>
      </c>
      <c r="Y29" s="74">
        <v>17</v>
      </c>
      <c r="Z29" s="232"/>
      <c r="AA29" s="233"/>
      <c r="AB29" s="233"/>
      <c r="AC29" s="233"/>
      <c r="AD29" s="233"/>
      <c r="AE29" s="234"/>
      <c r="AH29" s="64" ph="1">
        <v>15</v>
      </c>
      <c r="AI29" s="64" t="s" ph="1">
        <v>396</v>
      </c>
      <c r="AZ29" s="64" t="s" ph="1">
        <v>260</v>
      </c>
      <c r="BA29" s="64" ph="1">
        <v>0</v>
      </c>
      <c r="BD29" s="64" t="s" ph="1">
        <v>397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398</v>
      </c>
      <c r="AZ30" s="64" t="s" ph="1">
        <v>260</v>
      </c>
      <c r="BA30" s="64" ph="1">
        <v>0</v>
      </c>
    </row>
    <row r="31" spans="1:57" ht="28.5" ph="1">
      <c r="A31" s="64"/>
      <c r="B31" s="218" t="s" ph="1">
        <v>35</v>
      </c>
      <c r="C31" s="219" ph="1"/>
      <c r="D31" s="222" t="s" ph="1">
        <v>9</v>
      </c>
      <c r="E31" s="197" ph="1"/>
      <c r="F31" s="198" ph="1"/>
      <c r="G31" s="222" t="s" ph="1">
        <v>18</v>
      </c>
      <c r="H31" s="197" ph="1"/>
      <c r="I31" s="198" ph="1"/>
      <c r="J31" s="196" t="s" ph="1">
        <v>1</v>
      </c>
      <c r="K31" s="197" ph="1"/>
      <c r="L31" s="198" ph="1"/>
      <c r="M31" s="196" t="s" ph="1">
        <v>7</v>
      </c>
      <c r="N31" s="197" ph="1"/>
      <c r="O31" s="198" ph="1"/>
      <c r="P31" s="196" t="s" ph="1">
        <v>42</v>
      </c>
      <c r="Q31" s="197"/>
      <c r="R31" s="198"/>
      <c r="S31" s="196" t="s" ph="1">
        <v>2</v>
      </c>
      <c r="T31" s="197"/>
      <c r="U31" s="198"/>
      <c r="V31" s="196" t="s" ph="1">
        <v>81</v>
      </c>
      <c r="W31" s="197" ph="1"/>
      <c r="X31" s="198" ph="1"/>
      <c r="Y31" s="196" t="s" ph="1">
        <v>3</v>
      </c>
      <c r="Z31" s="197" ph="1"/>
      <c r="AA31" s="198" ph="1"/>
      <c r="AB31" s="199" t="s">
        <v>43</v>
      </c>
      <c r="AC31" s="200"/>
      <c r="AD31" s="200"/>
      <c r="AE31" s="201"/>
      <c r="AH31" s="64" ph="1">
        <v>17</v>
      </c>
      <c r="AI31" s="64" t="s" ph="1">
        <v>399</v>
      </c>
      <c r="AZ31" s="64" t="s" ph="1">
        <v>260</v>
      </c>
      <c r="BA31" s="64" ph="1">
        <v>0</v>
      </c>
      <c r="BD31" s="64" t="s" ph="1">
        <v>400</v>
      </c>
      <c r="BE31" s="64" ph="1">
        <v>9310</v>
      </c>
    </row>
    <row r="32" spans="1:57" ph="1">
      <c r="A32" s="64"/>
      <c r="B32" s="220" ph="1"/>
      <c r="C32" s="221" ph="1"/>
      <c r="D32" s="96" t="s" ph="1">
        <v>4</v>
      </c>
      <c r="E32" s="151" t="s" ph="1">
        <v>5</v>
      </c>
      <c r="F32" s="150" t="s" ph="1">
        <v>44</v>
      </c>
      <c r="G32" s="97" t="s" ph="1">
        <v>4</v>
      </c>
      <c r="H32" s="151" t="s" ph="1">
        <v>5</v>
      </c>
      <c r="I32" s="150" t="s" ph="1">
        <v>44</v>
      </c>
      <c r="J32" s="97" t="s" ph="1">
        <v>4</v>
      </c>
      <c r="K32" s="151" t="s" ph="1">
        <v>5</v>
      </c>
      <c r="L32" s="150" t="s" ph="1">
        <v>44</v>
      </c>
      <c r="M32" s="97" t="s" ph="1">
        <v>4</v>
      </c>
      <c r="N32" s="151" t="s" ph="1">
        <v>5</v>
      </c>
      <c r="O32" s="150" t="s" ph="1">
        <v>44</v>
      </c>
      <c r="P32" s="97" t="s" ph="1">
        <v>4</v>
      </c>
      <c r="Q32" s="98" t="s" ph="1">
        <v>5</v>
      </c>
      <c r="R32" s="99" t="s" ph="1">
        <v>44</v>
      </c>
      <c r="S32" s="97" t="s" ph="1">
        <v>4</v>
      </c>
      <c r="T32" s="151" t="s" ph="1">
        <v>5</v>
      </c>
      <c r="U32" s="99" t="s" ph="1">
        <v>44</v>
      </c>
      <c r="V32" s="97" t="s" ph="1">
        <v>4</v>
      </c>
      <c r="W32" s="151" t="s" ph="1">
        <v>5</v>
      </c>
      <c r="X32" s="99" t="s" ph="1">
        <v>44</v>
      </c>
      <c r="Y32" s="100" t="s" ph="1">
        <v>4</v>
      </c>
      <c r="Z32" s="151" t="s" ph="1">
        <v>5</v>
      </c>
      <c r="AA32" s="150" t="s" ph="1">
        <v>44</v>
      </c>
      <c r="AB32" s="97" t="s" ph="1">
        <v>102</v>
      </c>
      <c r="AC32" s="151" t="s" ph="1">
        <v>101</v>
      </c>
      <c r="AD32" s="202" t="s" ph="1">
        <v>100</v>
      </c>
      <c r="AE32" s="203"/>
      <c r="AH32" s="64" ph="1">
        <v>18</v>
      </c>
      <c r="AI32" s="64" t="s" ph="1">
        <v>401</v>
      </c>
      <c r="AZ32" s="64" t="s" ph="1">
        <v>260</v>
      </c>
      <c r="BA32" s="64" ph="1">
        <v>0</v>
      </c>
    </row>
    <row r="33" spans="1:57" ph="1">
      <c r="A33" s="64"/>
      <c r="B33" s="204" t="s" ph="1">
        <v>215</v>
      </c>
      <c r="C33" s="205" ph="1"/>
      <c r="D33" s="184" ph="1">
        <f>AA10+AB10+Z19</f>
        <v>86019.097795600013</v>
      </c>
      <c r="E33" s="184" ph="1">
        <f>M10+I10</f>
        <v>206930.56918759999</v>
      </c>
      <c r="F33" s="208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表格_取樣回收每月庫存表_0620更新1522252632456786910111213141516171819202123456789101112131415161718192022232424356789101112131415161718192021222345678910111213141516171819202345678910111213149101516171819222123234567891012131415161711181920212224252345678910[[#This Row],[F25]]</f>
        <v>3880</v>
      </c>
      <c r="G33" s="210" ph="1">
        <v>0</v>
      </c>
      <c r="H33" s="184" ph="1">
        <f>N19</f>
        <v>33255.585891939998</v>
      </c>
      <c r="I33" s="188" ph="1">
        <v>0</v>
      </c>
      <c r="J33" s="192" ph="1">
        <f>F10+O28</f>
        <v>200065.87966560002</v>
      </c>
      <c r="K33" s="184" ph="1">
        <f>O10+K10+E28+R28</f>
        <v>231425.86377532</v>
      </c>
      <c r="L33" s="194" ph="1">
        <f>BE27</f>
        <v>7100</v>
      </c>
      <c r="M33" s="192" ph="1">
        <f>G10+H10+W28+S28</f>
        <v>980517.89148360002</v>
      </c>
      <c r="N33" s="184" ph="1">
        <f>L10+P10++G28+H28+V28</f>
        <v>248695.84072060001</v>
      </c>
      <c r="O33" s="188" ph="1">
        <f>BE17</f>
        <v>2270</v>
      </c>
      <c r="P33" s="192" ph="1">
        <f>L19</f>
        <v>24658.287165440001</v>
      </c>
      <c r="Q33" s="184" ph="1">
        <f>J10+N10</f>
        <v>183436.383584</v>
      </c>
      <c r="R33" s="188" ph="1">
        <f>BE23</f>
        <v>890</v>
      </c>
      <c r="S33" s="192" ph="1">
        <f>E10+X28</f>
        <v>434188.82998679997</v>
      </c>
      <c r="T33" s="184" ph="1">
        <f>X19</f>
        <v>15692.15539224</v>
      </c>
      <c r="U33" s="173" ph="1">
        <f>BE21</f>
        <v>730</v>
      </c>
      <c r="V33" s="186" ph="1">
        <f ca="1">P19+Q19+S19+M28+N28+J28</f>
        <v>182861.23151367999</v>
      </c>
      <c r="W33" s="186" ph="1">
        <f>D28+F28+V19+T28</f>
        <v>255304.75127403199</v>
      </c>
      <c r="X33" s="188" ph="1">
        <f>BE29+BE31</f>
        <v>10200</v>
      </c>
      <c r="Y33" s="190" ph="1">
        <f>+Q10+R10+S10+T10+U10+V10+W10+X10+Y10</f>
        <v>216518.85208799999</v>
      </c>
      <c r="Z33" s="171" ph="1">
        <f>D10+T19+U19+Y28+Z10</f>
        <v>536344.13576254004</v>
      </c>
      <c r="AA33" s="173" ph="1">
        <f>BE19</f>
        <v>1440</v>
      </c>
      <c r="AB33" s="175" ph="1">
        <f>I19</f>
        <v>55.972132800000004</v>
      </c>
      <c r="AC33" s="177" ph="1">
        <f>AD10</f>
        <v>43619.091280000001</v>
      </c>
      <c r="AD33" s="179" ph="1">
        <v>0</v>
      </c>
      <c r="AE33" s="180"/>
      <c r="AH33" s="64" ph="1">
        <v>19</v>
      </c>
      <c r="AI33" s="64" t="s" ph="1">
        <v>402</v>
      </c>
      <c r="AJ33" s="64" t="s" ph="1">
        <v>636</v>
      </c>
      <c r="AK33" s="64" t="s" ph="1">
        <v>633</v>
      </c>
      <c r="AL33" s="64" ph="1">
        <v>730</v>
      </c>
      <c r="AM33" s="64" t="s" ph="1">
        <v>383</v>
      </c>
      <c r="AZ33" s="64" t="s" ph="1">
        <v>260</v>
      </c>
      <c r="BA33" s="64" ph="1">
        <v>730</v>
      </c>
      <c r="BD33" s="64" t="s" ph="1">
        <v>334</v>
      </c>
      <c r="BE33" s="64" ph="1">
        <v>3880</v>
      </c>
    </row>
    <row r="34" spans="1:57" ph="1">
      <c r="A34" s="64"/>
      <c r="B34" s="206" ph="1"/>
      <c r="C34" s="207" ph="1"/>
      <c r="D34" s="185" ph="1"/>
      <c r="E34" s="185" ph="1"/>
      <c r="F34" s="209" ph="1"/>
      <c r="G34" s="211" ph="1"/>
      <c r="H34" s="185" ph="1"/>
      <c r="I34" s="189" ph="1"/>
      <c r="J34" s="193" ph="1"/>
      <c r="K34" s="185" ph="1"/>
      <c r="L34" s="195" ph="1"/>
      <c r="M34" s="193" ph="1"/>
      <c r="N34" s="185" ph="1"/>
      <c r="O34" s="189" ph="1"/>
      <c r="P34" s="193" ph="1"/>
      <c r="Q34" s="185" ph="1"/>
      <c r="R34" s="189" ph="1"/>
      <c r="S34" s="193" ph="1"/>
      <c r="T34" s="185"/>
      <c r="U34" s="174"/>
      <c r="V34" s="187" ph="1"/>
      <c r="W34" s="187" ph="1"/>
      <c r="X34" s="189" ph="1"/>
      <c r="Y34" s="191" ph="1"/>
      <c r="Z34" s="172" ph="1"/>
      <c r="AA34" s="174" ph="1"/>
      <c r="AB34" s="176"/>
      <c r="AC34" s="178"/>
      <c r="AD34" s="181"/>
      <c r="AE34" s="182"/>
      <c r="AH34" s="64" ph="1">
        <v>20</v>
      </c>
      <c r="AI34" s="64" t="s" ph="1">
        <v>403</v>
      </c>
      <c r="AJ34" s="64" t="s" ph="1">
        <v>637</v>
      </c>
      <c r="AK34" s="64" t="s" ph="1">
        <v>633</v>
      </c>
      <c r="AL34" s="64" ph="1">
        <v>720</v>
      </c>
      <c r="AM34" s="64" t="s" ph="1">
        <v>383</v>
      </c>
      <c r="AZ34" s="64" t="s" ph="1">
        <v>260</v>
      </c>
      <c r="BA34" s="64" ph="1">
        <v>720</v>
      </c>
    </row>
    <row r="35" spans="1:57" ph="1">
      <c r="A35" s="64"/>
      <c r="AC35" s="183" t="s" ph="1">
        <v>84</v>
      </c>
      <c r="AD35" s="183"/>
      <c r="AE35" s="183"/>
      <c r="AH35" s="64" ph="1">
        <v>21</v>
      </c>
      <c r="AI35" s="64" t="s" ph="1">
        <v>404</v>
      </c>
      <c r="AZ35" s="64" t="s" ph="1">
        <v>260</v>
      </c>
      <c r="BA35" s="64" ph="1">
        <v>0</v>
      </c>
      <c r="BD35" s="64" t="s" ph="1">
        <v>405</v>
      </c>
      <c r="BE35" s="64" ph="1">
        <v>2030</v>
      </c>
    </row>
    <row r="36" spans="1:57" ht="28.5" ph="1">
      <c r="A36" s="64"/>
      <c r="B36" s="103" t="s" ph="1">
        <v>216</v>
      </c>
      <c r="I36" s="169" t="s" ph="1">
        <v>217</v>
      </c>
      <c r="J36" s="169" ph="1"/>
      <c r="K36" s="101" ph="1"/>
      <c r="P36" s="101" ph="1"/>
      <c r="R36" s="169" t="s" ph="1">
        <v>218</v>
      </c>
      <c r="S36" s="169" ph="1"/>
      <c r="Y36" s="102" ph="1"/>
      <c r="Z36" s="149" t="s" ph="1">
        <v>219</v>
      </c>
      <c r="AA36" s="149" ph="1"/>
      <c r="AB36" s="170" t="s" ph="1">
        <v>655</v>
      </c>
      <c r="AC36" s="170" ph="1"/>
      <c r="AD36" s="170" ph="1"/>
      <c r="AE36" s="170" ph="1"/>
      <c r="BA36" s="64" ph="1">
        <v>2270</v>
      </c>
    </row>
    <row r="37" spans="1:57" s="14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9" t="s" ph="1">
        <v>386</v>
      </c>
      <c r="AI37" s="149" t="s" ph="1">
        <v>253</v>
      </c>
      <c r="AJ37" s="149" t="s" ph="1">
        <v>254</v>
      </c>
      <c r="AK37" s="149" t="s" ph="1">
        <v>255</v>
      </c>
      <c r="AM37" s="149" t="s" ph="1">
        <v>254</v>
      </c>
      <c r="AN37" s="149" t="s" ph="1">
        <v>255</v>
      </c>
      <c r="AO37" s="149" t="s" ph="1">
        <v>256</v>
      </c>
      <c r="AP37" s="149" t="s" ph="1">
        <v>254</v>
      </c>
      <c r="AQ37" s="149" t="s" ph="1">
        <v>255</v>
      </c>
      <c r="AR37" s="149" t="s" ph="1">
        <v>256</v>
      </c>
      <c r="AS37" s="149" t="s" ph="1">
        <v>254</v>
      </c>
      <c r="AT37" s="149" t="s" ph="1">
        <v>255</v>
      </c>
      <c r="AU37" s="149" t="s" ph="1">
        <v>256</v>
      </c>
      <c r="AV37" s="149" t="s" ph="1">
        <v>254</v>
      </c>
      <c r="AW37" s="149" t="s" ph="1">
        <v>255</v>
      </c>
      <c r="AX37" s="149" t="s" ph="1">
        <v>256</v>
      </c>
      <c r="AY37" s="149" t="s" ph="1">
        <v>255</v>
      </c>
      <c r="AZ37" s="149" t="s" ph="1">
        <v>257</v>
      </c>
      <c r="BD37" s="149" t="s" ph="1">
        <v>349</v>
      </c>
      <c r="BE37" s="149" ph="1">
        <v>0</v>
      </c>
    </row>
    <row r="38" spans="1:57" ph="1">
      <c r="AE38" s="64" ph="1"/>
      <c r="AH38" s="64" ph="1">
        <v>1</v>
      </c>
      <c r="AI38" s="64" t="s" ph="1">
        <v>406</v>
      </c>
      <c r="AY38" s="64" t="s" ph="1">
        <v>260</v>
      </c>
      <c r="AZ38" s="64" t="s" ph="1">
        <v>411</v>
      </c>
    </row>
    <row r="39" spans="1:57" ph="1">
      <c r="AH39" s="64" ph="1">
        <v>2</v>
      </c>
      <c r="AI39" s="64" t="s" ph="1">
        <v>408</v>
      </c>
      <c r="AJ39" s="64" t="s" ph="1">
        <v>380</v>
      </c>
      <c r="AK39" s="64" t="s" ph="1">
        <v>409</v>
      </c>
      <c r="AM39" s="64" t="s" ph="1">
        <v>614</v>
      </c>
      <c r="AN39" s="64" t="s" ph="1">
        <v>272</v>
      </c>
      <c r="AO39" s="64" t="s" ph="1">
        <v>407</v>
      </c>
      <c r="AY39" s="64" t="s" ph="1">
        <v>260</v>
      </c>
      <c r="AZ39" s="64" t="s" ph="1">
        <v>543</v>
      </c>
    </row>
    <row r="40" spans="1:57" ph="1">
      <c r="AH40" s="64" ph="1">
        <v>3</v>
      </c>
      <c r="AI40" s="64" t="s" ph="1">
        <v>410</v>
      </c>
      <c r="AJ40" s="64" t="s" ph="1">
        <v>614</v>
      </c>
      <c r="AK40" s="64" t="s" ph="1">
        <v>615</v>
      </c>
      <c r="AY40" s="64" t="s" ph="1">
        <v>260</v>
      </c>
      <c r="AZ40" s="64" t="s" ph="1">
        <v>615</v>
      </c>
    </row>
    <row r="41" spans="1:57" ph="1">
      <c r="AH41" s="64" ph="1">
        <v>4</v>
      </c>
      <c r="AI41" s="64" t="s" ph="1">
        <v>412</v>
      </c>
      <c r="AJ41" s="64" t="s" ph="1">
        <v>616</v>
      </c>
      <c r="AK41" s="64" t="s" ph="1">
        <v>617</v>
      </c>
      <c r="AM41" s="64" t="s" ph="1">
        <v>618</v>
      </c>
      <c r="AY41" s="64" t="s" ph="1">
        <v>260</v>
      </c>
      <c r="AZ41" s="64" t="s" ph="1">
        <v>617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413</v>
      </c>
      <c r="AY42" s="64" t="s" ph="1">
        <v>260</v>
      </c>
      <c r="AZ42" s="64" t="s" ph="1">
        <v>411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414</v>
      </c>
      <c r="AY43" s="64" t="s" ph="1">
        <v>260</v>
      </c>
      <c r="AZ43" s="64" t="s" ph="1">
        <v>411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415</v>
      </c>
      <c r="AV44" s="64" t="s" ph="1">
        <v>261</v>
      </c>
      <c r="AY44" s="64" t="s" ph="1">
        <v>260</v>
      </c>
      <c r="AZ44" s="64" t="s" ph="1">
        <v>411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416</v>
      </c>
      <c r="AV45" s="64" t="s" ph="1">
        <v>261</v>
      </c>
      <c r="AY45" s="64" t="s" ph="1">
        <v>260</v>
      </c>
      <c r="AZ45" s="64" t="s" ph="1">
        <v>411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417</v>
      </c>
      <c r="AV46" s="64" t="s" ph="1">
        <v>261</v>
      </c>
      <c r="AY46" s="64" t="s" ph="1">
        <v>260</v>
      </c>
      <c r="AZ46" s="64" t="s" ph="1">
        <v>411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418</v>
      </c>
      <c r="AV47" s="64" t="s" ph="1">
        <v>261</v>
      </c>
      <c r="AY47" s="64" t="s" ph="1">
        <v>260</v>
      </c>
      <c r="AZ47" s="64" t="s" ph="1">
        <v>411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619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276</v>
      </c>
      <c r="AI49" s="64" t="s" ph="1">
        <v>253</v>
      </c>
      <c r="AJ49" s="64" t="s" ph="1">
        <v>254</v>
      </c>
      <c r="AK49" s="64" t="s" ph="1">
        <v>255</v>
      </c>
      <c r="AM49" s="64" t="s" ph="1">
        <v>254</v>
      </c>
      <c r="AN49" s="64" t="s" ph="1">
        <v>255</v>
      </c>
      <c r="AO49" s="64" t="s" ph="1">
        <v>256</v>
      </c>
      <c r="AP49" s="64" t="s" ph="1">
        <v>254</v>
      </c>
      <c r="AQ49" s="64" t="s" ph="1">
        <v>255</v>
      </c>
      <c r="AR49" s="64" t="s" ph="1">
        <v>256</v>
      </c>
      <c r="AS49" s="64" t="s" ph="1">
        <v>254</v>
      </c>
      <c r="AT49" s="64" t="s" ph="1">
        <v>255</v>
      </c>
      <c r="AU49" s="64" t="s" ph="1">
        <v>256</v>
      </c>
      <c r="AV49" s="64" t="s" ph="1">
        <v>254</v>
      </c>
      <c r="AW49" s="64" t="s" ph="1">
        <v>255</v>
      </c>
      <c r="AX49" s="64" t="s" ph="1">
        <v>256</v>
      </c>
      <c r="AY49" s="64" t="s" ph="1">
        <v>255</v>
      </c>
      <c r="AZ49" s="64" t="s" ph="1">
        <v>257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419</v>
      </c>
      <c r="AY50" s="64" t="s" ph="1">
        <v>260</v>
      </c>
      <c r="AZ50" s="64" t="s" ph="1">
        <v>411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420</v>
      </c>
      <c r="AY51" s="64" t="s" ph="1">
        <v>260</v>
      </c>
      <c r="AZ51" s="64" t="s" ph="1">
        <v>411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421</v>
      </c>
      <c r="AJ52" s="64" t="s" ph="1">
        <v>378</v>
      </c>
      <c r="AK52" s="64" t="s" ph="1">
        <v>272</v>
      </c>
      <c r="AM52" s="64" t="s" ph="1">
        <v>380</v>
      </c>
      <c r="AN52" s="64" t="s" ph="1">
        <v>344</v>
      </c>
      <c r="AO52" s="64" t="s" ph="1">
        <v>277</v>
      </c>
      <c r="AP52" s="64" t="s" ph="1">
        <v>614</v>
      </c>
      <c r="AQ52" s="64" t="s" ph="1">
        <v>326</v>
      </c>
      <c r="AR52" s="64" t="s" ph="1">
        <v>277</v>
      </c>
      <c r="AY52" s="64" t="s" ph="1">
        <v>260</v>
      </c>
      <c r="AZ52" s="64" t="s" ph="1">
        <v>620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422</v>
      </c>
      <c r="AY53" s="64" t="s" ph="1">
        <v>260</v>
      </c>
      <c r="AZ53" s="64" t="s" ph="1">
        <v>411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423</v>
      </c>
      <c r="AJ54" s="64" t="s" ph="1">
        <v>378</v>
      </c>
      <c r="AK54" s="64" t="s" ph="1">
        <v>263</v>
      </c>
      <c r="AM54" s="64" t="s" ph="1">
        <v>380</v>
      </c>
      <c r="AN54" s="64" t="s" ph="1">
        <v>268</v>
      </c>
      <c r="AO54" s="64" t="s" ph="1">
        <v>277</v>
      </c>
      <c r="AP54" s="64" t="s" ph="1">
        <v>614</v>
      </c>
      <c r="AQ54" s="64" t="s" ph="1">
        <v>284</v>
      </c>
      <c r="AR54" s="64" t="s" ph="1">
        <v>277</v>
      </c>
      <c r="AY54" s="64" t="s" ph="1">
        <v>260</v>
      </c>
      <c r="AZ54" s="64" t="s" ph="1">
        <v>278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424</v>
      </c>
      <c r="AY55" s="64" t="s" ph="1">
        <v>260</v>
      </c>
      <c r="AZ55" s="64" t="s" ph="1">
        <v>411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425</v>
      </c>
      <c r="AY56" s="64" t="s" ph="1">
        <v>260</v>
      </c>
      <c r="AZ56" s="64" t="s" ph="1">
        <v>411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426</v>
      </c>
      <c r="AY57" s="64" t="s" ph="1">
        <v>260</v>
      </c>
      <c r="AZ57" s="64" t="s" ph="1">
        <v>411</v>
      </c>
    </row>
    <row r="58" spans="16:52" ph="1">
      <c r="P58" s="64"/>
      <c r="AN58" s="64" t="s" ph="1">
        <v>261</v>
      </c>
      <c r="AZ58" s="64" t="s" ph="1">
        <v>621</v>
      </c>
    </row>
    <row r="59" spans="16:52" ph="1">
      <c r="V59" s="64"/>
      <c r="AG59" s="64" t="s" ph="1">
        <v>279</v>
      </c>
      <c r="AI59" s="64" t="s" ph="1">
        <v>253</v>
      </c>
      <c r="AJ59" s="64" t="s" ph="1">
        <v>254</v>
      </c>
      <c r="AK59" s="64" t="s" ph="1">
        <v>255</v>
      </c>
      <c r="AM59" s="64" t="s" ph="1">
        <v>254</v>
      </c>
      <c r="AN59" s="64" t="s" ph="1">
        <v>255</v>
      </c>
      <c r="AO59" s="64" t="s" ph="1">
        <v>256</v>
      </c>
      <c r="AP59" s="64" t="s" ph="1">
        <v>254</v>
      </c>
      <c r="AQ59" s="64" t="s" ph="1">
        <v>255</v>
      </c>
      <c r="AR59" s="64" t="s" ph="1">
        <v>256</v>
      </c>
      <c r="AS59" s="64" t="s" ph="1">
        <v>254</v>
      </c>
      <c r="AT59" s="64" t="s" ph="1">
        <v>255</v>
      </c>
      <c r="AU59" s="64" t="s" ph="1">
        <v>256</v>
      </c>
      <c r="AV59" s="64" t="s" ph="1">
        <v>254</v>
      </c>
      <c r="AW59" s="64" t="s" ph="1">
        <v>255</v>
      </c>
      <c r="AX59" s="64" t="s" ph="1">
        <v>256</v>
      </c>
      <c r="AY59" s="64" t="s" ph="1">
        <v>255</v>
      </c>
      <c r="AZ59" s="64" t="s" ph="1">
        <v>257</v>
      </c>
    </row>
    <row r="60" spans="16:52" ph="1">
      <c r="R60" s="64"/>
      <c r="S60" s="64"/>
      <c r="T60" s="64"/>
      <c r="AH60" s="64" ph="1">
        <v>1</v>
      </c>
      <c r="AI60" s="64" t="s" ph="1">
        <v>427</v>
      </c>
      <c r="AY60" s="64" t="s" ph="1">
        <v>260</v>
      </c>
      <c r="AZ60" s="64" t="s" ph="1">
        <v>411</v>
      </c>
    </row>
    <row r="61" spans="16:52" ph="1">
      <c r="AH61" s="64" ph="1">
        <v>2</v>
      </c>
      <c r="AI61" s="64" t="s" ph="1">
        <v>428</v>
      </c>
      <c r="AS61" s="64" t="s" ph="1">
        <v>261</v>
      </c>
      <c r="AY61" s="64" t="s" ph="1">
        <v>260</v>
      </c>
      <c r="AZ61" s="64" t="s" ph="1">
        <v>411</v>
      </c>
    </row>
    <row r="62" spans="16:52" ph="1">
      <c r="AZ62" s="64" t="s" ph="1">
        <v>429</v>
      </c>
    </row>
    <row r="63" spans="16:52" ph="1">
      <c r="AG63" s="64" t="s" ph="1">
        <v>282</v>
      </c>
      <c r="AI63" s="64" t="s" ph="1">
        <v>253</v>
      </c>
      <c r="AJ63" s="64" t="s" ph="1">
        <v>254</v>
      </c>
      <c r="AK63" s="64" t="s" ph="1">
        <v>255</v>
      </c>
      <c r="AM63" s="64" t="s" ph="1">
        <v>254</v>
      </c>
      <c r="AN63" s="64" t="s" ph="1">
        <v>255</v>
      </c>
      <c r="AO63" s="64" t="s" ph="1">
        <v>256</v>
      </c>
      <c r="AP63" s="64" t="s" ph="1">
        <v>254</v>
      </c>
      <c r="AQ63" s="64" t="s" ph="1">
        <v>255</v>
      </c>
      <c r="AR63" s="64" t="s" ph="1">
        <v>256</v>
      </c>
      <c r="AS63" s="64" t="s" ph="1">
        <v>254</v>
      </c>
      <c r="AT63" s="64" t="s" ph="1">
        <v>255</v>
      </c>
      <c r="AU63" s="64" t="s" ph="1">
        <v>256</v>
      </c>
      <c r="AV63" s="64" t="s" ph="1">
        <v>254</v>
      </c>
      <c r="AW63" s="64" t="s" ph="1">
        <v>255</v>
      </c>
      <c r="AX63" s="64" t="s" ph="1">
        <v>256</v>
      </c>
      <c r="AY63" s="64" t="s" ph="1">
        <v>255</v>
      </c>
      <c r="AZ63" s="64" t="s" ph="1">
        <v>257</v>
      </c>
    </row>
    <row r="64" spans="16:52" ph="1">
      <c r="AH64" s="64" ph="1">
        <v>1</v>
      </c>
      <c r="AI64" s="64" t="s" ph="1">
        <v>430</v>
      </c>
      <c r="AJ64" s="64" t="s" ph="1">
        <v>431</v>
      </c>
      <c r="AK64" s="64" t="s" ph="1">
        <v>432</v>
      </c>
      <c r="AY64" s="64" t="s" ph="1">
        <v>260</v>
      </c>
      <c r="AZ64" s="64" t="s" ph="1">
        <v>432</v>
      </c>
    </row>
    <row r="65" spans="33:52" ph="1">
      <c r="AH65" s="64" ph="1">
        <v>2</v>
      </c>
      <c r="AI65" s="64" t="s" ph="1">
        <v>433</v>
      </c>
      <c r="AY65" s="64" t="s" ph="1">
        <v>260</v>
      </c>
      <c r="AZ65" s="64" t="s" ph="1">
        <v>411</v>
      </c>
    </row>
    <row r="66" spans="33:52" ph="1">
      <c r="AH66" s="64" ph="1">
        <v>3</v>
      </c>
      <c r="AI66" s="64" t="s" ph="1">
        <v>434</v>
      </c>
      <c r="AY66" s="64" t="s" ph="1">
        <v>260</v>
      </c>
      <c r="AZ66" s="64" t="s" ph="1">
        <v>411</v>
      </c>
    </row>
    <row r="67" spans="33:52" ph="1">
      <c r="AH67" s="64" ph="1">
        <v>4</v>
      </c>
      <c r="AI67" s="64" t="s" ph="1">
        <v>435</v>
      </c>
      <c r="AY67" s="64" t="s" ph="1">
        <v>260</v>
      </c>
      <c r="AZ67" s="64" t="s" ph="1">
        <v>411</v>
      </c>
    </row>
    <row r="68" spans="33:52" ph="1">
      <c r="AH68" s="64" ph="1">
        <v>5</v>
      </c>
      <c r="AI68" s="64" t="s" ph="1">
        <v>436</v>
      </c>
      <c r="AY68" s="64" t="s" ph="1">
        <v>260</v>
      </c>
      <c r="AZ68" s="64" t="s" ph="1">
        <v>411</v>
      </c>
    </row>
    <row r="69" spans="33:52" ph="1">
      <c r="AH69" s="64" ph="1">
        <v>6</v>
      </c>
      <c r="AI69" s="64" t="s" ph="1">
        <v>437</v>
      </c>
      <c r="AY69" s="64" t="s" ph="1">
        <v>260</v>
      </c>
      <c r="AZ69" s="64" t="s" ph="1">
        <v>411</v>
      </c>
    </row>
    <row r="70" spans="33:52" ph="1">
      <c r="AI70" s="64" t="s" ph="1">
        <v>438</v>
      </c>
      <c r="AY70" s="64" t="s" ph="1">
        <v>260</v>
      </c>
      <c r="AZ70" s="64" t="s" ph="1">
        <v>411</v>
      </c>
    </row>
    <row r="71" spans="33:52" ph="1">
      <c r="AH71" s="64" ph="1">
        <v>7</v>
      </c>
      <c r="AI71" s="64" t="s" ph="1">
        <v>439</v>
      </c>
      <c r="AJ71" s="64" t="s" ph="1">
        <v>378</v>
      </c>
      <c r="AK71" s="64" t="s" ph="1">
        <v>272</v>
      </c>
      <c r="AM71" s="64" t="s" ph="1">
        <v>380</v>
      </c>
      <c r="AN71" s="64" t="s" ph="1">
        <v>272</v>
      </c>
      <c r="AO71" s="64" t="s" ph="1">
        <v>440</v>
      </c>
      <c r="AP71" s="64" t="s" ph="1">
        <v>614</v>
      </c>
      <c r="AQ71" s="64" t="s" ph="1">
        <v>263</v>
      </c>
      <c r="AR71" s="64" t="s" ph="1">
        <v>440</v>
      </c>
      <c r="AY71" s="64" t="s" ph="1">
        <v>260</v>
      </c>
      <c r="AZ71" s="64" t="s" ph="1">
        <v>622</v>
      </c>
    </row>
    <row r="72" spans="33:52" ph="1">
      <c r="AZ72" s="64" t="s" ph="1">
        <v>623</v>
      </c>
    </row>
    <row r="73" spans="33:52" ph="1">
      <c r="AG73" s="64" t="s" ph="1">
        <v>285</v>
      </c>
      <c r="AI73" s="64" t="s" ph="1">
        <v>253</v>
      </c>
      <c r="AJ73" s="64" t="s" ph="1">
        <v>254</v>
      </c>
      <c r="AK73" s="64" t="s" ph="1">
        <v>255</v>
      </c>
      <c r="AM73" s="64" t="s" ph="1">
        <v>254</v>
      </c>
      <c r="AN73" s="64" t="s" ph="1">
        <v>255</v>
      </c>
      <c r="AO73" s="64" t="s" ph="1">
        <v>256</v>
      </c>
      <c r="AP73" s="64" t="s" ph="1">
        <v>254</v>
      </c>
      <c r="AQ73" s="64" t="s" ph="1">
        <v>255</v>
      </c>
      <c r="AR73" s="64" t="s" ph="1">
        <v>256</v>
      </c>
      <c r="AS73" s="64" t="s" ph="1">
        <v>254</v>
      </c>
      <c r="AT73" s="64" t="s" ph="1">
        <v>255</v>
      </c>
      <c r="AU73" s="64" t="s" ph="1">
        <v>256</v>
      </c>
      <c r="AV73" s="64" t="s" ph="1">
        <v>254</v>
      </c>
      <c r="AW73" s="64" t="s" ph="1">
        <v>255</v>
      </c>
      <c r="AX73" s="64" t="s" ph="1">
        <v>256</v>
      </c>
      <c r="AY73" s="64" t="s" ph="1">
        <v>255</v>
      </c>
      <c r="AZ73" s="64" t="s" ph="1">
        <v>257</v>
      </c>
    </row>
    <row r="74" spans="33:52" ph="1">
      <c r="AH74" s="64" ph="1">
        <v>1</v>
      </c>
      <c r="AI74" s="64" t="s" ph="1">
        <v>441</v>
      </c>
      <c r="AJ74" s="64" t="s" ph="1">
        <v>286</v>
      </c>
      <c r="AK74" s="64" t="s" ph="1">
        <v>268</v>
      </c>
      <c r="AM74" s="64" t="s" ph="1">
        <v>288</v>
      </c>
      <c r="AN74" s="64" t="s" ph="1">
        <v>298</v>
      </c>
      <c r="AO74" s="64" t="s" ph="1">
        <v>287</v>
      </c>
      <c r="AP74" s="64" t="s" ph="1">
        <v>289</v>
      </c>
      <c r="AQ74" s="64" t="s" ph="1">
        <v>266</v>
      </c>
      <c r="AR74" s="64" t="s" ph="1">
        <v>287</v>
      </c>
      <c r="AS74" s="64" t="s" ph="1">
        <v>259</v>
      </c>
      <c r="AT74" s="64" t="s" ph="1">
        <v>261</v>
      </c>
      <c r="AV74" s="64" t="s" ph="1">
        <v>442</v>
      </c>
      <c r="AW74" s="64" t="s" ph="1">
        <v>443</v>
      </c>
      <c r="AX74" s="64" t="s" ph="1">
        <v>444</v>
      </c>
      <c r="AY74" s="64" t="s" ph="1">
        <v>260</v>
      </c>
      <c r="AZ74" s="64" t="s" ph="1">
        <v>445</v>
      </c>
    </row>
    <row r="75" spans="33:52" ph="1">
      <c r="AJ75" s="64" t="s" ph="1">
        <v>291</v>
      </c>
      <c r="AK75" s="64" t="s" ph="1">
        <v>344</v>
      </c>
      <c r="AM75" s="64" t="s" ph="1">
        <v>289</v>
      </c>
      <c r="AN75" s="64" t="s" ph="1">
        <v>269</v>
      </c>
      <c r="AO75" s="64" t="s" ph="1">
        <v>287</v>
      </c>
      <c r="AS75" s="64" t="s" ph="1">
        <v>259</v>
      </c>
      <c r="AT75" s="64" t="s" ph="1">
        <v>290</v>
      </c>
    </row>
    <row r="76" spans="33:52" ph="1">
      <c r="AJ76" s="64" t="s" ph="1">
        <v>291</v>
      </c>
      <c r="AK76" s="64" t="s" ph="1">
        <v>284</v>
      </c>
      <c r="AM76" s="64" t="s" ph="1">
        <v>289</v>
      </c>
      <c r="AN76" s="64" t="s" ph="1">
        <v>272</v>
      </c>
      <c r="AO76" s="64" t="s" ph="1">
        <v>287</v>
      </c>
      <c r="AS76" s="64" t="s" ph="1">
        <v>259</v>
      </c>
      <c r="AT76" s="64" t="s" ph="1">
        <v>290</v>
      </c>
    </row>
    <row r="77" spans="33:52" ph="1">
      <c r="AJ77" s="64" t="s" ph="1">
        <v>327</v>
      </c>
      <c r="AK77" s="64" t="s" ph="1">
        <v>284</v>
      </c>
      <c r="AM77" s="64" t="s" ph="1">
        <v>328</v>
      </c>
      <c r="AN77" s="64" t="s" ph="1">
        <v>267</v>
      </c>
      <c r="AO77" s="64" t="s" ph="1">
        <v>287</v>
      </c>
      <c r="AS77" s="64" t="s" ph="1">
        <v>259</v>
      </c>
      <c r="AT77" s="64" t="s" ph="1">
        <v>329</v>
      </c>
    </row>
    <row r="78" spans="33:52" ph="1">
      <c r="AH78" s="64" ph="1">
        <v>2</v>
      </c>
      <c r="AI78" s="64" t="s" ph="1">
        <v>293</v>
      </c>
      <c r="AJ78" s="64" t="s" ph="1">
        <v>294</v>
      </c>
      <c r="AK78" s="64" t="s" ph="1">
        <v>263</v>
      </c>
      <c r="AM78" s="64" t="s" ph="1">
        <v>295</v>
      </c>
      <c r="AN78" s="64" t="s" ph="1">
        <v>298</v>
      </c>
      <c r="AO78" s="64" t="s" ph="1">
        <v>287</v>
      </c>
      <c r="AP78" s="64" t="s" ph="1">
        <v>296</v>
      </c>
      <c r="AQ78" s="64" t="s" ph="1">
        <v>342</v>
      </c>
      <c r="AR78" s="64" t="s" ph="1">
        <v>287</v>
      </c>
      <c r="AS78" s="64" t="s" ph="1">
        <v>297</v>
      </c>
      <c r="AT78" s="64" t="s" ph="1">
        <v>298</v>
      </c>
      <c r="AU78" s="64" t="s" ph="1">
        <v>287</v>
      </c>
      <c r="AV78" s="64" t="s" ph="1">
        <v>299</v>
      </c>
      <c r="AW78" s="64" t="s" ph="1">
        <v>287</v>
      </c>
      <c r="AY78" s="64" t="s" ph="1">
        <v>260</v>
      </c>
      <c r="AZ78" s="64" t="s" ph="1">
        <v>446</v>
      </c>
    </row>
    <row r="79" spans="33:52" ph="1">
      <c r="AJ79" s="64" t="s" ph="1">
        <v>289</v>
      </c>
      <c r="AK79" s="64" t="s" ph="1">
        <v>300</v>
      </c>
      <c r="AM79" s="64" t="s" ph="1">
        <v>301</v>
      </c>
      <c r="AN79" s="64" t="s" ph="1">
        <v>269</v>
      </c>
      <c r="AO79" s="64" t="s" ph="1">
        <v>287</v>
      </c>
      <c r="AP79" s="64" t="s" ph="1">
        <v>302</v>
      </c>
      <c r="AQ79" s="64" t="s" ph="1">
        <v>267</v>
      </c>
      <c r="AR79" s="64" t="s" ph="1">
        <v>303</v>
      </c>
      <c r="AS79" s="64" t="s" ph="1">
        <v>259</v>
      </c>
      <c r="AT79" s="64" t="s" ph="1">
        <v>304</v>
      </c>
      <c r="AV79" s="64" t="s" ph="1">
        <v>447</v>
      </c>
      <c r="AW79" s="64" t="s" ph="1">
        <v>346</v>
      </c>
      <c r="AX79" s="64" t="s" ph="1">
        <v>444</v>
      </c>
    </row>
    <row r="80" spans="33:52" ph="1">
      <c r="AH80" s="64" ph="1">
        <v>3</v>
      </c>
      <c r="AI80" s="64" t="s" ph="1">
        <v>305</v>
      </c>
      <c r="AJ80" s="64" t="s" ph="1">
        <v>306</v>
      </c>
      <c r="AK80" s="64" t="s" ph="1">
        <v>307</v>
      </c>
      <c r="AM80" s="64" t="s" ph="1">
        <v>308</v>
      </c>
      <c r="AN80" s="64" t="s" ph="1">
        <v>298</v>
      </c>
      <c r="AO80" s="64" t="s" ph="1">
        <v>287</v>
      </c>
      <c r="AP80" s="64" t="s" ph="1">
        <v>309</v>
      </c>
      <c r="AQ80" s="64" t="s" ph="1">
        <v>272</v>
      </c>
      <c r="AR80" s="64" t="s" ph="1">
        <v>287</v>
      </c>
      <c r="AS80" s="64" t="s" ph="1">
        <v>310</v>
      </c>
      <c r="AT80" s="64" t="s" ph="1">
        <v>271</v>
      </c>
      <c r="AU80" s="64" t="s" ph="1">
        <v>287</v>
      </c>
      <c r="AV80" s="64" t="s" ph="1">
        <v>311</v>
      </c>
      <c r="AW80" s="64" t="s" ph="1">
        <v>287</v>
      </c>
      <c r="AY80" s="64" t="s" ph="1">
        <v>260</v>
      </c>
      <c r="AZ80" s="64" t="s" ph="1">
        <v>448</v>
      </c>
    </row>
    <row r="81" spans="34:52" ph="1">
      <c r="AJ81" s="64" t="s" ph="1">
        <v>312</v>
      </c>
      <c r="AK81" s="64" t="s" ph="1">
        <v>266</v>
      </c>
      <c r="AM81" s="64" t="s" ph="1">
        <v>313</v>
      </c>
      <c r="AN81" s="64" t="s" ph="1">
        <v>269</v>
      </c>
      <c r="AO81" s="64" t="s" ph="1">
        <v>287</v>
      </c>
      <c r="AP81" s="64" t="s" ph="1">
        <v>314</v>
      </c>
      <c r="AQ81" s="64" t="s" ph="1">
        <v>298</v>
      </c>
      <c r="AR81" s="64" t="s" ph="1">
        <v>287</v>
      </c>
      <c r="AS81" s="64" t="s" ph="1">
        <v>315</v>
      </c>
      <c r="AT81" s="64" t="s" ph="1">
        <v>316</v>
      </c>
      <c r="AU81" s="64" t="s" ph="1">
        <v>287</v>
      </c>
      <c r="AV81" s="64" t="s" ph="1">
        <v>317</v>
      </c>
    </row>
    <row r="82" spans="34:52" ph="1">
      <c r="AJ82" s="64" t="s" ph="1">
        <v>318</v>
      </c>
      <c r="AK82" s="64" t="s" ph="1">
        <v>266</v>
      </c>
      <c r="AM82" s="64" t="s" ph="1">
        <v>319</v>
      </c>
      <c r="AN82" s="64" t="s" ph="1">
        <v>316</v>
      </c>
      <c r="AO82" s="64" t="s" ph="1">
        <v>320</v>
      </c>
      <c r="AP82" s="64" t="s" ph="1">
        <v>321</v>
      </c>
      <c r="AQ82" s="64" t="s" ph="1">
        <v>298</v>
      </c>
      <c r="AR82" s="64" t="s" ph="1">
        <v>287</v>
      </c>
      <c r="AS82" s="64" t="s" ph="1">
        <v>322</v>
      </c>
      <c r="AT82" s="64" t="s" ph="1">
        <v>273</v>
      </c>
      <c r="AU82" s="64" t="s" ph="1">
        <v>287</v>
      </c>
      <c r="AV82" s="64" t="s" ph="1">
        <v>447</v>
      </c>
      <c r="AW82" s="64" t="s" ph="1">
        <v>347</v>
      </c>
      <c r="AX82" s="64" t="s" ph="1">
        <v>444</v>
      </c>
    </row>
    <row r="83" spans="34:52" ph="1">
      <c r="AJ83" s="64" t="s" ph="1">
        <v>323</v>
      </c>
      <c r="AK83" s="64" t="s" ph="1">
        <v>340</v>
      </c>
      <c r="AM83" s="64" t="s" ph="1">
        <v>324</v>
      </c>
      <c r="AN83" s="64" t="s" ph="1">
        <v>272</v>
      </c>
      <c r="AO83" s="64" t="s" ph="1">
        <v>303</v>
      </c>
      <c r="AP83" s="64" t="s" ph="1">
        <v>325</v>
      </c>
      <c r="AQ83" s="64" t="s" ph="1">
        <v>326</v>
      </c>
      <c r="AR83" s="64" t="s" ph="1">
        <v>303</v>
      </c>
      <c r="AS83" s="64" t="s" ph="1">
        <v>449</v>
      </c>
      <c r="AT83" s="64" t="s" ph="1">
        <v>298</v>
      </c>
      <c r="AU83" s="64" t="s" ph="1">
        <v>303</v>
      </c>
      <c r="AV83" s="64" t="s" ph="1">
        <v>450</v>
      </c>
      <c r="AW83" s="64" t="s" ph="1">
        <v>347</v>
      </c>
      <c r="AX83" s="64" t="s" ph="1">
        <v>451</v>
      </c>
    </row>
    <row r="84" spans="34:52" ph="1">
      <c r="AH84" s="64" ph="1">
        <v>4</v>
      </c>
      <c r="AI84" s="64" t="s" ph="1">
        <v>330</v>
      </c>
      <c r="AJ84" s="64" t="s" ph="1">
        <v>270</v>
      </c>
      <c r="AK84" s="64" t="s" ph="1">
        <v>273</v>
      </c>
      <c r="AM84" s="64" t="s" ph="1">
        <v>274</v>
      </c>
      <c r="AN84" s="64" t="s" ph="1">
        <v>267</v>
      </c>
      <c r="AO84" s="64" t="s" ph="1">
        <v>303</v>
      </c>
      <c r="AP84" s="64" t="s" ph="1">
        <v>332</v>
      </c>
      <c r="AQ84" s="64" t="s" ph="1">
        <v>266</v>
      </c>
      <c r="AR84" s="64" t="s" ph="1">
        <v>303</v>
      </c>
      <c r="AS84" s="64" t="s" ph="1">
        <v>332</v>
      </c>
      <c r="AT84" s="64" t="s" ph="1">
        <v>268</v>
      </c>
      <c r="AU84" s="64" t="s" ph="1">
        <v>303</v>
      </c>
      <c r="AY84" s="64" t="s" ph="1">
        <v>260</v>
      </c>
      <c r="AZ84" s="64" t="s" ph="1">
        <v>452</v>
      </c>
    </row>
    <row r="85" spans="34:52" ph="1">
      <c r="AJ85" s="64" t="s" ph="1">
        <v>262</v>
      </c>
      <c r="AK85" s="64" t="s" ph="1">
        <v>266</v>
      </c>
      <c r="AM85" s="64" t="s" ph="1">
        <v>453</v>
      </c>
      <c r="AN85" s="64" t="s" ph="1">
        <v>273</v>
      </c>
      <c r="AO85" s="64" t="s" ph="1">
        <v>303</v>
      </c>
      <c r="AP85" s="64" t="s" ph="1">
        <v>454</v>
      </c>
      <c r="AQ85" s="64" t="s" ph="1">
        <v>269</v>
      </c>
      <c r="AR85" s="64" t="s" ph="1">
        <v>303</v>
      </c>
      <c r="AS85" s="64" t="s" ph="1">
        <v>455</v>
      </c>
      <c r="AT85" s="64" t="s" ph="1">
        <v>269</v>
      </c>
      <c r="AU85" s="64" t="s" ph="1">
        <v>303</v>
      </c>
    </row>
    <row r="86" spans="34:52" ph="1">
      <c r="AJ86" s="64" t="s" ph="1">
        <v>456</v>
      </c>
      <c r="AK86" s="64" t="s" ph="1">
        <v>275</v>
      </c>
      <c r="AM86" s="64" t="s" ph="1">
        <v>457</v>
      </c>
      <c r="AN86" s="64" t="s" ph="1">
        <v>316</v>
      </c>
      <c r="AO86" s="64" t="s" ph="1">
        <v>303</v>
      </c>
      <c r="AP86" s="64" t="s" ph="1">
        <v>458</v>
      </c>
      <c r="AQ86" s="64" t="s" ph="1">
        <v>263</v>
      </c>
      <c r="AR86" s="64" t="s" ph="1">
        <v>303</v>
      </c>
      <c r="AS86" s="64" t="s" ph="1">
        <v>459</v>
      </c>
      <c r="AT86" s="64" t="s" ph="1">
        <v>281</v>
      </c>
      <c r="AU86" s="64" t="s" ph="1">
        <v>303</v>
      </c>
    </row>
    <row r="87" spans="34:52" ph="1">
      <c r="AJ87" s="64" t="s" ph="1">
        <v>460</v>
      </c>
      <c r="AK87" s="64" t="s" ph="1">
        <v>316</v>
      </c>
      <c r="AM87" s="64" t="s" ph="1">
        <v>447</v>
      </c>
      <c r="AN87" s="64" t="s" ph="1">
        <v>461</v>
      </c>
      <c r="AO87" s="64" t="s" ph="1">
        <v>444</v>
      </c>
    </row>
    <row r="88" spans="34:52" ph="1">
      <c r="AH88" s="64" ph="1">
        <v>5</v>
      </c>
      <c r="AI88" s="64" t="s" ph="1">
        <v>333</v>
      </c>
      <c r="AJ88" s="64" t="s" ph="1">
        <v>462</v>
      </c>
      <c r="AK88" s="64" t="s" ph="1">
        <v>316</v>
      </c>
      <c r="AM88" s="64" t="s" ph="1">
        <v>463</v>
      </c>
      <c r="AN88" s="64" t="s" ph="1">
        <v>316</v>
      </c>
      <c r="AO88" s="64" t="s" ph="1">
        <v>303</v>
      </c>
      <c r="AP88" s="64" t="s" ph="1">
        <v>464</v>
      </c>
      <c r="AQ88" s="64" t="s" ph="1">
        <v>266</v>
      </c>
      <c r="AR88" s="64" t="s" ph="1">
        <v>303</v>
      </c>
      <c r="AS88" s="64" t="s" ph="1">
        <v>465</v>
      </c>
      <c r="AT88" s="64" t="s" ph="1">
        <v>316</v>
      </c>
      <c r="AU88" s="64" t="s" ph="1">
        <v>303</v>
      </c>
      <c r="AV88" s="64" t="s" ph="1">
        <v>466</v>
      </c>
      <c r="AW88" s="64" t="s" ph="1">
        <v>271</v>
      </c>
      <c r="AX88" s="64" t="s" ph="1">
        <v>303</v>
      </c>
      <c r="AY88" s="64" t="s" ph="1">
        <v>260</v>
      </c>
      <c r="AZ88" s="64" t="s" ph="1">
        <v>467</v>
      </c>
    </row>
    <row r="89" spans="34:52" ph="1">
      <c r="AJ89" s="64" t="s" ph="1">
        <v>468</v>
      </c>
      <c r="AK89" s="64" t="s" ph="1">
        <v>269</v>
      </c>
      <c r="AM89" s="64" t="s" ph="1">
        <v>469</v>
      </c>
      <c r="AN89" s="64" t="s" ph="1">
        <v>272</v>
      </c>
      <c r="AO89" s="64" t="s" ph="1">
        <v>303</v>
      </c>
      <c r="AP89" s="64" t="s" ph="1">
        <v>470</v>
      </c>
      <c r="AQ89" s="64" t="s" ph="1">
        <v>281</v>
      </c>
      <c r="AR89" s="64" t="s" ph="1">
        <v>303</v>
      </c>
      <c r="AS89" s="64" t="s" ph="1">
        <v>471</v>
      </c>
      <c r="AT89" s="64" t="s" ph="1">
        <v>316</v>
      </c>
      <c r="AU89" s="64" t="s" ph="1">
        <v>303</v>
      </c>
      <c r="AV89" s="64" t="s" ph="1">
        <v>472</v>
      </c>
      <c r="AW89" s="64" t="s" ph="1">
        <v>298</v>
      </c>
      <c r="AX89" s="64" t="s" ph="1">
        <v>331</v>
      </c>
    </row>
    <row r="90" spans="34:52" ph="1">
      <c r="AJ90" s="64" t="s" ph="1">
        <v>473</v>
      </c>
      <c r="AK90" s="64" t="s" ph="1">
        <v>272</v>
      </c>
      <c r="AM90" s="64" t="s" ph="1">
        <v>474</v>
      </c>
      <c r="AN90" s="64" t="s" ph="1">
        <v>269</v>
      </c>
      <c r="AO90" s="64" t="s" ph="1">
        <v>303</v>
      </c>
      <c r="AP90" s="64" t="s" ph="1">
        <v>475</v>
      </c>
      <c r="AQ90" s="64" t="s" ph="1">
        <v>338</v>
      </c>
      <c r="AR90" s="64" t="s" ph="1">
        <v>303</v>
      </c>
      <c r="AS90" s="64" t="s" ph="1">
        <v>476</v>
      </c>
      <c r="AT90" s="64" t="s" ph="1">
        <v>326</v>
      </c>
      <c r="AU90" s="64" t="s" ph="1">
        <v>303</v>
      </c>
      <c r="AV90" s="64" t="s" ph="1">
        <v>477</v>
      </c>
      <c r="AW90" s="64" t="s" ph="1">
        <v>263</v>
      </c>
      <c r="AX90" s="64" t="s" ph="1">
        <v>303</v>
      </c>
    </row>
    <row r="91" spans="34:52" ph="1">
      <c r="AJ91" s="64" t="s" ph="1">
        <v>478</v>
      </c>
      <c r="AK91" s="64" t="s" ph="1">
        <v>316</v>
      </c>
      <c r="AM91" s="64" t="s" ph="1">
        <v>479</v>
      </c>
      <c r="AN91" s="64" t="s" ph="1">
        <v>283</v>
      </c>
      <c r="AO91" s="64" t="s" ph="1">
        <v>303</v>
      </c>
      <c r="AP91" s="64" t="s" ph="1">
        <v>480</v>
      </c>
      <c r="AQ91" s="64" t="s" ph="1">
        <v>263</v>
      </c>
      <c r="AS91" s="64" t="s" ph="1">
        <v>447</v>
      </c>
      <c r="AT91" s="64" t="s" ph="1">
        <v>443</v>
      </c>
      <c r="AU91" s="64" t="s" ph="1">
        <v>444</v>
      </c>
    </row>
    <row r="92" spans="34:52" ph="1">
      <c r="AH92" s="64" ph="1">
        <v>6</v>
      </c>
      <c r="AI92" s="64" t="s" ph="1">
        <v>481</v>
      </c>
      <c r="AJ92" s="64" t="s" ph="1">
        <v>482</v>
      </c>
      <c r="AK92" s="64" t="s" ph="1">
        <v>411</v>
      </c>
      <c r="AM92" s="64" t="s" ph="1">
        <v>483</v>
      </c>
      <c r="AN92" s="64" t="s" ph="1">
        <v>271</v>
      </c>
      <c r="AO92" s="64" t="s" ph="1">
        <v>303</v>
      </c>
      <c r="AP92" s="64" t="s" ph="1">
        <v>484</v>
      </c>
      <c r="AQ92" s="64" t="s" ph="1">
        <v>343</v>
      </c>
      <c r="AR92" s="64" t="s" ph="1">
        <v>303</v>
      </c>
      <c r="AS92" s="64" t="s" ph="1">
        <v>485</v>
      </c>
      <c r="AT92" s="64" t="s" ph="1">
        <v>316</v>
      </c>
      <c r="AU92" s="64" t="s" ph="1">
        <v>303</v>
      </c>
      <c r="AV92" s="64" t="s" ph="1">
        <v>486</v>
      </c>
      <c r="AW92" s="64" t="s" ph="1">
        <v>272</v>
      </c>
      <c r="AX92" s="64" t="s" ph="1">
        <v>303</v>
      </c>
      <c r="AY92" s="64" t="s" ph="1">
        <v>260</v>
      </c>
      <c r="AZ92" s="64" t="s" ph="1">
        <v>467</v>
      </c>
    </row>
    <row r="93" spans="34:52" ph="1">
      <c r="AJ93" s="64" t="s" ph="1">
        <v>487</v>
      </c>
      <c r="AK93" s="64" t="s" ph="1">
        <v>266</v>
      </c>
      <c r="AM93" s="64" t="s" ph="1">
        <v>488</v>
      </c>
      <c r="AN93" s="64" t="s" ph="1">
        <v>271</v>
      </c>
      <c r="AO93" s="64" t="s" ph="1">
        <v>303</v>
      </c>
      <c r="AP93" s="64" t="s" ph="1">
        <v>489</v>
      </c>
      <c r="AQ93" s="64" t="s" ph="1">
        <v>275</v>
      </c>
      <c r="AR93" s="64" t="s" ph="1">
        <v>303</v>
      </c>
      <c r="AS93" s="64" t="s" ph="1">
        <v>490</v>
      </c>
      <c r="AT93" s="64" t="s" ph="1">
        <v>281</v>
      </c>
      <c r="AU93" s="64" t="s" ph="1">
        <v>303</v>
      </c>
      <c r="AV93" s="64" t="s" ph="1">
        <v>491</v>
      </c>
      <c r="AW93" s="64" t="s" ph="1">
        <v>275</v>
      </c>
      <c r="AX93" s="64" t="s" ph="1">
        <v>303</v>
      </c>
    </row>
    <row r="94" spans="34:52" ph="1">
      <c r="AJ94" s="64" t="s" ph="1">
        <v>492</v>
      </c>
      <c r="AK94" s="64" t="s" ph="1">
        <v>338</v>
      </c>
      <c r="AM94" s="64" t="s" ph="1">
        <v>493</v>
      </c>
      <c r="AN94" s="64" t="s" ph="1">
        <v>275</v>
      </c>
      <c r="AO94" s="64" t="s" ph="1">
        <v>303</v>
      </c>
      <c r="AP94" s="64" t="s" ph="1">
        <v>494</v>
      </c>
      <c r="AQ94" s="64" t="s" ph="1">
        <v>283</v>
      </c>
      <c r="AR94" s="64" t="s" ph="1">
        <v>303</v>
      </c>
      <c r="AS94" s="64" t="s" ph="1">
        <v>495</v>
      </c>
      <c r="AT94" s="64" t="s" ph="1">
        <v>269</v>
      </c>
      <c r="AU94" s="64" t="s" ph="1">
        <v>303</v>
      </c>
      <c r="AV94" s="64" t="s" ph="1">
        <v>496</v>
      </c>
      <c r="AW94" s="64" t="s" ph="1">
        <v>269</v>
      </c>
      <c r="AX94" s="64" t="s" ph="1">
        <v>303</v>
      </c>
    </row>
    <row r="95" spans="34:52" ph="1">
      <c r="AJ95" s="64" t="s" ph="1">
        <v>497</v>
      </c>
      <c r="AK95" s="64" t="s" ph="1">
        <v>343</v>
      </c>
    </row>
    <row r="96" spans="34:52" ph="1">
      <c r="AH96" s="64" ph="1">
        <v>7</v>
      </c>
      <c r="AI96" s="64" t="s" ph="1">
        <v>498</v>
      </c>
      <c r="AJ96" s="64" t="s" ph="1">
        <v>497</v>
      </c>
      <c r="AK96" s="64" t="s" ph="1">
        <v>298</v>
      </c>
      <c r="AM96" s="64" t="s" ph="1">
        <v>499</v>
      </c>
      <c r="AN96" s="64" t="s" ph="1">
        <v>272</v>
      </c>
      <c r="AO96" s="64" t="s" ph="1">
        <v>303</v>
      </c>
      <c r="AP96" s="64" t="s" ph="1">
        <v>500</v>
      </c>
      <c r="AQ96" s="64" t="s" ph="1">
        <v>316</v>
      </c>
      <c r="AR96" s="64" t="s" ph="1">
        <v>331</v>
      </c>
      <c r="AS96" s="64" t="s" ph="1">
        <v>501</v>
      </c>
      <c r="AT96" s="64" t="s" ph="1">
        <v>275</v>
      </c>
      <c r="AU96" s="64" t="s" ph="1">
        <v>331</v>
      </c>
      <c r="AV96" s="64" t="s" ph="1">
        <v>502</v>
      </c>
      <c r="AW96" s="64" t="s" ph="1">
        <v>271</v>
      </c>
      <c r="AX96" s="64" t="s" ph="1">
        <v>331</v>
      </c>
      <c r="AY96" s="64" t="s" ph="1">
        <v>260</v>
      </c>
      <c r="AZ96" s="64" t="s" ph="1">
        <v>503</v>
      </c>
    </row>
    <row r="97" spans="33:52" ph="1">
      <c r="AJ97" s="64" t="s" ph="1">
        <v>504</v>
      </c>
      <c r="AK97" s="64" t="s" ph="1">
        <v>326</v>
      </c>
      <c r="AM97" s="64" t="s" ph="1">
        <v>505</v>
      </c>
      <c r="AN97" s="64" t="s" ph="1">
        <v>269</v>
      </c>
      <c r="AO97" s="64" t="s" ph="1">
        <v>303</v>
      </c>
      <c r="AP97" s="64" t="s" ph="1">
        <v>506</v>
      </c>
      <c r="AQ97" s="64" t="s" ph="1">
        <v>263</v>
      </c>
      <c r="AR97" s="64" t="s" ph="1">
        <v>331</v>
      </c>
      <c r="AS97" s="64" t="s" ph="1">
        <v>507</v>
      </c>
      <c r="AT97" s="64" t="s" ph="1">
        <v>266</v>
      </c>
      <c r="AU97" s="64" t="s" ph="1">
        <v>331</v>
      </c>
      <c r="AV97" s="64" t="s" ph="1">
        <v>508</v>
      </c>
      <c r="AW97" s="64" t="s" ph="1">
        <v>272</v>
      </c>
      <c r="AX97" s="64" t="s" ph="1">
        <v>331</v>
      </c>
    </row>
    <row r="98" spans="33:52" ph="1">
      <c r="AJ98" s="64" t="s" ph="1">
        <v>509</v>
      </c>
      <c r="AK98" s="64" t="s" ph="1">
        <v>275</v>
      </c>
      <c r="AM98" s="64" t="s" ph="1">
        <v>510</v>
      </c>
      <c r="AN98" s="64" t="s" ph="1">
        <v>283</v>
      </c>
      <c r="AO98" s="64" t="s" ph="1">
        <v>303</v>
      </c>
      <c r="AP98" s="64" t="s" ph="1">
        <v>511</v>
      </c>
      <c r="AQ98" s="64" t="s" ph="1">
        <v>263</v>
      </c>
      <c r="AR98" s="64" t="s" ph="1">
        <v>331</v>
      </c>
      <c r="AS98" s="64" t="s" ph="1">
        <v>512</v>
      </c>
      <c r="AT98" s="64" t="s" ph="1">
        <v>343</v>
      </c>
      <c r="AU98" s="64" t="s" ph="1">
        <v>331</v>
      </c>
      <c r="AV98" s="64" t="s" ph="1">
        <v>513</v>
      </c>
      <c r="AW98" s="64" t="s" ph="1">
        <v>266</v>
      </c>
      <c r="AX98" s="64" t="s" ph="1">
        <v>331</v>
      </c>
    </row>
    <row r="99" spans="33:52" ph="1">
      <c r="AH99" s="64" ph="1">
        <v>8</v>
      </c>
      <c r="AI99" s="64" t="s" ph="1">
        <v>514</v>
      </c>
      <c r="AJ99" s="64" t="s" ph="1">
        <v>515</v>
      </c>
      <c r="AK99" s="64" t="s" ph="1">
        <v>411</v>
      </c>
      <c r="AM99" s="64" t="s" ph="1">
        <v>516</v>
      </c>
      <c r="AN99" s="64" t="s" ph="1">
        <v>298</v>
      </c>
      <c r="AO99" s="64" t="s" ph="1">
        <v>303</v>
      </c>
      <c r="AP99" s="64" t="s" ph="1">
        <v>517</v>
      </c>
      <c r="AQ99" s="64" t="s" ph="1">
        <v>268</v>
      </c>
      <c r="AR99" s="64" t="s" ph="1">
        <v>331</v>
      </c>
      <c r="AS99" s="64" t="s" ph="1">
        <v>518</v>
      </c>
      <c r="AT99" s="64" t="s" ph="1">
        <v>283</v>
      </c>
      <c r="AU99" s="64" t="s" ph="1">
        <v>331</v>
      </c>
      <c r="AV99" s="64" t="s" ph="1">
        <v>519</v>
      </c>
      <c r="AW99" s="64" t="s" ph="1">
        <v>268</v>
      </c>
      <c r="AX99" s="64" t="s" ph="1">
        <v>331</v>
      </c>
      <c r="AY99" s="64" t="s" ph="1">
        <v>260</v>
      </c>
      <c r="AZ99" s="64" t="s" ph="1">
        <v>520</v>
      </c>
    </row>
    <row r="100" spans="33:52" ph="1">
      <c r="AJ100" s="64" t="s" ph="1">
        <v>521</v>
      </c>
      <c r="AK100" s="64" t="s" ph="1">
        <v>266</v>
      </c>
      <c r="AM100" s="64" t="s" ph="1">
        <v>522</v>
      </c>
      <c r="AN100" s="64" t="s" ph="1">
        <v>338</v>
      </c>
      <c r="AO100" s="64" t="s" ph="1">
        <v>303</v>
      </c>
      <c r="AP100" s="64" t="s" ph="1">
        <v>523</v>
      </c>
      <c r="AQ100" s="64" t="s" ph="1">
        <v>344</v>
      </c>
      <c r="AR100" s="64" t="s" ph="1">
        <v>331</v>
      </c>
      <c r="AS100" s="64" t="s" ph="1">
        <v>524</v>
      </c>
      <c r="AT100" s="64" t="s" ph="1">
        <v>411</v>
      </c>
      <c r="AU100" s="64" t="s" ph="1">
        <v>303</v>
      </c>
      <c r="AV100" s="64" t="s" ph="1">
        <v>525</v>
      </c>
      <c r="AW100" s="64" t="s" ph="1">
        <v>411</v>
      </c>
      <c r="AX100" s="64" t="s" ph="1">
        <v>303</v>
      </c>
    </row>
    <row r="101" spans="33:52" ph="1">
      <c r="AJ101" s="64" t="s" ph="1">
        <v>526</v>
      </c>
      <c r="AK101" s="64" t="s" ph="1">
        <v>411</v>
      </c>
      <c r="AM101" s="64" t="s" ph="1">
        <v>527</v>
      </c>
      <c r="AN101" s="64" t="s" ph="1">
        <v>269</v>
      </c>
      <c r="AO101" s="64" t="s" ph="1">
        <v>303</v>
      </c>
      <c r="AP101" s="64" t="s" ph="1">
        <v>528</v>
      </c>
      <c r="AQ101" s="64" t="s" ph="1">
        <v>281</v>
      </c>
      <c r="AR101" s="64" t="s" ph="1">
        <v>331</v>
      </c>
      <c r="AS101" s="64" t="s" ph="1">
        <v>529</v>
      </c>
      <c r="AT101" s="64" t="s" ph="1">
        <v>338</v>
      </c>
      <c r="AU101" s="64" t="s" ph="1">
        <v>331</v>
      </c>
      <c r="AV101" s="64" t="s" ph="1">
        <v>530</v>
      </c>
      <c r="AW101" s="64" t="s" ph="1">
        <v>269</v>
      </c>
      <c r="AX101" s="64" t="s" ph="1">
        <v>303</v>
      </c>
    </row>
    <row r="102" spans="33:52" ph="1">
      <c r="AJ102" s="64" t="s" ph="1">
        <v>531</v>
      </c>
      <c r="AK102" s="64" t="s" ph="1">
        <v>266</v>
      </c>
      <c r="AM102" s="64" t="s" ph="1">
        <v>532</v>
      </c>
      <c r="AN102" s="64" t="s" ph="1">
        <v>275</v>
      </c>
      <c r="AO102" s="64" t="s" ph="1">
        <v>303</v>
      </c>
      <c r="AP102" s="64" t="s" ph="1">
        <v>533</v>
      </c>
      <c r="AQ102" s="64" t="s" ph="1">
        <v>281</v>
      </c>
      <c r="AR102" s="64" t="s" ph="1">
        <v>303</v>
      </c>
      <c r="AS102" s="64" t="s" ph="1">
        <v>534</v>
      </c>
      <c r="AT102" s="64" t="s" ph="1">
        <v>298</v>
      </c>
      <c r="AU102" s="64" t="s" ph="1">
        <v>303</v>
      </c>
      <c r="AV102" s="64" t="s" ph="1">
        <v>535</v>
      </c>
      <c r="AW102" s="64" t="s" ph="1">
        <v>316</v>
      </c>
      <c r="AX102" s="64" t="s" ph="1">
        <v>303</v>
      </c>
    </row>
    <row r="103" spans="33:52" ph="1">
      <c r="AH103" s="64" ph="1">
        <v>9</v>
      </c>
      <c r="AI103" s="64" t="s" ph="1">
        <v>536</v>
      </c>
      <c r="AJ103" s="64" t="s" ph="1">
        <v>537</v>
      </c>
      <c r="AK103" s="64" t="s" ph="1">
        <v>411</v>
      </c>
      <c r="AM103" s="64" t="s" ph="1">
        <v>538</v>
      </c>
      <c r="AN103" s="64" t="s" ph="1">
        <v>326</v>
      </c>
      <c r="AO103" s="64" t="s" ph="1">
        <v>303</v>
      </c>
      <c r="AP103" s="64" t="s" ph="1">
        <v>380</v>
      </c>
      <c r="AQ103" s="64" t="s" ph="1">
        <v>269</v>
      </c>
      <c r="AR103" s="64" t="s" ph="1">
        <v>303</v>
      </c>
      <c r="AS103" s="64" t="s" ph="1">
        <v>614</v>
      </c>
      <c r="AT103" s="64" t="s" ph="1">
        <v>411</v>
      </c>
      <c r="AU103" s="64" t="s" ph="1">
        <v>303</v>
      </c>
      <c r="AY103" s="64" t="s" ph="1">
        <v>260</v>
      </c>
      <c r="AZ103" s="64" t="s" ph="1">
        <v>268</v>
      </c>
    </row>
    <row r="104" spans="33:52" ph="1">
      <c r="AZ104" s="64" t="s" ph="1">
        <v>539</v>
      </c>
    </row>
    <row r="105" spans="33:52" ph="1">
      <c r="AG105" s="64" t="s" ph="1">
        <v>339</v>
      </c>
      <c r="AI105" s="64" t="s" ph="1">
        <v>253</v>
      </c>
      <c r="AJ105" s="64" t="s" ph="1">
        <v>254</v>
      </c>
      <c r="AK105" s="64" t="s" ph="1">
        <v>255</v>
      </c>
      <c r="AM105" s="64" t="s" ph="1">
        <v>254</v>
      </c>
      <c r="AN105" s="64" t="s" ph="1">
        <v>255</v>
      </c>
      <c r="AO105" s="64" t="s" ph="1">
        <v>256</v>
      </c>
      <c r="AP105" s="64" t="s" ph="1">
        <v>254</v>
      </c>
      <c r="AQ105" s="64" t="s" ph="1">
        <v>255</v>
      </c>
      <c r="AR105" s="64" t="s" ph="1">
        <v>256</v>
      </c>
      <c r="AS105" s="64" t="s" ph="1">
        <v>254</v>
      </c>
      <c r="AT105" s="64" t="s" ph="1">
        <v>255</v>
      </c>
      <c r="AU105" s="64" t="s" ph="1">
        <v>256</v>
      </c>
      <c r="AV105" s="64" t="s" ph="1">
        <v>254</v>
      </c>
      <c r="AW105" s="64" t="s" ph="1">
        <v>255</v>
      </c>
      <c r="AX105" s="64" t="s" ph="1">
        <v>256</v>
      </c>
      <c r="AZ105" s="64" t="s" ph="1">
        <v>257</v>
      </c>
    </row>
    <row r="106" spans="33:52" ph="1">
      <c r="AH106" s="64" ph="1">
        <v>1</v>
      </c>
      <c r="AI106" s="64" t="s" ph="1">
        <v>540</v>
      </c>
      <c r="AJ106" s="64" t="s" ph="1">
        <v>614</v>
      </c>
      <c r="AK106" s="64" t="s" ph="1">
        <v>275</v>
      </c>
      <c r="AZ106" s="64" t="s" ph="1">
        <v>275</v>
      </c>
    </row>
    <row r="107" spans="33:52" ph="1">
      <c r="AH107" s="64" ph="1">
        <v>2</v>
      </c>
      <c r="AI107" s="64" t="s" ph="1">
        <v>541</v>
      </c>
      <c r="AJ107" s="64" t="s" ph="1">
        <v>542</v>
      </c>
      <c r="AK107" s="64" t="s" ph="1">
        <v>272</v>
      </c>
      <c r="AM107" s="64" t="s" ph="1">
        <v>378</v>
      </c>
      <c r="AN107" s="64" t="s" ph="1">
        <v>543</v>
      </c>
      <c r="AO107" s="64" t="s" ph="1">
        <v>544</v>
      </c>
      <c r="AP107" s="64" t="s" ph="1">
        <v>380</v>
      </c>
      <c r="AQ107" s="64" t="s" ph="1">
        <v>348</v>
      </c>
      <c r="AR107" s="64" t="s" ph="1">
        <v>544</v>
      </c>
      <c r="AS107" s="64" t="s" ph="1">
        <v>614</v>
      </c>
      <c r="AT107" s="64" t="s" ph="1">
        <v>543</v>
      </c>
      <c r="AU107" s="64" t="s" ph="1">
        <v>544</v>
      </c>
      <c r="AY107" s="64" t="s" ph="1">
        <v>260</v>
      </c>
      <c r="AZ107" s="64" t="s" ph="1">
        <v>624</v>
      </c>
    </row>
    <row r="108" spans="33:52" ph="1">
      <c r="AH108" s="64" ph="1">
        <v>3</v>
      </c>
      <c r="AI108" s="64" t="s" ph="1">
        <v>545</v>
      </c>
      <c r="AY108" s="64" t="s" ph="1">
        <v>260</v>
      </c>
      <c r="AZ108" s="64" t="s" ph="1">
        <v>411</v>
      </c>
    </row>
    <row r="109" spans="33:52" ph="1">
      <c r="AH109" s="64" ph="1">
        <v>4</v>
      </c>
      <c r="AI109" s="64" t="s" ph="1">
        <v>546</v>
      </c>
      <c r="AY109" s="64" t="s" ph="1">
        <v>260</v>
      </c>
      <c r="AZ109" s="64" t="s" ph="1">
        <v>411</v>
      </c>
    </row>
    <row r="110" spans="33:52" ph="1">
      <c r="AH110" s="64" ph="1">
        <v>5</v>
      </c>
      <c r="AI110" s="64" t="s" ph="1">
        <v>547</v>
      </c>
      <c r="AY110" s="64" t="s" ph="1">
        <v>260</v>
      </c>
      <c r="AZ110" s="64" t="s" ph="1">
        <v>411</v>
      </c>
    </row>
    <row r="111" spans="33:52" ph="1">
      <c r="AH111" s="64" ph="1">
        <v>6</v>
      </c>
      <c r="AI111" s="64" t="s" ph="1">
        <v>625</v>
      </c>
      <c r="AJ111" s="64" t="s" ph="1">
        <v>530</v>
      </c>
      <c r="AK111" s="64" t="s" ph="1">
        <v>269</v>
      </c>
      <c r="AM111" s="64" t="s" ph="1">
        <v>531</v>
      </c>
      <c r="AN111" s="64" t="s" ph="1">
        <v>263</v>
      </c>
      <c r="AO111" s="64" t="s" ph="1">
        <v>544</v>
      </c>
      <c r="AP111" s="64" t="s" ph="1">
        <v>532</v>
      </c>
      <c r="AQ111" s="64" t="s" ph="1">
        <v>272</v>
      </c>
      <c r="AR111" s="64" t="s" ph="1">
        <v>544</v>
      </c>
      <c r="AS111" s="64" t="s" ph="1">
        <v>533</v>
      </c>
      <c r="AT111" s="64" t="s" ph="1">
        <v>281</v>
      </c>
      <c r="AU111" s="64" t="s" ph="1">
        <v>544</v>
      </c>
      <c r="AV111" s="64" t="s" ph="1">
        <v>534</v>
      </c>
      <c r="AW111" s="64" t="s" ph="1">
        <v>271</v>
      </c>
      <c r="AX111" s="64" t="s" ph="1">
        <v>544</v>
      </c>
      <c r="AY111" s="64" t="s" ph="1">
        <v>260</v>
      </c>
      <c r="AZ111" s="64" t="s" ph="1">
        <v>548</v>
      </c>
    </row>
    <row r="112" spans="33:52" ph="1">
      <c r="AJ112" s="64" t="s" ph="1">
        <v>535</v>
      </c>
      <c r="AK112" s="64" t="s" ph="1">
        <v>316</v>
      </c>
      <c r="AM112" s="64" t="s" ph="1">
        <v>537</v>
      </c>
      <c r="AN112" s="64" t="s" ph="1">
        <v>340</v>
      </c>
      <c r="AO112" s="64" t="s" ph="1">
        <v>544</v>
      </c>
      <c r="AP112" s="64" t="s" ph="1">
        <v>538</v>
      </c>
      <c r="AQ112" s="64" t="s" ph="1">
        <v>549</v>
      </c>
      <c r="AR112" s="64" t="s" ph="1">
        <v>544</v>
      </c>
      <c r="AS112" s="64" t="s" ph="1">
        <v>550</v>
      </c>
      <c r="AT112" s="64" t="s" ph="1">
        <v>292</v>
      </c>
      <c r="AU112" s="64" t="s" ph="1">
        <v>544</v>
      </c>
      <c r="AV112" s="64" t="s" ph="1">
        <v>551</v>
      </c>
      <c r="AW112" s="64" t="s" ph="1">
        <v>338</v>
      </c>
      <c r="AX112" s="64" t="s" ph="1">
        <v>544</v>
      </c>
    </row>
    <row r="113" spans="33:52" ph="1">
      <c r="AH113" s="64" ph="1">
        <v>7</v>
      </c>
      <c r="AI113" s="64" t="s" ph="1">
        <v>552</v>
      </c>
      <c r="AJ113" s="64" t="s" ph="1">
        <v>633</v>
      </c>
      <c r="AK113" s="64" t="s" ph="1">
        <v>638</v>
      </c>
      <c r="AY113" s="64" t="s" ph="1">
        <v>260</v>
      </c>
      <c r="AZ113" s="64" t="s" ph="1">
        <v>638</v>
      </c>
    </row>
    <row r="114" spans="33:52" ph="1">
      <c r="AH114" s="64" ph="1">
        <v>8</v>
      </c>
      <c r="AI114" s="64" t="s" ph="1">
        <v>553</v>
      </c>
      <c r="AJ114" s="64" t="s" ph="1">
        <v>633</v>
      </c>
      <c r="AK114" s="64" t="s" ph="1">
        <v>639</v>
      </c>
      <c r="AY114" s="64" t="s" ph="1">
        <v>260</v>
      </c>
      <c r="AZ114" s="64" t="s" ph="1">
        <v>639</v>
      </c>
    </row>
    <row r="115" spans="33:52" ph="1">
      <c r="AH115" s="64" ph="1">
        <v>9</v>
      </c>
      <c r="AI115" s="64" t="s" ph="1">
        <v>554</v>
      </c>
      <c r="AJ115" s="64" t="s" ph="1">
        <v>633</v>
      </c>
      <c r="AK115" s="64" t="s" ph="1">
        <v>639</v>
      </c>
      <c r="AY115" s="64" t="s" ph="1">
        <v>260</v>
      </c>
      <c r="AZ115" s="64" t="s" ph="1">
        <v>639</v>
      </c>
    </row>
    <row r="116" spans="33:52" ph="1">
      <c r="AH116" s="64" ph="1">
        <v>10</v>
      </c>
      <c r="AI116" s="64" t="s" ph="1">
        <v>555</v>
      </c>
      <c r="AJ116" s="64" t="s" ph="1">
        <v>633</v>
      </c>
      <c r="AK116" s="64" t="s" ph="1">
        <v>639</v>
      </c>
      <c r="AY116" s="64" t="s" ph="1">
        <v>260</v>
      </c>
      <c r="AZ116" s="64" t="s" ph="1">
        <v>639</v>
      </c>
    </row>
    <row r="117" spans="33:52" ph="1">
      <c r="AH117" s="64" ph="1">
        <v>11</v>
      </c>
      <c r="AI117" s="64" t="s" ph="1">
        <v>556</v>
      </c>
      <c r="AJ117" s="64" t="s" ph="1">
        <v>633</v>
      </c>
      <c r="AK117" s="64" t="s" ph="1">
        <v>639</v>
      </c>
      <c r="AY117" s="64" t="s" ph="1">
        <v>260</v>
      </c>
      <c r="AZ117" s="64" t="s" ph="1">
        <v>639</v>
      </c>
    </row>
    <row r="118" spans="33:52" ph="1">
      <c r="AZ118" s="64" t="s" ph="1">
        <v>640</v>
      </c>
    </row>
    <row r="119" spans="33:52" ph="1">
      <c r="AI119" s="64" t="s" ph="1">
        <v>253</v>
      </c>
      <c r="AJ119" s="64" t="s" ph="1">
        <v>254</v>
      </c>
      <c r="AK119" s="64" t="s" ph="1">
        <v>255</v>
      </c>
      <c r="AM119" s="64" t="s" ph="1">
        <v>254</v>
      </c>
      <c r="AN119" s="64" t="s" ph="1">
        <v>255</v>
      </c>
      <c r="AO119" s="64" t="s" ph="1">
        <v>256</v>
      </c>
      <c r="AP119" s="64" t="s" ph="1">
        <v>254</v>
      </c>
      <c r="AQ119" s="64" t="s" ph="1">
        <v>255</v>
      </c>
      <c r="AR119" s="64" t="s" ph="1">
        <v>256</v>
      </c>
      <c r="AS119" s="64" t="s" ph="1">
        <v>254</v>
      </c>
      <c r="AT119" s="64" t="s" ph="1">
        <v>255</v>
      </c>
      <c r="AU119" s="64" t="s" ph="1">
        <v>256</v>
      </c>
      <c r="AV119" s="64" t="s" ph="1">
        <v>254</v>
      </c>
      <c r="AW119" s="64" t="s" ph="1">
        <v>255</v>
      </c>
      <c r="AX119" s="64" t="s" ph="1">
        <v>256</v>
      </c>
      <c r="AY119" s="64" t="s" ph="1">
        <v>255</v>
      </c>
      <c r="AZ119" s="64" t="s" ph="1">
        <v>257</v>
      </c>
    </row>
    <row r="120" spans="33:52" ph="1">
      <c r="AG120" s="64" t="s" ph="1">
        <v>397</v>
      </c>
      <c r="AH120" s="64" ph="1">
        <v>1</v>
      </c>
      <c r="AI120" s="64" t="s" ph="1">
        <v>557</v>
      </c>
      <c r="AJ120" s="64" t="s" ph="1">
        <v>631</v>
      </c>
      <c r="AK120" s="64" t="s" ph="1">
        <v>411</v>
      </c>
      <c r="AY120" s="64" t="s" ph="1">
        <v>260</v>
      </c>
      <c r="AZ120" s="64" t="s" ph="1">
        <v>411</v>
      </c>
    </row>
    <row r="121" spans="33:52" ph="1">
      <c r="AH121" s="64" ph="1">
        <v>2</v>
      </c>
      <c r="AI121" s="64" t="s" ph="1">
        <v>558</v>
      </c>
      <c r="AY121" s="64" t="s" ph="1">
        <v>260</v>
      </c>
      <c r="AZ121" s="64" t="s" ph="1">
        <v>411</v>
      </c>
    </row>
    <row r="122" spans="33:52" ph="1">
      <c r="AH122" s="64" ph="1">
        <v>3</v>
      </c>
      <c r="AI122" s="64" t="s" ph="1">
        <v>559</v>
      </c>
      <c r="AJ122" s="64" t="s" ph="1">
        <v>614</v>
      </c>
      <c r="AK122" s="64" t="s" ph="1">
        <v>626</v>
      </c>
      <c r="AM122" s="64" t="s" ph="1">
        <v>641</v>
      </c>
      <c r="AN122" s="64" t="s" ph="1">
        <v>634</v>
      </c>
      <c r="AO122" s="64" t="s" ph="1">
        <v>109</v>
      </c>
      <c r="AY122" s="64" t="s" ph="1">
        <v>260</v>
      </c>
      <c r="AZ122" s="64" t="s" ph="1">
        <v>623</v>
      </c>
    </row>
    <row r="123" spans="33:52" ph="1">
      <c r="AY123" s="64" t="s" ph="1">
        <v>260</v>
      </c>
      <c r="AZ123" s="64" t="s" ph="1">
        <v>623</v>
      </c>
    </row>
    <row r="124" spans="33:52" ph="1">
      <c r="AG124" s="64" t="s" ph="1">
        <v>400</v>
      </c>
      <c r="AH124" s="64" ph="1">
        <v>4</v>
      </c>
      <c r="AI124" s="64" t="s" ph="1">
        <v>560</v>
      </c>
      <c r="AJ124" s="64" t="s" ph="1">
        <v>561</v>
      </c>
      <c r="AK124" s="64" t="s" ph="1">
        <v>562</v>
      </c>
      <c r="AY124" s="64" t="s" ph="1">
        <v>260</v>
      </c>
      <c r="AZ124" s="64" t="s" ph="1">
        <v>562</v>
      </c>
    </row>
    <row r="125" spans="33:52" ph="1">
      <c r="AH125" s="64" ph="1">
        <v>5</v>
      </c>
      <c r="AI125" s="64" t="s" ph="1">
        <v>563</v>
      </c>
      <c r="AJ125" s="64" t="s" ph="1">
        <v>561</v>
      </c>
      <c r="AK125" s="64" t="s" ph="1">
        <v>562</v>
      </c>
      <c r="AY125" s="64" t="s" ph="1">
        <v>260</v>
      </c>
      <c r="AZ125" s="64" t="s" ph="1">
        <v>562</v>
      </c>
    </row>
    <row r="126" spans="33:52" ph="1">
      <c r="AH126" s="64" ph="1">
        <v>6</v>
      </c>
      <c r="AI126" s="64" t="s" ph="1">
        <v>564</v>
      </c>
      <c r="AJ126" s="64" t="s" ph="1">
        <v>633</v>
      </c>
      <c r="AK126" s="64" t="s" ph="1">
        <v>642</v>
      </c>
      <c r="AY126" s="64" t="s" ph="1">
        <v>260</v>
      </c>
      <c r="AZ126" s="64" t="s" ph="1">
        <v>642</v>
      </c>
    </row>
    <row r="127" spans="33:52" ph="1">
      <c r="AH127" s="64" ph="1">
        <v>7</v>
      </c>
      <c r="AI127" s="64" t="s" ph="1">
        <v>565</v>
      </c>
      <c r="AJ127" s="64" t="s" ph="1">
        <v>633</v>
      </c>
      <c r="AK127" s="64" t="s" ph="1">
        <v>643</v>
      </c>
      <c r="AY127" s="64" t="s" ph="1">
        <v>260</v>
      </c>
      <c r="AZ127" s="64" t="s" ph="1">
        <v>643</v>
      </c>
    </row>
    <row r="128" spans="33:52" ph="1">
      <c r="AH128" s="64" ph="1">
        <v>8</v>
      </c>
      <c r="AI128" s="64" t="s" ph="1">
        <v>566</v>
      </c>
      <c r="AY128" s="64" t="s" ph="1">
        <v>260</v>
      </c>
      <c r="AZ128" s="64" t="s" ph="1">
        <v>411</v>
      </c>
    </row>
    <row r="129" spans="33:52" ph="1">
      <c r="AH129" s="64" ph="1">
        <v>9</v>
      </c>
      <c r="AI129" s="64" t="s" ph="1">
        <v>567</v>
      </c>
      <c r="AY129" s="64" t="s" ph="1">
        <v>260</v>
      </c>
      <c r="AZ129" s="64" t="s" ph="1">
        <v>411</v>
      </c>
    </row>
    <row r="130" spans="33:52" ph="1">
      <c r="AH130" s="64" ph="1">
        <v>10</v>
      </c>
      <c r="AI130" s="64" t="s" ph="1">
        <v>568</v>
      </c>
      <c r="AY130" s="64" t="s" ph="1">
        <v>260</v>
      </c>
      <c r="AZ130" s="64" t="s" ph="1">
        <v>411</v>
      </c>
    </row>
    <row r="131" spans="33:52" ph="1">
      <c r="AH131" s="64" ph="1">
        <v>11</v>
      </c>
      <c r="AI131" s="64" t="s" ph="1">
        <v>569</v>
      </c>
      <c r="AJ131" s="64" t="s" ph="1">
        <v>627</v>
      </c>
      <c r="AK131" s="64" t="s" ph="1">
        <v>623</v>
      </c>
      <c r="AY131" s="64" t="s" ph="1">
        <v>260</v>
      </c>
      <c r="AZ131" s="64" t="s" ph="1">
        <v>623</v>
      </c>
    </row>
    <row r="132" spans="33:52" ph="1">
      <c r="AH132" s="64" ph="1">
        <v>12</v>
      </c>
      <c r="AI132" s="64" t="s" ph="1">
        <v>570</v>
      </c>
      <c r="AJ132" s="64" t="s" ph="1">
        <v>627</v>
      </c>
      <c r="AK132" s="64" t="s" ph="1">
        <v>562</v>
      </c>
      <c r="AY132" s="64" t="s" ph="1">
        <v>260</v>
      </c>
      <c r="AZ132" s="64" t="s" ph="1">
        <v>562</v>
      </c>
    </row>
    <row r="133" spans="33:52" ph="1">
      <c r="AH133" s="64" ph="1">
        <v>13</v>
      </c>
      <c r="AI133" s="64" t="s" ph="1">
        <v>571</v>
      </c>
      <c r="AJ133" s="64" t="s" ph="1">
        <v>627</v>
      </c>
      <c r="AK133" s="64" t="s" ph="1">
        <v>628</v>
      </c>
      <c r="AY133" s="64" t="s" ph="1">
        <v>260</v>
      </c>
      <c r="AZ133" s="64" t="s" ph="1">
        <v>628</v>
      </c>
    </row>
    <row r="134" spans="33:52" ph="1">
      <c r="AH134" s="64" ph="1">
        <v>14</v>
      </c>
      <c r="AI134" s="64" t="s" ph="1">
        <v>572</v>
      </c>
      <c r="AJ134" s="64" t="s" ph="1">
        <v>627</v>
      </c>
      <c r="AK134" s="64" t="s" ph="1">
        <v>629</v>
      </c>
      <c r="AY134" s="64" t="s" ph="1">
        <v>260</v>
      </c>
      <c r="AZ134" s="64" t="s" ph="1">
        <v>629</v>
      </c>
    </row>
    <row r="135" spans="33:52" ph="1">
      <c r="AH135" s="64" ph="1">
        <v>15</v>
      </c>
      <c r="AI135" s="64" t="s" ph="1">
        <v>573</v>
      </c>
      <c r="AJ135" s="64" t="s" ph="1">
        <v>627</v>
      </c>
      <c r="AK135" s="64" t="s" ph="1">
        <v>630</v>
      </c>
      <c r="AY135" s="64" t="s" ph="1">
        <v>260</v>
      </c>
      <c r="AZ135" s="64" t="s" ph="1">
        <v>630</v>
      </c>
    </row>
    <row r="136" spans="33:52" ph="1">
      <c r="AZ136" s="64" t="s" ph="1">
        <v>644</v>
      </c>
    </row>
    <row r="137" spans="33:52" ph="1">
      <c r="AG137" s="64" t="s" ph="1">
        <v>334</v>
      </c>
      <c r="AI137" s="64" t="s" ph="1">
        <v>253</v>
      </c>
      <c r="AJ137" s="64" t="s" ph="1">
        <v>254</v>
      </c>
      <c r="AK137" s="64" t="s" ph="1">
        <v>255</v>
      </c>
      <c r="AM137" s="64" t="s" ph="1">
        <v>254</v>
      </c>
      <c r="AN137" s="64" t="s" ph="1">
        <v>255</v>
      </c>
      <c r="AO137" s="64" t="s" ph="1">
        <v>256</v>
      </c>
      <c r="AP137" s="64" t="s" ph="1">
        <v>254</v>
      </c>
      <c r="AQ137" s="64" t="s" ph="1">
        <v>255</v>
      </c>
      <c r="AR137" s="64" t="s" ph="1">
        <v>256</v>
      </c>
      <c r="AS137" s="64" t="s" ph="1">
        <v>254</v>
      </c>
      <c r="AT137" s="64" t="s" ph="1">
        <v>255</v>
      </c>
      <c r="AU137" s="64" t="s" ph="1">
        <v>256</v>
      </c>
      <c r="AV137" s="64" t="s" ph="1">
        <v>254</v>
      </c>
      <c r="AW137" s="64" t="s" ph="1">
        <v>255</v>
      </c>
      <c r="AX137" s="64" t="s" ph="1">
        <v>256</v>
      </c>
      <c r="AY137" s="64" t="s" ph="1">
        <v>255</v>
      </c>
      <c r="AZ137" s="64" t="s" ph="1">
        <v>257</v>
      </c>
    </row>
    <row r="138" spans="33:52" ph="1">
      <c r="AH138" s="64" ph="1">
        <v>1</v>
      </c>
      <c r="AI138" s="64" t="s" ph="1">
        <v>574</v>
      </c>
      <c r="AJ138" s="64" t="s" ph="1">
        <v>575</v>
      </c>
      <c r="AK138" s="64" t="s" ph="1">
        <v>576</v>
      </c>
      <c r="AY138" s="64" t="s" ph="1">
        <v>260</v>
      </c>
      <c r="AZ138" s="64" t="s" ph="1">
        <v>576</v>
      </c>
    </row>
    <row r="139" spans="33:52" ph="1">
      <c r="AH139" s="64" ph="1">
        <v>2</v>
      </c>
      <c r="AI139" s="64" t="s" ph="1">
        <v>577</v>
      </c>
      <c r="AJ139" s="64" t="s" ph="1">
        <v>633</v>
      </c>
      <c r="AK139" s="64" t="s" ph="1">
        <v>645</v>
      </c>
      <c r="AY139" s="64" t="s" ph="1">
        <v>260</v>
      </c>
      <c r="AZ139" s="64" t="s" ph="1">
        <v>645</v>
      </c>
    </row>
    <row r="140" spans="33:52" ph="1">
      <c r="AH140" s="64" ph="1">
        <v>3</v>
      </c>
      <c r="AI140" s="64" t="s" ph="1">
        <v>578</v>
      </c>
      <c r="AJ140" s="64" t="s" ph="1">
        <v>531</v>
      </c>
      <c r="AK140" s="64" t="s" ph="1">
        <v>343</v>
      </c>
      <c r="AM140" s="64" t="s" ph="1">
        <v>532</v>
      </c>
      <c r="AN140" s="64" t="s" ph="1">
        <v>263</v>
      </c>
      <c r="AO140" s="64" t="s" ph="1">
        <v>579</v>
      </c>
      <c r="AP140" s="64" t="s" ph="1">
        <v>533</v>
      </c>
      <c r="AQ140" s="64" t="s" ph="1">
        <v>280</v>
      </c>
      <c r="AR140" s="64" t="s" ph="1">
        <v>579</v>
      </c>
      <c r="AS140" s="64" t="s" ph="1">
        <v>534</v>
      </c>
      <c r="AT140" s="64" t="s" ph="1">
        <v>273</v>
      </c>
      <c r="AU140" s="64" t="s" ph="1">
        <v>579</v>
      </c>
      <c r="AV140" s="64" t="s" ph="1">
        <v>535</v>
      </c>
      <c r="AW140" s="64" t="s" ph="1">
        <v>266</v>
      </c>
      <c r="AX140" s="64" t="s" ph="1">
        <v>579</v>
      </c>
      <c r="AY140" s="64" t="s" ph="1">
        <v>260</v>
      </c>
      <c r="AZ140" s="64" t="s" ph="1">
        <v>335</v>
      </c>
    </row>
    <row r="141" spans="33:52" ph="1">
      <c r="AJ141" s="64" t="s" ph="1">
        <v>537</v>
      </c>
      <c r="AK141" s="64" t="s" ph="1">
        <v>266</v>
      </c>
      <c r="AM141" s="64" t="s" ph="1">
        <v>538</v>
      </c>
      <c r="AN141" s="64" t="s" ph="1">
        <v>269</v>
      </c>
      <c r="AO141" s="64" t="s" ph="1">
        <v>579</v>
      </c>
      <c r="AP141" s="64" t="s" ph="1">
        <v>550</v>
      </c>
      <c r="AQ141" s="64" t="s" ph="1">
        <v>338</v>
      </c>
      <c r="AR141" s="64" t="s" ph="1">
        <v>579</v>
      </c>
      <c r="AS141" s="64" t="s" ph="1">
        <v>542</v>
      </c>
      <c r="AT141" s="64" t="s" ph="1">
        <v>266</v>
      </c>
      <c r="AU141" s="64" t="s" ph="1">
        <v>579</v>
      </c>
      <c r="AV141" s="64" t="s" ph="1">
        <v>378</v>
      </c>
      <c r="AW141" s="64" t="s" ph="1">
        <v>272</v>
      </c>
      <c r="AX141" s="64" t="s" ph="1">
        <v>579</v>
      </c>
    </row>
    <row r="142" spans="33:52" ph="1">
      <c r="AJ142" s="64" t="s" ph="1">
        <v>580</v>
      </c>
      <c r="AK142" s="64" t="s" ph="1">
        <v>283</v>
      </c>
    </row>
    <row r="143" spans="33:52" ph="1">
      <c r="AH143" s="64" ph="1">
        <v>4</v>
      </c>
      <c r="AI143" s="64" t="s" ph="1">
        <v>581</v>
      </c>
      <c r="AJ143" s="64" t="s" ph="1">
        <v>561</v>
      </c>
      <c r="AK143" s="64" t="s" ph="1">
        <v>582</v>
      </c>
      <c r="AY143" s="64" t="s" ph="1">
        <v>260</v>
      </c>
      <c r="AZ143" s="64" t="s" ph="1">
        <v>582</v>
      </c>
    </row>
    <row r="144" spans="33:52" ph="1">
      <c r="AH144" s="64" ph="1">
        <v>5</v>
      </c>
      <c r="AI144" s="64" t="s" ph="1">
        <v>583</v>
      </c>
      <c r="AY144" s="64" t="s" ph="1">
        <v>260</v>
      </c>
      <c r="AZ144" s="64" t="s" ph="1">
        <v>411</v>
      </c>
    </row>
    <row r="145" spans="33:52" ph="1">
      <c r="AH145" s="64" ph="1">
        <v>6</v>
      </c>
      <c r="AI145" s="64" t="s" ph="1">
        <v>584</v>
      </c>
      <c r="AY145" s="64" t="s" ph="1">
        <v>260</v>
      </c>
      <c r="AZ145" s="64" t="s" ph="1">
        <v>411</v>
      </c>
    </row>
    <row r="146" spans="33:52" ph="1">
      <c r="AH146" s="64" ph="1">
        <v>7</v>
      </c>
      <c r="AI146" s="64" t="s" ph="1">
        <v>585</v>
      </c>
      <c r="AY146" s="64" t="s" ph="1">
        <v>260</v>
      </c>
      <c r="AZ146" s="64" t="s" ph="1">
        <v>411</v>
      </c>
    </row>
    <row r="147" spans="33:52" ph="1">
      <c r="AH147" s="64" ph="1">
        <v>8</v>
      </c>
      <c r="AI147" s="64" t="s" ph="1">
        <v>586</v>
      </c>
      <c r="AY147" s="64" t="s" ph="1">
        <v>260</v>
      </c>
      <c r="AZ147" s="64" t="s" ph="1">
        <v>411</v>
      </c>
    </row>
    <row r="148" spans="33:52" ph="1">
      <c r="AH148" s="64" ph="1">
        <v>9</v>
      </c>
      <c r="AI148" s="64" t="s" ph="1">
        <v>587</v>
      </c>
      <c r="AY148" s="64" t="s" ph="1">
        <v>260</v>
      </c>
      <c r="AZ148" s="64" t="s" ph="1">
        <v>411</v>
      </c>
    </row>
    <row r="149" spans="33:52" ph="1">
      <c r="AH149" s="64" ph="1">
        <v>10</v>
      </c>
      <c r="AI149" s="64" t="s" ph="1">
        <v>588</v>
      </c>
      <c r="AY149" s="64" t="s" ph="1">
        <v>260</v>
      </c>
      <c r="AZ149" s="64" t="s" ph="1">
        <v>411</v>
      </c>
    </row>
    <row r="150" spans="33:52" ph="1">
      <c r="AH150" s="64" ph="1">
        <v>11</v>
      </c>
      <c r="AI150" s="64" t="s" ph="1">
        <v>589</v>
      </c>
      <c r="AY150" s="64" t="s" ph="1">
        <v>260</v>
      </c>
      <c r="AZ150" s="64" t="s" ph="1">
        <v>411</v>
      </c>
    </row>
    <row r="151" spans="33:52" ph="1">
      <c r="AH151" s="64" ph="1">
        <v>12</v>
      </c>
      <c r="AI151" s="64" t="s" ph="1">
        <v>590</v>
      </c>
      <c r="AY151" s="64" t="s" ph="1">
        <v>260</v>
      </c>
      <c r="AZ151" s="64" t="s" ph="1">
        <v>411</v>
      </c>
    </row>
    <row r="152" spans="33:52" ph="1">
      <c r="AH152" s="64" ph="1">
        <v>13</v>
      </c>
      <c r="AI152" s="64" t="s" ph="1">
        <v>591</v>
      </c>
      <c r="AY152" s="64" t="s" ph="1">
        <v>260</v>
      </c>
      <c r="AZ152" s="64" t="s" ph="1">
        <v>411</v>
      </c>
    </row>
    <row r="153" spans="33:52" ph="1">
      <c r="AH153" s="64" ph="1">
        <v>14</v>
      </c>
      <c r="AI153" s="64" t="s" ph="1">
        <v>592</v>
      </c>
      <c r="AY153" s="64" t="s" ph="1">
        <v>260</v>
      </c>
      <c r="AZ153" s="64" t="s" ph="1">
        <v>411</v>
      </c>
    </row>
    <row r="154" spans="33:52" ph="1">
      <c r="AH154" s="64" ph="1">
        <v>15</v>
      </c>
      <c r="AI154" s="64" t="s" ph="1">
        <v>593</v>
      </c>
      <c r="AY154" s="64" t="s" ph="1">
        <v>260</v>
      </c>
      <c r="AZ154" s="64" t="s" ph="1">
        <v>411</v>
      </c>
    </row>
    <row r="155" spans="33:52" ph="1">
      <c r="AH155" s="64" ph="1">
        <v>16</v>
      </c>
      <c r="AI155" s="64" t="s" ph="1">
        <v>594</v>
      </c>
      <c r="AJ155" s="64" t="s" ph="1">
        <v>380</v>
      </c>
      <c r="AK155" s="64" t="s" ph="1">
        <v>275</v>
      </c>
      <c r="AM155" s="64" t="s" ph="1">
        <v>614</v>
      </c>
      <c r="AN155" s="64" t="s" ph="1">
        <v>326</v>
      </c>
      <c r="AO155" s="64" t="s" ph="1">
        <v>579</v>
      </c>
      <c r="AY155" s="64" t="s" ph="1">
        <v>260</v>
      </c>
      <c r="AZ155" s="64" t="s" ph="1">
        <v>267</v>
      </c>
    </row>
    <row r="156" spans="33:52" ph="1">
      <c r="AZ156" s="64" t="s" ph="1">
        <v>646</v>
      </c>
    </row>
    <row r="157" spans="33:52" ph="1">
      <c r="AG157" s="64" t="s" ph="1">
        <v>595</v>
      </c>
      <c r="AI157" s="64" t="s" ph="1">
        <v>253</v>
      </c>
      <c r="AJ157" s="64" t="s" ph="1">
        <v>254</v>
      </c>
      <c r="AK157" s="64" t="s" ph="1">
        <v>255</v>
      </c>
      <c r="AM157" s="64" t="s" ph="1">
        <v>254</v>
      </c>
      <c r="AN157" s="64" t="s" ph="1">
        <v>255</v>
      </c>
      <c r="AO157" s="64" t="s" ph="1">
        <v>256</v>
      </c>
      <c r="AP157" s="64" t="s" ph="1">
        <v>254</v>
      </c>
      <c r="AQ157" s="64" t="s" ph="1">
        <v>255</v>
      </c>
      <c r="AR157" s="64" t="s" ph="1">
        <v>256</v>
      </c>
      <c r="AS157" s="64" t="s" ph="1">
        <v>254</v>
      </c>
      <c r="AT157" s="64" t="s" ph="1">
        <v>255</v>
      </c>
      <c r="AU157" s="64" t="s" ph="1">
        <v>256</v>
      </c>
      <c r="AV157" s="64" t="s" ph="1">
        <v>254</v>
      </c>
      <c r="AW157" s="64" t="s" ph="1">
        <v>255</v>
      </c>
      <c r="AX157" s="64" t="s" ph="1">
        <v>256</v>
      </c>
      <c r="AY157" s="64" t="s" ph="1">
        <v>255</v>
      </c>
      <c r="AZ157" s="64" t="s" ph="1">
        <v>257</v>
      </c>
    </row>
    <row r="158" spans="33:52" ph="1">
      <c r="AH158" s="64" ph="1">
        <v>1</v>
      </c>
      <c r="AI158" s="64" t="s" ph="1">
        <v>596</v>
      </c>
      <c r="AY158" s="64" t="s" ph="1">
        <v>260</v>
      </c>
      <c r="AZ158" s="64" t="s" ph="1">
        <v>411</v>
      </c>
    </row>
    <row r="159" spans="33:52" ph="1">
      <c r="AH159" s="64" ph="1">
        <v>2</v>
      </c>
      <c r="AI159" s="64" t="s" ph="1">
        <v>597</v>
      </c>
      <c r="AY159" s="64" t="s" ph="1">
        <v>260</v>
      </c>
      <c r="AZ159" s="64" t="s" ph="1">
        <v>411</v>
      </c>
    </row>
    <row r="160" spans="33:52" ph="1">
      <c r="AZ160" s="64" t="s" ph="1">
        <v>429</v>
      </c>
    </row>
    <row r="161" spans="33:52" ph="1">
      <c r="AG161" s="64" t="s" ph="1">
        <v>405</v>
      </c>
      <c r="AI161" s="64" t="s" ph="1">
        <v>253</v>
      </c>
      <c r="AJ161" s="64" t="s" ph="1">
        <v>254</v>
      </c>
      <c r="AK161" s="64" t="s" ph="1">
        <v>255</v>
      </c>
      <c r="AM161" s="64" t="s" ph="1">
        <v>254</v>
      </c>
      <c r="AN161" s="64" t="s" ph="1">
        <v>255</v>
      </c>
      <c r="AO161" s="64" t="s" ph="1">
        <v>256</v>
      </c>
      <c r="AP161" s="64" t="s" ph="1">
        <v>254</v>
      </c>
      <c r="AQ161" s="64" t="s" ph="1">
        <v>255</v>
      </c>
      <c r="AR161" s="64" t="s" ph="1">
        <v>256</v>
      </c>
      <c r="AS161" s="64" t="s" ph="1">
        <v>254</v>
      </c>
      <c r="AT161" s="64" t="s" ph="1">
        <v>255</v>
      </c>
      <c r="AU161" s="64" t="s" ph="1">
        <v>256</v>
      </c>
      <c r="AV161" s="64" t="s" ph="1">
        <v>254</v>
      </c>
      <c r="AW161" s="64" t="s" ph="1">
        <v>255</v>
      </c>
      <c r="AX161" s="64" t="s" ph="1">
        <v>256</v>
      </c>
      <c r="AY161" s="64" t="s" ph="1">
        <v>255</v>
      </c>
      <c r="AZ161" s="64" t="s" ph="1">
        <v>257</v>
      </c>
    </row>
    <row r="162" spans="33:52" ph="1">
      <c r="AH162" s="64" ph="1">
        <v>1</v>
      </c>
      <c r="AI162" s="64" t="s" ph="1">
        <v>598</v>
      </c>
      <c r="AJ162" s="64" t="s" ph="1">
        <v>599</v>
      </c>
      <c r="AK162" s="64" t="s" ph="1">
        <v>543</v>
      </c>
      <c r="AM162" s="64" t="s" ph="1">
        <v>600</v>
      </c>
      <c r="AN162" s="64" t="s" ph="1">
        <v>264</v>
      </c>
      <c r="AO162" s="64" t="s" ph="1">
        <v>601</v>
      </c>
      <c r="AY162" s="64" t="s" ph="1">
        <v>260</v>
      </c>
      <c r="AZ162" s="64" t="s" ph="1">
        <v>336</v>
      </c>
    </row>
    <row r="163" spans="33:52" ph="1">
      <c r="AH163" s="64" ph="1">
        <v>2</v>
      </c>
      <c r="AI163" s="64" t="s" ph="1">
        <v>602</v>
      </c>
      <c r="AJ163" s="64" t="s" ph="1">
        <v>599</v>
      </c>
      <c r="AK163" s="64" t="s" ph="1">
        <v>432</v>
      </c>
      <c r="AY163" s="64" t="s" ph="1">
        <v>260</v>
      </c>
      <c r="AZ163" s="64" t="s" ph="1">
        <v>432</v>
      </c>
    </row>
    <row r="164" spans="33:52" ph="1">
      <c r="AH164" s="64" ph="1">
        <v>3</v>
      </c>
      <c r="AI164" s="64" t="s" ph="1">
        <v>603</v>
      </c>
      <c r="AJ164" s="64" t="s" ph="1">
        <v>599</v>
      </c>
      <c r="AK164" s="64" t="s" ph="1">
        <v>336</v>
      </c>
      <c r="AY164" s="64" t="s" ph="1">
        <v>260</v>
      </c>
      <c r="AZ164" s="64" t="s" ph="1">
        <v>336</v>
      </c>
    </row>
    <row r="165" spans="33:52" ph="1">
      <c r="AH165" s="64" ph="1">
        <v>4</v>
      </c>
      <c r="AI165" s="64" t="s" ph="1">
        <v>604</v>
      </c>
      <c r="AY165" s="64" t="s" ph="1">
        <v>260</v>
      </c>
      <c r="AZ165" s="64" t="s" ph="1">
        <v>411</v>
      </c>
    </row>
    <row r="166" spans="33:52" ph="1">
      <c r="AH166" s="64" ph="1">
        <v>5</v>
      </c>
      <c r="AI166" s="64" t="s" ph="1">
        <v>605</v>
      </c>
      <c r="AY166" s="64" t="s" ph="1">
        <v>260</v>
      </c>
      <c r="AZ166" s="64" t="s" ph="1">
        <v>411</v>
      </c>
    </row>
    <row r="167" spans="33:52" ph="1">
      <c r="AZ167" s="64" t="s" ph="1">
        <v>606</v>
      </c>
    </row>
    <row r="168" spans="33:52" ph="1">
      <c r="AG168" s="64" t="s" ph="1">
        <v>349</v>
      </c>
      <c r="AI168" s="64" t="s" ph="1">
        <v>253</v>
      </c>
      <c r="AJ168" s="64" t="s" ph="1">
        <v>254</v>
      </c>
      <c r="AK168" s="64" t="s" ph="1">
        <v>255</v>
      </c>
      <c r="AM168" s="64" t="s" ph="1">
        <v>254</v>
      </c>
      <c r="AN168" s="64" t="s" ph="1">
        <v>255</v>
      </c>
      <c r="AO168" s="64" t="s" ph="1">
        <v>256</v>
      </c>
      <c r="AP168" s="64" t="s" ph="1">
        <v>254</v>
      </c>
      <c r="AQ168" s="64" t="s" ph="1">
        <v>255</v>
      </c>
      <c r="AR168" s="64" t="s" ph="1">
        <v>256</v>
      </c>
      <c r="AS168" s="64" t="s" ph="1">
        <v>254</v>
      </c>
      <c r="AT168" s="64" t="s" ph="1">
        <v>255</v>
      </c>
      <c r="AU168" s="64" t="s" ph="1">
        <v>256</v>
      </c>
      <c r="AV168" s="64" t="s" ph="1">
        <v>254</v>
      </c>
      <c r="AW168" s="64" t="s" ph="1">
        <v>255</v>
      </c>
      <c r="AX168" s="64" t="s" ph="1">
        <v>256</v>
      </c>
      <c r="AY168" s="64" t="s" ph="1">
        <v>255</v>
      </c>
      <c r="AZ168" s="64" t="s" ph="1">
        <v>257</v>
      </c>
    </row>
    <row r="169" spans="33:52" ph="1">
      <c r="AH169" s="64" ph="1">
        <v>1</v>
      </c>
      <c r="AI169" s="64" t="s" ph="1">
        <v>607</v>
      </c>
      <c r="AY169" s="64" t="s" ph="1">
        <v>260</v>
      </c>
      <c r="AZ169" s="64" t="s" ph="1">
        <v>411</v>
      </c>
    </row>
    <row r="170" spans="33:52" ph="1">
      <c r="AH170" s="64" ph="1">
        <v>2</v>
      </c>
      <c r="AI170" s="64" t="s" ph="1">
        <v>608</v>
      </c>
      <c r="AY170" s="64" t="s" ph="1">
        <v>260</v>
      </c>
      <c r="AZ170" s="64" t="s" ph="1">
        <v>411</v>
      </c>
    </row>
    <row r="171" spans="33:52" ph="1">
      <c r="AH171" s="64" ph="1">
        <v>3</v>
      </c>
      <c r="AI171" s="64" t="s" ph="1">
        <v>609</v>
      </c>
      <c r="AY171" s="64" t="s" ph="1">
        <v>260</v>
      </c>
      <c r="AZ171" s="64" t="s" ph="1">
        <v>411</v>
      </c>
    </row>
    <row r="172" spans="33:52" ph="1">
      <c r="AH172" s="64" ph="1">
        <v>4</v>
      </c>
      <c r="AI172" s="64" t="s" ph="1">
        <v>610</v>
      </c>
      <c r="AY172" s="64" t="s" ph="1">
        <v>260</v>
      </c>
      <c r="AZ172" s="64" t="s" ph="1">
        <v>411</v>
      </c>
    </row>
    <row r="173" spans="33:52" ph="1">
      <c r="AH173" s="64" ph="1">
        <v>5</v>
      </c>
      <c r="AI173" s="64" t="s" ph="1">
        <v>611</v>
      </c>
      <c r="AY173" s="64" t="s" ph="1">
        <v>260</v>
      </c>
      <c r="AZ173" s="64" t="s" ph="1">
        <v>411</v>
      </c>
    </row>
    <row r="174" spans="33:52" ph="1">
      <c r="AZ174" s="64" t="s" ph="1">
        <v>429</v>
      </c>
    </row>
    <row r="175" spans="33:52" ph="1">
      <c r="AJ175" s="64" t="s" ph="1">
        <v>350</v>
      </c>
    </row>
    <row r="176" spans="33:52" ph="1">
      <c r="AJ176" s="64" t="s" ph="1">
        <v>351</v>
      </c>
      <c r="AK176" s="64" t="s" ph="1">
        <v>352</v>
      </c>
      <c r="AM176" s="64" t="s" ph="1">
        <v>353</v>
      </c>
      <c r="AO176" s="64" t="s" ph="1">
        <v>354</v>
      </c>
      <c r="AP176" s="64" t="s" ph="1">
        <v>355</v>
      </c>
      <c r="AQ176" s="64" t="s" ph="1">
        <v>345</v>
      </c>
      <c r="AR176" s="64" t="s" ph="1">
        <v>265</v>
      </c>
    </row>
    <row r="177" spans="36:56" ph="1">
      <c r="AJ177" s="64" t="s" ph="1">
        <v>647</v>
      </c>
      <c r="AK177" s="64" t="s" ph="1">
        <v>356</v>
      </c>
      <c r="AO177" s="64" t="s" ph="1">
        <v>356</v>
      </c>
      <c r="AP177" s="64" t="s" ph="1">
        <v>356</v>
      </c>
      <c r="AQ177" s="64" t="s" ph="1">
        <v>357</v>
      </c>
      <c r="AR177" s="64" t="s" ph="1">
        <v>358</v>
      </c>
    </row>
    <row r="179" spans="36:56" ph="1">
      <c r="AJ179" s="64" t="s" ph="1">
        <v>359</v>
      </c>
      <c r="AK179" s="64" t="s" ph="1">
        <v>360</v>
      </c>
      <c r="AM179" s="64" t="s" ph="1">
        <v>361</v>
      </c>
      <c r="AN179" s="64" t="s" ph="1">
        <v>337</v>
      </c>
      <c r="AO179" s="64" t="s" ph="1">
        <v>362</v>
      </c>
      <c r="AP179" s="64" t="s" ph="1">
        <v>341</v>
      </c>
      <c r="AQ179" s="64" t="s" ph="1">
        <v>363</v>
      </c>
      <c r="AR179" s="64" t="s" ph="1">
        <v>364</v>
      </c>
    </row>
    <row r="180" spans="36:56" ph="1">
      <c r="AJ180" s="64" t="s" ph="1">
        <v>356</v>
      </c>
      <c r="AK180" s="64" t="s" ph="1">
        <v>356</v>
      </c>
      <c r="AL180" s="64" ph="1">
        <v>116</v>
      </c>
      <c r="AM180" s="64" t="s" ph="1">
        <v>356</v>
      </c>
      <c r="AN180" s="64" t="s" ph="1">
        <v>365</v>
      </c>
      <c r="AO180" s="64" t="s" ph="1">
        <v>356</v>
      </c>
      <c r="AP180" s="64" t="s" ph="1">
        <v>366</v>
      </c>
      <c r="AQ180" s="64" t="s" ph="1">
        <v>367</v>
      </c>
      <c r="AR180" s="64" t="s" ph="1">
        <v>368</v>
      </c>
    </row>
    <row r="189" spans="36:56" ph="1">
      <c r="BD189" s="64" t="s" ph="1">
        <v>612</v>
      </c>
    </row>
    <row r="223" spans="18:18" ph="1">
      <c r="R223" s="138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219" priority="92">
      <formula>ABS(D$7-D$10)&gt;=1000</formula>
    </cfRule>
  </conditionalFormatting>
  <conditionalFormatting sqref="E4 E6:E11">
    <cfRule type="expression" dxfId="1218" priority="91">
      <formula>ABS(E$7-E$10)&gt;=1000</formula>
    </cfRule>
  </conditionalFormatting>
  <conditionalFormatting sqref="F4:F11">
    <cfRule type="expression" dxfId="1217" priority="90">
      <formula>ABS(F$7-F$10)&gt;=1000</formula>
    </cfRule>
  </conditionalFormatting>
  <conditionalFormatting sqref="G4:G11">
    <cfRule type="expression" dxfId="1216" priority="89">
      <formula>ABS(G$7-G$10)&gt;=1000</formula>
    </cfRule>
  </conditionalFormatting>
  <conditionalFormatting sqref="H4:H11">
    <cfRule type="expression" dxfId="1215" priority="88">
      <formula>ABS(H$7-H$10)&gt;=1000</formula>
    </cfRule>
  </conditionalFormatting>
  <conditionalFormatting sqref="I4:I11">
    <cfRule type="expression" dxfId="1214" priority="87">
      <formula>ABS(I$7-I$10)&gt;=1000</formula>
    </cfRule>
  </conditionalFormatting>
  <conditionalFormatting sqref="J4:J11">
    <cfRule type="expression" dxfId="1213" priority="86">
      <formula>ABS(J$7-J$10)&gt;=1000</formula>
    </cfRule>
  </conditionalFormatting>
  <conditionalFormatting sqref="K4:K11">
    <cfRule type="expression" dxfId="1212" priority="85">
      <formula>ABS(K$7-K$10)&gt;=1000</formula>
    </cfRule>
  </conditionalFormatting>
  <conditionalFormatting sqref="L4:L11">
    <cfRule type="expression" dxfId="1211" priority="84">
      <formula>ABS(L$7-L$10)&gt;=1000</formula>
    </cfRule>
  </conditionalFormatting>
  <conditionalFormatting sqref="M4:M11">
    <cfRule type="expression" dxfId="1210" priority="83">
      <formula>ABS(M$7-M$10)&gt;=1000</formula>
    </cfRule>
  </conditionalFormatting>
  <conditionalFormatting sqref="N4:N11">
    <cfRule type="expression" dxfId="1209" priority="82">
      <formula>ABS(N$7-N$10)&gt;=1000</formula>
    </cfRule>
  </conditionalFormatting>
  <conditionalFormatting sqref="O4:O11">
    <cfRule type="expression" dxfId="1208" priority="81">
      <formula>ABS(O$7-O$10)&gt;=1000</formula>
    </cfRule>
  </conditionalFormatting>
  <conditionalFormatting sqref="P4:P11">
    <cfRule type="expression" dxfId="1207" priority="80">
      <formula>ABS(P$7-P$10)&gt;=1000</formula>
    </cfRule>
  </conditionalFormatting>
  <conditionalFormatting sqref="Q4:Q11">
    <cfRule type="expression" dxfId="1206" priority="79">
      <formula>ABS(Q$7-Q$10)&gt;=1000</formula>
    </cfRule>
  </conditionalFormatting>
  <conditionalFormatting sqref="R4:R11">
    <cfRule type="expression" dxfId="1205" priority="78">
      <formula>ABS(R$7-R$10)&gt;=1000</formula>
    </cfRule>
  </conditionalFormatting>
  <conditionalFormatting sqref="S4:S11">
    <cfRule type="expression" dxfId="1204" priority="77">
      <formula>ABS(S$7-S$10)&gt;=1000</formula>
    </cfRule>
  </conditionalFormatting>
  <conditionalFormatting sqref="T4:T9 T11">
    <cfRule type="expression" dxfId="1203" priority="76">
      <formula>ABS(T$7-T$10)&gt;=1000</formula>
    </cfRule>
  </conditionalFormatting>
  <conditionalFormatting sqref="U4:U9 U11">
    <cfRule type="expression" dxfId="1202" priority="75">
      <formula>ABS(U$7-U$10)&gt;=1000</formula>
    </cfRule>
  </conditionalFormatting>
  <conditionalFormatting sqref="V4:V9 V11">
    <cfRule type="expression" dxfId="1201" priority="74">
      <formula>ABS(V$7-V$10)&gt;=1000</formula>
    </cfRule>
  </conditionalFormatting>
  <conditionalFormatting sqref="W4:W9 W11">
    <cfRule type="expression" dxfId="1200" priority="73">
      <formula>ABS(W$7-W$10)&gt;=1000</formula>
    </cfRule>
  </conditionalFormatting>
  <conditionalFormatting sqref="X4:X9 X11">
    <cfRule type="expression" dxfId="1199" priority="72">
      <formula>ABS(X$7-X$10)&gt;=1000</formula>
    </cfRule>
  </conditionalFormatting>
  <conditionalFormatting sqref="Y4:Y9 Y11">
    <cfRule type="expression" dxfId="1198" priority="71">
      <formula>ABS(Y$7-Y$10)&gt;=1000</formula>
    </cfRule>
  </conditionalFormatting>
  <conditionalFormatting sqref="Z4:Z11">
    <cfRule type="expression" dxfId="1197" priority="70">
      <formula>ABS(Z$7-Z$10)&gt;=1000</formula>
    </cfRule>
  </conditionalFormatting>
  <conditionalFormatting sqref="AA4:AA11">
    <cfRule type="expression" dxfId="1196" priority="69">
      <formula>ABS(AA$7-AA$10)&gt;=1000</formula>
    </cfRule>
  </conditionalFormatting>
  <conditionalFormatting sqref="AB4:AB11">
    <cfRule type="expression" dxfId="1195" priority="68">
      <formula>ABS(AB$7-AB$10)&gt;=1000</formula>
    </cfRule>
  </conditionalFormatting>
  <conditionalFormatting sqref="AC4 AC6:AC11">
    <cfRule type="expression" dxfId="1194" priority="67">
      <formula>ABS(AC$7-AC$10)&gt;=1000</formula>
    </cfRule>
  </conditionalFormatting>
  <conditionalFormatting sqref="AD4:AD11">
    <cfRule type="expression" dxfId="1193" priority="66">
      <formula>ABS(AD$7-AD$10)&gt;=1000</formula>
    </cfRule>
  </conditionalFormatting>
  <conditionalFormatting sqref="AE4:AE11">
    <cfRule type="expression" dxfId="1192" priority="65">
      <formula>ABS(AE$7-AE$10)&gt;=1000</formula>
    </cfRule>
  </conditionalFormatting>
  <conditionalFormatting sqref="D13:D20">
    <cfRule type="expression" dxfId="1191" priority="64">
      <formula>ABS(D$16-D$19)&gt;=1000</formula>
    </cfRule>
  </conditionalFormatting>
  <conditionalFormatting sqref="E13:E20">
    <cfRule type="expression" dxfId="1190" priority="63">
      <formula>ABS(E$16-E$19)&gt;=1000</formula>
    </cfRule>
  </conditionalFormatting>
  <conditionalFormatting sqref="F13 F15:F20">
    <cfRule type="expression" dxfId="1189" priority="62">
      <formula>ABS(F$16-F$19)&gt;=1000</formula>
    </cfRule>
  </conditionalFormatting>
  <conditionalFormatting sqref="G13:G20">
    <cfRule type="expression" dxfId="1188" priority="61">
      <formula>ABS(G$16-G$19)&gt;=1000</formula>
    </cfRule>
  </conditionalFormatting>
  <conditionalFormatting sqref="H13:H20">
    <cfRule type="expression" dxfId="1187" priority="60">
      <formula>ABS(H$16-H$19)&gt;=1000</formula>
    </cfRule>
  </conditionalFormatting>
  <conditionalFormatting sqref="I13:I20">
    <cfRule type="expression" dxfId="1186" priority="59">
      <formula>ABS(I$16-I$19)&gt;=1000</formula>
    </cfRule>
  </conditionalFormatting>
  <conditionalFormatting sqref="J13:J20">
    <cfRule type="expression" dxfId="1185" priority="58">
      <formula>ABS(J$16-J$19)&gt;=1000</formula>
    </cfRule>
  </conditionalFormatting>
  <conditionalFormatting sqref="L13:L20">
    <cfRule type="expression" dxfId="1184" priority="57">
      <formula>ABS(L$16-L$19)&gt;=1000</formula>
    </cfRule>
  </conditionalFormatting>
  <conditionalFormatting sqref="M13 M15 M17:M18 M20">
    <cfRule type="expression" dxfId="1183" priority="56">
      <formula>ABS(M$16-M$19)&gt;=1000</formula>
    </cfRule>
  </conditionalFormatting>
  <conditionalFormatting sqref="N13:N20">
    <cfRule type="expression" dxfId="1182" priority="55">
      <formula>ABS(N$16-N$19)&gt;=1000</formula>
    </cfRule>
  </conditionalFormatting>
  <conditionalFormatting sqref="O13:O20">
    <cfRule type="expression" dxfId="1181" priority="54">
      <formula>ABS(O$16-O$19)&gt;=1000</formula>
    </cfRule>
  </conditionalFormatting>
  <conditionalFormatting sqref="P13:P20">
    <cfRule type="expression" dxfId="1180" priority="53">
      <formula>ABS(P$16-P$19)&gt;=1000</formula>
    </cfRule>
  </conditionalFormatting>
  <conditionalFormatting sqref="Q13 Q15:Q20">
    <cfRule type="expression" dxfId="1179" priority="52">
      <formula>ABS(Q$16-Q$19)&gt;=1000</formula>
    </cfRule>
  </conditionalFormatting>
  <conditionalFormatting sqref="R13:R20">
    <cfRule type="expression" dxfId="1178" priority="51">
      <formula>ABS(R$16-R$19)&gt;=1000</formula>
    </cfRule>
  </conditionalFormatting>
  <conditionalFormatting sqref="S13:S20">
    <cfRule type="expression" dxfId="1177" priority="50">
      <formula>ABS(S$16-S$19)&gt;=1000</formula>
    </cfRule>
  </conditionalFormatting>
  <conditionalFormatting sqref="T13:T20">
    <cfRule type="expression" dxfId="1176" priority="49">
      <formula>ABS(T$16-T$19)&gt;=1000</formula>
    </cfRule>
  </conditionalFormatting>
  <conditionalFormatting sqref="U13:U20">
    <cfRule type="expression" dxfId="1175" priority="48">
      <formula>ABS(U$16-U$19)&gt;=1000</formula>
    </cfRule>
  </conditionalFormatting>
  <conditionalFormatting sqref="V13:V20">
    <cfRule type="expression" dxfId="1174" priority="47">
      <formula>ABS(V$16-V$19)&gt;=1000</formula>
    </cfRule>
  </conditionalFormatting>
  <conditionalFormatting sqref="W13 W15:W18 W20">
    <cfRule type="expression" dxfId="1173" priority="46">
      <formula>ABS(W$16-W$19)&gt;=1000</formula>
    </cfRule>
  </conditionalFormatting>
  <conditionalFormatting sqref="X13 X15:X20 Y19">
    <cfRule type="expression" dxfId="1172" priority="45">
      <formula>ABS(X$16-X$19)&gt;=1000</formula>
    </cfRule>
  </conditionalFormatting>
  <conditionalFormatting sqref="Y13 Y15:Y18 Y20">
    <cfRule type="expression" dxfId="1171" priority="44">
      <formula>ABS(Y$16-Y$19)&gt;=1000</formula>
    </cfRule>
  </conditionalFormatting>
  <conditionalFormatting sqref="Z13:Z20">
    <cfRule type="expression" dxfId="1170" priority="43">
      <formula>ABS(Z$16-Z$19)&gt;=1000</formula>
    </cfRule>
  </conditionalFormatting>
  <conditionalFormatting sqref="AA13:AA20">
    <cfRule type="expression" dxfId="1169" priority="42">
      <formula>ABS(AA$16-AA$19)&gt;=1000</formula>
    </cfRule>
  </conditionalFormatting>
  <conditionalFormatting sqref="AB13 AB15:AB20">
    <cfRule type="expression" dxfId="1168" priority="41">
      <formula>ABS(AB$16-AB$19)&gt;=1000</formula>
    </cfRule>
  </conditionalFormatting>
  <conditionalFormatting sqref="AC13 AC15:AC20">
    <cfRule type="expression" dxfId="1167" priority="40">
      <formula>ABS(AC$16-AC$19)&gt;=1000</formula>
    </cfRule>
  </conditionalFormatting>
  <conditionalFormatting sqref="AD13:AD20">
    <cfRule type="expression" dxfId="1166" priority="39">
      <formula>ABS(AD$16-AD$19)&gt;=1000</formula>
    </cfRule>
  </conditionalFormatting>
  <conditionalFormatting sqref="AE13:AE20">
    <cfRule type="expression" dxfId="1165" priority="38">
      <formula>ABS(AE$16-AE$19)&gt;=1000</formula>
    </cfRule>
  </conditionalFormatting>
  <conditionalFormatting sqref="D22:D29">
    <cfRule type="expression" dxfId="1164" priority="37">
      <formula>ABS(D$25-D$28)&gt;=1000</formula>
    </cfRule>
  </conditionalFormatting>
  <conditionalFormatting sqref="E22:E29">
    <cfRule type="expression" dxfId="1163" priority="36">
      <formula>ABS(E$25-E$28)&gt;=1000</formula>
    </cfRule>
  </conditionalFormatting>
  <conditionalFormatting sqref="F22:F29">
    <cfRule type="expression" dxfId="1162" priority="35">
      <formula>ABS(F$25-F$28)&gt;=1000</formula>
    </cfRule>
  </conditionalFormatting>
  <conditionalFormatting sqref="G22:G29">
    <cfRule type="expression" dxfId="1161" priority="34">
      <formula>ABS(G$25-G$28)&gt;=1000</formula>
    </cfRule>
  </conditionalFormatting>
  <conditionalFormatting sqref="H22:H29">
    <cfRule type="expression" dxfId="1160" priority="33">
      <formula>ABS(H$25-H$28)&gt;=1000</formula>
    </cfRule>
  </conditionalFormatting>
  <conditionalFormatting sqref="I22 I24:I29">
    <cfRule type="expression" dxfId="1159" priority="32">
      <formula>ABS(I$25-I$28)&gt;=1000</formula>
    </cfRule>
  </conditionalFormatting>
  <conditionalFormatting sqref="J22:J29 K22">
    <cfRule type="expression" dxfId="1158" priority="31">
      <formula>ABS(J$25-J$28)&gt;=1000</formula>
    </cfRule>
  </conditionalFormatting>
  <conditionalFormatting sqref="K23:K29 L25 L28">
    <cfRule type="expression" dxfId="1157" priority="30">
      <formula>ABS(K$25-K$28)&gt;=1000</formula>
    </cfRule>
  </conditionalFormatting>
  <conditionalFormatting sqref="L22:L24 L26:L27 L29">
    <cfRule type="expression" dxfId="1156" priority="29">
      <formula>ABS(L$25-L$28)&gt;=1000</formula>
    </cfRule>
  </conditionalFormatting>
  <conditionalFormatting sqref="M22:M29">
    <cfRule type="expression" dxfId="1155" priority="28">
      <formula>ABS(M$25-M$28)&gt;=1000</formula>
    </cfRule>
  </conditionalFormatting>
  <conditionalFormatting sqref="N22:N29">
    <cfRule type="expression" dxfId="1154" priority="27">
      <formula>ABS(N$25-N$28)&gt;=1000</formula>
    </cfRule>
  </conditionalFormatting>
  <conditionalFormatting sqref="O22:O29">
    <cfRule type="expression" dxfId="1153" priority="26">
      <formula>ABS(O$25-O$28)&gt;=1000</formula>
    </cfRule>
  </conditionalFormatting>
  <conditionalFormatting sqref="P22:P29">
    <cfRule type="expression" dxfId="1152" priority="25">
      <formula>ABS(P$25-P$28)&gt;=1000</formula>
    </cfRule>
  </conditionalFormatting>
  <conditionalFormatting sqref="Q22:Q29">
    <cfRule type="expression" dxfId="1151" priority="24">
      <formula>ABS(Q$25-Q$28)&gt;=1000</formula>
    </cfRule>
  </conditionalFormatting>
  <conditionalFormatting sqref="R22:R29">
    <cfRule type="expression" dxfId="1150" priority="23">
      <formula>ABS(R$25-R$28)&gt;=1000</formula>
    </cfRule>
  </conditionalFormatting>
  <conditionalFormatting sqref="S22:S29">
    <cfRule type="expression" dxfId="1149" priority="22">
      <formula>ABS(S$25-S$28)&gt;=1000</formula>
    </cfRule>
  </conditionalFormatting>
  <conditionalFormatting sqref="T22:T29">
    <cfRule type="expression" dxfId="1148" priority="21">
      <formula>ABS(T$25-T$28)&gt;=1000</formula>
    </cfRule>
  </conditionalFormatting>
  <conditionalFormatting sqref="U22:U29">
    <cfRule type="expression" dxfId="1147" priority="20">
      <formula>ABS(U$25-U$28)&gt;=1000</formula>
    </cfRule>
  </conditionalFormatting>
  <conditionalFormatting sqref="V22:V29">
    <cfRule type="expression" dxfId="1146" priority="19">
      <formula>ABS(V$25-V$28)&gt;=1000</formula>
    </cfRule>
  </conditionalFormatting>
  <conditionalFormatting sqref="W22:W29">
    <cfRule type="expression" dxfId="1145" priority="18">
      <formula>ABS(W$25-W$28)&gt;=1000</formula>
    </cfRule>
  </conditionalFormatting>
  <conditionalFormatting sqref="X22:X29">
    <cfRule type="expression" dxfId="1144" priority="17">
      <formula>ABS(X$25-X$28)&gt;=1000</formula>
    </cfRule>
  </conditionalFormatting>
  <conditionalFormatting sqref="Y22:Y29">
    <cfRule type="expression" dxfId="1143" priority="16">
      <formula>ABS(Y$25-Y$28)&gt;=1000</formula>
    </cfRule>
  </conditionalFormatting>
  <conditionalFormatting sqref="I23">
    <cfRule type="expression" dxfId="1142" priority="15">
      <formula>ABS(I$25-I$28)&gt;=1000</formula>
    </cfRule>
  </conditionalFormatting>
  <conditionalFormatting sqref="F14">
    <cfRule type="expression" dxfId="1141" priority="14">
      <formula>ABS(F$16-F$19)&gt;=1000</formula>
    </cfRule>
  </conditionalFormatting>
  <conditionalFormatting sqref="Q14">
    <cfRule type="expression" dxfId="1140" priority="13">
      <formula>ABS(Q$16-Q$19)&gt;=1000</formula>
    </cfRule>
  </conditionalFormatting>
  <conditionalFormatting sqref="W14">
    <cfRule type="expression" dxfId="1139" priority="12">
      <formula>ABS(W$16-W$19)&gt;=1000</formula>
    </cfRule>
  </conditionalFormatting>
  <conditionalFormatting sqref="Y14">
    <cfRule type="expression" dxfId="1138" priority="11">
      <formula>ABS(Y$16-Y$19)&gt;=1000</formula>
    </cfRule>
  </conditionalFormatting>
  <conditionalFormatting sqref="X14">
    <cfRule type="expression" dxfId="1137" priority="10">
      <formula>ABS(X$16-X$19)&gt;=1000</formula>
    </cfRule>
  </conditionalFormatting>
  <conditionalFormatting sqref="T10:Y10">
    <cfRule type="expression" dxfId="1136" priority="9">
      <formula>ABS(T$7-T$10)&gt;=1000</formula>
    </cfRule>
  </conditionalFormatting>
  <conditionalFormatting sqref="W19">
    <cfRule type="expression" dxfId="1135" priority="8">
      <formula>ABS(W$16-W$19)&gt;=1000</formula>
    </cfRule>
  </conditionalFormatting>
  <conditionalFormatting sqref="AC5">
    <cfRule type="expression" dxfId="1134" priority="7">
      <formula>ABS(AC$7-AC$10)&gt;=1000</formula>
    </cfRule>
  </conditionalFormatting>
  <conditionalFormatting sqref="M14">
    <cfRule type="expression" dxfId="1133" priority="6">
      <formula>ABS(M$16-M$19)&gt;=1000</formula>
    </cfRule>
  </conditionalFormatting>
  <conditionalFormatting sqref="M16">
    <cfRule type="expression" dxfId="1132" priority="5">
      <formula>ABS(M$16-M$19)&gt;=1000</formula>
    </cfRule>
  </conditionalFormatting>
  <conditionalFormatting sqref="M19">
    <cfRule type="expression" dxfId="1131" priority="4">
      <formula>ABS(M$16-M$19)&gt;=1000</formula>
    </cfRule>
  </conditionalFormatting>
  <conditionalFormatting sqref="K13:K20">
    <cfRule type="expression" dxfId="1130" priority="3">
      <formula>ABS(K$16-K$19)&gt;=1000</formula>
    </cfRule>
  </conditionalFormatting>
  <conditionalFormatting sqref="E5">
    <cfRule type="expression" dxfId="1129" priority="2">
      <formula>ABS(E$7-E$10)&gt;=1000</formula>
    </cfRule>
  </conditionalFormatting>
  <conditionalFormatting sqref="AB14:AC14">
    <cfRule type="expression" dxfId="1128" priority="1">
      <formula>ABS(AB$16-AB$19)&gt;=1000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6953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55">
    <pageSetUpPr fitToPage="1"/>
  </sheetPr>
  <dimension ref="A1:CU223"/>
  <sheetViews>
    <sheetView view="pageBreakPreview" zoomScale="70" zoomScaleNormal="100" zoomScaleSheetLayoutView="70" workbookViewId="0">
      <selection activeCell="N5" sqref="N5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36" t="s" ph="1">
        <v>195</v>
      </c>
      <c r="C1" s="236" ph="1"/>
      <c r="D1" s="236" ph="1"/>
      <c r="E1" s="236" ph="1"/>
      <c r="F1" s="236" ph="1"/>
      <c r="G1" s="236" ph="1"/>
      <c r="H1" s="236" ph="1"/>
      <c r="I1" s="236" ph="1"/>
      <c r="J1" s="236" ph="1"/>
      <c r="K1" s="236" ph="1"/>
      <c r="L1" s="236" ph="1"/>
      <c r="M1" s="236" ph="1"/>
      <c r="N1" s="236" ph="1"/>
      <c r="O1" s="236" ph="1"/>
      <c r="P1" s="236" ph="1"/>
      <c r="Q1" s="236" ph="1"/>
      <c r="R1" s="236" ph="1"/>
      <c r="S1" s="236" ph="1"/>
      <c r="T1" s="236" ph="1"/>
      <c r="U1" s="236" ph="1"/>
      <c r="V1" s="236" ph="1"/>
      <c r="W1" s="236" ph="1"/>
      <c r="X1" s="236" ph="1"/>
      <c r="Y1" s="236" ph="1"/>
      <c r="Z1" s="236" ph="1"/>
      <c r="AA1" s="236" ph="1"/>
      <c r="AB1" s="236" ph="1"/>
      <c r="AC1" s="236" ph="1"/>
      <c r="AD1" s="236" ph="1"/>
      <c r="AE1" s="236" ph="1"/>
    </row>
    <row r="2" spans="1:99" s="66" customFormat="1" ht="24" customHeight="1" ph="1">
      <c r="B2" s="237" t="s" ph="1">
        <v>99</v>
      </c>
      <c r="C2" s="237" ph="1"/>
      <c r="D2" s="237" ph="1"/>
      <c r="E2" s="237" ph="1"/>
      <c r="F2" s="237" ph="1"/>
      <c r="G2" s="237" ph="1"/>
      <c r="H2" s="237" ph="1"/>
      <c r="I2" s="237" ph="1"/>
      <c r="J2" s="237" ph="1"/>
      <c r="K2" s="237" ph="1"/>
      <c r="L2" s="237" ph="1"/>
      <c r="M2" s="237" ph="1"/>
      <c r="N2" s="237" ph="1"/>
      <c r="O2" s="237" ph="1"/>
      <c r="P2" s="237" ph="1"/>
      <c r="Q2" s="237" ph="1"/>
      <c r="R2" s="237" ph="1"/>
      <c r="S2" s="237" ph="1"/>
      <c r="T2" s="237" ph="1"/>
      <c r="U2" s="237" ph="1"/>
      <c r="V2" s="237" ph="1"/>
      <c r="W2" s="237" ph="1"/>
      <c r="X2" s="237" ph="1"/>
      <c r="Y2" s="237" ph="1"/>
      <c r="Z2" s="237" ph="1"/>
      <c r="AA2" s="237" ph="1"/>
      <c r="AB2" s="237" ph="1"/>
      <c r="AC2" s="237" ph="1"/>
      <c r="AD2" s="237" ph="1"/>
      <c r="AE2" s="237" ph="1"/>
    </row>
    <row r="3" spans="1:99" ht="21" customHeight="1" ph="1">
      <c r="B3" s="238" ph="1">
        <v>45671</v>
      </c>
      <c r="C3" s="238"/>
      <c r="D3" s="238"/>
      <c r="E3" s="238"/>
      <c r="F3" s="238"/>
      <c r="G3" s="238"/>
      <c r="H3" s="238"/>
      <c r="I3" s="238"/>
      <c r="J3" s="238"/>
      <c r="K3" s="238"/>
      <c r="L3" s="238"/>
      <c r="M3" s="238"/>
      <c r="N3" s="238"/>
      <c r="O3" s="238"/>
      <c r="P3" s="238"/>
      <c r="Q3" s="238"/>
      <c r="R3" s="238"/>
      <c r="S3" s="238"/>
      <c r="T3" s="238"/>
      <c r="U3" s="238"/>
      <c r="V3" s="238"/>
      <c r="W3" s="238"/>
      <c r="X3" s="238"/>
      <c r="Y3" s="238"/>
      <c r="Z3" s="238"/>
      <c r="AA3" s="238"/>
      <c r="AB3" s="238"/>
      <c r="AC3" s="238"/>
      <c r="AD3" s="238"/>
      <c r="AE3" s="238"/>
    </row>
    <row r="4" spans="1:99" s="69" customFormat="1" ph="1">
      <c r="A4" s="65" ph="1"/>
      <c r="B4" s="217" t="s" ph="1">
        <v>37</v>
      </c>
      <c r="C4" s="67" t="s" ph="1">
        <v>210</v>
      </c>
      <c r="D4" s="68" t="s" ph="1">
        <v>45</v>
      </c>
      <c r="E4" s="68" t="s" ph="1">
        <v>46</v>
      </c>
      <c r="F4" s="68" t="s" ph="1">
        <v>39</v>
      </c>
      <c r="G4" s="68" t="s" ph="1">
        <v>47</v>
      </c>
      <c r="H4" s="68" t="s" ph="1">
        <v>48</v>
      </c>
      <c r="I4" s="68" t="s" ph="1">
        <v>133</v>
      </c>
      <c r="J4" s="68" t="s" ph="1">
        <v>49</v>
      </c>
      <c r="K4" s="68" t="s" ph="1">
        <v>134</v>
      </c>
      <c r="L4" s="68" t="s" ph="1">
        <v>135</v>
      </c>
      <c r="M4" s="68" t="s" ph="1">
        <v>50</v>
      </c>
      <c r="N4" s="68" t="s" ph="1">
        <v>51</v>
      </c>
      <c r="O4" s="68" t="s" ph="1">
        <v>137</v>
      </c>
      <c r="P4" s="68" t="s" ph="1">
        <v>139</v>
      </c>
      <c r="Q4" s="68" t="s" ph="1">
        <v>140</v>
      </c>
      <c r="R4" s="68" t="s" ph="1">
        <v>141</v>
      </c>
      <c r="S4" s="68" t="s" ph="1">
        <v>142</v>
      </c>
      <c r="T4" s="68" t="s" ph="1">
        <v>143</v>
      </c>
      <c r="U4" s="68" t="s" ph="1">
        <v>144</v>
      </c>
      <c r="V4" s="68" t="s" ph="1">
        <v>145</v>
      </c>
      <c r="W4" s="68" t="s" ph="1">
        <v>146</v>
      </c>
      <c r="X4" s="68" t="s" ph="1">
        <v>147</v>
      </c>
      <c r="Y4" s="68" t="s" ph="1">
        <v>148</v>
      </c>
      <c r="Z4" s="68" t="s" ph="1">
        <v>52</v>
      </c>
      <c r="AA4" s="68" t="s" ph="1">
        <v>149</v>
      </c>
      <c r="AB4" s="68" t="s" ph="1">
        <v>150</v>
      </c>
      <c r="AC4" s="68" t="s" ph="1">
        <v>151</v>
      </c>
      <c r="AD4" s="68" t="s" ph="1">
        <v>40</v>
      </c>
      <c r="AE4" s="68" t="s" ph="1">
        <v>152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7" ph="1"/>
      <c r="C5" s="67" t="s" ph="1">
        <v>36</v>
      </c>
      <c r="D5" s="70" t="s" ph="1">
        <v>194</v>
      </c>
      <c r="E5" s="70" t="s" ph="1">
        <v>55</v>
      </c>
      <c r="F5" s="70" t="s" ph="1">
        <v>130</v>
      </c>
      <c r="G5" s="70" t="s" ph="1">
        <v>56</v>
      </c>
      <c r="H5" s="70" t="s" ph="1">
        <v>56</v>
      </c>
      <c r="I5" s="70" t="s" ph="1">
        <v>57</v>
      </c>
      <c r="J5" s="70" t="s" ph="1">
        <v>58</v>
      </c>
      <c r="K5" s="70" t="s" ph="1">
        <v>59</v>
      </c>
      <c r="L5" s="70" t="s" ph="1">
        <v>136</v>
      </c>
      <c r="M5" s="70" t="s" ph="1">
        <v>60</v>
      </c>
      <c r="N5" s="70" t="s" ph="1">
        <v>61</v>
      </c>
      <c r="O5" s="70" t="s" ph="1">
        <v>138</v>
      </c>
      <c r="P5" s="70" t="s" ph="1">
        <v>88</v>
      </c>
      <c r="Q5" s="70" t="s" ph="1">
        <v>96</v>
      </c>
      <c r="R5" s="70" t="s" ph="1">
        <v>96</v>
      </c>
      <c r="S5" s="70" t="s" ph="1">
        <v>96</v>
      </c>
      <c r="T5" s="70" t="s" ph="1">
        <v>96</v>
      </c>
      <c r="U5" s="70" t="s" ph="1">
        <v>96</v>
      </c>
      <c r="V5" s="70" t="s" ph="1">
        <v>96</v>
      </c>
      <c r="W5" s="70" t="s" ph="1">
        <v>96</v>
      </c>
      <c r="X5" s="70" t="s" ph="1">
        <v>96</v>
      </c>
      <c r="Y5" s="70" t="s" ph="1">
        <v>96</v>
      </c>
      <c r="Z5" s="70" t="s" ph="1">
        <v>95</v>
      </c>
      <c r="AA5" s="70" t="s" ph="1">
        <v>62</v>
      </c>
      <c r="AB5" s="70" t="s" ph="1">
        <v>62</v>
      </c>
      <c r="AC5" s="70" t="s" ph="1">
        <v>222</v>
      </c>
      <c r="AD5" s="70" t="s" ph="1">
        <v>83</v>
      </c>
      <c r="AE5" s="70" t="s" ph="1">
        <v>661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5" ph="1">
        <v>0.33333333333333331</v>
      </c>
      <c r="C6" s="151" t="s" ph="1">
        <v>211</v>
      </c>
      <c r="D6" s="71">
        <v>4096</v>
      </c>
      <c r="E6" s="71">
        <v>0</v>
      </c>
      <c r="F6" s="71">
        <v>3761</v>
      </c>
      <c r="G6" s="71">
        <v>8877</v>
      </c>
      <c r="H6" s="71">
        <v>4398</v>
      </c>
      <c r="I6" s="71">
        <v>39.15</v>
      </c>
      <c r="J6" s="71">
        <v>79.92</v>
      </c>
      <c r="K6" s="71">
        <v>48.13</v>
      </c>
      <c r="L6" s="71">
        <v>36.76</v>
      </c>
      <c r="M6" s="71">
        <v>5693</v>
      </c>
      <c r="N6" s="71">
        <v>6270</v>
      </c>
      <c r="O6" s="71">
        <v>4351</v>
      </c>
      <c r="P6" s="71">
        <v>2040</v>
      </c>
      <c r="Q6" s="71">
        <v>0</v>
      </c>
      <c r="R6" s="71">
        <v>0</v>
      </c>
      <c r="S6" s="71">
        <v>3354</v>
      </c>
      <c r="T6" s="71">
        <v>7000</v>
      </c>
      <c r="U6" s="71">
        <v>6258</v>
      </c>
      <c r="V6" s="71">
        <v>6021</v>
      </c>
      <c r="W6" s="71">
        <v>4628</v>
      </c>
      <c r="X6" s="71">
        <v>0</v>
      </c>
      <c r="Y6" s="71">
        <v>0</v>
      </c>
      <c r="Z6" s="71">
        <v>4587</v>
      </c>
      <c r="AA6" s="71">
        <v>1130</v>
      </c>
      <c r="AB6" s="71">
        <v>2231</v>
      </c>
      <c r="AC6" s="71">
        <v>6768</v>
      </c>
      <c r="AD6" s="71">
        <v>2211</v>
      </c>
      <c r="AE6" s="71">
        <v>3290</v>
      </c>
    </row>
    <row r="7" spans="1:99" s="72" customFormat="1" ht="22.5" ph="1">
      <c r="B7" s="235" ph="1"/>
      <c r="C7" s="68" t="s" ph="1">
        <v>212</v>
      </c>
      <c r="D7" s="73" ph="1">
        <f>D6*33.183*LOOKUP(D8,密度!$A$2:$A$50,密度!$Q$2:$Q$50)</f>
        <v>129738.75535872001</v>
      </c>
      <c r="E7" s="73" ph="1">
        <f>E6*51.53*LOOKUP(E8,密度!$A$2:$A$50,密度!$I$2:$I$50)</f>
        <v>0</v>
      </c>
      <c r="F7" s="73" ph="1">
        <f>F6*33.183*LOOKUP(F8,密度!$A$2:$A$50,密度!$C$2:$C$50)</f>
        <v>139253.24925540001</v>
      </c>
      <c r="G7" s="73" ph="1">
        <f xml:space="preserve"> (G6+2)*51.53*LOOKUP(G8,密度!$A$2:$A$50,密度!$B$2:$B$50)</f>
        <v>360949.25894299999</v>
      </c>
      <c r="H7" s="73" ph="1">
        <f>(H6)*51.53*LOOKUP(H8,密度!$A$2:$A$50,密度!$B$2:$B$50)</f>
        <v>179943.37836</v>
      </c>
      <c r="I7" s="73" ph="1">
        <f>I6*290.8*1.0267</f>
        <v>11688.794693999998</v>
      </c>
      <c r="J7" s="73" ph="1">
        <f>J6*290.8*0.7892</f>
        <v>18341.588851200002</v>
      </c>
      <c r="K7" s="73" ph="1">
        <f>K6*290.8*1.1126</f>
        <v>15572.176570400003</v>
      </c>
      <c r="L7" s="73" ph="1">
        <f>L6*290.8*0.777</f>
        <v>8305.9808159999993</v>
      </c>
      <c r="M7" s="73" ph="1">
        <f>M6*33.183*LOOKUP(M8,密度!$A$2:$A$50,密度!$D$2:$D$50)</f>
        <v>195806.06389349999</v>
      </c>
      <c r="N7" s="73" ph="1">
        <f>N6*33.183*LOOKUP(N8,密度!$A$2:$A$50,密度!$E$2:$E$50)</f>
        <v>165821.75577000002</v>
      </c>
      <c r="O7" s="73" ph="1">
        <f>O6*20.428*LOOKUP(O8,密度!$A$2:$A$50,密度!$C$2:$C$50)</f>
        <v>98694.825971200014</v>
      </c>
      <c r="P7" s="73" ph="1">
        <f>P6*51.53*LOOKUP(P8,密度!$A$2:$A$50,密度!$B$2:$B$50)</f>
        <v>82751.408639999994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22593.804433199999</v>
      </c>
      <c r="T7" s="73" ph="1">
        <f>T6*1.5*1.5*3.1416*LOOKUP(T8,密度!$A$2:$A$50,密度!$L$2:$L$50)</f>
        <v>47105.150399999999</v>
      </c>
      <c r="U7" s="73" ph="1">
        <f>U6*1.5*1.5*3.1416*LOOKUP(U8,密度!$A$2:$A$50,密度!$L$2:$L$50)</f>
        <v>41890.827963599993</v>
      </c>
      <c r="V7" s="73" ph="1">
        <f>V6*1.5*1.5*3.1416*LOOKUP(V8,密度!$A$2:$A$50,密度!$L$2:$L$50)</f>
        <v>40176.678326399997</v>
      </c>
      <c r="W7" s="73" ph="1">
        <f>W6*1.5*1.5*3.1416*LOOKUP(W8,密度!$A$2:$A$50,密度!$L$2:$L$50)</f>
        <v>30979.6663176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144447.689529</v>
      </c>
      <c r="AA7" s="73" ph="1">
        <f>AA6*33.183*LOOKUP(AA8,密度!$A$2:$A$50,密度!$D$2:$D$50)</f>
        <v>38865.422834999998</v>
      </c>
      <c r="AB7" s="73" ph="1">
        <f>AB6*20.428*LOOKUP(AB8,密度!$A$2:$A$50,密度!$D$2:$D$50)</f>
        <v>47561.932244800009</v>
      </c>
      <c r="AC7" s="73" ph="1">
        <f>AC6*51.53*LOOKUP(AC8,密度!$A$2:$A$50,密度!$Q$2:$Q$50)</f>
        <v>332900.63588159997</v>
      </c>
      <c r="AD7" s="73" ph="1">
        <f>AD6*20.428*LOOKUP(AD8,密度!$A$2:$A$50,密度!$V$2:$V$50)</f>
        <v>43540.320912000003</v>
      </c>
      <c r="AE7" s="73" ph="1">
        <f>AE6*20.428</f>
        <v>67208.12000000001</v>
      </c>
    </row>
    <row r="8" spans="1:99" ph="1">
      <c r="B8" s="235" ph="1"/>
      <c r="C8" s="68" t="s" ph="1">
        <v>213</v>
      </c>
      <c r="D8" s="74">
        <v>15</v>
      </c>
      <c r="E8" s="74">
        <v>14</v>
      </c>
      <c r="F8" s="74">
        <v>15</v>
      </c>
      <c r="G8" s="74">
        <v>14</v>
      </c>
      <c r="H8" s="74">
        <v>8</v>
      </c>
      <c r="I8" s="74">
        <v>25</v>
      </c>
      <c r="J8" s="74">
        <v>25</v>
      </c>
      <c r="K8" s="74">
        <v>25</v>
      </c>
      <c r="L8" s="74">
        <v>25</v>
      </c>
      <c r="M8" s="74">
        <v>14</v>
      </c>
      <c r="N8" s="74">
        <v>14</v>
      </c>
      <c r="O8" s="74">
        <v>23</v>
      </c>
      <c r="P8" s="74">
        <v>16</v>
      </c>
      <c r="Q8" s="74">
        <v>13</v>
      </c>
      <c r="R8" s="74">
        <v>20</v>
      </c>
      <c r="S8" s="74">
        <v>9</v>
      </c>
      <c r="T8" s="74">
        <v>10</v>
      </c>
      <c r="U8" s="74">
        <v>15</v>
      </c>
      <c r="V8" s="74">
        <v>18</v>
      </c>
      <c r="W8" s="74">
        <v>15</v>
      </c>
      <c r="X8" s="74">
        <v>5</v>
      </c>
      <c r="Y8" s="74">
        <v>13</v>
      </c>
      <c r="Z8" s="74">
        <v>13</v>
      </c>
      <c r="AA8" s="74">
        <v>14</v>
      </c>
      <c r="AB8" s="74">
        <v>6</v>
      </c>
      <c r="AC8" s="74">
        <v>12</v>
      </c>
      <c r="AD8" s="74">
        <v>17</v>
      </c>
      <c r="AE8" s="74">
        <v>17</v>
      </c>
    </row>
    <row r="9" spans="1:99" ph="1">
      <c r="B9" s="235" ph="1">
        <v>0.66666666666666663</v>
      </c>
      <c r="C9" s="151" t="s" ph="1">
        <v>214</v>
      </c>
      <c r="D9" s="71">
        <v>4097</v>
      </c>
      <c r="E9" s="71">
        <v>0</v>
      </c>
      <c r="F9" s="71">
        <v>4315</v>
      </c>
      <c r="G9" s="71">
        <v>8881</v>
      </c>
      <c r="H9" s="71">
        <v>4145</v>
      </c>
      <c r="I9" s="71">
        <v>39.119999999999997</v>
      </c>
      <c r="J9" s="71">
        <v>80.11</v>
      </c>
      <c r="K9" s="71">
        <v>90.87</v>
      </c>
      <c r="L9" s="71">
        <v>37.340000000000003</v>
      </c>
      <c r="M9" s="71">
        <v>5695</v>
      </c>
      <c r="N9" s="71">
        <v>6276</v>
      </c>
      <c r="O9" s="71">
        <v>4227</v>
      </c>
      <c r="P9" s="71">
        <v>1884</v>
      </c>
      <c r="Q9" s="71">
        <v>0</v>
      </c>
      <c r="R9" s="71">
        <v>0</v>
      </c>
      <c r="S9" s="71">
        <v>0</v>
      </c>
      <c r="T9" s="71">
        <v>7000</v>
      </c>
      <c r="U9" s="71">
        <v>6263</v>
      </c>
      <c r="V9" s="71">
        <v>6028</v>
      </c>
      <c r="W9" s="71">
        <v>7000</v>
      </c>
      <c r="X9" s="71">
        <v>2500</v>
      </c>
      <c r="Y9" s="71">
        <v>1846</v>
      </c>
      <c r="Z9" s="71">
        <v>3063</v>
      </c>
      <c r="AA9" s="71">
        <v>1126</v>
      </c>
      <c r="AB9" s="71">
        <v>2230</v>
      </c>
      <c r="AC9" s="71">
        <v>6768</v>
      </c>
      <c r="AD9" s="71">
        <v>248</v>
      </c>
      <c r="AE9" s="71">
        <v>3312</v>
      </c>
    </row>
    <row r="10" spans="1:99" s="72" customFormat="1" ht="22.5" ph="1">
      <c r="B10" s="235" ph="1"/>
      <c r="C10" s="151" t="s" ph="1">
        <v>212</v>
      </c>
      <c r="D10" s="73" ph="1">
        <f>D9*33.183*LOOKUP(D11,密度!$A$2:$A$50,密度!$Q$2:$Q$50)</f>
        <v>129642.63615359999</v>
      </c>
      <c r="E10" s="73" ph="1">
        <f>E9*51.53*LOOKUP(E11,密度!$A$2:$A$50,密度!$I$2:$I$50)</f>
        <v>0</v>
      </c>
      <c r="F10" s="73" ph="1">
        <f>F9*33.183*LOOKUP(F11,密度!$A$2:$A$50,密度!$C$2:$C$50)</f>
        <v>159679.51610399998</v>
      </c>
      <c r="G10" s="73" ph="1">
        <f xml:space="preserve"> (G9+2)*51.53*LOOKUP(G11,密度!$A$2:$A$50,密度!$B$2:$B$50)</f>
        <v>360333.70732799999</v>
      </c>
      <c r="H10" s="73" ph="1">
        <f>(H9)*51.53*LOOKUP(H11,密度!$A$2:$A$50,密度!$B$2:$B$50)</f>
        <v>169036.59009000001</v>
      </c>
      <c r="I10" s="73" ph="1">
        <f>I9*290.8*1.0267</f>
        <v>11679.837763199999</v>
      </c>
      <c r="J10" s="73" ph="1">
        <f>J9*290.8*0.7892</f>
        <v>18385.1937296</v>
      </c>
      <c r="K10" s="73" ph="1">
        <f>K9*290.8*1.1126</f>
        <v>29400.450549600006</v>
      </c>
      <c r="L10" s="73" ph="1">
        <f>L9*290.8*0.777</f>
        <v>8437.0327440000019</v>
      </c>
      <c r="M10" s="73" ph="1">
        <f>M9*33.183*LOOKUP(M11,密度!$A$2:$A$50,密度!$D$2:$D$50)</f>
        <v>195383.51157150001</v>
      </c>
      <c r="N10" s="73" ph="1">
        <f>N9*33.183*LOOKUP(N11,密度!$A$2:$A$50,密度!$E$2:$E$50)</f>
        <v>165043.28258999999</v>
      </c>
      <c r="O10" s="73" ph="1">
        <f>O9*20.428*LOOKUP(O11,密度!$A$2:$A$50,密度!$C$2:$C$50)</f>
        <v>95813.023497599992</v>
      </c>
      <c r="P10" s="73" ph="1">
        <f>P9*51.53*LOOKUP(P11,密度!$A$2:$A$50,密度!$B$2:$B$50)</f>
        <v>76122.403932000001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46956.709799999997</v>
      </c>
      <c r="U10" s="73" ph="1">
        <f>U9*1.5*1.5*3.1416*LOOKUP(U11,密度!$A$2:$A$50,密度!$L$2:$L$50)</f>
        <v>41880.027142799998</v>
      </c>
      <c r="V10" s="73" ph="1">
        <f>V9*1.5*1.5*3.1416*LOOKUP(V11,密度!$A$2:$A$50,密度!$L$2:$L$50)</f>
        <v>40095.559072799995</v>
      </c>
      <c r="W10" s="73" ph="1">
        <f>W9*1.5*1.5*3.1416*LOOKUP(W11,密度!$A$2:$A$50,密度!$L$2:$L$50)</f>
        <v>46758.788999999997</v>
      </c>
      <c r="X10" s="73" ph="1">
        <f>X9*1.5*1.5*3.1416*LOOKUP(X11,密度!$A$2:$A$50,密度!$L$2:$L$50)</f>
        <v>16823.268</v>
      </c>
      <c r="Y10" s="73" ph="1">
        <f>Y9*1.5*1.5*3.1416*LOOKUP(Y11,密度!$A$2:$A$50,密度!$L$2:$L$50)</f>
        <v>12330.960641999998</v>
      </c>
      <c r="Z10" s="73" ph="1">
        <f>Z9*33.183*LOOKUP(Z11,密度!$A$2:$A$50,密度!$L$2:$L$50)</f>
        <v>96354.273491999993</v>
      </c>
      <c r="AA10" s="73" ph="1">
        <f>AA9*33.183*LOOKUP(AA11,密度!$A$2:$A$50,密度!$D$2:$D$50)</f>
        <v>38600.808319799995</v>
      </c>
      <c r="AB10" s="73" ph="1">
        <f>AB9*20.428*LOOKUP(AB11,密度!$A$2:$A$50,密度!$D$2:$D$50)</f>
        <v>47458.615592000002</v>
      </c>
      <c r="AC10" s="73" ph="1">
        <f>AC9*51.53*LOOKUP(AC11,密度!$A$2:$A$50,密度!$Q$2:$Q$50)</f>
        <v>332900.63588159997</v>
      </c>
      <c r="AD10" s="73" ph="1">
        <f>AD9*20.428*LOOKUP(AD11,密度!$A$2:$A$50,密度!$V$2:$V$50)</f>
        <v>4883.7628160000004</v>
      </c>
      <c r="AE10" s="73" ph="1">
        <f>AE9*20.428</f>
        <v>67657.536000000007</v>
      </c>
    </row>
    <row r="11" spans="1:99" ph="1">
      <c r="A11" s="64" t="s" ph="1">
        <v>196</v>
      </c>
      <c r="B11" s="235" ph="1"/>
      <c r="C11" s="151" t="s" ph="1">
        <v>213</v>
      </c>
      <c r="D11" s="74">
        <v>16</v>
      </c>
      <c r="E11" s="74">
        <v>17</v>
      </c>
      <c r="F11" s="74">
        <v>16</v>
      </c>
      <c r="G11" s="74">
        <v>16</v>
      </c>
      <c r="H11" s="74">
        <v>11</v>
      </c>
      <c r="I11" s="74">
        <v>25</v>
      </c>
      <c r="J11" s="74">
        <v>25</v>
      </c>
      <c r="K11" s="74">
        <v>25</v>
      </c>
      <c r="L11" s="74">
        <v>25</v>
      </c>
      <c r="M11" s="74">
        <v>17</v>
      </c>
      <c r="N11" s="74">
        <v>17</v>
      </c>
      <c r="O11" s="74">
        <v>24</v>
      </c>
      <c r="P11" s="74">
        <v>20</v>
      </c>
      <c r="Q11" s="74">
        <v>23</v>
      </c>
      <c r="R11" s="74">
        <v>25</v>
      </c>
      <c r="S11" s="74">
        <v>13</v>
      </c>
      <c r="T11" s="74">
        <v>13</v>
      </c>
      <c r="U11" s="74">
        <v>16</v>
      </c>
      <c r="V11" s="74">
        <v>21</v>
      </c>
      <c r="W11" s="74">
        <v>17</v>
      </c>
      <c r="X11" s="74">
        <v>10</v>
      </c>
      <c r="Y11" s="74">
        <v>17</v>
      </c>
      <c r="Z11" s="74">
        <v>14</v>
      </c>
      <c r="AA11" s="74">
        <v>18</v>
      </c>
      <c r="AB11" s="74">
        <v>8</v>
      </c>
      <c r="AC11" s="74">
        <v>15</v>
      </c>
      <c r="AD11" s="74">
        <v>18</v>
      </c>
      <c r="AE11" s="74">
        <v>20</v>
      </c>
    </row>
    <row r="12" spans="1:99" ht="9.9499999999999993" customHeight="1" ph="1"/>
    <row r="13" spans="1:99" s="72" customFormat="1" ht="29.25" customHeight="1" ph="1">
      <c r="B13" s="212" t="s" ph="1">
        <v>37</v>
      </c>
      <c r="C13" s="151" t="s" ph="1">
        <v>210</v>
      </c>
      <c r="D13" s="76" t="s" ph="1">
        <v>53</v>
      </c>
      <c r="E13" s="76" t="s" ph="1">
        <v>54</v>
      </c>
      <c r="F13" s="76" t="s" ph="1">
        <v>66</v>
      </c>
      <c r="G13" s="76" t="s" ph="1">
        <v>67</v>
      </c>
      <c r="H13" s="76" t="s" ph="1">
        <v>154</v>
      </c>
      <c r="I13" s="76" t="s" ph="1">
        <v>68</v>
      </c>
      <c r="J13" s="76" t="s" ph="1">
        <v>155</v>
      </c>
      <c r="K13" s="76" t="s" ph="1">
        <v>63</v>
      </c>
      <c r="L13" s="76" t="s" ph="1">
        <v>69</v>
      </c>
      <c r="M13" s="76" t="s" ph="1">
        <v>70</v>
      </c>
      <c r="N13" s="76" t="s" ph="1">
        <v>156</v>
      </c>
      <c r="O13" s="76" t="s" ph="1">
        <v>64</v>
      </c>
      <c r="P13" s="76" t="s" ph="1">
        <v>71</v>
      </c>
      <c r="Q13" s="76" t="s" ph="1">
        <v>72</v>
      </c>
      <c r="R13" s="76" t="s" ph="1">
        <v>73</v>
      </c>
      <c r="S13" s="76" t="s" ph="1">
        <v>74</v>
      </c>
      <c r="T13" s="76" t="s" ph="1">
        <v>75</v>
      </c>
      <c r="U13" s="76" t="s" ph="1">
        <v>76</v>
      </c>
      <c r="V13" s="76" t="s" ph="1">
        <v>157</v>
      </c>
      <c r="W13" s="76" t="s" ph="1">
        <v>158</v>
      </c>
      <c r="X13" s="76" t="s" ph="1">
        <v>159</v>
      </c>
      <c r="Y13" s="105" t="s" ph="1">
        <v>77</v>
      </c>
      <c r="Z13" s="76" t="s" ph="1">
        <v>86</v>
      </c>
      <c r="AA13" s="76" t="s" ph="1">
        <v>160</v>
      </c>
      <c r="AB13" s="76" t="s" ph="1">
        <v>161</v>
      </c>
      <c r="AC13" s="76" t="s" ph="1">
        <v>162</v>
      </c>
      <c r="AD13" s="76" t="s" ph="1">
        <v>163</v>
      </c>
      <c r="AE13" s="76" t="s" ph="1">
        <v>164</v>
      </c>
      <c r="AG13" s="72" t="s" ph="1">
        <v>369</v>
      </c>
      <c r="AH13" s="72" t="s" ph="1">
        <v>232</v>
      </c>
      <c r="AI13" s="72" t="s" ph="1">
        <v>233</v>
      </c>
      <c r="AJ13" s="72" t="s" ph="1">
        <v>234</v>
      </c>
      <c r="AK13" s="72" t="s" ph="1">
        <v>235</v>
      </c>
      <c r="AL13" s="72" t="s" ph="1">
        <v>236</v>
      </c>
      <c r="AM13" s="72" t="s" ph="1">
        <v>237</v>
      </c>
      <c r="AN13" s="72" t="s" ph="1">
        <v>238</v>
      </c>
      <c r="AO13" s="72" t="s" ph="1">
        <v>239</v>
      </c>
      <c r="AP13" s="72" t="s" ph="1">
        <v>240</v>
      </c>
      <c r="AQ13" s="72" t="s" ph="1">
        <v>241</v>
      </c>
      <c r="AR13" s="72" t="s" ph="1">
        <v>242</v>
      </c>
      <c r="AS13" s="72" t="s" ph="1">
        <v>243</v>
      </c>
      <c r="AT13" s="72" t="s" ph="1">
        <v>244</v>
      </c>
      <c r="AU13" s="72" t="s" ph="1">
        <v>245</v>
      </c>
      <c r="AV13" s="72" t="s" ph="1">
        <v>246</v>
      </c>
      <c r="AW13" s="72" t="s" ph="1">
        <v>247</v>
      </c>
      <c r="AX13" s="72" t="s" ph="1">
        <v>248</v>
      </c>
      <c r="AY13" s="72" t="s" ph="1">
        <v>370</v>
      </c>
      <c r="AZ13" s="72" t="s" ph="1">
        <v>249</v>
      </c>
      <c r="BA13" s="72" t="s" ph="1">
        <v>250</v>
      </c>
      <c r="BB13" s="72" t="s" ph="1">
        <v>635</v>
      </c>
      <c r="BC13" s="72" t="s" ph="1">
        <v>251</v>
      </c>
      <c r="BD13" s="72" t="s" ph="1">
        <v>371</v>
      </c>
      <c r="BE13" s="72" t="s" ph="1">
        <v>372</v>
      </c>
      <c r="BF13" s="72" t="s" ph="1">
        <v>373</v>
      </c>
      <c r="BG13" s="72" t="s" ph="1">
        <v>374</v>
      </c>
      <c r="BH13" s="72" t="s" ph="1">
        <v>375</v>
      </c>
    </row>
    <row r="14" spans="1:99" s="72" customFormat="1" ht="24" ph="1">
      <c r="B14" s="213" ph="1"/>
      <c r="C14" s="67" t="s" ph="1">
        <v>36</v>
      </c>
      <c r="D14" s="77" t="s" ph="1">
        <v>131</v>
      </c>
      <c r="E14" s="77" t="s" ph="1">
        <v>131</v>
      </c>
      <c r="F14" s="153" t="s" ph="1">
        <v>656</v>
      </c>
      <c r="G14" s="77" t="s" ph="1">
        <v>220</v>
      </c>
      <c r="H14" s="77" t="s" ph="1">
        <v>648</v>
      </c>
      <c r="I14" s="77" t="s" ph="1">
        <v>65</v>
      </c>
      <c r="J14" s="77" t="s" ph="1">
        <v>230</v>
      </c>
      <c r="K14" s="77" t="s" ph="1">
        <v>226</v>
      </c>
      <c r="L14" s="77" t="s" ph="1">
        <v>41</v>
      </c>
      <c r="M14" s="104" t="s" ph="1">
        <v>225</v>
      </c>
      <c r="N14" s="104" t="s" ph="1">
        <v>221</v>
      </c>
      <c r="O14" s="104" t="s" ph="1">
        <v>229</v>
      </c>
      <c r="P14" s="77" t="s" ph="1">
        <v>82</v>
      </c>
      <c r="Q14" s="77" t="s" ph="1">
        <v>82</v>
      </c>
      <c r="R14" s="88" t="s" ph="1">
        <v>7</v>
      </c>
      <c r="S14" s="77" t="s" ph="1">
        <v>82</v>
      </c>
      <c r="T14" s="77" t="s" ph="1">
        <v>98</v>
      </c>
      <c r="U14" s="77" t="s" ph="1">
        <v>659</v>
      </c>
      <c r="V14" s="77" t="s" ph="1">
        <v>649</v>
      </c>
      <c r="W14" s="77" t="s" ph="1">
        <v>223</v>
      </c>
      <c r="X14" s="77" t="s" ph="1">
        <v>78</v>
      </c>
      <c r="Y14" s="144" t="s" ph="1">
        <v>0</v>
      </c>
      <c r="Z14" s="77" t="s" ph="1">
        <v>62</v>
      </c>
      <c r="AA14" s="77" t="s" ph="1">
        <v>88</v>
      </c>
      <c r="AB14" s="77" t="s" ph="1">
        <v>653</v>
      </c>
      <c r="AC14" s="77" t="s" ph="1">
        <v>653</v>
      </c>
      <c r="AD14" s="77" t="s" ph="1">
        <v>136</v>
      </c>
      <c r="AE14" s="77" t="s" ph="1">
        <v>136</v>
      </c>
      <c r="AG14" s="72" t="s" ph="1">
        <v>252</v>
      </c>
      <c r="AI14" s="72" t="s" ph="1">
        <v>253</v>
      </c>
      <c r="AJ14" s="72" t="s" ph="1">
        <v>376</v>
      </c>
      <c r="AK14" s="72" t="s" ph="1">
        <v>254</v>
      </c>
      <c r="AM14" s="72" t="s" ph="1">
        <v>256</v>
      </c>
      <c r="AN14" s="72" t="s" ph="1">
        <v>254</v>
      </c>
      <c r="AO14" s="72" t="s" ph="1">
        <v>255</v>
      </c>
      <c r="AP14" s="72" t="s" ph="1">
        <v>256</v>
      </c>
      <c r="AQ14" s="72" t="s" ph="1">
        <v>254</v>
      </c>
      <c r="AR14" s="72" t="s" ph="1">
        <v>255</v>
      </c>
      <c r="AS14" s="72" t="s" ph="1">
        <v>256</v>
      </c>
      <c r="AT14" s="72" t="s" ph="1">
        <v>254</v>
      </c>
      <c r="AU14" s="72" t="s" ph="1">
        <v>255</v>
      </c>
      <c r="AV14" s="72" t="s" ph="1">
        <v>256</v>
      </c>
      <c r="AW14" s="72" t="s" ph="1">
        <v>254</v>
      </c>
      <c r="AX14" s="72" t="s" ph="1">
        <v>255</v>
      </c>
      <c r="AY14" s="72" t="s" ph="1">
        <v>256</v>
      </c>
      <c r="AZ14" s="72" t="s" ph="1">
        <v>255</v>
      </c>
    </row>
    <row r="15" spans="1:99" ph="1">
      <c r="B15" s="214" ph="1">
        <v>0.33333333333333331</v>
      </c>
      <c r="C15" s="151" t="s" ph="1">
        <v>211</v>
      </c>
      <c r="D15" s="78">
        <v>3450</v>
      </c>
      <c r="E15" s="78">
        <v>72</v>
      </c>
      <c r="F15" s="78">
        <v>3557</v>
      </c>
      <c r="G15" s="78">
        <v>3829</v>
      </c>
      <c r="H15" s="78">
        <v>1076</v>
      </c>
      <c r="I15" s="78">
        <v>7</v>
      </c>
      <c r="J15" s="78">
        <v>392</v>
      </c>
      <c r="K15" s="78">
        <v>1862</v>
      </c>
      <c r="L15" s="78">
        <v>3424</v>
      </c>
      <c r="M15" s="78">
        <v>420</v>
      </c>
      <c r="N15" s="78">
        <v>4164</v>
      </c>
      <c r="O15" s="78">
        <v>233</v>
      </c>
      <c r="P15" s="78">
        <v>0</v>
      </c>
      <c r="Q15" s="78">
        <v>6070</v>
      </c>
      <c r="R15" s="78">
        <v>3491</v>
      </c>
      <c r="S15" s="78">
        <v>5607</v>
      </c>
      <c r="T15" s="78">
        <v>3920</v>
      </c>
      <c r="U15" s="78">
        <v>5115</v>
      </c>
      <c r="V15" s="78">
        <v>-1191</v>
      </c>
      <c r="W15" s="78">
        <v>-594</v>
      </c>
      <c r="X15" s="78">
        <v>1068</v>
      </c>
      <c r="Y15" s="106">
        <v>-9901</v>
      </c>
      <c r="Z15" s="78">
        <v>0</v>
      </c>
      <c r="AA15" s="78">
        <v>29</v>
      </c>
      <c r="AB15" s="78" ph="1">
        <v>6272</v>
      </c>
      <c r="AC15" s="78" ph="1">
        <v>6493</v>
      </c>
      <c r="AD15" s="78">
        <v>84.55</v>
      </c>
      <c r="AE15" s="78">
        <v>14.03</v>
      </c>
      <c r="AG15" s="64" t="s" ph="1">
        <v>258</v>
      </c>
      <c r="AH15" s="64" ph="1">
        <v>1</v>
      </c>
      <c r="AI15" s="64" t="s" ph="1">
        <v>377</v>
      </c>
      <c r="AK15" s="64" t="s" ph="1">
        <v>631</v>
      </c>
      <c r="AM15" s="64" t="s" ph="1">
        <v>379</v>
      </c>
      <c r="AZ15" s="64" t="s" ph="1">
        <v>260</v>
      </c>
      <c r="BA15" s="64" ph="1">
        <v>0</v>
      </c>
    </row>
    <row r="16" spans="1:99" s="72" customFormat="1" ht="22.5" ph="1">
      <c r="B16" s="215" ph="1"/>
      <c r="C16" s="151" t="s" ph="1">
        <v>212</v>
      </c>
      <c r="D16" s="73" ph="1">
        <f>D15*7.0686*LOOKUP(D17,密度!$A$2:$A$50,密度!$L$2:$L$50)</f>
        <v>23094.176489999998</v>
      </c>
      <c r="E16" s="73" ph="1">
        <f>E15*7.0686*LOOKUP(E17,密度!$A$2:$A$50,密度!$L$2:$L$50)</f>
        <v>481.96542240000002</v>
      </c>
      <c r="F16" s="73" ph="1">
        <f>F15*9.0746*LOOKUP(F17,密度!$A$2:$A$50,密度!$L$2:$L$50)</f>
        <v>30535.321181200001</v>
      </c>
      <c r="G16" s="73" ph="1">
        <f>G15*9.0746*LOOKUP(G17,密度!$A$2:$A$50,密度!$B$2:$B$50)</f>
        <v>27380.354999200001</v>
      </c>
      <c r="H16" s="73" ph="1">
        <f>H15*9.0746*LOOKUP(H17,密度!$A$2:$A$50,密度!$L$2:$L$50)</f>
        <v>9295.5846591999998</v>
      </c>
      <c r="I16" s="73" ph="1">
        <f>I15*9.0746*LOOKUP(I17,密度!$A$2:$A$50,密度!$U$2:$U$50)</f>
        <v>65.300821600000006</v>
      </c>
      <c r="J16" s="73" ph="1">
        <f>J15*9.0746*LOOKUP(J17,密度!$A$2:$A$50,密度!$L$2:$L$50)</f>
        <v>3372.2665536</v>
      </c>
      <c r="K16" s="73" ph="1">
        <f>K15*9.0746*LOOKUP(K17,密度!$A$2:$A$50,密度!$C$2:$C$50)</f>
        <v>18867.084346320004</v>
      </c>
      <c r="L16" s="73" ph="1">
        <f>L15*9.0746*LOOKUP(L17,密度!$A$2:$A$50,密度!$E$2:$E$50)</f>
        <v>24692.465738880001</v>
      </c>
      <c r="M16" s="73" ph="1">
        <f>M15*9.0746*LOOKUP(M17,密度!$A$2:$A$50,密度!$M$2:$M$50)</f>
        <v>3355.1155595999999</v>
      </c>
      <c r="N16" s="73" ph="1">
        <f>N15*9.0746*LOOKUP(N17,密度!$A$2:$A$50,密度!$M$2:$M$50)</f>
        <v>33263.574262319999</v>
      </c>
      <c r="O16" s="73" ph="1">
        <f>O15*9.0746*LOOKUP(O17,密度!$A$2:$A$50,密度!$G$2:$G$50)</f>
        <v>2053.48760416</v>
      </c>
      <c r="P16" s="73" ph="1">
        <f ca="1">P15*9.0746*LOOKUP(P17,密度!$A$2:$A$51,密度!$Q$2:$Q$50)</f>
        <v>0</v>
      </c>
      <c r="Q16" s="73" ph="1">
        <f>Q15*9.0746*LOOKUP(Q17,密度!$A$2:$A$50,密度!$Q$2:$Q$50)</f>
        <v>52578.756911880002</v>
      </c>
      <c r="R16" s="73" ph="1">
        <f>MAX(R15*9.0746*LOOKUP(R17,密度!$A$2:$A$50,密度!$B$2:$B$50),0)</f>
        <v>24912.702651039999</v>
      </c>
      <c r="S16" s="73" ph="1">
        <f>S15*9.0746*LOOKUP(S17,密度!$A$2:$A$50,密度!$Q$2:$Q$50)</f>
        <v>48568.219111188002</v>
      </c>
      <c r="T16" s="73" ph="1">
        <f>T15*9.0746*LOOKUP(T17,密度!$A$2:$A$50,密度!$O$2:$O$50)</f>
        <v>33224.651488000003</v>
      </c>
      <c r="U16" s="73" ph="1">
        <f>U15*9.0746*LOOKUP(U17,密度!$A$2:$A$50,密度!$H$2:$H$50)</f>
        <v>42967.827180299995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215.4641142240007</v>
      </c>
      <c r="X16" s="73" ph="1">
        <f>MAX(5600*LOOKUP(X17,密度!$A$2:$A$50,密度!$I$2:$I$50)+X15*9.0476*LOOKUP(X17,密度!$A$2:$A$50,密度!$I$2:$I$50),0)</f>
        <v>15737.053139375999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208.26751476000001</v>
      </c>
      <c r="AB16" s="73" ph="1">
        <f>AB15*9.0746*LOOKUP(AB17,密度!$A$2:$A$50,密度!$L$2:$L$50)</f>
        <v>53842.433075199995</v>
      </c>
      <c r="AC16" s="73" ph="1">
        <f>AC15*9.0746*LOOKUP(AC17,密度!$A$2:$A$50,密度!$L$2:$L$50)</f>
        <v>55916.387532200002</v>
      </c>
      <c r="AD16" s="73" ph="1">
        <f>AD15*268.68*LOOKUP(AD17,密度!$A$2:$A$50,密度!B2:B50)+IF(AD15&lt;=0,0,1566*LOOKUP(AD17,密度!$A$2:$A$50,密度!B2:B50))</f>
        <v>18930.944162399999</v>
      </c>
      <c r="AE16" s="73" ph="1">
        <f>AE15*268.68*LOOKUP(AE17,密度!$A$2:$A$50,密度!B2:B50)+IF(AE15&lt;=0,0,1566*LOOKUP(AE17,密度!$A$2:$A$50,密度!B2:B50))</f>
        <v>4159.6184798399991</v>
      </c>
      <c r="AH16" s="72" ph="1">
        <v>2</v>
      </c>
      <c r="AI16" s="72" t="s" ph="1">
        <v>381</v>
      </c>
      <c r="AZ16" s="72" t="s" ph="1">
        <v>260</v>
      </c>
      <c r="BA16" s="72" ph="1">
        <v>0</v>
      </c>
    </row>
    <row r="17" spans="1:57" ph="1">
      <c r="A17" s="64" t="s" ph="1">
        <v>85</v>
      </c>
      <c r="B17" s="216" ph="1"/>
      <c r="C17" s="79" t="s" ph="1">
        <v>213</v>
      </c>
      <c r="D17" s="74">
        <v>15</v>
      </c>
      <c r="E17" s="74">
        <v>15</v>
      </c>
      <c r="F17" s="74">
        <v>16</v>
      </c>
      <c r="G17" s="74">
        <v>15</v>
      </c>
      <c r="H17" s="74">
        <v>10</v>
      </c>
      <c r="I17" s="74">
        <v>13</v>
      </c>
      <c r="J17" s="74">
        <v>14</v>
      </c>
      <c r="K17" s="74">
        <v>14</v>
      </c>
      <c r="L17" s="74">
        <v>15</v>
      </c>
      <c r="M17" s="74">
        <v>14</v>
      </c>
      <c r="N17" s="74">
        <v>15</v>
      </c>
      <c r="O17" s="74">
        <v>15</v>
      </c>
      <c r="P17" s="74">
        <v>13</v>
      </c>
      <c r="Q17" s="74">
        <v>15</v>
      </c>
      <c r="R17" s="74">
        <v>17</v>
      </c>
      <c r="S17" s="74">
        <v>15</v>
      </c>
      <c r="T17" s="74">
        <v>15</v>
      </c>
      <c r="U17" s="74">
        <v>14</v>
      </c>
      <c r="V17" s="74">
        <v>15</v>
      </c>
      <c r="W17" s="74">
        <v>15</v>
      </c>
      <c r="X17" s="74">
        <v>35</v>
      </c>
      <c r="Y17" s="108">
        <v>35</v>
      </c>
      <c r="Z17" s="74">
        <v>14</v>
      </c>
      <c r="AA17" s="74">
        <v>11</v>
      </c>
      <c r="AB17" s="74">
        <v>16</v>
      </c>
      <c r="AC17" s="74">
        <v>13</v>
      </c>
      <c r="AD17" s="74">
        <v>25</v>
      </c>
      <c r="AE17" s="74">
        <v>25</v>
      </c>
      <c r="AH17" s="64" ph="1">
        <v>3</v>
      </c>
      <c r="AI17" s="64" t="s" ph="1">
        <v>382</v>
      </c>
      <c r="AK17" s="64" t="s" ph="1">
        <v>614</v>
      </c>
      <c r="AL17" s="64" ph="1">
        <v>80</v>
      </c>
      <c r="AM17" s="64" t="s" ph="1">
        <v>379</v>
      </c>
      <c r="AZ17" s="64" t="s" ph="1">
        <v>260</v>
      </c>
      <c r="BA17" s="64" ph="1">
        <v>80</v>
      </c>
      <c r="BD17" s="64" t="s" ph="1">
        <v>258</v>
      </c>
      <c r="BE17" s="64" ph="1">
        <v>2270</v>
      </c>
    </row>
    <row r="18" spans="1:57" ph="1">
      <c r="B18" s="214" ph="1">
        <v>0.66666666666666663</v>
      </c>
      <c r="C18" s="79" t="s" ph="1">
        <v>214</v>
      </c>
      <c r="D18" s="71">
        <v>4230</v>
      </c>
      <c r="E18" s="71">
        <v>73</v>
      </c>
      <c r="F18" s="71">
        <v>3558</v>
      </c>
      <c r="G18" s="71">
        <v>3866</v>
      </c>
      <c r="H18" s="71">
        <v>2871</v>
      </c>
      <c r="I18" s="71">
        <v>9</v>
      </c>
      <c r="J18" s="71">
        <v>391</v>
      </c>
      <c r="K18" s="71">
        <v>1870</v>
      </c>
      <c r="L18" s="71">
        <v>3430</v>
      </c>
      <c r="M18" s="71">
        <v>3236</v>
      </c>
      <c r="N18" s="71">
        <v>2255</v>
      </c>
      <c r="O18" s="71">
        <v>228</v>
      </c>
      <c r="P18" s="71">
        <v>1100</v>
      </c>
      <c r="Q18" s="71">
        <v>4523</v>
      </c>
      <c r="R18" s="71">
        <v>3496</v>
      </c>
      <c r="S18" s="71">
        <v>5613</v>
      </c>
      <c r="T18" s="71">
        <v>2934</v>
      </c>
      <c r="U18" s="71">
        <v>5118</v>
      </c>
      <c r="V18" s="71">
        <v>-1193</v>
      </c>
      <c r="W18" s="71">
        <v>-596</v>
      </c>
      <c r="X18" s="71">
        <v>1067</v>
      </c>
      <c r="Y18" s="109">
        <v>-9901</v>
      </c>
      <c r="Z18" s="71">
        <v>0</v>
      </c>
      <c r="AA18" s="71">
        <v>28</v>
      </c>
      <c r="AB18" s="71">
        <v>6283</v>
      </c>
      <c r="AC18" s="71">
        <v>6502</v>
      </c>
      <c r="AD18" s="71">
        <v>84.02</v>
      </c>
      <c r="AE18" s="71">
        <v>43.56</v>
      </c>
      <c r="AH18" s="64" ph="1">
        <v>4</v>
      </c>
      <c r="AI18" s="64" t="s" ph="1">
        <v>384</v>
      </c>
      <c r="AJ18" s="64" t="s" ph="1">
        <v>632</v>
      </c>
      <c r="AK18" s="64" t="s" ph="1">
        <v>631</v>
      </c>
      <c r="AL18" s="64" ph="1">
        <v>740</v>
      </c>
      <c r="AM18" s="64" t="s" ph="1">
        <v>383</v>
      </c>
      <c r="AZ18" s="64" t="s" ph="1">
        <v>260</v>
      </c>
      <c r="BA18" s="64" ph="1">
        <v>740</v>
      </c>
    </row>
    <row r="19" spans="1:57" s="72" customFormat="1" ht="22.5" ph="1">
      <c r="B19" s="215" ph="1"/>
      <c r="C19" s="151" t="s" ph="1">
        <v>212</v>
      </c>
      <c r="D19" s="73" ph="1">
        <f>D18*7.0686*LOOKUP(D20,密度!$A$2:$A$50,密度!$L$2:$L$50)</f>
        <v>28255.66821</v>
      </c>
      <c r="E19" s="73" ph="1">
        <f>E18*7.0686*LOOKUP(E20,密度!$A$2:$A$50,密度!$L$2:$L$50)</f>
        <v>487.62737099999993</v>
      </c>
      <c r="F19" s="73" ph="1">
        <f>F18*9.0746*LOOKUP(F20,密度!$A$2:$A$50,密度!$L$2:$L$50)</f>
        <v>30479.330899199998</v>
      </c>
      <c r="G19" s="73" ph="1">
        <f>G18*9.0746*LOOKUP(G20,密度!$A$2:$A$50,密度!$B$2:$B$50)</f>
        <v>27616.868113919998</v>
      </c>
      <c r="H19" s="73" ph="1">
        <f>H18*9.0746*LOOKUP(H20,密度!$A$2:$A$50,密度!$L$2:$L$50)</f>
        <v>24411.826474199999</v>
      </c>
      <c r="I19" s="73" ph="1">
        <f>I18*9.0746*LOOKUP(I20,密度!$A$2:$A$50,密度!$U$2:$U$50)</f>
        <v>83.95819920000001</v>
      </c>
      <c r="J19" s="73" ph="1">
        <f>J18*9.0746*LOOKUP(J20,密度!$A$2:$A$50,密度!$L$2:$L$50)</f>
        <v>3342.3748211999996</v>
      </c>
      <c r="K19" s="73" ph="1">
        <f>K18*9.0746*LOOKUP(K20,密度!$A$2:$A$50,密度!$C$2:$C$50)</f>
        <v>18912.509979000002</v>
      </c>
      <c r="L19" s="73" ph="1">
        <f>L18*9.0746*LOOKUP(L20,密度!$A$2:$A$50,密度!$E$2:$E$50)</f>
        <v>24667.258314999999</v>
      </c>
      <c r="M19" s="73" ph="1">
        <f>M18*9.0746*LOOKUP(M20,密度!$A$2:$A$50,密度!$M$2:$M$50)</f>
        <v>25850.366549680002</v>
      </c>
      <c r="N19" s="73" ph="1">
        <f>N18*9.0746*LOOKUP(N20,密度!$A$2:$A$50,密度!$M$2:$M$50)</f>
        <v>18013.775206900002</v>
      </c>
      <c r="O19" s="73" ph="1">
        <f>O18*9.0746*LOOKUP(O20,密度!$A$2:$A$50,密度!$G$2:$G$50)</f>
        <v>1996.38659112</v>
      </c>
      <c r="P19" s="73" ph="1">
        <f ca="1">P18*9.0746*LOOKUP(P20,密度!$A$2:$A$51,密度!$Q$2:$Q$50)</f>
        <v>9457.7023881999994</v>
      </c>
      <c r="Q19" s="73" ph="1">
        <f>Q18*9.0746*LOOKUP(Q20,密度!$A$2:$A$50,密度!$Q$2:$Q$50)</f>
        <v>39107.119374239999</v>
      </c>
      <c r="R19" s="73" ph="1">
        <f>MAX(R18*9.0746*LOOKUP(R20,密度!$A$2:$A$50,密度!$B$2:$B$50),0)</f>
        <v>24846.864613120004</v>
      </c>
      <c r="S19" s="73" ph="1">
        <f>S18*9.0746*LOOKUP(S20,密度!$A$2:$A$50,密度!$Q$2:$Q$50)</f>
        <v>48572.311937279999</v>
      </c>
      <c r="T19" s="73" ph="1">
        <f>T18*9.0746*LOOKUP(T20,密度!$A$2:$A$50,密度!$O$2:$O$50)</f>
        <v>24761.135052000001</v>
      </c>
      <c r="U19" s="73" ph="1">
        <f>U18*9.0746*LOOKUP(U20,密度!$A$2:$A$50,密度!$H$2:$H$50)</f>
        <v>42900.14064636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197.32777955200072</v>
      </c>
      <c r="X19" s="73" ph="1">
        <f>MAX(5600*LOOKUP(X20,密度!$A$2:$A$50,密度!$I$2:$I$50)+X18*9.0476*LOOKUP(X20,密度!$A$2:$A$50,密度!$I$2:$I$50),0)</f>
        <v>15744.656136456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199.81543231999999</v>
      </c>
      <c r="AB19" s="73" ph="1">
        <f>AB18*9.0746*LOOKUP(AB20,密度!$A$2:$A$50,密度!$L$2:$L$50)</f>
        <v>53822.831939200005</v>
      </c>
      <c r="AC19" s="73" ph="1">
        <f>AC18*9.0746*LOOKUP(AC20,密度!$A$2:$A$50,密度!$L$2:$L$50)</f>
        <v>55875.887592399995</v>
      </c>
      <c r="AD19" s="73" ph="1">
        <f>AD18*268.68*LOOKUP(AD20,密度!$A$2:$A$50,密度!B5:B53)+IF(AD18&lt;=0,0,1566*LOOKUP(AD20,密度!$A$2:$A$50,密度!B5:B53))</f>
        <v>18757.163527199998</v>
      </c>
      <c r="AE19" s="73" ph="1">
        <f>AE18*268.68*LOOKUP(AE20,密度!$A$2:$A$50,密度!B5:B53)+IF(AE18&lt;=0,0,1566*LOOKUP(AE20,密度!$A$2:$A$50,密度!B5:B53))</f>
        <v>10310.5575216</v>
      </c>
      <c r="AH19" s="72" ph="1">
        <v>5</v>
      </c>
      <c r="AI19" s="72" t="s" ph="1">
        <v>385</v>
      </c>
      <c r="AZ19" s="72" t="s" ph="1">
        <v>260</v>
      </c>
      <c r="BA19" s="72" ph="1">
        <v>0</v>
      </c>
      <c r="BD19" s="72" t="s" ph="1">
        <v>386</v>
      </c>
      <c r="BE19" s="72" ph="1">
        <v>1440</v>
      </c>
    </row>
    <row r="20" spans="1:57" ph="1">
      <c r="A20" s="72" ph="1"/>
      <c r="B20" s="215" ph="1"/>
      <c r="C20" s="80" t="s" ph="1">
        <v>213</v>
      </c>
      <c r="D20" s="81">
        <v>17</v>
      </c>
      <c r="E20" s="81">
        <v>17</v>
      </c>
      <c r="F20" s="81">
        <v>18</v>
      </c>
      <c r="G20" s="81">
        <v>16</v>
      </c>
      <c r="H20" s="81">
        <v>25</v>
      </c>
      <c r="I20" s="81">
        <v>17</v>
      </c>
      <c r="J20" s="81">
        <v>20</v>
      </c>
      <c r="K20" s="81">
        <v>17</v>
      </c>
      <c r="L20" s="81">
        <v>17</v>
      </c>
      <c r="M20" s="81">
        <v>20</v>
      </c>
      <c r="N20" s="81">
        <v>18</v>
      </c>
      <c r="O20" s="81">
        <v>21</v>
      </c>
      <c r="P20" s="81">
        <v>24</v>
      </c>
      <c r="Q20" s="81">
        <v>17</v>
      </c>
      <c r="R20" s="81">
        <v>21</v>
      </c>
      <c r="S20" s="81">
        <v>16</v>
      </c>
      <c r="T20" s="81">
        <v>20</v>
      </c>
      <c r="U20" s="81">
        <v>16</v>
      </c>
      <c r="V20" s="81">
        <v>20</v>
      </c>
      <c r="W20" s="81">
        <v>20</v>
      </c>
      <c r="X20" s="81">
        <v>34</v>
      </c>
      <c r="Y20" s="110">
        <v>34</v>
      </c>
      <c r="Z20" s="81">
        <v>23</v>
      </c>
      <c r="AA20" s="81">
        <v>17</v>
      </c>
      <c r="AB20" s="81">
        <v>18</v>
      </c>
      <c r="AC20" s="81">
        <v>15</v>
      </c>
      <c r="AD20" s="81">
        <v>25</v>
      </c>
      <c r="AE20" s="81">
        <v>25</v>
      </c>
      <c r="AH20" s="64" ph="1">
        <v>6</v>
      </c>
      <c r="AI20" s="64" t="s" ph="1">
        <v>387</v>
      </c>
      <c r="AZ20" s="64" t="s" ph="1">
        <v>260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388</v>
      </c>
      <c r="AZ21" s="64" t="s" ph="1">
        <v>260</v>
      </c>
      <c r="BA21" s="64" ph="1">
        <v>0</v>
      </c>
      <c r="BD21" s="64" t="s" ph="1">
        <v>276</v>
      </c>
      <c r="BE21" s="64" ph="1">
        <v>730</v>
      </c>
    </row>
    <row r="22" spans="1:57" ph="1">
      <c r="A22" s="72" ph="1"/>
      <c r="B22" s="213" t="s" ph="1">
        <v>37</v>
      </c>
      <c r="C22" s="85" t="s" ph="1">
        <v>210</v>
      </c>
      <c r="D22" s="86" t="s" ph="1">
        <v>104</v>
      </c>
      <c r="E22" s="86" t="s" ph="1">
        <v>105</v>
      </c>
      <c r="F22" s="86" t="s" ph="1">
        <v>106</v>
      </c>
      <c r="G22" s="86" t="s" ph="1">
        <v>107</v>
      </c>
      <c r="H22" s="86" t="s" ph="1">
        <v>108</v>
      </c>
      <c r="I22" s="86" t="s" ph="1">
        <v>109</v>
      </c>
      <c r="J22" s="86" t="s" ph="1">
        <v>110</v>
      </c>
      <c r="K22" s="86" t="s" ph="1">
        <v>111</v>
      </c>
      <c r="L22" s="86" t="s" ph="1">
        <v>112</v>
      </c>
      <c r="M22" s="86" t="s" ph="1">
        <v>113</v>
      </c>
      <c r="N22" s="86" t="s" ph="1">
        <v>114</v>
      </c>
      <c r="O22" s="86" t="s" ph="1">
        <v>115</v>
      </c>
      <c r="P22" s="86" t="s" ph="1">
        <v>116</v>
      </c>
      <c r="Q22" s="87" t="s" ph="1">
        <v>117</v>
      </c>
      <c r="R22" s="86" t="s" ph="1">
        <v>118</v>
      </c>
      <c r="S22" s="86" t="s" ph="1">
        <v>119</v>
      </c>
      <c r="T22" s="86" t="s" ph="1">
        <v>120</v>
      </c>
      <c r="U22" s="86" t="s" ph="1">
        <v>121</v>
      </c>
      <c r="V22" s="86" t="s" ph="1">
        <v>122</v>
      </c>
      <c r="W22" s="86" t="s" ph="1">
        <v>123</v>
      </c>
      <c r="X22" s="86" t="s" ph="1">
        <v>124</v>
      </c>
      <c r="Y22" s="86" t="s" ph="1">
        <v>126</v>
      </c>
      <c r="Z22" s="223" t="s" ph="1">
        <v>79</v>
      </c>
      <c r="AA22" s="224"/>
      <c r="AB22" s="224"/>
      <c r="AC22" s="224"/>
      <c r="AD22" s="224"/>
      <c r="AE22" s="225"/>
      <c r="AH22" s="64" ph="1">
        <v>8</v>
      </c>
      <c r="AI22" s="64" t="s" ph="1">
        <v>389</v>
      </c>
      <c r="AZ22" s="64" t="s" ph="1">
        <v>260</v>
      </c>
      <c r="BA22" s="64" ph="1">
        <v>0</v>
      </c>
    </row>
    <row r="23" spans="1:57" ph="1">
      <c r="A23" s="72" ph="1"/>
      <c r="B23" s="217" ph="1"/>
      <c r="C23" s="67" t="s" ph="1">
        <v>36</v>
      </c>
      <c r="D23" s="88" t="s" ph="1">
        <v>128</v>
      </c>
      <c r="E23" s="88" t="s" ph="1">
        <v>125</v>
      </c>
      <c r="F23" s="88" t="s" ph="1">
        <v>224</v>
      </c>
      <c r="G23" s="88" t="s" ph="1">
        <v>165</v>
      </c>
      <c r="H23" s="88" t="s" ph="1">
        <v>165</v>
      </c>
      <c r="I23" s="88" t="s" ph="1">
        <v>166</v>
      </c>
      <c r="J23" s="88" t="s" ph="1">
        <v>167</v>
      </c>
      <c r="K23" s="88" t="s" ph="1">
        <v>129</v>
      </c>
      <c r="L23" s="88" t="s" ph="1">
        <v>129</v>
      </c>
      <c r="M23" s="88" t="s" ph="1">
        <v>167</v>
      </c>
      <c r="N23" s="88" t="s" ph="1">
        <v>167</v>
      </c>
      <c r="O23" s="88" t="s" ph="1">
        <v>132</v>
      </c>
      <c r="P23" s="88" t="s" ph="1">
        <v>168</v>
      </c>
      <c r="Q23" s="89" t="s" ph="1">
        <v>168</v>
      </c>
      <c r="R23" s="88" t="s" ph="1">
        <v>169</v>
      </c>
      <c r="S23" s="88" t="s" ph="1">
        <v>170</v>
      </c>
      <c r="T23" s="88" t="s" ph="1">
        <v>651</v>
      </c>
      <c r="U23" s="88" t="s" ph="1">
        <v>660</v>
      </c>
      <c r="V23" s="88" t="s" ph="1">
        <v>172</v>
      </c>
      <c r="W23" s="88" t="s" ph="1">
        <v>170</v>
      </c>
      <c r="X23" s="88" t="s" ph="1">
        <v>231</v>
      </c>
      <c r="Y23" s="88" t="s" ph="1">
        <v>97</v>
      </c>
      <c r="Z23" s="226" t="s" ph="1">
        <v>654</v>
      </c>
      <c r="AA23" s="227"/>
      <c r="AB23" s="227"/>
      <c r="AC23" s="227"/>
      <c r="AD23" s="227"/>
      <c r="AE23" s="228"/>
      <c r="AH23" s="64" ph="1">
        <v>9</v>
      </c>
      <c r="AI23" s="64" t="s" ph="1">
        <v>390</v>
      </c>
      <c r="AZ23" s="64" t="s" ph="1">
        <v>260</v>
      </c>
      <c r="BA23" s="64" ph="1">
        <v>0</v>
      </c>
      <c r="BD23" s="64" t="s" ph="1">
        <v>282</v>
      </c>
      <c r="BE23" s="64" ph="1">
        <v>890</v>
      </c>
    </row>
    <row r="24" spans="1:57" ph="1">
      <c r="A24" s="72" ph="1"/>
      <c r="B24" s="235" ph="1">
        <v>0.33333333333333331</v>
      </c>
      <c r="C24" s="151" t="s" ph="1">
        <v>211</v>
      </c>
      <c r="D24" s="71">
        <v>44.25</v>
      </c>
      <c r="E24" s="71">
        <v>97.56</v>
      </c>
      <c r="F24" s="71">
        <v>2148</v>
      </c>
      <c r="G24" s="71">
        <v>3901</v>
      </c>
      <c r="H24" s="71">
        <v>3169</v>
      </c>
      <c r="I24" s="71">
        <v>2532</v>
      </c>
      <c r="J24" s="71">
        <v>2447</v>
      </c>
      <c r="K24" s="71">
        <v>5603</v>
      </c>
      <c r="L24" s="71">
        <v>5577</v>
      </c>
      <c r="M24" s="71">
        <v>1383</v>
      </c>
      <c r="N24" s="71">
        <v>868</v>
      </c>
      <c r="O24" s="71">
        <v>2053</v>
      </c>
      <c r="P24" s="71">
        <v>2480</v>
      </c>
      <c r="Q24" s="90">
        <v>549</v>
      </c>
      <c r="R24" s="71">
        <v>2014</v>
      </c>
      <c r="S24" s="71">
        <v>798</v>
      </c>
      <c r="T24" s="71">
        <v>6384</v>
      </c>
      <c r="U24" s="71">
        <v>4472</v>
      </c>
      <c r="V24" s="71">
        <v>1839</v>
      </c>
      <c r="W24" s="71">
        <v>11504</v>
      </c>
      <c r="X24" s="71">
        <v>9073</v>
      </c>
      <c r="Y24" s="71">
        <v>5366</v>
      </c>
      <c r="Z24" s="229"/>
      <c r="AA24" s="230"/>
      <c r="AB24" s="230"/>
      <c r="AC24" s="230"/>
      <c r="AD24" s="230"/>
      <c r="AE24" s="231"/>
      <c r="AH24" s="64" ph="1">
        <v>10</v>
      </c>
      <c r="AI24" s="64" t="s" ph="1">
        <v>391</v>
      </c>
      <c r="AZ24" s="64" t="s" ph="1">
        <v>260</v>
      </c>
      <c r="BA24" s="64" ph="1">
        <v>0</v>
      </c>
    </row>
    <row r="25" spans="1:57" ph="1">
      <c r="A25" s="72" ph="1"/>
      <c r="B25" s="235" ph="1"/>
      <c r="C25" s="68" t="s" ph="1">
        <v>212</v>
      </c>
      <c r="D25" s="91" ph="1">
        <f>D24*268.68*LOOKUP(D26,密度!$A$2:$A$50,密度!$Q$2:$Q$50)+IF(D24&lt;=0,0,1566*LOOKUP(D26,密度!$A$2:$A$50,密度!$Q$2:$Q$50))</f>
        <v>12738.4719066</v>
      </c>
      <c r="E25" s="91" ph="1">
        <f>E24*268.68*LOOKUP(E26,密度!$A$2:$A$50,密度!$C$2:$C$50)+IF(E24&lt;=0,0,1566*LOOKUP(E26,密度!$A$2:$A$50,密度!$C$2:$C$50))</f>
        <v>30803.490825119999</v>
      </c>
      <c r="F25" s="91" ph="1">
        <f>F24*11.702*LOOKUP(F26,密度!$A$2:$A$50,密度!$Q$2:$Q$50)</f>
        <v>23969.590425599999</v>
      </c>
      <c r="G25" s="91" ph="1">
        <f>G24*18.322*LOOKUP(G26,密度!$A$2:$A$50,密度!$B$2:$B$50)</f>
        <v>56321.608136000003</v>
      </c>
      <c r="H25" s="91" ph="1">
        <f>H24*18.322*LOOKUP(H26,密度!$A$2:$A$50,密度!$B$2:$B$50)</f>
        <v>45805.441560200001</v>
      </c>
      <c r="I25" s="91" ph="1">
        <f>I24*18.322*LOOKUP(I26,密度!$A$2:$A$50,密度!$Q$2:$Q$50)</f>
        <v>44282.355320160001</v>
      </c>
      <c r="J25" s="91" ph="1">
        <f>J24*18.322*LOOKUP(J26,密度!$A$2:$A$50,密度!$Q$2:$Q$50)</f>
        <v>42795.783360360001</v>
      </c>
      <c r="K25" s="91" ph="1">
        <f>K24*18.322*LOOKUP(K26,密度!$A$2:$A$50,密度!$Q$2:$Q$50)</f>
        <v>97894.827097599991</v>
      </c>
      <c r="L25" s="91" ph="1">
        <f>L24*18.322*LOOKUP(L26,密度!$A$2:$A$50,密度!$Q$2:$Q$50)</f>
        <v>97536.609644759999</v>
      </c>
      <c r="M25" s="91" ph="1">
        <f>M24*18.322*LOOKUP(M26,密度!$A$2:$A$50,密度!$Q$2:$Q$50)</f>
        <v>24187.400240039999</v>
      </c>
      <c r="N25" s="91" ph="1">
        <f>N24*18.322*LOOKUP(N26,密度!$A$2:$A$50,密度!$Q$2:$Q$50)</f>
        <v>15180.52307184</v>
      </c>
      <c r="O25" s="91" ph="1">
        <f>O24*18.322*LOOKUP(O26,密度!$A$2:$A$50,密度!$C$2:$C$50)</f>
        <v>41948.321603199998</v>
      </c>
      <c r="P25" s="91" ph="1">
        <f>P24*11.702*LOOKUP(P26,密度!$A$2:$A$50,密度!$B$2:$B$50)</f>
        <v>22845.299712</v>
      </c>
      <c r="Q25" s="92" ph="1">
        <f>Q24*18.322*LOOKUP(Q26,密度!$A$2:$A$50,密度!$B$2:$B$50)</f>
        <v>7926.3170640000008</v>
      </c>
      <c r="R25" s="91" ph="1">
        <f>R24*35.891*LOOKUP(R26,密度!$A$2:$A$50,密度!$C$2:$C$50)</f>
        <v>80655.016089199999</v>
      </c>
      <c r="S25" s="91" ph="1">
        <f>S24*35.891*LOOKUP(S26,密度!$A$2:$A$50,密度!$B$2:$B$50)</f>
        <v>22546.209369600001</v>
      </c>
      <c r="T25" s="91" ph="1">
        <f>T24*35.891*LOOKUP(T26,密度!$A$2:$A$50,密度!$Q$2:$Q$50)</f>
        <v>218711.97857376002</v>
      </c>
      <c r="U25" s="91" ph="1">
        <f>U24*35.891</f>
        <v>160504.552</v>
      </c>
      <c r="V25" s="91" ph="1">
        <f>V24*47.051*LOOKUP(V26,密度!$A$2:$A$50,密度!$B$2:$B$50)</f>
        <v>68183.109732000012</v>
      </c>
      <c r="W25" s="91" ph="1">
        <f>W24*47.051*LOOKUP(W26,密度!$A$2:$A$50,密度!$B$2:$B$50)</f>
        <v>426091.44698880002</v>
      </c>
      <c r="X25" s="91" ph="1">
        <f>X24*47.051*LOOKUP(X26,密度!$A$2:$A$50,密度!$I$2:$I$50)</f>
        <v>442108.21528771997</v>
      </c>
      <c r="Y25" s="91" ph="1">
        <f>Y24*47.051*LOOKUP(Y26,密度!$A$2:$A$50,密度!$L$2:$L$50)</f>
        <v>237832.07737199997</v>
      </c>
      <c r="Z25" s="229"/>
      <c r="AA25" s="230"/>
      <c r="AB25" s="230"/>
      <c r="AC25" s="230"/>
      <c r="AD25" s="230"/>
      <c r="AE25" s="231"/>
      <c r="AH25" s="64" ph="1">
        <v>11</v>
      </c>
      <c r="AI25" s="64" t="s" ph="1">
        <v>392</v>
      </c>
      <c r="AZ25" s="64" t="s" ph="1">
        <v>260</v>
      </c>
      <c r="BA25" s="64" ph="1">
        <v>0</v>
      </c>
      <c r="BD25" s="64" t="s" ph="1">
        <v>285</v>
      </c>
      <c r="BE25" s="64" ph="1">
        <v>8920</v>
      </c>
    </row>
    <row r="26" spans="1:57" ph="1">
      <c r="A26" s="72" ph="1"/>
      <c r="B26" s="235" ph="1"/>
      <c r="C26" s="68" t="s" ph="1">
        <v>213</v>
      </c>
      <c r="D26" s="74">
        <v>25</v>
      </c>
      <c r="E26" s="74">
        <v>25</v>
      </c>
      <c r="F26" s="74">
        <v>16</v>
      </c>
      <c r="G26" s="74">
        <v>15</v>
      </c>
      <c r="H26" s="74">
        <v>14</v>
      </c>
      <c r="I26" s="74">
        <v>15</v>
      </c>
      <c r="J26" s="74">
        <v>15</v>
      </c>
      <c r="K26" s="74">
        <v>16</v>
      </c>
      <c r="L26" s="74">
        <v>15</v>
      </c>
      <c r="M26" s="74">
        <v>14</v>
      </c>
      <c r="N26" s="74">
        <v>14</v>
      </c>
      <c r="O26" s="74">
        <v>16</v>
      </c>
      <c r="P26" s="74">
        <v>16</v>
      </c>
      <c r="Q26" s="93">
        <v>15</v>
      </c>
      <c r="R26" s="74">
        <v>15</v>
      </c>
      <c r="S26" s="74">
        <v>16</v>
      </c>
      <c r="T26" s="74">
        <v>15</v>
      </c>
      <c r="U26" s="74">
        <v>14</v>
      </c>
      <c r="V26" s="74">
        <v>15</v>
      </c>
      <c r="W26" s="74">
        <v>16</v>
      </c>
      <c r="X26" s="74">
        <v>49</v>
      </c>
      <c r="Y26" s="74">
        <v>20</v>
      </c>
      <c r="Z26" s="229"/>
      <c r="AA26" s="230"/>
      <c r="AB26" s="230"/>
      <c r="AC26" s="230"/>
      <c r="AD26" s="230"/>
      <c r="AE26" s="231"/>
      <c r="AH26" s="64" ph="1">
        <v>12</v>
      </c>
      <c r="AI26" s="64" t="s" ph="1">
        <v>393</v>
      </c>
      <c r="AZ26" s="64" t="s" ph="1">
        <v>260</v>
      </c>
      <c r="BA26" s="64" ph="1">
        <v>0</v>
      </c>
    </row>
    <row r="27" spans="1:57" ph="1">
      <c r="A27" s="72" ph="1"/>
      <c r="B27" s="235" ph="1">
        <v>0.66666666666666663</v>
      </c>
      <c r="C27" s="151" t="s" ph="1">
        <v>214</v>
      </c>
      <c r="D27" s="71">
        <v>44.23</v>
      </c>
      <c r="E27" s="71">
        <v>97.66</v>
      </c>
      <c r="F27" s="71">
        <v>2150</v>
      </c>
      <c r="G27" s="71">
        <v>3432</v>
      </c>
      <c r="H27" s="71">
        <v>2676</v>
      </c>
      <c r="I27" s="71">
        <v>2531</v>
      </c>
      <c r="J27" s="71">
        <v>2446</v>
      </c>
      <c r="K27" s="71">
        <v>5605</v>
      </c>
      <c r="L27" s="71">
        <v>5575</v>
      </c>
      <c r="M27" s="71">
        <v>1379</v>
      </c>
      <c r="N27" s="71">
        <v>864</v>
      </c>
      <c r="O27" s="71">
        <v>2050</v>
      </c>
      <c r="P27" s="71">
        <v>2483</v>
      </c>
      <c r="Q27" s="90">
        <v>1371</v>
      </c>
      <c r="R27" s="71">
        <v>2011</v>
      </c>
      <c r="S27" s="71">
        <v>795</v>
      </c>
      <c r="T27" s="71">
        <v>6384</v>
      </c>
      <c r="U27" s="71">
        <v>4681</v>
      </c>
      <c r="V27" s="71">
        <v>1559</v>
      </c>
      <c r="W27" s="71">
        <v>11509</v>
      </c>
      <c r="X27" s="71">
        <v>9675</v>
      </c>
      <c r="Y27" s="71">
        <v>5888</v>
      </c>
      <c r="Z27" s="229"/>
      <c r="AA27" s="230"/>
      <c r="AB27" s="230"/>
      <c r="AC27" s="230"/>
      <c r="AD27" s="230"/>
      <c r="AE27" s="231"/>
      <c r="AH27" s="64" ph="1">
        <v>13</v>
      </c>
      <c r="AI27" s="64" t="s" ph="1">
        <v>394</v>
      </c>
      <c r="AZ27" s="64" t="s" ph="1">
        <v>260</v>
      </c>
      <c r="BA27" s="64" ph="1">
        <v>0</v>
      </c>
      <c r="BD27" s="64" t="s" ph="1">
        <v>339</v>
      </c>
      <c r="BE27" s="64" ph="1">
        <v>7100</v>
      </c>
    </row>
    <row r="28" spans="1:57" ph="1">
      <c r="A28" s="72" ph="1"/>
      <c r="B28" s="235" ph="1"/>
      <c r="C28" s="151" t="s" ph="1">
        <v>212</v>
      </c>
      <c r="D28" s="91" ph="1">
        <f>D27*268.68*LOOKUP(D29,密度!$A$2:$A$50,密度!$Q$2:$Q$50)+IF(D27&lt;=0,0,1566*LOOKUP(D29,密度!$A$2:$A$50,密度!$Q$2:$Q$50))</f>
        <v>12733.384504535999</v>
      </c>
      <c r="E28" s="91" ph="1">
        <f>E27*268.68*LOOKUP(E29,密度!$A$2:$A$50,密度!$C$2:$C$50)+IF(E27&lt;=0,0,1566*LOOKUP(E29,密度!$A$2:$A$50,密度!$C$2:$C$50))</f>
        <v>30833.284750319999</v>
      </c>
      <c r="F28" s="91" ph="1">
        <f>F27*11.702*LOOKUP(F29,密度!$A$2:$A$50,密度!$Q$2:$Q$50)</f>
        <v>23951.905192999999</v>
      </c>
      <c r="G28" s="91" ph="1">
        <f>G27*18.322*LOOKUP(G29,密度!$A$2:$A$50,密度!$B$2:$B$50)</f>
        <v>49449.700185599999</v>
      </c>
      <c r="H28" s="91" ph="1">
        <f>H27*18.322*LOOKUP(H29,密度!$A$2:$A$50,密度!$B$2:$B$50)</f>
        <v>38596.157798399996</v>
      </c>
      <c r="I28" s="91" ph="1">
        <f>I27*18.322*LOOKUP(I29,密度!$A$2:$A$50,密度!$Q$2:$Q$50)</f>
        <v>44264.866238279996</v>
      </c>
      <c r="J28" s="91" ph="1">
        <f>J27*18.322*LOOKUP(J29,密度!$A$2:$A$50,密度!$Q$2:$Q$50)</f>
        <v>42736.167603200003</v>
      </c>
      <c r="K28" s="91" ph="1">
        <f>K27*18.322*LOOKUP(K29,密度!$A$2:$A$50,密度!$Q$2:$Q$50)</f>
        <v>97847.614967999994</v>
      </c>
      <c r="L28" s="91" ph="1">
        <f>L27*18.322*LOOKUP(L29,密度!$A$2:$A$50,密度!$Q$2:$Q$50)</f>
        <v>97405.61503999999</v>
      </c>
      <c r="M28" s="91" ph="1">
        <f>M27*18.322*LOOKUP(M29,密度!$A$2:$A$50,密度!$Q$2:$Q$50)</f>
        <v>24117.443912520001</v>
      </c>
      <c r="N28" s="91" ph="1">
        <f>N27*18.322*LOOKUP(N29,密度!$A$2:$A$50,密度!$Q$2:$Q$50)</f>
        <v>15095.686348799998</v>
      </c>
      <c r="O28" s="91" ph="1">
        <f>O27*18.322*LOOKUP(O29,密度!$A$2:$A$50,密度!$C$2:$C$50)</f>
        <v>41860.731449999999</v>
      </c>
      <c r="P28" s="91" ph="1">
        <f>P27*11.702*LOOKUP(P29,密度!$A$2:$A$50,密度!$B$2:$B$50)</f>
        <v>22849.690302399998</v>
      </c>
      <c r="Q28" s="92" ph="1">
        <f>Q27*18.322*LOOKUP(Q29,密度!$A$2:$A$50,密度!$B$2:$B$50)</f>
        <v>19774.040486400001</v>
      </c>
      <c r="R28" s="91" ph="1">
        <f>R27*35.891*LOOKUP(R29,密度!$A$2:$A$50,密度!$C$2:$C$50)</f>
        <v>80441.044714499993</v>
      </c>
      <c r="S28" s="91" ph="1">
        <f>S27*35.891*LOOKUP(S29,密度!$A$2:$A$50,密度!$B$2:$B$50)</f>
        <v>22438.622507999997</v>
      </c>
      <c r="T28" s="91" ph="1">
        <f>T27*35.891*LOOKUP(T29,密度!$A$2:$A$50,密度!$Q$2:$Q$50)</f>
        <v>218496.5981184</v>
      </c>
      <c r="U28" s="91" ph="1">
        <f>U27*35.891</f>
        <v>168005.77099999998</v>
      </c>
      <c r="V28" s="91" ph="1">
        <f>V27*47.051*LOOKUP(V29,密度!$A$2:$A$50,密度!$B$2:$B$50)</f>
        <v>57801.777092000004</v>
      </c>
      <c r="W28" s="91" ph="1">
        <f>W27*47.051*LOOKUP(W29,密度!$A$2:$A$50,密度!$B$2:$B$50)</f>
        <v>425843.43175760005</v>
      </c>
      <c r="X28" s="91" ph="1">
        <f>X27*47.051*LOOKUP(X29,密度!$A$2:$A$50,密度!$I$2:$I$50)</f>
        <v>467281.71326250001</v>
      </c>
      <c r="Y28" s="91" ph="1">
        <f>Y27*47.051*LOOKUP(Y29,密度!$A$2:$A$50,密度!$L$2:$L$50)</f>
        <v>260137.07443199999</v>
      </c>
      <c r="Z28" s="229"/>
      <c r="AA28" s="230"/>
      <c r="AB28" s="230"/>
      <c r="AC28" s="230"/>
      <c r="AD28" s="230"/>
      <c r="AE28" s="231"/>
      <c r="AH28" s="64" ph="1">
        <v>14</v>
      </c>
      <c r="AI28" s="64" t="s" ph="1">
        <v>395</v>
      </c>
      <c r="AZ28" s="64" t="s" ph="1">
        <v>260</v>
      </c>
      <c r="BA28" s="64" ph="1">
        <v>0</v>
      </c>
    </row>
    <row r="29" spans="1:57" ph="1">
      <c r="A29" s="72" ph="1"/>
      <c r="B29" s="235" ph="1"/>
      <c r="C29" s="151" t="s" ph="1">
        <v>213</v>
      </c>
      <c r="D29" s="74">
        <v>25</v>
      </c>
      <c r="E29" s="74">
        <v>25</v>
      </c>
      <c r="F29" s="74">
        <v>18</v>
      </c>
      <c r="G29" s="74">
        <v>17</v>
      </c>
      <c r="H29" s="74">
        <v>16</v>
      </c>
      <c r="I29" s="74">
        <v>15</v>
      </c>
      <c r="J29" s="74">
        <v>16</v>
      </c>
      <c r="K29" s="74">
        <v>17</v>
      </c>
      <c r="L29" s="74">
        <v>16</v>
      </c>
      <c r="M29" s="74">
        <v>15</v>
      </c>
      <c r="N29" s="74">
        <v>16</v>
      </c>
      <c r="O29" s="74">
        <v>17</v>
      </c>
      <c r="P29" s="74">
        <v>17</v>
      </c>
      <c r="Q29" s="93">
        <v>16</v>
      </c>
      <c r="R29" s="74">
        <v>17</v>
      </c>
      <c r="S29" s="74">
        <v>17</v>
      </c>
      <c r="T29" s="74">
        <v>16</v>
      </c>
      <c r="U29" s="74">
        <v>17</v>
      </c>
      <c r="V29" s="74">
        <v>15</v>
      </c>
      <c r="W29" s="74">
        <v>17</v>
      </c>
      <c r="X29" s="74">
        <v>39</v>
      </c>
      <c r="Y29" s="74">
        <v>23</v>
      </c>
      <c r="Z29" s="232"/>
      <c r="AA29" s="233"/>
      <c r="AB29" s="233"/>
      <c r="AC29" s="233"/>
      <c r="AD29" s="233"/>
      <c r="AE29" s="234"/>
      <c r="AH29" s="64" ph="1">
        <v>15</v>
      </c>
      <c r="AI29" s="64" t="s" ph="1">
        <v>396</v>
      </c>
      <c r="AZ29" s="64" t="s" ph="1">
        <v>260</v>
      </c>
      <c r="BA29" s="64" ph="1">
        <v>0</v>
      </c>
      <c r="BD29" s="64" t="s" ph="1">
        <v>397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398</v>
      </c>
      <c r="AZ30" s="64" t="s" ph="1">
        <v>260</v>
      </c>
      <c r="BA30" s="64" ph="1">
        <v>0</v>
      </c>
    </row>
    <row r="31" spans="1:57" ht="28.5" ph="1">
      <c r="A31" s="64"/>
      <c r="B31" s="218" t="s" ph="1">
        <v>35</v>
      </c>
      <c r="C31" s="219" ph="1"/>
      <c r="D31" s="222" t="s" ph="1">
        <v>9</v>
      </c>
      <c r="E31" s="197" ph="1"/>
      <c r="F31" s="198" ph="1"/>
      <c r="G31" s="222" t="s" ph="1">
        <v>18</v>
      </c>
      <c r="H31" s="197" ph="1"/>
      <c r="I31" s="198" ph="1"/>
      <c r="J31" s="196" t="s" ph="1">
        <v>1</v>
      </c>
      <c r="K31" s="197" ph="1"/>
      <c r="L31" s="198" ph="1"/>
      <c r="M31" s="196" t="s" ph="1">
        <v>7</v>
      </c>
      <c r="N31" s="197" ph="1"/>
      <c r="O31" s="198" ph="1"/>
      <c r="P31" s="196" t="s" ph="1">
        <v>42</v>
      </c>
      <c r="Q31" s="197"/>
      <c r="R31" s="198"/>
      <c r="S31" s="196" t="s" ph="1">
        <v>2</v>
      </c>
      <c r="T31" s="197"/>
      <c r="U31" s="198"/>
      <c r="V31" s="196" t="s" ph="1">
        <v>81</v>
      </c>
      <c r="W31" s="197" ph="1"/>
      <c r="X31" s="198" ph="1"/>
      <c r="Y31" s="196" t="s" ph="1">
        <v>3</v>
      </c>
      <c r="Z31" s="197" ph="1"/>
      <c r="AA31" s="198" ph="1"/>
      <c r="AB31" s="199" t="s">
        <v>43</v>
      </c>
      <c r="AC31" s="200"/>
      <c r="AD31" s="200"/>
      <c r="AE31" s="201"/>
      <c r="AH31" s="64" ph="1">
        <v>17</v>
      </c>
      <c r="AI31" s="64" t="s" ph="1">
        <v>399</v>
      </c>
      <c r="AZ31" s="64" t="s" ph="1">
        <v>260</v>
      </c>
      <c r="BA31" s="64" ph="1">
        <v>0</v>
      </c>
      <c r="BD31" s="64" t="s" ph="1">
        <v>400</v>
      </c>
      <c r="BE31" s="64" ph="1">
        <v>9310</v>
      </c>
    </row>
    <row r="32" spans="1:57" ph="1">
      <c r="A32" s="64"/>
      <c r="B32" s="220" ph="1"/>
      <c r="C32" s="221" ph="1"/>
      <c r="D32" s="96" t="s" ph="1">
        <v>4</v>
      </c>
      <c r="E32" s="151" t="s" ph="1">
        <v>5</v>
      </c>
      <c r="F32" s="150" t="s" ph="1">
        <v>44</v>
      </c>
      <c r="G32" s="97" t="s" ph="1">
        <v>4</v>
      </c>
      <c r="H32" s="151" t="s" ph="1">
        <v>5</v>
      </c>
      <c r="I32" s="150" t="s" ph="1">
        <v>44</v>
      </c>
      <c r="J32" s="97" t="s" ph="1">
        <v>4</v>
      </c>
      <c r="K32" s="151" t="s" ph="1">
        <v>5</v>
      </c>
      <c r="L32" s="150" t="s" ph="1">
        <v>44</v>
      </c>
      <c r="M32" s="97" t="s" ph="1">
        <v>4</v>
      </c>
      <c r="N32" s="151" t="s" ph="1">
        <v>5</v>
      </c>
      <c r="O32" s="150" t="s" ph="1">
        <v>44</v>
      </c>
      <c r="P32" s="97" t="s" ph="1">
        <v>4</v>
      </c>
      <c r="Q32" s="98" t="s" ph="1">
        <v>5</v>
      </c>
      <c r="R32" s="99" t="s" ph="1">
        <v>44</v>
      </c>
      <c r="S32" s="97" t="s" ph="1">
        <v>4</v>
      </c>
      <c r="T32" s="151" t="s" ph="1">
        <v>5</v>
      </c>
      <c r="U32" s="99" t="s" ph="1">
        <v>44</v>
      </c>
      <c r="V32" s="97" t="s" ph="1">
        <v>4</v>
      </c>
      <c r="W32" s="151" t="s" ph="1">
        <v>5</v>
      </c>
      <c r="X32" s="99" t="s" ph="1">
        <v>44</v>
      </c>
      <c r="Y32" s="100" t="s" ph="1">
        <v>4</v>
      </c>
      <c r="Z32" s="151" t="s" ph="1">
        <v>5</v>
      </c>
      <c r="AA32" s="150" t="s" ph="1">
        <v>44</v>
      </c>
      <c r="AB32" s="97" t="s" ph="1">
        <v>102</v>
      </c>
      <c r="AC32" s="151" t="s" ph="1">
        <v>101</v>
      </c>
      <c r="AD32" s="202" t="s" ph="1">
        <v>100</v>
      </c>
      <c r="AE32" s="203"/>
      <c r="AH32" s="64" ph="1">
        <v>18</v>
      </c>
      <c r="AI32" s="64" t="s" ph="1">
        <v>401</v>
      </c>
      <c r="AZ32" s="64" t="s" ph="1">
        <v>260</v>
      </c>
      <c r="BA32" s="64" ph="1">
        <v>0</v>
      </c>
    </row>
    <row r="33" spans="1:57" ph="1">
      <c r="A33" s="64"/>
      <c r="B33" s="204" t="s" ph="1">
        <v>215</v>
      </c>
      <c r="C33" s="205" ph="1"/>
      <c r="D33" s="184" ph="1">
        <f>AA10+AB10+Z19</f>
        <v>86059.423911799997</v>
      </c>
      <c r="E33" s="184" ph="1">
        <f>M10+I10</f>
        <v>207063.3493347</v>
      </c>
      <c r="F33" s="208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[[#This Row],[F25]]</f>
        <v>3880</v>
      </c>
      <c r="G33" s="210" ph="1">
        <v>0</v>
      </c>
      <c r="H33" s="184" ph="1">
        <f>N19</f>
        <v>18013.775206900002</v>
      </c>
      <c r="I33" s="188" ph="1">
        <v>0</v>
      </c>
      <c r="J33" s="192" ph="1">
        <f>F10+O28</f>
        <v>201540.24755399997</v>
      </c>
      <c r="K33" s="184" ph="1">
        <f>O10+K10+E28+R28</f>
        <v>236487.80351201998</v>
      </c>
      <c r="L33" s="194" ph="1">
        <f>BE27</f>
        <v>7100</v>
      </c>
      <c r="M33" s="192" ph="1">
        <f>G10+H10+W28+S28</f>
        <v>977652.35168359999</v>
      </c>
      <c r="N33" s="184" ph="1">
        <f>L10+P10++G28+H28+V28</f>
        <v>230407.07175199999</v>
      </c>
      <c r="O33" s="188" ph="1">
        <f>BE17</f>
        <v>2270</v>
      </c>
      <c r="P33" s="192" ph="1">
        <f>L19</f>
        <v>24667.258314999999</v>
      </c>
      <c r="Q33" s="184" ph="1">
        <f>J10+N10</f>
        <v>183428.47631959998</v>
      </c>
      <c r="R33" s="188" ph="1">
        <f>BE23</f>
        <v>890</v>
      </c>
      <c r="S33" s="192" ph="1">
        <f>E10+X28</f>
        <v>467281.71326250001</v>
      </c>
      <c r="T33" s="184" ph="1">
        <f>X19</f>
        <v>15744.656136456</v>
      </c>
      <c r="U33" s="173" ph="1">
        <f>BE21</f>
        <v>730</v>
      </c>
      <c r="V33" s="186" ph="1">
        <f ca="1">P19+Q19+S19+M28+N28+J28</f>
        <v>179086.43156424002</v>
      </c>
      <c r="W33" s="186" ph="1">
        <f>D28+F28+V19+T28</f>
        <v>255181.887815936</v>
      </c>
      <c r="X33" s="188" ph="1">
        <f>BE29+BE31</f>
        <v>10200</v>
      </c>
      <c r="Y33" s="190" ph="1">
        <f>+Q10+R10+S10+T10+U10+V10+W10+X10+Y10</f>
        <v>204845.3136576</v>
      </c>
      <c r="Z33" s="171" ph="1">
        <f>D10+T19+U19+Y28+Z10</f>
        <v>553795.25977596</v>
      </c>
      <c r="AA33" s="173" ph="1">
        <f>BE19</f>
        <v>1440</v>
      </c>
      <c r="AB33" s="175" ph="1">
        <f>I19</f>
        <v>83.95819920000001</v>
      </c>
      <c r="AC33" s="177" ph="1">
        <f>AD10</f>
        <v>4883.7628160000004</v>
      </c>
      <c r="AD33" s="179" ph="1">
        <v>0</v>
      </c>
      <c r="AE33" s="180"/>
      <c r="AH33" s="64" ph="1">
        <v>19</v>
      </c>
      <c r="AI33" s="64" t="s" ph="1">
        <v>402</v>
      </c>
      <c r="AJ33" s="64" t="s" ph="1">
        <v>636</v>
      </c>
      <c r="AK33" s="64" t="s" ph="1">
        <v>633</v>
      </c>
      <c r="AL33" s="64" ph="1">
        <v>730</v>
      </c>
      <c r="AM33" s="64" t="s" ph="1">
        <v>383</v>
      </c>
      <c r="AZ33" s="64" t="s" ph="1">
        <v>260</v>
      </c>
      <c r="BA33" s="64" ph="1">
        <v>730</v>
      </c>
      <c r="BD33" s="64" t="s" ph="1">
        <v>334</v>
      </c>
      <c r="BE33" s="64" ph="1">
        <v>3880</v>
      </c>
    </row>
    <row r="34" spans="1:57" ph="1">
      <c r="A34" s="64"/>
      <c r="B34" s="206" ph="1"/>
      <c r="C34" s="207" ph="1"/>
      <c r="D34" s="185" ph="1"/>
      <c r="E34" s="185" ph="1"/>
      <c r="F34" s="209" ph="1"/>
      <c r="G34" s="211" ph="1"/>
      <c r="H34" s="185" ph="1"/>
      <c r="I34" s="189" ph="1"/>
      <c r="J34" s="193" ph="1"/>
      <c r="K34" s="185" ph="1"/>
      <c r="L34" s="195" ph="1"/>
      <c r="M34" s="193" ph="1"/>
      <c r="N34" s="185" ph="1"/>
      <c r="O34" s="189" ph="1"/>
      <c r="P34" s="193" ph="1"/>
      <c r="Q34" s="185" ph="1"/>
      <c r="R34" s="189" ph="1"/>
      <c r="S34" s="193" ph="1"/>
      <c r="T34" s="185"/>
      <c r="U34" s="174"/>
      <c r="V34" s="187" ph="1"/>
      <c r="W34" s="187" ph="1"/>
      <c r="X34" s="189" ph="1"/>
      <c r="Y34" s="191" ph="1"/>
      <c r="Z34" s="172" ph="1"/>
      <c r="AA34" s="174" ph="1"/>
      <c r="AB34" s="176"/>
      <c r="AC34" s="178"/>
      <c r="AD34" s="181"/>
      <c r="AE34" s="182"/>
      <c r="AH34" s="64" ph="1">
        <v>20</v>
      </c>
      <c r="AI34" s="64" t="s" ph="1">
        <v>403</v>
      </c>
      <c r="AJ34" s="64" t="s" ph="1">
        <v>637</v>
      </c>
      <c r="AK34" s="64" t="s" ph="1">
        <v>633</v>
      </c>
      <c r="AL34" s="64" ph="1">
        <v>720</v>
      </c>
      <c r="AM34" s="64" t="s" ph="1">
        <v>383</v>
      </c>
      <c r="AZ34" s="64" t="s" ph="1">
        <v>260</v>
      </c>
      <c r="BA34" s="64" ph="1">
        <v>720</v>
      </c>
    </row>
    <row r="35" spans="1:57" ph="1">
      <c r="A35" s="64"/>
      <c r="AC35" s="183" t="s" ph="1">
        <v>84</v>
      </c>
      <c r="AD35" s="183"/>
      <c r="AE35" s="183"/>
      <c r="AH35" s="64" ph="1">
        <v>21</v>
      </c>
      <c r="AI35" s="64" t="s" ph="1">
        <v>404</v>
      </c>
      <c r="AZ35" s="64" t="s" ph="1">
        <v>260</v>
      </c>
      <c r="BA35" s="64" ph="1">
        <v>0</v>
      </c>
      <c r="BD35" s="64" t="s" ph="1">
        <v>405</v>
      </c>
      <c r="BE35" s="64" ph="1">
        <v>2030</v>
      </c>
    </row>
    <row r="36" spans="1:57" ht="28.5" ph="1">
      <c r="A36" s="64"/>
      <c r="B36" s="103" t="s" ph="1">
        <v>216</v>
      </c>
      <c r="I36" s="169" t="s" ph="1">
        <v>217</v>
      </c>
      <c r="J36" s="169" ph="1"/>
      <c r="K36" s="101" ph="1"/>
      <c r="P36" s="101" ph="1"/>
      <c r="R36" s="169" t="s" ph="1">
        <v>218</v>
      </c>
      <c r="S36" s="169" ph="1"/>
      <c r="Y36" s="102" ph="1"/>
      <c r="Z36" s="149" t="s" ph="1">
        <v>219</v>
      </c>
      <c r="AA36" s="149" ph="1"/>
      <c r="AB36" s="170" t="s" ph="1">
        <v>655</v>
      </c>
      <c r="AC36" s="170" ph="1"/>
      <c r="AD36" s="170" ph="1"/>
      <c r="AE36" s="170" ph="1"/>
      <c r="BA36" s="64" ph="1">
        <v>2270</v>
      </c>
    </row>
    <row r="37" spans="1:57" s="14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9" t="s" ph="1">
        <v>386</v>
      </c>
      <c r="AI37" s="149" t="s" ph="1">
        <v>253</v>
      </c>
      <c r="AJ37" s="149" t="s" ph="1">
        <v>254</v>
      </c>
      <c r="AK37" s="149" t="s" ph="1">
        <v>255</v>
      </c>
      <c r="AM37" s="149" t="s" ph="1">
        <v>254</v>
      </c>
      <c r="AN37" s="149" t="s" ph="1">
        <v>255</v>
      </c>
      <c r="AO37" s="149" t="s" ph="1">
        <v>256</v>
      </c>
      <c r="AP37" s="149" t="s" ph="1">
        <v>254</v>
      </c>
      <c r="AQ37" s="149" t="s" ph="1">
        <v>255</v>
      </c>
      <c r="AR37" s="149" t="s" ph="1">
        <v>256</v>
      </c>
      <c r="AS37" s="149" t="s" ph="1">
        <v>254</v>
      </c>
      <c r="AT37" s="149" t="s" ph="1">
        <v>255</v>
      </c>
      <c r="AU37" s="149" t="s" ph="1">
        <v>256</v>
      </c>
      <c r="AV37" s="149" t="s" ph="1">
        <v>254</v>
      </c>
      <c r="AW37" s="149" t="s" ph="1">
        <v>255</v>
      </c>
      <c r="AX37" s="149" t="s" ph="1">
        <v>256</v>
      </c>
      <c r="AY37" s="149" t="s" ph="1">
        <v>255</v>
      </c>
      <c r="AZ37" s="149" t="s" ph="1">
        <v>257</v>
      </c>
      <c r="BD37" s="149" t="s" ph="1">
        <v>349</v>
      </c>
      <c r="BE37" s="149" ph="1">
        <v>0</v>
      </c>
    </row>
    <row r="38" spans="1:57" ph="1">
      <c r="AE38" s="64" ph="1"/>
      <c r="AH38" s="64" ph="1">
        <v>1</v>
      </c>
      <c r="AI38" s="64" t="s" ph="1">
        <v>406</v>
      </c>
      <c r="AY38" s="64" t="s" ph="1">
        <v>260</v>
      </c>
      <c r="AZ38" s="64" t="s" ph="1">
        <v>411</v>
      </c>
    </row>
    <row r="39" spans="1:57" ph="1">
      <c r="AH39" s="64" ph="1">
        <v>2</v>
      </c>
      <c r="AI39" s="64" t="s" ph="1">
        <v>408</v>
      </c>
      <c r="AJ39" s="64" t="s" ph="1">
        <v>380</v>
      </c>
      <c r="AK39" s="64" t="s" ph="1">
        <v>409</v>
      </c>
      <c r="AM39" s="64" t="s" ph="1">
        <v>614</v>
      </c>
      <c r="AN39" s="64" t="s" ph="1">
        <v>272</v>
      </c>
      <c r="AO39" s="64" t="s" ph="1">
        <v>407</v>
      </c>
      <c r="AY39" s="64" t="s" ph="1">
        <v>260</v>
      </c>
      <c r="AZ39" s="64" t="s" ph="1">
        <v>543</v>
      </c>
    </row>
    <row r="40" spans="1:57" ph="1">
      <c r="AH40" s="64" ph="1">
        <v>3</v>
      </c>
      <c r="AI40" s="64" t="s" ph="1">
        <v>410</v>
      </c>
      <c r="AJ40" s="64" t="s" ph="1">
        <v>614</v>
      </c>
      <c r="AK40" s="64" t="s" ph="1">
        <v>615</v>
      </c>
      <c r="AY40" s="64" t="s" ph="1">
        <v>260</v>
      </c>
      <c r="AZ40" s="64" t="s" ph="1">
        <v>615</v>
      </c>
    </row>
    <row r="41" spans="1:57" ph="1">
      <c r="AH41" s="64" ph="1">
        <v>4</v>
      </c>
      <c r="AI41" s="64" t="s" ph="1">
        <v>412</v>
      </c>
      <c r="AJ41" s="64" t="s" ph="1">
        <v>616</v>
      </c>
      <c r="AK41" s="64" t="s" ph="1">
        <v>617</v>
      </c>
      <c r="AM41" s="64" t="s" ph="1">
        <v>618</v>
      </c>
      <c r="AY41" s="64" t="s" ph="1">
        <v>260</v>
      </c>
      <c r="AZ41" s="64" t="s" ph="1">
        <v>617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413</v>
      </c>
      <c r="AY42" s="64" t="s" ph="1">
        <v>260</v>
      </c>
      <c r="AZ42" s="64" t="s" ph="1">
        <v>411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414</v>
      </c>
      <c r="AY43" s="64" t="s" ph="1">
        <v>260</v>
      </c>
      <c r="AZ43" s="64" t="s" ph="1">
        <v>411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415</v>
      </c>
      <c r="AV44" s="64" t="s" ph="1">
        <v>261</v>
      </c>
      <c r="AY44" s="64" t="s" ph="1">
        <v>260</v>
      </c>
      <c r="AZ44" s="64" t="s" ph="1">
        <v>411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416</v>
      </c>
      <c r="AV45" s="64" t="s" ph="1">
        <v>261</v>
      </c>
      <c r="AY45" s="64" t="s" ph="1">
        <v>260</v>
      </c>
      <c r="AZ45" s="64" t="s" ph="1">
        <v>411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417</v>
      </c>
      <c r="AV46" s="64" t="s" ph="1">
        <v>261</v>
      </c>
      <c r="AY46" s="64" t="s" ph="1">
        <v>260</v>
      </c>
      <c r="AZ46" s="64" t="s" ph="1">
        <v>411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418</v>
      </c>
      <c r="AV47" s="64" t="s" ph="1">
        <v>261</v>
      </c>
      <c r="AY47" s="64" t="s" ph="1">
        <v>260</v>
      </c>
      <c r="AZ47" s="64" t="s" ph="1">
        <v>411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619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276</v>
      </c>
      <c r="AI49" s="64" t="s" ph="1">
        <v>253</v>
      </c>
      <c r="AJ49" s="64" t="s" ph="1">
        <v>254</v>
      </c>
      <c r="AK49" s="64" t="s" ph="1">
        <v>255</v>
      </c>
      <c r="AM49" s="64" t="s" ph="1">
        <v>254</v>
      </c>
      <c r="AN49" s="64" t="s" ph="1">
        <v>255</v>
      </c>
      <c r="AO49" s="64" t="s" ph="1">
        <v>256</v>
      </c>
      <c r="AP49" s="64" t="s" ph="1">
        <v>254</v>
      </c>
      <c r="AQ49" s="64" t="s" ph="1">
        <v>255</v>
      </c>
      <c r="AR49" s="64" t="s" ph="1">
        <v>256</v>
      </c>
      <c r="AS49" s="64" t="s" ph="1">
        <v>254</v>
      </c>
      <c r="AT49" s="64" t="s" ph="1">
        <v>255</v>
      </c>
      <c r="AU49" s="64" t="s" ph="1">
        <v>256</v>
      </c>
      <c r="AV49" s="64" t="s" ph="1">
        <v>254</v>
      </c>
      <c r="AW49" s="64" t="s" ph="1">
        <v>255</v>
      </c>
      <c r="AX49" s="64" t="s" ph="1">
        <v>256</v>
      </c>
      <c r="AY49" s="64" t="s" ph="1">
        <v>255</v>
      </c>
      <c r="AZ49" s="64" t="s" ph="1">
        <v>257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419</v>
      </c>
      <c r="AY50" s="64" t="s" ph="1">
        <v>260</v>
      </c>
      <c r="AZ50" s="64" t="s" ph="1">
        <v>411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420</v>
      </c>
      <c r="AY51" s="64" t="s" ph="1">
        <v>260</v>
      </c>
      <c r="AZ51" s="64" t="s" ph="1">
        <v>411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421</v>
      </c>
      <c r="AJ52" s="64" t="s" ph="1">
        <v>378</v>
      </c>
      <c r="AK52" s="64" t="s" ph="1">
        <v>272</v>
      </c>
      <c r="AM52" s="64" t="s" ph="1">
        <v>380</v>
      </c>
      <c r="AN52" s="64" t="s" ph="1">
        <v>344</v>
      </c>
      <c r="AO52" s="64" t="s" ph="1">
        <v>277</v>
      </c>
      <c r="AP52" s="64" t="s" ph="1">
        <v>614</v>
      </c>
      <c r="AQ52" s="64" t="s" ph="1">
        <v>326</v>
      </c>
      <c r="AR52" s="64" t="s" ph="1">
        <v>277</v>
      </c>
      <c r="AY52" s="64" t="s" ph="1">
        <v>260</v>
      </c>
      <c r="AZ52" s="64" t="s" ph="1">
        <v>620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422</v>
      </c>
      <c r="AY53" s="64" t="s" ph="1">
        <v>260</v>
      </c>
      <c r="AZ53" s="64" t="s" ph="1">
        <v>411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423</v>
      </c>
      <c r="AJ54" s="64" t="s" ph="1">
        <v>378</v>
      </c>
      <c r="AK54" s="64" t="s" ph="1">
        <v>263</v>
      </c>
      <c r="AM54" s="64" t="s" ph="1">
        <v>380</v>
      </c>
      <c r="AN54" s="64" t="s" ph="1">
        <v>268</v>
      </c>
      <c r="AO54" s="64" t="s" ph="1">
        <v>277</v>
      </c>
      <c r="AP54" s="64" t="s" ph="1">
        <v>614</v>
      </c>
      <c r="AQ54" s="64" t="s" ph="1">
        <v>284</v>
      </c>
      <c r="AR54" s="64" t="s" ph="1">
        <v>277</v>
      </c>
      <c r="AY54" s="64" t="s" ph="1">
        <v>260</v>
      </c>
      <c r="AZ54" s="64" t="s" ph="1">
        <v>278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424</v>
      </c>
      <c r="AY55" s="64" t="s" ph="1">
        <v>260</v>
      </c>
      <c r="AZ55" s="64" t="s" ph="1">
        <v>411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425</v>
      </c>
      <c r="AY56" s="64" t="s" ph="1">
        <v>260</v>
      </c>
      <c r="AZ56" s="64" t="s" ph="1">
        <v>411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426</v>
      </c>
      <c r="AY57" s="64" t="s" ph="1">
        <v>260</v>
      </c>
      <c r="AZ57" s="64" t="s" ph="1">
        <v>411</v>
      </c>
    </row>
    <row r="58" spans="16:52" ph="1">
      <c r="P58" s="64"/>
      <c r="AN58" s="64" t="s" ph="1">
        <v>261</v>
      </c>
      <c r="AZ58" s="64" t="s" ph="1">
        <v>621</v>
      </c>
    </row>
    <row r="59" spans="16:52" ph="1">
      <c r="V59" s="64"/>
      <c r="AG59" s="64" t="s" ph="1">
        <v>279</v>
      </c>
      <c r="AI59" s="64" t="s" ph="1">
        <v>253</v>
      </c>
      <c r="AJ59" s="64" t="s" ph="1">
        <v>254</v>
      </c>
      <c r="AK59" s="64" t="s" ph="1">
        <v>255</v>
      </c>
      <c r="AM59" s="64" t="s" ph="1">
        <v>254</v>
      </c>
      <c r="AN59" s="64" t="s" ph="1">
        <v>255</v>
      </c>
      <c r="AO59" s="64" t="s" ph="1">
        <v>256</v>
      </c>
      <c r="AP59" s="64" t="s" ph="1">
        <v>254</v>
      </c>
      <c r="AQ59" s="64" t="s" ph="1">
        <v>255</v>
      </c>
      <c r="AR59" s="64" t="s" ph="1">
        <v>256</v>
      </c>
      <c r="AS59" s="64" t="s" ph="1">
        <v>254</v>
      </c>
      <c r="AT59" s="64" t="s" ph="1">
        <v>255</v>
      </c>
      <c r="AU59" s="64" t="s" ph="1">
        <v>256</v>
      </c>
      <c r="AV59" s="64" t="s" ph="1">
        <v>254</v>
      </c>
      <c r="AW59" s="64" t="s" ph="1">
        <v>255</v>
      </c>
      <c r="AX59" s="64" t="s" ph="1">
        <v>256</v>
      </c>
      <c r="AY59" s="64" t="s" ph="1">
        <v>255</v>
      </c>
      <c r="AZ59" s="64" t="s" ph="1">
        <v>257</v>
      </c>
    </row>
    <row r="60" spans="16:52" ph="1">
      <c r="R60" s="64"/>
      <c r="S60" s="64"/>
      <c r="T60" s="64"/>
      <c r="AH60" s="64" ph="1">
        <v>1</v>
      </c>
      <c r="AI60" s="64" t="s" ph="1">
        <v>427</v>
      </c>
      <c r="AY60" s="64" t="s" ph="1">
        <v>260</v>
      </c>
      <c r="AZ60" s="64" t="s" ph="1">
        <v>411</v>
      </c>
    </row>
    <row r="61" spans="16:52" ph="1">
      <c r="AH61" s="64" ph="1">
        <v>2</v>
      </c>
      <c r="AI61" s="64" t="s" ph="1">
        <v>428</v>
      </c>
      <c r="AS61" s="64" t="s" ph="1">
        <v>261</v>
      </c>
      <c r="AY61" s="64" t="s" ph="1">
        <v>260</v>
      </c>
      <c r="AZ61" s="64" t="s" ph="1">
        <v>411</v>
      </c>
    </row>
    <row r="62" spans="16:52" ph="1">
      <c r="AZ62" s="64" t="s" ph="1">
        <v>429</v>
      </c>
    </row>
    <row r="63" spans="16:52" ph="1">
      <c r="AG63" s="64" t="s" ph="1">
        <v>282</v>
      </c>
      <c r="AI63" s="64" t="s" ph="1">
        <v>253</v>
      </c>
      <c r="AJ63" s="64" t="s" ph="1">
        <v>254</v>
      </c>
      <c r="AK63" s="64" t="s" ph="1">
        <v>255</v>
      </c>
      <c r="AM63" s="64" t="s" ph="1">
        <v>254</v>
      </c>
      <c r="AN63" s="64" t="s" ph="1">
        <v>255</v>
      </c>
      <c r="AO63" s="64" t="s" ph="1">
        <v>256</v>
      </c>
      <c r="AP63" s="64" t="s" ph="1">
        <v>254</v>
      </c>
      <c r="AQ63" s="64" t="s" ph="1">
        <v>255</v>
      </c>
      <c r="AR63" s="64" t="s" ph="1">
        <v>256</v>
      </c>
      <c r="AS63" s="64" t="s" ph="1">
        <v>254</v>
      </c>
      <c r="AT63" s="64" t="s" ph="1">
        <v>255</v>
      </c>
      <c r="AU63" s="64" t="s" ph="1">
        <v>256</v>
      </c>
      <c r="AV63" s="64" t="s" ph="1">
        <v>254</v>
      </c>
      <c r="AW63" s="64" t="s" ph="1">
        <v>255</v>
      </c>
      <c r="AX63" s="64" t="s" ph="1">
        <v>256</v>
      </c>
      <c r="AY63" s="64" t="s" ph="1">
        <v>255</v>
      </c>
      <c r="AZ63" s="64" t="s" ph="1">
        <v>257</v>
      </c>
    </row>
    <row r="64" spans="16:52" ph="1">
      <c r="AH64" s="64" ph="1">
        <v>1</v>
      </c>
      <c r="AI64" s="64" t="s" ph="1">
        <v>430</v>
      </c>
      <c r="AJ64" s="64" t="s" ph="1">
        <v>431</v>
      </c>
      <c r="AK64" s="64" t="s" ph="1">
        <v>432</v>
      </c>
      <c r="AY64" s="64" t="s" ph="1">
        <v>260</v>
      </c>
      <c r="AZ64" s="64" t="s" ph="1">
        <v>432</v>
      </c>
    </row>
    <row r="65" spans="33:52" ph="1">
      <c r="AH65" s="64" ph="1">
        <v>2</v>
      </c>
      <c r="AI65" s="64" t="s" ph="1">
        <v>433</v>
      </c>
      <c r="AY65" s="64" t="s" ph="1">
        <v>260</v>
      </c>
      <c r="AZ65" s="64" t="s" ph="1">
        <v>411</v>
      </c>
    </row>
    <row r="66" spans="33:52" ph="1">
      <c r="AH66" s="64" ph="1">
        <v>3</v>
      </c>
      <c r="AI66" s="64" t="s" ph="1">
        <v>434</v>
      </c>
      <c r="AY66" s="64" t="s" ph="1">
        <v>260</v>
      </c>
      <c r="AZ66" s="64" t="s" ph="1">
        <v>411</v>
      </c>
    </row>
    <row r="67" spans="33:52" ph="1">
      <c r="AH67" s="64" ph="1">
        <v>4</v>
      </c>
      <c r="AI67" s="64" t="s" ph="1">
        <v>435</v>
      </c>
      <c r="AY67" s="64" t="s" ph="1">
        <v>260</v>
      </c>
      <c r="AZ67" s="64" t="s" ph="1">
        <v>411</v>
      </c>
    </row>
    <row r="68" spans="33:52" ph="1">
      <c r="AH68" s="64" ph="1">
        <v>5</v>
      </c>
      <c r="AI68" s="64" t="s" ph="1">
        <v>436</v>
      </c>
      <c r="AY68" s="64" t="s" ph="1">
        <v>260</v>
      </c>
      <c r="AZ68" s="64" t="s" ph="1">
        <v>411</v>
      </c>
    </row>
    <row r="69" spans="33:52" ph="1">
      <c r="AH69" s="64" ph="1">
        <v>6</v>
      </c>
      <c r="AI69" s="64" t="s" ph="1">
        <v>437</v>
      </c>
      <c r="AY69" s="64" t="s" ph="1">
        <v>260</v>
      </c>
      <c r="AZ69" s="64" t="s" ph="1">
        <v>411</v>
      </c>
    </row>
    <row r="70" spans="33:52" ph="1">
      <c r="AI70" s="64" t="s" ph="1">
        <v>438</v>
      </c>
      <c r="AY70" s="64" t="s" ph="1">
        <v>260</v>
      </c>
      <c r="AZ70" s="64" t="s" ph="1">
        <v>411</v>
      </c>
    </row>
    <row r="71" spans="33:52" ph="1">
      <c r="AH71" s="64" ph="1">
        <v>7</v>
      </c>
      <c r="AI71" s="64" t="s" ph="1">
        <v>439</v>
      </c>
      <c r="AJ71" s="64" t="s" ph="1">
        <v>378</v>
      </c>
      <c r="AK71" s="64" t="s" ph="1">
        <v>272</v>
      </c>
      <c r="AM71" s="64" t="s" ph="1">
        <v>380</v>
      </c>
      <c r="AN71" s="64" t="s" ph="1">
        <v>272</v>
      </c>
      <c r="AO71" s="64" t="s" ph="1">
        <v>440</v>
      </c>
      <c r="AP71" s="64" t="s" ph="1">
        <v>614</v>
      </c>
      <c r="AQ71" s="64" t="s" ph="1">
        <v>263</v>
      </c>
      <c r="AR71" s="64" t="s" ph="1">
        <v>440</v>
      </c>
      <c r="AY71" s="64" t="s" ph="1">
        <v>260</v>
      </c>
      <c r="AZ71" s="64" t="s" ph="1">
        <v>622</v>
      </c>
    </row>
    <row r="72" spans="33:52" ph="1">
      <c r="AZ72" s="64" t="s" ph="1">
        <v>623</v>
      </c>
    </row>
    <row r="73" spans="33:52" ph="1">
      <c r="AG73" s="64" t="s" ph="1">
        <v>285</v>
      </c>
      <c r="AI73" s="64" t="s" ph="1">
        <v>253</v>
      </c>
      <c r="AJ73" s="64" t="s" ph="1">
        <v>254</v>
      </c>
      <c r="AK73" s="64" t="s" ph="1">
        <v>255</v>
      </c>
      <c r="AM73" s="64" t="s" ph="1">
        <v>254</v>
      </c>
      <c r="AN73" s="64" t="s" ph="1">
        <v>255</v>
      </c>
      <c r="AO73" s="64" t="s" ph="1">
        <v>256</v>
      </c>
      <c r="AP73" s="64" t="s" ph="1">
        <v>254</v>
      </c>
      <c r="AQ73" s="64" t="s" ph="1">
        <v>255</v>
      </c>
      <c r="AR73" s="64" t="s" ph="1">
        <v>256</v>
      </c>
      <c r="AS73" s="64" t="s" ph="1">
        <v>254</v>
      </c>
      <c r="AT73" s="64" t="s" ph="1">
        <v>255</v>
      </c>
      <c r="AU73" s="64" t="s" ph="1">
        <v>256</v>
      </c>
      <c r="AV73" s="64" t="s" ph="1">
        <v>254</v>
      </c>
      <c r="AW73" s="64" t="s" ph="1">
        <v>255</v>
      </c>
      <c r="AX73" s="64" t="s" ph="1">
        <v>256</v>
      </c>
      <c r="AY73" s="64" t="s" ph="1">
        <v>255</v>
      </c>
      <c r="AZ73" s="64" t="s" ph="1">
        <v>257</v>
      </c>
    </row>
    <row r="74" spans="33:52" ph="1">
      <c r="AH74" s="64" ph="1">
        <v>1</v>
      </c>
      <c r="AI74" s="64" t="s" ph="1">
        <v>441</v>
      </c>
      <c r="AJ74" s="64" t="s" ph="1">
        <v>286</v>
      </c>
      <c r="AK74" s="64" t="s" ph="1">
        <v>268</v>
      </c>
      <c r="AM74" s="64" t="s" ph="1">
        <v>288</v>
      </c>
      <c r="AN74" s="64" t="s" ph="1">
        <v>298</v>
      </c>
      <c r="AO74" s="64" t="s" ph="1">
        <v>287</v>
      </c>
      <c r="AP74" s="64" t="s" ph="1">
        <v>289</v>
      </c>
      <c r="AQ74" s="64" t="s" ph="1">
        <v>266</v>
      </c>
      <c r="AR74" s="64" t="s" ph="1">
        <v>287</v>
      </c>
      <c r="AS74" s="64" t="s" ph="1">
        <v>259</v>
      </c>
      <c r="AT74" s="64" t="s" ph="1">
        <v>261</v>
      </c>
      <c r="AV74" s="64" t="s" ph="1">
        <v>442</v>
      </c>
      <c r="AW74" s="64" t="s" ph="1">
        <v>443</v>
      </c>
      <c r="AX74" s="64" t="s" ph="1">
        <v>444</v>
      </c>
      <c r="AY74" s="64" t="s" ph="1">
        <v>260</v>
      </c>
      <c r="AZ74" s="64" t="s" ph="1">
        <v>445</v>
      </c>
    </row>
    <row r="75" spans="33:52" ph="1">
      <c r="AJ75" s="64" t="s" ph="1">
        <v>291</v>
      </c>
      <c r="AK75" s="64" t="s" ph="1">
        <v>344</v>
      </c>
      <c r="AM75" s="64" t="s" ph="1">
        <v>289</v>
      </c>
      <c r="AN75" s="64" t="s" ph="1">
        <v>269</v>
      </c>
      <c r="AO75" s="64" t="s" ph="1">
        <v>287</v>
      </c>
      <c r="AS75" s="64" t="s" ph="1">
        <v>259</v>
      </c>
      <c r="AT75" s="64" t="s" ph="1">
        <v>290</v>
      </c>
    </row>
    <row r="76" spans="33:52" ph="1">
      <c r="AJ76" s="64" t="s" ph="1">
        <v>291</v>
      </c>
      <c r="AK76" s="64" t="s" ph="1">
        <v>284</v>
      </c>
      <c r="AM76" s="64" t="s" ph="1">
        <v>289</v>
      </c>
      <c r="AN76" s="64" t="s" ph="1">
        <v>272</v>
      </c>
      <c r="AO76" s="64" t="s" ph="1">
        <v>287</v>
      </c>
      <c r="AS76" s="64" t="s" ph="1">
        <v>259</v>
      </c>
      <c r="AT76" s="64" t="s" ph="1">
        <v>290</v>
      </c>
    </row>
    <row r="77" spans="33:52" ph="1">
      <c r="AJ77" s="64" t="s" ph="1">
        <v>327</v>
      </c>
      <c r="AK77" s="64" t="s" ph="1">
        <v>284</v>
      </c>
      <c r="AM77" s="64" t="s" ph="1">
        <v>328</v>
      </c>
      <c r="AN77" s="64" t="s" ph="1">
        <v>267</v>
      </c>
      <c r="AO77" s="64" t="s" ph="1">
        <v>287</v>
      </c>
      <c r="AS77" s="64" t="s" ph="1">
        <v>259</v>
      </c>
      <c r="AT77" s="64" t="s" ph="1">
        <v>329</v>
      </c>
    </row>
    <row r="78" spans="33:52" ph="1">
      <c r="AH78" s="64" ph="1">
        <v>2</v>
      </c>
      <c r="AI78" s="64" t="s" ph="1">
        <v>293</v>
      </c>
      <c r="AJ78" s="64" t="s" ph="1">
        <v>294</v>
      </c>
      <c r="AK78" s="64" t="s" ph="1">
        <v>263</v>
      </c>
      <c r="AM78" s="64" t="s" ph="1">
        <v>295</v>
      </c>
      <c r="AN78" s="64" t="s" ph="1">
        <v>298</v>
      </c>
      <c r="AO78" s="64" t="s" ph="1">
        <v>287</v>
      </c>
      <c r="AP78" s="64" t="s" ph="1">
        <v>296</v>
      </c>
      <c r="AQ78" s="64" t="s" ph="1">
        <v>342</v>
      </c>
      <c r="AR78" s="64" t="s" ph="1">
        <v>287</v>
      </c>
      <c r="AS78" s="64" t="s" ph="1">
        <v>297</v>
      </c>
      <c r="AT78" s="64" t="s" ph="1">
        <v>298</v>
      </c>
      <c r="AU78" s="64" t="s" ph="1">
        <v>287</v>
      </c>
      <c r="AV78" s="64" t="s" ph="1">
        <v>299</v>
      </c>
      <c r="AW78" s="64" t="s" ph="1">
        <v>287</v>
      </c>
      <c r="AY78" s="64" t="s" ph="1">
        <v>260</v>
      </c>
      <c r="AZ78" s="64" t="s" ph="1">
        <v>446</v>
      </c>
    </row>
    <row r="79" spans="33:52" ph="1">
      <c r="AJ79" s="64" t="s" ph="1">
        <v>289</v>
      </c>
      <c r="AK79" s="64" t="s" ph="1">
        <v>300</v>
      </c>
      <c r="AM79" s="64" t="s" ph="1">
        <v>301</v>
      </c>
      <c r="AN79" s="64" t="s" ph="1">
        <v>269</v>
      </c>
      <c r="AO79" s="64" t="s" ph="1">
        <v>287</v>
      </c>
      <c r="AP79" s="64" t="s" ph="1">
        <v>302</v>
      </c>
      <c r="AQ79" s="64" t="s" ph="1">
        <v>267</v>
      </c>
      <c r="AR79" s="64" t="s" ph="1">
        <v>303</v>
      </c>
      <c r="AS79" s="64" t="s" ph="1">
        <v>259</v>
      </c>
      <c r="AT79" s="64" t="s" ph="1">
        <v>304</v>
      </c>
      <c r="AV79" s="64" t="s" ph="1">
        <v>447</v>
      </c>
      <c r="AW79" s="64" t="s" ph="1">
        <v>346</v>
      </c>
      <c r="AX79" s="64" t="s" ph="1">
        <v>444</v>
      </c>
    </row>
    <row r="80" spans="33:52" ph="1">
      <c r="AH80" s="64" ph="1">
        <v>3</v>
      </c>
      <c r="AI80" s="64" t="s" ph="1">
        <v>305</v>
      </c>
      <c r="AJ80" s="64" t="s" ph="1">
        <v>306</v>
      </c>
      <c r="AK80" s="64" t="s" ph="1">
        <v>307</v>
      </c>
      <c r="AM80" s="64" t="s" ph="1">
        <v>308</v>
      </c>
      <c r="AN80" s="64" t="s" ph="1">
        <v>298</v>
      </c>
      <c r="AO80" s="64" t="s" ph="1">
        <v>287</v>
      </c>
      <c r="AP80" s="64" t="s" ph="1">
        <v>309</v>
      </c>
      <c r="AQ80" s="64" t="s" ph="1">
        <v>272</v>
      </c>
      <c r="AR80" s="64" t="s" ph="1">
        <v>287</v>
      </c>
      <c r="AS80" s="64" t="s" ph="1">
        <v>310</v>
      </c>
      <c r="AT80" s="64" t="s" ph="1">
        <v>271</v>
      </c>
      <c r="AU80" s="64" t="s" ph="1">
        <v>287</v>
      </c>
      <c r="AV80" s="64" t="s" ph="1">
        <v>311</v>
      </c>
      <c r="AW80" s="64" t="s" ph="1">
        <v>287</v>
      </c>
      <c r="AY80" s="64" t="s" ph="1">
        <v>260</v>
      </c>
      <c r="AZ80" s="64" t="s" ph="1">
        <v>448</v>
      </c>
    </row>
    <row r="81" spans="34:52" ph="1">
      <c r="AJ81" s="64" t="s" ph="1">
        <v>312</v>
      </c>
      <c r="AK81" s="64" t="s" ph="1">
        <v>266</v>
      </c>
      <c r="AM81" s="64" t="s" ph="1">
        <v>313</v>
      </c>
      <c r="AN81" s="64" t="s" ph="1">
        <v>269</v>
      </c>
      <c r="AO81" s="64" t="s" ph="1">
        <v>287</v>
      </c>
      <c r="AP81" s="64" t="s" ph="1">
        <v>314</v>
      </c>
      <c r="AQ81" s="64" t="s" ph="1">
        <v>298</v>
      </c>
      <c r="AR81" s="64" t="s" ph="1">
        <v>287</v>
      </c>
      <c r="AS81" s="64" t="s" ph="1">
        <v>315</v>
      </c>
      <c r="AT81" s="64" t="s" ph="1">
        <v>316</v>
      </c>
      <c r="AU81" s="64" t="s" ph="1">
        <v>287</v>
      </c>
      <c r="AV81" s="64" t="s" ph="1">
        <v>317</v>
      </c>
    </row>
    <row r="82" spans="34:52" ph="1">
      <c r="AJ82" s="64" t="s" ph="1">
        <v>318</v>
      </c>
      <c r="AK82" s="64" t="s" ph="1">
        <v>266</v>
      </c>
      <c r="AM82" s="64" t="s" ph="1">
        <v>319</v>
      </c>
      <c r="AN82" s="64" t="s" ph="1">
        <v>316</v>
      </c>
      <c r="AO82" s="64" t="s" ph="1">
        <v>320</v>
      </c>
      <c r="AP82" s="64" t="s" ph="1">
        <v>321</v>
      </c>
      <c r="AQ82" s="64" t="s" ph="1">
        <v>298</v>
      </c>
      <c r="AR82" s="64" t="s" ph="1">
        <v>287</v>
      </c>
      <c r="AS82" s="64" t="s" ph="1">
        <v>322</v>
      </c>
      <c r="AT82" s="64" t="s" ph="1">
        <v>273</v>
      </c>
      <c r="AU82" s="64" t="s" ph="1">
        <v>287</v>
      </c>
      <c r="AV82" s="64" t="s" ph="1">
        <v>447</v>
      </c>
      <c r="AW82" s="64" t="s" ph="1">
        <v>347</v>
      </c>
      <c r="AX82" s="64" t="s" ph="1">
        <v>444</v>
      </c>
    </row>
    <row r="83" spans="34:52" ph="1">
      <c r="AJ83" s="64" t="s" ph="1">
        <v>323</v>
      </c>
      <c r="AK83" s="64" t="s" ph="1">
        <v>340</v>
      </c>
      <c r="AM83" s="64" t="s" ph="1">
        <v>324</v>
      </c>
      <c r="AN83" s="64" t="s" ph="1">
        <v>272</v>
      </c>
      <c r="AO83" s="64" t="s" ph="1">
        <v>303</v>
      </c>
      <c r="AP83" s="64" t="s" ph="1">
        <v>325</v>
      </c>
      <c r="AQ83" s="64" t="s" ph="1">
        <v>326</v>
      </c>
      <c r="AR83" s="64" t="s" ph="1">
        <v>303</v>
      </c>
      <c r="AS83" s="64" t="s" ph="1">
        <v>449</v>
      </c>
      <c r="AT83" s="64" t="s" ph="1">
        <v>298</v>
      </c>
      <c r="AU83" s="64" t="s" ph="1">
        <v>303</v>
      </c>
      <c r="AV83" s="64" t="s" ph="1">
        <v>450</v>
      </c>
      <c r="AW83" s="64" t="s" ph="1">
        <v>347</v>
      </c>
      <c r="AX83" s="64" t="s" ph="1">
        <v>451</v>
      </c>
    </row>
    <row r="84" spans="34:52" ph="1">
      <c r="AH84" s="64" ph="1">
        <v>4</v>
      </c>
      <c r="AI84" s="64" t="s" ph="1">
        <v>330</v>
      </c>
      <c r="AJ84" s="64" t="s" ph="1">
        <v>270</v>
      </c>
      <c r="AK84" s="64" t="s" ph="1">
        <v>273</v>
      </c>
      <c r="AM84" s="64" t="s" ph="1">
        <v>274</v>
      </c>
      <c r="AN84" s="64" t="s" ph="1">
        <v>267</v>
      </c>
      <c r="AO84" s="64" t="s" ph="1">
        <v>303</v>
      </c>
      <c r="AP84" s="64" t="s" ph="1">
        <v>332</v>
      </c>
      <c r="AQ84" s="64" t="s" ph="1">
        <v>266</v>
      </c>
      <c r="AR84" s="64" t="s" ph="1">
        <v>303</v>
      </c>
      <c r="AS84" s="64" t="s" ph="1">
        <v>332</v>
      </c>
      <c r="AT84" s="64" t="s" ph="1">
        <v>268</v>
      </c>
      <c r="AU84" s="64" t="s" ph="1">
        <v>303</v>
      </c>
      <c r="AY84" s="64" t="s" ph="1">
        <v>260</v>
      </c>
      <c r="AZ84" s="64" t="s" ph="1">
        <v>452</v>
      </c>
    </row>
    <row r="85" spans="34:52" ph="1">
      <c r="AJ85" s="64" t="s" ph="1">
        <v>262</v>
      </c>
      <c r="AK85" s="64" t="s" ph="1">
        <v>266</v>
      </c>
      <c r="AM85" s="64" t="s" ph="1">
        <v>453</v>
      </c>
      <c r="AN85" s="64" t="s" ph="1">
        <v>273</v>
      </c>
      <c r="AO85" s="64" t="s" ph="1">
        <v>303</v>
      </c>
      <c r="AP85" s="64" t="s" ph="1">
        <v>454</v>
      </c>
      <c r="AQ85" s="64" t="s" ph="1">
        <v>269</v>
      </c>
      <c r="AR85" s="64" t="s" ph="1">
        <v>303</v>
      </c>
      <c r="AS85" s="64" t="s" ph="1">
        <v>455</v>
      </c>
      <c r="AT85" s="64" t="s" ph="1">
        <v>269</v>
      </c>
      <c r="AU85" s="64" t="s" ph="1">
        <v>303</v>
      </c>
    </row>
    <row r="86" spans="34:52" ph="1">
      <c r="AJ86" s="64" t="s" ph="1">
        <v>456</v>
      </c>
      <c r="AK86" s="64" t="s" ph="1">
        <v>275</v>
      </c>
      <c r="AM86" s="64" t="s" ph="1">
        <v>457</v>
      </c>
      <c r="AN86" s="64" t="s" ph="1">
        <v>316</v>
      </c>
      <c r="AO86" s="64" t="s" ph="1">
        <v>303</v>
      </c>
      <c r="AP86" s="64" t="s" ph="1">
        <v>458</v>
      </c>
      <c r="AQ86" s="64" t="s" ph="1">
        <v>263</v>
      </c>
      <c r="AR86" s="64" t="s" ph="1">
        <v>303</v>
      </c>
      <c r="AS86" s="64" t="s" ph="1">
        <v>459</v>
      </c>
      <c r="AT86" s="64" t="s" ph="1">
        <v>281</v>
      </c>
      <c r="AU86" s="64" t="s" ph="1">
        <v>303</v>
      </c>
    </row>
    <row r="87" spans="34:52" ph="1">
      <c r="AJ87" s="64" t="s" ph="1">
        <v>460</v>
      </c>
      <c r="AK87" s="64" t="s" ph="1">
        <v>316</v>
      </c>
      <c r="AM87" s="64" t="s" ph="1">
        <v>447</v>
      </c>
      <c r="AN87" s="64" t="s" ph="1">
        <v>461</v>
      </c>
      <c r="AO87" s="64" t="s" ph="1">
        <v>444</v>
      </c>
    </row>
    <row r="88" spans="34:52" ph="1">
      <c r="AH88" s="64" ph="1">
        <v>5</v>
      </c>
      <c r="AI88" s="64" t="s" ph="1">
        <v>333</v>
      </c>
      <c r="AJ88" s="64" t="s" ph="1">
        <v>462</v>
      </c>
      <c r="AK88" s="64" t="s" ph="1">
        <v>316</v>
      </c>
      <c r="AM88" s="64" t="s" ph="1">
        <v>463</v>
      </c>
      <c r="AN88" s="64" t="s" ph="1">
        <v>316</v>
      </c>
      <c r="AO88" s="64" t="s" ph="1">
        <v>303</v>
      </c>
      <c r="AP88" s="64" t="s" ph="1">
        <v>464</v>
      </c>
      <c r="AQ88" s="64" t="s" ph="1">
        <v>266</v>
      </c>
      <c r="AR88" s="64" t="s" ph="1">
        <v>303</v>
      </c>
      <c r="AS88" s="64" t="s" ph="1">
        <v>465</v>
      </c>
      <c r="AT88" s="64" t="s" ph="1">
        <v>316</v>
      </c>
      <c r="AU88" s="64" t="s" ph="1">
        <v>303</v>
      </c>
      <c r="AV88" s="64" t="s" ph="1">
        <v>466</v>
      </c>
      <c r="AW88" s="64" t="s" ph="1">
        <v>271</v>
      </c>
      <c r="AX88" s="64" t="s" ph="1">
        <v>303</v>
      </c>
      <c r="AY88" s="64" t="s" ph="1">
        <v>260</v>
      </c>
      <c r="AZ88" s="64" t="s" ph="1">
        <v>467</v>
      </c>
    </row>
    <row r="89" spans="34:52" ph="1">
      <c r="AJ89" s="64" t="s" ph="1">
        <v>468</v>
      </c>
      <c r="AK89" s="64" t="s" ph="1">
        <v>269</v>
      </c>
      <c r="AM89" s="64" t="s" ph="1">
        <v>469</v>
      </c>
      <c r="AN89" s="64" t="s" ph="1">
        <v>272</v>
      </c>
      <c r="AO89" s="64" t="s" ph="1">
        <v>303</v>
      </c>
      <c r="AP89" s="64" t="s" ph="1">
        <v>470</v>
      </c>
      <c r="AQ89" s="64" t="s" ph="1">
        <v>281</v>
      </c>
      <c r="AR89" s="64" t="s" ph="1">
        <v>303</v>
      </c>
      <c r="AS89" s="64" t="s" ph="1">
        <v>471</v>
      </c>
      <c r="AT89" s="64" t="s" ph="1">
        <v>316</v>
      </c>
      <c r="AU89" s="64" t="s" ph="1">
        <v>303</v>
      </c>
      <c r="AV89" s="64" t="s" ph="1">
        <v>472</v>
      </c>
      <c r="AW89" s="64" t="s" ph="1">
        <v>298</v>
      </c>
      <c r="AX89" s="64" t="s" ph="1">
        <v>331</v>
      </c>
    </row>
    <row r="90" spans="34:52" ph="1">
      <c r="AJ90" s="64" t="s" ph="1">
        <v>473</v>
      </c>
      <c r="AK90" s="64" t="s" ph="1">
        <v>272</v>
      </c>
      <c r="AM90" s="64" t="s" ph="1">
        <v>474</v>
      </c>
      <c r="AN90" s="64" t="s" ph="1">
        <v>269</v>
      </c>
      <c r="AO90" s="64" t="s" ph="1">
        <v>303</v>
      </c>
      <c r="AP90" s="64" t="s" ph="1">
        <v>475</v>
      </c>
      <c r="AQ90" s="64" t="s" ph="1">
        <v>338</v>
      </c>
      <c r="AR90" s="64" t="s" ph="1">
        <v>303</v>
      </c>
      <c r="AS90" s="64" t="s" ph="1">
        <v>476</v>
      </c>
      <c r="AT90" s="64" t="s" ph="1">
        <v>326</v>
      </c>
      <c r="AU90" s="64" t="s" ph="1">
        <v>303</v>
      </c>
      <c r="AV90" s="64" t="s" ph="1">
        <v>477</v>
      </c>
      <c r="AW90" s="64" t="s" ph="1">
        <v>263</v>
      </c>
      <c r="AX90" s="64" t="s" ph="1">
        <v>303</v>
      </c>
    </row>
    <row r="91" spans="34:52" ph="1">
      <c r="AJ91" s="64" t="s" ph="1">
        <v>478</v>
      </c>
      <c r="AK91" s="64" t="s" ph="1">
        <v>316</v>
      </c>
      <c r="AM91" s="64" t="s" ph="1">
        <v>479</v>
      </c>
      <c r="AN91" s="64" t="s" ph="1">
        <v>283</v>
      </c>
      <c r="AO91" s="64" t="s" ph="1">
        <v>303</v>
      </c>
      <c r="AP91" s="64" t="s" ph="1">
        <v>480</v>
      </c>
      <c r="AQ91" s="64" t="s" ph="1">
        <v>263</v>
      </c>
      <c r="AS91" s="64" t="s" ph="1">
        <v>447</v>
      </c>
      <c r="AT91" s="64" t="s" ph="1">
        <v>443</v>
      </c>
      <c r="AU91" s="64" t="s" ph="1">
        <v>444</v>
      </c>
    </row>
    <row r="92" spans="34:52" ph="1">
      <c r="AH92" s="64" ph="1">
        <v>6</v>
      </c>
      <c r="AI92" s="64" t="s" ph="1">
        <v>481</v>
      </c>
      <c r="AJ92" s="64" t="s" ph="1">
        <v>482</v>
      </c>
      <c r="AK92" s="64" t="s" ph="1">
        <v>411</v>
      </c>
      <c r="AM92" s="64" t="s" ph="1">
        <v>483</v>
      </c>
      <c r="AN92" s="64" t="s" ph="1">
        <v>271</v>
      </c>
      <c r="AO92" s="64" t="s" ph="1">
        <v>303</v>
      </c>
      <c r="AP92" s="64" t="s" ph="1">
        <v>484</v>
      </c>
      <c r="AQ92" s="64" t="s" ph="1">
        <v>343</v>
      </c>
      <c r="AR92" s="64" t="s" ph="1">
        <v>303</v>
      </c>
      <c r="AS92" s="64" t="s" ph="1">
        <v>485</v>
      </c>
      <c r="AT92" s="64" t="s" ph="1">
        <v>316</v>
      </c>
      <c r="AU92" s="64" t="s" ph="1">
        <v>303</v>
      </c>
      <c r="AV92" s="64" t="s" ph="1">
        <v>486</v>
      </c>
      <c r="AW92" s="64" t="s" ph="1">
        <v>272</v>
      </c>
      <c r="AX92" s="64" t="s" ph="1">
        <v>303</v>
      </c>
      <c r="AY92" s="64" t="s" ph="1">
        <v>260</v>
      </c>
      <c r="AZ92" s="64" t="s" ph="1">
        <v>467</v>
      </c>
    </row>
    <row r="93" spans="34:52" ph="1">
      <c r="AJ93" s="64" t="s" ph="1">
        <v>487</v>
      </c>
      <c r="AK93" s="64" t="s" ph="1">
        <v>266</v>
      </c>
      <c r="AM93" s="64" t="s" ph="1">
        <v>488</v>
      </c>
      <c r="AN93" s="64" t="s" ph="1">
        <v>271</v>
      </c>
      <c r="AO93" s="64" t="s" ph="1">
        <v>303</v>
      </c>
      <c r="AP93" s="64" t="s" ph="1">
        <v>489</v>
      </c>
      <c r="AQ93" s="64" t="s" ph="1">
        <v>275</v>
      </c>
      <c r="AR93" s="64" t="s" ph="1">
        <v>303</v>
      </c>
      <c r="AS93" s="64" t="s" ph="1">
        <v>490</v>
      </c>
      <c r="AT93" s="64" t="s" ph="1">
        <v>281</v>
      </c>
      <c r="AU93" s="64" t="s" ph="1">
        <v>303</v>
      </c>
      <c r="AV93" s="64" t="s" ph="1">
        <v>491</v>
      </c>
      <c r="AW93" s="64" t="s" ph="1">
        <v>275</v>
      </c>
      <c r="AX93" s="64" t="s" ph="1">
        <v>303</v>
      </c>
    </row>
    <row r="94" spans="34:52" ph="1">
      <c r="AJ94" s="64" t="s" ph="1">
        <v>492</v>
      </c>
      <c r="AK94" s="64" t="s" ph="1">
        <v>338</v>
      </c>
      <c r="AM94" s="64" t="s" ph="1">
        <v>493</v>
      </c>
      <c r="AN94" s="64" t="s" ph="1">
        <v>275</v>
      </c>
      <c r="AO94" s="64" t="s" ph="1">
        <v>303</v>
      </c>
      <c r="AP94" s="64" t="s" ph="1">
        <v>494</v>
      </c>
      <c r="AQ94" s="64" t="s" ph="1">
        <v>283</v>
      </c>
      <c r="AR94" s="64" t="s" ph="1">
        <v>303</v>
      </c>
      <c r="AS94" s="64" t="s" ph="1">
        <v>495</v>
      </c>
      <c r="AT94" s="64" t="s" ph="1">
        <v>269</v>
      </c>
      <c r="AU94" s="64" t="s" ph="1">
        <v>303</v>
      </c>
      <c r="AV94" s="64" t="s" ph="1">
        <v>496</v>
      </c>
      <c r="AW94" s="64" t="s" ph="1">
        <v>269</v>
      </c>
      <c r="AX94" s="64" t="s" ph="1">
        <v>303</v>
      </c>
    </row>
    <row r="95" spans="34:52" ph="1">
      <c r="AJ95" s="64" t="s" ph="1">
        <v>497</v>
      </c>
      <c r="AK95" s="64" t="s" ph="1">
        <v>343</v>
      </c>
    </row>
    <row r="96" spans="34:52" ph="1">
      <c r="AH96" s="64" ph="1">
        <v>7</v>
      </c>
      <c r="AI96" s="64" t="s" ph="1">
        <v>498</v>
      </c>
      <c r="AJ96" s="64" t="s" ph="1">
        <v>497</v>
      </c>
      <c r="AK96" s="64" t="s" ph="1">
        <v>298</v>
      </c>
      <c r="AM96" s="64" t="s" ph="1">
        <v>499</v>
      </c>
      <c r="AN96" s="64" t="s" ph="1">
        <v>272</v>
      </c>
      <c r="AO96" s="64" t="s" ph="1">
        <v>303</v>
      </c>
      <c r="AP96" s="64" t="s" ph="1">
        <v>500</v>
      </c>
      <c r="AQ96" s="64" t="s" ph="1">
        <v>316</v>
      </c>
      <c r="AR96" s="64" t="s" ph="1">
        <v>331</v>
      </c>
      <c r="AS96" s="64" t="s" ph="1">
        <v>501</v>
      </c>
      <c r="AT96" s="64" t="s" ph="1">
        <v>275</v>
      </c>
      <c r="AU96" s="64" t="s" ph="1">
        <v>331</v>
      </c>
      <c r="AV96" s="64" t="s" ph="1">
        <v>502</v>
      </c>
      <c r="AW96" s="64" t="s" ph="1">
        <v>271</v>
      </c>
      <c r="AX96" s="64" t="s" ph="1">
        <v>331</v>
      </c>
      <c r="AY96" s="64" t="s" ph="1">
        <v>260</v>
      </c>
      <c r="AZ96" s="64" t="s" ph="1">
        <v>503</v>
      </c>
    </row>
    <row r="97" spans="33:52" ph="1">
      <c r="AJ97" s="64" t="s" ph="1">
        <v>504</v>
      </c>
      <c r="AK97" s="64" t="s" ph="1">
        <v>326</v>
      </c>
      <c r="AM97" s="64" t="s" ph="1">
        <v>505</v>
      </c>
      <c r="AN97" s="64" t="s" ph="1">
        <v>269</v>
      </c>
      <c r="AO97" s="64" t="s" ph="1">
        <v>303</v>
      </c>
      <c r="AP97" s="64" t="s" ph="1">
        <v>506</v>
      </c>
      <c r="AQ97" s="64" t="s" ph="1">
        <v>263</v>
      </c>
      <c r="AR97" s="64" t="s" ph="1">
        <v>331</v>
      </c>
      <c r="AS97" s="64" t="s" ph="1">
        <v>507</v>
      </c>
      <c r="AT97" s="64" t="s" ph="1">
        <v>266</v>
      </c>
      <c r="AU97" s="64" t="s" ph="1">
        <v>331</v>
      </c>
      <c r="AV97" s="64" t="s" ph="1">
        <v>508</v>
      </c>
      <c r="AW97" s="64" t="s" ph="1">
        <v>272</v>
      </c>
      <c r="AX97" s="64" t="s" ph="1">
        <v>331</v>
      </c>
    </row>
    <row r="98" spans="33:52" ph="1">
      <c r="AJ98" s="64" t="s" ph="1">
        <v>509</v>
      </c>
      <c r="AK98" s="64" t="s" ph="1">
        <v>275</v>
      </c>
      <c r="AM98" s="64" t="s" ph="1">
        <v>510</v>
      </c>
      <c r="AN98" s="64" t="s" ph="1">
        <v>283</v>
      </c>
      <c r="AO98" s="64" t="s" ph="1">
        <v>303</v>
      </c>
      <c r="AP98" s="64" t="s" ph="1">
        <v>511</v>
      </c>
      <c r="AQ98" s="64" t="s" ph="1">
        <v>263</v>
      </c>
      <c r="AR98" s="64" t="s" ph="1">
        <v>331</v>
      </c>
      <c r="AS98" s="64" t="s" ph="1">
        <v>512</v>
      </c>
      <c r="AT98" s="64" t="s" ph="1">
        <v>343</v>
      </c>
      <c r="AU98" s="64" t="s" ph="1">
        <v>331</v>
      </c>
      <c r="AV98" s="64" t="s" ph="1">
        <v>513</v>
      </c>
      <c r="AW98" s="64" t="s" ph="1">
        <v>266</v>
      </c>
      <c r="AX98" s="64" t="s" ph="1">
        <v>331</v>
      </c>
    </row>
    <row r="99" spans="33:52" ph="1">
      <c r="AH99" s="64" ph="1">
        <v>8</v>
      </c>
      <c r="AI99" s="64" t="s" ph="1">
        <v>514</v>
      </c>
      <c r="AJ99" s="64" t="s" ph="1">
        <v>515</v>
      </c>
      <c r="AK99" s="64" t="s" ph="1">
        <v>411</v>
      </c>
      <c r="AM99" s="64" t="s" ph="1">
        <v>516</v>
      </c>
      <c r="AN99" s="64" t="s" ph="1">
        <v>298</v>
      </c>
      <c r="AO99" s="64" t="s" ph="1">
        <v>303</v>
      </c>
      <c r="AP99" s="64" t="s" ph="1">
        <v>517</v>
      </c>
      <c r="AQ99" s="64" t="s" ph="1">
        <v>268</v>
      </c>
      <c r="AR99" s="64" t="s" ph="1">
        <v>331</v>
      </c>
      <c r="AS99" s="64" t="s" ph="1">
        <v>518</v>
      </c>
      <c r="AT99" s="64" t="s" ph="1">
        <v>283</v>
      </c>
      <c r="AU99" s="64" t="s" ph="1">
        <v>331</v>
      </c>
      <c r="AV99" s="64" t="s" ph="1">
        <v>519</v>
      </c>
      <c r="AW99" s="64" t="s" ph="1">
        <v>268</v>
      </c>
      <c r="AX99" s="64" t="s" ph="1">
        <v>331</v>
      </c>
      <c r="AY99" s="64" t="s" ph="1">
        <v>260</v>
      </c>
      <c r="AZ99" s="64" t="s" ph="1">
        <v>520</v>
      </c>
    </row>
    <row r="100" spans="33:52" ph="1">
      <c r="AJ100" s="64" t="s" ph="1">
        <v>521</v>
      </c>
      <c r="AK100" s="64" t="s" ph="1">
        <v>266</v>
      </c>
      <c r="AM100" s="64" t="s" ph="1">
        <v>522</v>
      </c>
      <c r="AN100" s="64" t="s" ph="1">
        <v>338</v>
      </c>
      <c r="AO100" s="64" t="s" ph="1">
        <v>303</v>
      </c>
      <c r="AP100" s="64" t="s" ph="1">
        <v>523</v>
      </c>
      <c r="AQ100" s="64" t="s" ph="1">
        <v>344</v>
      </c>
      <c r="AR100" s="64" t="s" ph="1">
        <v>331</v>
      </c>
      <c r="AS100" s="64" t="s" ph="1">
        <v>524</v>
      </c>
      <c r="AT100" s="64" t="s" ph="1">
        <v>411</v>
      </c>
      <c r="AU100" s="64" t="s" ph="1">
        <v>303</v>
      </c>
      <c r="AV100" s="64" t="s" ph="1">
        <v>525</v>
      </c>
      <c r="AW100" s="64" t="s" ph="1">
        <v>411</v>
      </c>
      <c r="AX100" s="64" t="s" ph="1">
        <v>303</v>
      </c>
    </row>
    <row r="101" spans="33:52" ph="1">
      <c r="AJ101" s="64" t="s" ph="1">
        <v>526</v>
      </c>
      <c r="AK101" s="64" t="s" ph="1">
        <v>411</v>
      </c>
      <c r="AM101" s="64" t="s" ph="1">
        <v>527</v>
      </c>
      <c r="AN101" s="64" t="s" ph="1">
        <v>269</v>
      </c>
      <c r="AO101" s="64" t="s" ph="1">
        <v>303</v>
      </c>
      <c r="AP101" s="64" t="s" ph="1">
        <v>528</v>
      </c>
      <c r="AQ101" s="64" t="s" ph="1">
        <v>281</v>
      </c>
      <c r="AR101" s="64" t="s" ph="1">
        <v>331</v>
      </c>
      <c r="AS101" s="64" t="s" ph="1">
        <v>529</v>
      </c>
      <c r="AT101" s="64" t="s" ph="1">
        <v>338</v>
      </c>
      <c r="AU101" s="64" t="s" ph="1">
        <v>331</v>
      </c>
      <c r="AV101" s="64" t="s" ph="1">
        <v>530</v>
      </c>
      <c r="AW101" s="64" t="s" ph="1">
        <v>269</v>
      </c>
      <c r="AX101" s="64" t="s" ph="1">
        <v>303</v>
      </c>
    </row>
    <row r="102" spans="33:52" ph="1">
      <c r="AJ102" s="64" t="s" ph="1">
        <v>531</v>
      </c>
      <c r="AK102" s="64" t="s" ph="1">
        <v>266</v>
      </c>
      <c r="AM102" s="64" t="s" ph="1">
        <v>532</v>
      </c>
      <c r="AN102" s="64" t="s" ph="1">
        <v>275</v>
      </c>
      <c r="AO102" s="64" t="s" ph="1">
        <v>303</v>
      </c>
      <c r="AP102" s="64" t="s" ph="1">
        <v>533</v>
      </c>
      <c r="AQ102" s="64" t="s" ph="1">
        <v>281</v>
      </c>
      <c r="AR102" s="64" t="s" ph="1">
        <v>303</v>
      </c>
      <c r="AS102" s="64" t="s" ph="1">
        <v>534</v>
      </c>
      <c r="AT102" s="64" t="s" ph="1">
        <v>298</v>
      </c>
      <c r="AU102" s="64" t="s" ph="1">
        <v>303</v>
      </c>
      <c r="AV102" s="64" t="s" ph="1">
        <v>535</v>
      </c>
      <c r="AW102" s="64" t="s" ph="1">
        <v>316</v>
      </c>
      <c r="AX102" s="64" t="s" ph="1">
        <v>303</v>
      </c>
    </row>
    <row r="103" spans="33:52" ph="1">
      <c r="AH103" s="64" ph="1">
        <v>9</v>
      </c>
      <c r="AI103" s="64" t="s" ph="1">
        <v>536</v>
      </c>
      <c r="AJ103" s="64" t="s" ph="1">
        <v>537</v>
      </c>
      <c r="AK103" s="64" t="s" ph="1">
        <v>411</v>
      </c>
      <c r="AM103" s="64" t="s" ph="1">
        <v>538</v>
      </c>
      <c r="AN103" s="64" t="s" ph="1">
        <v>326</v>
      </c>
      <c r="AO103" s="64" t="s" ph="1">
        <v>303</v>
      </c>
      <c r="AP103" s="64" t="s" ph="1">
        <v>380</v>
      </c>
      <c r="AQ103" s="64" t="s" ph="1">
        <v>269</v>
      </c>
      <c r="AR103" s="64" t="s" ph="1">
        <v>303</v>
      </c>
      <c r="AS103" s="64" t="s" ph="1">
        <v>614</v>
      </c>
      <c r="AT103" s="64" t="s" ph="1">
        <v>411</v>
      </c>
      <c r="AU103" s="64" t="s" ph="1">
        <v>303</v>
      </c>
      <c r="AY103" s="64" t="s" ph="1">
        <v>260</v>
      </c>
      <c r="AZ103" s="64" t="s" ph="1">
        <v>268</v>
      </c>
    </row>
    <row r="104" spans="33:52" ph="1">
      <c r="AZ104" s="64" t="s" ph="1">
        <v>539</v>
      </c>
    </row>
    <row r="105" spans="33:52" ph="1">
      <c r="AG105" s="64" t="s" ph="1">
        <v>339</v>
      </c>
      <c r="AI105" s="64" t="s" ph="1">
        <v>253</v>
      </c>
      <c r="AJ105" s="64" t="s" ph="1">
        <v>254</v>
      </c>
      <c r="AK105" s="64" t="s" ph="1">
        <v>255</v>
      </c>
      <c r="AM105" s="64" t="s" ph="1">
        <v>254</v>
      </c>
      <c r="AN105" s="64" t="s" ph="1">
        <v>255</v>
      </c>
      <c r="AO105" s="64" t="s" ph="1">
        <v>256</v>
      </c>
      <c r="AP105" s="64" t="s" ph="1">
        <v>254</v>
      </c>
      <c r="AQ105" s="64" t="s" ph="1">
        <v>255</v>
      </c>
      <c r="AR105" s="64" t="s" ph="1">
        <v>256</v>
      </c>
      <c r="AS105" s="64" t="s" ph="1">
        <v>254</v>
      </c>
      <c r="AT105" s="64" t="s" ph="1">
        <v>255</v>
      </c>
      <c r="AU105" s="64" t="s" ph="1">
        <v>256</v>
      </c>
      <c r="AV105" s="64" t="s" ph="1">
        <v>254</v>
      </c>
      <c r="AW105" s="64" t="s" ph="1">
        <v>255</v>
      </c>
      <c r="AX105" s="64" t="s" ph="1">
        <v>256</v>
      </c>
      <c r="AZ105" s="64" t="s" ph="1">
        <v>257</v>
      </c>
    </row>
    <row r="106" spans="33:52" ph="1">
      <c r="AH106" s="64" ph="1">
        <v>1</v>
      </c>
      <c r="AI106" s="64" t="s" ph="1">
        <v>540</v>
      </c>
      <c r="AJ106" s="64" t="s" ph="1">
        <v>614</v>
      </c>
      <c r="AK106" s="64" t="s" ph="1">
        <v>275</v>
      </c>
      <c r="AZ106" s="64" t="s" ph="1">
        <v>275</v>
      </c>
    </row>
    <row r="107" spans="33:52" ph="1">
      <c r="AH107" s="64" ph="1">
        <v>2</v>
      </c>
      <c r="AI107" s="64" t="s" ph="1">
        <v>541</v>
      </c>
      <c r="AJ107" s="64" t="s" ph="1">
        <v>542</v>
      </c>
      <c r="AK107" s="64" t="s" ph="1">
        <v>272</v>
      </c>
      <c r="AM107" s="64" t="s" ph="1">
        <v>378</v>
      </c>
      <c r="AN107" s="64" t="s" ph="1">
        <v>543</v>
      </c>
      <c r="AO107" s="64" t="s" ph="1">
        <v>544</v>
      </c>
      <c r="AP107" s="64" t="s" ph="1">
        <v>380</v>
      </c>
      <c r="AQ107" s="64" t="s" ph="1">
        <v>348</v>
      </c>
      <c r="AR107" s="64" t="s" ph="1">
        <v>544</v>
      </c>
      <c r="AS107" s="64" t="s" ph="1">
        <v>614</v>
      </c>
      <c r="AT107" s="64" t="s" ph="1">
        <v>543</v>
      </c>
      <c r="AU107" s="64" t="s" ph="1">
        <v>544</v>
      </c>
      <c r="AY107" s="64" t="s" ph="1">
        <v>260</v>
      </c>
      <c r="AZ107" s="64" t="s" ph="1">
        <v>624</v>
      </c>
    </row>
    <row r="108" spans="33:52" ph="1">
      <c r="AH108" s="64" ph="1">
        <v>3</v>
      </c>
      <c r="AI108" s="64" t="s" ph="1">
        <v>545</v>
      </c>
      <c r="AY108" s="64" t="s" ph="1">
        <v>260</v>
      </c>
      <c r="AZ108" s="64" t="s" ph="1">
        <v>411</v>
      </c>
    </row>
    <row r="109" spans="33:52" ph="1">
      <c r="AH109" s="64" ph="1">
        <v>4</v>
      </c>
      <c r="AI109" s="64" t="s" ph="1">
        <v>546</v>
      </c>
      <c r="AY109" s="64" t="s" ph="1">
        <v>260</v>
      </c>
      <c r="AZ109" s="64" t="s" ph="1">
        <v>411</v>
      </c>
    </row>
    <row r="110" spans="33:52" ph="1">
      <c r="AH110" s="64" ph="1">
        <v>5</v>
      </c>
      <c r="AI110" s="64" t="s" ph="1">
        <v>547</v>
      </c>
      <c r="AY110" s="64" t="s" ph="1">
        <v>260</v>
      </c>
      <c r="AZ110" s="64" t="s" ph="1">
        <v>411</v>
      </c>
    </row>
    <row r="111" spans="33:52" ph="1">
      <c r="AH111" s="64" ph="1">
        <v>6</v>
      </c>
      <c r="AI111" s="64" t="s" ph="1">
        <v>625</v>
      </c>
      <c r="AJ111" s="64" t="s" ph="1">
        <v>530</v>
      </c>
      <c r="AK111" s="64" t="s" ph="1">
        <v>269</v>
      </c>
      <c r="AM111" s="64" t="s" ph="1">
        <v>531</v>
      </c>
      <c r="AN111" s="64" t="s" ph="1">
        <v>263</v>
      </c>
      <c r="AO111" s="64" t="s" ph="1">
        <v>544</v>
      </c>
      <c r="AP111" s="64" t="s" ph="1">
        <v>532</v>
      </c>
      <c r="AQ111" s="64" t="s" ph="1">
        <v>272</v>
      </c>
      <c r="AR111" s="64" t="s" ph="1">
        <v>544</v>
      </c>
      <c r="AS111" s="64" t="s" ph="1">
        <v>533</v>
      </c>
      <c r="AT111" s="64" t="s" ph="1">
        <v>281</v>
      </c>
      <c r="AU111" s="64" t="s" ph="1">
        <v>544</v>
      </c>
      <c r="AV111" s="64" t="s" ph="1">
        <v>534</v>
      </c>
      <c r="AW111" s="64" t="s" ph="1">
        <v>271</v>
      </c>
      <c r="AX111" s="64" t="s" ph="1">
        <v>544</v>
      </c>
      <c r="AY111" s="64" t="s" ph="1">
        <v>260</v>
      </c>
      <c r="AZ111" s="64" t="s" ph="1">
        <v>548</v>
      </c>
    </row>
    <row r="112" spans="33:52" ph="1">
      <c r="AJ112" s="64" t="s" ph="1">
        <v>535</v>
      </c>
      <c r="AK112" s="64" t="s" ph="1">
        <v>316</v>
      </c>
      <c r="AM112" s="64" t="s" ph="1">
        <v>537</v>
      </c>
      <c r="AN112" s="64" t="s" ph="1">
        <v>340</v>
      </c>
      <c r="AO112" s="64" t="s" ph="1">
        <v>544</v>
      </c>
      <c r="AP112" s="64" t="s" ph="1">
        <v>538</v>
      </c>
      <c r="AQ112" s="64" t="s" ph="1">
        <v>549</v>
      </c>
      <c r="AR112" s="64" t="s" ph="1">
        <v>544</v>
      </c>
      <c r="AS112" s="64" t="s" ph="1">
        <v>550</v>
      </c>
      <c r="AT112" s="64" t="s" ph="1">
        <v>292</v>
      </c>
      <c r="AU112" s="64" t="s" ph="1">
        <v>544</v>
      </c>
      <c r="AV112" s="64" t="s" ph="1">
        <v>551</v>
      </c>
      <c r="AW112" s="64" t="s" ph="1">
        <v>338</v>
      </c>
      <c r="AX112" s="64" t="s" ph="1">
        <v>544</v>
      </c>
    </row>
    <row r="113" spans="33:52" ph="1">
      <c r="AH113" s="64" ph="1">
        <v>7</v>
      </c>
      <c r="AI113" s="64" t="s" ph="1">
        <v>552</v>
      </c>
      <c r="AJ113" s="64" t="s" ph="1">
        <v>633</v>
      </c>
      <c r="AK113" s="64" t="s" ph="1">
        <v>638</v>
      </c>
      <c r="AY113" s="64" t="s" ph="1">
        <v>260</v>
      </c>
      <c r="AZ113" s="64" t="s" ph="1">
        <v>638</v>
      </c>
    </row>
    <row r="114" spans="33:52" ph="1">
      <c r="AH114" s="64" ph="1">
        <v>8</v>
      </c>
      <c r="AI114" s="64" t="s" ph="1">
        <v>553</v>
      </c>
      <c r="AJ114" s="64" t="s" ph="1">
        <v>633</v>
      </c>
      <c r="AK114" s="64" t="s" ph="1">
        <v>639</v>
      </c>
      <c r="AY114" s="64" t="s" ph="1">
        <v>260</v>
      </c>
      <c r="AZ114" s="64" t="s" ph="1">
        <v>639</v>
      </c>
    </row>
    <row r="115" spans="33:52" ph="1">
      <c r="AH115" s="64" ph="1">
        <v>9</v>
      </c>
      <c r="AI115" s="64" t="s" ph="1">
        <v>554</v>
      </c>
      <c r="AJ115" s="64" t="s" ph="1">
        <v>633</v>
      </c>
      <c r="AK115" s="64" t="s" ph="1">
        <v>639</v>
      </c>
      <c r="AY115" s="64" t="s" ph="1">
        <v>260</v>
      </c>
      <c r="AZ115" s="64" t="s" ph="1">
        <v>639</v>
      </c>
    </row>
    <row r="116" spans="33:52" ph="1">
      <c r="AH116" s="64" ph="1">
        <v>10</v>
      </c>
      <c r="AI116" s="64" t="s" ph="1">
        <v>555</v>
      </c>
      <c r="AJ116" s="64" t="s" ph="1">
        <v>633</v>
      </c>
      <c r="AK116" s="64" t="s" ph="1">
        <v>639</v>
      </c>
      <c r="AY116" s="64" t="s" ph="1">
        <v>260</v>
      </c>
      <c r="AZ116" s="64" t="s" ph="1">
        <v>639</v>
      </c>
    </row>
    <row r="117" spans="33:52" ph="1">
      <c r="AH117" s="64" ph="1">
        <v>11</v>
      </c>
      <c r="AI117" s="64" t="s" ph="1">
        <v>556</v>
      </c>
      <c r="AJ117" s="64" t="s" ph="1">
        <v>633</v>
      </c>
      <c r="AK117" s="64" t="s" ph="1">
        <v>639</v>
      </c>
      <c r="AY117" s="64" t="s" ph="1">
        <v>260</v>
      </c>
      <c r="AZ117" s="64" t="s" ph="1">
        <v>639</v>
      </c>
    </row>
    <row r="118" spans="33:52" ph="1">
      <c r="AZ118" s="64" t="s" ph="1">
        <v>640</v>
      </c>
    </row>
    <row r="119" spans="33:52" ph="1">
      <c r="AI119" s="64" t="s" ph="1">
        <v>253</v>
      </c>
      <c r="AJ119" s="64" t="s" ph="1">
        <v>254</v>
      </c>
      <c r="AK119" s="64" t="s" ph="1">
        <v>255</v>
      </c>
      <c r="AM119" s="64" t="s" ph="1">
        <v>254</v>
      </c>
      <c r="AN119" s="64" t="s" ph="1">
        <v>255</v>
      </c>
      <c r="AO119" s="64" t="s" ph="1">
        <v>256</v>
      </c>
      <c r="AP119" s="64" t="s" ph="1">
        <v>254</v>
      </c>
      <c r="AQ119" s="64" t="s" ph="1">
        <v>255</v>
      </c>
      <c r="AR119" s="64" t="s" ph="1">
        <v>256</v>
      </c>
      <c r="AS119" s="64" t="s" ph="1">
        <v>254</v>
      </c>
      <c r="AT119" s="64" t="s" ph="1">
        <v>255</v>
      </c>
      <c r="AU119" s="64" t="s" ph="1">
        <v>256</v>
      </c>
      <c r="AV119" s="64" t="s" ph="1">
        <v>254</v>
      </c>
      <c r="AW119" s="64" t="s" ph="1">
        <v>255</v>
      </c>
      <c r="AX119" s="64" t="s" ph="1">
        <v>256</v>
      </c>
      <c r="AY119" s="64" t="s" ph="1">
        <v>255</v>
      </c>
      <c r="AZ119" s="64" t="s" ph="1">
        <v>257</v>
      </c>
    </row>
    <row r="120" spans="33:52" ph="1">
      <c r="AG120" s="64" t="s" ph="1">
        <v>397</v>
      </c>
      <c r="AH120" s="64" ph="1">
        <v>1</v>
      </c>
      <c r="AI120" s="64" t="s" ph="1">
        <v>557</v>
      </c>
      <c r="AJ120" s="64" t="s" ph="1">
        <v>631</v>
      </c>
      <c r="AK120" s="64" t="s" ph="1">
        <v>411</v>
      </c>
      <c r="AY120" s="64" t="s" ph="1">
        <v>260</v>
      </c>
      <c r="AZ120" s="64" t="s" ph="1">
        <v>411</v>
      </c>
    </row>
    <row r="121" spans="33:52" ph="1">
      <c r="AH121" s="64" ph="1">
        <v>2</v>
      </c>
      <c r="AI121" s="64" t="s" ph="1">
        <v>558</v>
      </c>
      <c r="AY121" s="64" t="s" ph="1">
        <v>260</v>
      </c>
      <c r="AZ121" s="64" t="s" ph="1">
        <v>411</v>
      </c>
    </row>
    <row r="122" spans="33:52" ph="1">
      <c r="AH122" s="64" ph="1">
        <v>3</v>
      </c>
      <c r="AI122" s="64" t="s" ph="1">
        <v>559</v>
      </c>
      <c r="AJ122" s="64" t="s" ph="1">
        <v>614</v>
      </c>
      <c r="AK122" s="64" t="s" ph="1">
        <v>626</v>
      </c>
      <c r="AM122" s="64" t="s" ph="1">
        <v>641</v>
      </c>
      <c r="AN122" s="64" t="s" ph="1">
        <v>634</v>
      </c>
      <c r="AO122" s="64" t="s" ph="1">
        <v>109</v>
      </c>
      <c r="AY122" s="64" t="s" ph="1">
        <v>260</v>
      </c>
      <c r="AZ122" s="64" t="s" ph="1">
        <v>623</v>
      </c>
    </row>
    <row r="123" spans="33:52" ph="1">
      <c r="AY123" s="64" t="s" ph="1">
        <v>260</v>
      </c>
      <c r="AZ123" s="64" t="s" ph="1">
        <v>623</v>
      </c>
    </row>
    <row r="124" spans="33:52" ph="1">
      <c r="AG124" s="64" t="s" ph="1">
        <v>400</v>
      </c>
      <c r="AH124" s="64" ph="1">
        <v>4</v>
      </c>
      <c r="AI124" s="64" t="s" ph="1">
        <v>560</v>
      </c>
      <c r="AJ124" s="64" t="s" ph="1">
        <v>561</v>
      </c>
      <c r="AK124" s="64" t="s" ph="1">
        <v>562</v>
      </c>
      <c r="AY124" s="64" t="s" ph="1">
        <v>260</v>
      </c>
      <c r="AZ124" s="64" t="s" ph="1">
        <v>562</v>
      </c>
    </row>
    <row r="125" spans="33:52" ph="1">
      <c r="AH125" s="64" ph="1">
        <v>5</v>
      </c>
      <c r="AI125" s="64" t="s" ph="1">
        <v>563</v>
      </c>
      <c r="AJ125" s="64" t="s" ph="1">
        <v>561</v>
      </c>
      <c r="AK125" s="64" t="s" ph="1">
        <v>562</v>
      </c>
      <c r="AY125" s="64" t="s" ph="1">
        <v>260</v>
      </c>
      <c r="AZ125" s="64" t="s" ph="1">
        <v>562</v>
      </c>
    </row>
    <row r="126" spans="33:52" ph="1">
      <c r="AH126" s="64" ph="1">
        <v>6</v>
      </c>
      <c r="AI126" s="64" t="s" ph="1">
        <v>564</v>
      </c>
      <c r="AJ126" s="64" t="s" ph="1">
        <v>633</v>
      </c>
      <c r="AK126" s="64" t="s" ph="1">
        <v>642</v>
      </c>
      <c r="AY126" s="64" t="s" ph="1">
        <v>260</v>
      </c>
      <c r="AZ126" s="64" t="s" ph="1">
        <v>642</v>
      </c>
    </row>
    <row r="127" spans="33:52" ph="1">
      <c r="AH127" s="64" ph="1">
        <v>7</v>
      </c>
      <c r="AI127" s="64" t="s" ph="1">
        <v>565</v>
      </c>
      <c r="AJ127" s="64" t="s" ph="1">
        <v>633</v>
      </c>
      <c r="AK127" s="64" t="s" ph="1">
        <v>643</v>
      </c>
      <c r="AY127" s="64" t="s" ph="1">
        <v>260</v>
      </c>
      <c r="AZ127" s="64" t="s" ph="1">
        <v>643</v>
      </c>
    </row>
    <row r="128" spans="33:52" ph="1">
      <c r="AH128" s="64" ph="1">
        <v>8</v>
      </c>
      <c r="AI128" s="64" t="s" ph="1">
        <v>566</v>
      </c>
      <c r="AY128" s="64" t="s" ph="1">
        <v>260</v>
      </c>
      <c r="AZ128" s="64" t="s" ph="1">
        <v>411</v>
      </c>
    </row>
    <row r="129" spans="33:52" ph="1">
      <c r="AH129" s="64" ph="1">
        <v>9</v>
      </c>
      <c r="AI129" s="64" t="s" ph="1">
        <v>567</v>
      </c>
      <c r="AY129" s="64" t="s" ph="1">
        <v>260</v>
      </c>
      <c r="AZ129" s="64" t="s" ph="1">
        <v>411</v>
      </c>
    </row>
    <row r="130" spans="33:52" ph="1">
      <c r="AH130" s="64" ph="1">
        <v>10</v>
      </c>
      <c r="AI130" s="64" t="s" ph="1">
        <v>568</v>
      </c>
      <c r="AY130" s="64" t="s" ph="1">
        <v>260</v>
      </c>
      <c r="AZ130" s="64" t="s" ph="1">
        <v>411</v>
      </c>
    </row>
    <row r="131" spans="33:52" ph="1">
      <c r="AH131" s="64" ph="1">
        <v>11</v>
      </c>
      <c r="AI131" s="64" t="s" ph="1">
        <v>569</v>
      </c>
      <c r="AJ131" s="64" t="s" ph="1">
        <v>627</v>
      </c>
      <c r="AK131" s="64" t="s" ph="1">
        <v>623</v>
      </c>
      <c r="AY131" s="64" t="s" ph="1">
        <v>260</v>
      </c>
      <c r="AZ131" s="64" t="s" ph="1">
        <v>623</v>
      </c>
    </row>
    <row r="132" spans="33:52" ph="1">
      <c r="AH132" s="64" ph="1">
        <v>12</v>
      </c>
      <c r="AI132" s="64" t="s" ph="1">
        <v>570</v>
      </c>
      <c r="AJ132" s="64" t="s" ph="1">
        <v>627</v>
      </c>
      <c r="AK132" s="64" t="s" ph="1">
        <v>562</v>
      </c>
      <c r="AY132" s="64" t="s" ph="1">
        <v>260</v>
      </c>
      <c r="AZ132" s="64" t="s" ph="1">
        <v>562</v>
      </c>
    </row>
    <row r="133" spans="33:52" ph="1">
      <c r="AH133" s="64" ph="1">
        <v>13</v>
      </c>
      <c r="AI133" s="64" t="s" ph="1">
        <v>571</v>
      </c>
      <c r="AJ133" s="64" t="s" ph="1">
        <v>627</v>
      </c>
      <c r="AK133" s="64" t="s" ph="1">
        <v>628</v>
      </c>
      <c r="AY133" s="64" t="s" ph="1">
        <v>260</v>
      </c>
      <c r="AZ133" s="64" t="s" ph="1">
        <v>628</v>
      </c>
    </row>
    <row r="134" spans="33:52" ph="1">
      <c r="AH134" s="64" ph="1">
        <v>14</v>
      </c>
      <c r="AI134" s="64" t="s" ph="1">
        <v>572</v>
      </c>
      <c r="AJ134" s="64" t="s" ph="1">
        <v>627</v>
      </c>
      <c r="AK134" s="64" t="s" ph="1">
        <v>629</v>
      </c>
      <c r="AY134" s="64" t="s" ph="1">
        <v>260</v>
      </c>
      <c r="AZ134" s="64" t="s" ph="1">
        <v>629</v>
      </c>
    </row>
    <row r="135" spans="33:52" ph="1">
      <c r="AH135" s="64" ph="1">
        <v>15</v>
      </c>
      <c r="AI135" s="64" t="s" ph="1">
        <v>573</v>
      </c>
      <c r="AJ135" s="64" t="s" ph="1">
        <v>627</v>
      </c>
      <c r="AK135" s="64" t="s" ph="1">
        <v>630</v>
      </c>
      <c r="AY135" s="64" t="s" ph="1">
        <v>260</v>
      </c>
      <c r="AZ135" s="64" t="s" ph="1">
        <v>630</v>
      </c>
    </row>
    <row r="136" spans="33:52" ph="1">
      <c r="AZ136" s="64" t="s" ph="1">
        <v>644</v>
      </c>
    </row>
    <row r="137" spans="33:52" ph="1">
      <c r="AG137" s="64" t="s" ph="1">
        <v>334</v>
      </c>
      <c r="AI137" s="64" t="s" ph="1">
        <v>253</v>
      </c>
      <c r="AJ137" s="64" t="s" ph="1">
        <v>254</v>
      </c>
      <c r="AK137" s="64" t="s" ph="1">
        <v>255</v>
      </c>
      <c r="AM137" s="64" t="s" ph="1">
        <v>254</v>
      </c>
      <c r="AN137" s="64" t="s" ph="1">
        <v>255</v>
      </c>
      <c r="AO137" s="64" t="s" ph="1">
        <v>256</v>
      </c>
      <c r="AP137" s="64" t="s" ph="1">
        <v>254</v>
      </c>
      <c r="AQ137" s="64" t="s" ph="1">
        <v>255</v>
      </c>
      <c r="AR137" s="64" t="s" ph="1">
        <v>256</v>
      </c>
      <c r="AS137" s="64" t="s" ph="1">
        <v>254</v>
      </c>
      <c r="AT137" s="64" t="s" ph="1">
        <v>255</v>
      </c>
      <c r="AU137" s="64" t="s" ph="1">
        <v>256</v>
      </c>
      <c r="AV137" s="64" t="s" ph="1">
        <v>254</v>
      </c>
      <c r="AW137" s="64" t="s" ph="1">
        <v>255</v>
      </c>
      <c r="AX137" s="64" t="s" ph="1">
        <v>256</v>
      </c>
      <c r="AY137" s="64" t="s" ph="1">
        <v>255</v>
      </c>
      <c r="AZ137" s="64" t="s" ph="1">
        <v>257</v>
      </c>
    </row>
    <row r="138" spans="33:52" ph="1">
      <c r="AH138" s="64" ph="1">
        <v>1</v>
      </c>
      <c r="AI138" s="64" t="s" ph="1">
        <v>574</v>
      </c>
      <c r="AJ138" s="64" t="s" ph="1">
        <v>575</v>
      </c>
      <c r="AK138" s="64" t="s" ph="1">
        <v>576</v>
      </c>
      <c r="AY138" s="64" t="s" ph="1">
        <v>260</v>
      </c>
      <c r="AZ138" s="64" t="s" ph="1">
        <v>576</v>
      </c>
    </row>
    <row r="139" spans="33:52" ph="1">
      <c r="AH139" s="64" ph="1">
        <v>2</v>
      </c>
      <c r="AI139" s="64" t="s" ph="1">
        <v>577</v>
      </c>
      <c r="AJ139" s="64" t="s" ph="1">
        <v>633</v>
      </c>
      <c r="AK139" s="64" t="s" ph="1">
        <v>645</v>
      </c>
      <c r="AY139" s="64" t="s" ph="1">
        <v>260</v>
      </c>
      <c r="AZ139" s="64" t="s" ph="1">
        <v>645</v>
      </c>
    </row>
    <row r="140" spans="33:52" ph="1">
      <c r="AH140" s="64" ph="1">
        <v>3</v>
      </c>
      <c r="AI140" s="64" t="s" ph="1">
        <v>578</v>
      </c>
      <c r="AJ140" s="64" t="s" ph="1">
        <v>531</v>
      </c>
      <c r="AK140" s="64" t="s" ph="1">
        <v>343</v>
      </c>
      <c r="AM140" s="64" t="s" ph="1">
        <v>532</v>
      </c>
      <c r="AN140" s="64" t="s" ph="1">
        <v>263</v>
      </c>
      <c r="AO140" s="64" t="s" ph="1">
        <v>579</v>
      </c>
      <c r="AP140" s="64" t="s" ph="1">
        <v>533</v>
      </c>
      <c r="AQ140" s="64" t="s" ph="1">
        <v>280</v>
      </c>
      <c r="AR140" s="64" t="s" ph="1">
        <v>579</v>
      </c>
      <c r="AS140" s="64" t="s" ph="1">
        <v>534</v>
      </c>
      <c r="AT140" s="64" t="s" ph="1">
        <v>273</v>
      </c>
      <c r="AU140" s="64" t="s" ph="1">
        <v>579</v>
      </c>
      <c r="AV140" s="64" t="s" ph="1">
        <v>535</v>
      </c>
      <c r="AW140" s="64" t="s" ph="1">
        <v>266</v>
      </c>
      <c r="AX140" s="64" t="s" ph="1">
        <v>579</v>
      </c>
      <c r="AY140" s="64" t="s" ph="1">
        <v>260</v>
      </c>
      <c r="AZ140" s="64" t="s" ph="1">
        <v>335</v>
      </c>
    </row>
    <row r="141" spans="33:52" ph="1">
      <c r="AJ141" s="64" t="s" ph="1">
        <v>537</v>
      </c>
      <c r="AK141" s="64" t="s" ph="1">
        <v>266</v>
      </c>
      <c r="AM141" s="64" t="s" ph="1">
        <v>538</v>
      </c>
      <c r="AN141" s="64" t="s" ph="1">
        <v>269</v>
      </c>
      <c r="AO141" s="64" t="s" ph="1">
        <v>579</v>
      </c>
      <c r="AP141" s="64" t="s" ph="1">
        <v>550</v>
      </c>
      <c r="AQ141" s="64" t="s" ph="1">
        <v>338</v>
      </c>
      <c r="AR141" s="64" t="s" ph="1">
        <v>579</v>
      </c>
      <c r="AS141" s="64" t="s" ph="1">
        <v>542</v>
      </c>
      <c r="AT141" s="64" t="s" ph="1">
        <v>266</v>
      </c>
      <c r="AU141" s="64" t="s" ph="1">
        <v>579</v>
      </c>
      <c r="AV141" s="64" t="s" ph="1">
        <v>378</v>
      </c>
      <c r="AW141" s="64" t="s" ph="1">
        <v>272</v>
      </c>
      <c r="AX141" s="64" t="s" ph="1">
        <v>579</v>
      </c>
    </row>
    <row r="142" spans="33:52" ph="1">
      <c r="AJ142" s="64" t="s" ph="1">
        <v>580</v>
      </c>
      <c r="AK142" s="64" t="s" ph="1">
        <v>283</v>
      </c>
    </row>
    <row r="143" spans="33:52" ph="1">
      <c r="AH143" s="64" ph="1">
        <v>4</v>
      </c>
      <c r="AI143" s="64" t="s" ph="1">
        <v>581</v>
      </c>
      <c r="AJ143" s="64" t="s" ph="1">
        <v>561</v>
      </c>
      <c r="AK143" s="64" t="s" ph="1">
        <v>582</v>
      </c>
      <c r="AY143" s="64" t="s" ph="1">
        <v>260</v>
      </c>
      <c r="AZ143" s="64" t="s" ph="1">
        <v>582</v>
      </c>
    </row>
    <row r="144" spans="33:52" ph="1">
      <c r="AH144" s="64" ph="1">
        <v>5</v>
      </c>
      <c r="AI144" s="64" t="s" ph="1">
        <v>583</v>
      </c>
      <c r="AY144" s="64" t="s" ph="1">
        <v>260</v>
      </c>
      <c r="AZ144" s="64" t="s" ph="1">
        <v>411</v>
      </c>
    </row>
    <row r="145" spans="33:52" ph="1">
      <c r="AH145" s="64" ph="1">
        <v>6</v>
      </c>
      <c r="AI145" s="64" t="s" ph="1">
        <v>584</v>
      </c>
      <c r="AY145" s="64" t="s" ph="1">
        <v>260</v>
      </c>
      <c r="AZ145" s="64" t="s" ph="1">
        <v>411</v>
      </c>
    </row>
    <row r="146" spans="33:52" ph="1">
      <c r="AH146" s="64" ph="1">
        <v>7</v>
      </c>
      <c r="AI146" s="64" t="s" ph="1">
        <v>585</v>
      </c>
      <c r="AY146" s="64" t="s" ph="1">
        <v>260</v>
      </c>
      <c r="AZ146" s="64" t="s" ph="1">
        <v>411</v>
      </c>
    </row>
    <row r="147" spans="33:52" ph="1">
      <c r="AH147" s="64" ph="1">
        <v>8</v>
      </c>
      <c r="AI147" s="64" t="s" ph="1">
        <v>586</v>
      </c>
      <c r="AY147" s="64" t="s" ph="1">
        <v>260</v>
      </c>
      <c r="AZ147" s="64" t="s" ph="1">
        <v>411</v>
      </c>
    </row>
    <row r="148" spans="33:52" ph="1">
      <c r="AH148" s="64" ph="1">
        <v>9</v>
      </c>
      <c r="AI148" s="64" t="s" ph="1">
        <v>587</v>
      </c>
      <c r="AY148" s="64" t="s" ph="1">
        <v>260</v>
      </c>
      <c r="AZ148" s="64" t="s" ph="1">
        <v>411</v>
      </c>
    </row>
    <row r="149" spans="33:52" ph="1">
      <c r="AH149" s="64" ph="1">
        <v>10</v>
      </c>
      <c r="AI149" s="64" t="s" ph="1">
        <v>588</v>
      </c>
      <c r="AY149" s="64" t="s" ph="1">
        <v>260</v>
      </c>
      <c r="AZ149" s="64" t="s" ph="1">
        <v>411</v>
      </c>
    </row>
    <row r="150" spans="33:52" ph="1">
      <c r="AH150" s="64" ph="1">
        <v>11</v>
      </c>
      <c r="AI150" s="64" t="s" ph="1">
        <v>589</v>
      </c>
      <c r="AY150" s="64" t="s" ph="1">
        <v>260</v>
      </c>
      <c r="AZ150" s="64" t="s" ph="1">
        <v>411</v>
      </c>
    </row>
    <row r="151" spans="33:52" ph="1">
      <c r="AH151" s="64" ph="1">
        <v>12</v>
      </c>
      <c r="AI151" s="64" t="s" ph="1">
        <v>590</v>
      </c>
      <c r="AY151" s="64" t="s" ph="1">
        <v>260</v>
      </c>
      <c r="AZ151" s="64" t="s" ph="1">
        <v>411</v>
      </c>
    </row>
    <row r="152" spans="33:52" ph="1">
      <c r="AH152" s="64" ph="1">
        <v>13</v>
      </c>
      <c r="AI152" s="64" t="s" ph="1">
        <v>591</v>
      </c>
      <c r="AY152" s="64" t="s" ph="1">
        <v>260</v>
      </c>
      <c r="AZ152" s="64" t="s" ph="1">
        <v>411</v>
      </c>
    </row>
    <row r="153" spans="33:52" ph="1">
      <c r="AH153" s="64" ph="1">
        <v>14</v>
      </c>
      <c r="AI153" s="64" t="s" ph="1">
        <v>592</v>
      </c>
      <c r="AY153" s="64" t="s" ph="1">
        <v>260</v>
      </c>
      <c r="AZ153" s="64" t="s" ph="1">
        <v>411</v>
      </c>
    </row>
    <row r="154" spans="33:52" ph="1">
      <c r="AH154" s="64" ph="1">
        <v>15</v>
      </c>
      <c r="AI154" s="64" t="s" ph="1">
        <v>593</v>
      </c>
      <c r="AY154" s="64" t="s" ph="1">
        <v>260</v>
      </c>
      <c r="AZ154" s="64" t="s" ph="1">
        <v>411</v>
      </c>
    </row>
    <row r="155" spans="33:52" ph="1">
      <c r="AH155" s="64" ph="1">
        <v>16</v>
      </c>
      <c r="AI155" s="64" t="s" ph="1">
        <v>594</v>
      </c>
      <c r="AJ155" s="64" t="s" ph="1">
        <v>380</v>
      </c>
      <c r="AK155" s="64" t="s" ph="1">
        <v>275</v>
      </c>
      <c r="AM155" s="64" t="s" ph="1">
        <v>614</v>
      </c>
      <c r="AN155" s="64" t="s" ph="1">
        <v>326</v>
      </c>
      <c r="AO155" s="64" t="s" ph="1">
        <v>579</v>
      </c>
      <c r="AY155" s="64" t="s" ph="1">
        <v>260</v>
      </c>
      <c r="AZ155" s="64" t="s" ph="1">
        <v>267</v>
      </c>
    </row>
    <row r="156" spans="33:52" ph="1">
      <c r="AZ156" s="64" t="s" ph="1">
        <v>646</v>
      </c>
    </row>
    <row r="157" spans="33:52" ph="1">
      <c r="AG157" s="64" t="s" ph="1">
        <v>595</v>
      </c>
      <c r="AI157" s="64" t="s" ph="1">
        <v>253</v>
      </c>
      <c r="AJ157" s="64" t="s" ph="1">
        <v>254</v>
      </c>
      <c r="AK157" s="64" t="s" ph="1">
        <v>255</v>
      </c>
      <c r="AM157" s="64" t="s" ph="1">
        <v>254</v>
      </c>
      <c r="AN157" s="64" t="s" ph="1">
        <v>255</v>
      </c>
      <c r="AO157" s="64" t="s" ph="1">
        <v>256</v>
      </c>
      <c r="AP157" s="64" t="s" ph="1">
        <v>254</v>
      </c>
      <c r="AQ157" s="64" t="s" ph="1">
        <v>255</v>
      </c>
      <c r="AR157" s="64" t="s" ph="1">
        <v>256</v>
      </c>
      <c r="AS157" s="64" t="s" ph="1">
        <v>254</v>
      </c>
      <c r="AT157" s="64" t="s" ph="1">
        <v>255</v>
      </c>
      <c r="AU157" s="64" t="s" ph="1">
        <v>256</v>
      </c>
      <c r="AV157" s="64" t="s" ph="1">
        <v>254</v>
      </c>
      <c r="AW157" s="64" t="s" ph="1">
        <v>255</v>
      </c>
      <c r="AX157" s="64" t="s" ph="1">
        <v>256</v>
      </c>
      <c r="AY157" s="64" t="s" ph="1">
        <v>255</v>
      </c>
      <c r="AZ157" s="64" t="s" ph="1">
        <v>257</v>
      </c>
    </row>
    <row r="158" spans="33:52" ph="1">
      <c r="AH158" s="64" ph="1">
        <v>1</v>
      </c>
      <c r="AI158" s="64" t="s" ph="1">
        <v>596</v>
      </c>
      <c r="AY158" s="64" t="s" ph="1">
        <v>260</v>
      </c>
      <c r="AZ158" s="64" t="s" ph="1">
        <v>411</v>
      </c>
    </row>
    <row r="159" spans="33:52" ph="1">
      <c r="AH159" s="64" ph="1">
        <v>2</v>
      </c>
      <c r="AI159" s="64" t="s" ph="1">
        <v>597</v>
      </c>
      <c r="AY159" s="64" t="s" ph="1">
        <v>260</v>
      </c>
      <c r="AZ159" s="64" t="s" ph="1">
        <v>411</v>
      </c>
    </row>
    <row r="160" spans="33:52" ph="1">
      <c r="AZ160" s="64" t="s" ph="1">
        <v>429</v>
      </c>
    </row>
    <row r="161" spans="33:52" ph="1">
      <c r="AG161" s="64" t="s" ph="1">
        <v>405</v>
      </c>
      <c r="AI161" s="64" t="s" ph="1">
        <v>253</v>
      </c>
      <c r="AJ161" s="64" t="s" ph="1">
        <v>254</v>
      </c>
      <c r="AK161" s="64" t="s" ph="1">
        <v>255</v>
      </c>
      <c r="AM161" s="64" t="s" ph="1">
        <v>254</v>
      </c>
      <c r="AN161" s="64" t="s" ph="1">
        <v>255</v>
      </c>
      <c r="AO161" s="64" t="s" ph="1">
        <v>256</v>
      </c>
      <c r="AP161" s="64" t="s" ph="1">
        <v>254</v>
      </c>
      <c r="AQ161" s="64" t="s" ph="1">
        <v>255</v>
      </c>
      <c r="AR161" s="64" t="s" ph="1">
        <v>256</v>
      </c>
      <c r="AS161" s="64" t="s" ph="1">
        <v>254</v>
      </c>
      <c r="AT161" s="64" t="s" ph="1">
        <v>255</v>
      </c>
      <c r="AU161" s="64" t="s" ph="1">
        <v>256</v>
      </c>
      <c r="AV161" s="64" t="s" ph="1">
        <v>254</v>
      </c>
      <c r="AW161" s="64" t="s" ph="1">
        <v>255</v>
      </c>
      <c r="AX161" s="64" t="s" ph="1">
        <v>256</v>
      </c>
      <c r="AY161" s="64" t="s" ph="1">
        <v>255</v>
      </c>
      <c r="AZ161" s="64" t="s" ph="1">
        <v>257</v>
      </c>
    </row>
    <row r="162" spans="33:52" ph="1">
      <c r="AH162" s="64" ph="1">
        <v>1</v>
      </c>
      <c r="AI162" s="64" t="s" ph="1">
        <v>598</v>
      </c>
      <c r="AJ162" s="64" t="s" ph="1">
        <v>599</v>
      </c>
      <c r="AK162" s="64" t="s" ph="1">
        <v>543</v>
      </c>
      <c r="AM162" s="64" t="s" ph="1">
        <v>600</v>
      </c>
      <c r="AN162" s="64" t="s" ph="1">
        <v>264</v>
      </c>
      <c r="AO162" s="64" t="s" ph="1">
        <v>601</v>
      </c>
      <c r="AY162" s="64" t="s" ph="1">
        <v>260</v>
      </c>
      <c r="AZ162" s="64" t="s" ph="1">
        <v>336</v>
      </c>
    </row>
    <row r="163" spans="33:52" ph="1">
      <c r="AH163" s="64" ph="1">
        <v>2</v>
      </c>
      <c r="AI163" s="64" t="s" ph="1">
        <v>602</v>
      </c>
      <c r="AJ163" s="64" t="s" ph="1">
        <v>599</v>
      </c>
      <c r="AK163" s="64" t="s" ph="1">
        <v>432</v>
      </c>
      <c r="AY163" s="64" t="s" ph="1">
        <v>260</v>
      </c>
      <c r="AZ163" s="64" t="s" ph="1">
        <v>432</v>
      </c>
    </row>
    <row r="164" spans="33:52" ph="1">
      <c r="AH164" s="64" ph="1">
        <v>3</v>
      </c>
      <c r="AI164" s="64" t="s" ph="1">
        <v>603</v>
      </c>
      <c r="AJ164" s="64" t="s" ph="1">
        <v>599</v>
      </c>
      <c r="AK164" s="64" t="s" ph="1">
        <v>336</v>
      </c>
      <c r="AY164" s="64" t="s" ph="1">
        <v>260</v>
      </c>
      <c r="AZ164" s="64" t="s" ph="1">
        <v>336</v>
      </c>
    </row>
    <row r="165" spans="33:52" ph="1">
      <c r="AH165" s="64" ph="1">
        <v>4</v>
      </c>
      <c r="AI165" s="64" t="s" ph="1">
        <v>604</v>
      </c>
      <c r="AY165" s="64" t="s" ph="1">
        <v>260</v>
      </c>
      <c r="AZ165" s="64" t="s" ph="1">
        <v>411</v>
      </c>
    </row>
    <row r="166" spans="33:52" ph="1">
      <c r="AH166" s="64" ph="1">
        <v>5</v>
      </c>
      <c r="AI166" s="64" t="s" ph="1">
        <v>605</v>
      </c>
      <c r="AY166" s="64" t="s" ph="1">
        <v>260</v>
      </c>
      <c r="AZ166" s="64" t="s" ph="1">
        <v>411</v>
      </c>
    </row>
    <row r="167" spans="33:52" ph="1">
      <c r="AZ167" s="64" t="s" ph="1">
        <v>606</v>
      </c>
    </row>
    <row r="168" spans="33:52" ph="1">
      <c r="AG168" s="64" t="s" ph="1">
        <v>349</v>
      </c>
      <c r="AI168" s="64" t="s" ph="1">
        <v>253</v>
      </c>
      <c r="AJ168" s="64" t="s" ph="1">
        <v>254</v>
      </c>
      <c r="AK168" s="64" t="s" ph="1">
        <v>255</v>
      </c>
      <c r="AM168" s="64" t="s" ph="1">
        <v>254</v>
      </c>
      <c r="AN168" s="64" t="s" ph="1">
        <v>255</v>
      </c>
      <c r="AO168" s="64" t="s" ph="1">
        <v>256</v>
      </c>
      <c r="AP168" s="64" t="s" ph="1">
        <v>254</v>
      </c>
      <c r="AQ168" s="64" t="s" ph="1">
        <v>255</v>
      </c>
      <c r="AR168" s="64" t="s" ph="1">
        <v>256</v>
      </c>
      <c r="AS168" s="64" t="s" ph="1">
        <v>254</v>
      </c>
      <c r="AT168" s="64" t="s" ph="1">
        <v>255</v>
      </c>
      <c r="AU168" s="64" t="s" ph="1">
        <v>256</v>
      </c>
      <c r="AV168" s="64" t="s" ph="1">
        <v>254</v>
      </c>
      <c r="AW168" s="64" t="s" ph="1">
        <v>255</v>
      </c>
      <c r="AX168" s="64" t="s" ph="1">
        <v>256</v>
      </c>
      <c r="AY168" s="64" t="s" ph="1">
        <v>255</v>
      </c>
      <c r="AZ168" s="64" t="s" ph="1">
        <v>257</v>
      </c>
    </row>
    <row r="169" spans="33:52" ph="1">
      <c r="AH169" s="64" ph="1">
        <v>1</v>
      </c>
      <c r="AI169" s="64" t="s" ph="1">
        <v>607</v>
      </c>
      <c r="AY169" s="64" t="s" ph="1">
        <v>260</v>
      </c>
      <c r="AZ169" s="64" t="s" ph="1">
        <v>411</v>
      </c>
    </row>
    <row r="170" spans="33:52" ph="1">
      <c r="AH170" s="64" ph="1">
        <v>2</v>
      </c>
      <c r="AI170" s="64" t="s" ph="1">
        <v>608</v>
      </c>
      <c r="AY170" s="64" t="s" ph="1">
        <v>260</v>
      </c>
      <c r="AZ170" s="64" t="s" ph="1">
        <v>411</v>
      </c>
    </row>
    <row r="171" spans="33:52" ph="1">
      <c r="AH171" s="64" ph="1">
        <v>3</v>
      </c>
      <c r="AI171" s="64" t="s" ph="1">
        <v>609</v>
      </c>
      <c r="AY171" s="64" t="s" ph="1">
        <v>260</v>
      </c>
      <c r="AZ171" s="64" t="s" ph="1">
        <v>411</v>
      </c>
    </row>
    <row r="172" spans="33:52" ph="1">
      <c r="AH172" s="64" ph="1">
        <v>4</v>
      </c>
      <c r="AI172" s="64" t="s" ph="1">
        <v>610</v>
      </c>
      <c r="AY172" s="64" t="s" ph="1">
        <v>260</v>
      </c>
      <c r="AZ172" s="64" t="s" ph="1">
        <v>411</v>
      </c>
    </row>
    <row r="173" spans="33:52" ph="1">
      <c r="AH173" s="64" ph="1">
        <v>5</v>
      </c>
      <c r="AI173" s="64" t="s" ph="1">
        <v>611</v>
      </c>
      <c r="AY173" s="64" t="s" ph="1">
        <v>260</v>
      </c>
      <c r="AZ173" s="64" t="s" ph="1">
        <v>411</v>
      </c>
    </row>
    <row r="174" spans="33:52" ph="1">
      <c r="AZ174" s="64" t="s" ph="1">
        <v>429</v>
      </c>
    </row>
    <row r="175" spans="33:52" ph="1">
      <c r="AJ175" s="64" t="s" ph="1">
        <v>350</v>
      </c>
    </row>
    <row r="176" spans="33:52" ph="1">
      <c r="AJ176" s="64" t="s" ph="1">
        <v>351</v>
      </c>
      <c r="AK176" s="64" t="s" ph="1">
        <v>352</v>
      </c>
      <c r="AM176" s="64" t="s" ph="1">
        <v>353</v>
      </c>
      <c r="AO176" s="64" t="s" ph="1">
        <v>354</v>
      </c>
      <c r="AP176" s="64" t="s" ph="1">
        <v>355</v>
      </c>
      <c r="AQ176" s="64" t="s" ph="1">
        <v>345</v>
      </c>
      <c r="AR176" s="64" t="s" ph="1">
        <v>265</v>
      </c>
    </row>
    <row r="177" spans="36:56" ph="1">
      <c r="AJ177" s="64" t="s" ph="1">
        <v>647</v>
      </c>
      <c r="AK177" s="64" t="s" ph="1">
        <v>356</v>
      </c>
      <c r="AO177" s="64" t="s" ph="1">
        <v>356</v>
      </c>
      <c r="AP177" s="64" t="s" ph="1">
        <v>356</v>
      </c>
      <c r="AQ177" s="64" t="s" ph="1">
        <v>357</v>
      </c>
      <c r="AR177" s="64" t="s" ph="1">
        <v>358</v>
      </c>
    </row>
    <row r="179" spans="36:56" ph="1">
      <c r="AJ179" s="64" t="s" ph="1">
        <v>359</v>
      </c>
      <c r="AK179" s="64" t="s" ph="1">
        <v>360</v>
      </c>
      <c r="AM179" s="64" t="s" ph="1">
        <v>361</v>
      </c>
      <c r="AN179" s="64" t="s" ph="1">
        <v>337</v>
      </c>
      <c r="AO179" s="64" t="s" ph="1">
        <v>362</v>
      </c>
      <c r="AP179" s="64" t="s" ph="1">
        <v>341</v>
      </c>
      <c r="AQ179" s="64" t="s" ph="1">
        <v>363</v>
      </c>
      <c r="AR179" s="64" t="s" ph="1">
        <v>364</v>
      </c>
    </row>
    <row r="180" spans="36:56" ph="1">
      <c r="AJ180" s="64" t="s" ph="1">
        <v>356</v>
      </c>
      <c r="AK180" s="64" t="s" ph="1">
        <v>356</v>
      </c>
      <c r="AL180" s="64" ph="1">
        <v>116</v>
      </c>
      <c r="AM180" s="64" t="s" ph="1">
        <v>356</v>
      </c>
      <c r="AN180" s="64" t="s" ph="1">
        <v>365</v>
      </c>
      <c r="AO180" s="64" t="s" ph="1">
        <v>356</v>
      </c>
      <c r="AP180" s="64" t="s" ph="1">
        <v>366</v>
      </c>
      <c r="AQ180" s="64" t="s" ph="1">
        <v>367</v>
      </c>
      <c r="AR180" s="64" t="s" ph="1">
        <v>368</v>
      </c>
    </row>
    <row r="189" spans="36:56" ph="1">
      <c r="BD189" s="64" t="s" ph="1">
        <v>612</v>
      </c>
    </row>
    <row r="223" spans="18:18" ph="1">
      <c r="R223" s="138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097" priority="92">
      <formula>ABS(D$7-D$10)&gt;=1000</formula>
    </cfRule>
  </conditionalFormatting>
  <conditionalFormatting sqref="E4 E6:E11">
    <cfRule type="expression" dxfId="1096" priority="91">
      <formula>ABS(E$7-E$10)&gt;=1000</formula>
    </cfRule>
  </conditionalFormatting>
  <conditionalFormatting sqref="F4:F11">
    <cfRule type="expression" dxfId="1095" priority="90">
      <formula>ABS(F$7-F$10)&gt;=1000</formula>
    </cfRule>
  </conditionalFormatting>
  <conditionalFormatting sqref="G4:G11">
    <cfRule type="expression" dxfId="1094" priority="89">
      <formula>ABS(G$7-G$10)&gt;=1000</formula>
    </cfRule>
  </conditionalFormatting>
  <conditionalFormatting sqref="H4:H11">
    <cfRule type="expression" dxfId="1093" priority="88">
      <formula>ABS(H$7-H$10)&gt;=1000</formula>
    </cfRule>
  </conditionalFormatting>
  <conditionalFormatting sqref="I4:I11">
    <cfRule type="expression" dxfId="1092" priority="87">
      <formula>ABS(I$7-I$10)&gt;=1000</formula>
    </cfRule>
  </conditionalFormatting>
  <conditionalFormatting sqref="J4:J11">
    <cfRule type="expression" dxfId="1091" priority="86">
      <formula>ABS(J$7-J$10)&gt;=1000</formula>
    </cfRule>
  </conditionalFormatting>
  <conditionalFormatting sqref="K4:K11">
    <cfRule type="expression" dxfId="1090" priority="85">
      <formula>ABS(K$7-K$10)&gt;=1000</formula>
    </cfRule>
  </conditionalFormatting>
  <conditionalFormatting sqref="L4:L11">
    <cfRule type="expression" dxfId="1089" priority="84">
      <formula>ABS(L$7-L$10)&gt;=1000</formula>
    </cfRule>
  </conditionalFormatting>
  <conditionalFormatting sqref="M4:M11">
    <cfRule type="expression" dxfId="1088" priority="83">
      <formula>ABS(M$7-M$10)&gt;=1000</formula>
    </cfRule>
  </conditionalFormatting>
  <conditionalFormatting sqref="N4:N11">
    <cfRule type="expression" dxfId="1087" priority="82">
      <formula>ABS(N$7-N$10)&gt;=1000</formula>
    </cfRule>
  </conditionalFormatting>
  <conditionalFormatting sqref="O4:O11">
    <cfRule type="expression" dxfId="1086" priority="81">
      <formula>ABS(O$7-O$10)&gt;=1000</formula>
    </cfRule>
  </conditionalFormatting>
  <conditionalFormatting sqref="P4:P11">
    <cfRule type="expression" dxfId="1085" priority="80">
      <formula>ABS(P$7-P$10)&gt;=1000</formula>
    </cfRule>
  </conditionalFormatting>
  <conditionalFormatting sqref="Q4:Q11">
    <cfRule type="expression" dxfId="1084" priority="79">
      <formula>ABS(Q$7-Q$10)&gt;=1000</formula>
    </cfRule>
  </conditionalFormatting>
  <conditionalFormatting sqref="R4:R11">
    <cfRule type="expression" dxfId="1083" priority="78">
      <formula>ABS(R$7-R$10)&gt;=1000</formula>
    </cfRule>
  </conditionalFormatting>
  <conditionalFormatting sqref="S4:S11">
    <cfRule type="expression" dxfId="1082" priority="77">
      <formula>ABS(S$7-S$10)&gt;=1000</formula>
    </cfRule>
  </conditionalFormatting>
  <conditionalFormatting sqref="T4:T9 T11">
    <cfRule type="expression" dxfId="1081" priority="76">
      <formula>ABS(T$7-T$10)&gt;=1000</formula>
    </cfRule>
  </conditionalFormatting>
  <conditionalFormatting sqref="U4:U9 U11">
    <cfRule type="expression" dxfId="1080" priority="75">
      <formula>ABS(U$7-U$10)&gt;=1000</formula>
    </cfRule>
  </conditionalFormatting>
  <conditionalFormatting sqref="V4:V9 V11">
    <cfRule type="expression" dxfId="1079" priority="74">
      <formula>ABS(V$7-V$10)&gt;=1000</formula>
    </cfRule>
  </conditionalFormatting>
  <conditionalFormatting sqref="W4:W9 W11">
    <cfRule type="expression" dxfId="1078" priority="73">
      <formula>ABS(W$7-W$10)&gt;=1000</formula>
    </cfRule>
  </conditionalFormatting>
  <conditionalFormatting sqref="X4:X9 X11">
    <cfRule type="expression" dxfId="1077" priority="72">
      <formula>ABS(X$7-X$10)&gt;=1000</formula>
    </cfRule>
  </conditionalFormatting>
  <conditionalFormatting sqref="Y4:Y9 Y11">
    <cfRule type="expression" dxfId="1076" priority="71">
      <formula>ABS(Y$7-Y$10)&gt;=1000</formula>
    </cfRule>
  </conditionalFormatting>
  <conditionalFormatting sqref="Z4:Z11">
    <cfRule type="expression" dxfId="1075" priority="70">
      <formula>ABS(Z$7-Z$10)&gt;=1000</formula>
    </cfRule>
  </conditionalFormatting>
  <conditionalFormatting sqref="AA4:AA11">
    <cfRule type="expression" dxfId="1074" priority="69">
      <formula>ABS(AA$7-AA$10)&gt;=1000</formula>
    </cfRule>
  </conditionalFormatting>
  <conditionalFormatting sqref="AB4:AB11">
    <cfRule type="expression" dxfId="1073" priority="68">
      <formula>ABS(AB$7-AB$10)&gt;=1000</formula>
    </cfRule>
  </conditionalFormatting>
  <conditionalFormatting sqref="AC4 AC6:AC11">
    <cfRule type="expression" dxfId="1072" priority="67">
      <formula>ABS(AC$7-AC$10)&gt;=1000</formula>
    </cfRule>
  </conditionalFormatting>
  <conditionalFormatting sqref="AD4:AD11">
    <cfRule type="expression" dxfId="1071" priority="66">
      <formula>ABS(AD$7-AD$10)&gt;=1000</formula>
    </cfRule>
  </conditionalFormatting>
  <conditionalFormatting sqref="AE4:AE11">
    <cfRule type="expression" dxfId="1070" priority="65">
      <formula>ABS(AE$7-AE$10)&gt;=1000</formula>
    </cfRule>
  </conditionalFormatting>
  <conditionalFormatting sqref="D13:D20">
    <cfRule type="expression" dxfId="1069" priority="64">
      <formula>ABS(D$16-D$19)&gt;=1000</formula>
    </cfRule>
  </conditionalFormatting>
  <conditionalFormatting sqref="E13:E20">
    <cfRule type="expression" dxfId="1068" priority="63">
      <formula>ABS(E$16-E$19)&gt;=1000</formula>
    </cfRule>
  </conditionalFormatting>
  <conditionalFormatting sqref="F13 F15:F20">
    <cfRule type="expression" dxfId="1067" priority="62">
      <formula>ABS(F$16-F$19)&gt;=1000</formula>
    </cfRule>
  </conditionalFormatting>
  <conditionalFormatting sqref="G13:G20">
    <cfRule type="expression" dxfId="1066" priority="61">
      <formula>ABS(G$16-G$19)&gt;=1000</formula>
    </cfRule>
  </conditionalFormatting>
  <conditionalFormatting sqref="H13:H20">
    <cfRule type="expression" dxfId="1065" priority="60">
      <formula>ABS(H$16-H$19)&gt;=1000</formula>
    </cfRule>
  </conditionalFormatting>
  <conditionalFormatting sqref="I13:I20">
    <cfRule type="expression" dxfId="1064" priority="59">
      <formula>ABS(I$16-I$19)&gt;=1000</formula>
    </cfRule>
  </conditionalFormatting>
  <conditionalFormatting sqref="J13:J20">
    <cfRule type="expression" dxfId="1063" priority="58">
      <formula>ABS(J$16-J$19)&gt;=1000</formula>
    </cfRule>
  </conditionalFormatting>
  <conditionalFormatting sqref="L13:L20">
    <cfRule type="expression" dxfId="1062" priority="57">
      <formula>ABS(L$16-L$19)&gt;=1000</formula>
    </cfRule>
  </conditionalFormatting>
  <conditionalFormatting sqref="M13 M15 M17:M18 M20">
    <cfRule type="expression" dxfId="1061" priority="56">
      <formula>ABS(M$16-M$19)&gt;=1000</formula>
    </cfRule>
  </conditionalFormatting>
  <conditionalFormatting sqref="N13:N20">
    <cfRule type="expression" dxfId="1060" priority="55">
      <formula>ABS(N$16-N$19)&gt;=1000</formula>
    </cfRule>
  </conditionalFormatting>
  <conditionalFormatting sqref="O13:O20">
    <cfRule type="expression" dxfId="1059" priority="54">
      <formula>ABS(O$16-O$19)&gt;=1000</formula>
    </cfRule>
  </conditionalFormatting>
  <conditionalFormatting sqref="P13:P20">
    <cfRule type="expression" dxfId="1058" priority="53">
      <formula>ABS(P$16-P$19)&gt;=1000</formula>
    </cfRule>
  </conditionalFormatting>
  <conditionalFormatting sqref="Q13 Q15:Q20">
    <cfRule type="expression" dxfId="1057" priority="52">
      <formula>ABS(Q$16-Q$19)&gt;=1000</formula>
    </cfRule>
  </conditionalFormatting>
  <conditionalFormatting sqref="R13:R20">
    <cfRule type="expression" dxfId="1056" priority="51">
      <formula>ABS(R$16-R$19)&gt;=1000</formula>
    </cfRule>
  </conditionalFormatting>
  <conditionalFormatting sqref="S13:S20">
    <cfRule type="expression" dxfId="1055" priority="50">
      <formula>ABS(S$16-S$19)&gt;=1000</formula>
    </cfRule>
  </conditionalFormatting>
  <conditionalFormatting sqref="T13:T20">
    <cfRule type="expression" dxfId="1054" priority="49">
      <formula>ABS(T$16-T$19)&gt;=1000</formula>
    </cfRule>
  </conditionalFormatting>
  <conditionalFormatting sqref="U13:U20">
    <cfRule type="expression" dxfId="1053" priority="48">
      <formula>ABS(U$16-U$19)&gt;=1000</formula>
    </cfRule>
  </conditionalFormatting>
  <conditionalFormatting sqref="V13:V20">
    <cfRule type="expression" dxfId="1052" priority="47">
      <formula>ABS(V$16-V$19)&gt;=1000</formula>
    </cfRule>
  </conditionalFormatting>
  <conditionalFormatting sqref="W13 W15:W18 W20">
    <cfRule type="expression" dxfId="1051" priority="46">
      <formula>ABS(W$16-W$19)&gt;=1000</formula>
    </cfRule>
  </conditionalFormatting>
  <conditionalFormatting sqref="X13 X15:X20 Y19">
    <cfRule type="expression" dxfId="1050" priority="45">
      <formula>ABS(X$16-X$19)&gt;=1000</formula>
    </cfRule>
  </conditionalFormatting>
  <conditionalFormatting sqref="Y13 Y15:Y18 Y20">
    <cfRule type="expression" dxfId="1049" priority="44">
      <formula>ABS(Y$16-Y$19)&gt;=1000</formula>
    </cfRule>
  </conditionalFormatting>
  <conditionalFormatting sqref="Z13:Z20">
    <cfRule type="expression" dxfId="1048" priority="43">
      <formula>ABS(Z$16-Z$19)&gt;=1000</formula>
    </cfRule>
  </conditionalFormatting>
  <conditionalFormatting sqref="AA13:AA20">
    <cfRule type="expression" dxfId="1047" priority="42">
      <formula>ABS(AA$16-AA$19)&gt;=1000</formula>
    </cfRule>
  </conditionalFormatting>
  <conditionalFormatting sqref="AB13 AB15:AB20">
    <cfRule type="expression" dxfId="1046" priority="41">
      <formula>ABS(AB$16-AB$19)&gt;=1000</formula>
    </cfRule>
  </conditionalFormatting>
  <conditionalFormatting sqref="AC13 AC15:AC20">
    <cfRule type="expression" dxfId="1045" priority="40">
      <formula>ABS(AC$16-AC$19)&gt;=1000</formula>
    </cfRule>
  </conditionalFormatting>
  <conditionalFormatting sqref="AD13:AD20">
    <cfRule type="expression" dxfId="1044" priority="39">
      <formula>ABS(AD$16-AD$19)&gt;=1000</formula>
    </cfRule>
  </conditionalFormatting>
  <conditionalFormatting sqref="AE13:AE20">
    <cfRule type="expression" dxfId="1043" priority="38">
      <formula>ABS(AE$16-AE$19)&gt;=1000</formula>
    </cfRule>
  </conditionalFormatting>
  <conditionalFormatting sqref="D22:D29">
    <cfRule type="expression" dxfId="1042" priority="37">
      <formula>ABS(D$25-D$28)&gt;=1000</formula>
    </cfRule>
  </conditionalFormatting>
  <conditionalFormatting sqref="E22:E29">
    <cfRule type="expression" dxfId="1041" priority="36">
      <formula>ABS(E$25-E$28)&gt;=1000</formula>
    </cfRule>
  </conditionalFormatting>
  <conditionalFormatting sqref="F22:F29">
    <cfRule type="expression" dxfId="1040" priority="35">
      <formula>ABS(F$25-F$28)&gt;=1000</formula>
    </cfRule>
  </conditionalFormatting>
  <conditionalFormatting sqref="G22:G29">
    <cfRule type="expression" dxfId="1039" priority="34">
      <formula>ABS(G$25-G$28)&gt;=1000</formula>
    </cfRule>
  </conditionalFormatting>
  <conditionalFormatting sqref="H22:H29">
    <cfRule type="expression" dxfId="1038" priority="33">
      <formula>ABS(H$25-H$28)&gt;=1000</formula>
    </cfRule>
  </conditionalFormatting>
  <conditionalFormatting sqref="I22 I24:I29">
    <cfRule type="expression" dxfId="1037" priority="32">
      <formula>ABS(I$25-I$28)&gt;=1000</formula>
    </cfRule>
  </conditionalFormatting>
  <conditionalFormatting sqref="J22:J29 K22">
    <cfRule type="expression" dxfId="1036" priority="31">
      <formula>ABS(J$25-J$28)&gt;=1000</formula>
    </cfRule>
  </conditionalFormatting>
  <conditionalFormatting sqref="K23:K29 L25 L28">
    <cfRule type="expression" dxfId="1035" priority="30">
      <formula>ABS(K$25-K$28)&gt;=1000</formula>
    </cfRule>
  </conditionalFormatting>
  <conditionalFormatting sqref="L22:L24 L26:L27 L29">
    <cfRule type="expression" dxfId="1034" priority="29">
      <formula>ABS(L$25-L$28)&gt;=1000</formula>
    </cfRule>
  </conditionalFormatting>
  <conditionalFormatting sqref="M22:M29">
    <cfRule type="expression" dxfId="1033" priority="28">
      <formula>ABS(M$25-M$28)&gt;=1000</formula>
    </cfRule>
  </conditionalFormatting>
  <conditionalFormatting sqref="N22:N29">
    <cfRule type="expression" dxfId="1032" priority="27">
      <formula>ABS(N$25-N$28)&gt;=1000</formula>
    </cfRule>
  </conditionalFormatting>
  <conditionalFormatting sqref="O22:O29">
    <cfRule type="expression" dxfId="1031" priority="26">
      <formula>ABS(O$25-O$28)&gt;=1000</formula>
    </cfRule>
  </conditionalFormatting>
  <conditionalFormatting sqref="P22:P29">
    <cfRule type="expression" dxfId="1030" priority="25">
      <formula>ABS(P$25-P$28)&gt;=1000</formula>
    </cfRule>
  </conditionalFormatting>
  <conditionalFormatting sqref="Q22:Q29">
    <cfRule type="expression" dxfId="1029" priority="24">
      <formula>ABS(Q$25-Q$28)&gt;=1000</formula>
    </cfRule>
  </conditionalFormatting>
  <conditionalFormatting sqref="R22:R29">
    <cfRule type="expression" dxfId="1028" priority="23">
      <formula>ABS(R$25-R$28)&gt;=1000</formula>
    </cfRule>
  </conditionalFormatting>
  <conditionalFormatting sqref="S22:S29">
    <cfRule type="expression" dxfId="1027" priority="22">
      <formula>ABS(S$25-S$28)&gt;=1000</formula>
    </cfRule>
  </conditionalFormatting>
  <conditionalFormatting sqref="T22:T29">
    <cfRule type="expression" dxfId="1026" priority="21">
      <formula>ABS(T$25-T$28)&gt;=1000</formula>
    </cfRule>
  </conditionalFormatting>
  <conditionalFormatting sqref="U22:U29">
    <cfRule type="expression" dxfId="1025" priority="20">
      <formula>ABS(U$25-U$28)&gt;=1000</formula>
    </cfRule>
  </conditionalFormatting>
  <conditionalFormatting sqref="V22:V29">
    <cfRule type="expression" dxfId="1024" priority="19">
      <formula>ABS(V$25-V$28)&gt;=1000</formula>
    </cfRule>
  </conditionalFormatting>
  <conditionalFormatting sqref="W22:W29">
    <cfRule type="expression" dxfId="1023" priority="18">
      <formula>ABS(W$25-W$28)&gt;=1000</formula>
    </cfRule>
  </conditionalFormatting>
  <conditionalFormatting sqref="X22:X29">
    <cfRule type="expression" dxfId="1022" priority="17">
      <formula>ABS(X$25-X$28)&gt;=1000</formula>
    </cfRule>
  </conditionalFormatting>
  <conditionalFormatting sqref="Y22:Y29">
    <cfRule type="expression" dxfId="1021" priority="16">
      <formula>ABS(Y$25-Y$28)&gt;=1000</formula>
    </cfRule>
  </conditionalFormatting>
  <conditionalFormatting sqref="I23">
    <cfRule type="expression" dxfId="1020" priority="15">
      <formula>ABS(I$25-I$28)&gt;=1000</formula>
    </cfRule>
  </conditionalFormatting>
  <conditionalFormatting sqref="F14">
    <cfRule type="expression" dxfId="1019" priority="14">
      <formula>ABS(F$16-F$19)&gt;=1000</formula>
    </cfRule>
  </conditionalFormatting>
  <conditionalFormatting sqref="Q14">
    <cfRule type="expression" dxfId="1018" priority="13">
      <formula>ABS(Q$16-Q$19)&gt;=1000</formula>
    </cfRule>
  </conditionalFormatting>
  <conditionalFormatting sqref="W14">
    <cfRule type="expression" dxfId="1017" priority="12">
      <formula>ABS(W$16-W$19)&gt;=1000</formula>
    </cfRule>
  </conditionalFormatting>
  <conditionalFormatting sqref="Y14">
    <cfRule type="expression" dxfId="1016" priority="11">
      <formula>ABS(Y$16-Y$19)&gt;=1000</formula>
    </cfRule>
  </conditionalFormatting>
  <conditionalFormatting sqref="X14">
    <cfRule type="expression" dxfId="1015" priority="10">
      <formula>ABS(X$16-X$19)&gt;=1000</formula>
    </cfRule>
  </conditionalFormatting>
  <conditionalFormatting sqref="T10:Y10">
    <cfRule type="expression" dxfId="1014" priority="9">
      <formula>ABS(T$7-T$10)&gt;=1000</formula>
    </cfRule>
  </conditionalFormatting>
  <conditionalFormatting sqref="W19">
    <cfRule type="expression" dxfId="1013" priority="8">
      <formula>ABS(W$16-W$19)&gt;=1000</formula>
    </cfRule>
  </conditionalFormatting>
  <conditionalFormatting sqref="AC5">
    <cfRule type="expression" dxfId="1012" priority="7">
      <formula>ABS(AC$7-AC$10)&gt;=1000</formula>
    </cfRule>
  </conditionalFormatting>
  <conditionalFormatting sqref="M14">
    <cfRule type="expression" dxfId="1011" priority="6">
      <formula>ABS(M$16-M$19)&gt;=1000</formula>
    </cfRule>
  </conditionalFormatting>
  <conditionalFormatting sqref="M16">
    <cfRule type="expression" dxfId="1010" priority="5">
      <formula>ABS(M$16-M$19)&gt;=1000</formula>
    </cfRule>
  </conditionalFormatting>
  <conditionalFormatting sqref="M19">
    <cfRule type="expression" dxfId="1009" priority="4">
      <formula>ABS(M$16-M$19)&gt;=1000</formula>
    </cfRule>
  </conditionalFormatting>
  <conditionalFormatting sqref="K13:K20">
    <cfRule type="expression" dxfId="1008" priority="3">
      <formula>ABS(K$16-K$19)&gt;=1000</formula>
    </cfRule>
  </conditionalFormatting>
  <conditionalFormatting sqref="E5">
    <cfRule type="expression" dxfId="1007" priority="2">
      <formula>ABS(E$7-E$10)&gt;=1000</formula>
    </cfRule>
  </conditionalFormatting>
  <conditionalFormatting sqref="AB14:AC14">
    <cfRule type="expression" dxfId="1006" priority="1">
      <formula>ABS(AB$16-AB$19)&gt;=1000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056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56">
    <pageSetUpPr fitToPage="1"/>
  </sheetPr>
  <dimension ref="A1:CU223"/>
  <sheetViews>
    <sheetView view="pageBreakPreview" zoomScale="70" zoomScaleNormal="100" zoomScaleSheetLayoutView="70" workbookViewId="0">
      <selection activeCell="A11" sqref="A11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36" t="s" ph="1">
        <v>195</v>
      </c>
      <c r="C1" s="236" ph="1"/>
      <c r="D1" s="236" ph="1"/>
      <c r="E1" s="236" ph="1"/>
      <c r="F1" s="236" ph="1"/>
      <c r="G1" s="236" ph="1"/>
      <c r="H1" s="236" ph="1"/>
      <c r="I1" s="236" ph="1"/>
      <c r="J1" s="236" ph="1"/>
      <c r="K1" s="236" ph="1"/>
      <c r="L1" s="236" ph="1"/>
      <c r="M1" s="236" ph="1"/>
      <c r="N1" s="236" ph="1"/>
      <c r="O1" s="236" ph="1"/>
      <c r="P1" s="236" ph="1"/>
      <c r="Q1" s="236" ph="1"/>
      <c r="R1" s="236" ph="1"/>
      <c r="S1" s="236" ph="1"/>
      <c r="T1" s="236" ph="1"/>
      <c r="U1" s="236" ph="1"/>
      <c r="V1" s="236" ph="1"/>
      <c r="W1" s="236" ph="1"/>
      <c r="X1" s="236" ph="1"/>
      <c r="Y1" s="236" ph="1"/>
      <c r="Z1" s="236" ph="1"/>
      <c r="AA1" s="236" ph="1"/>
      <c r="AB1" s="236" ph="1"/>
      <c r="AC1" s="236" ph="1"/>
      <c r="AD1" s="236" ph="1"/>
      <c r="AE1" s="236" ph="1"/>
    </row>
    <row r="2" spans="1:99" s="66" customFormat="1" ht="24" customHeight="1" ph="1">
      <c r="B2" s="237" t="s" ph="1">
        <v>99</v>
      </c>
      <c r="C2" s="237" ph="1"/>
      <c r="D2" s="237" ph="1"/>
      <c r="E2" s="237" ph="1"/>
      <c r="F2" s="237" ph="1"/>
      <c r="G2" s="237" ph="1"/>
      <c r="H2" s="237" ph="1"/>
      <c r="I2" s="237" ph="1"/>
      <c r="J2" s="237" ph="1"/>
      <c r="K2" s="237" ph="1"/>
      <c r="L2" s="237" ph="1"/>
      <c r="M2" s="237" ph="1"/>
      <c r="N2" s="237" ph="1"/>
      <c r="O2" s="237" ph="1"/>
      <c r="P2" s="237" ph="1"/>
      <c r="Q2" s="237" ph="1"/>
      <c r="R2" s="237" ph="1"/>
      <c r="S2" s="237" ph="1"/>
      <c r="T2" s="237" ph="1"/>
      <c r="U2" s="237" ph="1"/>
      <c r="V2" s="237" ph="1"/>
      <c r="W2" s="237" ph="1"/>
      <c r="X2" s="237" ph="1"/>
      <c r="Y2" s="237" ph="1"/>
      <c r="Z2" s="237" ph="1"/>
      <c r="AA2" s="237" ph="1"/>
      <c r="AB2" s="237" ph="1"/>
      <c r="AC2" s="237" ph="1"/>
      <c r="AD2" s="237" ph="1"/>
      <c r="AE2" s="237" ph="1"/>
    </row>
    <row r="3" spans="1:99" ht="21" customHeight="1" ph="1">
      <c r="B3" s="238" ph="1">
        <v>45672</v>
      </c>
      <c r="C3" s="238"/>
      <c r="D3" s="238"/>
      <c r="E3" s="238"/>
      <c r="F3" s="238"/>
      <c r="G3" s="238"/>
      <c r="H3" s="238"/>
      <c r="I3" s="238"/>
      <c r="J3" s="238"/>
      <c r="K3" s="238"/>
      <c r="L3" s="238"/>
      <c r="M3" s="238"/>
      <c r="N3" s="238"/>
      <c r="O3" s="238"/>
      <c r="P3" s="238"/>
      <c r="Q3" s="238"/>
      <c r="R3" s="238"/>
      <c r="S3" s="238"/>
      <c r="T3" s="238"/>
      <c r="U3" s="238"/>
      <c r="V3" s="238"/>
      <c r="W3" s="238"/>
      <c r="X3" s="238"/>
      <c r="Y3" s="238"/>
      <c r="Z3" s="238"/>
      <c r="AA3" s="238"/>
      <c r="AB3" s="238"/>
      <c r="AC3" s="238"/>
      <c r="AD3" s="238"/>
      <c r="AE3" s="238"/>
    </row>
    <row r="4" spans="1:99" s="69" customFormat="1" ph="1">
      <c r="A4" s="65" ph="1"/>
      <c r="B4" s="217" t="s" ph="1">
        <v>37</v>
      </c>
      <c r="C4" s="67" t="s" ph="1">
        <v>210</v>
      </c>
      <c r="D4" s="68" t="s" ph="1">
        <v>45</v>
      </c>
      <c r="E4" s="68" t="s" ph="1">
        <v>46</v>
      </c>
      <c r="F4" s="68" t="s" ph="1">
        <v>39</v>
      </c>
      <c r="G4" s="68" t="s" ph="1">
        <v>47</v>
      </c>
      <c r="H4" s="68" t="s" ph="1">
        <v>48</v>
      </c>
      <c r="I4" s="68" t="s" ph="1">
        <v>133</v>
      </c>
      <c r="J4" s="68" t="s" ph="1">
        <v>49</v>
      </c>
      <c r="K4" s="68" t="s" ph="1">
        <v>134</v>
      </c>
      <c r="L4" s="68" t="s" ph="1">
        <v>135</v>
      </c>
      <c r="M4" s="68" t="s" ph="1">
        <v>50</v>
      </c>
      <c r="N4" s="68" t="s" ph="1">
        <v>51</v>
      </c>
      <c r="O4" s="68" t="s" ph="1">
        <v>137</v>
      </c>
      <c r="P4" s="68" t="s" ph="1">
        <v>139</v>
      </c>
      <c r="Q4" s="68" t="s" ph="1">
        <v>140</v>
      </c>
      <c r="R4" s="68" t="s" ph="1">
        <v>141</v>
      </c>
      <c r="S4" s="68" t="s" ph="1">
        <v>142</v>
      </c>
      <c r="T4" s="68" t="s" ph="1">
        <v>143</v>
      </c>
      <c r="U4" s="68" t="s" ph="1">
        <v>144</v>
      </c>
      <c r="V4" s="68" t="s" ph="1">
        <v>145</v>
      </c>
      <c r="W4" s="68" t="s" ph="1">
        <v>146</v>
      </c>
      <c r="X4" s="68" t="s" ph="1">
        <v>147</v>
      </c>
      <c r="Y4" s="68" t="s" ph="1">
        <v>148</v>
      </c>
      <c r="Z4" s="68" t="s" ph="1">
        <v>52</v>
      </c>
      <c r="AA4" s="68" t="s" ph="1">
        <v>149</v>
      </c>
      <c r="AB4" s="68" t="s" ph="1">
        <v>150</v>
      </c>
      <c r="AC4" s="68" t="s" ph="1">
        <v>151</v>
      </c>
      <c r="AD4" s="68" t="s" ph="1">
        <v>40</v>
      </c>
      <c r="AE4" s="68" t="s" ph="1">
        <v>152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7" ph="1"/>
      <c r="C5" s="67" t="s" ph="1">
        <v>36</v>
      </c>
      <c r="D5" s="70" t="s" ph="1">
        <v>194</v>
      </c>
      <c r="E5" s="70" t="s" ph="1">
        <v>55</v>
      </c>
      <c r="F5" s="70" t="s" ph="1">
        <v>130</v>
      </c>
      <c r="G5" s="70" t="s" ph="1">
        <v>56</v>
      </c>
      <c r="H5" s="70" t="s" ph="1">
        <v>56</v>
      </c>
      <c r="I5" s="70" t="s" ph="1">
        <v>57</v>
      </c>
      <c r="J5" s="70" t="s" ph="1">
        <v>58</v>
      </c>
      <c r="K5" s="70" t="s" ph="1">
        <v>59</v>
      </c>
      <c r="L5" s="70" t="s" ph="1">
        <v>136</v>
      </c>
      <c r="M5" s="70" t="s" ph="1">
        <v>60</v>
      </c>
      <c r="N5" s="70" t="s" ph="1">
        <v>61</v>
      </c>
      <c r="O5" s="70" t="s" ph="1">
        <v>138</v>
      </c>
      <c r="P5" s="70" t="s" ph="1">
        <v>88</v>
      </c>
      <c r="Q5" s="70" t="s" ph="1">
        <v>96</v>
      </c>
      <c r="R5" s="70" t="s" ph="1">
        <v>96</v>
      </c>
      <c r="S5" s="70" t="s" ph="1">
        <v>96</v>
      </c>
      <c r="T5" s="70" t="s" ph="1">
        <v>96</v>
      </c>
      <c r="U5" s="70" t="s" ph="1">
        <v>96</v>
      </c>
      <c r="V5" s="70" t="s" ph="1">
        <v>96</v>
      </c>
      <c r="W5" s="70" t="s" ph="1">
        <v>96</v>
      </c>
      <c r="X5" s="70" t="s" ph="1">
        <v>96</v>
      </c>
      <c r="Y5" s="70" t="s" ph="1">
        <v>96</v>
      </c>
      <c r="Z5" s="70" t="s" ph="1">
        <v>95</v>
      </c>
      <c r="AA5" s="70" t="s" ph="1">
        <v>62</v>
      </c>
      <c r="AB5" s="70" t="s" ph="1">
        <v>62</v>
      </c>
      <c r="AC5" s="70" t="s" ph="1">
        <v>222</v>
      </c>
      <c r="AD5" s="70" t="s" ph="1">
        <v>83</v>
      </c>
      <c r="AE5" s="70" t="s" ph="1">
        <v>661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5" ph="1">
        <v>0.33333333333333331</v>
      </c>
      <c r="C6" s="151" t="s" ph="1">
        <v>211</v>
      </c>
      <c r="D6" s="71">
        <v>4097</v>
      </c>
      <c r="E6" s="71">
        <v>0</v>
      </c>
      <c r="F6" s="71">
        <v>3804</v>
      </c>
      <c r="G6" s="71">
        <v>8882</v>
      </c>
      <c r="H6" s="71">
        <v>3653</v>
      </c>
      <c r="I6" s="71">
        <v>39.11</v>
      </c>
      <c r="J6" s="71">
        <v>80.06</v>
      </c>
      <c r="K6" s="71">
        <v>54.12</v>
      </c>
      <c r="L6" s="71">
        <v>41.63</v>
      </c>
      <c r="M6" s="71">
        <v>5695</v>
      </c>
      <c r="N6" s="71">
        <v>6054</v>
      </c>
      <c r="O6" s="71">
        <v>4621</v>
      </c>
      <c r="P6" s="71">
        <v>2430</v>
      </c>
      <c r="Q6" s="71">
        <v>0</v>
      </c>
      <c r="R6" s="71">
        <v>0</v>
      </c>
      <c r="S6" s="71">
        <v>0</v>
      </c>
      <c r="T6" s="71">
        <v>3782</v>
      </c>
      <c r="U6" s="71">
        <v>6262</v>
      </c>
      <c r="V6" s="71">
        <v>6026</v>
      </c>
      <c r="W6" s="71">
        <v>7000</v>
      </c>
      <c r="X6" s="71">
        <v>2500</v>
      </c>
      <c r="Y6" s="71">
        <v>1846</v>
      </c>
      <c r="Z6" s="71">
        <v>2294</v>
      </c>
      <c r="AA6" s="71">
        <v>1713</v>
      </c>
      <c r="AB6" s="71">
        <v>2232</v>
      </c>
      <c r="AC6" s="71">
        <v>6772</v>
      </c>
      <c r="AD6" s="71">
        <v>263</v>
      </c>
      <c r="AE6" s="71">
        <v>3300</v>
      </c>
    </row>
    <row r="7" spans="1:99" s="72" customFormat="1" ht="22.5" ph="1">
      <c r="B7" s="235" ph="1"/>
      <c r="C7" s="68" t="s" ph="1">
        <v>212</v>
      </c>
      <c r="D7" s="73" ph="1">
        <f>D6*33.183*LOOKUP(D8,密度!$A$2:$A$50,密度!$Q$2:$Q$50)</f>
        <v>129770.42985954</v>
      </c>
      <c r="E7" s="73" ph="1">
        <f>E6*51.53*LOOKUP(E8,密度!$A$2:$A$50,密度!$I$2:$I$50)</f>
        <v>0</v>
      </c>
      <c r="F7" s="73" ph="1">
        <f>F6*33.183*LOOKUP(F8,密度!$A$2:$A$50,密度!$C$2:$C$50)</f>
        <v>140845.3496856</v>
      </c>
      <c r="G7" s="73" ph="1">
        <f xml:space="preserve"> (G6+2)*51.53*LOOKUP(G8,密度!$A$2:$A$50,密度!$B$2:$B$50)</f>
        <v>360740.50576000003</v>
      </c>
      <c r="H7" s="73" ph="1">
        <f>(H6)*51.53*LOOKUP(H8,密度!$A$2:$A$50,密度!$B$2:$B$50)</f>
        <v>149292.42227899999</v>
      </c>
      <c r="I7" s="73" ph="1">
        <f>I6*290.8*1.0267</f>
        <v>11676.8521196</v>
      </c>
      <c r="J7" s="73" ph="1">
        <f>J6*290.8*0.7892</f>
        <v>18373.718761600001</v>
      </c>
      <c r="K7" s="73" ph="1">
        <f>K6*290.8*1.1126</f>
        <v>17510.205609600001</v>
      </c>
      <c r="L7" s="73" ph="1">
        <f>L6*290.8*0.777</f>
        <v>9406.3651080000018</v>
      </c>
      <c r="M7" s="73" ph="1">
        <f>M6*33.183*LOOKUP(M8,密度!$A$2:$A$50,密度!$D$2:$D$50)</f>
        <v>195704.77278600002</v>
      </c>
      <c r="N7" s="73" ph="1">
        <f>N6*33.183*LOOKUP(N8,密度!$A$2:$A$50,密度!$E$2:$E$50)</f>
        <v>159426.21035519999</v>
      </c>
      <c r="O7" s="73" ph="1">
        <f>O6*20.428*LOOKUP(O8,密度!$A$2:$A$50,密度!$C$2:$C$50)</f>
        <v>104743.7855648</v>
      </c>
      <c r="P7" s="73" ph="1">
        <f>P6*51.53*LOOKUP(P8,密度!$A$2:$A$50,密度!$B$2:$B$50)</f>
        <v>98571.530880000006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25396.772939999999</v>
      </c>
      <c r="U7" s="73" ph="1">
        <f>U6*1.5*1.5*3.1416*LOOKUP(U8,密度!$A$2:$A$50,密度!$L$2:$L$50)</f>
        <v>41917.6038204</v>
      </c>
      <c r="V7" s="73" ph="1">
        <f>V6*1.5*1.5*3.1416*LOOKUP(V8,密度!$A$2:$A$50,密度!$L$2:$L$50)</f>
        <v>40082.255967600002</v>
      </c>
      <c r="W7" s="73" ph="1">
        <f>W6*1.5*1.5*3.1416*LOOKUP(W8,密度!$A$2:$A$50,密度!$L$2:$L$50)</f>
        <v>46758.788999999997</v>
      </c>
      <c r="X7" s="73" ph="1">
        <f>X6*1.5*1.5*3.1416*LOOKUP(X8,密度!$A$2:$A$50,密度!$L$2:$L$50)</f>
        <v>16840.9395</v>
      </c>
      <c r="Y7" s="73" ph="1">
        <f>Y6*1.5*1.5*3.1416*LOOKUP(Y8,密度!$A$2:$A$50,密度!$L$2:$L$50)</f>
        <v>12344.009277599998</v>
      </c>
      <c r="Z7" s="73" ph="1">
        <f>Z6*33.183*LOOKUP(Z8,密度!$A$2:$A$50,密度!$L$2:$L$50)</f>
        <v>72315.711899999995</v>
      </c>
      <c r="AA7" s="73" ph="1">
        <f>AA6*33.183*LOOKUP(AA8,密度!$A$2:$A$50,密度!$D$2:$D$50)</f>
        <v>58917.229483499999</v>
      </c>
      <c r="AB7" s="73" ph="1">
        <f>AB6*20.428*LOOKUP(AB8,密度!$A$2:$A$50,密度!$D$2:$D$50)</f>
        <v>47542.215139200001</v>
      </c>
      <c r="AC7" s="73" ph="1">
        <f>AC6*51.53*LOOKUP(AC8,密度!$A$2:$A$50,密度!$Q$2:$Q$50)</f>
        <v>333097.38566640008</v>
      </c>
      <c r="AD7" s="73" ph="1">
        <f>AD6*20.428*LOOKUP(AD8,密度!$A$2:$A$50,密度!$V$2:$V$50)</f>
        <v>5179.1516959999999</v>
      </c>
      <c r="AE7" s="73" ph="1">
        <f>AE6*20.428</f>
        <v>67412.400000000009</v>
      </c>
    </row>
    <row r="8" spans="1:99" ph="1">
      <c r="B8" s="235" ph="1"/>
      <c r="C8" s="68" t="s" ph="1">
        <v>213</v>
      </c>
      <c r="D8" s="74">
        <v>15</v>
      </c>
      <c r="E8" s="74">
        <v>14</v>
      </c>
      <c r="F8" s="74">
        <v>15</v>
      </c>
      <c r="G8" s="74">
        <v>15</v>
      </c>
      <c r="H8" s="74">
        <v>9</v>
      </c>
      <c r="I8" s="74">
        <v>25</v>
      </c>
      <c r="J8" s="74">
        <v>25</v>
      </c>
      <c r="K8" s="74">
        <v>25</v>
      </c>
      <c r="L8" s="74">
        <v>25</v>
      </c>
      <c r="M8" s="74">
        <v>15</v>
      </c>
      <c r="N8" s="74">
        <v>16</v>
      </c>
      <c r="O8" s="74">
        <v>24</v>
      </c>
      <c r="P8" s="74">
        <v>16</v>
      </c>
      <c r="Q8" s="74">
        <v>14</v>
      </c>
      <c r="R8" s="74">
        <v>22</v>
      </c>
      <c r="S8" s="74">
        <v>10</v>
      </c>
      <c r="T8" s="74">
        <v>12</v>
      </c>
      <c r="U8" s="74">
        <v>15</v>
      </c>
      <c r="V8" s="74">
        <v>21</v>
      </c>
      <c r="W8" s="74">
        <v>17</v>
      </c>
      <c r="X8" s="74">
        <v>9</v>
      </c>
      <c r="Y8" s="74">
        <v>16</v>
      </c>
      <c r="Z8" s="74">
        <v>12</v>
      </c>
      <c r="AA8" s="74">
        <v>14</v>
      </c>
      <c r="AB8" s="74">
        <v>7</v>
      </c>
      <c r="AC8" s="74">
        <v>13</v>
      </c>
      <c r="AD8" s="74">
        <v>13</v>
      </c>
      <c r="AE8" s="74">
        <v>18</v>
      </c>
    </row>
    <row r="9" spans="1:99" ph="1">
      <c r="B9" s="235" ph="1">
        <v>0.66666666666666663</v>
      </c>
      <c r="C9" s="151" t="s" ph="1">
        <v>214</v>
      </c>
      <c r="D9" s="71">
        <v>4097</v>
      </c>
      <c r="E9" s="71">
        <v>0</v>
      </c>
      <c r="F9" s="71">
        <v>4375</v>
      </c>
      <c r="G9" s="71">
        <v>8887</v>
      </c>
      <c r="H9" s="71">
        <v>3405</v>
      </c>
      <c r="I9" s="71">
        <v>39.119999999999997</v>
      </c>
      <c r="J9" s="71">
        <v>79.91</v>
      </c>
      <c r="K9" s="71">
        <v>19.16</v>
      </c>
      <c r="L9" s="71">
        <v>35.46</v>
      </c>
      <c r="M9" s="71">
        <v>5693</v>
      </c>
      <c r="N9" s="71">
        <v>5908</v>
      </c>
      <c r="O9" s="71">
        <v>4514</v>
      </c>
      <c r="P9" s="71">
        <v>2187</v>
      </c>
      <c r="Q9" s="71">
        <v>0</v>
      </c>
      <c r="R9" s="71">
        <v>0</v>
      </c>
      <c r="S9" s="71">
        <v>0</v>
      </c>
      <c r="T9" s="71">
        <v>163</v>
      </c>
      <c r="U9" s="71">
        <v>6262</v>
      </c>
      <c r="V9" s="71">
        <v>6024</v>
      </c>
      <c r="W9" s="71">
        <v>7100</v>
      </c>
      <c r="X9" s="71">
        <v>7000</v>
      </c>
      <c r="Y9" s="71">
        <v>4636</v>
      </c>
      <c r="Z9" s="71">
        <v>1001</v>
      </c>
      <c r="AA9" s="71">
        <v>1713</v>
      </c>
      <c r="AB9" s="71">
        <v>2152</v>
      </c>
      <c r="AC9" s="71">
        <v>6770</v>
      </c>
      <c r="AD9" s="71">
        <v>262</v>
      </c>
      <c r="AE9" s="71">
        <v>3154</v>
      </c>
    </row>
    <row r="10" spans="1:99" s="72" customFormat="1" ht="22.5" ph="1">
      <c r="B10" s="235" ph="1"/>
      <c r="C10" s="151" t="s" ph="1">
        <v>212</v>
      </c>
      <c r="D10" s="73" ph="1">
        <f>D9*33.183*LOOKUP(D11,密度!$A$2:$A$50,密度!$Q$2:$Q$50)</f>
        <v>129642.63615359999</v>
      </c>
      <c r="E10" s="73" ph="1">
        <f>E9*51.53*LOOKUP(E11,密度!$A$2:$A$50,密度!$I$2:$I$50)</f>
        <v>0</v>
      </c>
      <c r="F10" s="73" ph="1">
        <f>F9*33.183*LOOKUP(F11,密度!$A$2:$A$50,密度!$C$2:$C$50)</f>
        <v>161986.96237499997</v>
      </c>
      <c r="G10" s="73" ph="1">
        <f xml:space="preserve"> (G9+2)*51.53*LOOKUP(G11,密度!$A$2:$A$50,密度!$B$2:$B$50)</f>
        <v>360943.53396000003</v>
      </c>
      <c r="H10" s="73" ph="1">
        <f>(H9)*51.53*LOOKUP(H11,密度!$A$2:$A$50,密度!$B$2:$B$50)</f>
        <v>139016.68069499999</v>
      </c>
      <c r="I10" s="73" ph="1">
        <f>I9*290.8*1.0267</f>
        <v>11679.837763199999</v>
      </c>
      <c r="J10" s="73" ph="1">
        <f>J9*290.8*0.7892</f>
        <v>18339.293857600002</v>
      </c>
      <c r="K10" s="73" ph="1">
        <f>K9*290.8*1.1126</f>
        <v>6199.1045727999999</v>
      </c>
      <c r="L10" s="73" ph="1">
        <f>L9*290.8*0.777</f>
        <v>8012.2437360000004</v>
      </c>
      <c r="M10" s="73" ph="1">
        <f>M9*33.183*LOOKUP(M11,密度!$A$2:$A$50,密度!$D$2:$D$50)</f>
        <v>195636.04415639999</v>
      </c>
      <c r="N10" s="73" ph="1">
        <f>N9*33.183*LOOKUP(N11,密度!$A$2:$A$50,密度!$E$2:$E$50)</f>
        <v>155581.44215039999</v>
      </c>
      <c r="O10" s="73" ph="1">
        <f>O9*20.428*LOOKUP(O11,密度!$A$2:$A$50,密度!$C$2:$C$50)</f>
        <v>103812.26059359999</v>
      </c>
      <c r="P10" s="73" ph="1">
        <f>P9*51.53*LOOKUP(P11,密度!$A$2:$A$50,密度!$B$2:$B$50)</f>
        <v>88804.534679999997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1094.5727099999999</v>
      </c>
      <c r="U10" s="73" ph="1">
        <f>U9*1.5*1.5*3.1416*LOOKUP(U11,密度!$A$2:$A$50,密度!$L$2:$L$50)</f>
        <v>41917.6038204</v>
      </c>
      <c r="V10" s="73" ph="1">
        <f>V9*1.5*1.5*3.1416*LOOKUP(V11,密度!$A$2:$A$50,密度!$L$2:$L$50)</f>
        <v>40111.534108799991</v>
      </c>
      <c r="W10" s="73" ph="1">
        <f>W9*1.5*1.5*3.1416*LOOKUP(W11,密度!$A$2:$A$50,密度!$L$2:$L$50)</f>
        <v>47476.958759999994</v>
      </c>
      <c r="X10" s="73" ph="1">
        <f>X9*1.5*1.5*3.1416*LOOKUP(X11,密度!$A$2:$A$50,密度!$L$2:$L$50)</f>
        <v>47204.110799999995</v>
      </c>
      <c r="Y10" s="73" ph="1">
        <f>Y9*1.5*1.5*3.1416*LOOKUP(Y11,密度!$A$2:$A$50,密度!$L$2:$L$50)</f>
        <v>31000.448001600002</v>
      </c>
      <c r="Z10" s="73" ph="1">
        <f>Z9*33.183*LOOKUP(Z11,密度!$A$2:$A$50,密度!$L$2:$L$50)</f>
        <v>31522.157666999996</v>
      </c>
      <c r="AA10" s="73" ph="1">
        <f>AA9*33.183*LOOKUP(AA11,密度!$A$2:$A$50,密度!$D$2:$D$50)</f>
        <v>58866.071252400005</v>
      </c>
      <c r="AB10" s="73" ph="1">
        <f>AB9*20.428*LOOKUP(AB11,密度!$A$2:$A$50,密度!$D$2:$D$50)</f>
        <v>45838.193091200003</v>
      </c>
      <c r="AC10" s="73" ph="1">
        <f>AC9*51.53*LOOKUP(AC11,密度!$A$2:$A$50,密度!$Q$2:$Q$50)</f>
        <v>332999.01077400002</v>
      </c>
      <c r="AD10" s="73" ph="1">
        <f>AD9*20.428*LOOKUP(AD11,密度!$A$2:$A$50,密度!$V$2:$V$50)</f>
        <v>5159.4591040000005</v>
      </c>
      <c r="AE10" s="73" ph="1">
        <f>AE9*20.428</f>
        <v>64429.912000000004</v>
      </c>
    </row>
    <row r="11" spans="1:99" ph="1">
      <c r="A11" s="64" t="s" ph="1">
        <v>196</v>
      </c>
      <c r="B11" s="235" ph="1"/>
      <c r="C11" s="151" t="s" ph="1">
        <v>213</v>
      </c>
      <c r="D11" s="74">
        <v>16</v>
      </c>
      <c r="E11" s="74">
        <v>14</v>
      </c>
      <c r="F11" s="74">
        <v>15</v>
      </c>
      <c r="G11" s="74">
        <v>15</v>
      </c>
      <c r="H11" s="74">
        <v>10</v>
      </c>
      <c r="I11" s="74">
        <v>25</v>
      </c>
      <c r="J11" s="74">
        <v>25</v>
      </c>
      <c r="K11" s="74">
        <v>25</v>
      </c>
      <c r="L11" s="74">
        <v>25</v>
      </c>
      <c r="M11" s="74">
        <v>15</v>
      </c>
      <c r="N11" s="74">
        <v>16</v>
      </c>
      <c r="O11" s="74">
        <v>2</v>
      </c>
      <c r="P11" s="74">
        <v>15</v>
      </c>
      <c r="Q11" s="74">
        <v>15</v>
      </c>
      <c r="R11" s="74">
        <v>22</v>
      </c>
      <c r="S11" s="74">
        <v>10</v>
      </c>
      <c r="T11" s="74">
        <v>12</v>
      </c>
      <c r="U11" s="74">
        <v>15</v>
      </c>
      <c r="V11" s="74">
        <v>20</v>
      </c>
      <c r="W11" s="74">
        <v>16</v>
      </c>
      <c r="X11" s="74">
        <v>8</v>
      </c>
      <c r="Y11" s="74">
        <v>16</v>
      </c>
      <c r="Z11" s="74">
        <v>13</v>
      </c>
      <c r="AA11" s="74">
        <v>15</v>
      </c>
      <c r="AB11" s="74">
        <v>7</v>
      </c>
      <c r="AC11" s="74">
        <v>14</v>
      </c>
      <c r="AD11" s="74">
        <v>13</v>
      </c>
      <c r="AE11" s="74">
        <v>17</v>
      </c>
    </row>
    <row r="12" spans="1:99" ht="9.9499999999999993" customHeight="1" ph="1"/>
    <row r="13" spans="1:99" s="72" customFormat="1" ht="29.25" customHeight="1" ph="1">
      <c r="B13" s="212" t="s" ph="1">
        <v>37</v>
      </c>
      <c r="C13" s="151" t="s" ph="1">
        <v>210</v>
      </c>
      <c r="D13" s="76" t="s" ph="1">
        <v>53</v>
      </c>
      <c r="E13" s="76" t="s" ph="1">
        <v>54</v>
      </c>
      <c r="F13" s="76" t="s" ph="1">
        <v>66</v>
      </c>
      <c r="G13" s="76" t="s" ph="1">
        <v>67</v>
      </c>
      <c r="H13" s="76" t="s" ph="1">
        <v>154</v>
      </c>
      <c r="I13" s="76" t="s" ph="1">
        <v>68</v>
      </c>
      <c r="J13" s="76" t="s" ph="1">
        <v>155</v>
      </c>
      <c r="K13" s="76" t="s" ph="1">
        <v>63</v>
      </c>
      <c r="L13" s="76" t="s" ph="1">
        <v>69</v>
      </c>
      <c r="M13" s="76" t="s" ph="1">
        <v>70</v>
      </c>
      <c r="N13" s="76" t="s" ph="1">
        <v>156</v>
      </c>
      <c r="O13" s="76" t="s" ph="1">
        <v>64</v>
      </c>
      <c r="P13" s="76" t="s" ph="1">
        <v>71</v>
      </c>
      <c r="Q13" s="76" t="s" ph="1">
        <v>72</v>
      </c>
      <c r="R13" s="76" t="s" ph="1">
        <v>73</v>
      </c>
      <c r="S13" s="76" t="s" ph="1">
        <v>74</v>
      </c>
      <c r="T13" s="76" t="s" ph="1">
        <v>75</v>
      </c>
      <c r="U13" s="76" t="s" ph="1">
        <v>76</v>
      </c>
      <c r="V13" s="76" t="s" ph="1">
        <v>157</v>
      </c>
      <c r="W13" s="76" t="s" ph="1">
        <v>158</v>
      </c>
      <c r="X13" s="76" t="s" ph="1">
        <v>159</v>
      </c>
      <c r="Y13" s="105" t="s" ph="1">
        <v>77</v>
      </c>
      <c r="Z13" s="76" t="s" ph="1">
        <v>86</v>
      </c>
      <c r="AA13" s="76" t="s" ph="1">
        <v>160</v>
      </c>
      <c r="AB13" s="76" t="s" ph="1">
        <v>161</v>
      </c>
      <c r="AC13" s="76" t="s" ph="1">
        <v>162</v>
      </c>
      <c r="AD13" s="76" t="s" ph="1">
        <v>163</v>
      </c>
      <c r="AE13" s="76" t="s" ph="1">
        <v>164</v>
      </c>
      <c r="AG13" s="72" t="s" ph="1">
        <v>369</v>
      </c>
      <c r="AH13" s="72" t="s" ph="1">
        <v>232</v>
      </c>
      <c r="AI13" s="72" t="s" ph="1">
        <v>233</v>
      </c>
      <c r="AJ13" s="72" t="s" ph="1">
        <v>234</v>
      </c>
      <c r="AK13" s="72" t="s" ph="1">
        <v>235</v>
      </c>
      <c r="AL13" s="72" t="s" ph="1">
        <v>236</v>
      </c>
      <c r="AM13" s="72" t="s" ph="1">
        <v>237</v>
      </c>
      <c r="AN13" s="72" t="s" ph="1">
        <v>238</v>
      </c>
      <c r="AO13" s="72" t="s" ph="1">
        <v>239</v>
      </c>
      <c r="AP13" s="72" t="s" ph="1">
        <v>240</v>
      </c>
      <c r="AQ13" s="72" t="s" ph="1">
        <v>241</v>
      </c>
      <c r="AR13" s="72" t="s" ph="1">
        <v>242</v>
      </c>
      <c r="AS13" s="72" t="s" ph="1">
        <v>243</v>
      </c>
      <c r="AT13" s="72" t="s" ph="1">
        <v>244</v>
      </c>
      <c r="AU13" s="72" t="s" ph="1">
        <v>245</v>
      </c>
      <c r="AV13" s="72" t="s" ph="1">
        <v>246</v>
      </c>
      <c r="AW13" s="72" t="s" ph="1">
        <v>247</v>
      </c>
      <c r="AX13" s="72" t="s" ph="1">
        <v>248</v>
      </c>
      <c r="AY13" s="72" t="s" ph="1">
        <v>370</v>
      </c>
      <c r="AZ13" s="72" t="s" ph="1">
        <v>249</v>
      </c>
      <c r="BA13" s="72" t="s" ph="1">
        <v>250</v>
      </c>
      <c r="BB13" s="72" t="s" ph="1">
        <v>635</v>
      </c>
      <c r="BC13" s="72" t="s" ph="1">
        <v>251</v>
      </c>
      <c r="BD13" s="72" t="s" ph="1">
        <v>371</v>
      </c>
      <c r="BE13" s="72" t="s" ph="1">
        <v>372</v>
      </c>
      <c r="BF13" s="72" t="s" ph="1">
        <v>373</v>
      </c>
      <c r="BG13" s="72" t="s" ph="1">
        <v>374</v>
      </c>
      <c r="BH13" s="72" t="s" ph="1">
        <v>375</v>
      </c>
    </row>
    <row r="14" spans="1:99" s="72" customFormat="1" ht="24" ph="1">
      <c r="B14" s="213" ph="1"/>
      <c r="C14" s="67" t="s" ph="1">
        <v>36</v>
      </c>
      <c r="D14" s="77" t="s" ph="1">
        <v>131</v>
      </c>
      <c r="E14" s="77" t="s" ph="1">
        <v>131</v>
      </c>
      <c r="F14" s="153" t="s" ph="1">
        <v>656</v>
      </c>
      <c r="G14" s="77" t="s" ph="1">
        <v>220</v>
      </c>
      <c r="H14" s="77" t="s" ph="1">
        <v>648</v>
      </c>
      <c r="I14" s="77" t="s" ph="1">
        <v>65</v>
      </c>
      <c r="J14" s="77" t="s" ph="1">
        <v>230</v>
      </c>
      <c r="K14" s="77" t="s" ph="1">
        <v>226</v>
      </c>
      <c r="L14" s="77" t="s" ph="1">
        <v>41</v>
      </c>
      <c r="M14" s="104" t="s" ph="1">
        <v>225</v>
      </c>
      <c r="N14" s="104" t="s" ph="1">
        <v>221</v>
      </c>
      <c r="O14" s="104" t="s" ph="1">
        <v>229</v>
      </c>
      <c r="P14" s="77" t="s" ph="1">
        <v>82</v>
      </c>
      <c r="Q14" s="77" t="s" ph="1">
        <v>82</v>
      </c>
      <c r="R14" s="88" t="s" ph="1">
        <v>7</v>
      </c>
      <c r="S14" s="77" t="s" ph="1">
        <v>82</v>
      </c>
      <c r="T14" s="77" t="s" ph="1">
        <v>98</v>
      </c>
      <c r="U14" s="77" t="s" ph="1">
        <v>659</v>
      </c>
      <c r="V14" s="77" t="s" ph="1">
        <v>649</v>
      </c>
      <c r="W14" s="77" t="s" ph="1">
        <v>223</v>
      </c>
      <c r="X14" s="77" t="s" ph="1">
        <v>78</v>
      </c>
      <c r="Y14" s="144" t="s" ph="1">
        <v>0</v>
      </c>
      <c r="Z14" s="77" t="s" ph="1">
        <v>62</v>
      </c>
      <c r="AA14" s="77" t="s" ph="1">
        <v>88</v>
      </c>
      <c r="AB14" s="77" t="s" ph="1">
        <v>653</v>
      </c>
      <c r="AC14" s="77" t="s" ph="1">
        <v>653</v>
      </c>
      <c r="AD14" s="77" t="s" ph="1">
        <v>136</v>
      </c>
      <c r="AE14" s="77" t="s" ph="1">
        <v>136</v>
      </c>
      <c r="AG14" s="72" t="s" ph="1">
        <v>252</v>
      </c>
      <c r="AI14" s="72" t="s" ph="1">
        <v>253</v>
      </c>
      <c r="AJ14" s="72" t="s" ph="1">
        <v>376</v>
      </c>
      <c r="AK14" s="72" t="s" ph="1">
        <v>254</v>
      </c>
      <c r="AM14" s="72" t="s" ph="1">
        <v>256</v>
      </c>
      <c r="AN14" s="72" t="s" ph="1">
        <v>254</v>
      </c>
      <c r="AO14" s="72" t="s" ph="1">
        <v>255</v>
      </c>
      <c r="AP14" s="72" t="s" ph="1">
        <v>256</v>
      </c>
      <c r="AQ14" s="72" t="s" ph="1">
        <v>254</v>
      </c>
      <c r="AR14" s="72" t="s" ph="1">
        <v>255</v>
      </c>
      <c r="AS14" s="72" t="s" ph="1">
        <v>256</v>
      </c>
      <c r="AT14" s="72" t="s" ph="1">
        <v>254</v>
      </c>
      <c r="AU14" s="72" t="s" ph="1">
        <v>255</v>
      </c>
      <c r="AV14" s="72" t="s" ph="1">
        <v>256</v>
      </c>
      <c r="AW14" s="72" t="s" ph="1">
        <v>254</v>
      </c>
      <c r="AX14" s="72" t="s" ph="1">
        <v>255</v>
      </c>
      <c r="AY14" s="72" t="s" ph="1">
        <v>256</v>
      </c>
      <c r="AZ14" s="72" t="s" ph="1">
        <v>255</v>
      </c>
    </row>
    <row r="15" spans="1:99" ph="1">
      <c r="B15" s="214" ph="1">
        <v>0.33333333333333331</v>
      </c>
      <c r="C15" s="151" t="s" ph="1">
        <v>211</v>
      </c>
      <c r="D15" s="78">
        <v>4200</v>
      </c>
      <c r="E15" s="78">
        <v>73</v>
      </c>
      <c r="F15" s="78">
        <v>3558</v>
      </c>
      <c r="G15" s="78">
        <v>3908</v>
      </c>
      <c r="H15" s="78">
        <v>330</v>
      </c>
      <c r="I15" s="78">
        <v>6</v>
      </c>
      <c r="J15" s="78">
        <v>391</v>
      </c>
      <c r="K15" s="78">
        <v>1870</v>
      </c>
      <c r="L15" s="78">
        <v>3425</v>
      </c>
      <c r="M15" s="78">
        <v>4551</v>
      </c>
      <c r="N15" s="78">
        <v>860</v>
      </c>
      <c r="O15" s="78">
        <v>233</v>
      </c>
      <c r="P15" s="78">
        <v>1101</v>
      </c>
      <c r="Q15" s="78">
        <v>4496</v>
      </c>
      <c r="R15" s="78">
        <v>3494</v>
      </c>
      <c r="S15" s="78">
        <v>5612</v>
      </c>
      <c r="T15" s="78">
        <v>2931</v>
      </c>
      <c r="U15" s="78">
        <v>5116</v>
      </c>
      <c r="V15" s="78">
        <v>-1658</v>
      </c>
      <c r="W15" s="78">
        <v>-594</v>
      </c>
      <c r="X15" s="78">
        <v>1068</v>
      </c>
      <c r="Y15" s="106">
        <v>-9901</v>
      </c>
      <c r="Z15" s="78">
        <v>0</v>
      </c>
      <c r="AA15" s="78">
        <v>29</v>
      </c>
      <c r="AB15" s="78" ph="1">
        <v>6281</v>
      </c>
      <c r="AC15" s="78" ph="1">
        <v>6499</v>
      </c>
      <c r="AD15" s="78">
        <v>40.32</v>
      </c>
      <c r="AE15" s="78">
        <v>84.57</v>
      </c>
      <c r="AG15" s="64" t="s" ph="1">
        <v>258</v>
      </c>
      <c r="AH15" s="64" ph="1">
        <v>1</v>
      </c>
      <c r="AI15" s="64" t="s" ph="1">
        <v>377</v>
      </c>
      <c r="AK15" s="64" t="s" ph="1">
        <v>631</v>
      </c>
      <c r="AM15" s="64" t="s" ph="1">
        <v>379</v>
      </c>
      <c r="AZ15" s="64" t="s" ph="1">
        <v>260</v>
      </c>
      <c r="BA15" s="64" ph="1">
        <v>0</v>
      </c>
    </row>
    <row r="16" spans="1:99" s="72" customFormat="1" ht="22.5" ph="1">
      <c r="B16" s="215" ph="1"/>
      <c r="C16" s="151" t="s" ph="1">
        <v>212</v>
      </c>
      <c r="D16" s="73" ph="1">
        <f>D15*7.0686*LOOKUP(D17,密度!$A$2:$A$50,密度!$L$2:$L$50)</f>
        <v>28084.961519999997</v>
      </c>
      <c r="E16" s="73" ph="1">
        <f>E15*7.0686*LOOKUP(E17,密度!$A$2:$A$50,密度!$L$2:$L$50)</f>
        <v>488.14337879999994</v>
      </c>
      <c r="F16" s="73" ph="1">
        <f>F15*9.0746*LOOKUP(F17,密度!$A$2:$A$50,密度!$L$2:$L$50)</f>
        <v>30543.905752800001</v>
      </c>
      <c r="G16" s="73" ph="1">
        <f>G15*9.0746*LOOKUP(G17,密度!$A$2:$A$50,密度!$B$2:$B$50)</f>
        <v>27945.266998400002</v>
      </c>
      <c r="H16" s="73" ph="1">
        <f>H15*9.0746*LOOKUP(H17,密度!$A$2:$A$50,密度!$L$2:$L$50)</f>
        <v>2847.8817179999996</v>
      </c>
      <c r="I16" s="73" ph="1">
        <f>I15*9.0746*LOOKUP(I17,密度!$A$2:$A$50,密度!$U$2:$U$50)</f>
        <v>55.972132800000004</v>
      </c>
      <c r="J16" s="73" ph="1">
        <f>J15*9.0746*LOOKUP(J17,密度!$A$2:$A$50,密度!$L$2:$L$50)</f>
        <v>3360.1156641999996</v>
      </c>
      <c r="K16" s="73" ph="1">
        <f>K15*9.0746*LOOKUP(K17,密度!$A$2:$A$50,密度!$C$2:$C$50)</f>
        <v>18934.5703316</v>
      </c>
      <c r="L16" s="73" ph="1">
        <f>L15*9.0746*LOOKUP(L17,密度!$A$2:$A$50,密度!$E$2:$E$50)</f>
        <v>24665.488767999999</v>
      </c>
      <c r="M16" s="73" ph="1">
        <f>M15*9.0746*LOOKUP(M17,密度!$A$2:$A$50,密度!$M$2:$M$50)</f>
        <v>36355.073599379997</v>
      </c>
      <c r="N16" s="73" ph="1">
        <f>N15*9.0746*LOOKUP(N17,密度!$A$2:$A$50,密度!$M$2:$M$50)</f>
        <v>6869.9985268</v>
      </c>
      <c r="O16" s="73" ph="1">
        <f>O15*9.0746*LOOKUP(O17,密度!$A$2:$A$50,密度!$G$2:$G$50)</f>
        <v>2053.48760416</v>
      </c>
      <c r="P16" s="73" ph="1">
        <f ca="1">P15*9.0746*LOOKUP(P17,密度!$A$2:$A$51,密度!$Q$2:$Q$50)</f>
        <v>9536.9376210840001</v>
      </c>
      <c r="Q16" s="73" ph="1">
        <f>Q15*9.0746*LOOKUP(Q17,密度!$A$2:$A$50,密度!$Q$2:$Q$50)</f>
        <v>38906.309365759997</v>
      </c>
      <c r="R16" s="73" ph="1">
        <f>MAX(R15*9.0746*LOOKUP(R17,密度!$A$2:$A$50,密度!$B$2:$B$50),0)</f>
        <v>24911.916790679999</v>
      </c>
      <c r="S16" s="73" ph="1">
        <f>S15*9.0746*LOOKUP(S17,密度!$A$2:$A$50,密度!$Q$2:$Q$50)</f>
        <v>48611.529454608004</v>
      </c>
      <c r="T16" s="73" ph="1">
        <f>T15*9.0746*LOOKUP(T17,密度!$A$2:$A$50,密度!$O$2:$O$50)</f>
        <v>24842.207528400002</v>
      </c>
      <c r="U16" s="73" ph="1">
        <f>U15*9.0746*LOOKUP(U17,密度!$A$2:$A$50,密度!$H$2:$H$50)</f>
        <v>42976.227537519997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215.4641142240007</v>
      </c>
      <c r="X16" s="73" ph="1">
        <f>MAX(5600*LOOKUP(X17,密度!$A$2:$A$50,密度!$I$2:$I$50)+X15*9.0476*LOOKUP(X17,密度!$A$2:$A$50,密度!$I$2:$I$50),0)</f>
        <v>15737.053139375999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207.82013698</v>
      </c>
      <c r="AB16" s="73" ph="1">
        <f>AB15*9.0746*LOOKUP(AB17,密度!$A$2:$A$50,密度!$L$2:$L$50)</f>
        <v>53862.696657</v>
      </c>
      <c r="AC16" s="73" ph="1">
        <f>AC15*9.0746*LOOKUP(AC17,密度!$A$2:$A$50,密度!$L$2:$L$50)</f>
        <v>55909.082479199998</v>
      </c>
      <c r="AD16" s="73" ph="1">
        <f>AD15*268.68*LOOKUP(AD17,密度!$A$2:$A$50,密度!B2:B50)+IF(AD15&lt;=0,0,1566*LOOKUP(AD17,密度!$A$2:$A$50,密度!B2:B50))</f>
        <v>9666.3988569600006</v>
      </c>
      <c r="AE16" s="73" ph="1">
        <f>AE15*268.68*LOOKUP(AE17,密度!$A$2:$A$50,密度!B2:B50)+IF(AE15&lt;=0,0,1566*LOOKUP(AE17,密度!$A$2:$A$50,密度!B2:B50))</f>
        <v>18935.133420959995</v>
      </c>
      <c r="AH16" s="72" ph="1">
        <v>2</v>
      </c>
      <c r="AI16" s="72" t="s" ph="1">
        <v>381</v>
      </c>
      <c r="AZ16" s="72" t="s" ph="1">
        <v>260</v>
      </c>
      <c r="BA16" s="72" ph="1">
        <v>0</v>
      </c>
    </row>
    <row r="17" spans="1:57" ph="1">
      <c r="A17" s="64" t="s" ph="1">
        <v>85</v>
      </c>
      <c r="B17" s="216" ph="1"/>
      <c r="C17" s="79" t="s" ph="1">
        <v>213</v>
      </c>
      <c r="D17" s="74">
        <v>16</v>
      </c>
      <c r="E17" s="74">
        <v>16</v>
      </c>
      <c r="F17" s="74">
        <v>16</v>
      </c>
      <c r="G17" s="74">
        <v>15</v>
      </c>
      <c r="H17" s="74">
        <v>11</v>
      </c>
      <c r="I17" s="74">
        <v>15</v>
      </c>
      <c r="J17" s="74">
        <v>15</v>
      </c>
      <c r="K17" s="74">
        <v>15</v>
      </c>
      <c r="L17" s="74">
        <v>16</v>
      </c>
      <c r="M17" s="74">
        <v>18</v>
      </c>
      <c r="N17" s="74">
        <v>14</v>
      </c>
      <c r="O17" s="74">
        <v>15</v>
      </c>
      <c r="P17" s="74">
        <v>15</v>
      </c>
      <c r="Q17" s="74">
        <v>16</v>
      </c>
      <c r="R17" s="74">
        <v>18</v>
      </c>
      <c r="S17" s="74">
        <v>15</v>
      </c>
      <c r="T17" s="74">
        <v>16</v>
      </c>
      <c r="U17" s="74">
        <v>14</v>
      </c>
      <c r="V17" s="74">
        <v>16</v>
      </c>
      <c r="W17" s="74">
        <v>15</v>
      </c>
      <c r="X17" s="74">
        <v>35</v>
      </c>
      <c r="Y17" s="108">
        <v>35</v>
      </c>
      <c r="Z17" s="74">
        <v>16</v>
      </c>
      <c r="AA17" s="74">
        <v>13</v>
      </c>
      <c r="AB17" s="74">
        <v>17</v>
      </c>
      <c r="AC17" s="74">
        <v>14</v>
      </c>
      <c r="AD17" s="74">
        <v>25</v>
      </c>
      <c r="AE17" s="74">
        <v>25</v>
      </c>
      <c r="AH17" s="64" ph="1">
        <v>3</v>
      </c>
      <c r="AI17" s="64" t="s" ph="1">
        <v>382</v>
      </c>
      <c r="AK17" s="64" t="s" ph="1">
        <v>614</v>
      </c>
      <c r="AL17" s="64" ph="1">
        <v>80</v>
      </c>
      <c r="AM17" s="64" t="s" ph="1">
        <v>379</v>
      </c>
      <c r="AZ17" s="64" t="s" ph="1">
        <v>260</v>
      </c>
      <c r="BA17" s="64" ph="1">
        <v>80</v>
      </c>
      <c r="BD17" s="64" t="s" ph="1">
        <v>258</v>
      </c>
      <c r="BE17" s="64" ph="1">
        <v>2270</v>
      </c>
    </row>
    <row r="18" spans="1:57" ph="1">
      <c r="B18" s="214" ph="1">
        <v>0.66666666666666663</v>
      </c>
      <c r="C18" s="79" t="s" ph="1">
        <v>214</v>
      </c>
      <c r="D18" s="71">
        <v>4200</v>
      </c>
      <c r="E18" s="71">
        <v>73</v>
      </c>
      <c r="F18" s="71">
        <v>3558</v>
      </c>
      <c r="G18" s="71">
        <v>564</v>
      </c>
      <c r="H18" s="71">
        <v>584</v>
      </c>
      <c r="I18" s="71">
        <v>5</v>
      </c>
      <c r="J18" s="71">
        <v>391</v>
      </c>
      <c r="K18" s="71">
        <v>1877</v>
      </c>
      <c r="L18" s="71">
        <v>3425</v>
      </c>
      <c r="M18" s="71">
        <v>1599</v>
      </c>
      <c r="N18" s="71">
        <v>860</v>
      </c>
      <c r="O18" s="71">
        <v>233</v>
      </c>
      <c r="P18" s="71">
        <v>1100</v>
      </c>
      <c r="Q18" s="71">
        <v>4495</v>
      </c>
      <c r="R18" s="71">
        <v>3493</v>
      </c>
      <c r="S18" s="71">
        <v>5611</v>
      </c>
      <c r="T18" s="71">
        <v>2327</v>
      </c>
      <c r="U18" s="71">
        <v>5115</v>
      </c>
      <c r="V18" s="71">
        <v>-1656</v>
      </c>
      <c r="W18" s="71">
        <v>-593</v>
      </c>
      <c r="X18" s="71">
        <v>906</v>
      </c>
      <c r="Y18" s="109">
        <v>-9901</v>
      </c>
      <c r="Z18" s="71">
        <v>0</v>
      </c>
      <c r="AA18" s="71">
        <v>29</v>
      </c>
      <c r="AB18" s="71">
        <v>6277</v>
      </c>
      <c r="AC18" s="71">
        <v>6498</v>
      </c>
      <c r="AD18" s="71">
        <v>63.56</v>
      </c>
      <c r="AE18" s="71">
        <v>84.13</v>
      </c>
      <c r="AH18" s="64" ph="1">
        <v>4</v>
      </c>
      <c r="AI18" s="64" t="s" ph="1">
        <v>384</v>
      </c>
      <c r="AJ18" s="64" t="s" ph="1">
        <v>632</v>
      </c>
      <c r="AK18" s="64" t="s" ph="1">
        <v>631</v>
      </c>
      <c r="AL18" s="64" ph="1">
        <v>740</v>
      </c>
      <c r="AM18" s="64" t="s" ph="1">
        <v>383</v>
      </c>
      <c r="AZ18" s="64" t="s" ph="1">
        <v>260</v>
      </c>
      <c r="BA18" s="64" ph="1">
        <v>740</v>
      </c>
    </row>
    <row r="19" spans="1:57" s="72" customFormat="1" ht="22.5" ph="1">
      <c r="B19" s="215" ph="1"/>
      <c r="C19" s="151" t="s" ph="1">
        <v>212</v>
      </c>
      <c r="D19" s="73" ph="1">
        <f>D18*7.0686*LOOKUP(D20,密度!$A$2:$A$50,密度!$L$2:$L$50)</f>
        <v>28114.649639999996</v>
      </c>
      <c r="E19" s="73" ph="1">
        <f>E18*7.0686*LOOKUP(E20,密度!$A$2:$A$50,密度!$L$2:$L$50)</f>
        <v>488.65938659999995</v>
      </c>
      <c r="F19" s="73" ph="1">
        <f>F18*9.0746*LOOKUP(F20,密度!$A$2:$A$50,密度!$L$2:$L$50)</f>
        <v>30543.905752800001</v>
      </c>
      <c r="G19" s="73" ph="1">
        <f>G18*9.0746*LOOKUP(G20,密度!$A$2:$A$50,密度!$B$2:$B$50)</f>
        <v>4033.0426272000004</v>
      </c>
      <c r="H19" s="73" ph="1">
        <f>H18*9.0746*LOOKUP(H20,密度!$A$2:$A$50,密度!$L$2:$L$50)</f>
        <v>5029.2885135999995</v>
      </c>
      <c r="I19" s="73" ph="1">
        <f>I18*9.0746*LOOKUP(I20,密度!$A$2:$A$50,密度!$U$2:$U$50)</f>
        <v>46.643444000000009</v>
      </c>
      <c r="J19" s="73" ph="1">
        <f>J18*9.0746*LOOKUP(J20,密度!$A$2:$A$50,密度!$L$2:$L$50)</f>
        <v>3360.1156641999996</v>
      </c>
      <c r="K19" s="73" ph="1">
        <f>K18*9.0746*LOOKUP(K20,密度!$A$2:$A$50,密度!$C$2:$C$50)</f>
        <v>19005.448402359998</v>
      </c>
      <c r="L19" s="73" ph="1">
        <f>L18*9.0746*LOOKUP(L20,密度!$A$2:$A$50,密度!$E$2:$E$50)</f>
        <v>24665.488767999999</v>
      </c>
      <c r="M19" s="73" ph="1">
        <f>M18*9.0746*LOOKUP(M20,密度!$A$2:$A$50,密度!$M$2:$M$50)</f>
        <v>12773.40423762</v>
      </c>
      <c r="N19" s="73" ph="1">
        <f>N18*9.0746*LOOKUP(N20,密度!$A$2:$A$50,密度!$M$2:$M$50)</f>
        <v>6869.9985268</v>
      </c>
      <c r="O19" s="73" ph="1">
        <f>O18*9.0746*LOOKUP(O20,密度!$A$2:$A$50,密度!$G$2:$G$50)</f>
        <v>2050.9503460000001</v>
      </c>
      <c r="P19" s="73" ph="1">
        <f ca="1">P18*9.0746*LOOKUP(P20,密度!$A$2:$A$51,密度!$Q$2:$Q$50)</f>
        <v>9528.2755524000004</v>
      </c>
      <c r="Q19" s="73" ph="1">
        <f>Q18*9.0746*LOOKUP(Q20,密度!$A$2:$A$50,密度!$Q$2:$Q$50)</f>
        <v>38935.998734579996</v>
      </c>
      <c r="R19" s="73" ph="1">
        <f>MAX(R18*9.0746*LOOKUP(R20,密度!$A$2:$A$50,密度!$B$2:$B$50),0)</f>
        <v>24904.786877459999</v>
      </c>
      <c r="S19" s="73" ph="1">
        <f>S18*9.0746*LOOKUP(S20,密度!$A$2:$A$50,密度!$Q$2:$Q$50)</f>
        <v>48602.867385924001</v>
      </c>
      <c r="T19" s="73" ph="1">
        <f>T18*9.0746*LOOKUP(T20,密度!$A$2:$A$50,密度!$O$2:$O$50)</f>
        <v>19722.898982800001</v>
      </c>
      <c r="U19" s="73" ph="1">
        <f>U18*9.0746*LOOKUP(U20,密度!$A$2:$A$50,密度!$H$2:$H$50)</f>
        <v>42967.827180299995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224.10041032800018</v>
      </c>
      <c r="X19" s="73" ph="1">
        <f>MAX(5600*LOOKUP(X20,密度!$A$2:$A$50,密度!$I$2:$I$50)+X18*9.0476*LOOKUP(X20,密度!$A$2:$A$50,密度!$I$2:$I$50),0)</f>
        <v>14333.833785839997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207.82013698</v>
      </c>
      <c r="AB19" s="73" ph="1">
        <f>AB18*9.0746*LOOKUP(AB20,密度!$A$2:$A$50,密度!$L$2:$L$50)</f>
        <v>53885.355933199993</v>
      </c>
      <c r="AC19" s="73" ph="1">
        <f>AC18*9.0746*LOOKUP(AC20,密度!$A$2:$A$50,密度!$L$2:$L$50)</f>
        <v>55900.479758399997</v>
      </c>
      <c r="AD19" s="73" ph="1">
        <f>AD18*268.68*LOOKUP(AD20,密度!$A$2:$A$50,密度!B5:B53)+IF(AD18&lt;=0,0,1566*LOOKUP(AD20,密度!$A$2:$A$50,密度!B5:B53))</f>
        <v>14485.8447216</v>
      </c>
      <c r="AE19" s="73" ph="1">
        <f>AE18*268.68*LOOKUP(AE20,密度!$A$2:$A$50,密度!B5:B53)+IF(AE18&lt;=0,0,1566*LOOKUP(AE20,密度!$A$2:$A$50,密度!B5:B53))</f>
        <v>18780.127606800001</v>
      </c>
      <c r="AH19" s="72" ph="1">
        <v>5</v>
      </c>
      <c r="AI19" s="72" t="s" ph="1">
        <v>385</v>
      </c>
      <c r="AZ19" s="72" t="s" ph="1">
        <v>260</v>
      </c>
      <c r="BA19" s="72" ph="1">
        <v>0</v>
      </c>
      <c r="BD19" s="72" t="s" ph="1">
        <v>386</v>
      </c>
      <c r="BE19" s="72" ph="1">
        <v>1440</v>
      </c>
    </row>
    <row r="20" spans="1:57" ph="1">
      <c r="A20" s="72" ph="1"/>
      <c r="B20" s="215" ph="1"/>
      <c r="C20" s="80" t="s" ph="1">
        <v>213</v>
      </c>
      <c r="D20" s="81">
        <v>15</v>
      </c>
      <c r="E20" s="81">
        <v>15</v>
      </c>
      <c r="F20" s="81">
        <v>16</v>
      </c>
      <c r="G20" s="81">
        <v>15</v>
      </c>
      <c r="H20" s="81">
        <v>13</v>
      </c>
      <c r="I20" s="81">
        <v>15</v>
      </c>
      <c r="J20" s="81">
        <v>15</v>
      </c>
      <c r="K20" s="81">
        <v>15</v>
      </c>
      <c r="L20" s="81">
        <v>16</v>
      </c>
      <c r="M20" s="81">
        <v>16</v>
      </c>
      <c r="N20" s="81">
        <v>15</v>
      </c>
      <c r="O20" s="81">
        <v>16</v>
      </c>
      <c r="P20" s="81">
        <v>15</v>
      </c>
      <c r="Q20" s="81">
        <v>15</v>
      </c>
      <c r="R20" s="81">
        <v>18</v>
      </c>
      <c r="S20" s="81">
        <v>15</v>
      </c>
      <c r="T20" s="81">
        <v>16</v>
      </c>
      <c r="U20" s="81">
        <v>14</v>
      </c>
      <c r="V20" s="81">
        <v>15</v>
      </c>
      <c r="W20" s="81">
        <v>15</v>
      </c>
      <c r="X20" s="81">
        <v>28</v>
      </c>
      <c r="Y20" s="110">
        <v>28</v>
      </c>
      <c r="Z20" s="81">
        <v>16</v>
      </c>
      <c r="AA20" s="81">
        <v>13</v>
      </c>
      <c r="AB20" s="81">
        <v>16</v>
      </c>
      <c r="AC20" s="81">
        <v>14</v>
      </c>
      <c r="AD20" s="81">
        <v>25</v>
      </c>
      <c r="AE20" s="81">
        <v>25</v>
      </c>
      <c r="AH20" s="64" ph="1">
        <v>6</v>
      </c>
      <c r="AI20" s="64" t="s" ph="1">
        <v>387</v>
      </c>
      <c r="AZ20" s="64" t="s" ph="1">
        <v>260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388</v>
      </c>
      <c r="AZ21" s="64" t="s" ph="1">
        <v>260</v>
      </c>
      <c r="BA21" s="64" ph="1">
        <v>0</v>
      </c>
      <c r="BD21" s="64" t="s" ph="1">
        <v>276</v>
      </c>
      <c r="BE21" s="64" ph="1">
        <v>730</v>
      </c>
    </row>
    <row r="22" spans="1:57" ph="1">
      <c r="A22" s="72" ph="1"/>
      <c r="B22" s="213" t="s" ph="1">
        <v>37</v>
      </c>
      <c r="C22" s="85" t="s" ph="1">
        <v>210</v>
      </c>
      <c r="D22" s="86" t="s" ph="1">
        <v>104</v>
      </c>
      <c r="E22" s="86" t="s" ph="1">
        <v>105</v>
      </c>
      <c r="F22" s="86" t="s" ph="1">
        <v>106</v>
      </c>
      <c r="G22" s="86" t="s" ph="1">
        <v>107</v>
      </c>
      <c r="H22" s="86" t="s" ph="1">
        <v>108</v>
      </c>
      <c r="I22" s="86" t="s" ph="1">
        <v>109</v>
      </c>
      <c r="J22" s="86" t="s" ph="1">
        <v>110</v>
      </c>
      <c r="K22" s="86" t="s" ph="1">
        <v>111</v>
      </c>
      <c r="L22" s="86" t="s" ph="1">
        <v>112</v>
      </c>
      <c r="M22" s="86" t="s" ph="1">
        <v>113</v>
      </c>
      <c r="N22" s="86" t="s" ph="1">
        <v>114</v>
      </c>
      <c r="O22" s="86" t="s" ph="1">
        <v>115</v>
      </c>
      <c r="P22" s="86" t="s" ph="1">
        <v>116</v>
      </c>
      <c r="Q22" s="87" t="s" ph="1">
        <v>117</v>
      </c>
      <c r="R22" s="86" t="s" ph="1">
        <v>118</v>
      </c>
      <c r="S22" s="86" t="s" ph="1">
        <v>119</v>
      </c>
      <c r="T22" s="86" t="s" ph="1">
        <v>120</v>
      </c>
      <c r="U22" s="86" t="s" ph="1">
        <v>121</v>
      </c>
      <c r="V22" s="86" t="s" ph="1">
        <v>122</v>
      </c>
      <c r="W22" s="86" t="s" ph="1">
        <v>123</v>
      </c>
      <c r="X22" s="86" t="s" ph="1">
        <v>124</v>
      </c>
      <c r="Y22" s="86" t="s" ph="1">
        <v>126</v>
      </c>
      <c r="Z22" s="223" t="s" ph="1">
        <v>79</v>
      </c>
      <c r="AA22" s="224"/>
      <c r="AB22" s="224"/>
      <c r="AC22" s="224"/>
      <c r="AD22" s="224"/>
      <c r="AE22" s="225"/>
      <c r="AH22" s="64" ph="1">
        <v>8</v>
      </c>
      <c r="AI22" s="64" t="s" ph="1">
        <v>389</v>
      </c>
      <c r="AZ22" s="64" t="s" ph="1">
        <v>260</v>
      </c>
      <c r="BA22" s="64" ph="1">
        <v>0</v>
      </c>
    </row>
    <row r="23" spans="1:57" ph="1">
      <c r="A23" s="72" ph="1"/>
      <c r="B23" s="217" ph="1"/>
      <c r="C23" s="67" t="s" ph="1">
        <v>36</v>
      </c>
      <c r="D23" s="88" t="s" ph="1">
        <v>128</v>
      </c>
      <c r="E23" s="88" t="s" ph="1">
        <v>125</v>
      </c>
      <c r="F23" s="88" t="s" ph="1">
        <v>224</v>
      </c>
      <c r="G23" s="88" t="s" ph="1">
        <v>165</v>
      </c>
      <c r="H23" s="88" t="s" ph="1">
        <v>165</v>
      </c>
      <c r="I23" s="88" t="s" ph="1">
        <v>166</v>
      </c>
      <c r="J23" s="88" t="s" ph="1">
        <v>167</v>
      </c>
      <c r="K23" s="88" t="s" ph="1">
        <v>129</v>
      </c>
      <c r="L23" s="88" t="s" ph="1">
        <v>129</v>
      </c>
      <c r="M23" s="88" t="s" ph="1">
        <v>167</v>
      </c>
      <c r="N23" s="88" t="s" ph="1">
        <v>167</v>
      </c>
      <c r="O23" s="88" t="s" ph="1">
        <v>132</v>
      </c>
      <c r="P23" s="88" t="s" ph="1">
        <v>168</v>
      </c>
      <c r="Q23" s="89" t="s" ph="1">
        <v>168</v>
      </c>
      <c r="R23" s="88" t="s" ph="1">
        <v>169</v>
      </c>
      <c r="S23" s="88" t="s" ph="1">
        <v>170</v>
      </c>
      <c r="T23" s="88" t="s" ph="1">
        <v>651</v>
      </c>
      <c r="U23" s="88" t="s" ph="1">
        <v>660</v>
      </c>
      <c r="V23" s="88" t="s" ph="1">
        <v>172</v>
      </c>
      <c r="W23" s="88" t="s" ph="1">
        <v>170</v>
      </c>
      <c r="X23" s="88" t="s" ph="1">
        <v>231</v>
      </c>
      <c r="Y23" s="88" t="s" ph="1">
        <v>97</v>
      </c>
      <c r="Z23" s="226" t="s" ph="1">
        <v>658</v>
      </c>
      <c r="AA23" s="227"/>
      <c r="AB23" s="227"/>
      <c r="AC23" s="227"/>
      <c r="AD23" s="227"/>
      <c r="AE23" s="228"/>
      <c r="AH23" s="64" ph="1">
        <v>9</v>
      </c>
      <c r="AI23" s="64" t="s" ph="1">
        <v>390</v>
      </c>
      <c r="AZ23" s="64" t="s" ph="1">
        <v>260</v>
      </c>
      <c r="BA23" s="64" ph="1">
        <v>0</v>
      </c>
      <c r="BD23" s="64" t="s" ph="1">
        <v>282</v>
      </c>
      <c r="BE23" s="64" ph="1">
        <v>890</v>
      </c>
    </row>
    <row r="24" spans="1:57" ph="1">
      <c r="A24" s="72" ph="1"/>
      <c r="B24" s="235" ph="1">
        <v>0.33333333333333331</v>
      </c>
      <c r="C24" s="151" t="s" ph="1">
        <v>211</v>
      </c>
      <c r="D24" s="71">
        <v>44.23</v>
      </c>
      <c r="E24" s="71">
        <v>97.65</v>
      </c>
      <c r="F24" s="71">
        <v>2150</v>
      </c>
      <c r="G24" s="71">
        <v>3921</v>
      </c>
      <c r="H24" s="71">
        <v>2406</v>
      </c>
      <c r="I24" s="71">
        <v>2533</v>
      </c>
      <c r="J24" s="71">
        <v>2448</v>
      </c>
      <c r="K24" s="71">
        <v>5607</v>
      </c>
      <c r="L24" s="71">
        <v>5580</v>
      </c>
      <c r="M24" s="71">
        <v>1383</v>
      </c>
      <c r="N24" s="71">
        <v>867</v>
      </c>
      <c r="O24" s="71">
        <v>2053</v>
      </c>
      <c r="P24" s="71">
        <v>2483</v>
      </c>
      <c r="Q24" s="90">
        <v>1534</v>
      </c>
      <c r="R24" s="71">
        <v>2013</v>
      </c>
      <c r="S24" s="71">
        <v>797</v>
      </c>
      <c r="T24" s="71">
        <v>6386</v>
      </c>
      <c r="U24" s="71">
        <v>4849</v>
      </c>
      <c r="V24" s="71">
        <v>1008</v>
      </c>
      <c r="W24" s="71">
        <v>11509</v>
      </c>
      <c r="X24" s="71">
        <v>9670</v>
      </c>
      <c r="Y24" s="71">
        <v>6245</v>
      </c>
      <c r="Z24" s="229"/>
      <c r="AA24" s="230"/>
      <c r="AB24" s="230"/>
      <c r="AC24" s="230"/>
      <c r="AD24" s="230"/>
      <c r="AE24" s="231"/>
      <c r="AH24" s="64" ph="1">
        <v>10</v>
      </c>
      <c r="AI24" s="64" t="s" ph="1">
        <v>391</v>
      </c>
      <c r="AZ24" s="64" t="s" ph="1">
        <v>260</v>
      </c>
      <c r="BA24" s="64" ph="1">
        <v>0</v>
      </c>
    </row>
    <row r="25" spans="1:57" ph="1">
      <c r="A25" s="72" ph="1"/>
      <c r="B25" s="235" ph="1"/>
      <c r="C25" s="68" t="s" ph="1">
        <v>212</v>
      </c>
      <c r="D25" s="91" ph="1">
        <f>D24*268.68*LOOKUP(D26,密度!$A$2:$A$50,密度!$Q$2:$Q$50)+IF(D24&lt;=0,0,1566*LOOKUP(D26,密度!$A$2:$A$50,密度!$Q$2:$Q$50))</f>
        <v>12733.384504535999</v>
      </c>
      <c r="E25" s="91" ph="1">
        <f>E24*268.68*LOOKUP(E26,密度!$A$2:$A$50,密度!$C$2:$C$50)+IF(E24&lt;=0,0,1566*LOOKUP(E26,密度!$A$2:$A$50,密度!$C$2:$C$50))</f>
        <v>30830.305357800004</v>
      </c>
      <c r="F25" s="91" ph="1">
        <f>F24*11.702*LOOKUP(F26,密度!$A$2:$A$50,密度!$Q$2:$Q$50)</f>
        <v>23991.908479999998</v>
      </c>
      <c r="G25" s="91" ph="1">
        <f>G24*18.322*LOOKUP(G26,密度!$A$2:$A$50,密度!$B$2:$B$50)</f>
        <v>56610.362855999992</v>
      </c>
      <c r="H25" s="91" ph="1">
        <f>H24*18.322*LOOKUP(H26,密度!$A$2:$A$50,密度!$B$2:$B$50)</f>
        <v>34776.867274800003</v>
      </c>
      <c r="I25" s="91" ph="1">
        <f>I24*18.322*LOOKUP(I26,密度!$A$2:$A$50,密度!$Q$2:$Q$50)</f>
        <v>44299.844402039998</v>
      </c>
      <c r="J25" s="91" ph="1">
        <f>J24*18.322*LOOKUP(J26,密度!$A$2:$A$50,密度!$Q$2:$Q$50)</f>
        <v>42813.272442240006</v>
      </c>
      <c r="K25" s="91" ph="1">
        <f>K24*18.322*LOOKUP(K26,密度!$A$2:$A$50,密度!$Q$2:$Q$50)</f>
        <v>97964.714534400002</v>
      </c>
      <c r="L25" s="91" ph="1">
        <f>L24*18.322*LOOKUP(L26,密度!$A$2:$A$50,密度!$Q$2:$Q$50)</f>
        <v>97492.974335999999</v>
      </c>
      <c r="M25" s="91" ph="1">
        <f>M24*18.322*LOOKUP(M26,密度!$A$2:$A$50,密度!$Q$2:$Q$50)</f>
        <v>24187.400240039999</v>
      </c>
      <c r="N25" s="91" ph="1">
        <f>N24*18.322*LOOKUP(N26,密度!$A$2:$A$50,密度!$Q$2:$Q$50)</f>
        <v>15163.03398996</v>
      </c>
      <c r="O25" s="91" ph="1">
        <f>O24*18.322*LOOKUP(O26,密度!$A$2:$A$50,密度!$C$2:$C$50)</f>
        <v>41948.321603199998</v>
      </c>
      <c r="P25" s="91" ph="1">
        <f>P24*11.702*LOOKUP(P26,密度!$A$2:$A$50,密度!$B$2:$B$50)</f>
        <v>22872.935155200001</v>
      </c>
      <c r="Q25" s="92" ph="1">
        <f>Q24*18.322*LOOKUP(Q26,密度!$A$2:$A$50,密度!$B$2:$B$50)</f>
        <v>22147.487024000002</v>
      </c>
      <c r="R25" s="91" ph="1">
        <f>R24*35.891*LOOKUP(R26,密度!$A$2:$A$50,密度!$C$2:$C$50)</f>
        <v>80614.968911399992</v>
      </c>
      <c r="S25" s="91" ph="1">
        <f>S24*35.891*LOOKUP(S26,密度!$A$2:$A$50,密度!$B$2:$B$50)</f>
        <v>22517.9559744</v>
      </c>
      <c r="T25" s="91" ph="1">
        <f>T24*35.891*LOOKUP(T26,密度!$A$2:$A$50,密度!$Q$2:$Q$50)</f>
        <v>218780.49736404</v>
      </c>
      <c r="U25" s="91" ph="1">
        <f>U24*35.891</f>
        <v>174035.459</v>
      </c>
      <c r="V25" s="91" ph="1">
        <f>V24*47.051*LOOKUP(V26,密度!$A$2:$A$50,密度!$B$2:$B$50)</f>
        <v>37334.855577599999</v>
      </c>
      <c r="W25" s="91" ph="1">
        <f>W24*47.051*LOOKUP(W26,密度!$A$2:$A$50,密度!$B$2:$B$50)</f>
        <v>426276.63972480001</v>
      </c>
      <c r="X25" s="91" ph="1">
        <f>X24*47.051*LOOKUP(X26,密度!$A$2:$A$50,密度!$I$2:$I$50)</f>
        <v>471198.77017879998</v>
      </c>
      <c r="Y25" s="91" ph="1">
        <f>Y24*47.051*LOOKUP(Y26,密度!$A$2:$A$50,密度!$L$2:$L$50)</f>
        <v>276203.4853</v>
      </c>
      <c r="Z25" s="229"/>
      <c r="AA25" s="230"/>
      <c r="AB25" s="230"/>
      <c r="AC25" s="230"/>
      <c r="AD25" s="230"/>
      <c r="AE25" s="231"/>
      <c r="AH25" s="64" ph="1">
        <v>11</v>
      </c>
      <c r="AI25" s="64" t="s" ph="1">
        <v>392</v>
      </c>
      <c r="AZ25" s="64" t="s" ph="1">
        <v>260</v>
      </c>
      <c r="BA25" s="64" ph="1">
        <v>0</v>
      </c>
      <c r="BD25" s="64" t="s" ph="1">
        <v>285</v>
      </c>
      <c r="BE25" s="64" ph="1">
        <v>8920</v>
      </c>
    </row>
    <row r="26" spans="1:57" ph="1">
      <c r="A26" s="72" ph="1"/>
      <c r="B26" s="235" ph="1"/>
      <c r="C26" s="68" t="s" ph="1">
        <v>213</v>
      </c>
      <c r="D26" s="74">
        <v>25</v>
      </c>
      <c r="E26" s="74">
        <v>25</v>
      </c>
      <c r="F26" s="74">
        <v>16</v>
      </c>
      <c r="G26" s="74">
        <v>15</v>
      </c>
      <c r="H26" s="74">
        <v>14</v>
      </c>
      <c r="I26" s="74">
        <v>15</v>
      </c>
      <c r="J26" s="74">
        <v>15</v>
      </c>
      <c r="K26" s="74">
        <v>16</v>
      </c>
      <c r="L26" s="74">
        <v>16</v>
      </c>
      <c r="M26" s="74">
        <v>14</v>
      </c>
      <c r="N26" s="74">
        <v>14</v>
      </c>
      <c r="O26" s="74">
        <v>16</v>
      </c>
      <c r="P26" s="74">
        <v>16</v>
      </c>
      <c r="Q26" s="93">
        <v>15</v>
      </c>
      <c r="R26" s="74">
        <v>15</v>
      </c>
      <c r="S26" s="74">
        <v>16</v>
      </c>
      <c r="T26" s="74">
        <v>15</v>
      </c>
      <c r="U26" s="74">
        <v>15</v>
      </c>
      <c r="V26" s="74">
        <v>16</v>
      </c>
      <c r="W26" s="74">
        <v>16</v>
      </c>
      <c r="X26" s="74">
        <v>49</v>
      </c>
      <c r="Y26" s="74">
        <v>22</v>
      </c>
      <c r="Z26" s="229"/>
      <c r="AA26" s="230"/>
      <c r="AB26" s="230"/>
      <c r="AC26" s="230"/>
      <c r="AD26" s="230"/>
      <c r="AE26" s="231"/>
      <c r="AH26" s="64" ph="1">
        <v>12</v>
      </c>
      <c r="AI26" s="64" t="s" ph="1">
        <v>393</v>
      </c>
      <c r="AZ26" s="64" t="s" ph="1">
        <v>260</v>
      </c>
      <c r="BA26" s="64" ph="1">
        <v>0</v>
      </c>
    </row>
    <row r="27" spans="1:57" ph="1">
      <c r="A27" s="72" ph="1"/>
      <c r="B27" s="235" ph="1">
        <v>0.66666666666666663</v>
      </c>
      <c r="C27" s="151" t="s" ph="1">
        <v>214</v>
      </c>
      <c r="D27" s="71">
        <v>44.23</v>
      </c>
      <c r="E27" s="71">
        <v>97.56</v>
      </c>
      <c r="F27" s="71">
        <v>2149</v>
      </c>
      <c r="G27" s="71">
        <v>3482</v>
      </c>
      <c r="H27" s="71">
        <v>2379</v>
      </c>
      <c r="I27" s="71">
        <v>2532</v>
      </c>
      <c r="J27" s="71">
        <v>2447</v>
      </c>
      <c r="K27" s="71">
        <v>5606</v>
      </c>
      <c r="L27" s="71">
        <v>5579</v>
      </c>
      <c r="M27" s="71">
        <v>1382</v>
      </c>
      <c r="N27" s="71">
        <v>867</v>
      </c>
      <c r="O27" s="71">
        <v>2052</v>
      </c>
      <c r="P27" s="71">
        <v>2481</v>
      </c>
      <c r="Q27" s="90">
        <v>1739</v>
      </c>
      <c r="R27" s="71">
        <v>2013</v>
      </c>
      <c r="S27" s="71">
        <v>797</v>
      </c>
      <c r="T27" s="71">
        <v>6387</v>
      </c>
      <c r="U27" s="71">
        <v>4856</v>
      </c>
      <c r="V27" s="71">
        <v>757</v>
      </c>
      <c r="W27" s="71">
        <v>11510</v>
      </c>
      <c r="X27" s="71">
        <v>10266</v>
      </c>
      <c r="Y27" s="71">
        <v>6123</v>
      </c>
      <c r="Z27" s="229"/>
      <c r="AA27" s="230"/>
      <c r="AB27" s="230"/>
      <c r="AC27" s="230"/>
      <c r="AD27" s="230"/>
      <c r="AE27" s="231"/>
      <c r="AH27" s="64" ph="1">
        <v>13</v>
      </c>
      <c r="AI27" s="64" t="s" ph="1">
        <v>394</v>
      </c>
      <c r="AZ27" s="64" t="s" ph="1">
        <v>260</v>
      </c>
      <c r="BA27" s="64" ph="1">
        <v>0</v>
      </c>
      <c r="BD27" s="64" t="s" ph="1">
        <v>339</v>
      </c>
      <c r="BE27" s="64" ph="1">
        <v>7100</v>
      </c>
    </row>
    <row r="28" spans="1:57" ph="1">
      <c r="A28" s="72" ph="1"/>
      <c r="B28" s="235" ph="1"/>
      <c r="C28" s="151" t="s" ph="1">
        <v>212</v>
      </c>
      <c r="D28" s="91" ph="1">
        <f>D27*268.68*LOOKUP(D29,密度!$A$2:$A$50,密度!$Q$2:$Q$50)+IF(D27&lt;=0,0,1566*LOOKUP(D29,密度!$A$2:$A$50,密度!$Q$2:$Q$50))</f>
        <v>12733.384504535999</v>
      </c>
      <c r="E28" s="91" ph="1">
        <f>E27*268.68*LOOKUP(E29,密度!$A$2:$A$50,密度!$C$2:$C$50)+IF(E27&lt;=0,0,1566*LOOKUP(E29,密度!$A$2:$A$50,密度!$C$2:$C$50))</f>
        <v>30803.490825119999</v>
      </c>
      <c r="F28" s="91" ph="1">
        <f>F27*11.702*LOOKUP(F29,密度!$A$2:$A$50,密度!$Q$2:$Q$50)</f>
        <v>23980.749452799999</v>
      </c>
      <c r="G28" s="91" ph="1">
        <f>G27*18.322*LOOKUP(G29,密度!$A$2:$A$50,密度!$B$2:$B$50)</f>
        <v>50272.196752000003</v>
      </c>
      <c r="H28" s="91" ph="1">
        <f>H27*18.322*LOOKUP(H29,密度!$A$2:$A$50,密度!$B$2:$B$50)</f>
        <v>34386.603178199999</v>
      </c>
      <c r="I28" s="91" ph="1">
        <f>I27*18.322*LOOKUP(I29,密度!$A$2:$A$50,密度!$Q$2:$Q$50)</f>
        <v>44282.355320160001</v>
      </c>
      <c r="J28" s="91" ph="1">
        <f>J27*18.322*LOOKUP(J29,密度!$A$2:$A$50,密度!$Q$2:$Q$50)</f>
        <v>42795.783360360001</v>
      </c>
      <c r="K28" s="91" ph="1">
        <f>K27*18.322*LOOKUP(K29,密度!$A$2:$A$50,密度!$Q$2:$Q$50)</f>
        <v>97947.242675200003</v>
      </c>
      <c r="L28" s="91" ph="1">
        <f>L27*18.322*LOOKUP(L29,密度!$A$2:$A$50,密度!$Q$2:$Q$50)</f>
        <v>97475.5024768</v>
      </c>
      <c r="M28" s="91" ph="1">
        <f>M27*18.322*LOOKUP(M29,密度!$A$2:$A$50,密度!$Q$2:$Q$50)</f>
        <v>24169.911158159997</v>
      </c>
      <c r="N28" s="91" ph="1">
        <f>N27*18.322*LOOKUP(N29,密度!$A$2:$A$50,密度!$Q$2:$Q$50)</f>
        <v>15163.03398996</v>
      </c>
      <c r="O28" s="91" ph="1">
        <f>O27*18.322*LOOKUP(O29,密度!$A$2:$A$50,密度!$C$2:$C$50)</f>
        <v>41927.8889088</v>
      </c>
      <c r="P28" s="91" ph="1">
        <f>P27*11.702*LOOKUP(P29,密度!$A$2:$A$50,密度!$B$2:$B$50)</f>
        <v>22854.511526400001</v>
      </c>
      <c r="Q28" s="92" ph="1">
        <f>Q27*18.322*LOOKUP(Q29,密度!$A$2:$A$50,密度!$B$2:$B$50)</f>
        <v>25107.222903999998</v>
      </c>
      <c r="R28" s="91" ph="1">
        <f>R27*35.891*LOOKUP(R29,密度!$A$2:$A$50,密度!$C$2:$C$50)</f>
        <v>80614.968911399992</v>
      </c>
      <c r="S28" s="91" ph="1">
        <f>S27*35.891*LOOKUP(S29,密度!$A$2:$A$50,密度!$B$2:$B$50)</f>
        <v>22517.9559744</v>
      </c>
      <c r="T28" s="91" ph="1">
        <f>T27*35.891*LOOKUP(T29,密度!$A$2:$A$50,密度!$Q$2:$Q$50)</f>
        <v>218814.75675917999</v>
      </c>
      <c r="U28" s="91" ph="1">
        <f>U27*35.891</f>
        <v>174286.696</v>
      </c>
      <c r="V28" s="91" ph="1">
        <f>V27*47.051*LOOKUP(V29,密度!$A$2:$A$50,密度!$B$2:$B$50)</f>
        <v>28038.180230400005</v>
      </c>
      <c r="W28" s="91" ph="1">
        <f>W27*47.051*LOOKUP(W29,密度!$A$2:$A$50,密度!$B$2:$B$50)</f>
        <v>426313.67827199999</v>
      </c>
      <c r="X28" s="91" ph="1">
        <f>X27*47.051*LOOKUP(X29,密度!$A$2:$A$50,密度!$I$2:$I$50)</f>
        <v>499139.29888176004</v>
      </c>
      <c r="Y28" s="91" ph="1">
        <f>Y27*47.051*LOOKUP(Y29,密度!$A$2:$A$50,密度!$L$2:$L$50)</f>
        <v>270807.67661999998</v>
      </c>
      <c r="Z28" s="229"/>
      <c r="AA28" s="230"/>
      <c r="AB28" s="230"/>
      <c r="AC28" s="230"/>
      <c r="AD28" s="230"/>
      <c r="AE28" s="231"/>
      <c r="AH28" s="64" ph="1">
        <v>14</v>
      </c>
      <c r="AI28" s="64" t="s" ph="1">
        <v>395</v>
      </c>
      <c r="AZ28" s="64" t="s" ph="1">
        <v>260</v>
      </c>
      <c r="BA28" s="64" ph="1">
        <v>0</v>
      </c>
    </row>
    <row r="29" spans="1:57" ph="1">
      <c r="A29" s="72" ph="1"/>
      <c r="B29" s="235" ph="1"/>
      <c r="C29" s="151" t="s" ph="1">
        <v>213</v>
      </c>
      <c r="D29" s="74">
        <v>25</v>
      </c>
      <c r="E29" s="74">
        <v>25</v>
      </c>
      <c r="F29" s="74">
        <v>16</v>
      </c>
      <c r="G29" s="74">
        <v>15</v>
      </c>
      <c r="H29" s="74">
        <v>14</v>
      </c>
      <c r="I29" s="74">
        <v>15</v>
      </c>
      <c r="J29" s="74">
        <v>15</v>
      </c>
      <c r="K29" s="74">
        <v>16</v>
      </c>
      <c r="L29" s="74">
        <v>16</v>
      </c>
      <c r="M29" s="74">
        <v>14</v>
      </c>
      <c r="N29" s="74">
        <v>14</v>
      </c>
      <c r="O29" s="74">
        <v>16</v>
      </c>
      <c r="P29" s="74">
        <v>16</v>
      </c>
      <c r="Q29" s="93">
        <v>15</v>
      </c>
      <c r="R29" s="74">
        <v>15</v>
      </c>
      <c r="S29" s="74">
        <v>16</v>
      </c>
      <c r="T29" s="74">
        <v>15</v>
      </c>
      <c r="U29" s="74">
        <v>15</v>
      </c>
      <c r="V29" s="74">
        <v>16</v>
      </c>
      <c r="W29" s="74">
        <v>16</v>
      </c>
      <c r="X29" s="74">
        <v>47</v>
      </c>
      <c r="Y29" s="74">
        <v>22</v>
      </c>
      <c r="Z29" s="232"/>
      <c r="AA29" s="233"/>
      <c r="AB29" s="233"/>
      <c r="AC29" s="233"/>
      <c r="AD29" s="233"/>
      <c r="AE29" s="234"/>
      <c r="AH29" s="64" ph="1">
        <v>15</v>
      </c>
      <c r="AI29" s="64" t="s" ph="1">
        <v>396</v>
      </c>
      <c r="AZ29" s="64" t="s" ph="1">
        <v>260</v>
      </c>
      <c r="BA29" s="64" ph="1">
        <v>0</v>
      </c>
      <c r="BD29" s="64" t="s" ph="1">
        <v>397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398</v>
      </c>
      <c r="AZ30" s="64" t="s" ph="1">
        <v>260</v>
      </c>
      <c r="BA30" s="64" ph="1">
        <v>0</v>
      </c>
    </row>
    <row r="31" spans="1:57" ht="28.5" ph="1">
      <c r="A31" s="64"/>
      <c r="B31" s="218" t="s" ph="1">
        <v>35</v>
      </c>
      <c r="C31" s="219" ph="1"/>
      <c r="D31" s="222" t="s" ph="1">
        <v>9</v>
      </c>
      <c r="E31" s="197" ph="1"/>
      <c r="F31" s="198" ph="1"/>
      <c r="G31" s="222" t="s" ph="1">
        <v>18</v>
      </c>
      <c r="H31" s="197" ph="1"/>
      <c r="I31" s="198" ph="1"/>
      <c r="J31" s="196" t="s" ph="1">
        <v>1</v>
      </c>
      <c r="K31" s="197" ph="1"/>
      <c r="L31" s="198" ph="1"/>
      <c r="M31" s="196" t="s" ph="1">
        <v>7</v>
      </c>
      <c r="N31" s="197" ph="1"/>
      <c r="O31" s="198" ph="1"/>
      <c r="P31" s="196" t="s" ph="1">
        <v>42</v>
      </c>
      <c r="Q31" s="197"/>
      <c r="R31" s="198"/>
      <c r="S31" s="196" t="s" ph="1">
        <v>2</v>
      </c>
      <c r="T31" s="197"/>
      <c r="U31" s="198"/>
      <c r="V31" s="196" t="s" ph="1">
        <v>81</v>
      </c>
      <c r="W31" s="197" ph="1"/>
      <c r="X31" s="198" ph="1"/>
      <c r="Y31" s="196" t="s" ph="1">
        <v>3</v>
      </c>
      <c r="Z31" s="197" ph="1"/>
      <c r="AA31" s="198" ph="1"/>
      <c r="AB31" s="199" t="s">
        <v>43</v>
      </c>
      <c r="AC31" s="200"/>
      <c r="AD31" s="200"/>
      <c r="AE31" s="201"/>
      <c r="AH31" s="64" ph="1">
        <v>17</v>
      </c>
      <c r="AI31" s="64" t="s" ph="1">
        <v>399</v>
      </c>
      <c r="AZ31" s="64" t="s" ph="1">
        <v>260</v>
      </c>
      <c r="BA31" s="64" ph="1">
        <v>0</v>
      </c>
      <c r="BD31" s="64" t="s" ph="1">
        <v>400</v>
      </c>
      <c r="BE31" s="64" ph="1">
        <v>9310</v>
      </c>
    </row>
    <row r="32" spans="1:57" ph="1">
      <c r="A32" s="64"/>
      <c r="B32" s="220" ph="1"/>
      <c r="C32" s="221" ph="1"/>
      <c r="D32" s="96" t="s" ph="1">
        <v>4</v>
      </c>
      <c r="E32" s="151" t="s" ph="1">
        <v>5</v>
      </c>
      <c r="F32" s="150" t="s" ph="1">
        <v>44</v>
      </c>
      <c r="G32" s="97" t="s" ph="1">
        <v>4</v>
      </c>
      <c r="H32" s="151" t="s" ph="1">
        <v>5</v>
      </c>
      <c r="I32" s="150" t="s" ph="1">
        <v>44</v>
      </c>
      <c r="J32" s="97" t="s" ph="1">
        <v>4</v>
      </c>
      <c r="K32" s="151" t="s" ph="1">
        <v>5</v>
      </c>
      <c r="L32" s="150" t="s" ph="1">
        <v>44</v>
      </c>
      <c r="M32" s="97" t="s" ph="1">
        <v>4</v>
      </c>
      <c r="N32" s="151" t="s" ph="1">
        <v>5</v>
      </c>
      <c r="O32" s="150" t="s" ph="1">
        <v>44</v>
      </c>
      <c r="P32" s="97" t="s" ph="1">
        <v>4</v>
      </c>
      <c r="Q32" s="98" t="s" ph="1">
        <v>5</v>
      </c>
      <c r="R32" s="99" t="s" ph="1">
        <v>44</v>
      </c>
      <c r="S32" s="97" t="s" ph="1">
        <v>4</v>
      </c>
      <c r="T32" s="151" t="s" ph="1">
        <v>5</v>
      </c>
      <c r="U32" s="99" t="s" ph="1">
        <v>44</v>
      </c>
      <c r="V32" s="97" t="s" ph="1">
        <v>4</v>
      </c>
      <c r="W32" s="151" t="s" ph="1">
        <v>5</v>
      </c>
      <c r="X32" s="99" t="s" ph="1">
        <v>44</v>
      </c>
      <c r="Y32" s="100" t="s" ph="1">
        <v>4</v>
      </c>
      <c r="Z32" s="151" t="s" ph="1">
        <v>5</v>
      </c>
      <c r="AA32" s="150" t="s" ph="1">
        <v>44</v>
      </c>
      <c r="AB32" s="97" t="s" ph="1">
        <v>102</v>
      </c>
      <c r="AC32" s="151" t="s" ph="1">
        <v>101</v>
      </c>
      <c r="AD32" s="202" t="s" ph="1">
        <v>100</v>
      </c>
      <c r="AE32" s="203"/>
      <c r="AH32" s="64" ph="1">
        <v>18</v>
      </c>
      <c r="AI32" s="64" t="s" ph="1">
        <v>401</v>
      </c>
      <c r="AZ32" s="64" t="s" ph="1">
        <v>260</v>
      </c>
      <c r="BA32" s="64" ph="1">
        <v>0</v>
      </c>
    </row>
    <row r="33" spans="1:57" ph="1">
      <c r="A33" s="64"/>
      <c r="B33" s="204" t="s" ph="1">
        <v>215</v>
      </c>
      <c r="C33" s="205" ph="1"/>
      <c r="D33" s="184" ph="1">
        <f>AA10+AB10+Z19</f>
        <v>104704.26434360001</v>
      </c>
      <c r="E33" s="184" ph="1">
        <f>M10+I10</f>
        <v>207315.88191959998</v>
      </c>
      <c r="F33" s="208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[[#This Row],[F25]]</f>
        <v>3880</v>
      </c>
      <c r="G33" s="210" ph="1">
        <v>0</v>
      </c>
      <c r="H33" s="184" ph="1">
        <f>N19</f>
        <v>6869.9985268</v>
      </c>
      <c r="I33" s="188" ph="1">
        <v>0</v>
      </c>
      <c r="J33" s="192" ph="1">
        <f>F10+O28</f>
        <v>203914.85128379997</v>
      </c>
      <c r="K33" s="184" ph="1">
        <f>O10+K10+E28+R28</f>
        <v>221429.82490291999</v>
      </c>
      <c r="L33" s="194" ph="1">
        <f>BE27</f>
        <v>7100</v>
      </c>
      <c r="M33" s="192" ph="1">
        <f>G10+H10+W28+S28</f>
        <v>948791.84890140011</v>
      </c>
      <c r="N33" s="184" ph="1">
        <f>L10+P10++G28+H28+V28</f>
        <v>209513.7585766</v>
      </c>
      <c r="O33" s="188" ph="1">
        <f>BE17</f>
        <v>2270</v>
      </c>
      <c r="P33" s="192" ph="1">
        <f>L19</f>
        <v>24665.488767999999</v>
      </c>
      <c r="Q33" s="184" ph="1">
        <f>J10+N10</f>
        <v>173920.73600799998</v>
      </c>
      <c r="R33" s="188" ph="1">
        <f>BE23</f>
        <v>890</v>
      </c>
      <c r="S33" s="192" ph="1">
        <f>E10+X28</f>
        <v>499139.29888176004</v>
      </c>
      <c r="T33" s="184" ph="1">
        <f>X19</f>
        <v>14333.833785839997</v>
      </c>
      <c r="U33" s="173" ph="1">
        <f>BE21</f>
        <v>730</v>
      </c>
      <c r="V33" s="186" ph="1">
        <f ca="1">P19+Q19+S19+M28+N28+J28</f>
        <v>179195.87018138397</v>
      </c>
      <c r="W33" s="186" ph="1">
        <f>D28+F28+V19+T28</f>
        <v>255528.89071651601</v>
      </c>
      <c r="X33" s="188" ph="1">
        <f>BE29+BE31</f>
        <v>10200</v>
      </c>
      <c r="Y33" s="190" ph="1">
        <f>+Q10+R10+S10+T10+U10+V10+W10+X10+Y10</f>
        <v>208805.22820079996</v>
      </c>
      <c r="Z33" s="171" ph="1">
        <f>D10+T19+U19+Y28+Z10</f>
        <v>494663.19660369999</v>
      </c>
      <c r="AA33" s="173" ph="1">
        <f>BE19</f>
        <v>1440</v>
      </c>
      <c r="AB33" s="175" ph="1">
        <f>I19</f>
        <v>46.643444000000009</v>
      </c>
      <c r="AC33" s="177" ph="1">
        <f>AD10</f>
        <v>5159.4591040000005</v>
      </c>
      <c r="AD33" s="179" ph="1">
        <v>0</v>
      </c>
      <c r="AE33" s="180"/>
      <c r="AH33" s="64" ph="1">
        <v>19</v>
      </c>
      <c r="AI33" s="64" t="s" ph="1">
        <v>402</v>
      </c>
      <c r="AJ33" s="64" t="s" ph="1">
        <v>636</v>
      </c>
      <c r="AK33" s="64" t="s" ph="1">
        <v>633</v>
      </c>
      <c r="AL33" s="64" ph="1">
        <v>730</v>
      </c>
      <c r="AM33" s="64" t="s" ph="1">
        <v>383</v>
      </c>
      <c r="AZ33" s="64" t="s" ph="1">
        <v>260</v>
      </c>
      <c r="BA33" s="64" ph="1">
        <v>730</v>
      </c>
      <c r="BD33" s="64" t="s" ph="1">
        <v>334</v>
      </c>
      <c r="BE33" s="64" ph="1">
        <v>3880</v>
      </c>
    </row>
    <row r="34" spans="1:57" ph="1">
      <c r="A34" s="64"/>
      <c r="B34" s="206" ph="1"/>
      <c r="C34" s="207" ph="1"/>
      <c r="D34" s="185" ph="1"/>
      <c r="E34" s="185" ph="1"/>
      <c r="F34" s="209" ph="1"/>
      <c r="G34" s="211" ph="1"/>
      <c r="H34" s="185" ph="1"/>
      <c r="I34" s="189" ph="1"/>
      <c r="J34" s="193" ph="1"/>
      <c r="K34" s="185" ph="1"/>
      <c r="L34" s="195" ph="1"/>
      <c r="M34" s="193" ph="1"/>
      <c r="N34" s="185" ph="1"/>
      <c r="O34" s="189" ph="1"/>
      <c r="P34" s="193" ph="1"/>
      <c r="Q34" s="185" ph="1"/>
      <c r="R34" s="189" ph="1"/>
      <c r="S34" s="193" ph="1"/>
      <c r="T34" s="185"/>
      <c r="U34" s="174"/>
      <c r="V34" s="187" ph="1"/>
      <c r="W34" s="187" ph="1"/>
      <c r="X34" s="189" ph="1"/>
      <c r="Y34" s="191" ph="1"/>
      <c r="Z34" s="172" ph="1"/>
      <c r="AA34" s="174" ph="1"/>
      <c r="AB34" s="176"/>
      <c r="AC34" s="178"/>
      <c r="AD34" s="181"/>
      <c r="AE34" s="182"/>
      <c r="AH34" s="64" ph="1">
        <v>20</v>
      </c>
      <c r="AI34" s="64" t="s" ph="1">
        <v>403</v>
      </c>
      <c r="AJ34" s="64" t="s" ph="1">
        <v>637</v>
      </c>
      <c r="AK34" s="64" t="s" ph="1">
        <v>633</v>
      </c>
      <c r="AL34" s="64" ph="1">
        <v>720</v>
      </c>
      <c r="AM34" s="64" t="s" ph="1">
        <v>383</v>
      </c>
      <c r="AZ34" s="64" t="s" ph="1">
        <v>260</v>
      </c>
      <c r="BA34" s="64" ph="1">
        <v>720</v>
      </c>
    </row>
    <row r="35" spans="1:57" ph="1">
      <c r="A35" s="64"/>
      <c r="AC35" s="183" t="s" ph="1">
        <v>84</v>
      </c>
      <c r="AD35" s="183"/>
      <c r="AE35" s="183"/>
      <c r="AH35" s="64" ph="1">
        <v>21</v>
      </c>
      <c r="AI35" s="64" t="s" ph="1">
        <v>404</v>
      </c>
      <c r="AZ35" s="64" t="s" ph="1">
        <v>260</v>
      </c>
      <c r="BA35" s="64" ph="1">
        <v>0</v>
      </c>
      <c r="BD35" s="64" t="s" ph="1">
        <v>405</v>
      </c>
      <c r="BE35" s="64" ph="1">
        <v>2030</v>
      </c>
    </row>
    <row r="36" spans="1:57" ht="28.5" ph="1">
      <c r="A36" s="64"/>
      <c r="B36" s="103" t="s" ph="1">
        <v>216</v>
      </c>
      <c r="I36" s="169" t="s" ph="1">
        <v>217</v>
      </c>
      <c r="J36" s="169" ph="1"/>
      <c r="K36" s="101" ph="1"/>
      <c r="P36" s="101" ph="1"/>
      <c r="R36" s="169" t="s" ph="1">
        <v>218</v>
      </c>
      <c r="S36" s="169" ph="1"/>
      <c r="Y36" s="102" ph="1"/>
      <c r="Z36" s="149" t="s" ph="1">
        <v>219</v>
      </c>
      <c r="AA36" s="149" ph="1"/>
      <c r="AB36" s="170" t="s" ph="1">
        <v>655</v>
      </c>
      <c r="AC36" s="170" ph="1"/>
      <c r="AD36" s="170" ph="1"/>
      <c r="AE36" s="170" ph="1"/>
      <c r="BA36" s="64" ph="1">
        <v>2270</v>
      </c>
    </row>
    <row r="37" spans="1:57" s="14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9" t="s" ph="1">
        <v>386</v>
      </c>
      <c r="AI37" s="149" t="s" ph="1">
        <v>253</v>
      </c>
      <c r="AJ37" s="149" t="s" ph="1">
        <v>254</v>
      </c>
      <c r="AK37" s="149" t="s" ph="1">
        <v>255</v>
      </c>
      <c r="AM37" s="149" t="s" ph="1">
        <v>254</v>
      </c>
      <c r="AN37" s="149" t="s" ph="1">
        <v>255</v>
      </c>
      <c r="AO37" s="149" t="s" ph="1">
        <v>256</v>
      </c>
      <c r="AP37" s="149" t="s" ph="1">
        <v>254</v>
      </c>
      <c r="AQ37" s="149" t="s" ph="1">
        <v>255</v>
      </c>
      <c r="AR37" s="149" t="s" ph="1">
        <v>256</v>
      </c>
      <c r="AS37" s="149" t="s" ph="1">
        <v>254</v>
      </c>
      <c r="AT37" s="149" t="s" ph="1">
        <v>255</v>
      </c>
      <c r="AU37" s="149" t="s" ph="1">
        <v>256</v>
      </c>
      <c r="AV37" s="149" t="s" ph="1">
        <v>254</v>
      </c>
      <c r="AW37" s="149" t="s" ph="1">
        <v>255</v>
      </c>
      <c r="AX37" s="149" t="s" ph="1">
        <v>256</v>
      </c>
      <c r="AY37" s="149" t="s" ph="1">
        <v>255</v>
      </c>
      <c r="AZ37" s="149" t="s" ph="1">
        <v>257</v>
      </c>
      <c r="BD37" s="149" t="s" ph="1">
        <v>349</v>
      </c>
      <c r="BE37" s="149" ph="1">
        <v>0</v>
      </c>
    </row>
    <row r="38" spans="1:57" ph="1">
      <c r="AE38" s="64" ph="1"/>
      <c r="AH38" s="64" ph="1">
        <v>1</v>
      </c>
      <c r="AI38" s="64" t="s" ph="1">
        <v>406</v>
      </c>
      <c r="AY38" s="64" t="s" ph="1">
        <v>260</v>
      </c>
      <c r="AZ38" s="64" t="s" ph="1">
        <v>411</v>
      </c>
    </row>
    <row r="39" spans="1:57" ph="1">
      <c r="AH39" s="64" ph="1">
        <v>2</v>
      </c>
      <c r="AI39" s="64" t="s" ph="1">
        <v>408</v>
      </c>
      <c r="AJ39" s="64" t="s" ph="1">
        <v>380</v>
      </c>
      <c r="AK39" s="64" t="s" ph="1">
        <v>409</v>
      </c>
      <c r="AM39" s="64" t="s" ph="1">
        <v>614</v>
      </c>
      <c r="AN39" s="64" t="s" ph="1">
        <v>272</v>
      </c>
      <c r="AO39" s="64" t="s" ph="1">
        <v>407</v>
      </c>
      <c r="AY39" s="64" t="s" ph="1">
        <v>260</v>
      </c>
      <c r="AZ39" s="64" t="s" ph="1">
        <v>543</v>
      </c>
    </row>
    <row r="40" spans="1:57" ph="1">
      <c r="AH40" s="64" ph="1">
        <v>3</v>
      </c>
      <c r="AI40" s="64" t="s" ph="1">
        <v>410</v>
      </c>
      <c r="AJ40" s="64" t="s" ph="1">
        <v>614</v>
      </c>
      <c r="AK40" s="64" t="s" ph="1">
        <v>615</v>
      </c>
      <c r="AY40" s="64" t="s" ph="1">
        <v>260</v>
      </c>
      <c r="AZ40" s="64" t="s" ph="1">
        <v>615</v>
      </c>
    </row>
    <row r="41" spans="1:57" ph="1">
      <c r="AH41" s="64" ph="1">
        <v>4</v>
      </c>
      <c r="AI41" s="64" t="s" ph="1">
        <v>412</v>
      </c>
      <c r="AJ41" s="64" t="s" ph="1">
        <v>616</v>
      </c>
      <c r="AK41" s="64" t="s" ph="1">
        <v>617</v>
      </c>
      <c r="AM41" s="64" t="s" ph="1">
        <v>618</v>
      </c>
      <c r="AY41" s="64" t="s" ph="1">
        <v>260</v>
      </c>
      <c r="AZ41" s="64" t="s" ph="1">
        <v>617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413</v>
      </c>
      <c r="AY42" s="64" t="s" ph="1">
        <v>260</v>
      </c>
      <c r="AZ42" s="64" t="s" ph="1">
        <v>411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414</v>
      </c>
      <c r="AY43" s="64" t="s" ph="1">
        <v>260</v>
      </c>
      <c r="AZ43" s="64" t="s" ph="1">
        <v>411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415</v>
      </c>
      <c r="AV44" s="64" t="s" ph="1">
        <v>261</v>
      </c>
      <c r="AY44" s="64" t="s" ph="1">
        <v>260</v>
      </c>
      <c r="AZ44" s="64" t="s" ph="1">
        <v>411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416</v>
      </c>
      <c r="AV45" s="64" t="s" ph="1">
        <v>261</v>
      </c>
      <c r="AY45" s="64" t="s" ph="1">
        <v>260</v>
      </c>
      <c r="AZ45" s="64" t="s" ph="1">
        <v>411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417</v>
      </c>
      <c r="AV46" s="64" t="s" ph="1">
        <v>261</v>
      </c>
      <c r="AY46" s="64" t="s" ph="1">
        <v>260</v>
      </c>
      <c r="AZ46" s="64" t="s" ph="1">
        <v>411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418</v>
      </c>
      <c r="AV47" s="64" t="s" ph="1">
        <v>261</v>
      </c>
      <c r="AY47" s="64" t="s" ph="1">
        <v>260</v>
      </c>
      <c r="AZ47" s="64" t="s" ph="1">
        <v>411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619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276</v>
      </c>
      <c r="AI49" s="64" t="s" ph="1">
        <v>253</v>
      </c>
      <c r="AJ49" s="64" t="s" ph="1">
        <v>254</v>
      </c>
      <c r="AK49" s="64" t="s" ph="1">
        <v>255</v>
      </c>
      <c r="AM49" s="64" t="s" ph="1">
        <v>254</v>
      </c>
      <c r="AN49" s="64" t="s" ph="1">
        <v>255</v>
      </c>
      <c r="AO49" s="64" t="s" ph="1">
        <v>256</v>
      </c>
      <c r="AP49" s="64" t="s" ph="1">
        <v>254</v>
      </c>
      <c r="AQ49" s="64" t="s" ph="1">
        <v>255</v>
      </c>
      <c r="AR49" s="64" t="s" ph="1">
        <v>256</v>
      </c>
      <c r="AS49" s="64" t="s" ph="1">
        <v>254</v>
      </c>
      <c r="AT49" s="64" t="s" ph="1">
        <v>255</v>
      </c>
      <c r="AU49" s="64" t="s" ph="1">
        <v>256</v>
      </c>
      <c r="AV49" s="64" t="s" ph="1">
        <v>254</v>
      </c>
      <c r="AW49" s="64" t="s" ph="1">
        <v>255</v>
      </c>
      <c r="AX49" s="64" t="s" ph="1">
        <v>256</v>
      </c>
      <c r="AY49" s="64" t="s" ph="1">
        <v>255</v>
      </c>
      <c r="AZ49" s="64" t="s" ph="1">
        <v>257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419</v>
      </c>
      <c r="AY50" s="64" t="s" ph="1">
        <v>260</v>
      </c>
      <c r="AZ50" s="64" t="s" ph="1">
        <v>411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420</v>
      </c>
      <c r="AY51" s="64" t="s" ph="1">
        <v>260</v>
      </c>
      <c r="AZ51" s="64" t="s" ph="1">
        <v>411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421</v>
      </c>
      <c r="AJ52" s="64" t="s" ph="1">
        <v>378</v>
      </c>
      <c r="AK52" s="64" t="s" ph="1">
        <v>272</v>
      </c>
      <c r="AM52" s="64" t="s" ph="1">
        <v>380</v>
      </c>
      <c r="AN52" s="64" t="s" ph="1">
        <v>344</v>
      </c>
      <c r="AO52" s="64" t="s" ph="1">
        <v>277</v>
      </c>
      <c r="AP52" s="64" t="s" ph="1">
        <v>614</v>
      </c>
      <c r="AQ52" s="64" t="s" ph="1">
        <v>326</v>
      </c>
      <c r="AR52" s="64" t="s" ph="1">
        <v>277</v>
      </c>
      <c r="AY52" s="64" t="s" ph="1">
        <v>260</v>
      </c>
      <c r="AZ52" s="64" t="s" ph="1">
        <v>620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422</v>
      </c>
      <c r="AY53" s="64" t="s" ph="1">
        <v>260</v>
      </c>
      <c r="AZ53" s="64" t="s" ph="1">
        <v>411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423</v>
      </c>
      <c r="AJ54" s="64" t="s" ph="1">
        <v>378</v>
      </c>
      <c r="AK54" s="64" t="s" ph="1">
        <v>263</v>
      </c>
      <c r="AM54" s="64" t="s" ph="1">
        <v>380</v>
      </c>
      <c r="AN54" s="64" t="s" ph="1">
        <v>268</v>
      </c>
      <c r="AO54" s="64" t="s" ph="1">
        <v>277</v>
      </c>
      <c r="AP54" s="64" t="s" ph="1">
        <v>614</v>
      </c>
      <c r="AQ54" s="64" t="s" ph="1">
        <v>284</v>
      </c>
      <c r="AR54" s="64" t="s" ph="1">
        <v>277</v>
      </c>
      <c r="AY54" s="64" t="s" ph="1">
        <v>260</v>
      </c>
      <c r="AZ54" s="64" t="s" ph="1">
        <v>278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424</v>
      </c>
      <c r="AY55" s="64" t="s" ph="1">
        <v>260</v>
      </c>
      <c r="AZ55" s="64" t="s" ph="1">
        <v>411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425</v>
      </c>
      <c r="AY56" s="64" t="s" ph="1">
        <v>260</v>
      </c>
      <c r="AZ56" s="64" t="s" ph="1">
        <v>411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426</v>
      </c>
      <c r="AY57" s="64" t="s" ph="1">
        <v>260</v>
      </c>
      <c r="AZ57" s="64" t="s" ph="1">
        <v>411</v>
      </c>
    </row>
    <row r="58" spans="16:52" ph="1">
      <c r="P58" s="64"/>
      <c r="AN58" s="64" t="s" ph="1">
        <v>261</v>
      </c>
      <c r="AZ58" s="64" t="s" ph="1">
        <v>621</v>
      </c>
    </row>
    <row r="59" spans="16:52" ph="1">
      <c r="V59" s="64"/>
      <c r="AG59" s="64" t="s" ph="1">
        <v>279</v>
      </c>
      <c r="AI59" s="64" t="s" ph="1">
        <v>253</v>
      </c>
      <c r="AJ59" s="64" t="s" ph="1">
        <v>254</v>
      </c>
      <c r="AK59" s="64" t="s" ph="1">
        <v>255</v>
      </c>
      <c r="AM59" s="64" t="s" ph="1">
        <v>254</v>
      </c>
      <c r="AN59" s="64" t="s" ph="1">
        <v>255</v>
      </c>
      <c r="AO59" s="64" t="s" ph="1">
        <v>256</v>
      </c>
      <c r="AP59" s="64" t="s" ph="1">
        <v>254</v>
      </c>
      <c r="AQ59" s="64" t="s" ph="1">
        <v>255</v>
      </c>
      <c r="AR59" s="64" t="s" ph="1">
        <v>256</v>
      </c>
      <c r="AS59" s="64" t="s" ph="1">
        <v>254</v>
      </c>
      <c r="AT59" s="64" t="s" ph="1">
        <v>255</v>
      </c>
      <c r="AU59" s="64" t="s" ph="1">
        <v>256</v>
      </c>
      <c r="AV59" s="64" t="s" ph="1">
        <v>254</v>
      </c>
      <c r="AW59" s="64" t="s" ph="1">
        <v>255</v>
      </c>
      <c r="AX59" s="64" t="s" ph="1">
        <v>256</v>
      </c>
      <c r="AY59" s="64" t="s" ph="1">
        <v>255</v>
      </c>
      <c r="AZ59" s="64" t="s" ph="1">
        <v>257</v>
      </c>
    </row>
    <row r="60" spans="16:52" ph="1">
      <c r="R60" s="64"/>
      <c r="S60" s="64"/>
      <c r="T60" s="64"/>
      <c r="AH60" s="64" ph="1">
        <v>1</v>
      </c>
      <c r="AI60" s="64" t="s" ph="1">
        <v>427</v>
      </c>
      <c r="AY60" s="64" t="s" ph="1">
        <v>260</v>
      </c>
      <c r="AZ60" s="64" t="s" ph="1">
        <v>411</v>
      </c>
    </row>
    <row r="61" spans="16:52" ph="1">
      <c r="AH61" s="64" ph="1">
        <v>2</v>
      </c>
      <c r="AI61" s="64" t="s" ph="1">
        <v>428</v>
      </c>
      <c r="AS61" s="64" t="s" ph="1">
        <v>261</v>
      </c>
      <c r="AY61" s="64" t="s" ph="1">
        <v>260</v>
      </c>
      <c r="AZ61" s="64" t="s" ph="1">
        <v>411</v>
      </c>
    </row>
    <row r="62" spans="16:52" ph="1">
      <c r="AZ62" s="64" t="s" ph="1">
        <v>429</v>
      </c>
    </row>
    <row r="63" spans="16:52" ph="1">
      <c r="AG63" s="64" t="s" ph="1">
        <v>282</v>
      </c>
      <c r="AI63" s="64" t="s" ph="1">
        <v>253</v>
      </c>
      <c r="AJ63" s="64" t="s" ph="1">
        <v>254</v>
      </c>
      <c r="AK63" s="64" t="s" ph="1">
        <v>255</v>
      </c>
      <c r="AM63" s="64" t="s" ph="1">
        <v>254</v>
      </c>
      <c r="AN63" s="64" t="s" ph="1">
        <v>255</v>
      </c>
      <c r="AO63" s="64" t="s" ph="1">
        <v>256</v>
      </c>
      <c r="AP63" s="64" t="s" ph="1">
        <v>254</v>
      </c>
      <c r="AQ63" s="64" t="s" ph="1">
        <v>255</v>
      </c>
      <c r="AR63" s="64" t="s" ph="1">
        <v>256</v>
      </c>
      <c r="AS63" s="64" t="s" ph="1">
        <v>254</v>
      </c>
      <c r="AT63" s="64" t="s" ph="1">
        <v>255</v>
      </c>
      <c r="AU63" s="64" t="s" ph="1">
        <v>256</v>
      </c>
      <c r="AV63" s="64" t="s" ph="1">
        <v>254</v>
      </c>
      <c r="AW63" s="64" t="s" ph="1">
        <v>255</v>
      </c>
      <c r="AX63" s="64" t="s" ph="1">
        <v>256</v>
      </c>
      <c r="AY63" s="64" t="s" ph="1">
        <v>255</v>
      </c>
      <c r="AZ63" s="64" t="s" ph="1">
        <v>257</v>
      </c>
    </row>
    <row r="64" spans="16:52" ph="1">
      <c r="AH64" s="64" ph="1">
        <v>1</v>
      </c>
      <c r="AI64" s="64" t="s" ph="1">
        <v>430</v>
      </c>
      <c r="AJ64" s="64" t="s" ph="1">
        <v>431</v>
      </c>
      <c r="AK64" s="64" t="s" ph="1">
        <v>432</v>
      </c>
      <c r="AY64" s="64" t="s" ph="1">
        <v>260</v>
      </c>
      <c r="AZ64" s="64" t="s" ph="1">
        <v>432</v>
      </c>
    </row>
    <row r="65" spans="33:52" ph="1">
      <c r="AH65" s="64" ph="1">
        <v>2</v>
      </c>
      <c r="AI65" s="64" t="s" ph="1">
        <v>433</v>
      </c>
      <c r="AY65" s="64" t="s" ph="1">
        <v>260</v>
      </c>
      <c r="AZ65" s="64" t="s" ph="1">
        <v>411</v>
      </c>
    </row>
    <row r="66" spans="33:52" ph="1">
      <c r="AH66" s="64" ph="1">
        <v>3</v>
      </c>
      <c r="AI66" s="64" t="s" ph="1">
        <v>434</v>
      </c>
      <c r="AY66" s="64" t="s" ph="1">
        <v>260</v>
      </c>
      <c r="AZ66" s="64" t="s" ph="1">
        <v>411</v>
      </c>
    </row>
    <row r="67" spans="33:52" ph="1">
      <c r="AH67" s="64" ph="1">
        <v>4</v>
      </c>
      <c r="AI67" s="64" t="s" ph="1">
        <v>435</v>
      </c>
      <c r="AY67" s="64" t="s" ph="1">
        <v>260</v>
      </c>
      <c r="AZ67" s="64" t="s" ph="1">
        <v>411</v>
      </c>
    </row>
    <row r="68" spans="33:52" ph="1">
      <c r="AH68" s="64" ph="1">
        <v>5</v>
      </c>
      <c r="AI68" s="64" t="s" ph="1">
        <v>436</v>
      </c>
      <c r="AY68" s="64" t="s" ph="1">
        <v>260</v>
      </c>
      <c r="AZ68" s="64" t="s" ph="1">
        <v>411</v>
      </c>
    </row>
    <row r="69" spans="33:52" ph="1">
      <c r="AH69" s="64" ph="1">
        <v>6</v>
      </c>
      <c r="AI69" s="64" t="s" ph="1">
        <v>437</v>
      </c>
      <c r="AY69" s="64" t="s" ph="1">
        <v>260</v>
      </c>
      <c r="AZ69" s="64" t="s" ph="1">
        <v>411</v>
      </c>
    </row>
    <row r="70" spans="33:52" ph="1">
      <c r="AI70" s="64" t="s" ph="1">
        <v>438</v>
      </c>
      <c r="AY70" s="64" t="s" ph="1">
        <v>260</v>
      </c>
      <c r="AZ70" s="64" t="s" ph="1">
        <v>411</v>
      </c>
    </row>
    <row r="71" spans="33:52" ph="1">
      <c r="AH71" s="64" ph="1">
        <v>7</v>
      </c>
      <c r="AI71" s="64" t="s" ph="1">
        <v>439</v>
      </c>
      <c r="AJ71" s="64" t="s" ph="1">
        <v>378</v>
      </c>
      <c r="AK71" s="64" t="s" ph="1">
        <v>272</v>
      </c>
      <c r="AM71" s="64" t="s" ph="1">
        <v>380</v>
      </c>
      <c r="AN71" s="64" t="s" ph="1">
        <v>272</v>
      </c>
      <c r="AO71" s="64" t="s" ph="1">
        <v>440</v>
      </c>
      <c r="AP71" s="64" t="s" ph="1">
        <v>614</v>
      </c>
      <c r="AQ71" s="64" t="s" ph="1">
        <v>263</v>
      </c>
      <c r="AR71" s="64" t="s" ph="1">
        <v>440</v>
      </c>
      <c r="AY71" s="64" t="s" ph="1">
        <v>260</v>
      </c>
      <c r="AZ71" s="64" t="s" ph="1">
        <v>622</v>
      </c>
    </row>
    <row r="72" spans="33:52" ph="1">
      <c r="AZ72" s="64" t="s" ph="1">
        <v>623</v>
      </c>
    </row>
    <row r="73" spans="33:52" ph="1">
      <c r="AG73" s="64" t="s" ph="1">
        <v>285</v>
      </c>
      <c r="AI73" s="64" t="s" ph="1">
        <v>253</v>
      </c>
      <c r="AJ73" s="64" t="s" ph="1">
        <v>254</v>
      </c>
      <c r="AK73" s="64" t="s" ph="1">
        <v>255</v>
      </c>
      <c r="AM73" s="64" t="s" ph="1">
        <v>254</v>
      </c>
      <c r="AN73" s="64" t="s" ph="1">
        <v>255</v>
      </c>
      <c r="AO73" s="64" t="s" ph="1">
        <v>256</v>
      </c>
      <c r="AP73" s="64" t="s" ph="1">
        <v>254</v>
      </c>
      <c r="AQ73" s="64" t="s" ph="1">
        <v>255</v>
      </c>
      <c r="AR73" s="64" t="s" ph="1">
        <v>256</v>
      </c>
      <c r="AS73" s="64" t="s" ph="1">
        <v>254</v>
      </c>
      <c r="AT73" s="64" t="s" ph="1">
        <v>255</v>
      </c>
      <c r="AU73" s="64" t="s" ph="1">
        <v>256</v>
      </c>
      <c r="AV73" s="64" t="s" ph="1">
        <v>254</v>
      </c>
      <c r="AW73" s="64" t="s" ph="1">
        <v>255</v>
      </c>
      <c r="AX73" s="64" t="s" ph="1">
        <v>256</v>
      </c>
      <c r="AY73" s="64" t="s" ph="1">
        <v>255</v>
      </c>
      <c r="AZ73" s="64" t="s" ph="1">
        <v>257</v>
      </c>
    </row>
    <row r="74" spans="33:52" ph="1">
      <c r="AH74" s="64" ph="1">
        <v>1</v>
      </c>
      <c r="AI74" s="64" t="s" ph="1">
        <v>441</v>
      </c>
      <c r="AJ74" s="64" t="s" ph="1">
        <v>286</v>
      </c>
      <c r="AK74" s="64" t="s" ph="1">
        <v>268</v>
      </c>
      <c r="AM74" s="64" t="s" ph="1">
        <v>288</v>
      </c>
      <c r="AN74" s="64" t="s" ph="1">
        <v>298</v>
      </c>
      <c r="AO74" s="64" t="s" ph="1">
        <v>287</v>
      </c>
      <c r="AP74" s="64" t="s" ph="1">
        <v>289</v>
      </c>
      <c r="AQ74" s="64" t="s" ph="1">
        <v>266</v>
      </c>
      <c r="AR74" s="64" t="s" ph="1">
        <v>287</v>
      </c>
      <c r="AS74" s="64" t="s" ph="1">
        <v>259</v>
      </c>
      <c r="AT74" s="64" t="s" ph="1">
        <v>261</v>
      </c>
      <c r="AV74" s="64" t="s" ph="1">
        <v>442</v>
      </c>
      <c r="AW74" s="64" t="s" ph="1">
        <v>443</v>
      </c>
      <c r="AX74" s="64" t="s" ph="1">
        <v>444</v>
      </c>
      <c r="AY74" s="64" t="s" ph="1">
        <v>260</v>
      </c>
      <c r="AZ74" s="64" t="s" ph="1">
        <v>445</v>
      </c>
    </row>
    <row r="75" spans="33:52" ph="1">
      <c r="AJ75" s="64" t="s" ph="1">
        <v>291</v>
      </c>
      <c r="AK75" s="64" t="s" ph="1">
        <v>344</v>
      </c>
      <c r="AM75" s="64" t="s" ph="1">
        <v>289</v>
      </c>
      <c r="AN75" s="64" t="s" ph="1">
        <v>269</v>
      </c>
      <c r="AO75" s="64" t="s" ph="1">
        <v>287</v>
      </c>
      <c r="AS75" s="64" t="s" ph="1">
        <v>259</v>
      </c>
      <c r="AT75" s="64" t="s" ph="1">
        <v>290</v>
      </c>
    </row>
    <row r="76" spans="33:52" ph="1">
      <c r="AJ76" s="64" t="s" ph="1">
        <v>291</v>
      </c>
      <c r="AK76" s="64" t="s" ph="1">
        <v>284</v>
      </c>
      <c r="AM76" s="64" t="s" ph="1">
        <v>289</v>
      </c>
      <c r="AN76" s="64" t="s" ph="1">
        <v>272</v>
      </c>
      <c r="AO76" s="64" t="s" ph="1">
        <v>287</v>
      </c>
      <c r="AS76" s="64" t="s" ph="1">
        <v>259</v>
      </c>
      <c r="AT76" s="64" t="s" ph="1">
        <v>290</v>
      </c>
    </row>
    <row r="77" spans="33:52" ph="1">
      <c r="AJ77" s="64" t="s" ph="1">
        <v>327</v>
      </c>
      <c r="AK77" s="64" t="s" ph="1">
        <v>284</v>
      </c>
      <c r="AM77" s="64" t="s" ph="1">
        <v>328</v>
      </c>
      <c r="AN77" s="64" t="s" ph="1">
        <v>267</v>
      </c>
      <c r="AO77" s="64" t="s" ph="1">
        <v>287</v>
      </c>
      <c r="AS77" s="64" t="s" ph="1">
        <v>259</v>
      </c>
      <c r="AT77" s="64" t="s" ph="1">
        <v>329</v>
      </c>
    </row>
    <row r="78" spans="33:52" ph="1">
      <c r="AH78" s="64" ph="1">
        <v>2</v>
      </c>
      <c r="AI78" s="64" t="s" ph="1">
        <v>293</v>
      </c>
      <c r="AJ78" s="64" t="s" ph="1">
        <v>294</v>
      </c>
      <c r="AK78" s="64" t="s" ph="1">
        <v>263</v>
      </c>
      <c r="AM78" s="64" t="s" ph="1">
        <v>295</v>
      </c>
      <c r="AN78" s="64" t="s" ph="1">
        <v>298</v>
      </c>
      <c r="AO78" s="64" t="s" ph="1">
        <v>287</v>
      </c>
      <c r="AP78" s="64" t="s" ph="1">
        <v>296</v>
      </c>
      <c r="AQ78" s="64" t="s" ph="1">
        <v>342</v>
      </c>
      <c r="AR78" s="64" t="s" ph="1">
        <v>287</v>
      </c>
      <c r="AS78" s="64" t="s" ph="1">
        <v>297</v>
      </c>
      <c r="AT78" s="64" t="s" ph="1">
        <v>298</v>
      </c>
      <c r="AU78" s="64" t="s" ph="1">
        <v>287</v>
      </c>
      <c r="AV78" s="64" t="s" ph="1">
        <v>299</v>
      </c>
      <c r="AW78" s="64" t="s" ph="1">
        <v>287</v>
      </c>
      <c r="AY78" s="64" t="s" ph="1">
        <v>260</v>
      </c>
      <c r="AZ78" s="64" t="s" ph="1">
        <v>446</v>
      </c>
    </row>
    <row r="79" spans="33:52" ph="1">
      <c r="AJ79" s="64" t="s" ph="1">
        <v>289</v>
      </c>
      <c r="AK79" s="64" t="s" ph="1">
        <v>300</v>
      </c>
      <c r="AM79" s="64" t="s" ph="1">
        <v>301</v>
      </c>
      <c r="AN79" s="64" t="s" ph="1">
        <v>269</v>
      </c>
      <c r="AO79" s="64" t="s" ph="1">
        <v>287</v>
      </c>
      <c r="AP79" s="64" t="s" ph="1">
        <v>302</v>
      </c>
      <c r="AQ79" s="64" t="s" ph="1">
        <v>267</v>
      </c>
      <c r="AR79" s="64" t="s" ph="1">
        <v>303</v>
      </c>
      <c r="AS79" s="64" t="s" ph="1">
        <v>259</v>
      </c>
      <c r="AT79" s="64" t="s" ph="1">
        <v>304</v>
      </c>
      <c r="AV79" s="64" t="s" ph="1">
        <v>447</v>
      </c>
      <c r="AW79" s="64" t="s" ph="1">
        <v>346</v>
      </c>
      <c r="AX79" s="64" t="s" ph="1">
        <v>444</v>
      </c>
    </row>
    <row r="80" spans="33:52" ph="1">
      <c r="AH80" s="64" ph="1">
        <v>3</v>
      </c>
      <c r="AI80" s="64" t="s" ph="1">
        <v>305</v>
      </c>
      <c r="AJ80" s="64" t="s" ph="1">
        <v>306</v>
      </c>
      <c r="AK80" s="64" t="s" ph="1">
        <v>307</v>
      </c>
      <c r="AM80" s="64" t="s" ph="1">
        <v>308</v>
      </c>
      <c r="AN80" s="64" t="s" ph="1">
        <v>298</v>
      </c>
      <c r="AO80" s="64" t="s" ph="1">
        <v>287</v>
      </c>
      <c r="AP80" s="64" t="s" ph="1">
        <v>309</v>
      </c>
      <c r="AQ80" s="64" t="s" ph="1">
        <v>272</v>
      </c>
      <c r="AR80" s="64" t="s" ph="1">
        <v>287</v>
      </c>
      <c r="AS80" s="64" t="s" ph="1">
        <v>310</v>
      </c>
      <c r="AT80" s="64" t="s" ph="1">
        <v>271</v>
      </c>
      <c r="AU80" s="64" t="s" ph="1">
        <v>287</v>
      </c>
      <c r="AV80" s="64" t="s" ph="1">
        <v>311</v>
      </c>
      <c r="AW80" s="64" t="s" ph="1">
        <v>287</v>
      </c>
      <c r="AY80" s="64" t="s" ph="1">
        <v>260</v>
      </c>
      <c r="AZ80" s="64" t="s" ph="1">
        <v>448</v>
      </c>
    </row>
    <row r="81" spans="34:52" ph="1">
      <c r="AJ81" s="64" t="s" ph="1">
        <v>312</v>
      </c>
      <c r="AK81" s="64" t="s" ph="1">
        <v>266</v>
      </c>
      <c r="AM81" s="64" t="s" ph="1">
        <v>313</v>
      </c>
      <c r="AN81" s="64" t="s" ph="1">
        <v>269</v>
      </c>
      <c r="AO81" s="64" t="s" ph="1">
        <v>287</v>
      </c>
      <c r="AP81" s="64" t="s" ph="1">
        <v>314</v>
      </c>
      <c r="AQ81" s="64" t="s" ph="1">
        <v>298</v>
      </c>
      <c r="AR81" s="64" t="s" ph="1">
        <v>287</v>
      </c>
      <c r="AS81" s="64" t="s" ph="1">
        <v>315</v>
      </c>
      <c r="AT81" s="64" t="s" ph="1">
        <v>316</v>
      </c>
      <c r="AU81" s="64" t="s" ph="1">
        <v>287</v>
      </c>
      <c r="AV81" s="64" t="s" ph="1">
        <v>317</v>
      </c>
    </row>
    <row r="82" spans="34:52" ph="1">
      <c r="AJ82" s="64" t="s" ph="1">
        <v>318</v>
      </c>
      <c r="AK82" s="64" t="s" ph="1">
        <v>266</v>
      </c>
      <c r="AM82" s="64" t="s" ph="1">
        <v>319</v>
      </c>
      <c r="AN82" s="64" t="s" ph="1">
        <v>316</v>
      </c>
      <c r="AO82" s="64" t="s" ph="1">
        <v>320</v>
      </c>
      <c r="AP82" s="64" t="s" ph="1">
        <v>321</v>
      </c>
      <c r="AQ82" s="64" t="s" ph="1">
        <v>298</v>
      </c>
      <c r="AR82" s="64" t="s" ph="1">
        <v>287</v>
      </c>
      <c r="AS82" s="64" t="s" ph="1">
        <v>322</v>
      </c>
      <c r="AT82" s="64" t="s" ph="1">
        <v>273</v>
      </c>
      <c r="AU82" s="64" t="s" ph="1">
        <v>287</v>
      </c>
      <c r="AV82" s="64" t="s" ph="1">
        <v>447</v>
      </c>
      <c r="AW82" s="64" t="s" ph="1">
        <v>347</v>
      </c>
      <c r="AX82" s="64" t="s" ph="1">
        <v>444</v>
      </c>
    </row>
    <row r="83" spans="34:52" ph="1">
      <c r="AJ83" s="64" t="s" ph="1">
        <v>323</v>
      </c>
      <c r="AK83" s="64" t="s" ph="1">
        <v>340</v>
      </c>
      <c r="AM83" s="64" t="s" ph="1">
        <v>324</v>
      </c>
      <c r="AN83" s="64" t="s" ph="1">
        <v>272</v>
      </c>
      <c r="AO83" s="64" t="s" ph="1">
        <v>303</v>
      </c>
      <c r="AP83" s="64" t="s" ph="1">
        <v>325</v>
      </c>
      <c r="AQ83" s="64" t="s" ph="1">
        <v>326</v>
      </c>
      <c r="AR83" s="64" t="s" ph="1">
        <v>303</v>
      </c>
      <c r="AS83" s="64" t="s" ph="1">
        <v>449</v>
      </c>
      <c r="AT83" s="64" t="s" ph="1">
        <v>298</v>
      </c>
      <c r="AU83" s="64" t="s" ph="1">
        <v>303</v>
      </c>
      <c r="AV83" s="64" t="s" ph="1">
        <v>450</v>
      </c>
      <c r="AW83" s="64" t="s" ph="1">
        <v>347</v>
      </c>
      <c r="AX83" s="64" t="s" ph="1">
        <v>451</v>
      </c>
    </row>
    <row r="84" spans="34:52" ph="1">
      <c r="AH84" s="64" ph="1">
        <v>4</v>
      </c>
      <c r="AI84" s="64" t="s" ph="1">
        <v>330</v>
      </c>
      <c r="AJ84" s="64" t="s" ph="1">
        <v>270</v>
      </c>
      <c r="AK84" s="64" t="s" ph="1">
        <v>273</v>
      </c>
      <c r="AM84" s="64" t="s" ph="1">
        <v>274</v>
      </c>
      <c r="AN84" s="64" t="s" ph="1">
        <v>267</v>
      </c>
      <c r="AO84" s="64" t="s" ph="1">
        <v>303</v>
      </c>
      <c r="AP84" s="64" t="s" ph="1">
        <v>332</v>
      </c>
      <c r="AQ84" s="64" t="s" ph="1">
        <v>266</v>
      </c>
      <c r="AR84" s="64" t="s" ph="1">
        <v>303</v>
      </c>
      <c r="AS84" s="64" t="s" ph="1">
        <v>332</v>
      </c>
      <c r="AT84" s="64" t="s" ph="1">
        <v>268</v>
      </c>
      <c r="AU84" s="64" t="s" ph="1">
        <v>303</v>
      </c>
      <c r="AY84" s="64" t="s" ph="1">
        <v>260</v>
      </c>
      <c r="AZ84" s="64" t="s" ph="1">
        <v>452</v>
      </c>
    </row>
    <row r="85" spans="34:52" ph="1">
      <c r="AJ85" s="64" t="s" ph="1">
        <v>262</v>
      </c>
      <c r="AK85" s="64" t="s" ph="1">
        <v>266</v>
      </c>
      <c r="AM85" s="64" t="s" ph="1">
        <v>453</v>
      </c>
      <c r="AN85" s="64" t="s" ph="1">
        <v>273</v>
      </c>
      <c r="AO85" s="64" t="s" ph="1">
        <v>303</v>
      </c>
      <c r="AP85" s="64" t="s" ph="1">
        <v>454</v>
      </c>
      <c r="AQ85" s="64" t="s" ph="1">
        <v>269</v>
      </c>
      <c r="AR85" s="64" t="s" ph="1">
        <v>303</v>
      </c>
      <c r="AS85" s="64" t="s" ph="1">
        <v>455</v>
      </c>
      <c r="AT85" s="64" t="s" ph="1">
        <v>269</v>
      </c>
      <c r="AU85" s="64" t="s" ph="1">
        <v>303</v>
      </c>
    </row>
    <row r="86" spans="34:52" ph="1">
      <c r="AJ86" s="64" t="s" ph="1">
        <v>456</v>
      </c>
      <c r="AK86" s="64" t="s" ph="1">
        <v>275</v>
      </c>
      <c r="AM86" s="64" t="s" ph="1">
        <v>457</v>
      </c>
      <c r="AN86" s="64" t="s" ph="1">
        <v>316</v>
      </c>
      <c r="AO86" s="64" t="s" ph="1">
        <v>303</v>
      </c>
      <c r="AP86" s="64" t="s" ph="1">
        <v>458</v>
      </c>
      <c r="AQ86" s="64" t="s" ph="1">
        <v>263</v>
      </c>
      <c r="AR86" s="64" t="s" ph="1">
        <v>303</v>
      </c>
      <c r="AS86" s="64" t="s" ph="1">
        <v>459</v>
      </c>
      <c r="AT86" s="64" t="s" ph="1">
        <v>281</v>
      </c>
      <c r="AU86" s="64" t="s" ph="1">
        <v>303</v>
      </c>
    </row>
    <row r="87" spans="34:52" ph="1">
      <c r="AJ87" s="64" t="s" ph="1">
        <v>460</v>
      </c>
      <c r="AK87" s="64" t="s" ph="1">
        <v>316</v>
      </c>
      <c r="AM87" s="64" t="s" ph="1">
        <v>447</v>
      </c>
      <c r="AN87" s="64" t="s" ph="1">
        <v>461</v>
      </c>
      <c r="AO87" s="64" t="s" ph="1">
        <v>444</v>
      </c>
    </row>
    <row r="88" spans="34:52" ph="1">
      <c r="AH88" s="64" ph="1">
        <v>5</v>
      </c>
      <c r="AI88" s="64" t="s" ph="1">
        <v>333</v>
      </c>
      <c r="AJ88" s="64" t="s" ph="1">
        <v>462</v>
      </c>
      <c r="AK88" s="64" t="s" ph="1">
        <v>316</v>
      </c>
      <c r="AM88" s="64" t="s" ph="1">
        <v>463</v>
      </c>
      <c r="AN88" s="64" t="s" ph="1">
        <v>316</v>
      </c>
      <c r="AO88" s="64" t="s" ph="1">
        <v>303</v>
      </c>
      <c r="AP88" s="64" t="s" ph="1">
        <v>464</v>
      </c>
      <c r="AQ88" s="64" t="s" ph="1">
        <v>266</v>
      </c>
      <c r="AR88" s="64" t="s" ph="1">
        <v>303</v>
      </c>
      <c r="AS88" s="64" t="s" ph="1">
        <v>465</v>
      </c>
      <c r="AT88" s="64" t="s" ph="1">
        <v>316</v>
      </c>
      <c r="AU88" s="64" t="s" ph="1">
        <v>303</v>
      </c>
      <c r="AV88" s="64" t="s" ph="1">
        <v>466</v>
      </c>
      <c r="AW88" s="64" t="s" ph="1">
        <v>271</v>
      </c>
      <c r="AX88" s="64" t="s" ph="1">
        <v>303</v>
      </c>
      <c r="AY88" s="64" t="s" ph="1">
        <v>260</v>
      </c>
      <c r="AZ88" s="64" t="s" ph="1">
        <v>467</v>
      </c>
    </row>
    <row r="89" spans="34:52" ph="1">
      <c r="AJ89" s="64" t="s" ph="1">
        <v>468</v>
      </c>
      <c r="AK89" s="64" t="s" ph="1">
        <v>269</v>
      </c>
      <c r="AM89" s="64" t="s" ph="1">
        <v>469</v>
      </c>
      <c r="AN89" s="64" t="s" ph="1">
        <v>272</v>
      </c>
      <c r="AO89" s="64" t="s" ph="1">
        <v>303</v>
      </c>
      <c r="AP89" s="64" t="s" ph="1">
        <v>470</v>
      </c>
      <c r="AQ89" s="64" t="s" ph="1">
        <v>281</v>
      </c>
      <c r="AR89" s="64" t="s" ph="1">
        <v>303</v>
      </c>
      <c r="AS89" s="64" t="s" ph="1">
        <v>471</v>
      </c>
      <c r="AT89" s="64" t="s" ph="1">
        <v>316</v>
      </c>
      <c r="AU89" s="64" t="s" ph="1">
        <v>303</v>
      </c>
      <c r="AV89" s="64" t="s" ph="1">
        <v>472</v>
      </c>
      <c r="AW89" s="64" t="s" ph="1">
        <v>298</v>
      </c>
      <c r="AX89" s="64" t="s" ph="1">
        <v>331</v>
      </c>
    </row>
    <row r="90" spans="34:52" ph="1">
      <c r="AJ90" s="64" t="s" ph="1">
        <v>473</v>
      </c>
      <c r="AK90" s="64" t="s" ph="1">
        <v>272</v>
      </c>
      <c r="AM90" s="64" t="s" ph="1">
        <v>474</v>
      </c>
      <c r="AN90" s="64" t="s" ph="1">
        <v>269</v>
      </c>
      <c r="AO90" s="64" t="s" ph="1">
        <v>303</v>
      </c>
      <c r="AP90" s="64" t="s" ph="1">
        <v>475</v>
      </c>
      <c r="AQ90" s="64" t="s" ph="1">
        <v>338</v>
      </c>
      <c r="AR90" s="64" t="s" ph="1">
        <v>303</v>
      </c>
      <c r="AS90" s="64" t="s" ph="1">
        <v>476</v>
      </c>
      <c r="AT90" s="64" t="s" ph="1">
        <v>326</v>
      </c>
      <c r="AU90" s="64" t="s" ph="1">
        <v>303</v>
      </c>
      <c r="AV90" s="64" t="s" ph="1">
        <v>477</v>
      </c>
      <c r="AW90" s="64" t="s" ph="1">
        <v>263</v>
      </c>
      <c r="AX90" s="64" t="s" ph="1">
        <v>303</v>
      </c>
    </row>
    <row r="91" spans="34:52" ph="1">
      <c r="AJ91" s="64" t="s" ph="1">
        <v>478</v>
      </c>
      <c r="AK91" s="64" t="s" ph="1">
        <v>316</v>
      </c>
      <c r="AM91" s="64" t="s" ph="1">
        <v>479</v>
      </c>
      <c r="AN91" s="64" t="s" ph="1">
        <v>283</v>
      </c>
      <c r="AO91" s="64" t="s" ph="1">
        <v>303</v>
      </c>
      <c r="AP91" s="64" t="s" ph="1">
        <v>480</v>
      </c>
      <c r="AQ91" s="64" t="s" ph="1">
        <v>263</v>
      </c>
      <c r="AS91" s="64" t="s" ph="1">
        <v>447</v>
      </c>
      <c r="AT91" s="64" t="s" ph="1">
        <v>443</v>
      </c>
      <c r="AU91" s="64" t="s" ph="1">
        <v>444</v>
      </c>
    </row>
    <row r="92" spans="34:52" ph="1">
      <c r="AH92" s="64" ph="1">
        <v>6</v>
      </c>
      <c r="AI92" s="64" t="s" ph="1">
        <v>481</v>
      </c>
      <c r="AJ92" s="64" t="s" ph="1">
        <v>482</v>
      </c>
      <c r="AK92" s="64" t="s" ph="1">
        <v>411</v>
      </c>
      <c r="AM92" s="64" t="s" ph="1">
        <v>483</v>
      </c>
      <c r="AN92" s="64" t="s" ph="1">
        <v>271</v>
      </c>
      <c r="AO92" s="64" t="s" ph="1">
        <v>303</v>
      </c>
      <c r="AP92" s="64" t="s" ph="1">
        <v>484</v>
      </c>
      <c r="AQ92" s="64" t="s" ph="1">
        <v>343</v>
      </c>
      <c r="AR92" s="64" t="s" ph="1">
        <v>303</v>
      </c>
      <c r="AS92" s="64" t="s" ph="1">
        <v>485</v>
      </c>
      <c r="AT92" s="64" t="s" ph="1">
        <v>316</v>
      </c>
      <c r="AU92" s="64" t="s" ph="1">
        <v>303</v>
      </c>
      <c r="AV92" s="64" t="s" ph="1">
        <v>486</v>
      </c>
      <c r="AW92" s="64" t="s" ph="1">
        <v>272</v>
      </c>
      <c r="AX92" s="64" t="s" ph="1">
        <v>303</v>
      </c>
      <c r="AY92" s="64" t="s" ph="1">
        <v>260</v>
      </c>
      <c r="AZ92" s="64" t="s" ph="1">
        <v>467</v>
      </c>
    </row>
    <row r="93" spans="34:52" ph="1">
      <c r="AJ93" s="64" t="s" ph="1">
        <v>487</v>
      </c>
      <c r="AK93" s="64" t="s" ph="1">
        <v>266</v>
      </c>
      <c r="AM93" s="64" t="s" ph="1">
        <v>488</v>
      </c>
      <c r="AN93" s="64" t="s" ph="1">
        <v>271</v>
      </c>
      <c r="AO93" s="64" t="s" ph="1">
        <v>303</v>
      </c>
      <c r="AP93" s="64" t="s" ph="1">
        <v>489</v>
      </c>
      <c r="AQ93" s="64" t="s" ph="1">
        <v>275</v>
      </c>
      <c r="AR93" s="64" t="s" ph="1">
        <v>303</v>
      </c>
      <c r="AS93" s="64" t="s" ph="1">
        <v>490</v>
      </c>
      <c r="AT93" s="64" t="s" ph="1">
        <v>281</v>
      </c>
      <c r="AU93" s="64" t="s" ph="1">
        <v>303</v>
      </c>
      <c r="AV93" s="64" t="s" ph="1">
        <v>491</v>
      </c>
      <c r="AW93" s="64" t="s" ph="1">
        <v>275</v>
      </c>
      <c r="AX93" s="64" t="s" ph="1">
        <v>303</v>
      </c>
    </row>
    <row r="94" spans="34:52" ph="1">
      <c r="AJ94" s="64" t="s" ph="1">
        <v>492</v>
      </c>
      <c r="AK94" s="64" t="s" ph="1">
        <v>338</v>
      </c>
      <c r="AM94" s="64" t="s" ph="1">
        <v>493</v>
      </c>
      <c r="AN94" s="64" t="s" ph="1">
        <v>275</v>
      </c>
      <c r="AO94" s="64" t="s" ph="1">
        <v>303</v>
      </c>
      <c r="AP94" s="64" t="s" ph="1">
        <v>494</v>
      </c>
      <c r="AQ94" s="64" t="s" ph="1">
        <v>283</v>
      </c>
      <c r="AR94" s="64" t="s" ph="1">
        <v>303</v>
      </c>
      <c r="AS94" s="64" t="s" ph="1">
        <v>495</v>
      </c>
      <c r="AT94" s="64" t="s" ph="1">
        <v>269</v>
      </c>
      <c r="AU94" s="64" t="s" ph="1">
        <v>303</v>
      </c>
      <c r="AV94" s="64" t="s" ph="1">
        <v>496</v>
      </c>
      <c r="AW94" s="64" t="s" ph="1">
        <v>269</v>
      </c>
      <c r="AX94" s="64" t="s" ph="1">
        <v>303</v>
      </c>
    </row>
    <row r="95" spans="34:52" ph="1">
      <c r="AJ95" s="64" t="s" ph="1">
        <v>497</v>
      </c>
      <c r="AK95" s="64" t="s" ph="1">
        <v>343</v>
      </c>
    </row>
    <row r="96" spans="34:52" ph="1">
      <c r="AH96" s="64" ph="1">
        <v>7</v>
      </c>
      <c r="AI96" s="64" t="s" ph="1">
        <v>498</v>
      </c>
      <c r="AJ96" s="64" t="s" ph="1">
        <v>497</v>
      </c>
      <c r="AK96" s="64" t="s" ph="1">
        <v>298</v>
      </c>
      <c r="AM96" s="64" t="s" ph="1">
        <v>499</v>
      </c>
      <c r="AN96" s="64" t="s" ph="1">
        <v>272</v>
      </c>
      <c r="AO96" s="64" t="s" ph="1">
        <v>303</v>
      </c>
      <c r="AP96" s="64" t="s" ph="1">
        <v>500</v>
      </c>
      <c r="AQ96" s="64" t="s" ph="1">
        <v>316</v>
      </c>
      <c r="AR96" s="64" t="s" ph="1">
        <v>331</v>
      </c>
      <c r="AS96" s="64" t="s" ph="1">
        <v>501</v>
      </c>
      <c r="AT96" s="64" t="s" ph="1">
        <v>275</v>
      </c>
      <c r="AU96" s="64" t="s" ph="1">
        <v>331</v>
      </c>
      <c r="AV96" s="64" t="s" ph="1">
        <v>502</v>
      </c>
      <c r="AW96" s="64" t="s" ph="1">
        <v>271</v>
      </c>
      <c r="AX96" s="64" t="s" ph="1">
        <v>331</v>
      </c>
      <c r="AY96" s="64" t="s" ph="1">
        <v>260</v>
      </c>
      <c r="AZ96" s="64" t="s" ph="1">
        <v>503</v>
      </c>
    </row>
    <row r="97" spans="33:52" ph="1">
      <c r="AJ97" s="64" t="s" ph="1">
        <v>504</v>
      </c>
      <c r="AK97" s="64" t="s" ph="1">
        <v>326</v>
      </c>
      <c r="AM97" s="64" t="s" ph="1">
        <v>505</v>
      </c>
      <c r="AN97" s="64" t="s" ph="1">
        <v>269</v>
      </c>
      <c r="AO97" s="64" t="s" ph="1">
        <v>303</v>
      </c>
      <c r="AP97" s="64" t="s" ph="1">
        <v>506</v>
      </c>
      <c r="AQ97" s="64" t="s" ph="1">
        <v>263</v>
      </c>
      <c r="AR97" s="64" t="s" ph="1">
        <v>331</v>
      </c>
      <c r="AS97" s="64" t="s" ph="1">
        <v>507</v>
      </c>
      <c r="AT97" s="64" t="s" ph="1">
        <v>266</v>
      </c>
      <c r="AU97" s="64" t="s" ph="1">
        <v>331</v>
      </c>
      <c r="AV97" s="64" t="s" ph="1">
        <v>508</v>
      </c>
      <c r="AW97" s="64" t="s" ph="1">
        <v>272</v>
      </c>
      <c r="AX97" s="64" t="s" ph="1">
        <v>331</v>
      </c>
    </row>
    <row r="98" spans="33:52" ph="1">
      <c r="AJ98" s="64" t="s" ph="1">
        <v>509</v>
      </c>
      <c r="AK98" s="64" t="s" ph="1">
        <v>275</v>
      </c>
      <c r="AM98" s="64" t="s" ph="1">
        <v>510</v>
      </c>
      <c r="AN98" s="64" t="s" ph="1">
        <v>283</v>
      </c>
      <c r="AO98" s="64" t="s" ph="1">
        <v>303</v>
      </c>
      <c r="AP98" s="64" t="s" ph="1">
        <v>511</v>
      </c>
      <c r="AQ98" s="64" t="s" ph="1">
        <v>263</v>
      </c>
      <c r="AR98" s="64" t="s" ph="1">
        <v>331</v>
      </c>
      <c r="AS98" s="64" t="s" ph="1">
        <v>512</v>
      </c>
      <c r="AT98" s="64" t="s" ph="1">
        <v>343</v>
      </c>
      <c r="AU98" s="64" t="s" ph="1">
        <v>331</v>
      </c>
      <c r="AV98" s="64" t="s" ph="1">
        <v>513</v>
      </c>
      <c r="AW98" s="64" t="s" ph="1">
        <v>266</v>
      </c>
      <c r="AX98" s="64" t="s" ph="1">
        <v>331</v>
      </c>
    </row>
    <row r="99" spans="33:52" ph="1">
      <c r="AH99" s="64" ph="1">
        <v>8</v>
      </c>
      <c r="AI99" s="64" t="s" ph="1">
        <v>514</v>
      </c>
      <c r="AJ99" s="64" t="s" ph="1">
        <v>515</v>
      </c>
      <c r="AK99" s="64" t="s" ph="1">
        <v>411</v>
      </c>
      <c r="AM99" s="64" t="s" ph="1">
        <v>516</v>
      </c>
      <c r="AN99" s="64" t="s" ph="1">
        <v>298</v>
      </c>
      <c r="AO99" s="64" t="s" ph="1">
        <v>303</v>
      </c>
      <c r="AP99" s="64" t="s" ph="1">
        <v>517</v>
      </c>
      <c r="AQ99" s="64" t="s" ph="1">
        <v>268</v>
      </c>
      <c r="AR99" s="64" t="s" ph="1">
        <v>331</v>
      </c>
      <c r="AS99" s="64" t="s" ph="1">
        <v>518</v>
      </c>
      <c r="AT99" s="64" t="s" ph="1">
        <v>283</v>
      </c>
      <c r="AU99" s="64" t="s" ph="1">
        <v>331</v>
      </c>
      <c r="AV99" s="64" t="s" ph="1">
        <v>519</v>
      </c>
      <c r="AW99" s="64" t="s" ph="1">
        <v>268</v>
      </c>
      <c r="AX99" s="64" t="s" ph="1">
        <v>331</v>
      </c>
      <c r="AY99" s="64" t="s" ph="1">
        <v>260</v>
      </c>
      <c r="AZ99" s="64" t="s" ph="1">
        <v>520</v>
      </c>
    </row>
    <row r="100" spans="33:52" ph="1">
      <c r="AJ100" s="64" t="s" ph="1">
        <v>521</v>
      </c>
      <c r="AK100" s="64" t="s" ph="1">
        <v>266</v>
      </c>
      <c r="AM100" s="64" t="s" ph="1">
        <v>522</v>
      </c>
      <c r="AN100" s="64" t="s" ph="1">
        <v>338</v>
      </c>
      <c r="AO100" s="64" t="s" ph="1">
        <v>303</v>
      </c>
      <c r="AP100" s="64" t="s" ph="1">
        <v>523</v>
      </c>
      <c r="AQ100" s="64" t="s" ph="1">
        <v>344</v>
      </c>
      <c r="AR100" s="64" t="s" ph="1">
        <v>331</v>
      </c>
      <c r="AS100" s="64" t="s" ph="1">
        <v>524</v>
      </c>
      <c r="AT100" s="64" t="s" ph="1">
        <v>411</v>
      </c>
      <c r="AU100" s="64" t="s" ph="1">
        <v>303</v>
      </c>
      <c r="AV100" s="64" t="s" ph="1">
        <v>525</v>
      </c>
      <c r="AW100" s="64" t="s" ph="1">
        <v>411</v>
      </c>
      <c r="AX100" s="64" t="s" ph="1">
        <v>303</v>
      </c>
    </row>
    <row r="101" spans="33:52" ph="1">
      <c r="AJ101" s="64" t="s" ph="1">
        <v>526</v>
      </c>
      <c r="AK101" s="64" t="s" ph="1">
        <v>411</v>
      </c>
      <c r="AM101" s="64" t="s" ph="1">
        <v>527</v>
      </c>
      <c r="AN101" s="64" t="s" ph="1">
        <v>269</v>
      </c>
      <c r="AO101" s="64" t="s" ph="1">
        <v>303</v>
      </c>
      <c r="AP101" s="64" t="s" ph="1">
        <v>528</v>
      </c>
      <c r="AQ101" s="64" t="s" ph="1">
        <v>281</v>
      </c>
      <c r="AR101" s="64" t="s" ph="1">
        <v>331</v>
      </c>
      <c r="AS101" s="64" t="s" ph="1">
        <v>529</v>
      </c>
      <c r="AT101" s="64" t="s" ph="1">
        <v>338</v>
      </c>
      <c r="AU101" s="64" t="s" ph="1">
        <v>331</v>
      </c>
      <c r="AV101" s="64" t="s" ph="1">
        <v>530</v>
      </c>
      <c r="AW101" s="64" t="s" ph="1">
        <v>269</v>
      </c>
      <c r="AX101" s="64" t="s" ph="1">
        <v>303</v>
      </c>
    </row>
    <row r="102" spans="33:52" ph="1">
      <c r="AJ102" s="64" t="s" ph="1">
        <v>531</v>
      </c>
      <c r="AK102" s="64" t="s" ph="1">
        <v>266</v>
      </c>
      <c r="AM102" s="64" t="s" ph="1">
        <v>532</v>
      </c>
      <c r="AN102" s="64" t="s" ph="1">
        <v>275</v>
      </c>
      <c r="AO102" s="64" t="s" ph="1">
        <v>303</v>
      </c>
      <c r="AP102" s="64" t="s" ph="1">
        <v>533</v>
      </c>
      <c r="AQ102" s="64" t="s" ph="1">
        <v>281</v>
      </c>
      <c r="AR102" s="64" t="s" ph="1">
        <v>303</v>
      </c>
      <c r="AS102" s="64" t="s" ph="1">
        <v>534</v>
      </c>
      <c r="AT102" s="64" t="s" ph="1">
        <v>298</v>
      </c>
      <c r="AU102" s="64" t="s" ph="1">
        <v>303</v>
      </c>
      <c r="AV102" s="64" t="s" ph="1">
        <v>535</v>
      </c>
      <c r="AW102" s="64" t="s" ph="1">
        <v>316</v>
      </c>
      <c r="AX102" s="64" t="s" ph="1">
        <v>303</v>
      </c>
    </row>
    <row r="103" spans="33:52" ph="1">
      <c r="AH103" s="64" ph="1">
        <v>9</v>
      </c>
      <c r="AI103" s="64" t="s" ph="1">
        <v>536</v>
      </c>
      <c r="AJ103" s="64" t="s" ph="1">
        <v>537</v>
      </c>
      <c r="AK103" s="64" t="s" ph="1">
        <v>411</v>
      </c>
      <c r="AM103" s="64" t="s" ph="1">
        <v>538</v>
      </c>
      <c r="AN103" s="64" t="s" ph="1">
        <v>326</v>
      </c>
      <c r="AO103" s="64" t="s" ph="1">
        <v>303</v>
      </c>
      <c r="AP103" s="64" t="s" ph="1">
        <v>380</v>
      </c>
      <c r="AQ103" s="64" t="s" ph="1">
        <v>269</v>
      </c>
      <c r="AR103" s="64" t="s" ph="1">
        <v>303</v>
      </c>
      <c r="AS103" s="64" t="s" ph="1">
        <v>614</v>
      </c>
      <c r="AT103" s="64" t="s" ph="1">
        <v>411</v>
      </c>
      <c r="AU103" s="64" t="s" ph="1">
        <v>303</v>
      </c>
      <c r="AY103" s="64" t="s" ph="1">
        <v>260</v>
      </c>
      <c r="AZ103" s="64" t="s" ph="1">
        <v>268</v>
      </c>
    </row>
    <row r="104" spans="33:52" ph="1">
      <c r="AZ104" s="64" t="s" ph="1">
        <v>539</v>
      </c>
    </row>
    <row r="105" spans="33:52" ph="1">
      <c r="AG105" s="64" t="s" ph="1">
        <v>339</v>
      </c>
      <c r="AI105" s="64" t="s" ph="1">
        <v>253</v>
      </c>
      <c r="AJ105" s="64" t="s" ph="1">
        <v>254</v>
      </c>
      <c r="AK105" s="64" t="s" ph="1">
        <v>255</v>
      </c>
      <c r="AM105" s="64" t="s" ph="1">
        <v>254</v>
      </c>
      <c r="AN105" s="64" t="s" ph="1">
        <v>255</v>
      </c>
      <c r="AO105" s="64" t="s" ph="1">
        <v>256</v>
      </c>
      <c r="AP105" s="64" t="s" ph="1">
        <v>254</v>
      </c>
      <c r="AQ105" s="64" t="s" ph="1">
        <v>255</v>
      </c>
      <c r="AR105" s="64" t="s" ph="1">
        <v>256</v>
      </c>
      <c r="AS105" s="64" t="s" ph="1">
        <v>254</v>
      </c>
      <c r="AT105" s="64" t="s" ph="1">
        <v>255</v>
      </c>
      <c r="AU105" s="64" t="s" ph="1">
        <v>256</v>
      </c>
      <c r="AV105" s="64" t="s" ph="1">
        <v>254</v>
      </c>
      <c r="AW105" s="64" t="s" ph="1">
        <v>255</v>
      </c>
      <c r="AX105" s="64" t="s" ph="1">
        <v>256</v>
      </c>
      <c r="AZ105" s="64" t="s" ph="1">
        <v>257</v>
      </c>
    </row>
    <row r="106" spans="33:52" ph="1">
      <c r="AH106" s="64" ph="1">
        <v>1</v>
      </c>
      <c r="AI106" s="64" t="s" ph="1">
        <v>540</v>
      </c>
      <c r="AJ106" s="64" t="s" ph="1">
        <v>614</v>
      </c>
      <c r="AK106" s="64" t="s" ph="1">
        <v>275</v>
      </c>
      <c r="AZ106" s="64" t="s" ph="1">
        <v>275</v>
      </c>
    </row>
    <row r="107" spans="33:52" ph="1">
      <c r="AH107" s="64" ph="1">
        <v>2</v>
      </c>
      <c r="AI107" s="64" t="s" ph="1">
        <v>541</v>
      </c>
      <c r="AJ107" s="64" t="s" ph="1">
        <v>542</v>
      </c>
      <c r="AK107" s="64" t="s" ph="1">
        <v>272</v>
      </c>
      <c r="AM107" s="64" t="s" ph="1">
        <v>378</v>
      </c>
      <c r="AN107" s="64" t="s" ph="1">
        <v>543</v>
      </c>
      <c r="AO107" s="64" t="s" ph="1">
        <v>544</v>
      </c>
      <c r="AP107" s="64" t="s" ph="1">
        <v>380</v>
      </c>
      <c r="AQ107" s="64" t="s" ph="1">
        <v>348</v>
      </c>
      <c r="AR107" s="64" t="s" ph="1">
        <v>544</v>
      </c>
      <c r="AS107" s="64" t="s" ph="1">
        <v>614</v>
      </c>
      <c r="AT107" s="64" t="s" ph="1">
        <v>543</v>
      </c>
      <c r="AU107" s="64" t="s" ph="1">
        <v>544</v>
      </c>
      <c r="AY107" s="64" t="s" ph="1">
        <v>260</v>
      </c>
      <c r="AZ107" s="64" t="s" ph="1">
        <v>624</v>
      </c>
    </row>
    <row r="108" spans="33:52" ph="1">
      <c r="AH108" s="64" ph="1">
        <v>3</v>
      </c>
      <c r="AI108" s="64" t="s" ph="1">
        <v>545</v>
      </c>
      <c r="AY108" s="64" t="s" ph="1">
        <v>260</v>
      </c>
      <c r="AZ108" s="64" t="s" ph="1">
        <v>411</v>
      </c>
    </row>
    <row r="109" spans="33:52" ph="1">
      <c r="AH109" s="64" ph="1">
        <v>4</v>
      </c>
      <c r="AI109" s="64" t="s" ph="1">
        <v>546</v>
      </c>
      <c r="AY109" s="64" t="s" ph="1">
        <v>260</v>
      </c>
      <c r="AZ109" s="64" t="s" ph="1">
        <v>411</v>
      </c>
    </row>
    <row r="110" spans="33:52" ph="1">
      <c r="AH110" s="64" ph="1">
        <v>5</v>
      </c>
      <c r="AI110" s="64" t="s" ph="1">
        <v>547</v>
      </c>
      <c r="AY110" s="64" t="s" ph="1">
        <v>260</v>
      </c>
      <c r="AZ110" s="64" t="s" ph="1">
        <v>411</v>
      </c>
    </row>
    <row r="111" spans="33:52" ph="1">
      <c r="AH111" s="64" ph="1">
        <v>6</v>
      </c>
      <c r="AI111" s="64" t="s" ph="1">
        <v>625</v>
      </c>
      <c r="AJ111" s="64" t="s" ph="1">
        <v>530</v>
      </c>
      <c r="AK111" s="64" t="s" ph="1">
        <v>269</v>
      </c>
      <c r="AM111" s="64" t="s" ph="1">
        <v>531</v>
      </c>
      <c r="AN111" s="64" t="s" ph="1">
        <v>263</v>
      </c>
      <c r="AO111" s="64" t="s" ph="1">
        <v>544</v>
      </c>
      <c r="AP111" s="64" t="s" ph="1">
        <v>532</v>
      </c>
      <c r="AQ111" s="64" t="s" ph="1">
        <v>272</v>
      </c>
      <c r="AR111" s="64" t="s" ph="1">
        <v>544</v>
      </c>
      <c r="AS111" s="64" t="s" ph="1">
        <v>533</v>
      </c>
      <c r="AT111" s="64" t="s" ph="1">
        <v>281</v>
      </c>
      <c r="AU111" s="64" t="s" ph="1">
        <v>544</v>
      </c>
      <c r="AV111" s="64" t="s" ph="1">
        <v>534</v>
      </c>
      <c r="AW111" s="64" t="s" ph="1">
        <v>271</v>
      </c>
      <c r="AX111" s="64" t="s" ph="1">
        <v>544</v>
      </c>
      <c r="AY111" s="64" t="s" ph="1">
        <v>260</v>
      </c>
      <c r="AZ111" s="64" t="s" ph="1">
        <v>548</v>
      </c>
    </row>
    <row r="112" spans="33:52" ph="1">
      <c r="AJ112" s="64" t="s" ph="1">
        <v>535</v>
      </c>
      <c r="AK112" s="64" t="s" ph="1">
        <v>316</v>
      </c>
      <c r="AM112" s="64" t="s" ph="1">
        <v>537</v>
      </c>
      <c r="AN112" s="64" t="s" ph="1">
        <v>340</v>
      </c>
      <c r="AO112" s="64" t="s" ph="1">
        <v>544</v>
      </c>
      <c r="AP112" s="64" t="s" ph="1">
        <v>538</v>
      </c>
      <c r="AQ112" s="64" t="s" ph="1">
        <v>549</v>
      </c>
      <c r="AR112" s="64" t="s" ph="1">
        <v>544</v>
      </c>
      <c r="AS112" s="64" t="s" ph="1">
        <v>550</v>
      </c>
      <c r="AT112" s="64" t="s" ph="1">
        <v>292</v>
      </c>
      <c r="AU112" s="64" t="s" ph="1">
        <v>544</v>
      </c>
      <c r="AV112" s="64" t="s" ph="1">
        <v>551</v>
      </c>
      <c r="AW112" s="64" t="s" ph="1">
        <v>338</v>
      </c>
      <c r="AX112" s="64" t="s" ph="1">
        <v>544</v>
      </c>
    </row>
    <row r="113" spans="33:52" ph="1">
      <c r="AH113" s="64" ph="1">
        <v>7</v>
      </c>
      <c r="AI113" s="64" t="s" ph="1">
        <v>552</v>
      </c>
      <c r="AJ113" s="64" t="s" ph="1">
        <v>633</v>
      </c>
      <c r="AK113" s="64" t="s" ph="1">
        <v>638</v>
      </c>
      <c r="AY113" s="64" t="s" ph="1">
        <v>260</v>
      </c>
      <c r="AZ113" s="64" t="s" ph="1">
        <v>638</v>
      </c>
    </row>
    <row r="114" spans="33:52" ph="1">
      <c r="AH114" s="64" ph="1">
        <v>8</v>
      </c>
      <c r="AI114" s="64" t="s" ph="1">
        <v>553</v>
      </c>
      <c r="AJ114" s="64" t="s" ph="1">
        <v>633</v>
      </c>
      <c r="AK114" s="64" t="s" ph="1">
        <v>639</v>
      </c>
      <c r="AY114" s="64" t="s" ph="1">
        <v>260</v>
      </c>
      <c r="AZ114" s="64" t="s" ph="1">
        <v>639</v>
      </c>
    </row>
    <row r="115" spans="33:52" ph="1">
      <c r="AH115" s="64" ph="1">
        <v>9</v>
      </c>
      <c r="AI115" s="64" t="s" ph="1">
        <v>554</v>
      </c>
      <c r="AJ115" s="64" t="s" ph="1">
        <v>633</v>
      </c>
      <c r="AK115" s="64" t="s" ph="1">
        <v>639</v>
      </c>
      <c r="AY115" s="64" t="s" ph="1">
        <v>260</v>
      </c>
      <c r="AZ115" s="64" t="s" ph="1">
        <v>639</v>
      </c>
    </row>
    <row r="116" spans="33:52" ph="1">
      <c r="AH116" s="64" ph="1">
        <v>10</v>
      </c>
      <c r="AI116" s="64" t="s" ph="1">
        <v>555</v>
      </c>
      <c r="AJ116" s="64" t="s" ph="1">
        <v>633</v>
      </c>
      <c r="AK116" s="64" t="s" ph="1">
        <v>639</v>
      </c>
      <c r="AY116" s="64" t="s" ph="1">
        <v>260</v>
      </c>
      <c r="AZ116" s="64" t="s" ph="1">
        <v>639</v>
      </c>
    </row>
    <row r="117" spans="33:52" ph="1">
      <c r="AH117" s="64" ph="1">
        <v>11</v>
      </c>
      <c r="AI117" s="64" t="s" ph="1">
        <v>556</v>
      </c>
      <c r="AJ117" s="64" t="s" ph="1">
        <v>633</v>
      </c>
      <c r="AK117" s="64" t="s" ph="1">
        <v>639</v>
      </c>
      <c r="AY117" s="64" t="s" ph="1">
        <v>260</v>
      </c>
      <c r="AZ117" s="64" t="s" ph="1">
        <v>639</v>
      </c>
    </row>
    <row r="118" spans="33:52" ph="1">
      <c r="AZ118" s="64" t="s" ph="1">
        <v>640</v>
      </c>
    </row>
    <row r="119" spans="33:52" ph="1">
      <c r="AI119" s="64" t="s" ph="1">
        <v>253</v>
      </c>
      <c r="AJ119" s="64" t="s" ph="1">
        <v>254</v>
      </c>
      <c r="AK119" s="64" t="s" ph="1">
        <v>255</v>
      </c>
      <c r="AM119" s="64" t="s" ph="1">
        <v>254</v>
      </c>
      <c r="AN119" s="64" t="s" ph="1">
        <v>255</v>
      </c>
      <c r="AO119" s="64" t="s" ph="1">
        <v>256</v>
      </c>
      <c r="AP119" s="64" t="s" ph="1">
        <v>254</v>
      </c>
      <c r="AQ119" s="64" t="s" ph="1">
        <v>255</v>
      </c>
      <c r="AR119" s="64" t="s" ph="1">
        <v>256</v>
      </c>
      <c r="AS119" s="64" t="s" ph="1">
        <v>254</v>
      </c>
      <c r="AT119" s="64" t="s" ph="1">
        <v>255</v>
      </c>
      <c r="AU119" s="64" t="s" ph="1">
        <v>256</v>
      </c>
      <c r="AV119" s="64" t="s" ph="1">
        <v>254</v>
      </c>
      <c r="AW119" s="64" t="s" ph="1">
        <v>255</v>
      </c>
      <c r="AX119" s="64" t="s" ph="1">
        <v>256</v>
      </c>
      <c r="AY119" s="64" t="s" ph="1">
        <v>255</v>
      </c>
      <c r="AZ119" s="64" t="s" ph="1">
        <v>257</v>
      </c>
    </row>
    <row r="120" spans="33:52" ph="1">
      <c r="AG120" s="64" t="s" ph="1">
        <v>397</v>
      </c>
      <c r="AH120" s="64" ph="1">
        <v>1</v>
      </c>
      <c r="AI120" s="64" t="s" ph="1">
        <v>557</v>
      </c>
      <c r="AJ120" s="64" t="s" ph="1">
        <v>631</v>
      </c>
      <c r="AK120" s="64" t="s" ph="1">
        <v>411</v>
      </c>
      <c r="AY120" s="64" t="s" ph="1">
        <v>260</v>
      </c>
      <c r="AZ120" s="64" t="s" ph="1">
        <v>411</v>
      </c>
    </row>
    <row r="121" spans="33:52" ph="1">
      <c r="AH121" s="64" ph="1">
        <v>2</v>
      </c>
      <c r="AI121" s="64" t="s" ph="1">
        <v>558</v>
      </c>
      <c r="AY121" s="64" t="s" ph="1">
        <v>260</v>
      </c>
      <c r="AZ121" s="64" t="s" ph="1">
        <v>411</v>
      </c>
    </row>
    <row r="122" spans="33:52" ph="1">
      <c r="AH122" s="64" ph="1">
        <v>3</v>
      </c>
      <c r="AI122" s="64" t="s" ph="1">
        <v>559</v>
      </c>
      <c r="AJ122" s="64" t="s" ph="1">
        <v>614</v>
      </c>
      <c r="AK122" s="64" t="s" ph="1">
        <v>626</v>
      </c>
      <c r="AM122" s="64" t="s" ph="1">
        <v>641</v>
      </c>
      <c r="AN122" s="64" t="s" ph="1">
        <v>634</v>
      </c>
      <c r="AO122" s="64" t="s" ph="1">
        <v>109</v>
      </c>
      <c r="AY122" s="64" t="s" ph="1">
        <v>260</v>
      </c>
      <c r="AZ122" s="64" t="s" ph="1">
        <v>623</v>
      </c>
    </row>
    <row r="123" spans="33:52" ph="1">
      <c r="AY123" s="64" t="s" ph="1">
        <v>260</v>
      </c>
      <c r="AZ123" s="64" t="s" ph="1">
        <v>623</v>
      </c>
    </row>
    <row r="124" spans="33:52" ph="1">
      <c r="AG124" s="64" t="s" ph="1">
        <v>400</v>
      </c>
      <c r="AH124" s="64" ph="1">
        <v>4</v>
      </c>
      <c r="AI124" s="64" t="s" ph="1">
        <v>560</v>
      </c>
      <c r="AJ124" s="64" t="s" ph="1">
        <v>561</v>
      </c>
      <c r="AK124" s="64" t="s" ph="1">
        <v>562</v>
      </c>
      <c r="AY124" s="64" t="s" ph="1">
        <v>260</v>
      </c>
      <c r="AZ124" s="64" t="s" ph="1">
        <v>562</v>
      </c>
    </row>
    <row r="125" spans="33:52" ph="1">
      <c r="AH125" s="64" ph="1">
        <v>5</v>
      </c>
      <c r="AI125" s="64" t="s" ph="1">
        <v>563</v>
      </c>
      <c r="AJ125" s="64" t="s" ph="1">
        <v>561</v>
      </c>
      <c r="AK125" s="64" t="s" ph="1">
        <v>562</v>
      </c>
      <c r="AY125" s="64" t="s" ph="1">
        <v>260</v>
      </c>
      <c r="AZ125" s="64" t="s" ph="1">
        <v>562</v>
      </c>
    </row>
    <row r="126" spans="33:52" ph="1">
      <c r="AH126" s="64" ph="1">
        <v>6</v>
      </c>
      <c r="AI126" s="64" t="s" ph="1">
        <v>564</v>
      </c>
      <c r="AJ126" s="64" t="s" ph="1">
        <v>633</v>
      </c>
      <c r="AK126" s="64" t="s" ph="1">
        <v>642</v>
      </c>
      <c r="AY126" s="64" t="s" ph="1">
        <v>260</v>
      </c>
      <c r="AZ126" s="64" t="s" ph="1">
        <v>642</v>
      </c>
    </row>
    <row r="127" spans="33:52" ph="1">
      <c r="AH127" s="64" ph="1">
        <v>7</v>
      </c>
      <c r="AI127" s="64" t="s" ph="1">
        <v>565</v>
      </c>
      <c r="AJ127" s="64" t="s" ph="1">
        <v>633</v>
      </c>
      <c r="AK127" s="64" t="s" ph="1">
        <v>643</v>
      </c>
      <c r="AY127" s="64" t="s" ph="1">
        <v>260</v>
      </c>
      <c r="AZ127" s="64" t="s" ph="1">
        <v>643</v>
      </c>
    </row>
    <row r="128" spans="33:52" ph="1">
      <c r="AH128" s="64" ph="1">
        <v>8</v>
      </c>
      <c r="AI128" s="64" t="s" ph="1">
        <v>566</v>
      </c>
      <c r="AY128" s="64" t="s" ph="1">
        <v>260</v>
      </c>
      <c r="AZ128" s="64" t="s" ph="1">
        <v>411</v>
      </c>
    </row>
    <row r="129" spans="33:52" ph="1">
      <c r="AH129" s="64" ph="1">
        <v>9</v>
      </c>
      <c r="AI129" s="64" t="s" ph="1">
        <v>567</v>
      </c>
      <c r="AY129" s="64" t="s" ph="1">
        <v>260</v>
      </c>
      <c r="AZ129" s="64" t="s" ph="1">
        <v>411</v>
      </c>
    </row>
    <row r="130" spans="33:52" ph="1">
      <c r="AH130" s="64" ph="1">
        <v>10</v>
      </c>
      <c r="AI130" s="64" t="s" ph="1">
        <v>568</v>
      </c>
      <c r="AY130" s="64" t="s" ph="1">
        <v>260</v>
      </c>
      <c r="AZ130" s="64" t="s" ph="1">
        <v>411</v>
      </c>
    </row>
    <row r="131" spans="33:52" ph="1">
      <c r="AH131" s="64" ph="1">
        <v>11</v>
      </c>
      <c r="AI131" s="64" t="s" ph="1">
        <v>569</v>
      </c>
      <c r="AJ131" s="64" t="s" ph="1">
        <v>627</v>
      </c>
      <c r="AK131" s="64" t="s" ph="1">
        <v>623</v>
      </c>
      <c r="AY131" s="64" t="s" ph="1">
        <v>260</v>
      </c>
      <c r="AZ131" s="64" t="s" ph="1">
        <v>623</v>
      </c>
    </row>
    <row r="132" spans="33:52" ph="1">
      <c r="AH132" s="64" ph="1">
        <v>12</v>
      </c>
      <c r="AI132" s="64" t="s" ph="1">
        <v>570</v>
      </c>
      <c r="AJ132" s="64" t="s" ph="1">
        <v>627</v>
      </c>
      <c r="AK132" s="64" t="s" ph="1">
        <v>562</v>
      </c>
      <c r="AY132" s="64" t="s" ph="1">
        <v>260</v>
      </c>
      <c r="AZ132" s="64" t="s" ph="1">
        <v>562</v>
      </c>
    </row>
    <row r="133" spans="33:52" ph="1">
      <c r="AH133" s="64" ph="1">
        <v>13</v>
      </c>
      <c r="AI133" s="64" t="s" ph="1">
        <v>571</v>
      </c>
      <c r="AJ133" s="64" t="s" ph="1">
        <v>627</v>
      </c>
      <c r="AK133" s="64" t="s" ph="1">
        <v>628</v>
      </c>
      <c r="AY133" s="64" t="s" ph="1">
        <v>260</v>
      </c>
      <c r="AZ133" s="64" t="s" ph="1">
        <v>628</v>
      </c>
    </row>
    <row r="134" spans="33:52" ph="1">
      <c r="AH134" s="64" ph="1">
        <v>14</v>
      </c>
      <c r="AI134" s="64" t="s" ph="1">
        <v>572</v>
      </c>
      <c r="AJ134" s="64" t="s" ph="1">
        <v>627</v>
      </c>
      <c r="AK134" s="64" t="s" ph="1">
        <v>629</v>
      </c>
      <c r="AY134" s="64" t="s" ph="1">
        <v>260</v>
      </c>
      <c r="AZ134" s="64" t="s" ph="1">
        <v>629</v>
      </c>
    </row>
    <row r="135" spans="33:52" ph="1">
      <c r="AH135" s="64" ph="1">
        <v>15</v>
      </c>
      <c r="AI135" s="64" t="s" ph="1">
        <v>573</v>
      </c>
      <c r="AJ135" s="64" t="s" ph="1">
        <v>627</v>
      </c>
      <c r="AK135" s="64" t="s" ph="1">
        <v>630</v>
      </c>
      <c r="AY135" s="64" t="s" ph="1">
        <v>260</v>
      </c>
      <c r="AZ135" s="64" t="s" ph="1">
        <v>630</v>
      </c>
    </row>
    <row r="136" spans="33:52" ph="1">
      <c r="AZ136" s="64" t="s" ph="1">
        <v>644</v>
      </c>
    </row>
    <row r="137" spans="33:52" ph="1">
      <c r="AG137" s="64" t="s" ph="1">
        <v>334</v>
      </c>
      <c r="AI137" s="64" t="s" ph="1">
        <v>253</v>
      </c>
      <c r="AJ137" s="64" t="s" ph="1">
        <v>254</v>
      </c>
      <c r="AK137" s="64" t="s" ph="1">
        <v>255</v>
      </c>
      <c r="AM137" s="64" t="s" ph="1">
        <v>254</v>
      </c>
      <c r="AN137" s="64" t="s" ph="1">
        <v>255</v>
      </c>
      <c r="AO137" s="64" t="s" ph="1">
        <v>256</v>
      </c>
      <c r="AP137" s="64" t="s" ph="1">
        <v>254</v>
      </c>
      <c r="AQ137" s="64" t="s" ph="1">
        <v>255</v>
      </c>
      <c r="AR137" s="64" t="s" ph="1">
        <v>256</v>
      </c>
      <c r="AS137" s="64" t="s" ph="1">
        <v>254</v>
      </c>
      <c r="AT137" s="64" t="s" ph="1">
        <v>255</v>
      </c>
      <c r="AU137" s="64" t="s" ph="1">
        <v>256</v>
      </c>
      <c r="AV137" s="64" t="s" ph="1">
        <v>254</v>
      </c>
      <c r="AW137" s="64" t="s" ph="1">
        <v>255</v>
      </c>
      <c r="AX137" s="64" t="s" ph="1">
        <v>256</v>
      </c>
      <c r="AY137" s="64" t="s" ph="1">
        <v>255</v>
      </c>
      <c r="AZ137" s="64" t="s" ph="1">
        <v>257</v>
      </c>
    </row>
    <row r="138" spans="33:52" ph="1">
      <c r="AH138" s="64" ph="1">
        <v>1</v>
      </c>
      <c r="AI138" s="64" t="s" ph="1">
        <v>574</v>
      </c>
      <c r="AJ138" s="64" t="s" ph="1">
        <v>575</v>
      </c>
      <c r="AK138" s="64" t="s" ph="1">
        <v>576</v>
      </c>
      <c r="AY138" s="64" t="s" ph="1">
        <v>260</v>
      </c>
      <c r="AZ138" s="64" t="s" ph="1">
        <v>576</v>
      </c>
    </row>
    <row r="139" spans="33:52" ph="1">
      <c r="AH139" s="64" ph="1">
        <v>2</v>
      </c>
      <c r="AI139" s="64" t="s" ph="1">
        <v>577</v>
      </c>
      <c r="AJ139" s="64" t="s" ph="1">
        <v>633</v>
      </c>
      <c r="AK139" s="64" t="s" ph="1">
        <v>645</v>
      </c>
      <c r="AY139" s="64" t="s" ph="1">
        <v>260</v>
      </c>
      <c r="AZ139" s="64" t="s" ph="1">
        <v>645</v>
      </c>
    </row>
    <row r="140" spans="33:52" ph="1">
      <c r="AH140" s="64" ph="1">
        <v>3</v>
      </c>
      <c r="AI140" s="64" t="s" ph="1">
        <v>578</v>
      </c>
      <c r="AJ140" s="64" t="s" ph="1">
        <v>531</v>
      </c>
      <c r="AK140" s="64" t="s" ph="1">
        <v>343</v>
      </c>
      <c r="AM140" s="64" t="s" ph="1">
        <v>532</v>
      </c>
      <c r="AN140" s="64" t="s" ph="1">
        <v>263</v>
      </c>
      <c r="AO140" s="64" t="s" ph="1">
        <v>579</v>
      </c>
      <c r="AP140" s="64" t="s" ph="1">
        <v>533</v>
      </c>
      <c r="AQ140" s="64" t="s" ph="1">
        <v>280</v>
      </c>
      <c r="AR140" s="64" t="s" ph="1">
        <v>579</v>
      </c>
      <c r="AS140" s="64" t="s" ph="1">
        <v>534</v>
      </c>
      <c r="AT140" s="64" t="s" ph="1">
        <v>273</v>
      </c>
      <c r="AU140" s="64" t="s" ph="1">
        <v>579</v>
      </c>
      <c r="AV140" s="64" t="s" ph="1">
        <v>535</v>
      </c>
      <c r="AW140" s="64" t="s" ph="1">
        <v>266</v>
      </c>
      <c r="AX140" s="64" t="s" ph="1">
        <v>579</v>
      </c>
      <c r="AY140" s="64" t="s" ph="1">
        <v>260</v>
      </c>
      <c r="AZ140" s="64" t="s" ph="1">
        <v>335</v>
      </c>
    </row>
    <row r="141" spans="33:52" ph="1">
      <c r="AJ141" s="64" t="s" ph="1">
        <v>537</v>
      </c>
      <c r="AK141" s="64" t="s" ph="1">
        <v>266</v>
      </c>
      <c r="AM141" s="64" t="s" ph="1">
        <v>538</v>
      </c>
      <c r="AN141" s="64" t="s" ph="1">
        <v>269</v>
      </c>
      <c r="AO141" s="64" t="s" ph="1">
        <v>579</v>
      </c>
      <c r="AP141" s="64" t="s" ph="1">
        <v>550</v>
      </c>
      <c r="AQ141" s="64" t="s" ph="1">
        <v>338</v>
      </c>
      <c r="AR141" s="64" t="s" ph="1">
        <v>579</v>
      </c>
      <c r="AS141" s="64" t="s" ph="1">
        <v>542</v>
      </c>
      <c r="AT141" s="64" t="s" ph="1">
        <v>266</v>
      </c>
      <c r="AU141" s="64" t="s" ph="1">
        <v>579</v>
      </c>
      <c r="AV141" s="64" t="s" ph="1">
        <v>378</v>
      </c>
      <c r="AW141" s="64" t="s" ph="1">
        <v>272</v>
      </c>
      <c r="AX141" s="64" t="s" ph="1">
        <v>579</v>
      </c>
    </row>
    <row r="142" spans="33:52" ph="1">
      <c r="AJ142" s="64" t="s" ph="1">
        <v>580</v>
      </c>
      <c r="AK142" s="64" t="s" ph="1">
        <v>283</v>
      </c>
    </row>
    <row r="143" spans="33:52" ph="1">
      <c r="AH143" s="64" ph="1">
        <v>4</v>
      </c>
      <c r="AI143" s="64" t="s" ph="1">
        <v>581</v>
      </c>
      <c r="AJ143" s="64" t="s" ph="1">
        <v>561</v>
      </c>
      <c r="AK143" s="64" t="s" ph="1">
        <v>582</v>
      </c>
      <c r="AY143" s="64" t="s" ph="1">
        <v>260</v>
      </c>
      <c r="AZ143" s="64" t="s" ph="1">
        <v>582</v>
      </c>
    </row>
    <row r="144" spans="33:52" ph="1">
      <c r="AH144" s="64" ph="1">
        <v>5</v>
      </c>
      <c r="AI144" s="64" t="s" ph="1">
        <v>583</v>
      </c>
      <c r="AY144" s="64" t="s" ph="1">
        <v>260</v>
      </c>
      <c r="AZ144" s="64" t="s" ph="1">
        <v>411</v>
      </c>
    </row>
    <row r="145" spans="33:52" ph="1">
      <c r="AH145" s="64" ph="1">
        <v>6</v>
      </c>
      <c r="AI145" s="64" t="s" ph="1">
        <v>584</v>
      </c>
      <c r="AY145" s="64" t="s" ph="1">
        <v>260</v>
      </c>
      <c r="AZ145" s="64" t="s" ph="1">
        <v>411</v>
      </c>
    </row>
    <row r="146" spans="33:52" ph="1">
      <c r="AH146" s="64" ph="1">
        <v>7</v>
      </c>
      <c r="AI146" s="64" t="s" ph="1">
        <v>585</v>
      </c>
      <c r="AY146" s="64" t="s" ph="1">
        <v>260</v>
      </c>
      <c r="AZ146" s="64" t="s" ph="1">
        <v>411</v>
      </c>
    </row>
    <row r="147" spans="33:52" ph="1">
      <c r="AH147" s="64" ph="1">
        <v>8</v>
      </c>
      <c r="AI147" s="64" t="s" ph="1">
        <v>586</v>
      </c>
      <c r="AY147" s="64" t="s" ph="1">
        <v>260</v>
      </c>
      <c r="AZ147" s="64" t="s" ph="1">
        <v>411</v>
      </c>
    </row>
    <row r="148" spans="33:52" ph="1">
      <c r="AH148" s="64" ph="1">
        <v>9</v>
      </c>
      <c r="AI148" s="64" t="s" ph="1">
        <v>587</v>
      </c>
      <c r="AY148" s="64" t="s" ph="1">
        <v>260</v>
      </c>
      <c r="AZ148" s="64" t="s" ph="1">
        <v>411</v>
      </c>
    </row>
    <row r="149" spans="33:52" ph="1">
      <c r="AH149" s="64" ph="1">
        <v>10</v>
      </c>
      <c r="AI149" s="64" t="s" ph="1">
        <v>588</v>
      </c>
      <c r="AY149" s="64" t="s" ph="1">
        <v>260</v>
      </c>
      <c r="AZ149" s="64" t="s" ph="1">
        <v>411</v>
      </c>
    </row>
    <row r="150" spans="33:52" ph="1">
      <c r="AH150" s="64" ph="1">
        <v>11</v>
      </c>
      <c r="AI150" s="64" t="s" ph="1">
        <v>589</v>
      </c>
      <c r="AY150" s="64" t="s" ph="1">
        <v>260</v>
      </c>
      <c r="AZ150" s="64" t="s" ph="1">
        <v>411</v>
      </c>
    </row>
    <row r="151" spans="33:52" ph="1">
      <c r="AH151" s="64" ph="1">
        <v>12</v>
      </c>
      <c r="AI151" s="64" t="s" ph="1">
        <v>590</v>
      </c>
      <c r="AY151" s="64" t="s" ph="1">
        <v>260</v>
      </c>
      <c r="AZ151" s="64" t="s" ph="1">
        <v>411</v>
      </c>
    </row>
    <row r="152" spans="33:52" ph="1">
      <c r="AH152" s="64" ph="1">
        <v>13</v>
      </c>
      <c r="AI152" s="64" t="s" ph="1">
        <v>591</v>
      </c>
      <c r="AY152" s="64" t="s" ph="1">
        <v>260</v>
      </c>
      <c r="AZ152" s="64" t="s" ph="1">
        <v>411</v>
      </c>
    </row>
    <row r="153" spans="33:52" ph="1">
      <c r="AH153" s="64" ph="1">
        <v>14</v>
      </c>
      <c r="AI153" s="64" t="s" ph="1">
        <v>592</v>
      </c>
      <c r="AY153" s="64" t="s" ph="1">
        <v>260</v>
      </c>
      <c r="AZ153" s="64" t="s" ph="1">
        <v>411</v>
      </c>
    </row>
    <row r="154" spans="33:52" ph="1">
      <c r="AH154" s="64" ph="1">
        <v>15</v>
      </c>
      <c r="AI154" s="64" t="s" ph="1">
        <v>593</v>
      </c>
      <c r="AY154" s="64" t="s" ph="1">
        <v>260</v>
      </c>
      <c r="AZ154" s="64" t="s" ph="1">
        <v>411</v>
      </c>
    </row>
    <row r="155" spans="33:52" ph="1">
      <c r="AH155" s="64" ph="1">
        <v>16</v>
      </c>
      <c r="AI155" s="64" t="s" ph="1">
        <v>594</v>
      </c>
      <c r="AJ155" s="64" t="s" ph="1">
        <v>380</v>
      </c>
      <c r="AK155" s="64" t="s" ph="1">
        <v>275</v>
      </c>
      <c r="AM155" s="64" t="s" ph="1">
        <v>614</v>
      </c>
      <c r="AN155" s="64" t="s" ph="1">
        <v>326</v>
      </c>
      <c r="AO155" s="64" t="s" ph="1">
        <v>579</v>
      </c>
      <c r="AY155" s="64" t="s" ph="1">
        <v>260</v>
      </c>
      <c r="AZ155" s="64" t="s" ph="1">
        <v>267</v>
      </c>
    </row>
    <row r="156" spans="33:52" ph="1">
      <c r="AZ156" s="64" t="s" ph="1">
        <v>646</v>
      </c>
    </row>
    <row r="157" spans="33:52" ph="1">
      <c r="AG157" s="64" t="s" ph="1">
        <v>595</v>
      </c>
      <c r="AI157" s="64" t="s" ph="1">
        <v>253</v>
      </c>
      <c r="AJ157" s="64" t="s" ph="1">
        <v>254</v>
      </c>
      <c r="AK157" s="64" t="s" ph="1">
        <v>255</v>
      </c>
      <c r="AM157" s="64" t="s" ph="1">
        <v>254</v>
      </c>
      <c r="AN157" s="64" t="s" ph="1">
        <v>255</v>
      </c>
      <c r="AO157" s="64" t="s" ph="1">
        <v>256</v>
      </c>
      <c r="AP157" s="64" t="s" ph="1">
        <v>254</v>
      </c>
      <c r="AQ157" s="64" t="s" ph="1">
        <v>255</v>
      </c>
      <c r="AR157" s="64" t="s" ph="1">
        <v>256</v>
      </c>
      <c r="AS157" s="64" t="s" ph="1">
        <v>254</v>
      </c>
      <c r="AT157" s="64" t="s" ph="1">
        <v>255</v>
      </c>
      <c r="AU157" s="64" t="s" ph="1">
        <v>256</v>
      </c>
      <c r="AV157" s="64" t="s" ph="1">
        <v>254</v>
      </c>
      <c r="AW157" s="64" t="s" ph="1">
        <v>255</v>
      </c>
      <c r="AX157" s="64" t="s" ph="1">
        <v>256</v>
      </c>
      <c r="AY157" s="64" t="s" ph="1">
        <v>255</v>
      </c>
      <c r="AZ157" s="64" t="s" ph="1">
        <v>257</v>
      </c>
    </row>
    <row r="158" spans="33:52" ph="1">
      <c r="AH158" s="64" ph="1">
        <v>1</v>
      </c>
      <c r="AI158" s="64" t="s" ph="1">
        <v>596</v>
      </c>
      <c r="AY158" s="64" t="s" ph="1">
        <v>260</v>
      </c>
      <c r="AZ158" s="64" t="s" ph="1">
        <v>411</v>
      </c>
    </row>
    <row r="159" spans="33:52" ph="1">
      <c r="AH159" s="64" ph="1">
        <v>2</v>
      </c>
      <c r="AI159" s="64" t="s" ph="1">
        <v>597</v>
      </c>
      <c r="AY159" s="64" t="s" ph="1">
        <v>260</v>
      </c>
      <c r="AZ159" s="64" t="s" ph="1">
        <v>411</v>
      </c>
    </row>
    <row r="160" spans="33:52" ph="1">
      <c r="AZ160" s="64" t="s" ph="1">
        <v>429</v>
      </c>
    </row>
    <row r="161" spans="33:52" ph="1">
      <c r="AG161" s="64" t="s" ph="1">
        <v>405</v>
      </c>
      <c r="AI161" s="64" t="s" ph="1">
        <v>253</v>
      </c>
      <c r="AJ161" s="64" t="s" ph="1">
        <v>254</v>
      </c>
      <c r="AK161" s="64" t="s" ph="1">
        <v>255</v>
      </c>
      <c r="AM161" s="64" t="s" ph="1">
        <v>254</v>
      </c>
      <c r="AN161" s="64" t="s" ph="1">
        <v>255</v>
      </c>
      <c r="AO161" s="64" t="s" ph="1">
        <v>256</v>
      </c>
      <c r="AP161" s="64" t="s" ph="1">
        <v>254</v>
      </c>
      <c r="AQ161" s="64" t="s" ph="1">
        <v>255</v>
      </c>
      <c r="AR161" s="64" t="s" ph="1">
        <v>256</v>
      </c>
      <c r="AS161" s="64" t="s" ph="1">
        <v>254</v>
      </c>
      <c r="AT161" s="64" t="s" ph="1">
        <v>255</v>
      </c>
      <c r="AU161" s="64" t="s" ph="1">
        <v>256</v>
      </c>
      <c r="AV161" s="64" t="s" ph="1">
        <v>254</v>
      </c>
      <c r="AW161" s="64" t="s" ph="1">
        <v>255</v>
      </c>
      <c r="AX161" s="64" t="s" ph="1">
        <v>256</v>
      </c>
      <c r="AY161" s="64" t="s" ph="1">
        <v>255</v>
      </c>
      <c r="AZ161" s="64" t="s" ph="1">
        <v>257</v>
      </c>
    </row>
    <row r="162" spans="33:52" ph="1">
      <c r="AH162" s="64" ph="1">
        <v>1</v>
      </c>
      <c r="AI162" s="64" t="s" ph="1">
        <v>598</v>
      </c>
      <c r="AJ162" s="64" t="s" ph="1">
        <v>599</v>
      </c>
      <c r="AK162" s="64" t="s" ph="1">
        <v>543</v>
      </c>
      <c r="AM162" s="64" t="s" ph="1">
        <v>600</v>
      </c>
      <c r="AN162" s="64" t="s" ph="1">
        <v>264</v>
      </c>
      <c r="AO162" s="64" t="s" ph="1">
        <v>601</v>
      </c>
      <c r="AY162" s="64" t="s" ph="1">
        <v>260</v>
      </c>
      <c r="AZ162" s="64" t="s" ph="1">
        <v>336</v>
      </c>
    </row>
    <row r="163" spans="33:52" ph="1">
      <c r="AH163" s="64" ph="1">
        <v>2</v>
      </c>
      <c r="AI163" s="64" t="s" ph="1">
        <v>602</v>
      </c>
      <c r="AJ163" s="64" t="s" ph="1">
        <v>599</v>
      </c>
      <c r="AK163" s="64" t="s" ph="1">
        <v>432</v>
      </c>
      <c r="AY163" s="64" t="s" ph="1">
        <v>260</v>
      </c>
      <c r="AZ163" s="64" t="s" ph="1">
        <v>432</v>
      </c>
    </row>
    <row r="164" spans="33:52" ph="1">
      <c r="AH164" s="64" ph="1">
        <v>3</v>
      </c>
      <c r="AI164" s="64" t="s" ph="1">
        <v>603</v>
      </c>
      <c r="AJ164" s="64" t="s" ph="1">
        <v>599</v>
      </c>
      <c r="AK164" s="64" t="s" ph="1">
        <v>336</v>
      </c>
      <c r="AY164" s="64" t="s" ph="1">
        <v>260</v>
      </c>
      <c r="AZ164" s="64" t="s" ph="1">
        <v>336</v>
      </c>
    </row>
    <row r="165" spans="33:52" ph="1">
      <c r="AH165" s="64" ph="1">
        <v>4</v>
      </c>
      <c r="AI165" s="64" t="s" ph="1">
        <v>604</v>
      </c>
      <c r="AY165" s="64" t="s" ph="1">
        <v>260</v>
      </c>
      <c r="AZ165" s="64" t="s" ph="1">
        <v>411</v>
      </c>
    </row>
    <row r="166" spans="33:52" ph="1">
      <c r="AH166" s="64" ph="1">
        <v>5</v>
      </c>
      <c r="AI166" s="64" t="s" ph="1">
        <v>605</v>
      </c>
      <c r="AY166" s="64" t="s" ph="1">
        <v>260</v>
      </c>
      <c r="AZ166" s="64" t="s" ph="1">
        <v>411</v>
      </c>
    </row>
    <row r="167" spans="33:52" ph="1">
      <c r="AZ167" s="64" t="s" ph="1">
        <v>606</v>
      </c>
    </row>
    <row r="168" spans="33:52" ph="1">
      <c r="AG168" s="64" t="s" ph="1">
        <v>349</v>
      </c>
      <c r="AI168" s="64" t="s" ph="1">
        <v>253</v>
      </c>
      <c r="AJ168" s="64" t="s" ph="1">
        <v>254</v>
      </c>
      <c r="AK168" s="64" t="s" ph="1">
        <v>255</v>
      </c>
      <c r="AM168" s="64" t="s" ph="1">
        <v>254</v>
      </c>
      <c r="AN168" s="64" t="s" ph="1">
        <v>255</v>
      </c>
      <c r="AO168" s="64" t="s" ph="1">
        <v>256</v>
      </c>
      <c r="AP168" s="64" t="s" ph="1">
        <v>254</v>
      </c>
      <c r="AQ168" s="64" t="s" ph="1">
        <v>255</v>
      </c>
      <c r="AR168" s="64" t="s" ph="1">
        <v>256</v>
      </c>
      <c r="AS168" s="64" t="s" ph="1">
        <v>254</v>
      </c>
      <c r="AT168" s="64" t="s" ph="1">
        <v>255</v>
      </c>
      <c r="AU168" s="64" t="s" ph="1">
        <v>256</v>
      </c>
      <c r="AV168" s="64" t="s" ph="1">
        <v>254</v>
      </c>
      <c r="AW168" s="64" t="s" ph="1">
        <v>255</v>
      </c>
      <c r="AX168" s="64" t="s" ph="1">
        <v>256</v>
      </c>
      <c r="AY168" s="64" t="s" ph="1">
        <v>255</v>
      </c>
      <c r="AZ168" s="64" t="s" ph="1">
        <v>257</v>
      </c>
    </row>
    <row r="169" spans="33:52" ph="1">
      <c r="AH169" s="64" ph="1">
        <v>1</v>
      </c>
      <c r="AI169" s="64" t="s" ph="1">
        <v>607</v>
      </c>
      <c r="AY169" s="64" t="s" ph="1">
        <v>260</v>
      </c>
      <c r="AZ169" s="64" t="s" ph="1">
        <v>411</v>
      </c>
    </row>
    <row r="170" spans="33:52" ph="1">
      <c r="AH170" s="64" ph="1">
        <v>2</v>
      </c>
      <c r="AI170" s="64" t="s" ph="1">
        <v>608</v>
      </c>
      <c r="AY170" s="64" t="s" ph="1">
        <v>260</v>
      </c>
      <c r="AZ170" s="64" t="s" ph="1">
        <v>411</v>
      </c>
    </row>
    <row r="171" spans="33:52" ph="1">
      <c r="AH171" s="64" ph="1">
        <v>3</v>
      </c>
      <c r="AI171" s="64" t="s" ph="1">
        <v>609</v>
      </c>
      <c r="AY171" s="64" t="s" ph="1">
        <v>260</v>
      </c>
      <c r="AZ171" s="64" t="s" ph="1">
        <v>411</v>
      </c>
    </row>
    <row r="172" spans="33:52" ph="1">
      <c r="AH172" s="64" ph="1">
        <v>4</v>
      </c>
      <c r="AI172" s="64" t="s" ph="1">
        <v>610</v>
      </c>
      <c r="AY172" s="64" t="s" ph="1">
        <v>260</v>
      </c>
      <c r="AZ172" s="64" t="s" ph="1">
        <v>411</v>
      </c>
    </row>
    <row r="173" spans="33:52" ph="1">
      <c r="AH173" s="64" ph="1">
        <v>5</v>
      </c>
      <c r="AI173" s="64" t="s" ph="1">
        <v>611</v>
      </c>
      <c r="AY173" s="64" t="s" ph="1">
        <v>260</v>
      </c>
      <c r="AZ173" s="64" t="s" ph="1">
        <v>411</v>
      </c>
    </row>
    <row r="174" spans="33:52" ph="1">
      <c r="AZ174" s="64" t="s" ph="1">
        <v>429</v>
      </c>
    </row>
    <row r="175" spans="33:52" ph="1">
      <c r="AJ175" s="64" t="s" ph="1">
        <v>350</v>
      </c>
    </row>
    <row r="176" spans="33:52" ph="1">
      <c r="AJ176" s="64" t="s" ph="1">
        <v>351</v>
      </c>
      <c r="AK176" s="64" t="s" ph="1">
        <v>352</v>
      </c>
      <c r="AM176" s="64" t="s" ph="1">
        <v>353</v>
      </c>
      <c r="AO176" s="64" t="s" ph="1">
        <v>354</v>
      </c>
      <c r="AP176" s="64" t="s" ph="1">
        <v>355</v>
      </c>
      <c r="AQ176" s="64" t="s" ph="1">
        <v>345</v>
      </c>
      <c r="AR176" s="64" t="s" ph="1">
        <v>265</v>
      </c>
    </row>
    <row r="177" spans="36:56" ph="1">
      <c r="AJ177" s="64" t="s" ph="1">
        <v>647</v>
      </c>
      <c r="AK177" s="64" t="s" ph="1">
        <v>356</v>
      </c>
      <c r="AO177" s="64" t="s" ph="1">
        <v>356</v>
      </c>
      <c r="AP177" s="64" t="s" ph="1">
        <v>356</v>
      </c>
      <c r="AQ177" s="64" t="s" ph="1">
        <v>357</v>
      </c>
      <c r="AR177" s="64" t="s" ph="1">
        <v>358</v>
      </c>
    </row>
    <row r="179" spans="36:56" ph="1">
      <c r="AJ179" s="64" t="s" ph="1">
        <v>359</v>
      </c>
      <c r="AK179" s="64" t="s" ph="1">
        <v>360</v>
      </c>
      <c r="AM179" s="64" t="s" ph="1">
        <v>361</v>
      </c>
      <c r="AN179" s="64" t="s" ph="1">
        <v>337</v>
      </c>
      <c r="AO179" s="64" t="s" ph="1">
        <v>362</v>
      </c>
      <c r="AP179" s="64" t="s" ph="1">
        <v>341</v>
      </c>
      <c r="AQ179" s="64" t="s" ph="1">
        <v>363</v>
      </c>
      <c r="AR179" s="64" t="s" ph="1">
        <v>364</v>
      </c>
    </row>
    <row r="180" spans="36:56" ph="1">
      <c r="AJ180" s="64" t="s" ph="1">
        <v>356</v>
      </c>
      <c r="AK180" s="64" t="s" ph="1">
        <v>356</v>
      </c>
      <c r="AL180" s="64" ph="1">
        <v>116</v>
      </c>
      <c r="AM180" s="64" t="s" ph="1">
        <v>356</v>
      </c>
      <c r="AN180" s="64" t="s" ph="1">
        <v>365</v>
      </c>
      <c r="AO180" s="64" t="s" ph="1">
        <v>356</v>
      </c>
      <c r="AP180" s="64" t="s" ph="1">
        <v>366</v>
      </c>
      <c r="AQ180" s="64" t="s" ph="1">
        <v>367</v>
      </c>
      <c r="AR180" s="64" t="s" ph="1">
        <v>368</v>
      </c>
    </row>
    <row r="189" spans="36:56" ph="1">
      <c r="BD189" s="64" t="s" ph="1">
        <v>612</v>
      </c>
    </row>
    <row r="223" spans="18:18" ph="1">
      <c r="R223" s="138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975" priority="92">
      <formula>ABS(D$7-D$10)&gt;=1000</formula>
    </cfRule>
  </conditionalFormatting>
  <conditionalFormatting sqref="E4 E6:E11">
    <cfRule type="expression" dxfId="974" priority="91">
      <formula>ABS(E$7-E$10)&gt;=1000</formula>
    </cfRule>
  </conditionalFormatting>
  <conditionalFormatting sqref="F4:F11">
    <cfRule type="expression" dxfId="973" priority="90">
      <formula>ABS(F$7-F$10)&gt;=1000</formula>
    </cfRule>
  </conditionalFormatting>
  <conditionalFormatting sqref="G4:G11">
    <cfRule type="expression" dxfId="972" priority="89">
      <formula>ABS(G$7-G$10)&gt;=1000</formula>
    </cfRule>
  </conditionalFormatting>
  <conditionalFormatting sqref="H4:H11">
    <cfRule type="expression" dxfId="971" priority="88">
      <formula>ABS(H$7-H$10)&gt;=1000</formula>
    </cfRule>
  </conditionalFormatting>
  <conditionalFormatting sqref="I4:I11">
    <cfRule type="expression" dxfId="970" priority="87">
      <formula>ABS(I$7-I$10)&gt;=1000</formula>
    </cfRule>
  </conditionalFormatting>
  <conditionalFormatting sqref="J4:J11">
    <cfRule type="expression" dxfId="969" priority="86">
      <formula>ABS(J$7-J$10)&gt;=1000</formula>
    </cfRule>
  </conditionalFormatting>
  <conditionalFormatting sqref="K4:K11">
    <cfRule type="expression" dxfId="968" priority="85">
      <formula>ABS(K$7-K$10)&gt;=1000</formula>
    </cfRule>
  </conditionalFormatting>
  <conditionalFormatting sqref="L4:L11">
    <cfRule type="expression" dxfId="967" priority="84">
      <formula>ABS(L$7-L$10)&gt;=1000</formula>
    </cfRule>
  </conditionalFormatting>
  <conditionalFormatting sqref="M4:M11">
    <cfRule type="expression" dxfId="966" priority="83">
      <formula>ABS(M$7-M$10)&gt;=1000</formula>
    </cfRule>
  </conditionalFormatting>
  <conditionalFormatting sqref="N4:N11">
    <cfRule type="expression" dxfId="965" priority="82">
      <formula>ABS(N$7-N$10)&gt;=1000</formula>
    </cfRule>
  </conditionalFormatting>
  <conditionalFormatting sqref="O4:O11">
    <cfRule type="expression" dxfId="964" priority="81">
      <formula>ABS(O$7-O$10)&gt;=1000</formula>
    </cfRule>
  </conditionalFormatting>
  <conditionalFormatting sqref="P4:P11">
    <cfRule type="expression" dxfId="963" priority="80">
      <formula>ABS(P$7-P$10)&gt;=1000</formula>
    </cfRule>
  </conditionalFormatting>
  <conditionalFormatting sqref="Q4:Q11">
    <cfRule type="expression" dxfId="962" priority="79">
      <formula>ABS(Q$7-Q$10)&gt;=1000</formula>
    </cfRule>
  </conditionalFormatting>
  <conditionalFormatting sqref="R4:R11">
    <cfRule type="expression" dxfId="961" priority="78">
      <formula>ABS(R$7-R$10)&gt;=1000</formula>
    </cfRule>
  </conditionalFormatting>
  <conditionalFormatting sqref="S4:S11">
    <cfRule type="expression" dxfId="960" priority="77">
      <formula>ABS(S$7-S$10)&gt;=1000</formula>
    </cfRule>
  </conditionalFormatting>
  <conditionalFormatting sqref="T4:T9 T11">
    <cfRule type="expression" dxfId="959" priority="76">
      <formula>ABS(T$7-T$10)&gt;=1000</formula>
    </cfRule>
  </conditionalFormatting>
  <conditionalFormatting sqref="U4:U9 U11">
    <cfRule type="expression" dxfId="958" priority="75">
      <formula>ABS(U$7-U$10)&gt;=1000</formula>
    </cfRule>
  </conditionalFormatting>
  <conditionalFormatting sqref="V4:V9 V11">
    <cfRule type="expression" dxfId="957" priority="74">
      <formula>ABS(V$7-V$10)&gt;=1000</formula>
    </cfRule>
  </conditionalFormatting>
  <conditionalFormatting sqref="W4:W9 W11">
    <cfRule type="expression" dxfId="956" priority="73">
      <formula>ABS(W$7-W$10)&gt;=1000</formula>
    </cfRule>
  </conditionalFormatting>
  <conditionalFormatting sqref="X4:X9 X11">
    <cfRule type="expression" dxfId="955" priority="72">
      <formula>ABS(X$7-X$10)&gt;=1000</formula>
    </cfRule>
  </conditionalFormatting>
  <conditionalFormatting sqref="Y4:Y9 Y11">
    <cfRule type="expression" dxfId="954" priority="71">
      <formula>ABS(Y$7-Y$10)&gt;=1000</formula>
    </cfRule>
  </conditionalFormatting>
  <conditionalFormatting sqref="Z4:Z11">
    <cfRule type="expression" dxfId="953" priority="70">
      <formula>ABS(Z$7-Z$10)&gt;=1000</formula>
    </cfRule>
  </conditionalFormatting>
  <conditionalFormatting sqref="AA4:AA11">
    <cfRule type="expression" dxfId="952" priority="69">
      <formula>ABS(AA$7-AA$10)&gt;=1000</formula>
    </cfRule>
  </conditionalFormatting>
  <conditionalFormatting sqref="AB4:AB11">
    <cfRule type="expression" dxfId="951" priority="68">
      <formula>ABS(AB$7-AB$10)&gt;=1000</formula>
    </cfRule>
  </conditionalFormatting>
  <conditionalFormatting sqref="AC4 AC6:AC11">
    <cfRule type="expression" dxfId="950" priority="67">
      <formula>ABS(AC$7-AC$10)&gt;=1000</formula>
    </cfRule>
  </conditionalFormatting>
  <conditionalFormatting sqref="AD4:AD11">
    <cfRule type="expression" dxfId="949" priority="66">
      <formula>ABS(AD$7-AD$10)&gt;=1000</formula>
    </cfRule>
  </conditionalFormatting>
  <conditionalFormatting sqref="AE4:AE11">
    <cfRule type="expression" dxfId="948" priority="65">
      <formula>ABS(AE$7-AE$10)&gt;=1000</formula>
    </cfRule>
  </conditionalFormatting>
  <conditionalFormatting sqref="D13:D20">
    <cfRule type="expression" dxfId="947" priority="64">
      <formula>ABS(D$16-D$19)&gt;=1000</formula>
    </cfRule>
  </conditionalFormatting>
  <conditionalFormatting sqref="E13:E20">
    <cfRule type="expression" dxfId="946" priority="63">
      <formula>ABS(E$16-E$19)&gt;=1000</formula>
    </cfRule>
  </conditionalFormatting>
  <conditionalFormatting sqref="F13 F15:F20">
    <cfRule type="expression" dxfId="945" priority="62">
      <formula>ABS(F$16-F$19)&gt;=1000</formula>
    </cfRule>
  </conditionalFormatting>
  <conditionalFormatting sqref="G13:G20">
    <cfRule type="expression" dxfId="944" priority="61">
      <formula>ABS(G$16-G$19)&gt;=1000</formula>
    </cfRule>
  </conditionalFormatting>
  <conditionalFormatting sqref="H13:H20">
    <cfRule type="expression" dxfId="943" priority="60">
      <formula>ABS(H$16-H$19)&gt;=1000</formula>
    </cfRule>
  </conditionalFormatting>
  <conditionalFormatting sqref="I13:I20">
    <cfRule type="expression" dxfId="942" priority="59">
      <formula>ABS(I$16-I$19)&gt;=1000</formula>
    </cfRule>
  </conditionalFormatting>
  <conditionalFormatting sqref="J13:J20">
    <cfRule type="expression" dxfId="941" priority="58">
      <formula>ABS(J$16-J$19)&gt;=1000</formula>
    </cfRule>
  </conditionalFormatting>
  <conditionalFormatting sqref="L13:L20">
    <cfRule type="expression" dxfId="940" priority="57">
      <formula>ABS(L$16-L$19)&gt;=1000</formula>
    </cfRule>
  </conditionalFormatting>
  <conditionalFormatting sqref="M13 M15 M17:M18 M20">
    <cfRule type="expression" dxfId="939" priority="56">
      <formula>ABS(M$16-M$19)&gt;=1000</formula>
    </cfRule>
  </conditionalFormatting>
  <conditionalFormatting sqref="N13:N20">
    <cfRule type="expression" dxfId="938" priority="55">
      <formula>ABS(N$16-N$19)&gt;=1000</formula>
    </cfRule>
  </conditionalFormatting>
  <conditionalFormatting sqref="O13:O20">
    <cfRule type="expression" dxfId="937" priority="54">
      <formula>ABS(O$16-O$19)&gt;=1000</formula>
    </cfRule>
  </conditionalFormatting>
  <conditionalFormatting sqref="P13:P20">
    <cfRule type="expression" dxfId="936" priority="53">
      <formula>ABS(P$16-P$19)&gt;=1000</formula>
    </cfRule>
  </conditionalFormatting>
  <conditionalFormatting sqref="Q13 Q15:Q20">
    <cfRule type="expression" dxfId="935" priority="52">
      <formula>ABS(Q$16-Q$19)&gt;=1000</formula>
    </cfRule>
  </conditionalFormatting>
  <conditionalFormatting sqref="R13:R20">
    <cfRule type="expression" dxfId="934" priority="51">
      <formula>ABS(R$16-R$19)&gt;=1000</formula>
    </cfRule>
  </conditionalFormatting>
  <conditionalFormatting sqref="S13:S20">
    <cfRule type="expression" dxfId="933" priority="50">
      <formula>ABS(S$16-S$19)&gt;=1000</formula>
    </cfRule>
  </conditionalFormatting>
  <conditionalFormatting sqref="T13:T20">
    <cfRule type="expression" dxfId="932" priority="49">
      <formula>ABS(T$16-T$19)&gt;=1000</formula>
    </cfRule>
  </conditionalFormatting>
  <conditionalFormatting sqref="U13:U20">
    <cfRule type="expression" dxfId="931" priority="48">
      <formula>ABS(U$16-U$19)&gt;=1000</formula>
    </cfRule>
  </conditionalFormatting>
  <conditionalFormatting sqref="V13:V20">
    <cfRule type="expression" dxfId="930" priority="47">
      <formula>ABS(V$16-V$19)&gt;=1000</formula>
    </cfRule>
  </conditionalFormatting>
  <conditionalFormatting sqref="W13 W15:W18 W20">
    <cfRule type="expression" dxfId="929" priority="46">
      <formula>ABS(W$16-W$19)&gt;=1000</formula>
    </cfRule>
  </conditionalFormatting>
  <conditionalFormatting sqref="X13 X15:X20 Y19">
    <cfRule type="expression" dxfId="928" priority="45">
      <formula>ABS(X$16-X$19)&gt;=1000</formula>
    </cfRule>
  </conditionalFormatting>
  <conditionalFormatting sqref="Y13 Y15:Y18 Y20">
    <cfRule type="expression" dxfId="927" priority="44">
      <formula>ABS(Y$16-Y$19)&gt;=1000</formula>
    </cfRule>
  </conditionalFormatting>
  <conditionalFormatting sqref="Z13:Z20">
    <cfRule type="expression" dxfId="926" priority="43">
      <formula>ABS(Z$16-Z$19)&gt;=1000</formula>
    </cfRule>
  </conditionalFormatting>
  <conditionalFormatting sqref="AA13:AA20">
    <cfRule type="expression" dxfId="925" priority="42">
      <formula>ABS(AA$16-AA$19)&gt;=1000</formula>
    </cfRule>
  </conditionalFormatting>
  <conditionalFormatting sqref="AB13 AB15:AB20">
    <cfRule type="expression" dxfId="924" priority="41">
      <formula>ABS(AB$16-AB$19)&gt;=1000</formula>
    </cfRule>
  </conditionalFormatting>
  <conditionalFormatting sqref="AC13 AC15:AC20">
    <cfRule type="expression" dxfId="923" priority="40">
      <formula>ABS(AC$16-AC$19)&gt;=1000</formula>
    </cfRule>
  </conditionalFormatting>
  <conditionalFormatting sqref="AD13:AD20">
    <cfRule type="expression" dxfId="922" priority="39">
      <formula>ABS(AD$16-AD$19)&gt;=1000</formula>
    </cfRule>
  </conditionalFormatting>
  <conditionalFormatting sqref="AE13:AE20">
    <cfRule type="expression" dxfId="921" priority="38">
      <formula>ABS(AE$16-AE$19)&gt;=1000</formula>
    </cfRule>
  </conditionalFormatting>
  <conditionalFormatting sqref="D22:D29">
    <cfRule type="expression" dxfId="920" priority="37">
      <formula>ABS(D$25-D$28)&gt;=1000</formula>
    </cfRule>
  </conditionalFormatting>
  <conditionalFormatting sqref="E22:E29">
    <cfRule type="expression" dxfId="919" priority="36">
      <formula>ABS(E$25-E$28)&gt;=1000</formula>
    </cfRule>
  </conditionalFormatting>
  <conditionalFormatting sqref="F22:F29">
    <cfRule type="expression" dxfId="918" priority="35">
      <formula>ABS(F$25-F$28)&gt;=1000</formula>
    </cfRule>
  </conditionalFormatting>
  <conditionalFormatting sqref="G22:G29">
    <cfRule type="expression" dxfId="917" priority="34">
      <formula>ABS(G$25-G$28)&gt;=1000</formula>
    </cfRule>
  </conditionalFormatting>
  <conditionalFormatting sqref="H22:H29">
    <cfRule type="expression" dxfId="916" priority="33">
      <formula>ABS(H$25-H$28)&gt;=1000</formula>
    </cfRule>
  </conditionalFormatting>
  <conditionalFormatting sqref="I22 I24:I29">
    <cfRule type="expression" dxfId="915" priority="32">
      <formula>ABS(I$25-I$28)&gt;=1000</formula>
    </cfRule>
  </conditionalFormatting>
  <conditionalFormatting sqref="J22:J29 K22">
    <cfRule type="expression" dxfId="914" priority="31">
      <formula>ABS(J$25-J$28)&gt;=1000</formula>
    </cfRule>
  </conditionalFormatting>
  <conditionalFormatting sqref="K23:K29 L25 L28">
    <cfRule type="expression" dxfId="913" priority="30">
      <formula>ABS(K$25-K$28)&gt;=1000</formula>
    </cfRule>
  </conditionalFormatting>
  <conditionalFormatting sqref="L22:L24 L26:L27 L29">
    <cfRule type="expression" dxfId="912" priority="29">
      <formula>ABS(L$25-L$28)&gt;=1000</formula>
    </cfRule>
  </conditionalFormatting>
  <conditionalFormatting sqref="M22:M29">
    <cfRule type="expression" dxfId="911" priority="28">
      <formula>ABS(M$25-M$28)&gt;=1000</formula>
    </cfRule>
  </conditionalFormatting>
  <conditionalFormatting sqref="N22:N29">
    <cfRule type="expression" dxfId="910" priority="27">
      <formula>ABS(N$25-N$28)&gt;=1000</formula>
    </cfRule>
  </conditionalFormatting>
  <conditionalFormatting sqref="O22:O29">
    <cfRule type="expression" dxfId="909" priority="26">
      <formula>ABS(O$25-O$28)&gt;=1000</formula>
    </cfRule>
  </conditionalFormatting>
  <conditionalFormatting sqref="P22:P29">
    <cfRule type="expression" dxfId="908" priority="25">
      <formula>ABS(P$25-P$28)&gt;=1000</formula>
    </cfRule>
  </conditionalFormatting>
  <conditionalFormatting sqref="Q22:Q29">
    <cfRule type="expression" dxfId="907" priority="24">
      <formula>ABS(Q$25-Q$28)&gt;=1000</formula>
    </cfRule>
  </conditionalFormatting>
  <conditionalFormatting sqref="R22:R29">
    <cfRule type="expression" dxfId="906" priority="23">
      <formula>ABS(R$25-R$28)&gt;=1000</formula>
    </cfRule>
  </conditionalFormatting>
  <conditionalFormatting sqref="S22:S29">
    <cfRule type="expression" dxfId="905" priority="22">
      <formula>ABS(S$25-S$28)&gt;=1000</formula>
    </cfRule>
  </conditionalFormatting>
  <conditionalFormatting sqref="T22:T29">
    <cfRule type="expression" dxfId="904" priority="21">
      <formula>ABS(T$25-T$28)&gt;=1000</formula>
    </cfRule>
  </conditionalFormatting>
  <conditionalFormatting sqref="U22:U29">
    <cfRule type="expression" dxfId="903" priority="20">
      <formula>ABS(U$25-U$28)&gt;=1000</formula>
    </cfRule>
  </conditionalFormatting>
  <conditionalFormatting sqref="V22:V29">
    <cfRule type="expression" dxfId="902" priority="19">
      <formula>ABS(V$25-V$28)&gt;=1000</formula>
    </cfRule>
  </conditionalFormatting>
  <conditionalFormatting sqref="W22:W29">
    <cfRule type="expression" dxfId="901" priority="18">
      <formula>ABS(W$25-W$28)&gt;=1000</formula>
    </cfRule>
  </conditionalFormatting>
  <conditionalFormatting sqref="X22:X29">
    <cfRule type="expression" dxfId="900" priority="17">
      <formula>ABS(X$25-X$28)&gt;=1000</formula>
    </cfRule>
  </conditionalFormatting>
  <conditionalFormatting sqref="Y22:Y29">
    <cfRule type="expression" dxfId="899" priority="16">
      <formula>ABS(Y$25-Y$28)&gt;=1000</formula>
    </cfRule>
  </conditionalFormatting>
  <conditionalFormatting sqref="I23">
    <cfRule type="expression" dxfId="898" priority="15">
      <formula>ABS(I$25-I$28)&gt;=1000</formula>
    </cfRule>
  </conditionalFormatting>
  <conditionalFormatting sqref="F14">
    <cfRule type="expression" dxfId="897" priority="14">
      <formula>ABS(F$16-F$19)&gt;=1000</formula>
    </cfRule>
  </conditionalFormatting>
  <conditionalFormatting sqref="Q14">
    <cfRule type="expression" dxfId="896" priority="13">
      <formula>ABS(Q$16-Q$19)&gt;=1000</formula>
    </cfRule>
  </conditionalFormatting>
  <conditionalFormatting sqref="W14">
    <cfRule type="expression" dxfId="895" priority="12">
      <formula>ABS(W$16-W$19)&gt;=1000</formula>
    </cfRule>
  </conditionalFormatting>
  <conditionalFormatting sqref="Y14">
    <cfRule type="expression" dxfId="894" priority="11">
      <formula>ABS(Y$16-Y$19)&gt;=1000</formula>
    </cfRule>
  </conditionalFormatting>
  <conditionalFormatting sqref="X14">
    <cfRule type="expression" dxfId="893" priority="10">
      <formula>ABS(X$16-X$19)&gt;=1000</formula>
    </cfRule>
  </conditionalFormatting>
  <conditionalFormatting sqref="T10:Y10">
    <cfRule type="expression" dxfId="892" priority="9">
      <formula>ABS(T$7-T$10)&gt;=1000</formula>
    </cfRule>
  </conditionalFormatting>
  <conditionalFormatting sqref="W19">
    <cfRule type="expression" dxfId="891" priority="8">
      <formula>ABS(W$16-W$19)&gt;=1000</formula>
    </cfRule>
  </conditionalFormatting>
  <conditionalFormatting sqref="AC5">
    <cfRule type="expression" dxfId="890" priority="7">
      <formula>ABS(AC$7-AC$10)&gt;=1000</formula>
    </cfRule>
  </conditionalFormatting>
  <conditionalFormatting sqref="M14">
    <cfRule type="expression" dxfId="889" priority="6">
      <formula>ABS(M$16-M$19)&gt;=1000</formula>
    </cfRule>
  </conditionalFormatting>
  <conditionalFormatting sqref="M16">
    <cfRule type="expression" dxfId="888" priority="5">
      <formula>ABS(M$16-M$19)&gt;=1000</formula>
    </cfRule>
  </conditionalFormatting>
  <conditionalFormatting sqref="M19">
    <cfRule type="expression" dxfId="887" priority="4">
      <formula>ABS(M$16-M$19)&gt;=1000</formula>
    </cfRule>
  </conditionalFormatting>
  <conditionalFormatting sqref="K13:K20">
    <cfRule type="expression" dxfId="886" priority="3">
      <formula>ABS(K$16-K$19)&gt;=1000</formula>
    </cfRule>
  </conditionalFormatting>
  <conditionalFormatting sqref="E5">
    <cfRule type="expression" dxfId="885" priority="2">
      <formula>ABS(E$7-E$10)&gt;=1000</formula>
    </cfRule>
  </conditionalFormatting>
  <conditionalFormatting sqref="AB14:AC14">
    <cfRule type="expression" dxfId="884" priority="1">
      <formula>ABS(AB$16-AB$19)&gt;=1000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158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57">
    <pageSetUpPr fitToPage="1"/>
  </sheetPr>
  <dimension ref="A1:CU223"/>
  <sheetViews>
    <sheetView view="pageBreakPreview" zoomScale="70" zoomScaleNormal="100" zoomScaleSheetLayoutView="70" workbookViewId="0">
      <selection activeCell="Z23" sqref="Z23:AE29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36" t="s" ph="1">
        <v>195</v>
      </c>
      <c r="C1" s="236" ph="1"/>
      <c r="D1" s="236" ph="1"/>
      <c r="E1" s="236" ph="1"/>
      <c r="F1" s="236" ph="1"/>
      <c r="G1" s="236" ph="1"/>
      <c r="H1" s="236" ph="1"/>
      <c r="I1" s="236" ph="1"/>
      <c r="J1" s="236" ph="1"/>
      <c r="K1" s="236" ph="1"/>
      <c r="L1" s="236" ph="1"/>
      <c r="M1" s="236" ph="1"/>
      <c r="N1" s="236" ph="1"/>
      <c r="O1" s="236" ph="1"/>
      <c r="P1" s="236" ph="1"/>
      <c r="Q1" s="236" ph="1"/>
      <c r="R1" s="236" ph="1"/>
      <c r="S1" s="236" ph="1"/>
      <c r="T1" s="236" ph="1"/>
      <c r="U1" s="236" ph="1"/>
      <c r="V1" s="236" ph="1"/>
      <c r="W1" s="236" ph="1"/>
      <c r="X1" s="236" ph="1"/>
      <c r="Y1" s="236" ph="1"/>
      <c r="Z1" s="236" ph="1"/>
      <c r="AA1" s="236" ph="1"/>
      <c r="AB1" s="236" ph="1"/>
      <c r="AC1" s="236" ph="1"/>
      <c r="AD1" s="236" ph="1"/>
      <c r="AE1" s="236" ph="1"/>
    </row>
    <row r="2" spans="1:99" s="66" customFormat="1" ht="24" customHeight="1" ph="1">
      <c r="B2" s="237" t="s" ph="1">
        <v>99</v>
      </c>
      <c r="C2" s="237" ph="1"/>
      <c r="D2" s="237" ph="1"/>
      <c r="E2" s="237" ph="1"/>
      <c r="F2" s="237" ph="1"/>
      <c r="G2" s="237" ph="1"/>
      <c r="H2" s="237" ph="1"/>
      <c r="I2" s="237" ph="1"/>
      <c r="J2" s="237" ph="1"/>
      <c r="K2" s="237" ph="1"/>
      <c r="L2" s="237" ph="1"/>
      <c r="M2" s="237" ph="1"/>
      <c r="N2" s="237" ph="1"/>
      <c r="O2" s="237" ph="1"/>
      <c r="P2" s="237" ph="1"/>
      <c r="Q2" s="237" ph="1"/>
      <c r="R2" s="237" ph="1"/>
      <c r="S2" s="237" ph="1"/>
      <c r="T2" s="237" ph="1"/>
      <c r="U2" s="237" ph="1"/>
      <c r="V2" s="237" ph="1"/>
      <c r="W2" s="237" ph="1"/>
      <c r="X2" s="237" ph="1"/>
      <c r="Y2" s="237" ph="1"/>
      <c r="Z2" s="237" ph="1"/>
      <c r="AA2" s="237" ph="1"/>
      <c r="AB2" s="237" ph="1"/>
      <c r="AC2" s="237" ph="1"/>
      <c r="AD2" s="237" ph="1"/>
      <c r="AE2" s="237" ph="1"/>
    </row>
    <row r="3" spans="1:99" ht="21" customHeight="1" ph="1">
      <c r="B3" s="238" ph="1">
        <v>45673</v>
      </c>
      <c r="C3" s="238"/>
      <c r="D3" s="238"/>
      <c r="E3" s="238"/>
      <c r="F3" s="238"/>
      <c r="G3" s="238"/>
      <c r="H3" s="238"/>
      <c r="I3" s="238"/>
      <c r="J3" s="238"/>
      <c r="K3" s="238"/>
      <c r="L3" s="238"/>
      <c r="M3" s="238"/>
      <c r="N3" s="238"/>
      <c r="O3" s="238"/>
      <c r="P3" s="238"/>
      <c r="Q3" s="238"/>
      <c r="R3" s="238"/>
      <c r="S3" s="238"/>
      <c r="T3" s="238"/>
      <c r="U3" s="238"/>
      <c r="V3" s="238"/>
      <c r="W3" s="238"/>
      <c r="X3" s="238"/>
      <c r="Y3" s="238"/>
      <c r="Z3" s="238"/>
      <c r="AA3" s="238"/>
      <c r="AB3" s="238"/>
      <c r="AC3" s="238"/>
      <c r="AD3" s="238"/>
      <c r="AE3" s="238"/>
    </row>
    <row r="4" spans="1:99" s="69" customFormat="1" ph="1">
      <c r="A4" s="65" ph="1"/>
      <c r="B4" s="217" t="s" ph="1">
        <v>37</v>
      </c>
      <c r="C4" s="67" t="s" ph="1">
        <v>210</v>
      </c>
      <c r="D4" s="68" t="s" ph="1">
        <v>45</v>
      </c>
      <c r="E4" s="68" t="s" ph="1">
        <v>46</v>
      </c>
      <c r="F4" s="68" t="s" ph="1">
        <v>39</v>
      </c>
      <c r="G4" s="68" t="s" ph="1">
        <v>47</v>
      </c>
      <c r="H4" s="68" t="s" ph="1">
        <v>48</v>
      </c>
      <c r="I4" s="68" t="s" ph="1">
        <v>133</v>
      </c>
      <c r="J4" s="68" t="s" ph="1">
        <v>49</v>
      </c>
      <c r="K4" s="68" t="s" ph="1">
        <v>134</v>
      </c>
      <c r="L4" s="68" t="s" ph="1">
        <v>135</v>
      </c>
      <c r="M4" s="68" t="s" ph="1">
        <v>50</v>
      </c>
      <c r="N4" s="68" t="s" ph="1">
        <v>51</v>
      </c>
      <c r="O4" s="68" t="s" ph="1">
        <v>137</v>
      </c>
      <c r="P4" s="68" t="s" ph="1">
        <v>139</v>
      </c>
      <c r="Q4" s="68" t="s" ph="1">
        <v>140</v>
      </c>
      <c r="R4" s="68" t="s" ph="1">
        <v>141</v>
      </c>
      <c r="S4" s="68" t="s" ph="1">
        <v>142</v>
      </c>
      <c r="T4" s="68" t="s" ph="1">
        <v>143</v>
      </c>
      <c r="U4" s="68" t="s" ph="1">
        <v>144</v>
      </c>
      <c r="V4" s="68" t="s" ph="1">
        <v>145</v>
      </c>
      <c r="W4" s="68" t="s" ph="1">
        <v>146</v>
      </c>
      <c r="X4" s="68" t="s" ph="1">
        <v>147</v>
      </c>
      <c r="Y4" s="68" t="s" ph="1">
        <v>148</v>
      </c>
      <c r="Z4" s="68" t="s" ph="1">
        <v>52</v>
      </c>
      <c r="AA4" s="68" t="s" ph="1">
        <v>149</v>
      </c>
      <c r="AB4" s="68" t="s" ph="1">
        <v>150</v>
      </c>
      <c r="AC4" s="68" t="s" ph="1">
        <v>151</v>
      </c>
      <c r="AD4" s="68" t="s" ph="1">
        <v>40</v>
      </c>
      <c r="AE4" s="68" t="s" ph="1">
        <v>152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7" ph="1"/>
      <c r="C5" s="67" t="s" ph="1">
        <v>36</v>
      </c>
      <c r="D5" s="70" t="s" ph="1">
        <v>194</v>
      </c>
      <c r="E5" s="70" t="s" ph="1">
        <v>55</v>
      </c>
      <c r="F5" s="70" t="s" ph="1">
        <v>130</v>
      </c>
      <c r="G5" s="70" t="s" ph="1">
        <v>56</v>
      </c>
      <c r="H5" s="70" t="s" ph="1">
        <v>56</v>
      </c>
      <c r="I5" s="70" t="s" ph="1">
        <v>57</v>
      </c>
      <c r="J5" s="70" t="s" ph="1">
        <v>58</v>
      </c>
      <c r="K5" s="70" t="s" ph="1">
        <v>59</v>
      </c>
      <c r="L5" s="70" t="s" ph="1">
        <v>136</v>
      </c>
      <c r="M5" s="70" t="s" ph="1">
        <v>60</v>
      </c>
      <c r="N5" s="70" t="s" ph="1">
        <v>61</v>
      </c>
      <c r="O5" s="70" t="s" ph="1">
        <v>138</v>
      </c>
      <c r="P5" s="70" t="s" ph="1">
        <v>88</v>
      </c>
      <c r="Q5" s="70" t="s" ph="1">
        <v>96</v>
      </c>
      <c r="R5" s="70" t="s" ph="1">
        <v>96</v>
      </c>
      <c r="S5" s="70" t="s" ph="1">
        <v>96</v>
      </c>
      <c r="T5" s="70" t="s" ph="1">
        <v>96</v>
      </c>
      <c r="U5" s="70" t="s" ph="1">
        <v>96</v>
      </c>
      <c r="V5" s="70" t="s" ph="1">
        <v>96</v>
      </c>
      <c r="W5" s="70" t="s" ph="1">
        <v>96</v>
      </c>
      <c r="X5" s="70" t="s" ph="1">
        <v>96</v>
      </c>
      <c r="Y5" s="70" t="s" ph="1">
        <v>96</v>
      </c>
      <c r="Z5" s="70" t="s" ph="1">
        <v>95</v>
      </c>
      <c r="AA5" s="70" t="s" ph="1">
        <v>62</v>
      </c>
      <c r="AB5" s="70" t="s" ph="1">
        <v>62</v>
      </c>
      <c r="AC5" s="70" t="s" ph="1">
        <v>222</v>
      </c>
      <c r="AD5" s="70" t="s" ph="1">
        <v>83</v>
      </c>
      <c r="AE5" s="70" t="s" ph="1">
        <v>661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5" ph="1">
        <v>0.33333333333333331</v>
      </c>
      <c r="C6" s="151" t="s" ph="1">
        <v>211</v>
      </c>
      <c r="D6" s="71">
        <v>4097</v>
      </c>
      <c r="E6" s="71">
        <v>0</v>
      </c>
      <c r="F6" s="71">
        <v>3870</v>
      </c>
      <c r="G6" s="71">
        <v>8876</v>
      </c>
      <c r="H6" s="71">
        <v>2876</v>
      </c>
      <c r="I6" s="71">
        <v>39.119999999999997</v>
      </c>
      <c r="J6" s="71">
        <v>79.650000000000006</v>
      </c>
      <c r="K6" s="71">
        <v>50.87</v>
      </c>
      <c r="L6" s="71">
        <v>35.979999999999997</v>
      </c>
      <c r="M6" s="71">
        <v>5691</v>
      </c>
      <c r="N6" s="71">
        <v>5899</v>
      </c>
      <c r="O6" s="71">
        <v>4878</v>
      </c>
      <c r="P6" s="71">
        <v>2511</v>
      </c>
      <c r="Q6" s="71">
        <v>0</v>
      </c>
      <c r="R6" s="71">
        <v>0</v>
      </c>
      <c r="S6" s="71">
        <v>0</v>
      </c>
      <c r="T6" s="71">
        <v>0</v>
      </c>
      <c r="U6" s="71">
        <v>1503</v>
      </c>
      <c r="V6" s="71">
        <v>6014</v>
      </c>
      <c r="W6" s="71">
        <v>7100</v>
      </c>
      <c r="X6" s="71">
        <v>7000</v>
      </c>
      <c r="Y6" s="71">
        <v>4627</v>
      </c>
      <c r="Z6" s="71">
        <v>2034</v>
      </c>
      <c r="AA6" s="71">
        <v>1714</v>
      </c>
      <c r="AB6" s="71">
        <v>2151</v>
      </c>
      <c r="AC6" s="71">
        <v>6766</v>
      </c>
      <c r="AD6" s="71">
        <v>262</v>
      </c>
      <c r="AE6" s="71">
        <v>3040</v>
      </c>
    </row>
    <row r="7" spans="1:99" s="72" customFormat="1" ht="22.5" ph="1">
      <c r="B7" s="235" ph="1"/>
      <c r="C7" s="68" t="s" ph="1">
        <v>212</v>
      </c>
      <c r="D7" s="73" ph="1">
        <f>D6*33.183*LOOKUP(D8,密度!$A$2:$A$50,密度!$Q$2:$Q$50)</f>
        <v>129770.42985954</v>
      </c>
      <c r="E7" s="73" ph="1">
        <f>E6*51.53*LOOKUP(E8,密度!$A$2:$A$50,密度!$I$2:$I$50)</f>
        <v>0</v>
      </c>
      <c r="F7" s="73" ph="1">
        <f>F6*33.183*LOOKUP(F8,密度!$A$2:$A$50,密度!$C$2:$C$50)</f>
        <v>143391.77328600001</v>
      </c>
      <c r="G7" s="73" ph="1">
        <f xml:space="preserve"> (G6+2)*51.53*LOOKUP(G8,密度!$A$2:$A$50,密度!$B$2:$B$50)</f>
        <v>361274.59359800001</v>
      </c>
      <c r="H7" s="73" ph="1">
        <f>(H6)*51.53*LOOKUP(H8,密度!$A$2:$A$50,密度!$B$2:$B$50)</f>
        <v>117671.02232</v>
      </c>
      <c r="I7" s="73" ph="1">
        <f>I6*290.8*1.0267</f>
        <v>11679.837763199999</v>
      </c>
      <c r="J7" s="73" ph="1">
        <f>J6*290.8*0.7892</f>
        <v>18279.624024000001</v>
      </c>
      <c r="K7" s="73" ph="1">
        <f>K6*290.8*1.1126</f>
        <v>16458.687349600001</v>
      </c>
      <c r="L7" s="73" ph="1">
        <f>L6*290.8*0.777</f>
        <v>8129.7385680000007</v>
      </c>
      <c r="M7" s="73" ph="1">
        <f>M6*33.183*LOOKUP(M8,密度!$A$2:$A$50,密度!$D$2:$D$50)</f>
        <v>195907.23554220004</v>
      </c>
      <c r="N7" s="73" ph="1">
        <f>N6*33.183*LOOKUP(N8,密度!$A$2:$A$50,密度!$E$2:$E$50)</f>
        <v>155344.4358912</v>
      </c>
      <c r="O7" s="73" ph="1">
        <f>O6*20.428*LOOKUP(O8,密度!$A$2:$A$50,密度!$C$2:$C$50)</f>
        <v>110798.37102960001</v>
      </c>
      <c r="P7" s="73" ph="1">
        <f>P6*51.53*LOOKUP(P8,密度!$A$2:$A$50,密度!$B$2:$B$50)</f>
        <v>102180.728151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10071.652298399998</v>
      </c>
      <c r="V7" s="73" ph="1">
        <f>V6*1.5*1.5*3.1416*LOOKUP(V8,密度!$A$2:$A$50,密度!$L$2:$L$50)</f>
        <v>40172.479577999999</v>
      </c>
      <c r="W7" s="73" ph="1">
        <f>W6*1.5*1.5*3.1416*LOOKUP(W8,密度!$A$2:$A$50,密度!$L$2:$L$50)</f>
        <v>47527.145819999998</v>
      </c>
      <c r="X7" s="73" ph="1">
        <f>X6*1.5*1.5*3.1416*LOOKUP(X8,密度!$A$2:$A$50,密度!$L$2:$L$50)</f>
        <v>47303.071199999998</v>
      </c>
      <c r="Y7" s="73" ph="1">
        <f>Y6*1.5*1.5*3.1416*LOOKUP(Y8,密度!$A$2:$A$50,密度!$L$2:$L$50)</f>
        <v>31005.678765599998</v>
      </c>
      <c r="Z7" s="73" ph="1">
        <f>Z6*33.183*LOOKUP(Z8,密度!$A$2:$A$50,密度!$L$2:$L$50)</f>
        <v>64052.016677999993</v>
      </c>
      <c r="AA7" s="73" ph="1">
        <f>AA6*33.183*LOOKUP(AA8,密度!$A$2:$A$50,密度!$D$2:$D$50)</f>
        <v>59150.688479999997</v>
      </c>
      <c r="AB7" s="73" ph="1">
        <f>AB6*20.428*LOOKUP(AB8,密度!$A$2:$A$50,密度!$D$2:$D$50)</f>
        <v>45895.985946000001</v>
      </c>
      <c r="AC7" s="73" ph="1">
        <f>AC6*51.53*LOOKUP(AC8,密度!$A$2:$A$50,密度!$Q$2:$Q$50)</f>
        <v>332802.26098919997</v>
      </c>
      <c r="AD7" s="73" ph="1">
        <f>AD6*20.428*LOOKUP(AD8,密度!$A$2:$A$50,密度!$V$2:$V$50)</f>
        <v>5159.4591040000005</v>
      </c>
      <c r="AE7" s="73" ph="1">
        <f>AE6*20.428</f>
        <v>62101.120000000003</v>
      </c>
    </row>
    <row r="8" spans="1:99" ph="1">
      <c r="B8" s="235" ph="1"/>
      <c r="C8" s="68" t="s" ph="1">
        <v>213</v>
      </c>
      <c r="D8" s="74">
        <v>14</v>
      </c>
      <c r="E8" s="74">
        <v>7</v>
      </c>
      <c r="F8" s="74">
        <v>14</v>
      </c>
      <c r="G8" s="74">
        <v>13</v>
      </c>
      <c r="H8" s="74">
        <v>8</v>
      </c>
      <c r="I8" s="74">
        <v>25</v>
      </c>
      <c r="J8" s="74">
        <v>25</v>
      </c>
      <c r="K8" s="74">
        <v>25</v>
      </c>
      <c r="L8" s="74">
        <v>25</v>
      </c>
      <c r="M8" s="74">
        <v>13</v>
      </c>
      <c r="N8" s="74">
        <v>16</v>
      </c>
      <c r="O8" s="74">
        <v>21</v>
      </c>
      <c r="P8" s="74">
        <v>13</v>
      </c>
      <c r="Q8" s="74">
        <v>11</v>
      </c>
      <c r="R8" s="74">
        <v>18</v>
      </c>
      <c r="S8" s="74">
        <v>7</v>
      </c>
      <c r="T8" s="74">
        <v>7</v>
      </c>
      <c r="U8" s="74">
        <v>14</v>
      </c>
      <c r="V8" s="74">
        <v>17</v>
      </c>
      <c r="W8" s="74">
        <v>15</v>
      </c>
      <c r="X8" s="74">
        <v>6</v>
      </c>
      <c r="Y8" s="74">
        <v>14</v>
      </c>
      <c r="Z8" s="74">
        <v>13</v>
      </c>
      <c r="AA8" s="74">
        <v>10</v>
      </c>
      <c r="AB8" s="74">
        <v>5</v>
      </c>
      <c r="AC8" s="74">
        <v>13</v>
      </c>
      <c r="AD8" s="74">
        <v>10</v>
      </c>
      <c r="AE8" s="74">
        <v>15</v>
      </c>
    </row>
    <row r="9" spans="1:99" ph="1">
      <c r="B9" s="235" ph="1">
        <v>0.66666666666666663</v>
      </c>
      <c r="C9" s="151" t="s" ph="1">
        <v>214</v>
      </c>
      <c r="D9" s="71">
        <v>4094</v>
      </c>
      <c r="E9" s="71">
        <v>0</v>
      </c>
      <c r="F9" s="71">
        <v>4448</v>
      </c>
      <c r="G9" s="71">
        <v>8874</v>
      </c>
      <c r="H9" s="71">
        <v>3053</v>
      </c>
      <c r="I9" s="71">
        <v>39.020000000000003</v>
      </c>
      <c r="J9" s="71">
        <v>79.760000000000005</v>
      </c>
      <c r="K9" s="71">
        <v>19.34</v>
      </c>
      <c r="L9" s="71">
        <v>30.57</v>
      </c>
      <c r="M9" s="71">
        <v>5671</v>
      </c>
      <c r="N9" s="71">
        <v>5724</v>
      </c>
      <c r="O9" s="71">
        <v>4757</v>
      </c>
      <c r="P9" s="71">
        <v>2352</v>
      </c>
      <c r="Q9" s="71">
        <v>3078</v>
      </c>
      <c r="R9" s="71">
        <v>1756</v>
      </c>
      <c r="S9" s="71">
        <v>0</v>
      </c>
      <c r="T9" s="71">
        <v>0</v>
      </c>
      <c r="U9" s="71">
        <v>0</v>
      </c>
      <c r="V9" s="71">
        <v>3820</v>
      </c>
      <c r="W9" s="71">
        <v>7100</v>
      </c>
      <c r="X9" s="71">
        <v>7000</v>
      </c>
      <c r="Y9" s="71">
        <v>4628</v>
      </c>
      <c r="Z9" s="71">
        <v>2811</v>
      </c>
      <c r="AA9" s="71">
        <v>1713</v>
      </c>
      <c r="AB9" s="71">
        <v>2149</v>
      </c>
      <c r="AC9" s="71">
        <v>6764</v>
      </c>
      <c r="AD9" s="71">
        <v>262</v>
      </c>
      <c r="AE9" s="71">
        <v>3040</v>
      </c>
    </row>
    <row r="10" spans="1:99" s="72" customFormat="1" ht="22.5" ph="1">
      <c r="B10" s="235" ph="1"/>
      <c r="C10" s="151" t="s" ph="1">
        <v>212</v>
      </c>
      <c r="D10" s="73" ph="1">
        <f>D9*33.183*LOOKUP(D11,密度!$A$2:$A$50,密度!$Q$2:$Q$50)</f>
        <v>129547.70622719999</v>
      </c>
      <c r="E10" s="73" ph="1">
        <f>E9*51.53*LOOKUP(E11,密度!$A$2:$A$50,密度!$I$2:$I$50)</f>
        <v>0</v>
      </c>
      <c r="F10" s="73" ph="1">
        <f>F9*33.183*LOOKUP(F11,密度!$A$2:$A$50,密度!$C$2:$C$50)</f>
        <v>164689.83054719999</v>
      </c>
      <c r="G10" s="73" ph="1">
        <f xml:space="preserve"> (G9+2)*51.53*LOOKUP(G11,密度!$A$2:$A$50,密度!$B$2:$B$50)</f>
        <v>360827.30289200007</v>
      </c>
      <c r="H10" s="73" ph="1">
        <f>(H9)*51.53*LOOKUP(H11,密度!$A$2:$A$50,密度!$B$2:$B$50)</f>
        <v>124771.35647899999</v>
      </c>
      <c r="I10" s="73" ph="1">
        <f>I9*290.8*1.0267</f>
        <v>11649.981327200001</v>
      </c>
      <c r="J10" s="73" ph="1">
        <f>J9*290.8*0.7892</f>
        <v>18304.868953600002</v>
      </c>
      <c r="K10" s="73" ph="1">
        <f>K9*290.8*1.1126</f>
        <v>6257.3425072</v>
      </c>
      <c r="L10" s="73" ph="1">
        <f>L9*290.8*0.777</f>
        <v>6907.3404120000014</v>
      </c>
      <c r="M10" s="73" ph="1">
        <f>M9*33.183*LOOKUP(M11,密度!$A$2:$A$50,密度!$D$2:$D$50)</f>
        <v>195049.39194450001</v>
      </c>
      <c r="N10" s="73" ph="1">
        <f>N9*33.183*LOOKUP(N11,密度!$A$2:$A$50,密度!$E$2:$E$50)</f>
        <v>150944.9142924</v>
      </c>
      <c r="O10" s="73" ph="1">
        <f>O9*20.428*LOOKUP(O11,密度!$A$2:$A$50,密度!$C$2:$C$50)</f>
        <v>107972.2491556</v>
      </c>
      <c r="P10" s="73" ph="1">
        <f>P9*51.53*LOOKUP(P11,密度!$A$2:$A$50,密度!$B$2:$B$50)</f>
        <v>95504.465280000004</v>
      </c>
      <c r="Q10" s="73" ph="1">
        <f>Q9*1.5*1.5*3.1416*LOOKUP(W11,密度!$A$2:$A$50,密度!$L$2:$L$50)</f>
        <v>20604.021807599998</v>
      </c>
      <c r="R10" s="73" ph="1">
        <f>R9*1.5*1.5*3.1416*LOOKUP(R11,密度!$A$2:$A$50,密度!$L$2:$L$50)</f>
        <v>11667.713904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25462.935035999999</v>
      </c>
      <c r="W10" s="73" ph="1">
        <f>W9*1.5*1.5*3.1416*LOOKUP(W11,密度!$A$2:$A$50,密度!$L$2:$L$50)</f>
        <v>47527.145819999998</v>
      </c>
      <c r="X10" s="73" ph="1">
        <f>X9*1.5*1.5*3.1416*LOOKUP(X11,密度!$A$2:$A$50,密度!$L$2:$L$50)</f>
        <v>47303.071199999998</v>
      </c>
      <c r="Y10" s="73" ph="1">
        <f>Y9*1.5*1.5*3.1416*LOOKUP(Y11,密度!$A$2:$A$50,密度!$L$2:$L$50)</f>
        <v>30979.6663176</v>
      </c>
      <c r="Z10" s="73" ph="1">
        <f>Z9*33.183*LOOKUP(Z11,密度!$A$2:$A$50,密度!$L$2:$L$50)</f>
        <v>88333.710110999993</v>
      </c>
      <c r="AA10" s="73" ph="1">
        <f>AA9*33.183*LOOKUP(AA11,密度!$A$2:$A$50,密度!$D$2:$D$50)</f>
        <v>58866.071252400005</v>
      </c>
      <c r="AB10" s="73" ph="1">
        <f>AB9*20.428*LOOKUP(AB11,密度!$A$2:$A$50,密度!$D$2:$D$50)</f>
        <v>45853.311854000007</v>
      </c>
      <c r="AC10" s="73" ph="1">
        <f>AC9*51.53*LOOKUP(AC11,密度!$A$2:$A$50,密度!$Q$2:$Q$50)</f>
        <v>332703.88609679998</v>
      </c>
      <c r="AD10" s="73" ph="1">
        <f>AD9*20.428*LOOKUP(AD11,密度!$A$2:$A$50,密度!$V$2:$V$50)</f>
        <v>5159.4591040000005</v>
      </c>
      <c r="AE10" s="73" ph="1">
        <f>AE9*20.428</f>
        <v>62101.120000000003</v>
      </c>
    </row>
    <row r="11" spans="1:99" ph="1">
      <c r="A11" s="64" t="s" ph="1">
        <v>196</v>
      </c>
      <c r="B11" s="235" ph="1"/>
      <c r="C11" s="151" t="s" ph="1">
        <v>213</v>
      </c>
      <c r="D11" s="74">
        <v>16</v>
      </c>
      <c r="E11" s="74">
        <v>14</v>
      </c>
      <c r="F11" s="74">
        <v>15</v>
      </c>
      <c r="G11" s="74">
        <v>14</v>
      </c>
      <c r="H11" s="74">
        <v>9</v>
      </c>
      <c r="I11" s="74">
        <v>25</v>
      </c>
      <c r="J11" s="74">
        <v>25</v>
      </c>
      <c r="K11" s="74">
        <v>25</v>
      </c>
      <c r="L11" s="74">
        <v>25</v>
      </c>
      <c r="M11" s="74">
        <v>14</v>
      </c>
      <c r="N11" s="74">
        <v>15</v>
      </c>
      <c r="O11" s="74">
        <v>22</v>
      </c>
      <c r="P11" s="74">
        <v>15</v>
      </c>
      <c r="Q11" s="74">
        <v>14</v>
      </c>
      <c r="R11" s="74">
        <v>22</v>
      </c>
      <c r="S11" s="74">
        <v>9</v>
      </c>
      <c r="T11" s="74">
        <v>11</v>
      </c>
      <c r="U11" s="74">
        <v>15</v>
      </c>
      <c r="V11" s="74">
        <v>19</v>
      </c>
      <c r="W11" s="74">
        <v>15</v>
      </c>
      <c r="X11" s="74">
        <v>6</v>
      </c>
      <c r="Y11" s="74">
        <v>15</v>
      </c>
      <c r="Z11" s="74">
        <v>15</v>
      </c>
      <c r="AA11" s="74">
        <v>15</v>
      </c>
      <c r="AB11" s="74">
        <v>5</v>
      </c>
      <c r="AC11" s="74">
        <v>13</v>
      </c>
      <c r="AD11" s="74">
        <v>13</v>
      </c>
      <c r="AE11" s="74">
        <v>16</v>
      </c>
    </row>
    <row r="12" spans="1:99" ht="9.9499999999999993" customHeight="1" ph="1"/>
    <row r="13" spans="1:99" s="72" customFormat="1" ht="29.25" customHeight="1" ph="1">
      <c r="B13" s="212" t="s" ph="1">
        <v>37</v>
      </c>
      <c r="C13" s="151" t="s" ph="1">
        <v>210</v>
      </c>
      <c r="D13" s="76" t="s" ph="1">
        <v>53</v>
      </c>
      <c r="E13" s="76" t="s" ph="1">
        <v>54</v>
      </c>
      <c r="F13" s="76" t="s" ph="1">
        <v>66</v>
      </c>
      <c r="G13" s="76" t="s" ph="1">
        <v>67</v>
      </c>
      <c r="H13" s="76" t="s" ph="1">
        <v>154</v>
      </c>
      <c r="I13" s="76" t="s" ph="1">
        <v>68</v>
      </c>
      <c r="J13" s="76" t="s" ph="1">
        <v>155</v>
      </c>
      <c r="K13" s="76" t="s" ph="1">
        <v>63</v>
      </c>
      <c r="L13" s="76" t="s" ph="1">
        <v>69</v>
      </c>
      <c r="M13" s="76" t="s" ph="1">
        <v>70</v>
      </c>
      <c r="N13" s="76" t="s" ph="1">
        <v>156</v>
      </c>
      <c r="O13" s="76" t="s" ph="1">
        <v>64</v>
      </c>
      <c r="P13" s="76" t="s" ph="1">
        <v>71</v>
      </c>
      <c r="Q13" s="76" t="s" ph="1">
        <v>72</v>
      </c>
      <c r="R13" s="76" t="s" ph="1">
        <v>73</v>
      </c>
      <c r="S13" s="76" t="s" ph="1">
        <v>74</v>
      </c>
      <c r="T13" s="76" t="s" ph="1">
        <v>75</v>
      </c>
      <c r="U13" s="76" t="s" ph="1">
        <v>76</v>
      </c>
      <c r="V13" s="76" t="s" ph="1">
        <v>157</v>
      </c>
      <c r="W13" s="76" t="s" ph="1">
        <v>158</v>
      </c>
      <c r="X13" s="76" t="s" ph="1">
        <v>159</v>
      </c>
      <c r="Y13" s="105" t="s" ph="1">
        <v>77</v>
      </c>
      <c r="Z13" s="76" t="s" ph="1">
        <v>86</v>
      </c>
      <c r="AA13" s="76" t="s" ph="1">
        <v>160</v>
      </c>
      <c r="AB13" s="76" t="s" ph="1">
        <v>161</v>
      </c>
      <c r="AC13" s="76" t="s" ph="1">
        <v>162</v>
      </c>
      <c r="AD13" s="76" t="s" ph="1">
        <v>163</v>
      </c>
      <c r="AE13" s="76" t="s" ph="1">
        <v>164</v>
      </c>
      <c r="AG13" s="72" t="s" ph="1">
        <v>369</v>
      </c>
      <c r="AH13" s="72" t="s" ph="1">
        <v>232</v>
      </c>
      <c r="AI13" s="72" t="s" ph="1">
        <v>233</v>
      </c>
      <c r="AJ13" s="72" t="s" ph="1">
        <v>234</v>
      </c>
      <c r="AK13" s="72" t="s" ph="1">
        <v>235</v>
      </c>
      <c r="AL13" s="72" t="s" ph="1">
        <v>236</v>
      </c>
      <c r="AM13" s="72" t="s" ph="1">
        <v>237</v>
      </c>
      <c r="AN13" s="72" t="s" ph="1">
        <v>238</v>
      </c>
      <c r="AO13" s="72" t="s" ph="1">
        <v>239</v>
      </c>
      <c r="AP13" s="72" t="s" ph="1">
        <v>240</v>
      </c>
      <c r="AQ13" s="72" t="s" ph="1">
        <v>241</v>
      </c>
      <c r="AR13" s="72" t="s" ph="1">
        <v>242</v>
      </c>
      <c r="AS13" s="72" t="s" ph="1">
        <v>243</v>
      </c>
      <c r="AT13" s="72" t="s" ph="1">
        <v>244</v>
      </c>
      <c r="AU13" s="72" t="s" ph="1">
        <v>245</v>
      </c>
      <c r="AV13" s="72" t="s" ph="1">
        <v>246</v>
      </c>
      <c r="AW13" s="72" t="s" ph="1">
        <v>247</v>
      </c>
      <c r="AX13" s="72" t="s" ph="1">
        <v>248</v>
      </c>
      <c r="AY13" s="72" t="s" ph="1">
        <v>370</v>
      </c>
      <c r="AZ13" s="72" t="s" ph="1">
        <v>249</v>
      </c>
      <c r="BA13" s="72" t="s" ph="1">
        <v>250</v>
      </c>
      <c r="BB13" s="72" t="s" ph="1">
        <v>635</v>
      </c>
      <c r="BC13" s="72" t="s" ph="1">
        <v>251</v>
      </c>
      <c r="BD13" s="72" t="s" ph="1">
        <v>371</v>
      </c>
      <c r="BE13" s="72" t="s" ph="1">
        <v>372</v>
      </c>
      <c r="BF13" s="72" t="s" ph="1">
        <v>373</v>
      </c>
      <c r="BG13" s="72" t="s" ph="1">
        <v>374</v>
      </c>
      <c r="BH13" s="72" t="s" ph="1">
        <v>375</v>
      </c>
    </row>
    <row r="14" spans="1:99" s="72" customFormat="1" ht="24" ph="1">
      <c r="B14" s="213" ph="1"/>
      <c r="C14" s="67" t="s" ph="1">
        <v>36</v>
      </c>
      <c r="D14" s="77" t="s" ph="1">
        <v>131</v>
      </c>
      <c r="E14" s="77" t="s" ph="1">
        <v>131</v>
      </c>
      <c r="F14" s="153" t="s" ph="1">
        <v>656</v>
      </c>
      <c r="G14" s="77" t="s" ph="1">
        <v>220</v>
      </c>
      <c r="H14" s="77" t="s" ph="1">
        <v>648</v>
      </c>
      <c r="I14" s="77" t="s" ph="1">
        <v>65</v>
      </c>
      <c r="J14" s="77" t="s" ph="1">
        <v>230</v>
      </c>
      <c r="K14" s="77" t="s" ph="1">
        <v>226</v>
      </c>
      <c r="L14" s="77" t="s" ph="1">
        <v>41</v>
      </c>
      <c r="M14" s="104" t="s" ph="1">
        <v>225</v>
      </c>
      <c r="N14" s="104" t="s" ph="1">
        <v>221</v>
      </c>
      <c r="O14" s="104" t="s" ph="1">
        <v>229</v>
      </c>
      <c r="P14" s="77" t="s" ph="1">
        <v>82</v>
      </c>
      <c r="Q14" s="77" t="s" ph="1">
        <v>82</v>
      </c>
      <c r="R14" s="88" t="s" ph="1">
        <v>7</v>
      </c>
      <c r="S14" s="77" t="s" ph="1">
        <v>82</v>
      </c>
      <c r="T14" s="77" t="s" ph="1">
        <v>98</v>
      </c>
      <c r="U14" s="77" t="s" ph="1">
        <v>659</v>
      </c>
      <c r="V14" s="77" t="s" ph="1">
        <v>649</v>
      </c>
      <c r="W14" s="77" t="s" ph="1">
        <v>223</v>
      </c>
      <c r="X14" s="77" t="s" ph="1">
        <v>78</v>
      </c>
      <c r="Y14" s="144" t="s" ph="1">
        <v>0</v>
      </c>
      <c r="Z14" s="77" t="s" ph="1">
        <v>62</v>
      </c>
      <c r="AA14" s="77" t="s" ph="1">
        <v>88</v>
      </c>
      <c r="AB14" s="77" t="s" ph="1">
        <v>653</v>
      </c>
      <c r="AC14" s="77" t="s" ph="1">
        <v>653</v>
      </c>
      <c r="AD14" s="77" t="s" ph="1">
        <v>136</v>
      </c>
      <c r="AE14" s="77" t="s" ph="1">
        <v>136</v>
      </c>
      <c r="AG14" s="72" t="s" ph="1">
        <v>252</v>
      </c>
      <c r="AI14" s="72" t="s" ph="1">
        <v>253</v>
      </c>
      <c r="AJ14" s="72" t="s" ph="1">
        <v>376</v>
      </c>
      <c r="AK14" s="72" t="s" ph="1">
        <v>254</v>
      </c>
      <c r="AM14" s="72" t="s" ph="1">
        <v>256</v>
      </c>
      <c r="AN14" s="72" t="s" ph="1">
        <v>254</v>
      </c>
      <c r="AO14" s="72" t="s" ph="1">
        <v>255</v>
      </c>
      <c r="AP14" s="72" t="s" ph="1">
        <v>256</v>
      </c>
      <c r="AQ14" s="72" t="s" ph="1">
        <v>254</v>
      </c>
      <c r="AR14" s="72" t="s" ph="1">
        <v>255</v>
      </c>
      <c r="AS14" s="72" t="s" ph="1">
        <v>256</v>
      </c>
      <c r="AT14" s="72" t="s" ph="1">
        <v>254</v>
      </c>
      <c r="AU14" s="72" t="s" ph="1">
        <v>255</v>
      </c>
      <c r="AV14" s="72" t="s" ph="1">
        <v>256</v>
      </c>
      <c r="AW14" s="72" t="s" ph="1">
        <v>254</v>
      </c>
      <c r="AX14" s="72" t="s" ph="1">
        <v>255</v>
      </c>
      <c r="AY14" s="72" t="s" ph="1">
        <v>256</v>
      </c>
      <c r="AZ14" s="72" t="s" ph="1">
        <v>255</v>
      </c>
    </row>
    <row r="15" spans="1:99" ph="1">
      <c r="B15" s="214" ph="1">
        <v>0.33333333333333331</v>
      </c>
      <c r="C15" s="151" t="s" ph="1">
        <v>211</v>
      </c>
      <c r="D15" s="78">
        <v>4200</v>
      </c>
      <c r="E15" s="78">
        <v>73</v>
      </c>
      <c r="F15" s="78">
        <v>3555</v>
      </c>
      <c r="G15" s="78">
        <v>618</v>
      </c>
      <c r="H15" s="78">
        <v>582</v>
      </c>
      <c r="I15" s="78">
        <v>6</v>
      </c>
      <c r="J15" s="78">
        <v>391</v>
      </c>
      <c r="K15" s="78">
        <v>1881</v>
      </c>
      <c r="L15" s="78">
        <v>3418</v>
      </c>
      <c r="M15" s="78">
        <v>1593</v>
      </c>
      <c r="N15" s="78">
        <v>858</v>
      </c>
      <c r="O15" s="78">
        <v>234</v>
      </c>
      <c r="P15" s="78">
        <v>1099</v>
      </c>
      <c r="Q15" s="78">
        <v>4487</v>
      </c>
      <c r="R15" s="78">
        <v>3485</v>
      </c>
      <c r="S15" s="78">
        <v>5601</v>
      </c>
      <c r="T15" s="78">
        <v>2321</v>
      </c>
      <c r="U15" s="78">
        <v>5107</v>
      </c>
      <c r="V15" s="78">
        <v>-1647</v>
      </c>
      <c r="W15" s="78">
        <v>-594</v>
      </c>
      <c r="X15" s="78">
        <v>946</v>
      </c>
      <c r="Y15" s="106">
        <v>-9901</v>
      </c>
      <c r="Z15" s="78">
        <v>0</v>
      </c>
      <c r="AA15" s="78">
        <v>29</v>
      </c>
      <c r="AB15" s="78" ph="1">
        <v>6262</v>
      </c>
      <c r="AC15" s="78" ph="1">
        <v>6487</v>
      </c>
      <c r="AD15" s="78">
        <v>84.42</v>
      </c>
      <c r="AE15" s="78">
        <v>42.63</v>
      </c>
      <c r="AG15" s="64" t="s" ph="1">
        <v>258</v>
      </c>
      <c r="AH15" s="64" ph="1">
        <v>1</v>
      </c>
      <c r="AI15" s="64" t="s" ph="1">
        <v>377</v>
      </c>
      <c r="AK15" s="64" t="s" ph="1">
        <v>631</v>
      </c>
      <c r="AM15" s="64" t="s" ph="1">
        <v>379</v>
      </c>
      <c r="AZ15" s="64" t="s" ph="1">
        <v>260</v>
      </c>
      <c r="BA15" s="64" ph="1">
        <v>0</v>
      </c>
    </row>
    <row r="16" spans="1:99" s="72" customFormat="1" ht="22.5" ph="1">
      <c r="B16" s="215" ph="1"/>
      <c r="C16" s="151" t="s" ph="1">
        <v>212</v>
      </c>
      <c r="D16" s="73" ph="1">
        <f>D15*7.0686*LOOKUP(D17,密度!$A$2:$A$50,密度!$L$2:$L$50)</f>
        <v>28203.713999999996</v>
      </c>
      <c r="E16" s="73" ph="1">
        <f>E15*7.0686*LOOKUP(E17,密度!$A$2:$A$50,密度!$L$2:$L$50)</f>
        <v>490.20740999999992</v>
      </c>
      <c r="F16" s="73" ph="1">
        <f>F15*9.0746*LOOKUP(F17,密度!$A$2:$A$50,密度!$L$2:$L$50)</f>
        <v>30808.493865</v>
      </c>
      <c r="G16" s="73" ph="1">
        <f>G15*9.0746*LOOKUP(G17,密度!$A$2:$A$50,密度!$B$2:$B$50)</f>
        <v>4462.3673979599998</v>
      </c>
      <c r="H16" s="73" ph="1">
        <f>H15*9.0746*LOOKUP(H17,密度!$A$2:$A$50,密度!$L$2:$L$50)</f>
        <v>5033.1905915999996</v>
      </c>
      <c r="I16" s="73" ph="1">
        <f>I15*9.0746*LOOKUP(I17,密度!$A$2:$A$50,密度!$U$2:$U$50)</f>
        <v>55.972132800000004</v>
      </c>
      <c r="J16" s="73" ph="1">
        <f>J15*9.0746*LOOKUP(J17,密度!$A$2:$A$50,密度!$L$2:$L$50)</f>
        <v>3367.2120013999997</v>
      </c>
      <c r="K16" s="73" ph="1">
        <f>K15*9.0746*LOOKUP(K17,密度!$A$2:$A$50,密度!$C$2:$C$50)</f>
        <v>19086.916531319999</v>
      </c>
      <c r="L16" s="73" ph="1">
        <f>L15*9.0746*LOOKUP(L17,密度!$A$2:$A$50,密度!$E$2:$E$50)</f>
        <v>24754.653972680004</v>
      </c>
      <c r="M16" s="73" ph="1">
        <f>M15*9.0746*LOOKUP(M17,密度!$A$2:$A$50,密度!$M$2:$M$50)</f>
        <v>12725.47401534</v>
      </c>
      <c r="N16" s="73" ph="1">
        <f>N15*9.0746*LOOKUP(N17,密度!$A$2:$A$50,密度!$M$2:$M$50)</f>
        <v>6854.0217860399998</v>
      </c>
      <c r="O16" s="73" ph="1">
        <f>O15*9.0746*LOOKUP(O17,密度!$A$2:$A$50,密度!$G$2:$G$50)</f>
        <v>1697.0663548800001</v>
      </c>
      <c r="P16" s="73" ph="1">
        <f ca="1">P15*9.0746*LOOKUP(P17,密度!$A$2:$A$51,密度!$Q$2:$Q$50)</f>
        <v>9519.6134837160007</v>
      </c>
      <c r="Q16" s="73" ph="1">
        <f>Q15*9.0746*LOOKUP(Q17,密度!$A$2:$A$50,密度!$Q$2:$Q$50)</f>
        <v>38866.702185107999</v>
      </c>
      <c r="R16" s="73" ph="1">
        <f>MAX(R15*9.0746*LOOKUP(R17,密度!$A$2:$A$50,密度!$B$2:$B$50),0)</f>
        <v>24948.947510900001</v>
      </c>
      <c r="S16" s="73" ph="1">
        <f>S15*9.0746*LOOKUP(S17,密度!$A$2:$A$50,密度!$Q$2:$Q$50)</f>
        <v>48516.246699084004</v>
      </c>
      <c r="T16" s="73" ph="1">
        <f>T15*9.0746*LOOKUP(T17,密度!$A$2:$A$50,密度!$O$2:$O$50)</f>
        <v>19672.044924400001</v>
      </c>
      <c r="U16" s="73" ph="1">
        <f>U15*9.0746*LOOKUP(U17,密度!$A$2:$A$50,密度!$H$2:$H$50)</f>
        <v>43039.656269139996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215.4641142240007</v>
      </c>
      <c r="X16" s="73" ph="1">
        <f>MAX(5600*LOOKUP(X17,密度!$A$2:$A$50,密度!$I$2:$I$50)+X15*9.0476*LOOKUP(X17,密度!$A$2:$A$50,密度!$I$2:$I$50),0)</f>
        <v>14646.100218240001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208.50436182000001</v>
      </c>
      <c r="AB16" s="73" ph="1">
        <f>AB15*9.0746*LOOKUP(AB17,密度!$A$2:$A$50,密度!$L$2:$L$50)</f>
        <v>53813.412504399996</v>
      </c>
      <c r="AC16" s="73" ph="1">
        <f>AC15*9.0746*LOOKUP(AC17,密度!$A$2:$A$50,密度!$L$2:$L$50)</f>
        <v>55923.583689999999</v>
      </c>
      <c r="AD16" s="73" ph="1">
        <f>AD15*268.68*LOOKUP(AD17,密度!$A$2:$A$50,密度!B2:B50)+IF(AD15&lt;=0,0,1566*LOOKUP(AD17,密度!$A$2:$A$50,密度!B2:B50))</f>
        <v>18903.713981759996</v>
      </c>
      <c r="AE16" s="73" ph="1">
        <f>AE15*268.68*LOOKUP(AE17,密度!$A$2:$A$50,密度!B2:B50)+IF(AE15&lt;=0,0,1566*LOOKUP(AE17,密度!$A$2:$A$50,密度!B2:B50))</f>
        <v>10150.25822064</v>
      </c>
      <c r="AH16" s="72" ph="1">
        <v>2</v>
      </c>
      <c r="AI16" s="72" t="s" ph="1">
        <v>381</v>
      </c>
      <c r="AZ16" s="72" t="s" ph="1">
        <v>260</v>
      </c>
      <c r="BA16" s="72" ph="1">
        <v>0</v>
      </c>
    </row>
    <row r="17" spans="1:57" ph="1">
      <c r="A17" s="64" t="s" ph="1">
        <v>85</v>
      </c>
      <c r="B17" s="216" ph="1"/>
      <c r="C17" s="79" t="s" ph="1">
        <v>213</v>
      </c>
      <c r="D17" s="74">
        <v>12</v>
      </c>
      <c r="E17" s="74">
        <v>12</v>
      </c>
      <c r="F17" s="74">
        <v>7</v>
      </c>
      <c r="G17" s="74">
        <v>6</v>
      </c>
      <c r="H17" s="74">
        <v>9</v>
      </c>
      <c r="I17" s="74">
        <v>6</v>
      </c>
      <c r="J17" s="74">
        <v>13</v>
      </c>
      <c r="K17" s="74">
        <v>12</v>
      </c>
      <c r="L17" s="74">
        <v>13</v>
      </c>
      <c r="M17" s="74">
        <v>14</v>
      </c>
      <c r="N17" s="74">
        <v>7</v>
      </c>
      <c r="O17" s="74">
        <v>7</v>
      </c>
      <c r="P17" s="74">
        <v>11</v>
      </c>
      <c r="Q17" s="74">
        <v>12</v>
      </c>
      <c r="R17" s="74">
        <v>14</v>
      </c>
      <c r="S17" s="74">
        <v>13</v>
      </c>
      <c r="T17" s="74">
        <v>13</v>
      </c>
      <c r="U17" s="74">
        <v>11</v>
      </c>
      <c r="V17" s="74">
        <v>13</v>
      </c>
      <c r="W17" s="74">
        <v>12</v>
      </c>
      <c r="X17" s="74">
        <v>32</v>
      </c>
      <c r="Y17" s="108">
        <v>32</v>
      </c>
      <c r="Z17" s="74">
        <v>13</v>
      </c>
      <c r="AA17" s="74">
        <v>10</v>
      </c>
      <c r="AB17" s="74">
        <v>15</v>
      </c>
      <c r="AC17" s="74">
        <v>12</v>
      </c>
      <c r="AD17" s="74">
        <v>25</v>
      </c>
      <c r="AE17" s="74">
        <v>25</v>
      </c>
      <c r="AH17" s="64" ph="1">
        <v>3</v>
      </c>
      <c r="AI17" s="64" t="s" ph="1">
        <v>382</v>
      </c>
      <c r="AK17" s="64" t="s" ph="1">
        <v>614</v>
      </c>
      <c r="AL17" s="64" ph="1">
        <v>80</v>
      </c>
      <c r="AM17" s="64" t="s" ph="1">
        <v>379</v>
      </c>
      <c r="AZ17" s="64" t="s" ph="1">
        <v>260</v>
      </c>
      <c r="BA17" s="64" ph="1">
        <v>80</v>
      </c>
      <c r="BD17" s="64" t="s" ph="1">
        <v>258</v>
      </c>
      <c r="BE17" s="64" ph="1">
        <v>2270</v>
      </c>
    </row>
    <row r="18" spans="1:57" ph="1">
      <c r="B18" s="214" ph="1">
        <v>0.66666666666666663</v>
      </c>
      <c r="C18" s="79" t="s" ph="1">
        <v>214</v>
      </c>
      <c r="D18" s="71">
        <v>4300</v>
      </c>
      <c r="E18" s="71">
        <v>73</v>
      </c>
      <c r="F18" s="71">
        <v>3552</v>
      </c>
      <c r="G18" s="71">
        <v>1813</v>
      </c>
      <c r="H18" s="71">
        <v>2921</v>
      </c>
      <c r="I18" s="71">
        <v>6</v>
      </c>
      <c r="J18" s="71">
        <v>390</v>
      </c>
      <c r="K18" s="71">
        <v>1881</v>
      </c>
      <c r="L18" s="71">
        <v>1035</v>
      </c>
      <c r="M18" s="71">
        <v>1596</v>
      </c>
      <c r="N18" s="71">
        <v>1706</v>
      </c>
      <c r="O18" s="71">
        <v>233</v>
      </c>
      <c r="P18" s="71">
        <v>1098</v>
      </c>
      <c r="Q18" s="71">
        <v>4487</v>
      </c>
      <c r="R18" s="71">
        <v>3485</v>
      </c>
      <c r="S18" s="71">
        <v>5601</v>
      </c>
      <c r="T18" s="71">
        <v>2321</v>
      </c>
      <c r="U18" s="71">
        <v>5106</v>
      </c>
      <c r="V18" s="71">
        <v>-1651</v>
      </c>
      <c r="W18" s="71">
        <v>-594</v>
      </c>
      <c r="X18" s="71">
        <v>944</v>
      </c>
      <c r="Y18" s="109">
        <v>-9901</v>
      </c>
      <c r="Z18" s="71">
        <v>0</v>
      </c>
      <c r="AA18" s="71">
        <v>28</v>
      </c>
      <c r="AB18" s="71">
        <v>6263</v>
      </c>
      <c r="AC18" s="71">
        <v>6487</v>
      </c>
      <c r="AD18" s="71">
        <v>5.12</v>
      </c>
      <c r="AE18" s="71">
        <v>69.45</v>
      </c>
      <c r="AH18" s="64" ph="1">
        <v>4</v>
      </c>
      <c r="AI18" s="64" t="s" ph="1">
        <v>384</v>
      </c>
      <c r="AJ18" s="64" t="s" ph="1">
        <v>632</v>
      </c>
      <c r="AK18" s="64" t="s" ph="1">
        <v>631</v>
      </c>
      <c r="AL18" s="64" ph="1">
        <v>740</v>
      </c>
      <c r="AM18" s="64" t="s" ph="1">
        <v>383</v>
      </c>
      <c r="AZ18" s="64" t="s" ph="1">
        <v>260</v>
      </c>
      <c r="BA18" s="64" ph="1">
        <v>740</v>
      </c>
    </row>
    <row r="19" spans="1:57" s="72" customFormat="1" ht="22.5" ph="1">
      <c r="B19" s="215" ph="1"/>
      <c r="C19" s="151" t="s" ph="1">
        <v>212</v>
      </c>
      <c r="D19" s="73" ph="1">
        <f>D18*7.0686*LOOKUP(D20,密度!$A$2:$A$50,密度!$L$2:$L$50)</f>
        <v>28784.046059999997</v>
      </c>
      <c r="E19" s="73" ph="1">
        <f>E18*7.0686*LOOKUP(E20,密度!$A$2:$A$50,密度!$L$2:$L$50)</f>
        <v>489.17539439999996</v>
      </c>
      <c r="F19" s="73" ph="1">
        <f>F18*9.0746*LOOKUP(F20,密度!$A$2:$A$50,密度!$L$2:$L$50)</f>
        <v>30524.631302400001</v>
      </c>
      <c r="G19" s="73" ph="1">
        <f>G18*9.0746*LOOKUP(G20,密度!$A$2:$A$50,密度!$B$2:$B$50)</f>
        <v>12964.372842400002</v>
      </c>
      <c r="H19" s="73" ph="1">
        <f>H18*9.0746*LOOKUP(H20,密度!$A$2:$A$50,密度!$L$2:$L$50)</f>
        <v>24836.971484200003</v>
      </c>
      <c r="I19" s="73" ph="1">
        <f>I18*9.0746*LOOKUP(I20,密度!$A$2:$A$50,密度!$U$2:$U$50)</f>
        <v>55.972132800000004</v>
      </c>
      <c r="J19" s="73" ph="1">
        <f>J18*9.0746*LOOKUP(J20,密度!$A$2:$A$50,密度!$L$2:$L$50)</f>
        <v>3351.5220179999997</v>
      </c>
      <c r="K19" s="73" ph="1">
        <f>K18*9.0746*LOOKUP(K20,密度!$A$2:$A$50,密度!$C$2:$C$50)</f>
        <v>19059.605615159999</v>
      </c>
      <c r="L19" s="73" ph="1">
        <f>L18*9.0746*LOOKUP(L20,密度!$A$2:$A$50,密度!$E$2:$E$50)</f>
        <v>7463.9900816999989</v>
      </c>
      <c r="M19" s="73" ph="1">
        <f>M18*9.0746*LOOKUP(M20,密度!$A$2:$A$50,密度!$M$2:$M$50)</f>
        <v>12749.43912648</v>
      </c>
      <c r="N19" s="73" ph="1">
        <f>N18*9.0746*LOOKUP(N20,密度!$A$2:$A$50,密度!$M$2:$M$50)</f>
        <v>13628.159868280001</v>
      </c>
      <c r="O19" s="73" ph="1">
        <f>O18*9.0746*LOOKUP(O20,密度!$A$2:$A$50,密度!$G$2:$G$50)</f>
        <v>2050.9503460000001</v>
      </c>
      <c r="P19" s="73" ph="1">
        <f ca="1">P18*9.0746*LOOKUP(P20,密度!$A$2:$A$51,密度!$Q$2:$Q$50)</f>
        <v>9510.951415032001</v>
      </c>
      <c r="Q19" s="73" ph="1">
        <f>Q18*9.0746*LOOKUP(Q20,密度!$A$2:$A$50,密度!$Q$2:$Q$50)</f>
        <v>38866.702185107999</v>
      </c>
      <c r="R19" s="73" ph="1">
        <f>MAX(R18*9.0746*LOOKUP(R20,密度!$A$2:$A$50,密度!$B$2:$B$50),0)</f>
        <v>24920.485027999999</v>
      </c>
      <c r="S19" s="73" ph="1">
        <f>S18*9.0746*LOOKUP(S20,密度!$A$2:$A$50,密度!$Q$2:$Q$50)</f>
        <v>48516.246699084004</v>
      </c>
      <c r="T19" s="73" ph="1">
        <f>T18*9.0746*LOOKUP(T20,密度!$A$2:$A$50,密度!$O$2:$O$50)</f>
        <v>19672.044924400001</v>
      </c>
      <c r="U19" s="73" ph="1">
        <f>U18*9.0746*LOOKUP(U20,密度!$A$2:$A$50,密度!$H$2:$H$50)</f>
        <v>42938.558872919995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215.4641142240007</v>
      </c>
      <c r="X19" s="73" ph="1">
        <f>MAX(5600*LOOKUP(X20,密度!$A$2:$A$50,密度!$I$2:$I$50)+X18*9.0476*LOOKUP(X20,密度!$A$2:$A$50,密度!$I$2:$I$50),0)</f>
        <v>14674.047626880001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200.88260527999998</v>
      </c>
      <c r="AB19" s="73" ph="1">
        <f>AB18*9.0746*LOOKUP(AB20,密度!$A$2:$A$50,密度!$L$2:$L$50)</f>
        <v>53822.006150599998</v>
      </c>
      <c r="AC19" s="73" ph="1">
        <f>AC18*9.0746*LOOKUP(AC20,密度!$A$2:$A$50,密度!$L$2:$L$50)</f>
        <v>55864.716759800001</v>
      </c>
      <c r="AD19" s="73" ph="1">
        <f>AD18*268.68*LOOKUP(AD20,密度!$A$2:$A$50,密度!B5:B53)+IF(AD18&lt;=0,0,1566*LOOKUP(AD20,密度!$A$2:$A$50,密度!B5:B53))</f>
        <v>2285.6555232000001</v>
      </c>
      <c r="AE19" s="73" ph="1">
        <f>AE18*268.68*LOOKUP(AE20,密度!$A$2:$A$50,密度!B5:B53)+IF(AE18&lt;=0,0,1566*LOOKUP(AE20,密度!$A$2:$A$50,密度!B5:B53))</f>
        <v>15715.466802000001</v>
      </c>
      <c r="AH19" s="72" ph="1">
        <v>5</v>
      </c>
      <c r="AI19" s="72" t="s" ph="1">
        <v>385</v>
      </c>
      <c r="AZ19" s="72" t="s" ph="1">
        <v>260</v>
      </c>
      <c r="BA19" s="72" ph="1">
        <v>0</v>
      </c>
      <c r="BD19" s="72" t="s" ph="1">
        <v>386</v>
      </c>
      <c r="BE19" s="72" ph="1">
        <v>1440</v>
      </c>
    </row>
    <row r="20" spans="1:57" ph="1">
      <c r="A20" s="72" ph="1"/>
      <c r="B20" s="215" ph="1"/>
      <c r="C20" s="80" t="s" ph="1">
        <v>213</v>
      </c>
      <c r="D20" s="81">
        <v>15</v>
      </c>
      <c r="E20" s="81">
        <v>14</v>
      </c>
      <c r="F20" s="81">
        <v>15</v>
      </c>
      <c r="G20" s="81">
        <v>15</v>
      </c>
      <c r="H20" s="81">
        <v>25</v>
      </c>
      <c r="I20" s="81">
        <v>15</v>
      </c>
      <c r="J20" s="81">
        <v>15</v>
      </c>
      <c r="K20" s="81">
        <v>14</v>
      </c>
      <c r="L20" s="81">
        <v>15</v>
      </c>
      <c r="M20" s="81">
        <v>16</v>
      </c>
      <c r="N20" s="81">
        <v>14</v>
      </c>
      <c r="O20" s="81">
        <v>16</v>
      </c>
      <c r="P20" s="81">
        <v>15</v>
      </c>
      <c r="Q20" s="81">
        <v>14</v>
      </c>
      <c r="R20" s="81">
        <v>15</v>
      </c>
      <c r="S20" s="81">
        <v>15</v>
      </c>
      <c r="T20" s="81">
        <v>14</v>
      </c>
      <c r="U20" s="81">
        <v>13</v>
      </c>
      <c r="V20" s="81">
        <v>14</v>
      </c>
      <c r="W20" s="81">
        <v>14</v>
      </c>
      <c r="X20" s="81">
        <v>29</v>
      </c>
      <c r="Y20" s="110">
        <v>29</v>
      </c>
      <c r="Z20" s="81">
        <v>16</v>
      </c>
      <c r="AA20" s="81">
        <v>12</v>
      </c>
      <c r="AB20" s="81">
        <v>15</v>
      </c>
      <c r="AC20" s="81">
        <v>13</v>
      </c>
      <c r="AD20" s="81">
        <v>25</v>
      </c>
      <c r="AE20" s="81">
        <v>25</v>
      </c>
      <c r="AH20" s="64" ph="1">
        <v>6</v>
      </c>
      <c r="AI20" s="64" t="s" ph="1">
        <v>387</v>
      </c>
      <c r="AZ20" s="64" t="s" ph="1">
        <v>260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388</v>
      </c>
      <c r="AZ21" s="64" t="s" ph="1">
        <v>260</v>
      </c>
      <c r="BA21" s="64" ph="1">
        <v>0</v>
      </c>
      <c r="BD21" s="64" t="s" ph="1">
        <v>276</v>
      </c>
      <c r="BE21" s="64" ph="1">
        <v>730</v>
      </c>
    </row>
    <row r="22" spans="1:57" ph="1">
      <c r="A22" s="72" ph="1"/>
      <c r="B22" s="213" t="s" ph="1">
        <v>37</v>
      </c>
      <c r="C22" s="85" t="s" ph="1">
        <v>210</v>
      </c>
      <c r="D22" s="86" t="s" ph="1">
        <v>104</v>
      </c>
      <c r="E22" s="86" t="s" ph="1">
        <v>105</v>
      </c>
      <c r="F22" s="86" t="s" ph="1">
        <v>106</v>
      </c>
      <c r="G22" s="86" t="s" ph="1">
        <v>107</v>
      </c>
      <c r="H22" s="86" t="s" ph="1">
        <v>108</v>
      </c>
      <c r="I22" s="86" t="s" ph="1">
        <v>109</v>
      </c>
      <c r="J22" s="86" t="s" ph="1">
        <v>110</v>
      </c>
      <c r="K22" s="86" t="s" ph="1">
        <v>111</v>
      </c>
      <c r="L22" s="86" t="s" ph="1">
        <v>112</v>
      </c>
      <c r="M22" s="86" t="s" ph="1">
        <v>113</v>
      </c>
      <c r="N22" s="86" t="s" ph="1">
        <v>114</v>
      </c>
      <c r="O22" s="86" t="s" ph="1">
        <v>115</v>
      </c>
      <c r="P22" s="86" t="s" ph="1">
        <v>116</v>
      </c>
      <c r="Q22" s="87" t="s" ph="1">
        <v>117</v>
      </c>
      <c r="R22" s="86" t="s" ph="1">
        <v>118</v>
      </c>
      <c r="S22" s="86" t="s" ph="1">
        <v>119</v>
      </c>
      <c r="T22" s="86" t="s" ph="1">
        <v>120</v>
      </c>
      <c r="U22" s="86" t="s" ph="1">
        <v>121</v>
      </c>
      <c r="V22" s="86" t="s" ph="1">
        <v>122</v>
      </c>
      <c r="W22" s="86" t="s" ph="1">
        <v>123</v>
      </c>
      <c r="X22" s="86" t="s" ph="1">
        <v>124</v>
      </c>
      <c r="Y22" s="86" t="s" ph="1">
        <v>126</v>
      </c>
      <c r="Z22" s="223" t="s" ph="1">
        <v>79</v>
      </c>
      <c r="AA22" s="224"/>
      <c r="AB22" s="224"/>
      <c r="AC22" s="224"/>
      <c r="AD22" s="224"/>
      <c r="AE22" s="225"/>
      <c r="AH22" s="64" ph="1">
        <v>8</v>
      </c>
      <c r="AI22" s="64" t="s" ph="1">
        <v>389</v>
      </c>
      <c r="AZ22" s="64" t="s" ph="1">
        <v>260</v>
      </c>
      <c r="BA22" s="64" ph="1">
        <v>0</v>
      </c>
    </row>
    <row r="23" spans="1:57" ph="1">
      <c r="A23" s="72" ph="1"/>
      <c r="B23" s="217" ph="1"/>
      <c r="C23" s="67" t="s" ph="1">
        <v>36</v>
      </c>
      <c r="D23" s="88" t="s" ph="1">
        <v>128</v>
      </c>
      <c r="E23" s="88" t="s" ph="1">
        <v>125</v>
      </c>
      <c r="F23" s="88" t="s" ph="1">
        <v>224</v>
      </c>
      <c r="G23" s="88" t="s" ph="1">
        <v>165</v>
      </c>
      <c r="H23" s="88" t="s" ph="1">
        <v>165</v>
      </c>
      <c r="I23" s="88" t="s" ph="1">
        <v>166</v>
      </c>
      <c r="J23" s="88" t="s" ph="1">
        <v>167</v>
      </c>
      <c r="K23" s="88" t="s" ph="1">
        <v>129</v>
      </c>
      <c r="L23" s="88" t="s" ph="1">
        <v>129</v>
      </c>
      <c r="M23" s="88" t="s" ph="1">
        <v>167</v>
      </c>
      <c r="N23" s="88" t="s" ph="1">
        <v>167</v>
      </c>
      <c r="O23" s="88" t="s" ph="1">
        <v>132</v>
      </c>
      <c r="P23" s="88" t="s" ph="1">
        <v>168</v>
      </c>
      <c r="Q23" s="89" t="s" ph="1">
        <v>168</v>
      </c>
      <c r="R23" s="88" t="s" ph="1">
        <v>169</v>
      </c>
      <c r="S23" s="88" t="s" ph="1">
        <v>170</v>
      </c>
      <c r="T23" s="88" t="s" ph="1">
        <v>651</v>
      </c>
      <c r="U23" s="88" t="s" ph="1">
        <v>660</v>
      </c>
      <c r="V23" s="88" t="s" ph="1">
        <v>172</v>
      </c>
      <c r="W23" s="88" t="s" ph="1">
        <v>170</v>
      </c>
      <c r="X23" s="88" t="s" ph="1">
        <v>231</v>
      </c>
      <c r="Y23" s="88" t="s" ph="1">
        <v>97</v>
      </c>
      <c r="Z23" s="226" t="s" ph="1">
        <v>658</v>
      </c>
      <c r="AA23" s="227"/>
      <c r="AB23" s="227"/>
      <c r="AC23" s="227"/>
      <c r="AD23" s="227"/>
      <c r="AE23" s="228"/>
      <c r="AH23" s="64" ph="1">
        <v>9</v>
      </c>
      <c r="AI23" s="64" t="s" ph="1">
        <v>390</v>
      </c>
      <c r="AZ23" s="64" t="s" ph="1">
        <v>260</v>
      </c>
      <c r="BA23" s="64" ph="1">
        <v>0</v>
      </c>
      <c r="BD23" s="64" t="s" ph="1">
        <v>282</v>
      </c>
      <c r="BE23" s="64" ph="1">
        <v>890</v>
      </c>
    </row>
    <row r="24" spans="1:57" ph="1">
      <c r="A24" s="72" ph="1"/>
      <c r="B24" s="235" ph="1">
        <v>0.33333333333333331</v>
      </c>
      <c r="C24" s="151" t="s" ph="1">
        <v>211</v>
      </c>
      <c r="D24" s="71">
        <v>44.08</v>
      </c>
      <c r="E24" s="71">
        <v>97.56</v>
      </c>
      <c r="F24" s="71">
        <v>2146</v>
      </c>
      <c r="G24" s="71">
        <v>3049</v>
      </c>
      <c r="H24" s="71">
        <v>3505</v>
      </c>
      <c r="I24" s="71">
        <v>2531</v>
      </c>
      <c r="J24" s="71">
        <v>2446</v>
      </c>
      <c r="K24" s="71">
        <v>5601</v>
      </c>
      <c r="L24" s="71">
        <v>5575</v>
      </c>
      <c r="M24" s="71">
        <v>1381</v>
      </c>
      <c r="N24" s="71">
        <v>868</v>
      </c>
      <c r="O24" s="71">
        <v>2052</v>
      </c>
      <c r="P24" s="71">
        <v>2475</v>
      </c>
      <c r="Q24" s="90">
        <v>1874</v>
      </c>
      <c r="R24" s="71">
        <v>2014</v>
      </c>
      <c r="S24" s="71">
        <v>800</v>
      </c>
      <c r="T24" s="71">
        <v>6383</v>
      </c>
      <c r="U24" s="71">
        <v>5043</v>
      </c>
      <c r="V24" s="71">
        <v>393</v>
      </c>
      <c r="W24" s="71">
        <v>11300</v>
      </c>
      <c r="X24" s="71">
        <v>10265</v>
      </c>
      <c r="Y24" s="71">
        <v>6111</v>
      </c>
      <c r="Z24" s="229"/>
      <c r="AA24" s="230"/>
      <c r="AB24" s="230"/>
      <c r="AC24" s="230"/>
      <c r="AD24" s="230"/>
      <c r="AE24" s="231"/>
      <c r="AH24" s="64" ph="1">
        <v>10</v>
      </c>
      <c r="AI24" s="64" t="s" ph="1">
        <v>391</v>
      </c>
      <c r="AZ24" s="64" t="s" ph="1">
        <v>260</v>
      </c>
      <c r="BA24" s="64" ph="1">
        <v>0</v>
      </c>
    </row>
    <row r="25" spans="1:57" ph="1">
      <c r="A25" s="72" ph="1"/>
      <c r="B25" s="235" ph="1"/>
      <c r="C25" s="68" t="s" ph="1">
        <v>212</v>
      </c>
      <c r="D25" s="91" ph="1">
        <f>D24*268.68*LOOKUP(D26,密度!$A$2:$A$50,密度!$Q$2:$Q$50)+IF(D24&lt;=0,0,1566*LOOKUP(D26,密度!$A$2:$A$50,密度!$Q$2:$Q$50))</f>
        <v>12695.228989056001</v>
      </c>
      <c r="E25" s="91" ph="1">
        <f>E24*268.68*LOOKUP(E26,密度!$A$2:$A$50,密度!$C$2:$C$50)+IF(E24&lt;=0,0,1566*LOOKUP(E26,密度!$A$2:$A$50,密度!$C$2:$C$50))</f>
        <v>30803.490825119999</v>
      </c>
      <c r="F25" s="91" ph="1">
        <f>F24*11.702*LOOKUP(F26,密度!$A$2:$A$50,密度!$Q$2:$Q$50)</f>
        <v>23970.878113679999</v>
      </c>
      <c r="G25" s="91" ph="1">
        <f>G24*18.322*LOOKUP(G26,密度!$A$2:$A$50,密度!$B$2:$B$50)</f>
        <v>44070.9344642</v>
      </c>
      <c r="H25" s="91" ph="1">
        <f>H24*18.322*LOOKUP(H26,密度!$A$2:$A$50,密度!$B$2:$B$50)</f>
        <v>50713.436317</v>
      </c>
      <c r="I25" s="91" ph="1">
        <f>I24*18.322*LOOKUP(I26,密度!$A$2:$A$50,密度!$Q$2:$Q$50)</f>
        <v>44264.866238279996</v>
      </c>
      <c r="J25" s="91" ph="1">
        <f>J24*18.322*LOOKUP(J26,密度!$A$2:$A$50,密度!$Q$2:$Q$50)</f>
        <v>42778.294278480003</v>
      </c>
      <c r="K25" s="91" ph="1">
        <f>K24*18.322*LOOKUP(K26,密度!$A$2:$A$50,密度!$Q$2:$Q$50)</f>
        <v>97956.347609880002</v>
      </c>
      <c r="L25" s="91" ph="1">
        <f>L24*18.322*LOOKUP(L26,密度!$A$2:$A$50,密度!$Q$2:$Q$50)</f>
        <v>97501.631481000004</v>
      </c>
      <c r="M25" s="91" ph="1">
        <f>M24*18.322*LOOKUP(M26,密度!$A$2:$A$50,密度!$Q$2:$Q$50)</f>
        <v>24152.42207628</v>
      </c>
      <c r="N25" s="91" ph="1">
        <f>N24*18.322*LOOKUP(N26,密度!$A$2:$A$50,密度!$Q$2:$Q$50)</f>
        <v>15180.52307184</v>
      </c>
      <c r="O25" s="91" ph="1">
        <f>O24*18.322*LOOKUP(O26,密度!$A$2:$A$50,密度!$C$2:$C$50)</f>
        <v>42010.601745599997</v>
      </c>
      <c r="P25" s="91" ph="1">
        <f>P24*11.702*LOOKUP(P26,密度!$A$2:$A$50,密度!$B$2:$B$50)</f>
        <v>22848.476805000002</v>
      </c>
      <c r="Q25" s="92" ph="1">
        <f>Q24*18.322*LOOKUP(Q26,密度!$A$2:$A$50,密度!$B$2:$B$50)</f>
        <v>27114.687491599998</v>
      </c>
      <c r="R25" s="91" ph="1">
        <f>R24*35.891*LOOKUP(R26,密度!$A$2:$A$50,密度!$C$2:$C$50)</f>
        <v>80770.671247599996</v>
      </c>
      <c r="S25" s="91" ph="1">
        <f>S24*35.891*LOOKUP(S26,密度!$A$2:$A$50,密度!$B$2:$B$50)</f>
        <v>22700.339679999997</v>
      </c>
      <c r="T25" s="91" ph="1">
        <f>T24*35.891*LOOKUP(T26,密度!$A$2:$A$50,密度!$Q$2:$Q$50)</f>
        <v>218677.71917862</v>
      </c>
      <c r="U25" s="91" ph="1">
        <f>U24*35.891</f>
        <v>180998.31299999999</v>
      </c>
      <c r="V25" s="91" ph="1">
        <f>V24*47.051*LOOKUP(V26,密度!$A$2:$A$50,密度!$B$2:$B$50)</f>
        <v>14602.3766571</v>
      </c>
      <c r="W25" s="91" ph="1">
        <f>W24*47.051*LOOKUP(W26,密度!$A$2:$A$50,密度!$B$2:$B$50)</f>
        <v>418960.92440000008</v>
      </c>
      <c r="X25" s="91" ph="1">
        <f>X24*47.051*LOOKUP(X26,密度!$A$2:$A$50,密度!$I$2:$I$50)</f>
        <v>498540.08275329997</v>
      </c>
      <c r="Y25" s="91" ph="1">
        <f>Y24*47.051*LOOKUP(Y26,密度!$A$2:$A$50,密度!$L$2:$L$50)</f>
        <v>271427.05598400004</v>
      </c>
      <c r="Z25" s="229"/>
      <c r="AA25" s="230"/>
      <c r="AB25" s="230"/>
      <c r="AC25" s="230"/>
      <c r="AD25" s="230"/>
      <c r="AE25" s="231"/>
      <c r="AH25" s="64" ph="1">
        <v>11</v>
      </c>
      <c r="AI25" s="64" t="s" ph="1">
        <v>392</v>
      </c>
      <c r="AZ25" s="64" t="s" ph="1">
        <v>260</v>
      </c>
      <c r="BA25" s="64" ph="1">
        <v>0</v>
      </c>
      <c r="BD25" s="64" t="s" ph="1">
        <v>285</v>
      </c>
      <c r="BE25" s="64" ph="1">
        <v>8920</v>
      </c>
    </row>
    <row r="26" spans="1:57" ph="1">
      <c r="A26" s="72" ph="1"/>
      <c r="B26" s="235" ph="1"/>
      <c r="C26" s="68" t="s" ph="1">
        <v>213</v>
      </c>
      <c r="D26" s="74">
        <v>25</v>
      </c>
      <c r="E26" s="74">
        <v>25</v>
      </c>
      <c r="F26" s="74">
        <v>15</v>
      </c>
      <c r="G26" s="74">
        <v>14</v>
      </c>
      <c r="H26" s="74">
        <v>13</v>
      </c>
      <c r="I26" s="74">
        <v>13</v>
      </c>
      <c r="J26" s="74">
        <v>13</v>
      </c>
      <c r="K26" s="74">
        <v>14</v>
      </c>
      <c r="L26" s="74">
        <v>14</v>
      </c>
      <c r="M26" s="74">
        <v>13</v>
      </c>
      <c r="N26" s="74">
        <v>12</v>
      </c>
      <c r="O26" s="74">
        <v>13</v>
      </c>
      <c r="P26" s="74">
        <v>14</v>
      </c>
      <c r="Q26" s="93">
        <v>13</v>
      </c>
      <c r="R26" s="74">
        <v>13</v>
      </c>
      <c r="S26" s="74">
        <v>12</v>
      </c>
      <c r="T26" s="74">
        <v>15</v>
      </c>
      <c r="U26" s="74">
        <v>14</v>
      </c>
      <c r="V26" s="74">
        <v>13</v>
      </c>
      <c r="W26" s="74">
        <v>15</v>
      </c>
      <c r="X26" s="74">
        <v>46</v>
      </c>
      <c r="Y26" s="74">
        <v>18</v>
      </c>
      <c r="Z26" s="229"/>
      <c r="AA26" s="230"/>
      <c r="AB26" s="230"/>
      <c r="AC26" s="230"/>
      <c r="AD26" s="230"/>
      <c r="AE26" s="231"/>
      <c r="AH26" s="64" ph="1">
        <v>12</v>
      </c>
      <c r="AI26" s="64" t="s" ph="1">
        <v>393</v>
      </c>
      <c r="AZ26" s="64" t="s" ph="1">
        <v>260</v>
      </c>
      <c r="BA26" s="64" ph="1">
        <v>0</v>
      </c>
    </row>
    <row r="27" spans="1:57" ph="1">
      <c r="A27" s="72" ph="1"/>
      <c r="B27" s="235" ph="1">
        <v>0.66666666666666663</v>
      </c>
      <c r="C27" s="151" t="s" ph="1">
        <v>214</v>
      </c>
      <c r="D27" s="71">
        <v>44.02</v>
      </c>
      <c r="E27" s="71">
        <v>97.46</v>
      </c>
      <c r="F27" s="71">
        <v>2145</v>
      </c>
      <c r="G27" s="71">
        <v>2518</v>
      </c>
      <c r="H27" s="71">
        <v>4303</v>
      </c>
      <c r="I27" s="71">
        <v>2530</v>
      </c>
      <c r="J27" s="71">
        <v>2445</v>
      </c>
      <c r="K27" s="71">
        <v>5600</v>
      </c>
      <c r="L27" s="71">
        <v>5574</v>
      </c>
      <c r="M27" s="71">
        <v>1380</v>
      </c>
      <c r="N27" s="71">
        <v>867</v>
      </c>
      <c r="O27" s="71">
        <v>2052</v>
      </c>
      <c r="P27" s="71">
        <v>2474</v>
      </c>
      <c r="Q27" s="90">
        <v>2241</v>
      </c>
      <c r="R27" s="71">
        <v>2013</v>
      </c>
      <c r="S27" s="71">
        <v>795</v>
      </c>
      <c r="T27" s="71">
        <v>6382</v>
      </c>
      <c r="U27" s="71">
        <v>4998</v>
      </c>
      <c r="V27" s="71">
        <v>391</v>
      </c>
      <c r="W27" s="71">
        <v>11035</v>
      </c>
      <c r="X27" s="71">
        <v>10366</v>
      </c>
      <c r="Y27" s="71">
        <v>4527</v>
      </c>
      <c r="Z27" s="229"/>
      <c r="AA27" s="230"/>
      <c r="AB27" s="230"/>
      <c r="AC27" s="230"/>
      <c r="AD27" s="230"/>
      <c r="AE27" s="231"/>
      <c r="AH27" s="64" ph="1">
        <v>13</v>
      </c>
      <c r="AI27" s="64" t="s" ph="1">
        <v>394</v>
      </c>
      <c r="AZ27" s="64" t="s" ph="1">
        <v>260</v>
      </c>
      <c r="BA27" s="64" ph="1">
        <v>0</v>
      </c>
      <c r="BD27" s="64" t="s" ph="1">
        <v>339</v>
      </c>
      <c r="BE27" s="64" ph="1">
        <v>7100</v>
      </c>
    </row>
    <row r="28" spans="1:57" ph="1">
      <c r="A28" s="72" ph="1"/>
      <c r="B28" s="235" ph="1"/>
      <c r="C28" s="151" t="s" ph="1">
        <v>212</v>
      </c>
      <c r="D28" s="91" ph="1">
        <f>D27*268.68*LOOKUP(D29,密度!$A$2:$A$50,密度!$Q$2:$Q$50)+IF(D27&lt;=0,0,1566*LOOKUP(D29,密度!$A$2:$A$50,密度!$Q$2:$Q$50))</f>
        <v>12679.966782864001</v>
      </c>
      <c r="E28" s="91" ph="1">
        <f>E27*268.68*LOOKUP(E29,密度!$A$2:$A$50,密度!$C$2:$C$50)+IF(E27&lt;=0,0,1566*LOOKUP(E29,密度!$A$2:$A$50,密度!$C$2:$C$50))</f>
        <v>30773.69689992</v>
      </c>
      <c r="F28" s="91" ph="1">
        <f>F27*11.702*LOOKUP(F29,密度!$A$2:$A$50,密度!$Q$2:$Q$50)</f>
        <v>23959.708086600003</v>
      </c>
      <c r="G28" s="91" ph="1">
        <f>G27*18.322*LOOKUP(G29,密度!$A$2:$A$50,密度!$B$2:$B$50)</f>
        <v>36354.219247999994</v>
      </c>
      <c r="H28" s="91" ph="1">
        <f>H27*18.322*LOOKUP(H29,密度!$A$2:$A$50,密度!$B$2:$B$50)</f>
        <v>62196.533617399997</v>
      </c>
      <c r="I28" s="91" ph="1">
        <f>I27*18.322*LOOKUP(I29,密度!$A$2:$A$50,密度!$Q$2:$Q$50)</f>
        <v>44247.377156399998</v>
      </c>
      <c r="J28" s="91" ph="1">
        <f>J27*18.322*LOOKUP(J29,密度!$A$2:$A$50,密度!$Q$2:$Q$50)</f>
        <v>42760.805196600006</v>
      </c>
      <c r="K28" s="91" ph="1">
        <f>K27*18.322*LOOKUP(K29,密度!$A$2:$A$50,密度!$Q$2:$Q$50)</f>
        <v>97938.858527999997</v>
      </c>
      <c r="L28" s="91" ph="1">
        <f>L27*18.322*LOOKUP(L29,密度!$A$2:$A$50,密度!$Q$2:$Q$50)</f>
        <v>97484.142399119999</v>
      </c>
      <c r="M28" s="91" ph="1">
        <f>M27*18.322*LOOKUP(M29,密度!$A$2:$A$50,密度!$Q$2:$Q$50)</f>
        <v>24134.932994400002</v>
      </c>
      <c r="N28" s="91" ph="1">
        <f>N27*18.322*LOOKUP(N29,密度!$A$2:$A$50,密度!$Q$2:$Q$50)</f>
        <v>15163.03398996</v>
      </c>
      <c r="O28" s="91" ph="1">
        <f>O27*18.322*LOOKUP(O29,密度!$A$2:$A$50,密度!$C$2:$C$50)</f>
        <v>41950.446955199994</v>
      </c>
      <c r="P28" s="91" ph="1">
        <f>P27*11.702*LOOKUP(P29,密度!$A$2:$A$50,密度!$B$2:$B$50)</f>
        <v>22839.245097200001</v>
      </c>
      <c r="Q28" s="92" ph="1">
        <f>Q27*18.322*LOOKUP(Q29,密度!$A$2:$A$50,密度!$B$2:$B$50)</f>
        <v>32424.767699399996</v>
      </c>
      <c r="R28" s="91" ph="1">
        <f>R27*35.891*LOOKUP(R29,密度!$A$2:$A$50,密度!$C$2:$C$50)</f>
        <v>80672.767777800007</v>
      </c>
      <c r="S28" s="91" ph="1">
        <f>S27*35.891*LOOKUP(S29,密度!$A$2:$A$50,密度!$B$2:$B$50)</f>
        <v>22509.955870499998</v>
      </c>
      <c r="T28" s="91" ph="1">
        <f>T27*35.891*LOOKUP(T29,密度!$A$2:$A$50,密度!$Q$2:$Q$50)</f>
        <v>218643.45978348001</v>
      </c>
      <c r="U28" s="91" ph="1">
        <f>U27*35.891</f>
        <v>179383.21799999999</v>
      </c>
      <c r="V28" s="91" ph="1">
        <f>V27*47.051*LOOKUP(V29,密度!$A$2:$A$50,密度!$B$2:$B$50)</f>
        <v>14528.0643077</v>
      </c>
      <c r="W28" s="91" ph="1">
        <f>W27*47.051*LOOKUP(W29,密度!$A$2:$A$50,密度!$B$2:$B$50)</f>
        <v>408720.36835200002</v>
      </c>
      <c r="X28" s="91" ph="1">
        <f>X27*47.051*LOOKUP(X29,密度!$A$2:$A$50,密度!$I$2:$I$50)</f>
        <v>501240.80544820003</v>
      </c>
      <c r="Y28" s="91" ph="1">
        <f>Y27*47.051*LOOKUP(Y29,密度!$A$2:$A$50,密度!$L$2:$L$50)</f>
        <v>201284.88376500001</v>
      </c>
      <c r="Z28" s="229"/>
      <c r="AA28" s="230"/>
      <c r="AB28" s="230"/>
      <c r="AC28" s="230"/>
      <c r="AD28" s="230"/>
      <c r="AE28" s="231"/>
      <c r="AH28" s="64" ph="1">
        <v>14</v>
      </c>
      <c r="AI28" s="64" t="s" ph="1">
        <v>395</v>
      </c>
      <c r="AZ28" s="64" t="s" ph="1">
        <v>260</v>
      </c>
      <c r="BA28" s="64" ph="1">
        <v>0</v>
      </c>
    </row>
    <row r="29" spans="1:57" ph="1">
      <c r="A29" s="72" ph="1"/>
      <c r="B29" s="235" ph="1"/>
      <c r="C29" s="151" t="s" ph="1">
        <v>213</v>
      </c>
      <c r="D29" s="74">
        <v>25</v>
      </c>
      <c r="E29" s="74">
        <v>25</v>
      </c>
      <c r="F29" s="74">
        <v>15</v>
      </c>
      <c r="G29" s="74">
        <v>15</v>
      </c>
      <c r="H29" s="74">
        <v>14</v>
      </c>
      <c r="I29" s="74">
        <v>13</v>
      </c>
      <c r="J29" s="74">
        <v>14</v>
      </c>
      <c r="K29" s="74">
        <v>14</v>
      </c>
      <c r="L29" s="74">
        <v>15</v>
      </c>
      <c r="M29" s="74">
        <v>14</v>
      </c>
      <c r="N29" s="74">
        <v>13</v>
      </c>
      <c r="O29" s="74">
        <v>15</v>
      </c>
      <c r="P29" s="74">
        <v>14</v>
      </c>
      <c r="Q29" s="93">
        <v>13</v>
      </c>
      <c r="R29" s="74">
        <v>14</v>
      </c>
      <c r="S29" s="74">
        <v>14</v>
      </c>
      <c r="T29" s="74">
        <v>15</v>
      </c>
      <c r="U29" s="74">
        <v>15</v>
      </c>
      <c r="V29" s="74">
        <v>13</v>
      </c>
      <c r="W29" s="74">
        <v>16</v>
      </c>
      <c r="X29" s="74">
        <v>38</v>
      </c>
      <c r="Y29" s="74">
        <v>17</v>
      </c>
      <c r="Z29" s="232"/>
      <c r="AA29" s="233"/>
      <c r="AB29" s="233"/>
      <c r="AC29" s="233"/>
      <c r="AD29" s="233"/>
      <c r="AE29" s="234"/>
      <c r="AH29" s="64" ph="1">
        <v>15</v>
      </c>
      <c r="AI29" s="64" t="s" ph="1">
        <v>396</v>
      </c>
      <c r="AZ29" s="64" t="s" ph="1">
        <v>260</v>
      </c>
      <c r="BA29" s="64" ph="1">
        <v>0</v>
      </c>
      <c r="BD29" s="64" t="s" ph="1">
        <v>397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398</v>
      </c>
      <c r="AZ30" s="64" t="s" ph="1">
        <v>260</v>
      </c>
      <c r="BA30" s="64" ph="1">
        <v>0</v>
      </c>
    </row>
    <row r="31" spans="1:57" ht="28.5" ph="1">
      <c r="A31" s="64"/>
      <c r="B31" s="218" t="s" ph="1">
        <v>35</v>
      </c>
      <c r="C31" s="219" ph="1"/>
      <c r="D31" s="222" t="s" ph="1">
        <v>9</v>
      </c>
      <c r="E31" s="197" ph="1"/>
      <c r="F31" s="198" ph="1"/>
      <c r="G31" s="222" t="s" ph="1">
        <v>18</v>
      </c>
      <c r="H31" s="197" ph="1"/>
      <c r="I31" s="198" ph="1"/>
      <c r="J31" s="196" t="s" ph="1">
        <v>1</v>
      </c>
      <c r="K31" s="197" ph="1"/>
      <c r="L31" s="198" ph="1"/>
      <c r="M31" s="196" t="s" ph="1">
        <v>7</v>
      </c>
      <c r="N31" s="197" ph="1"/>
      <c r="O31" s="198" ph="1"/>
      <c r="P31" s="196" t="s" ph="1">
        <v>42</v>
      </c>
      <c r="Q31" s="197"/>
      <c r="R31" s="198"/>
      <c r="S31" s="196" t="s" ph="1">
        <v>2</v>
      </c>
      <c r="T31" s="197"/>
      <c r="U31" s="198"/>
      <c r="V31" s="196" t="s" ph="1">
        <v>81</v>
      </c>
      <c r="W31" s="197" ph="1"/>
      <c r="X31" s="198" ph="1"/>
      <c r="Y31" s="196" t="s" ph="1">
        <v>3</v>
      </c>
      <c r="Z31" s="197" ph="1"/>
      <c r="AA31" s="198" ph="1"/>
      <c r="AB31" s="199" t="s">
        <v>43</v>
      </c>
      <c r="AC31" s="200"/>
      <c r="AD31" s="200"/>
      <c r="AE31" s="201"/>
      <c r="AH31" s="64" ph="1">
        <v>17</v>
      </c>
      <c r="AI31" s="64" t="s" ph="1">
        <v>399</v>
      </c>
      <c r="AZ31" s="64" t="s" ph="1">
        <v>260</v>
      </c>
      <c r="BA31" s="64" ph="1">
        <v>0</v>
      </c>
      <c r="BD31" s="64" t="s" ph="1">
        <v>400</v>
      </c>
      <c r="BE31" s="64" ph="1">
        <v>9310</v>
      </c>
    </row>
    <row r="32" spans="1:57" ph="1">
      <c r="A32" s="64"/>
      <c r="B32" s="220" ph="1"/>
      <c r="C32" s="221" ph="1"/>
      <c r="D32" s="96" t="s" ph="1">
        <v>4</v>
      </c>
      <c r="E32" s="151" t="s" ph="1">
        <v>5</v>
      </c>
      <c r="F32" s="150" t="s" ph="1">
        <v>44</v>
      </c>
      <c r="G32" s="97" t="s" ph="1">
        <v>4</v>
      </c>
      <c r="H32" s="151" t="s" ph="1">
        <v>5</v>
      </c>
      <c r="I32" s="150" t="s" ph="1">
        <v>44</v>
      </c>
      <c r="J32" s="97" t="s" ph="1">
        <v>4</v>
      </c>
      <c r="K32" s="151" t="s" ph="1">
        <v>5</v>
      </c>
      <c r="L32" s="150" t="s" ph="1">
        <v>44</v>
      </c>
      <c r="M32" s="97" t="s" ph="1">
        <v>4</v>
      </c>
      <c r="N32" s="151" t="s" ph="1">
        <v>5</v>
      </c>
      <c r="O32" s="150" t="s" ph="1">
        <v>44</v>
      </c>
      <c r="P32" s="97" t="s" ph="1">
        <v>4</v>
      </c>
      <c r="Q32" s="98" t="s" ph="1">
        <v>5</v>
      </c>
      <c r="R32" s="99" t="s" ph="1">
        <v>44</v>
      </c>
      <c r="S32" s="97" t="s" ph="1">
        <v>4</v>
      </c>
      <c r="T32" s="151" t="s" ph="1">
        <v>5</v>
      </c>
      <c r="U32" s="99" t="s" ph="1">
        <v>44</v>
      </c>
      <c r="V32" s="97" t="s" ph="1">
        <v>4</v>
      </c>
      <c r="W32" s="151" t="s" ph="1">
        <v>5</v>
      </c>
      <c r="X32" s="99" t="s" ph="1">
        <v>44</v>
      </c>
      <c r="Y32" s="100" t="s" ph="1">
        <v>4</v>
      </c>
      <c r="Z32" s="151" t="s" ph="1">
        <v>5</v>
      </c>
      <c r="AA32" s="150" t="s" ph="1">
        <v>44</v>
      </c>
      <c r="AB32" s="97" t="s" ph="1">
        <v>102</v>
      </c>
      <c r="AC32" s="151" t="s" ph="1">
        <v>101</v>
      </c>
      <c r="AD32" s="202" t="s" ph="1">
        <v>100</v>
      </c>
      <c r="AE32" s="203"/>
      <c r="AH32" s="64" ph="1">
        <v>18</v>
      </c>
      <c r="AI32" s="64" t="s" ph="1">
        <v>401</v>
      </c>
      <c r="AZ32" s="64" t="s" ph="1">
        <v>260</v>
      </c>
      <c r="BA32" s="64" ph="1">
        <v>0</v>
      </c>
    </row>
    <row r="33" spans="1:57" ph="1">
      <c r="A33" s="64"/>
      <c r="B33" s="204" t="s" ph="1">
        <v>215</v>
      </c>
      <c r="C33" s="205" ph="1"/>
      <c r="D33" s="184" ph="1">
        <f>AA10+AB10+Z19</f>
        <v>104719.38310640001</v>
      </c>
      <c r="E33" s="184" ph="1">
        <f>M10+I10</f>
        <v>206699.37327169999</v>
      </c>
      <c r="F33" s="208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[[#This Row],[F25]]</f>
        <v>3880</v>
      </c>
      <c r="G33" s="210" ph="1">
        <v>0</v>
      </c>
      <c r="H33" s="184" ph="1">
        <f>N19</f>
        <v>13628.159868280001</v>
      </c>
      <c r="I33" s="188" ph="1">
        <v>0</v>
      </c>
      <c r="J33" s="192" ph="1">
        <f>F10+O28</f>
        <v>206640.27750239999</v>
      </c>
      <c r="K33" s="184" ph="1">
        <f>O10+K10+E28+R28</f>
        <v>225676.05634052001</v>
      </c>
      <c r="L33" s="194" ph="1">
        <f>BE27</f>
        <v>7100</v>
      </c>
      <c r="M33" s="192" ph="1">
        <f>G10+H10+W28+S28</f>
        <v>916828.9835935001</v>
      </c>
      <c r="N33" s="184" ph="1">
        <f>L10+P10++G28+H28+V28</f>
        <v>215490.62286510001</v>
      </c>
      <c r="O33" s="188" ph="1">
        <f>BE17</f>
        <v>2270</v>
      </c>
      <c r="P33" s="192" ph="1">
        <f>L19</f>
        <v>7463.9900816999989</v>
      </c>
      <c r="Q33" s="184" ph="1">
        <f>J10+N10</f>
        <v>169249.78324600001</v>
      </c>
      <c r="R33" s="188" ph="1">
        <f>BE23</f>
        <v>890</v>
      </c>
      <c r="S33" s="192" ph="1">
        <f>E10+X28</f>
        <v>501240.80544820003</v>
      </c>
      <c r="T33" s="184" ph="1">
        <f>X19</f>
        <v>14674.047626880001</v>
      </c>
      <c r="U33" s="173" ph="1">
        <f>BE21</f>
        <v>730</v>
      </c>
      <c r="V33" s="186" ph="1">
        <f ca="1">P19+Q19+S19+M28+N28+J28</f>
        <v>178952.67248018403</v>
      </c>
      <c r="W33" s="186" ph="1">
        <f>D28+F28+V19+T28</f>
        <v>255283.13465294402</v>
      </c>
      <c r="X33" s="188" ph="1">
        <f>BE29+BE31</f>
        <v>10200</v>
      </c>
      <c r="Y33" s="190" ph="1">
        <f>+Q10+R10+S10+T10+U10+V10+W10+X10+Y10</f>
        <v>183544.55408520001</v>
      </c>
      <c r="Z33" s="171" ph="1">
        <f>D10+T19+U19+Y28+Z10</f>
        <v>481776.90390051994</v>
      </c>
      <c r="AA33" s="173" ph="1">
        <f>BE19</f>
        <v>1440</v>
      </c>
      <c r="AB33" s="175" ph="1">
        <f>I19</f>
        <v>55.972132800000004</v>
      </c>
      <c r="AC33" s="177" ph="1">
        <f>AD10</f>
        <v>5159.4591040000005</v>
      </c>
      <c r="AD33" s="179" ph="1">
        <v>0</v>
      </c>
      <c r="AE33" s="180"/>
      <c r="AH33" s="64" ph="1">
        <v>19</v>
      </c>
      <c r="AI33" s="64" t="s" ph="1">
        <v>402</v>
      </c>
      <c r="AJ33" s="64" t="s" ph="1">
        <v>636</v>
      </c>
      <c r="AK33" s="64" t="s" ph="1">
        <v>633</v>
      </c>
      <c r="AL33" s="64" ph="1">
        <v>730</v>
      </c>
      <c r="AM33" s="64" t="s" ph="1">
        <v>383</v>
      </c>
      <c r="AZ33" s="64" t="s" ph="1">
        <v>260</v>
      </c>
      <c r="BA33" s="64" ph="1">
        <v>730</v>
      </c>
      <c r="BD33" s="64" t="s" ph="1">
        <v>334</v>
      </c>
      <c r="BE33" s="64" ph="1">
        <v>3880</v>
      </c>
    </row>
    <row r="34" spans="1:57" ph="1">
      <c r="A34" s="64"/>
      <c r="B34" s="206" ph="1"/>
      <c r="C34" s="207" ph="1"/>
      <c r="D34" s="185" ph="1"/>
      <c r="E34" s="185" ph="1"/>
      <c r="F34" s="209" ph="1"/>
      <c r="G34" s="211" ph="1"/>
      <c r="H34" s="185" ph="1"/>
      <c r="I34" s="189" ph="1"/>
      <c r="J34" s="193" ph="1"/>
      <c r="K34" s="185" ph="1"/>
      <c r="L34" s="195" ph="1"/>
      <c r="M34" s="193" ph="1"/>
      <c r="N34" s="185" ph="1"/>
      <c r="O34" s="189" ph="1"/>
      <c r="P34" s="193" ph="1"/>
      <c r="Q34" s="185" ph="1"/>
      <c r="R34" s="189" ph="1"/>
      <c r="S34" s="193" ph="1"/>
      <c r="T34" s="185"/>
      <c r="U34" s="174"/>
      <c r="V34" s="187" ph="1"/>
      <c r="W34" s="187" ph="1"/>
      <c r="X34" s="189" ph="1"/>
      <c r="Y34" s="191" ph="1"/>
      <c r="Z34" s="172" ph="1"/>
      <c r="AA34" s="174" ph="1"/>
      <c r="AB34" s="176"/>
      <c r="AC34" s="178"/>
      <c r="AD34" s="181"/>
      <c r="AE34" s="182"/>
      <c r="AH34" s="64" ph="1">
        <v>20</v>
      </c>
      <c r="AI34" s="64" t="s" ph="1">
        <v>403</v>
      </c>
      <c r="AJ34" s="64" t="s" ph="1">
        <v>637</v>
      </c>
      <c r="AK34" s="64" t="s" ph="1">
        <v>633</v>
      </c>
      <c r="AL34" s="64" ph="1">
        <v>720</v>
      </c>
      <c r="AM34" s="64" t="s" ph="1">
        <v>383</v>
      </c>
      <c r="AZ34" s="64" t="s" ph="1">
        <v>260</v>
      </c>
      <c r="BA34" s="64" ph="1">
        <v>720</v>
      </c>
    </row>
    <row r="35" spans="1:57" ph="1">
      <c r="A35" s="64"/>
      <c r="AC35" s="183" t="s" ph="1">
        <v>84</v>
      </c>
      <c r="AD35" s="183"/>
      <c r="AE35" s="183"/>
      <c r="AH35" s="64" ph="1">
        <v>21</v>
      </c>
      <c r="AI35" s="64" t="s" ph="1">
        <v>404</v>
      </c>
      <c r="AZ35" s="64" t="s" ph="1">
        <v>260</v>
      </c>
      <c r="BA35" s="64" ph="1">
        <v>0</v>
      </c>
      <c r="BD35" s="64" t="s" ph="1">
        <v>405</v>
      </c>
      <c r="BE35" s="64" ph="1">
        <v>2030</v>
      </c>
    </row>
    <row r="36" spans="1:57" ht="28.5" ph="1">
      <c r="A36" s="64"/>
      <c r="B36" s="103" t="s" ph="1">
        <v>216</v>
      </c>
      <c r="I36" s="169" t="s" ph="1">
        <v>217</v>
      </c>
      <c r="J36" s="169" ph="1"/>
      <c r="K36" s="101" ph="1"/>
      <c r="P36" s="101" ph="1"/>
      <c r="R36" s="169" t="s" ph="1">
        <v>218</v>
      </c>
      <c r="S36" s="169" ph="1"/>
      <c r="Y36" s="102" ph="1"/>
      <c r="Z36" s="149" t="s" ph="1">
        <v>219</v>
      </c>
      <c r="AA36" s="149" ph="1"/>
      <c r="AB36" s="170" t="s" ph="1">
        <v>655</v>
      </c>
      <c r="AC36" s="170" ph="1"/>
      <c r="AD36" s="170" ph="1"/>
      <c r="AE36" s="170" ph="1"/>
      <c r="BA36" s="64" ph="1">
        <v>2270</v>
      </c>
    </row>
    <row r="37" spans="1:57" s="14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9" t="s" ph="1">
        <v>386</v>
      </c>
      <c r="AI37" s="149" t="s" ph="1">
        <v>253</v>
      </c>
      <c r="AJ37" s="149" t="s" ph="1">
        <v>254</v>
      </c>
      <c r="AK37" s="149" t="s" ph="1">
        <v>255</v>
      </c>
      <c r="AM37" s="149" t="s" ph="1">
        <v>254</v>
      </c>
      <c r="AN37" s="149" t="s" ph="1">
        <v>255</v>
      </c>
      <c r="AO37" s="149" t="s" ph="1">
        <v>256</v>
      </c>
      <c r="AP37" s="149" t="s" ph="1">
        <v>254</v>
      </c>
      <c r="AQ37" s="149" t="s" ph="1">
        <v>255</v>
      </c>
      <c r="AR37" s="149" t="s" ph="1">
        <v>256</v>
      </c>
      <c r="AS37" s="149" t="s" ph="1">
        <v>254</v>
      </c>
      <c r="AT37" s="149" t="s" ph="1">
        <v>255</v>
      </c>
      <c r="AU37" s="149" t="s" ph="1">
        <v>256</v>
      </c>
      <c r="AV37" s="149" t="s" ph="1">
        <v>254</v>
      </c>
      <c r="AW37" s="149" t="s" ph="1">
        <v>255</v>
      </c>
      <c r="AX37" s="149" t="s" ph="1">
        <v>256</v>
      </c>
      <c r="AY37" s="149" t="s" ph="1">
        <v>255</v>
      </c>
      <c r="AZ37" s="149" t="s" ph="1">
        <v>257</v>
      </c>
      <c r="BD37" s="149" t="s" ph="1">
        <v>349</v>
      </c>
      <c r="BE37" s="149" ph="1">
        <v>0</v>
      </c>
    </row>
    <row r="38" spans="1:57" ph="1">
      <c r="AE38" s="64" ph="1"/>
      <c r="AH38" s="64" ph="1">
        <v>1</v>
      </c>
      <c r="AI38" s="64" t="s" ph="1">
        <v>406</v>
      </c>
      <c r="AY38" s="64" t="s" ph="1">
        <v>260</v>
      </c>
      <c r="AZ38" s="64" t="s" ph="1">
        <v>411</v>
      </c>
    </row>
    <row r="39" spans="1:57" ph="1">
      <c r="AH39" s="64" ph="1">
        <v>2</v>
      </c>
      <c r="AI39" s="64" t="s" ph="1">
        <v>408</v>
      </c>
      <c r="AJ39" s="64" t="s" ph="1">
        <v>380</v>
      </c>
      <c r="AK39" s="64" t="s" ph="1">
        <v>409</v>
      </c>
      <c r="AM39" s="64" t="s" ph="1">
        <v>614</v>
      </c>
      <c r="AN39" s="64" t="s" ph="1">
        <v>272</v>
      </c>
      <c r="AO39" s="64" t="s" ph="1">
        <v>407</v>
      </c>
      <c r="AY39" s="64" t="s" ph="1">
        <v>260</v>
      </c>
      <c r="AZ39" s="64" t="s" ph="1">
        <v>543</v>
      </c>
    </row>
    <row r="40" spans="1:57" ph="1">
      <c r="AH40" s="64" ph="1">
        <v>3</v>
      </c>
      <c r="AI40" s="64" t="s" ph="1">
        <v>410</v>
      </c>
      <c r="AJ40" s="64" t="s" ph="1">
        <v>614</v>
      </c>
      <c r="AK40" s="64" t="s" ph="1">
        <v>615</v>
      </c>
      <c r="AY40" s="64" t="s" ph="1">
        <v>260</v>
      </c>
      <c r="AZ40" s="64" t="s" ph="1">
        <v>615</v>
      </c>
    </row>
    <row r="41" spans="1:57" ph="1">
      <c r="AH41" s="64" ph="1">
        <v>4</v>
      </c>
      <c r="AI41" s="64" t="s" ph="1">
        <v>412</v>
      </c>
      <c r="AJ41" s="64" t="s" ph="1">
        <v>616</v>
      </c>
      <c r="AK41" s="64" t="s" ph="1">
        <v>617</v>
      </c>
      <c r="AM41" s="64" t="s" ph="1">
        <v>618</v>
      </c>
      <c r="AY41" s="64" t="s" ph="1">
        <v>260</v>
      </c>
      <c r="AZ41" s="64" t="s" ph="1">
        <v>617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413</v>
      </c>
      <c r="AY42" s="64" t="s" ph="1">
        <v>260</v>
      </c>
      <c r="AZ42" s="64" t="s" ph="1">
        <v>411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414</v>
      </c>
      <c r="AY43" s="64" t="s" ph="1">
        <v>260</v>
      </c>
      <c r="AZ43" s="64" t="s" ph="1">
        <v>411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415</v>
      </c>
      <c r="AV44" s="64" t="s" ph="1">
        <v>261</v>
      </c>
      <c r="AY44" s="64" t="s" ph="1">
        <v>260</v>
      </c>
      <c r="AZ44" s="64" t="s" ph="1">
        <v>411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416</v>
      </c>
      <c r="AV45" s="64" t="s" ph="1">
        <v>261</v>
      </c>
      <c r="AY45" s="64" t="s" ph="1">
        <v>260</v>
      </c>
      <c r="AZ45" s="64" t="s" ph="1">
        <v>411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417</v>
      </c>
      <c r="AV46" s="64" t="s" ph="1">
        <v>261</v>
      </c>
      <c r="AY46" s="64" t="s" ph="1">
        <v>260</v>
      </c>
      <c r="AZ46" s="64" t="s" ph="1">
        <v>411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418</v>
      </c>
      <c r="AV47" s="64" t="s" ph="1">
        <v>261</v>
      </c>
      <c r="AY47" s="64" t="s" ph="1">
        <v>260</v>
      </c>
      <c r="AZ47" s="64" t="s" ph="1">
        <v>411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619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276</v>
      </c>
      <c r="AI49" s="64" t="s" ph="1">
        <v>253</v>
      </c>
      <c r="AJ49" s="64" t="s" ph="1">
        <v>254</v>
      </c>
      <c r="AK49" s="64" t="s" ph="1">
        <v>255</v>
      </c>
      <c r="AM49" s="64" t="s" ph="1">
        <v>254</v>
      </c>
      <c r="AN49" s="64" t="s" ph="1">
        <v>255</v>
      </c>
      <c r="AO49" s="64" t="s" ph="1">
        <v>256</v>
      </c>
      <c r="AP49" s="64" t="s" ph="1">
        <v>254</v>
      </c>
      <c r="AQ49" s="64" t="s" ph="1">
        <v>255</v>
      </c>
      <c r="AR49" s="64" t="s" ph="1">
        <v>256</v>
      </c>
      <c r="AS49" s="64" t="s" ph="1">
        <v>254</v>
      </c>
      <c r="AT49" s="64" t="s" ph="1">
        <v>255</v>
      </c>
      <c r="AU49" s="64" t="s" ph="1">
        <v>256</v>
      </c>
      <c r="AV49" s="64" t="s" ph="1">
        <v>254</v>
      </c>
      <c r="AW49" s="64" t="s" ph="1">
        <v>255</v>
      </c>
      <c r="AX49" s="64" t="s" ph="1">
        <v>256</v>
      </c>
      <c r="AY49" s="64" t="s" ph="1">
        <v>255</v>
      </c>
      <c r="AZ49" s="64" t="s" ph="1">
        <v>257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419</v>
      </c>
      <c r="AY50" s="64" t="s" ph="1">
        <v>260</v>
      </c>
      <c r="AZ50" s="64" t="s" ph="1">
        <v>411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420</v>
      </c>
      <c r="AY51" s="64" t="s" ph="1">
        <v>260</v>
      </c>
      <c r="AZ51" s="64" t="s" ph="1">
        <v>411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421</v>
      </c>
      <c r="AJ52" s="64" t="s" ph="1">
        <v>378</v>
      </c>
      <c r="AK52" s="64" t="s" ph="1">
        <v>272</v>
      </c>
      <c r="AM52" s="64" t="s" ph="1">
        <v>380</v>
      </c>
      <c r="AN52" s="64" t="s" ph="1">
        <v>344</v>
      </c>
      <c r="AO52" s="64" t="s" ph="1">
        <v>277</v>
      </c>
      <c r="AP52" s="64" t="s" ph="1">
        <v>614</v>
      </c>
      <c r="AQ52" s="64" t="s" ph="1">
        <v>326</v>
      </c>
      <c r="AR52" s="64" t="s" ph="1">
        <v>277</v>
      </c>
      <c r="AY52" s="64" t="s" ph="1">
        <v>260</v>
      </c>
      <c r="AZ52" s="64" t="s" ph="1">
        <v>620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422</v>
      </c>
      <c r="AY53" s="64" t="s" ph="1">
        <v>260</v>
      </c>
      <c r="AZ53" s="64" t="s" ph="1">
        <v>411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423</v>
      </c>
      <c r="AJ54" s="64" t="s" ph="1">
        <v>378</v>
      </c>
      <c r="AK54" s="64" t="s" ph="1">
        <v>263</v>
      </c>
      <c r="AM54" s="64" t="s" ph="1">
        <v>380</v>
      </c>
      <c r="AN54" s="64" t="s" ph="1">
        <v>268</v>
      </c>
      <c r="AO54" s="64" t="s" ph="1">
        <v>277</v>
      </c>
      <c r="AP54" s="64" t="s" ph="1">
        <v>614</v>
      </c>
      <c r="AQ54" s="64" t="s" ph="1">
        <v>284</v>
      </c>
      <c r="AR54" s="64" t="s" ph="1">
        <v>277</v>
      </c>
      <c r="AY54" s="64" t="s" ph="1">
        <v>260</v>
      </c>
      <c r="AZ54" s="64" t="s" ph="1">
        <v>278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424</v>
      </c>
      <c r="AY55" s="64" t="s" ph="1">
        <v>260</v>
      </c>
      <c r="AZ55" s="64" t="s" ph="1">
        <v>411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425</v>
      </c>
      <c r="AY56" s="64" t="s" ph="1">
        <v>260</v>
      </c>
      <c r="AZ56" s="64" t="s" ph="1">
        <v>411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426</v>
      </c>
      <c r="AY57" s="64" t="s" ph="1">
        <v>260</v>
      </c>
      <c r="AZ57" s="64" t="s" ph="1">
        <v>411</v>
      </c>
    </row>
    <row r="58" spans="16:52" ph="1">
      <c r="P58" s="64"/>
      <c r="AN58" s="64" t="s" ph="1">
        <v>261</v>
      </c>
      <c r="AZ58" s="64" t="s" ph="1">
        <v>621</v>
      </c>
    </row>
    <row r="59" spans="16:52" ph="1">
      <c r="V59" s="64"/>
      <c r="AG59" s="64" t="s" ph="1">
        <v>279</v>
      </c>
      <c r="AI59" s="64" t="s" ph="1">
        <v>253</v>
      </c>
      <c r="AJ59" s="64" t="s" ph="1">
        <v>254</v>
      </c>
      <c r="AK59" s="64" t="s" ph="1">
        <v>255</v>
      </c>
      <c r="AM59" s="64" t="s" ph="1">
        <v>254</v>
      </c>
      <c r="AN59" s="64" t="s" ph="1">
        <v>255</v>
      </c>
      <c r="AO59" s="64" t="s" ph="1">
        <v>256</v>
      </c>
      <c r="AP59" s="64" t="s" ph="1">
        <v>254</v>
      </c>
      <c r="AQ59" s="64" t="s" ph="1">
        <v>255</v>
      </c>
      <c r="AR59" s="64" t="s" ph="1">
        <v>256</v>
      </c>
      <c r="AS59" s="64" t="s" ph="1">
        <v>254</v>
      </c>
      <c r="AT59" s="64" t="s" ph="1">
        <v>255</v>
      </c>
      <c r="AU59" s="64" t="s" ph="1">
        <v>256</v>
      </c>
      <c r="AV59" s="64" t="s" ph="1">
        <v>254</v>
      </c>
      <c r="AW59" s="64" t="s" ph="1">
        <v>255</v>
      </c>
      <c r="AX59" s="64" t="s" ph="1">
        <v>256</v>
      </c>
      <c r="AY59" s="64" t="s" ph="1">
        <v>255</v>
      </c>
      <c r="AZ59" s="64" t="s" ph="1">
        <v>257</v>
      </c>
    </row>
    <row r="60" spans="16:52" ph="1">
      <c r="R60" s="64"/>
      <c r="S60" s="64"/>
      <c r="T60" s="64"/>
      <c r="AH60" s="64" ph="1">
        <v>1</v>
      </c>
      <c r="AI60" s="64" t="s" ph="1">
        <v>427</v>
      </c>
      <c r="AY60" s="64" t="s" ph="1">
        <v>260</v>
      </c>
      <c r="AZ60" s="64" t="s" ph="1">
        <v>411</v>
      </c>
    </row>
    <row r="61" spans="16:52" ph="1">
      <c r="AH61" s="64" ph="1">
        <v>2</v>
      </c>
      <c r="AI61" s="64" t="s" ph="1">
        <v>428</v>
      </c>
      <c r="AS61" s="64" t="s" ph="1">
        <v>261</v>
      </c>
      <c r="AY61" s="64" t="s" ph="1">
        <v>260</v>
      </c>
      <c r="AZ61" s="64" t="s" ph="1">
        <v>411</v>
      </c>
    </row>
    <row r="62" spans="16:52" ph="1">
      <c r="AZ62" s="64" t="s" ph="1">
        <v>429</v>
      </c>
    </row>
    <row r="63" spans="16:52" ph="1">
      <c r="AG63" s="64" t="s" ph="1">
        <v>282</v>
      </c>
      <c r="AI63" s="64" t="s" ph="1">
        <v>253</v>
      </c>
      <c r="AJ63" s="64" t="s" ph="1">
        <v>254</v>
      </c>
      <c r="AK63" s="64" t="s" ph="1">
        <v>255</v>
      </c>
      <c r="AM63" s="64" t="s" ph="1">
        <v>254</v>
      </c>
      <c r="AN63" s="64" t="s" ph="1">
        <v>255</v>
      </c>
      <c r="AO63" s="64" t="s" ph="1">
        <v>256</v>
      </c>
      <c r="AP63" s="64" t="s" ph="1">
        <v>254</v>
      </c>
      <c r="AQ63" s="64" t="s" ph="1">
        <v>255</v>
      </c>
      <c r="AR63" s="64" t="s" ph="1">
        <v>256</v>
      </c>
      <c r="AS63" s="64" t="s" ph="1">
        <v>254</v>
      </c>
      <c r="AT63" s="64" t="s" ph="1">
        <v>255</v>
      </c>
      <c r="AU63" s="64" t="s" ph="1">
        <v>256</v>
      </c>
      <c r="AV63" s="64" t="s" ph="1">
        <v>254</v>
      </c>
      <c r="AW63" s="64" t="s" ph="1">
        <v>255</v>
      </c>
      <c r="AX63" s="64" t="s" ph="1">
        <v>256</v>
      </c>
      <c r="AY63" s="64" t="s" ph="1">
        <v>255</v>
      </c>
      <c r="AZ63" s="64" t="s" ph="1">
        <v>257</v>
      </c>
    </row>
    <row r="64" spans="16:52" ph="1">
      <c r="AH64" s="64" ph="1">
        <v>1</v>
      </c>
      <c r="AI64" s="64" t="s" ph="1">
        <v>430</v>
      </c>
      <c r="AJ64" s="64" t="s" ph="1">
        <v>431</v>
      </c>
      <c r="AK64" s="64" t="s" ph="1">
        <v>432</v>
      </c>
      <c r="AY64" s="64" t="s" ph="1">
        <v>260</v>
      </c>
      <c r="AZ64" s="64" t="s" ph="1">
        <v>432</v>
      </c>
    </row>
    <row r="65" spans="33:52" ph="1">
      <c r="AH65" s="64" ph="1">
        <v>2</v>
      </c>
      <c r="AI65" s="64" t="s" ph="1">
        <v>433</v>
      </c>
      <c r="AY65" s="64" t="s" ph="1">
        <v>260</v>
      </c>
      <c r="AZ65" s="64" t="s" ph="1">
        <v>411</v>
      </c>
    </row>
    <row r="66" spans="33:52" ph="1">
      <c r="AH66" s="64" ph="1">
        <v>3</v>
      </c>
      <c r="AI66" s="64" t="s" ph="1">
        <v>434</v>
      </c>
      <c r="AY66" s="64" t="s" ph="1">
        <v>260</v>
      </c>
      <c r="AZ66" s="64" t="s" ph="1">
        <v>411</v>
      </c>
    </row>
    <row r="67" spans="33:52" ph="1">
      <c r="AH67" s="64" ph="1">
        <v>4</v>
      </c>
      <c r="AI67" s="64" t="s" ph="1">
        <v>435</v>
      </c>
      <c r="AY67" s="64" t="s" ph="1">
        <v>260</v>
      </c>
      <c r="AZ67" s="64" t="s" ph="1">
        <v>411</v>
      </c>
    </row>
    <row r="68" spans="33:52" ph="1">
      <c r="AH68" s="64" ph="1">
        <v>5</v>
      </c>
      <c r="AI68" s="64" t="s" ph="1">
        <v>436</v>
      </c>
      <c r="AY68" s="64" t="s" ph="1">
        <v>260</v>
      </c>
      <c r="AZ68" s="64" t="s" ph="1">
        <v>411</v>
      </c>
    </row>
    <row r="69" spans="33:52" ph="1">
      <c r="AH69" s="64" ph="1">
        <v>6</v>
      </c>
      <c r="AI69" s="64" t="s" ph="1">
        <v>437</v>
      </c>
      <c r="AY69" s="64" t="s" ph="1">
        <v>260</v>
      </c>
      <c r="AZ69" s="64" t="s" ph="1">
        <v>411</v>
      </c>
    </row>
    <row r="70" spans="33:52" ph="1">
      <c r="AI70" s="64" t="s" ph="1">
        <v>438</v>
      </c>
      <c r="AY70" s="64" t="s" ph="1">
        <v>260</v>
      </c>
      <c r="AZ70" s="64" t="s" ph="1">
        <v>411</v>
      </c>
    </row>
    <row r="71" spans="33:52" ph="1">
      <c r="AH71" s="64" ph="1">
        <v>7</v>
      </c>
      <c r="AI71" s="64" t="s" ph="1">
        <v>439</v>
      </c>
      <c r="AJ71" s="64" t="s" ph="1">
        <v>378</v>
      </c>
      <c r="AK71" s="64" t="s" ph="1">
        <v>272</v>
      </c>
      <c r="AM71" s="64" t="s" ph="1">
        <v>380</v>
      </c>
      <c r="AN71" s="64" t="s" ph="1">
        <v>272</v>
      </c>
      <c r="AO71" s="64" t="s" ph="1">
        <v>440</v>
      </c>
      <c r="AP71" s="64" t="s" ph="1">
        <v>614</v>
      </c>
      <c r="AQ71" s="64" t="s" ph="1">
        <v>263</v>
      </c>
      <c r="AR71" s="64" t="s" ph="1">
        <v>440</v>
      </c>
      <c r="AY71" s="64" t="s" ph="1">
        <v>260</v>
      </c>
      <c r="AZ71" s="64" t="s" ph="1">
        <v>622</v>
      </c>
    </row>
    <row r="72" spans="33:52" ph="1">
      <c r="AZ72" s="64" t="s" ph="1">
        <v>623</v>
      </c>
    </row>
    <row r="73" spans="33:52" ph="1">
      <c r="AG73" s="64" t="s" ph="1">
        <v>285</v>
      </c>
      <c r="AI73" s="64" t="s" ph="1">
        <v>253</v>
      </c>
      <c r="AJ73" s="64" t="s" ph="1">
        <v>254</v>
      </c>
      <c r="AK73" s="64" t="s" ph="1">
        <v>255</v>
      </c>
      <c r="AM73" s="64" t="s" ph="1">
        <v>254</v>
      </c>
      <c r="AN73" s="64" t="s" ph="1">
        <v>255</v>
      </c>
      <c r="AO73" s="64" t="s" ph="1">
        <v>256</v>
      </c>
      <c r="AP73" s="64" t="s" ph="1">
        <v>254</v>
      </c>
      <c r="AQ73" s="64" t="s" ph="1">
        <v>255</v>
      </c>
      <c r="AR73" s="64" t="s" ph="1">
        <v>256</v>
      </c>
      <c r="AS73" s="64" t="s" ph="1">
        <v>254</v>
      </c>
      <c r="AT73" s="64" t="s" ph="1">
        <v>255</v>
      </c>
      <c r="AU73" s="64" t="s" ph="1">
        <v>256</v>
      </c>
      <c r="AV73" s="64" t="s" ph="1">
        <v>254</v>
      </c>
      <c r="AW73" s="64" t="s" ph="1">
        <v>255</v>
      </c>
      <c r="AX73" s="64" t="s" ph="1">
        <v>256</v>
      </c>
      <c r="AY73" s="64" t="s" ph="1">
        <v>255</v>
      </c>
      <c r="AZ73" s="64" t="s" ph="1">
        <v>257</v>
      </c>
    </row>
    <row r="74" spans="33:52" ph="1">
      <c r="AH74" s="64" ph="1">
        <v>1</v>
      </c>
      <c r="AI74" s="64" t="s" ph="1">
        <v>441</v>
      </c>
      <c r="AJ74" s="64" t="s" ph="1">
        <v>286</v>
      </c>
      <c r="AK74" s="64" t="s" ph="1">
        <v>268</v>
      </c>
      <c r="AM74" s="64" t="s" ph="1">
        <v>288</v>
      </c>
      <c r="AN74" s="64" t="s" ph="1">
        <v>298</v>
      </c>
      <c r="AO74" s="64" t="s" ph="1">
        <v>287</v>
      </c>
      <c r="AP74" s="64" t="s" ph="1">
        <v>289</v>
      </c>
      <c r="AQ74" s="64" t="s" ph="1">
        <v>266</v>
      </c>
      <c r="AR74" s="64" t="s" ph="1">
        <v>287</v>
      </c>
      <c r="AS74" s="64" t="s" ph="1">
        <v>259</v>
      </c>
      <c r="AT74" s="64" t="s" ph="1">
        <v>261</v>
      </c>
      <c r="AV74" s="64" t="s" ph="1">
        <v>442</v>
      </c>
      <c r="AW74" s="64" t="s" ph="1">
        <v>443</v>
      </c>
      <c r="AX74" s="64" t="s" ph="1">
        <v>444</v>
      </c>
      <c r="AY74" s="64" t="s" ph="1">
        <v>260</v>
      </c>
      <c r="AZ74" s="64" t="s" ph="1">
        <v>445</v>
      </c>
    </row>
    <row r="75" spans="33:52" ph="1">
      <c r="AJ75" s="64" t="s" ph="1">
        <v>291</v>
      </c>
      <c r="AK75" s="64" t="s" ph="1">
        <v>344</v>
      </c>
      <c r="AM75" s="64" t="s" ph="1">
        <v>289</v>
      </c>
      <c r="AN75" s="64" t="s" ph="1">
        <v>269</v>
      </c>
      <c r="AO75" s="64" t="s" ph="1">
        <v>287</v>
      </c>
      <c r="AS75" s="64" t="s" ph="1">
        <v>259</v>
      </c>
      <c r="AT75" s="64" t="s" ph="1">
        <v>290</v>
      </c>
    </row>
    <row r="76" spans="33:52" ph="1">
      <c r="AJ76" s="64" t="s" ph="1">
        <v>291</v>
      </c>
      <c r="AK76" s="64" t="s" ph="1">
        <v>284</v>
      </c>
      <c r="AM76" s="64" t="s" ph="1">
        <v>289</v>
      </c>
      <c r="AN76" s="64" t="s" ph="1">
        <v>272</v>
      </c>
      <c r="AO76" s="64" t="s" ph="1">
        <v>287</v>
      </c>
      <c r="AS76" s="64" t="s" ph="1">
        <v>259</v>
      </c>
      <c r="AT76" s="64" t="s" ph="1">
        <v>290</v>
      </c>
    </row>
    <row r="77" spans="33:52" ph="1">
      <c r="AJ77" s="64" t="s" ph="1">
        <v>327</v>
      </c>
      <c r="AK77" s="64" t="s" ph="1">
        <v>284</v>
      </c>
      <c r="AM77" s="64" t="s" ph="1">
        <v>328</v>
      </c>
      <c r="AN77" s="64" t="s" ph="1">
        <v>267</v>
      </c>
      <c r="AO77" s="64" t="s" ph="1">
        <v>287</v>
      </c>
      <c r="AS77" s="64" t="s" ph="1">
        <v>259</v>
      </c>
      <c r="AT77" s="64" t="s" ph="1">
        <v>329</v>
      </c>
    </row>
    <row r="78" spans="33:52" ph="1">
      <c r="AH78" s="64" ph="1">
        <v>2</v>
      </c>
      <c r="AI78" s="64" t="s" ph="1">
        <v>293</v>
      </c>
      <c r="AJ78" s="64" t="s" ph="1">
        <v>294</v>
      </c>
      <c r="AK78" s="64" t="s" ph="1">
        <v>263</v>
      </c>
      <c r="AM78" s="64" t="s" ph="1">
        <v>295</v>
      </c>
      <c r="AN78" s="64" t="s" ph="1">
        <v>298</v>
      </c>
      <c r="AO78" s="64" t="s" ph="1">
        <v>287</v>
      </c>
      <c r="AP78" s="64" t="s" ph="1">
        <v>296</v>
      </c>
      <c r="AQ78" s="64" t="s" ph="1">
        <v>342</v>
      </c>
      <c r="AR78" s="64" t="s" ph="1">
        <v>287</v>
      </c>
      <c r="AS78" s="64" t="s" ph="1">
        <v>297</v>
      </c>
      <c r="AT78" s="64" t="s" ph="1">
        <v>298</v>
      </c>
      <c r="AU78" s="64" t="s" ph="1">
        <v>287</v>
      </c>
      <c r="AV78" s="64" t="s" ph="1">
        <v>299</v>
      </c>
      <c r="AW78" s="64" t="s" ph="1">
        <v>287</v>
      </c>
      <c r="AY78" s="64" t="s" ph="1">
        <v>260</v>
      </c>
      <c r="AZ78" s="64" t="s" ph="1">
        <v>446</v>
      </c>
    </row>
    <row r="79" spans="33:52" ph="1">
      <c r="AJ79" s="64" t="s" ph="1">
        <v>289</v>
      </c>
      <c r="AK79" s="64" t="s" ph="1">
        <v>300</v>
      </c>
      <c r="AM79" s="64" t="s" ph="1">
        <v>301</v>
      </c>
      <c r="AN79" s="64" t="s" ph="1">
        <v>269</v>
      </c>
      <c r="AO79" s="64" t="s" ph="1">
        <v>287</v>
      </c>
      <c r="AP79" s="64" t="s" ph="1">
        <v>302</v>
      </c>
      <c r="AQ79" s="64" t="s" ph="1">
        <v>267</v>
      </c>
      <c r="AR79" s="64" t="s" ph="1">
        <v>303</v>
      </c>
      <c r="AS79" s="64" t="s" ph="1">
        <v>259</v>
      </c>
      <c r="AT79" s="64" t="s" ph="1">
        <v>304</v>
      </c>
      <c r="AV79" s="64" t="s" ph="1">
        <v>447</v>
      </c>
      <c r="AW79" s="64" t="s" ph="1">
        <v>346</v>
      </c>
      <c r="AX79" s="64" t="s" ph="1">
        <v>444</v>
      </c>
    </row>
    <row r="80" spans="33:52" ph="1">
      <c r="AH80" s="64" ph="1">
        <v>3</v>
      </c>
      <c r="AI80" s="64" t="s" ph="1">
        <v>305</v>
      </c>
      <c r="AJ80" s="64" t="s" ph="1">
        <v>306</v>
      </c>
      <c r="AK80" s="64" t="s" ph="1">
        <v>307</v>
      </c>
      <c r="AM80" s="64" t="s" ph="1">
        <v>308</v>
      </c>
      <c r="AN80" s="64" t="s" ph="1">
        <v>298</v>
      </c>
      <c r="AO80" s="64" t="s" ph="1">
        <v>287</v>
      </c>
      <c r="AP80" s="64" t="s" ph="1">
        <v>309</v>
      </c>
      <c r="AQ80" s="64" t="s" ph="1">
        <v>272</v>
      </c>
      <c r="AR80" s="64" t="s" ph="1">
        <v>287</v>
      </c>
      <c r="AS80" s="64" t="s" ph="1">
        <v>310</v>
      </c>
      <c r="AT80" s="64" t="s" ph="1">
        <v>271</v>
      </c>
      <c r="AU80" s="64" t="s" ph="1">
        <v>287</v>
      </c>
      <c r="AV80" s="64" t="s" ph="1">
        <v>311</v>
      </c>
      <c r="AW80" s="64" t="s" ph="1">
        <v>287</v>
      </c>
      <c r="AY80" s="64" t="s" ph="1">
        <v>260</v>
      </c>
      <c r="AZ80" s="64" t="s" ph="1">
        <v>448</v>
      </c>
    </row>
    <row r="81" spans="34:52" ph="1">
      <c r="AJ81" s="64" t="s" ph="1">
        <v>312</v>
      </c>
      <c r="AK81" s="64" t="s" ph="1">
        <v>266</v>
      </c>
      <c r="AM81" s="64" t="s" ph="1">
        <v>313</v>
      </c>
      <c r="AN81" s="64" t="s" ph="1">
        <v>269</v>
      </c>
      <c r="AO81" s="64" t="s" ph="1">
        <v>287</v>
      </c>
      <c r="AP81" s="64" t="s" ph="1">
        <v>314</v>
      </c>
      <c r="AQ81" s="64" t="s" ph="1">
        <v>298</v>
      </c>
      <c r="AR81" s="64" t="s" ph="1">
        <v>287</v>
      </c>
      <c r="AS81" s="64" t="s" ph="1">
        <v>315</v>
      </c>
      <c r="AT81" s="64" t="s" ph="1">
        <v>316</v>
      </c>
      <c r="AU81" s="64" t="s" ph="1">
        <v>287</v>
      </c>
      <c r="AV81" s="64" t="s" ph="1">
        <v>317</v>
      </c>
    </row>
    <row r="82" spans="34:52" ph="1">
      <c r="AJ82" s="64" t="s" ph="1">
        <v>318</v>
      </c>
      <c r="AK82" s="64" t="s" ph="1">
        <v>266</v>
      </c>
      <c r="AM82" s="64" t="s" ph="1">
        <v>319</v>
      </c>
      <c r="AN82" s="64" t="s" ph="1">
        <v>316</v>
      </c>
      <c r="AO82" s="64" t="s" ph="1">
        <v>320</v>
      </c>
      <c r="AP82" s="64" t="s" ph="1">
        <v>321</v>
      </c>
      <c r="AQ82" s="64" t="s" ph="1">
        <v>298</v>
      </c>
      <c r="AR82" s="64" t="s" ph="1">
        <v>287</v>
      </c>
      <c r="AS82" s="64" t="s" ph="1">
        <v>322</v>
      </c>
      <c r="AT82" s="64" t="s" ph="1">
        <v>273</v>
      </c>
      <c r="AU82" s="64" t="s" ph="1">
        <v>287</v>
      </c>
      <c r="AV82" s="64" t="s" ph="1">
        <v>447</v>
      </c>
      <c r="AW82" s="64" t="s" ph="1">
        <v>347</v>
      </c>
      <c r="AX82" s="64" t="s" ph="1">
        <v>444</v>
      </c>
    </row>
    <row r="83" spans="34:52" ph="1">
      <c r="AJ83" s="64" t="s" ph="1">
        <v>323</v>
      </c>
      <c r="AK83" s="64" t="s" ph="1">
        <v>340</v>
      </c>
      <c r="AM83" s="64" t="s" ph="1">
        <v>324</v>
      </c>
      <c r="AN83" s="64" t="s" ph="1">
        <v>272</v>
      </c>
      <c r="AO83" s="64" t="s" ph="1">
        <v>303</v>
      </c>
      <c r="AP83" s="64" t="s" ph="1">
        <v>325</v>
      </c>
      <c r="AQ83" s="64" t="s" ph="1">
        <v>326</v>
      </c>
      <c r="AR83" s="64" t="s" ph="1">
        <v>303</v>
      </c>
      <c r="AS83" s="64" t="s" ph="1">
        <v>449</v>
      </c>
      <c r="AT83" s="64" t="s" ph="1">
        <v>298</v>
      </c>
      <c r="AU83" s="64" t="s" ph="1">
        <v>303</v>
      </c>
      <c r="AV83" s="64" t="s" ph="1">
        <v>450</v>
      </c>
      <c r="AW83" s="64" t="s" ph="1">
        <v>347</v>
      </c>
      <c r="AX83" s="64" t="s" ph="1">
        <v>451</v>
      </c>
    </row>
    <row r="84" spans="34:52" ph="1">
      <c r="AH84" s="64" ph="1">
        <v>4</v>
      </c>
      <c r="AI84" s="64" t="s" ph="1">
        <v>330</v>
      </c>
      <c r="AJ84" s="64" t="s" ph="1">
        <v>270</v>
      </c>
      <c r="AK84" s="64" t="s" ph="1">
        <v>273</v>
      </c>
      <c r="AM84" s="64" t="s" ph="1">
        <v>274</v>
      </c>
      <c r="AN84" s="64" t="s" ph="1">
        <v>267</v>
      </c>
      <c r="AO84" s="64" t="s" ph="1">
        <v>303</v>
      </c>
      <c r="AP84" s="64" t="s" ph="1">
        <v>332</v>
      </c>
      <c r="AQ84" s="64" t="s" ph="1">
        <v>266</v>
      </c>
      <c r="AR84" s="64" t="s" ph="1">
        <v>303</v>
      </c>
      <c r="AS84" s="64" t="s" ph="1">
        <v>332</v>
      </c>
      <c r="AT84" s="64" t="s" ph="1">
        <v>268</v>
      </c>
      <c r="AU84" s="64" t="s" ph="1">
        <v>303</v>
      </c>
      <c r="AY84" s="64" t="s" ph="1">
        <v>260</v>
      </c>
      <c r="AZ84" s="64" t="s" ph="1">
        <v>452</v>
      </c>
    </row>
    <row r="85" spans="34:52" ph="1">
      <c r="AJ85" s="64" t="s" ph="1">
        <v>262</v>
      </c>
      <c r="AK85" s="64" t="s" ph="1">
        <v>266</v>
      </c>
      <c r="AM85" s="64" t="s" ph="1">
        <v>453</v>
      </c>
      <c r="AN85" s="64" t="s" ph="1">
        <v>273</v>
      </c>
      <c r="AO85" s="64" t="s" ph="1">
        <v>303</v>
      </c>
      <c r="AP85" s="64" t="s" ph="1">
        <v>454</v>
      </c>
      <c r="AQ85" s="64" t="s" ph="1">
        <v>269</v>
      </c>
      <c r="AR85" s="64" t="s" ph="1">
        <v>303</v>
      </c>
      <c r="AS85" s="64" t="s" ph="1">
        <v>455</v>
      </c>
      <c r="AT85" s="64" t="s" ph="1">
        <v>269</v>
      </c>
      <c r="AU85" s="64" t="s" ph="1">
        <v>303</v>
      </c>
    </row>
    <row r="86" spans="34:52" ph="1">
      <c r="AJ86" s="64" t="s" ph="1">
        <v>456</v>
      </c>
      <c r="AK86" s="64" t="s" ph="1">
        <v>275</v>
      </c>
      <c r="AM86" s="64" t="s" ph="1">
        <v>457</v>
      </c>
      <c r="AN86" s="64" t="s" ph="1">
        <v>316</v>
      </c>
      <c r="AO86" s="64" t="s" ph="1">
        <v>303</v>
      </c>
      <c r="AP86" s="64" t="s" ph="1">
        <v>458</v>
      </c>
      <c r="AQ86" s="64" t="s" ph="1">
        <v>263</v>
      </c>
      <c r="AR86" s="64" t="s" ph="1">
        <v>303</v>
      </c>
      <c r="AS86" s="64" t="s" ph="1">
        <v>459</v>
      </c>
      <c r="AT86" s="64" t="s" ph="1">
        <v>281</v>
      </c>
      <c r="AU86" s="64" t="s" ph="1">
        <v>303</v>
      </c>
    </row>
    <row r="87" spans="34:52" ph="1">
      <c r="AJ87" s="64" t="s" ph="1">
        <v>460</v>
      </c>
      <c r="AK87" s="64" t="s" ph="1">
        <v>316</v>
      </c>
      <c r="AM87" s="64" t="s" ph="1">
        <v>447</v>
      </c>
      <c r="AN87" s="64" t="s" ph="1">
        <v>461</v>
      </c>
      <c r="AO87" s="64" t="s" ph="1">
        <v>444</v>
      </c>
    </row>
    <row r="88" spans="34:52" ph="1">
      <c r="AH88" s="64" ph="1">
        <v>5</v>
      </c>
      <c r="AI88" s="64" t="s" ph="1">
        <v>333</v>
      </c>
      <c r="AJ88" s="64" t="s" ph="1">
        <v>462</v>
      </c>
      <c r="AK88" s="64" t="s" ph="1">
        <v>316</v>
      </c>
      <c r="AM88" s="64" t="s" ph="1">
        <v>463</v>
      </c>
      <c r="AN88" s="64" t="s" ph="1">
        <v>316</v>
      </c>
      <c r="AO88" s="64" t="s" ph="1">
        <v>303</v>
      </c>
      <c r="AP88" s="64" t="s" ph="1">
        <v>464</v>
      </c>
      <c r="AQ88" s="64" t="s" ph="1">
        <v>266</v>
      </c>
      <c r="AR88" s="64" t="s" ph="1">
        <v>303</v>
      </c>
      <c r="AS88" s="64" t="s" ph="1">
        <v>465</v>
      </c>
      <c r="AT88" s="64" t="s" ph="1">
        <v>316</v>
      </c>
      <c r="AU88" s="64" t="s" ph="1">
        <v>303</v>
      </c>
      <c r="AV88" s="64" t="s" ph="1">
        <v>466</v>
      </c>
      <c r="AW88" s="64" t="s" ph="1">
        <v>271</v>
      </c>
      <c r="AX88" s="64" t="s" ph="1">
        <v>303</v>
      </c>
      <c r="AY88" s="64" t="s" ph="1">
        <v>260</v>
      </c>
      <c r="AZ88" s="64" t="s" ph="1">
        <v>467</v>
      </c>
    </row>
    <row r="89" spans="34:52" ph="1">
      <c r="AJ89" s="64" t="s" ph="1">
        <v>468</v>
      </c>
      <c r="AK89" s="64" t="s" ph="1">
        <v>269</v>
      </c>
      <c r="AM89" s="64" t="s" ph="1">
        <v>469</v>
      </c>
      <c r="AN89" s="64" t="s" ph="1">
        <v>272</v>
      </c>
      <c r="AO89" s="64" t="s" ph="1">
        <v>303</v>
      </c>
      <c r="AP89" s="64" t="s" ph="1">
        <v>470</v>
      </c>
      <c r="AQ89" s="64" t="s" ph="1">
        <v>281</v>
      </c>
      <c r="AR89" s="64" t="s" ph="1">
        <v>303</v>
      </c>
      <c r="AS89" s="64" t="s" ph="1">
        <v>471</v>
      </c>
      <c r="AT89" s="64" t="s" ph="1">
        <v>316</v>
      </c>
      <c r="AU89" s="64" t="s" ph="1">
        <v>303</v>
      </c>
      <c r="AV89" s="64" t="s" ph="1">
        <v>472</v>
      </c>
      <c r="AW89" s="64" t="s" ph="1">
        <v>298</v>
      </c>
      <c r="AX89" s="64" t="s" ph="1">
        <v>331</v>
      </c>
    </row>
    <row r="90" spans="34:52" ph="1">
      <c r="AJ90" s="64" t="s" ph="1">
        <v>473</v>
      </c>
      <c r="AK90" s="64" t="s" ph="1">
        <v>272</v>
      </c>
      <c r="AM90" s="64" t="s" ph="1">
        <v>474</v>
      </c>
      <c r="AN90" s="64" t="s" ph="1">
        <v>269</v>
      </c>
      <c r="AO90" s="64" t="s" ph="1">
        <v>303</v>
      </c>
      <c r="AP90" s="64" t="s" ph="1">
        <v>475</v>
      </c>
      <c r="AQ90" s="64" t="s" ph="1">
        <v>338</v>
      </c>
      <c r="AR90" s="64" t="s" ph="1">
        <v>303</v>
      </c>
      <c r="AS90" s="64" t="s" ph="1">
        <v>476</v>
      </c>
      <c r="AT90" s="64" t="s" ph="1">
        <v>326</v>
      </c>
      <c r="AU90" s="64" t="s" ph="1">
        <v>303</v>
      </c>
      <c r="AV90" s="64" t="s" ph="1">
        <v>477</v>
      </c>
      <c r="AW90" s="64" t="s" ph="1">
        <v>263</v>
      </c>
      <c r="AX90" s="64" t="s" ph="1">
        <v>303</v>
      </c>
    </row>
    <row r="91" spans="34:52" ph="1">
      <c r="AJ91" s="64" t="s" ph="1">
        <v>478</v>
      </c>
      <c r="AK91" s="64" t="s" ph="1">
        <v>316</v>
      </c>
      <c r="AM91" s="64" t="s" ph="1">
        <v>479</v>
      </c>
      <c r="AN91" s="64" t="s" ph="1">
        <v>283</v>
      </c>
      <c r="AO91" s="64" t="s" ph="1">
        <v>303</v>
      </c>
      <c r="AP91" s="64" t="s" ph="1">
        <v>480</v>
      </c>
      <c r="AQ91" s="64" t="s" ph="1">
        <v>263</v>
      </c>
      <c r="AS91" s="64" t="s" ph="1">
        <v>447</v>
      </c>
      <c r="AT91" s="64" t="s" ph="1">
        <v>443</v>
      </c>
      <c r="AU91" s="64" t="s" ph="1">
        <v>444</v>
      </c>
    </row>
    <row r="92" spans="34:52" ph="1">
      <c r="AH92" s="64" ph="1">
        <v>6</v>
      </c>
      <c r="AI92" s="64" t="s" ph="1">
        <v>481</v>
      </c>
      <c r="AJ92" s="64" t="s" ph="1">
        <v>482</v>
      </c>
      <c r="AK92" s="64" t="s" ph="1">
        <v>411</v>
      </c>
      <c r="AM92" s="64" t="s" ph="1">
        <v>483</v>
      </c>
      <c r="AN92" s="64" t="s" ph="1">
        <v>271</v>
      </c>
      <c r="AO92" s="64" t="s" ph="1">
        <v>303</v>
      </c>
      <c r="AP92" s="64" t="s" ph="1">
        <v>484</v>
      </c>
      <c r="AQ92" s="64" t="s" ph="1">
        <v>343</v>
      </c>
      <c r="AR92" s="64" t="s" ph="1">
        <v>303</v>
      </c>
      <c r="AS92" s="64" t="s" ph="1">
        <v>485</v>
      </c>
      <c r="AT92" s="64" t="s" ph="1">
        <v>316</v>
      </c>
      <c r="AU92" s="64" t="s" ph="1">
        <v>303</v>
      </c>
      <c r="AV92" s="64" t="s" ph="1">
        <v>486</v>
      </c>
      <c r="AW92" s="64" t="s" ph="1">
        <v>272</v>
      </c>
      <c r="AX92" s="64" t="s" ph="1">
        <v>303</v>
      </c>
      <c r="AY92" s="64" t="s" ph="1">
        <v>260</v>
      </c>
      <c r="AZ92" s="64" t="s" ph="1">
        <v>467</v>
      </c>
    </row>
    <row r="93" spans="34:52" ph="1">
      <c r="AJ93" s="64" t="s" ph="1">
        <v>487</v>
      </c>
      <c r="AK93" s="64" t="s" ph="1">
        <v>266</v>
      </c>
      <c r="AM93" s="64" t="s" ph="1">
        <v>488</v>
      </c>
      <c r="AN93" s="64" t="s" ph="1">
        <v>271</v>
      </c>
      <c r="AO93" s="64" t="s" ph="1">
        <v>303</v>
      </c>
      <c r="AP93" s="64" t="s" ph="1">
        <v>489</v>
      </c>
      <c r="AQ93" s="64" t="s" ph="1">
        <v>275</v>
      </c>
      <c r="AR93" s="64" t="s" ph="1">
        <v>303</v>
      </c>
      <c r="AS93" s="64" t="s" ph="1">
        <v>490</v>
      </c>
      <c r="AT93" s="64" t="s" ph="1">
        <v>281</v>
      </c>
      <c r="AU93" s="64" t="s" ph="1">
        <v>303</v>
      </c>
      <c r="AV93" s="64" t="s" ph="1">
        <v>491</v>
      </c>
      <c r="AW93" s="64" t="s" ph="1">
        <v>275</v>
      </c>
      <c r="AX93" s="64" t="s" ph="1">
        <v>303</v>
      </c>
    </row>
    <row r="94" spans="34:52" ph="1">
      <c r="AJ94" s="64" t="s" ph="1">
        <v>492</v>
      </c>
      <c r="AK94" s="64" t="s" ph="1">
        <v>338</v>
      </c>
      <c r="AM94" s="64" t="s" ph="1">
        <v>493</v>
      </c>
      <c r="AN94" s="64" t="s" ph="1">
        <v>275</v>
      </c>
      <c r="AO94" s="64" t="s" ph="1">
        <v>303</v>
      </c>
      <c r="AP94" s="64" t="s" ph="1">
        <v>494</v>
      </c>
      <c r="AQ94" s="64" t="s" ph="1">
        <v>283</v>
      </c>
      <c r="AR94" s="64" t="s" ph="1">
        <v>303</v>
      </c>
      <c r="AS94" s="64" t="s" ph="1">
        <v>495</v>
      </c>
      <c r="AT94" s="64" t="s" ph="1">
        <v>269</v>
      </c>
      <c r="AU94" s="64" t="s" ph="1">
        <v>303</v>
      </c>
      <c r="AV94" s="64" t="s" ph="1">
        <v>496</v>
      </c>
      <c r="AW94" s="64" t="s" ph="1">
        <v>269</v>
      </c>
      <c r="AX94" s="64" t="s" ph="1">
        <v>303</v>
      </c>
    </row>
    <row r="95" spans="34:52" ph="1">
      <c r="AJ95" s="64" t="s" ph="1">
        <v>497</v>
      </c>
      <c r="AK95" s="64" t="s" ph="1">
        <v>343</v>
      </c>
    </row>
    <row r="96" spans="34:52" ph="1">
      <c r="AH96" s="64" ph="1">
        <v>7</v>
      </c>
      <c r="AI96" s="64" t="s" ph="1">
        <v>498</v>
      </c>
      <c r="AJ96" s="64" t="s" ph="1">
        <v>497</v>
      </c>
      <c r="AK96" s="64" t="s" ph="1">
        <v>298</v>
      </c>
      <c r="AM96" s="64" t="s" ph="1">
        <v>499</v>
      </c>
      <c r="AN96" s="64" t="s" ph="1">
        <v>272</v>
      </c>
      <c r="AO96" s="64" t="s" ph="1">
        <v>303</v>
      </c>
      <c r="AP96" s="64" t="s" ph="1">
        <v>500</v>
      </c>
      <c r="AQ96" s="64" t="s" ph="1">
        <v>316</v>
      </c>
      <c r="AR96" s="64" t="s" ph="1">
        <v>331</v>
      </c>
      <c r="AS96" s="64" t="s" ph="1">
        <v>501</v>
      </c>
      <c r="AT96" s="64" t="s" ph="1">
        <v>275</v>
      </c>
      <c r="AU96" s="64" t="s" ph="1">
        <v>331</v>
      </c>
      <c r="AV96" s="64" t="s" ph="1">
        <v>502</v>
      </c>
      <c r="AW96" s="64" t="s" ph="1">
        <v>271</v>
      </c>
      <c r="AX96" s="64" t="s" ph="1">
        <v>331</v>
      </c>
      <c r="AY96" s="64" t="s" ph="1">
        <v>260</v>
      </c>
      <c r="AZ96" s="64" t="s" ph="1">
        <v>503</v>
      </c>
    </row>
    <row r="97" spans="33:52" ph="1">
      <c r="AJ97" s="64" t="s" ph="1">
        <v>504</v>
      </c>
      <c r="AK97" s="64" t="s" ph="1">
        <v>326</v>
      </c>
      <c r="AM97" s="64" t="s" ph="1">
        <v>505</v>
      </c>
      <c r="AN97" s="64" t="s" ph="1">
        <v>269</v>
      </c>
      <c r="AO97" s="64" t="s" ph="1">
        <v>303</v>
      </c>
      <c r="AP97" s="64" t="s" ph="1">
        <v>506</v>
      </c>
      <c r="AQ97" s="64" t="s" ph="1">
        <v>263</v>
      </c>
      <c r="AR97" s="64" t="s" ph="1">
        <v>331</v>
      </c>
      <c r="AS97" s="64" t="s" ph="1">
        <v>507</v>
      </c>
      <c r="AT97" s="64" t="s" ph="1">
        <v>266</v>
      </c>
      <c r="AU97" s="64" t="s" ph="1">
        <v>331</v>
      </c>
      <c r="AV97" s="64" t="s" ph="1">
        <v>508</v>
      </c>
      <c r="AW97" s="64" t="s" ph="1">
        <v>272</v>
      </c>
      <c r="AX97" s="64" t="s" ph="1">
        <v>331</v>
      </c>
    </row>
    <row r="98" spans="33:52" ph="1">
      <c r="AJ98" s="64" t="s" ph="1">
        <v>509</v>
      </c>
      <c r="AK98" s="64" t="s" ph="1">
        <v>275</v>
      </c>
      <c r="AM98" s="64" t="s" ph="1">
        <v>510</v>
      </c>
      <c r="AN98" s="64" t="s" ph="1">
        <v>283</v>
      </c>
      <c r="AO98" s="64" t="s" ph="1">
        <v>303</v>
      </c>
      <c r="AP98" s="64" t="s" ph="1">
        <v>511</v>
      </c>
      <c r="AQ98" s="64" t="s" ph="1">
        <v>263</v>
      </c>
      <c r="AR98" s="64" t="s" ph="1">
        <v>331</v>
      </c>
      <c r="AS98" s="64" t="s" ph="1">
        <v>512</v>
      </c>
      <c r="AT98" s="64" t="s" ph="1">
        <v>343</v>
      </c>
      <c r="AU98" s="64" t="s" ph="1">
        <v>331</v>
      </c>
      <c r="AV98" s="64" t="s" ph="1">
        <v>513</v>
      </c>
      <c r="AW98" s="64" t="s" ph="1">
        <v>266</v>
      </c>
      <c r="AX98" s="64" t="s" ph="1">
        <v>331</v>
      </c>
    </row>
    <row r="99" spans="33:52" ph="1">
      <c r="AH99" s="64" ph="1">
        <v>8</v>
      </c>
      <c r="AI99" s="64" t="s" ph="1">
        <v>514</v>
      </c>
      <c r="AJ99" s="64" t="s" ph="1">
        <v>515</v>
      </c>
      <c r="AK99" s="64" t="s" ph="1">
        <v>411</v>
      </c>
      <c r="AM99" s="64" t="s" ph="1">
        <v>516</v>
      </c>
      <c r="AN99" s="64" t="s" ph="1">
        <v>298</v>
      </c>
      <c r="AO99" s="64" t="s" ph="1">
        <v>303</v>
      </c>
      <c r="AP99" s="64" t="s" ph="1">
        <v>517</v>
      </c>
      <c r="AQ99" s="64" t="s" ph="1">
        <v>268</v>
      </c>
      <c r="AR99" s="64" t="s" ph="1">
        <v>331</v>
      </c>
      <c r="AS99" s="64" t="s" ph="1">
        <v>518</v>
      </c>
      <c r="AT99" s="64" t="s" ph="1">
        <v>283</v>
      </c>
      <c r="AU99" s="64" t="s" ph="1">
        <v>331</v>
      </c>
      <c r="AV99" s="64" t="s" ph="1">
        <v>519</v>
      </c>
      <c r="AW99" s="64" t="s" ph="1">
        <v>268</v>
      </c>
      <c r="AX99" s="64" t="s" ph="1">
        <v>331</v>
      </c>
      <c r="AY99" s="64" t="s" ph="1">
        <v>260</v>
      </c>
      <c r="AZ99" s="64" t="s" ph="1">
        <v>520</v>
      </c>
    </row>
    <row r="100" spans="33:52" ph="1">
      <c r="AJ100" s="64" t="s" ph="1">
        <v>521</v>
      </c>
      <c r="AK100" s="64" t="s" ph="1">
        <v>266</v>
      </c>
      <c r="AM100" s="64" t="s" ph="1">
        <v>522</v>
      </c>
      <c r="AN100" s="64" t="s" ph="1">
        <v>338</v>
      </c>
      <c r="AO100" s="64" t="s" ph="1">
        <v>303</v>
      </c>
      <c r="AP100" s="64" t="s" ph="1">
        <v>523</v>
      </c>
      <c r="AQ100" s="64" t="s" ph="1">
        <v>344</v>
      </c>
      <c r="AR100" s="64" t="s" ph="1">
        <v>331</v>
      </c>
      <c r="AS100" s="64" t="s" ph="1">
        <v>524</v>
      </c>
      <c r="AT100" s="64" t="s" ph="1">
        <v>411</v>
      </c>
      <c r="AU100" s="64" t="s" ph="1">
        <v>303</v>
      </c>
      <c r="AV100" s="64" t="s" ph="1">
        <v>525</v>
      </c>
      <c r="AW100" s="64" t="s" ph="1">
        <v>411</v>
      </c>
      <c r="AX100" s="64" t="s" ph="1">
        <v>303</v>
      </c>
    </row>
    <row r="101" spans="33:52" ph="1">
      <c r="AJ101" s="64" t="s" ph="1">
        <v>526</v>
      </c>
      <c r="AK101" s="64" t="s" ph="1">
        <v>411</v>
      </c>
      <c r="AM101" s="64" t="s" ph="1">
        <v>527</v>
      </c>
      <c r="AN101" s="64" t="s" ph="1">
        <v>269</v>
      </c>
      <c r="AO101" s="64" t="s" ph="1">
        <v>303</v>
      </c>
      <c r="AP101" s="64" t="s" ph="1">
        <v>528</v>
      </c>
      <c r="AQ101" s="64" t="s" ph="1">
        <v>281</v>
      </c>
      <c r="AR101" s="64" t="s" ph="1">
        <v>331</v>
      </c>
      <c r="AS101" s="64" t="s" ph="1">
        <v>529</v>
      </c>
      <c r="AT101" s="64" t="s" ph="1">
        <v>338</v>
      </c>
      <c r="AU101" s="64" t="s" ph="1">
        <v>331</v>
      </c>
      <c r="AV101" s="64" t="s" ph="1">
        <v>530</v>
      </c>
      <c r="AW101" s="64" t="s" ph="1">
        <v>269</v>
      </c>
      <c r="AX101" s="64" t="s" ph="1">
        <v>303</v>
      </c>
    </row>
    <row r="102" spans="33:52" ph="1">
      <c r="AJ102" s="64" t="s" ph="1">
        <v>531</v>
      </c>
      <c r="AK102" s="64" t="s" ph="1">
        <v>266</v>
      </c>
      <c r="AM102" s="64" t="s" ph="1">
        <v>532</v>
      </c>
      <c r="AN102" s="64" t="s" ph="1">
        <v>275</v>
      </c>
      <c r="AO102" s="64" t="s" ph="1">
        <v>303</v>
      </c>
      <c r="AP102" s="64" t="s" ph="1">
        <v>533</v>
      </c>
      <c r="AQ102" s="64" t="s" ph="1">
        <v>281</v>
      </c>
      <c r="AR102" s="64" t="s" ph="1">
        <v>303</v>
      </c>
      <c r="AS102" s="64" t="s" ph="1">
        <v>534</v>
      </c>
      <c r="AT102" s="64" t="s" ph="1">
        <v>298</v>
      </c>
      <c r="AU102" s="64" t="s" ph="1">
        <v>303</v>
      </c>
      <c r="AV102" s="64" t="s" ph="1">
        <v>535</v>
      </c>
      <c r="AW102" s="64" t="s" ph="1">
        <v>316</v>
      </c>
      <c r="AX102" s="64" t="s" ph="1">
        <v>303</v>
      </c>
    </row>
    <row r="103" spans="33:52" ph="1">
      <c r="AH103" s="64" ph="1">
        <v>9</v>
      </c>
      <c r="AI103" s="64" t="s" ph="1">
        <v>536</v>
      </c>
      <c r="AJ103" s="64" t="s" ph="1">
        <v>537</v>
      </c>
      <c r="AK103" s="64" t="s" ph="1">
        <v>411</v>
      </c>
      <c r="AM103" s="64" t="s" ph="1">
        <v>538</v>
      </c>
      <c r="AN103" s="64" t="s" ph="1">
        <v>326</v>
      </c>
      <c r="AO103" s="64" t="s" ph="1">
        <v>303</v>
      </c>
      <c r="AP103" s="64" t="s" ph="1">
        <v>380</v>
      </c>
      <c r="AQ103" s="64" t="s" ph="1">
        <v>269</v>
      </c>
      <c r="AR103" s="64" t="s" ph="1">
        <v>303</v>
      </c>
      <c r="AS103" s="64" t="s" ph="1">
        <v>614</v>
      </c>
      <c r="AT103" s="64" t="s" ph="1">
        <v>411</v>
      </c>
      <c r="AU103" s="64" t="s" ph="1">
        <v>303</v>
      </c>
      <c r="AY103" s="64" t="s" ph="1">
        <v>260</v>
      </c>
      <c r="AZ103" s="64" t="s" ph="1">
        <v>268</v>
      </c>
    </row>
    <row r="104" spans="33:52" ph="1">
      <c r="AZ104" s="64" t="s" ph="1">
        <v>539</v>
      </c>
    </row>
    <row r="105" spans="33:52" ph="1">
      <c r="AG105" s="64" t="s" ph="1">
        <v>339</v>
      </c>
      <c r="AI105" s="64" t="s" ph="1">
        <v>253</v>
      </c>
      <c r="AJ105" s="64" t="s" ph="1">
        <v>254</v>
      </c>
      <c r="AK105" s="64" t="s" ph="1">
        <v>255</v>
      </c>
      <c r="AM105" s="64" t="s" ph="1">
        <v>254</v>
      </c>
      <c r="AN105" s="64" t="s" ph="1">
        <v>255</v>
      </c>
      <c r="AO105" s="64" t="s" ph="1">
        <v>256</v>
      </c>
      <c r="AP105" s="64" t="s" ph="1">
        <v>254</v>
      </c>
      <c r="AQ105" s="64" t="s" ph="1">
        <v>255</v>
      </c>
      <c r="AR105" s="64" t="s" ph="1">
        <v>256</v>
      </c>
      <c r="AS105" s="64" t="s" ph="1">
        <v>254</v>
      </c>
      <c r="AT105" s="64" t="s" ph="1">
        <v>255</v>
      </c>
      <c r="AU105" s="64" t="s" ph="1">
        <v>256</v>
      </c>
      <c r="AV105" s="64" t="s" ph="1">
        <v>254</v>
      </c>
      <c r="AW105" s="64" t="s" ph="1">
        <v>255</v>
      </c>
      <c r="AX105" s="64" t="s" ph="1">
        <v>256</v>
      </c>
      <c r="AZ105" s="64" t="s" ph="1">
        <v>257</v>
      </c>
    </row>
    <row r="106" spans="33:52" ph="1">
      <c r="AH106" s="64" ph="1">
        <v>1</v>
      </c>
      <c r="AI106" s="64" t="s" ph="1">
        <v>540</v>
      </c>
      <c r="AJ106" s="64" t="s" ph="1">
        <v>614</v>
      </c>
      <c r="AK106" s="64" t="s" ph="1">
        <v>275</v>
      </c>
      <c r="AZ106" s="64" t="s" ph="1">
        <v>275</v>
      </c>
    </row>
    <row r="107" spans="33:52" ph="1">
      <c r="AH107" s="64" ph="1">
        <v>2</v>
      </c>
      <c r="AI107" s="64" t="s" ph="1">
        <v>541</v>
      </c>
      <c r="AJ107" s="64" t="s" ph="1">
        <v>542</v>
      </c>
      <c r="AK107" s="64" t="s" ph="1">
        <v>272</v>
      </c>
      <c r="AM107" s="64" t="s" ph="1">
        <v>378</v>
      </c>
      <c r="AN107" s="64" t="s" ph="1">
        <v>543</v>
      </c>
      <c r="AO107" s="64" t="s" ph="1">
        <v>544</v>
      </c>
      <c r="AP107" s="64" t="s" ph="1">
        <v>380</v>
      </c>
      <c r="AQ107" s="64" t="s" ph="1">
        <v>348</v>
      </c>
      <c r="AR107" s="64" t="s" ph="1">
        <v>544</v>
      </c>
      <c r="AS107" s="64" t="s" ph="1">
        <v>614</v>
      </c>
      <c r="AT107" s="64" t="s" ph="1">
        <v>543</v>
      </c>
      <c r="AU107" s="64" t="s" ph="1">
        <v>544</v>
      </c>
      <c r="AY107" s="64" t="s" ph="1">
        <v>260</v>
      </c>
      <c r="AZ107" s="64" t="s" ph="1">
        <v>624</v>
      </c>
    </row>
    <row r="108" spans="33:52" ph="1">
      <c r="AH108" s="64" ph="1">
        <v>3</v>
      </c>
      <c r="AI108" s="64" t="s" ph="1">
        <v>545</v>
      </c>
      <c r="AY108" s="64" t="s" ph="1">
        <v>260</v>
      </c>
      <c r="AZ108" s="64" t="s" ph="1">
        <v>411</v>
      </c>
    </row>
    <row r="109" spans="33:52" ph="1">
      <c r="AH109" s="64" ph="1">
        <v>4</v>
      </c>
      <c r="AI109" s="64" t="s" ph="1">
        <v>546</v>
      </c>
      <c r="AY109" s="64" t="s" ph="1">
        <v>260</v>
      </c>
      <c r="AZ109" s="64" t="s" ph="1">
        <v>411</v>
      </c>
    </row>
    <row r="110" spans="33:52" ph="1">
      <c r="AH110" s="64" ph="1">
        <v>5</v>
      </c>
      <c r="AI110" s="64" t="s" ph="1">
        <v>547</v>
      </c>
      <c r="AY110" s="64" t="s" ph="1">
        <v>260</v>
      </c>
      <c r="AZ110" s="64" t="s" ph="1">
        <v>411</v>
      </c>
    </row>
    <row r="111" spans="33:52" ph="1">
      <c r="AH111" s="64" ph="1">
        <v>6</v>
      </c>
      <c r="AI111" s="64" t="s" ph="1">
        <v>625</v>
      </c>
      <c r="AJ111" s="64" t="s" ph="1">
        <v>530</v>
      </c>
      <c r="AK111" s="64" t="s" ph="1">
        <v>269</v>
      </c>
      <c r="AM111" s="64" t="s" ph="1">
        <v>531</v>
      </c>
      <c r="AN111" s="64" t="s" ph="1">
        <v>263</v>
      </c>
      <c r="AO111" s="64" t="s" ph="1">
        <v>544</v>
      </c>
      <c r="AP111" s="64" t="s" ph="1">
        <v>532</v>
      </c>
      <c r="AQ111" s="64" t="s" ph="1">
        <v>272</v>
      </c>
      <c r="AR111" s="64" t="s" ph="1">
        <v>544</v>
      </c>
      <c r="AS111" s="64" t="s" ph="1">
        <v>533</v>
      </c>
      <c r="AT111" s="64" t="s" ph="1">
        <v>281</v>
      </c>
      <c r="AU111" s="64" t="s" ph="1">
        <v>544</v>
      </c>
      <c r="AV111" s="64" t="s" ph="1">
        <v>534</v>
      </c>
      <c r="AW111" s="64" t="s" ph="1">
        <v>271</v>
      </c>
      <c r="AX111" s="64" t="s" ph="1">
        <v>544</v>
      </c>
      <c r="AY111" s="64" t="s" ph="1">
        <v>260</v>
      </c>
      <c r="AZ111" s="64" t="s" ph="1">
        <v>548</v>
      </c>
    </row>
    <row r="112" spans="33:52" ph="1">
      <c r="AJ112" s="64" t="s" ph="1">
        <v>535</v>
      </c>
      <c r="AK112" s="64" t="s" ph="1">
        <v>316</v>
      </c>
      <c r="AM112" s="64" t="s" ph="1">
        <v>537</v>
      </c>
      <c r="AN112" s="64" t="s" ph="1">
        <v>340</v>
      </c>
      <c r="AO112" s="64" t="s" ph="1">
        <v>544</v>
      </c>
      <c r="AP112" s="64" t="s" ph="1">
        <v>538</v>
      </c>
      <c r="AQ112" s="64" t="s" ph="1">
        <v>549</v>
      </c>
      <c r="AR112" s="64" t="s" ph="1">
        <v>544</v>
      </c>
      <c r="AS112" s="64" t="s" ph="1">
        <v>550</v>
      </c>
      <c r="AT112" s="64" t="s" ph="1">
        <v>292</v>
      </c>
      <c r="AU112" s="64" t="s" ph="1">
        <v>544</v>
      </c>
      <c r="AV112" s="64" t="s" ph="1">
        <v>551</v>
      </c>
      <c r="AW112" s="64" t="s" ph="1">
        <v>338</v>
      </c>
      <c r="AX112" s="64" t="s" ph="1">
        <v>544</v>
      </c>
    </row>
    <row r="113" spans="33:52" ph="1">
      <c r="AH113" s="64" ph="1">
        <v>7</v>
      </c>
      <c r="AI113" s="64" t="s" ph="1">
        <v>552</v>
      </c>
      <c r="AJ113" s="64" t="s" ph="1">
        <v>633</v>
      </c>
      <c r="AK113" s="64" t="s" ph="1">
        <v>638</v>
      </c>
      <c r="AY113" s="64" t="s" ph="1">
        <v>260</v>
      </c>
      <c r="AZ113" s="64" t="s" ph="1">
        <v>638</v>
      </c>
    </row>
    <row r="114" spans="33:52" ph="1">
      <c r="AH114" s="64" ph="1">
        <v>8</v>
      </c>
      <c r="AI114" s="64" t="s" ph="1">
        <v>553</v>
      </c>
      <c r="AJ114" s="64" t="s" ph="1">
        <v>633</v>
      </c>
      <c r="AK114" s="64" t="s" ph="1">
        <v>639</v>
      </c>
      <c r="AY114" s="64" t="s" ph="1">
        <v>260</v>
      </c>
      <c r="AZ114" s="64" t="s" ph="1">
        <v>639</v>
      </c>
    </row>
    <row r="115" spans="33:52" ph="1">
      <c r="AH115" s="64" ph="1">
        <v>9</v>
      </c>
      <c r="AI115" s="64" t="s" ph="1">
        <v>554</v>
      </c>
      <c r="AJ115" s="64" t="s" ph="1">
        <v>633</v>
      </c>
      <c r="AK115" s="64" t="s" ph="1">
        <v>639</v>
      </c>
      <c r="AY115" s="64" t="s" ph="1">
        <v>260</v>
      </c>
      <c r="AZ115" s="64" t="s" ph="1">
        <v>639</v>
      </c>
    </row>
    <row r="116" spans="33:52" ph="1">
      <c r="AH116" s="64" ph="1">
        <v>10</v>
      </c>
      <c r="AI116" s="64" t="s" ph="1">
        <v>555</v>
      </c>
      <c r="AJ116" s="64" t="s" ph="1">
        <v>633</v>
      </c>
      <c r="AK116" s="64" t="s" ph="1">
        <v>639</v>
      </c>
      <c r="AY116" s="64" t="s" ph="1">
        <v>260</v>
      </c>
      <c r="AZ116" s="64" t="s" ph="1">
        <v>639</v>
      </c>
    </row>
    <row r="117" spans="33:52" ph="1">
      <c r="AH117" s="64" ph="1">
        <v>11</v>
      </c>
      <c r="AI117" s="64" t="s" ph="1">
        <v>556</v>
      </c>
      <c r="AJ117" s="64" t="s" ph="1">
        <v>633</v>
      </c>
      <c r="AK117" s="64" t="s" ph="1">
        <v>639</v>
      </c>
      <c r="AY117" s="64" t="s" ph="1">
        <v>260</v>
      </c>
      <c r="AZ117" s="64" t="s" ph="1">
        <v>639</v>
      </c>
    </row>
    <row r="118" spans="33:52" ph="1">
      <c r="AZ118" s="64" t="s" ph="1">
        <v>640</v>
      </c>
    </row>
    <row r="119" spans="33:52" ph="1">
      <c r="AI119" s="64" t="s" ph="1">
        <v>253</v>
      </c>
      <c r="AJ119" s="64" t="s" ph="1">
        <v>254</v>
      </c>
      <c r="AK119" s="64" t="s" ph="1">
        <v>255</v>
      </c>
      <c r="AM119" s="64" t="s" ph="1">
        <v>254</v>
      </c>
      <c r="AN119" s="64" t="s" ph="1">
        <v>255</v>
      </c>
      <c r="AO119" s="64" t="s" ph="1">
        <v>256</v>
      </c>
      <c r="AP119" s="64" t="s" ph="1">
        <v>254</v>
      </c>
      <c r="AQ119" s="64" t="s" ph="1">
        <v>255</v>
      </c>
      <c r="AR119" s="64" t="s" ph="1">
        <v>256</v>
      </c>
      <c r="AS119" s="64" t="s" ph="1">
        <v>254</v>
      </c>
      <c r="AT119" s="64" t="s" ph="1">
        <v>255</v>
      </c>
      <c r="AU119" s="64" t="s" ph="1">
        <v>256</v>
      </c>
      <c r="AV119" s="64" t="s" ph="1">
        <v>254</v>
      </c>
      <c r="AW119" s="64" t="s" ph="1">
        <v>255</v>
      </c>
      <c r="AX119" s="64" t="s" ph="1">
        <v>256</v>
      </c>
      <c r="AY119" s="64" t="s" ph="1">
        <v>255</v>
      </c>
      <c r="AZ119" s="64" t="s" ph="1">
        <v>257</v>
      </c>
    </row>
    <row r="120" spans="33:52" ph="1">
      <c r="AG120" s="64" t="s" ph="1">
        <v>397</v>
      </c>
      <c r="AH120" s="64" ph="1">
        <v>1</v>
      </c>
      <c r="AI120" s="64" t="s" ph="1">
        <v>557</v>
      </c>
      <c r="AJ120" s="64" t="s" ph="1">
        <v>631</v>
      </c>
      <c r="AK120" s="64" t="s" ph="1">
        <v>411</v>
      </c>
      <c r="AY120" s="64" t="s" ph="1">
        <v>260</v>
      </c>
      <c r="AZ120" s="64" t="s" ph="1">
        <v>411</v>
      </c>
    </row>
    <row r="121" spans="33:52" ph="1">
      <c r="AH121" s="64" ph="1">
        <v>2</v>
      </c>
      <c r="AI121" s="64" t="s" ph="1">
        <v>558</v>
      </c>
      <c r="AY121" s="64" t="s" ph="1">
        <v>260</v>
      </c>
      <c r="AZ121" s="64" t="s" ph="1">
        <v>411</v>
      </c>
    </row>
    <row r="122" spans="33:52" ph="1">
      <c r="AH122" s="64" ph="1">
        <v>3</v>
      </c>
      <c r="AI122" s="64" t="s" ph="1">
        <v>559</v>
      </c>
      <c r="AJ122" s="64" t="s" ph="1">
        <v>614</v>
      </c>
      <c r="AK122" s="64" t="s" ph="1">
        <v>626</v>
      </c>
      <c r="AM122" s="64" t="s" ph="1">
        <v>641</v>
      </c>
      <c r="AN122" s="64" t="s" ph="1">
        <v>634</v>
      </c>
      <c r="AO122" s="64" t="s" ph="1">
        <v>109</v>
      </c>
      <c r="AY122" s="64" t="s" ph="1">
        <v>260</v>
      </c>
      <c r="AZ122" s="64" t="s" ph="1">
        <v>623</v>
      </c>
    </row>
    <row r="123" spans="33:52" ph="1">
      <c r="AY123" s="64" t="s" ph="1">
        <v>260</v>
      </c>
      <c r="AZ123" s="64" t="s" ph="1">
        <v>623</v>
      </c>
    </row>
    <row r="124" spans="33:52" ph="1">
      <c r="AG124" s="64" t="s" ph="1">
        <v>400</v>
      </c>
      <c r="AH124" s="64" ph="1">
        <v>4</v>
      </c>
      <c r="AI124" s="64" t="s" ph="1">
        <v>560</v>
      </c>
      <c r="AJ124" s="64" t="s" ph="1">
        <v>561</v>
      </c>
      <c r="AK124" s="64" t="s" ph="1">
        <v>562</v>
      </c>
      <c r="AY124" s="64" t="s" ph="1">
        <v>260</v>
      </c>
      <c r="AZ124" s="64" t="s" ph="1">
        <v>562</v>
      </c>
    </row>
    <row r="125" spans="33:52" ph="1">
      <c r="AH125" s="64" ph="1">
        <v>5</v>
      </c>
      <c r="AI125" s="64" t="s" ph="1">
        <v>563</v>
      </c>
      <c r="AJ125" s="64" t="s" ph="1">
        <v>561</v>
      </c>
      <c r="AK125" s="64" t="s" ph="1">
        <v>562</v>
      </c>
      <c r="AY125" s="64" t="s" ph="1">
        <v>260</v>
      </c>
      <c r="AZ125" s="64" t="s" ph="1">
        <v>562</v>
      </c>
    </row>
    <row r="126" spans="33:52" ph="1">
      <c r="AH126" s="64" ph="1">
        <v>6</v>
      </c>
      <c r="AI126" s="64" t="s" ph="1">
        <v>564</v>
      </c>
      <c r="AJ126" s="64" t="s" ph="1">
        <v>633</v>
      </c>
      <c r="AK126" s="64" t="s" ph="1">
        <v>642</v>
      </c>
      <c r="AY126" s="64" t="s" ph="1">
        <v>260</v>
      </c>
      <c r="AZ126" s="64" t="s" ph="1">
        <v>642</v>
      </c>
    </row>
    <row r="127" spans="33:52" ph="1">
      <c r="AH127" s="64" ph="1">
        <v>7</v>
      </c>
      <c r="AI127" s="64" t="s" ph="1">
        <v>565</v>
      </c>
      <c r="AJ127" s="64" t="s" ph="1">
        <v>633</v>
      </c>
      <c r="AK127" s="64" t="s" ph="1">
        <v>643</v>
      </c>
      <c r="AY127" s="64" t="s" ph="1">
        <v>260</v>
      </c>
      <c r="AZ127" s="64" t="s" ph="1">
        <v>643</v>
      </c>
    </row>
    <row r="128" spans="33:52" ph="1">
      <c r="AH128" s="64" ph="1">
        <v>8</v>
      </c>
      <c r="AI128" s="64" t="s" ph="1">
        <v>566</v>
      </c>
      <c r="AY128" s="64" t="s" ph="1">
        <v>260</v>
      </c>
      <c r="AZ128" s="64" t="s" ph="1">
        <v>411</v>
      </c>
    </row>
    <row r="129" spans="33:52" ph="1">
      <c r="AH129" s="64" ph="1">
        <v>9</v>
      </c>
      <c r="AI129" s="64" t="s" ph="1">
        <v>567</v>
      </c>
      <c r="AY129" s="64" t="s" ph="1">
        <v>260</v>
      </c>
      <c r="AZ129" s="64" t="s" ph="1">
        <v>411</v>
      </c>
    </row>
    <row r="130" spans="33:52" ph="1">
      <c r="AH130" s="64" ph="1">
        <v>10</v>
      </c>
      <c r="AI130" s="64" t="s" ph="1">
        <v>568</v>
      </c>
      <c r="AY130" s="64" t="s" ph="1">
        <v>260</v>
      </c>
      <c r="AZ130" s="64" t="s" ph="1">
        <v>411</v>
      </c>
    </row>
    <row r="131" spans="33:52" ph="1">
      <c r="AH131" s="64" ph="1">
        <v>11</v>
      </c>
      <c r="AI131" s="64" t="s" ph="1">
        <v>569</v>
      </c>
      <c r="AJ131" s="64" t="s" ph="1">
        <v>627</v>
      </c>
      <c r="AK131" s="64" t="s" ph="1">
        <v>623</v>
      </c>
      <c r="AY131" s="64" t="s" ph="1">
        <v>260</v>
      </c>
      <c r="AZ131" s="64" t="s" ph="1">
        <v>623</v>
      </c>
    </row>
    <row r="132" spans="33:52" ph="1">
      <c r="AH132" s="64" ph="1">
        <v>12</v>
      </c>
      <c r="AI132" s="64" t="s" ph="1">
        <v>570</v>
      </c>
      <c r="AJ132" s="64" t="s" ph="1">
        <v>627</v>
      </c>
      <c r="AK132" s="64" t="s" ph="1">
        <v>562</v>
      </c>
      <c r="AY132" s="64" t="s" ph="1">
        <v>260</v>
      </c>
      <c r="AZ132" s="64" t="s" ph="1">
        <v>562</v>
      </c>
    </row>
    <row r="133" spans="33:52" ph="1">
      <c r="AH133" s="64" ph="1">
        <v>13</v>
      </c>
      <c r="AI133" s="64" t="s" ph="1">
        <v>571</v>
      </c>
      <c r="AJ133" s="64" t="s" ph="1">
        <v>627</v>
      </c>
      <c r="AK133" s="64" t="s" ph="1">
        <v>628</v>
      </c>
      <c r="AY133" s="64" t="s" ph="1">
        <v>260</v>
      </c>
      <c r="AZ133" s="64" t="s" ph="1">
        <v>628</v>
      </c>
    </row>
    <row r="134" spans="33:52" ph="1">
      <c r="AH134" s="64" ph="1">
        <v>14</v>
      </c>
      <c r="AI134" s="64" t="s" ph="1">
        <v>572</v>
      </c>
      <c r="AJ134" s="64" t="s" ph="1">
        <v>627</v>
      </c>
      <c r="AK134" s="64" t="s" ph="1">
        <v>629</v>
      </c>
      <c r="AY134" s="64" t="s" ph="1">
        <v>260</v>
      </c>
      <c r="AZ134" s="64" t="s" ph="1">
        <v>629</v>
      </c>
    </row>
    <row r="135" spans="33:52" ph="1">
      <c r="AH135" s="64" ph="1">
        <v>15</v>
      </c>
      <c r="AI135" s="64" t="s" ph="1">
        <v>573</v>
      </c>
      <c r="AJ135" s="64" t="s" ph="1">
        <v>627</v>
      </c>
      <c r="AK135" s="64" t="s" ph="1">
        <v>630</v>
      </c>
      <c r="AY135" s="64" t="s" ph="1">
        <v>260</v>
      </c>
      <c r="AZ135" s="64" t="s" ph="1">
        <v>630</v>
      </c>
    </row>
    <row r="136" spans="33:52" ph="1">
      <c r="AZ136" s="64" t="s" ph="1">
        <v>644</v>
      </c>
    </row>
    <row r="137" spans="33:52" ph="1">
      <c r="AG137" s="64" t="s" ph="1">
        <v>334</v>
      </c>
      <c r="AI137" s="64" t="s" ph="1">
        <v>253</v>
      </c>
      <c r="AJ137" s="64" t="s" ph="1">
        <v>254</v>
      </c>
      <c r="AK137" s="64" t="s" ph="1">
        <v>255</v>
      </c>
      <c r="AM137" s="64" t="s" ph="1">
        <v>254</v>
      </c>
      <c r="AN137" s="64" t="s" ph="1">
        <v>255</v>
      </c>
      <c r="AO137" s="64" t="s" ph="1">
        <v>256</v>
      </c>
      <c r="AP137" s="64" t="s" ph="1">
        <v>254</v>
      </c>
      <c r="AQ137" s="64" t="s" ph="1">
        <v>255</v>
      </c>
      <c r="AR137" s="64" t="s" ph="1">
        <v>256</v>
      </c>
      <c r="AS137" s="64" t="s" ph="1">
        <v>254</v>
      </c>
      <c r="AT137" s="64" t="s" ph="1">
        <v>255</v>
      </c>
      <c r="AU137" s="64" t="s" ph="1">
        <v>256</v>
      </c>
      <c r="AV137" s="64" t="s" ph="1">
        <v>254</v>
      </c>
      <c r="AW137" s="64" t="s" ph="1">
        <v>255</v>
      </c>
      <c r="AX137" s="64" t="s" ph="1">
        <v>256</v>
      </c>
      <c r="AY137" s="64" t="s" ph="1">
        <v>255</v>
      </c>
      <c r="AZ137" s="64" t="s" ph="1">
        <v>257</v>
      </c>
    </row>
    <row r="138" spans="33:52" ph="1">
      <c r="AH138" s="64" ph="1">
        <v>1</v>
      </c>
      <c r="AI138" s="64" t="s" ph="1">
        <v>574</v>
      </c>
      <c r="AJ138" s="64" t="s" ph="1">
        <v>575</v>
      </c>
      <c r="AK138" s="64" t="s" ph="1">
        <v>576</v>
      </c>
      <c r="AY138" s="64" t="s" ph="1">
        <v>260</v>
      </c>
      <c r="AZ138" s="64" t="s" ph="1">
        <v>576</v>
      </c>
    </row>
    <row r="139" spans="33:52" ph="1">
      <c r="AH139" s="64" ph="1">
        <v>2</v>
      </c>
      <c r="AI139" s="64" t="s" ph="1">
        <v>577</v>
      </c>
      <c r="AJ139" s="64" t="s" ph="1">
        <v>633</v>
      </c>
      <c r="AK139" s="64" t="s" ph="1">
        <v>645</v>
      </c>
      <c r="AY139" s="64" t="s" ph="1">
        <v>260</v>
      </c>
      <c r="AZ139" s="64" t="s" ph="1">
        <v>645</v>
      </c>
    </row>
    <row r="140" spans="33:52" ph="1">
      <c r="AH140" s="64" ph="1">
        <v>3</v>
      </c>
      <c r="AI140" s="64" t="s" ph="1">
        <v>578</v>
      </c>
      <c r="AJ140" s="64" t="s" ph="1">
        <v>531</v>
      </c>
      <c r="AK140" s="64" t="s" ph="1">
        <v>343</v>
      </c>
      <c r="AM140" s="64" t="s" ph="1">
        <v>532</v>
      </c>
      <c r="AN140" s="64" t="s" ph="1">
        <v>263</v>
      </c>
      <c r="AO140" s="64" t="s" ph="1">
        <v>579</v>
      </c>
      <c r="AP140" s="64" t="s" ph="1">
        <v>533</v>
      </c>
      <c r="AQ140" s="64" t="s" ph="1">
        <v>280</v>
      </c>
      <c r="AR140" s="64" t="s" ph="1">
        <v>579</v>
      </c>
      <c r="AS140" s="64" t="s" ph="1">
        <v>534</v>
      </c>
      <c r="AT140" s="64" t="s" ph="1">
        <v>273</v>
      </c>
      <c r="AU140" s="64" t="s" ph="1">
        <v>579</v>
      </c>
      <c r="AV140" s="64" t="s" ph="1">
        <v>535</v>
      </c>
      <c r="AW140" s="64" t="s" ph="1">
        <v>266</v>
      </c>
      <c r="AX140" s="64" t="s" ph="1">
        <v>579</v>
      </c>
      <c r="AY140" s="64" t="s" ph="1">
        <v>260</v>
      </c>
      <c r="AZ140" s="64" t="s" ph="1">
        <v>335</v>
      </c>
    </row>
    <row r="141" spans="33:52" ph="1">
      <c r="AJ141" s="64" t="s" ph="1">
        <v>537</v>
      </c>
      <c r="AK141" s="64" t="s" ph="1">
        <v>266</v>
      </c>
      <c r="AM141" s="64" t="s" ph="1">
        <v>538</v>
      </c>
      <c r="AN141" s="64" t="s" ph="1">
        <v>269</v>
      </c>
      <c r="AO141" s="64" t="s" ph="1">
        <v>579</v>
      </c>
      <c r="AP141" s="64" t="s" ph="1">
        <v>550</v>
      </c>
      <c r="AQ141" s="64" t="s" ph="1">
        <v>338</v>
      </c>
      <c r="AR141" s="64" t="s" ph="1">
        <v>579</v>
      </c>
      <c r="AS141" s="64" t="s" ph="1">
        <v>542</v>
      </c>
      <c r="AT141" s="64" t="s" ph="1">
        <v>266</v>
      </c>
      <c r="AU141" s="64" t="s" ph="1">
        <v>579</v>
      </c>
      <c r="AV141" s="64" t="s" ph="1">
        <v>378</v>
      </c>
      <c r="AW141" s="64" t="s" ph="1">
        <v>272</v>
      </c>
      <c r="AX141" s="64" t="s" ph="1">
        <v>579</v>
      </c>
    </row>
    <row r="142" spans="33:52" ph="1">
      <c r="AJ142" s="64" t="s" ph="1">
        <v>580</v>
      </c>
      <c r="AK142" s="64" t="s" ph="1">
        <v>283</v>
      </c>
    </row>
    <row r="143" spans="33:52" ph="1">
      <c r="AH143" s="64" ph="1">
        <v>4</v>
      </c>
      <c r="AI143" s="64" t="s" ph="1">
        <v>581</v>
      </c>
      <c r="AJ143" s="64" t="s" ph="1">
        <v>561</v>
      </c>
      <c r="AK143" s="64" t="s" ph="1">
        <v>582</v>
      </c>
      <c r="AY143" s="64" t="s" ph="1">
        <v>260</v>
      </c>
      <c r="AZ143" s="64" t="s" ph="1">
        <v>582</v>
      </c>
    </row>
    <row r="144" spans="33:52" ph="1">
      <c r="AH144" s="64" ph="1">
        <v>5</v>
      </c>
      <c r="AI144" s="64" t="s" ph="1">
        <v>583</v>
      </c>
      <c r="AY144" s="64" t="s" ph="1">
        <v>260</v>
      </c>
      <c r="AZ144" s="64" t="s" ph="1">
        <v>411</v>
      </c>
    </row>
    <row r="145" spans="33:52" ph="1">
      <c r="AH145" s="64" ph="1">
        <v>6</v>
      </c>
      <c r="AI145" s="64" t="s" ph="1">
        <v>584</v>
      </c>
      <c r="AY145" s="64" t="s" ph="1">
        <v>260</v>
      </c>
      <c r="AZ145" s="64" t="s" ph="1">
        <v>411</v>
      </c>
    </row>
    <row r="146" spans="33:52" ph="1">
      <c r="AH146" s="64" ph="1">
        <v>7</v>
      </c>
      <c r="AI146" s="64" t="s" ph="1">
        <v>585</v>
      </c>
      <c r="AY146" s="64" t="s" ph="1">
        <v>260</v>
      </c>
      <c r="AZ146" s="64" t="s" ph="1">
        <v>411</v>
      </c>
    </row>
    <row r="147" spans="33:52" ph="1">
      <c r="AH147" s="64" ph="1">
        <v>8</v>
      </c>
      <c r="AI147" s="64" t="s" ph="1">
        <v>586</v>
      </c>
      <c r="AY147" s="64" t="s" ph="1">
        <v>260</v>
      </c>
      <c r="AZ147" s="64" t="s" ph="1">
        <v>411</v>
      </c>
    </row>
    <row r="148" spans="33:52" ph="1">
      <c r="AH148" s="64" ph="1">
        <v>9</v>
      </c>
      <c r="AI148" s="64" t="s" ph="1">
        <v>587</v>
      </c>
      <c r="AY148" s="64" t="s" ph="1">
        <v>260</v>
      </c>
      <c r="AZ148" s="64" t="s" ph="1">
        <v>411</v>
      </c>
    </row>
    <row r="149" spans="33:52" ph="1">
      <c r="AH149" s="64" ph="1">
        <v>10</v>
      </c>
      <c r="AI149" s="64" t="s" ph="1">
        <v>588</v>
      </c>
      <c r="AY149" s="64" t="s" ph="1">
        <v>260</v>
      </c>
      <c r="AZ149" s="64" t="s" ph="1">
        <v>411</v>
      </c>
    </row>
    <row r="150" spans="33:52" ph="1">
      <c r="AH150" s="64" ph="1">
        <v>11</v>
      </c>
      <c r="AI150" s="64" t="s" ph="1">
        <v>589</v>
      </c>
      <c r="AY150" s="64" t="s" ph="1">
        <v>260</v>
      </c>
      <c r="AZ150" s="64" t="s" ph="1">
        <v>411</v>
      </c>
    </row>
    <row r="151" spans="33:52" ph="1">
      <c r="AH151" s="64" ph="1">
        <v>12</v>
      </c>
      <c r="AI151" s="64" t="s" ph="1">
        <v>590</v>
      </c>
      <c r="AY151" s="64" t="s" ph="1">
        <v>260</v>
      </c>
      <c r="AZ151" s="64" t="s" ph="1">
        <v>411</v>
      </c>
    </row>
    <row r="152" spans="33:52" ph="1">
      <c r="AH152" s="64" ph="1">
        <v>13</v>
      </c>
      <c r="AI152" s="64" t="s" ph="1">
        <v>591</v>
      </c>
      <c r="AY152" s="64" t="s" ph="1">
        <v>260</v>
      </c>
      <c r="AZ152" s="64" t="s" ph="1">
        <v>411</v>
      </c>
    </row>
    <row r="153" spans="33:52" ph="1">
      <c r="AH153" s="64" ph="1">
        <v>14</v>
      </c>
      <c r="AI153" s="64" t="s" ph="1">
        <v>592</v>
      </c>
      <c r="AY153" s="64" t="s" ph="1">
        <v>260</v>
      </c>
      <c r="AZ153" s="64" t="s" ph="1">
        <v>411</v>
      </c>
    </row>
    <row r="154" spans="33:52" ph="1">
      <c r="AH154" s="64" ph="1">
        <v>15</v>
      </c>
      <c r="AI154" s="64" t="s" ph="1">
        <v>593</v>
      </c>
      <c r="AY154" s="64" t="s" ph="1">
        <v>260</v>
      </c>
      <c r="AZ154" s="64" t="s" ph="1">
        <v>411</v>
      </c>
    </row>
    <row r="155" spans="33:52" ph="1">
      <c r="AH155" s="64" ph="1">
        <v>16</v>
      </c>
      <c r="AI155" s="64" t="s" ph="1">
        <v>594</v>
      </c>
      <c r="AJ155" s="64" t="s" ph="1">
        <v>380</v>
      </c>
      <c r="AK155" s="64" t="s" ph="1">
        <v>275</v>
      </c>
      <c r="AM155" s="64" t="s" ph="1">
        <v>614</v>
      </c>
      <c r="AN155" s="64" t="s" ph="1">
        <v>326</v>
      </c>
      <c r="AO155" s="64" t="s" ph="1">
        <v>579</v>
      </c>
      <c r="AY155" s="64" t="s" ph="1">
        <v>260</v>
      </c>
      <c r="AZ155" s="64" t="s" ph="1">
        <v>267</v>
      </c>
    </row>
    <row r="156" spans="33:52" ph="1">
      <c r="AZ156" s="64" t="s" ph="1">
        <v>646</v>
      </c>
    </row>
    <row r="157" spans="33:52" ph="1">
      <c r="AG157" s="64" t="s" ph="1">
        <v>595</v>
      </c>
      <c r="AI157" s="64" t="s" ph="1">
        <v>253</v>
      </c>
      <c r="AJ157" s="64" t="s" ph="1">
        <v>254</v>
      </c>
      <c r="AK157" s="64" t="s" ph="1">
        <v>255</v>
      </c>
      <c r="AM157" s="64" t="s" ph="1">
        <v>254</v>
      </c>
      <c r="AN157" s="64" t="s" ph="1">
        <v>255</v>
      </c>
      <c r="AO157" s="64" t="s" ph="1">
        <v>256</v>
      </c>
      <c r="AP157" s="64" t="s" ph="1">
        <v>254</v>
      </c>
      <c r="AQ157" s="64" t="s" ph="1">
        <v>255</v>
      </c>
      <c r="AR157" s="64" t="s" ph="1">
        <v>256</v>
      </c>
      <c r="AS157" s="64" t="s" ph="1">
        <v>254</v>
      </c>
      <c r="AT157" s="64" t="s" ph="1">
        <v>255</v>
      </c>
      <c r="AU157" s="64" t="s" ph="1">
        <v>256</v>
      </c>
      <c r="AV157" s="64" t="s" ph="1">
        <v>254</v>
      </c>
      <c r="AW157" s="64" t="s" ph="1">
        <v>255</v>
      </c>
      <c r="AX157" s="64" t="s" ph="1">
        <v>256</v>
      </c>
      <c r="AY157" s="64" t="s" ph="1">
        <v>255</v>
      </c>
      <c r="AZ157" s="64" t="s" ph="1">
        <v>257</v>
      </c>
    </row>
    <row r="158" spans="33:52" ph="1">
      <c r="AH158" s="64" ph="1">
        <v>1</v>
      </c>
      <c r="AI158" s="64" t="s" ph="1">
        <v>596</v>
      </c>
      <c r="AY158" s="64" t="s" ph="1">
        <v>260</v>
      </c>
      <c r="AZ158" s="64" t="s" ph="1">
        <v>411</v>
      </c>
    </row>
    <row r="159" spans="33:52" ph="1">
      <c r="AH159" s="64" ph="1">
        <v>2</v>
      </c>
      <c r="AI159" s="64" t="s" ph="1">
        <v>597</v>
      </c>
      <c r="AY159" s="64" t="s" ph="1">
        <v>260</v>
      </c>
      <c r="AZ159" s="64" t="s" ph="1">
        <v>411</v>
      </c>
    </row>
    <row r="160" spans="33:52" ph="1">
      <c r="AZ160" s="64" t="s" ph="1">
        <v>429</v>
      </c>
    </row>
    <row r="161" spans="33:52" ph="1">
      <c r="AG161" s="64" t="s" ph="1">
        <v>405</v>
      </c>
      <c r="AI161" s="64" t="s" ph="1">
        <v>253</v>
      </c>
      <c r="AJ161" s="64" t="s" ph="1">
        <v>254</v>
      </c>
      <c r="AK161" s="64" t="s" ph="1">
        <v>255</v>
      </c>
      <c r="AM161" s="64" t="s" ph="1">
        <v>254</v>
      </c>
      <c r="AN161" s="64" t="s" ph="1">
        <v>255</v>
      </c>
      <c r="AO161" s="64" t="s" ph="1">
        <v>256</v>
      </c>
      <c r="AP161" s="64" t="s" ph="1">
        <v>254</v>
      </c>
      <c r="AQ161" s="64" t="s" ph="1">
        <v>255</v>
      </c>
      <c r="AR161" s="64" t="s" ph="1">
        <v>256</v>
      </c>
      <c r="AS161" s="64" t="s" ph="1">
        <v>254</v>
      </c>
      <c r="AT161" s="64" t="s" ph="1">
        <v>255</v>
      </c>
      <c r="AU161" s="64" t="s" ph="1">
        <v>256</v>
      </c>
      <c r="AV161" s="64" t="s" ph="1">
        <v>254</v>
      </c>
      <c r="AW161" s="64" t="s" ph="1">
        <v>255</v>
      </c>
      <c r="AX161" s="64" t="s" ph="1">
        <v>256</v>
      </c>
      <c r="AY161" s="64" t="s" ph="1">
        <v>255</v>
      </c>
      <c r="AZ161" s="64" t="s" ph="1">
        <v>257</v>
      </c>
    </row>
    <row r="162" spans="33:52" ph="1">
      <c r="AH162" s="64" ph="1">
        <v>1</v>
      </c>
      <c r="AI162" s="64" t="s" ph="1">
        <v>598</v>
      </c>
      <c r="AJ162" s="64" t="s" ph="1">
        <v>599</v>
      </c>
      <c r="AK162" s="64" t="s" ph="1">
        <v>543</v>
      </c>
      <c r="AM162" s="64" t="s" ph="1">
        <v>600</v>
      </c>
      <c r="AN162" s="64" t="s" ph="1">
        <v>264</v>
      </c>
      <c r="AO162" s="64" t="s" ph="1">
        <v>601</v>
      </c>
      <c r="AY162" s="64" t="s" ph="1">
        <v>260</v>
      </c>
      <c r="AZ162" s="64" t="s" ph="1">
        <v>336</v>
      </c>
    </row>
    <row r="163" spans="33:52" ph="1">
      <c r="AH163" s="64" ph="1">
        <v>2</v>
      </c>
      <c r="AI163" s="64" t="s" ph="1">
        <v>602</v>
      </c>
      <c r="AJ163" s="64" t="s" ph="1">
        <v>599</v>
      </c>
      <c r="AK163" s="64" t="s" ph="1">
        <v>432</v>
      </c>
      <c r="AY163" s="64" t="s" ph="1">
        <v>260</v>
      </c>
      <c r="AZ163" s="64" t="s" ph="1">
        <v>432</v>
      </c>
    </row>
    <row r="164" spans="33:52" ph="1">
      <c r="AH164" s="64" ph="1">
        <v>3</v>
      </c>
      <c r="AI164" s="64" t="s" ph="1">
        <v>603</v>
      </c>
      <c r="AJ164" s="64" t="s" ph="1">
        <v>599</v>
      </c>
      <c r="AK164" s="64" t="s" ph="1">
        <v>336</v>
      </c>
      <c r="AY164" s="64" t="s" ph="1">
        <v>260</v>
      </c>
      <c r="AZ164" s="64" t="s" ph="1">
        <v>336</v>
      </c>
    </row>
    <row r="165" spans="33:52" ph="1">
      <c r="AH165" s="64" ph="1">
        <v>4</v>
      </c>
      <c r="AI165" s="64" t="s" ph="1">
        <v>604</v>
      </c>
      <c r="AY165" s="64" t="s" ph="1">
        <v>260</v>
      </c>
      <c r="AZ165" s="64" t="s" ph="1">
        <v>411</v>
      </c>
    </row>
    <row r="166" spans="33:52" ph="1">
      <c r="AH166" s="64" ph="1">
        <v>5</v>
      </c>
      <c r="AI166" s="64" t="s" ph="1">
        <v>605</v>
      </c>
      <c r="AY166" s="64" t="s" ph="1">
        <v>260</v>
      </c>
      <c r="AZ166" s="64" t="s" ph="1">
        <v>411</v>
      </c>
    </row>
    <row r="167" spans="33:52" ph="1">
      <c r="AZ167" s="64" t="s" ph="1">
        <v>606</v>
      </c>
    </row>
    <row r="168" spans="33:52" ph="1">
      <c r="AG168" s="64" t="s" ph="1">
        <v>349</v>
      </c>
      <c r="AI168" s="64" t="s" ph="1">
        <v>253</v>
      </c>
      <c r="AJ168" s="64" t="s" ph="1">
        <v>254</v>
      </c>
      <c r="AK168" s="64" t="s" ph="1">
        <v>255</v>
      </c>
      <c r="AM168" s="64" t="s" ph="1">
        <v>254</v>
      </c>
      <c r="AN168" s="64" t="s" ph="1">
        <v>255</v>
      </c>
      <c r="AO168" s="64" t="s" ph="1">
        <v>256</v>
      </c>
      <c r="AP168" s="64" t="s" ph="1">
        <v>254</v>
      </c>
      <c r="AQ168" s="64" t="s" ph="1">
        <v>255</v>
      </c>
      <c r="AR168" s="64" t="s" ph="1">
        <v>256</v>
      </c>
      <c r="AS168" s="64" t="s" ph="1">
        <v>254</v>
      </c>
      <c r="AT168" s="64" t="s" ph="1">
        <v>255</v>
      </c>
      <c r="AU168" s="64" t="s" ph="1">
        <v>256</v>
      </c>
      <c r="AV168" s="64" t="s" ph="1">
        <v>254</v>
      </c>
      <c r="AW168" s="64" t="s" ph="1">
        <v>255</v>
      </c>
      <c r="AX168" s="64" t="s" ph="1">
        <v>256</v>
      </c>
      <c r="AY168" s="64" t="s" ph="1">
        <v>255</v>
      </c>
      <c r="AZ168" s="64" t="s" ph="1">
        <v>257</v>
      </c>
    </row>
    <row r="169" spans="33:52" ph="1">
      <c r="AH169" s="64" ph="1">
        <v>1</v>
      </c>
      <c r="AI169" s="64" t="s" ph="1">
        <v>607</v>
      </c>
      <c r="AY169" s="64" t="s" ph="1">
        <v>260</v>
      </c>
      <c r="AZ169" s="64" t="s" ph="1">
        <v>411</v>
      </c>
    </row>
    <row r="170" spans="33:52" ph="1">
      <c r="AH170" s="64" ph="1">
        <v>2</v>
      </c>
      <c r="AI170" s="64" t="s" ph="1">
        <v>608</v>
      </c>
      <c r="AY170" s="64" t="s" ph="1">
        <v>260</v>
      </c>
      <c r="AZ170" s="64" t="s" ph="1">
        <v>411</v>
      </c>
    </row>
    <row r="171" spans="33:52" ph="1">
      <c r="AH171" s="64" ph="1">
        <v>3</v>
      </c>
      <c r="AI171" s="64" t="s" ph="1">
        <v>609</v>
      </c>
      <c r="AY171" s="64" t="s" ph="1">
        <v>260</v>
      </c>
      <c r="AZ171" s="64" t="s" ph="1">
        <v>411</v>
      </c>
    </row>
    <row r="172" spans="33:52" ph="1">
      <c r="AH172" s="64" ph="1">
        <v>4</v>
      </c>
      <c r="AI172" s="64" t="s" ph="1">
        <v>610</v>
      </c>
      <c r="AY172" s="64" t="s" ph="1">
        <v>260</v>
      </c>
      <c r="AZ172" s="64" t="s" ph="1">
        <v>411</v>
      </c>
    </row>
    <row r="173" spans="33:52" ph="1">
      <c r="AH173" s="64" ph="1">
        <v>5</v>
      </c>
      <c r="AI173" s="64" t="s" ph="1">
        <v>611</v>
      </c>
      <c r="AY173" s="64" t="s" ph="1">
        <v>260</v>
      </c>
      <c r="AZ173" s="64" t="s" ph="1">
        <v>411</v>
      </c>
    </row>
    <row r="174" spans="33:52" ph="1">
      <c r="AZ174" s="64" t="s" ph="1">
        <v>429</v>
      </c>
    </row>
    <row r="175" spans="33:52" ph="1">
      <c r="AJ175" s="64" t="s" ph="1">
        <v>350</v>
      </c>
    </row>
    <row r="176" spans="33:52" ph="1">
      <c r="AJ176" s="64" t="s" ph="1">
        <v>351</v>
      </c>
      <c r="AK176" s="64" t="s" ph="1">
        <v>352</v>
      </c>
      <c r="AM176" s="64" t="s" ph="1">
        <v>353</v>
      </c>
      <c r="AO176" s="64" t="s" ph="1">
        <v>354</v>
      </c>
      <c r="AP176" s="64" t="s" ph="1">
        <v>355</v>
      </c>
      <c r="AQ176" s="64" t="s" ph="1">
        <v>345</v>
      </c>
      <c r="AR176" s="64" t="s" ph="1">
        <v>265</v>
      </c>
    </row>
    <row r="177" spans="36:56" ph="1">
      <c r="AJ177" s="64" t="s" ph="1">
        <v>647</v>
      </c>
      <c r="AK177" s="64" t="s" ph="1">
        <v>356</v>
      </c>
      <c r="AO177" s="64" t="s" ph="1">
        <v>356</v>
      </c>
      <c r="AP177" s="64" t="s" ph="1">
        <v>356</v>
      </c>
      <c r="AQ177" s="64" t="s" ph="1">
        <v>357</v>
      </c>
      <c r="AR177" s="64" t="s" ph="1">
        <v>358</v>
      </c>
    </row>
    <row r="179" spans="36:56" ph="1">
      <c r="AJ179" s="64" t="s" ph="1">
        <v>359</v>
      </c>
      <c r="AK179" s="64" t="s" ph="1">
        <v>360</v>
      </c>
      <c r="AM179" s="64" t="s" ph="1">
        <v>361</v>
      </c>
      <c r="AN179" s="64" t="s" ph="1">
        <v>337</v>
      </c>
      <c r="AO179" s="64" t="s" ph="1">
        <v>362</v>
      </c>
      <c r="AP179" s="64" t="s" ph="1">
        <v>341</v>
      </c>
      <c r="AQ179" s="64" t="s" ph="1">
        <v>363</v>
      </c>
      <c r="AR179" s="64" t="s" ph="1">
        <v>364</v>
      </c>
    </row>
    <row r="180" spans="36:56" ph="1">
      <c r="AJ180" s="64" t="s" ph="1">
        <v>356</v>
      </c>
      <c r="AK180" s="64" t="s" ph="1">
        <v>356</v>
      </c>
      <c r="AL180" s="64" ph="1">
        <v>116</v>
      </c>
      <c r="AM180" s="64" t="s" ph="1">
        <v>356</v>
      </c>
      <c r="AN180" s="64" t="s" ph="1">
        <v>365</v>
      </c>
      <c r="AO180" s="64" t="s" ph="1">
        <v>356</v>
      </c>
      <c r="AP180" s="64" t="s" ph="1">
        <v>366</v>
      </c>
      <c r="AQ180" s="64" t="s" ph="1">
        <v>367</v>
      </c>
      <c r="AR180" s="64" t="s" ph="1">
        <v>368</v>
      </c>
    </row>
    <row r="189" spans="36:56" ph="1">
      <c r="BD189" s="64" t="s" ph="1">
        <v>612</v>
      </c>
    </row>
    <row r="223" spans="18:18" ph="1">
      <c r="R223" s="138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853" priority="92">
      <formula>ABS(D$7-D$10)&gt;=1000</formula>
    </cfRule>
  </conditionalFormatting>
  <conditionalFormatting sqref="E4 E6:E11">
    <cfRule type="expression" dxfId="852" priority="91">
      <formula>ABS(E$7-E$10)&gt;=1000</formula>
    </cfRule>
  </conditionalFormatting>
  <conditionalFormatting sqref="F4:F11">
    <cfRule type="expression" dxfId="851" priority="90">
      <formula>ABS(F$7-F$10)&gt;=1000</formula>
    </cfRule>
  </conditionalFormatting>
  <conditionalFormatting sqref="G4:G11">
    <cfRule type="expression" dxfId="850" priority="89">
      <formula>ABS(G$7-G$10)&gt;=1000</formula>
    </cfRule>
  </conditionalFormatting>
  <conditionalFormatting sqref="H4:H11">
    <cfRule type="expression" dxfId="849" priority="88">
      <formula>ABS(H$7-H$10)&gt;=1000</formula>
    </cfRule>
  </conditionalFormatting>
  <conditionalFormatting sqref="I4:I11">
    <cfRule type="expression" dxfId="848" priority="87">
      <formula>ABS(I$7-I$10)&gt;=1000</formula>
    </cfRule>
  </conditionalFormatting>
  <conditionalFormatting sqref="J4:J11">
    <cfRule type="expression" dxfId="847" priority="86">
      <formula>ABS(J$7-J$10)&gt;=1000</formula>
    </cfRule>
  </conditionalFormatting>
  <conditionalFormatting sqref="K4:K11">
    <cfRule type="expression" dxfId="846" priority="85">
      <formula>ABS(K$7-K$10)&gt;=1000</formula>
    </cfRule>
  </conditionalFormatting>
  <conditionalFormatting sqref="L4:L11">
    <cfRule type="expression" dxfId="845" priority="84">
      <formula>ABS(L$7-L$10)&gt;=1000</formula>
    </cfRule>
  </conditionalFormatting>
  <conditionalFormatting sqref="M4:M11">
    <cfRule type="expression" dxfId="844" priority="83">
      <formula>ABS(M$7-M$10)&gt;=1000</formula>
    </cfRule>
  </conditionalFormatting>
  <conditionalFormatting sqref="N4:N11">
    <cfRule type="expression" dxfId="843" priority="82">
      <formula>ABS(N$7-N$10)&gt;=1000</formula>
    </cfRule>
  </conditionalFormatting>
  <conditionalFormatting sqref="O4:O11">
    <cfRule type="expression" dxfId="842" priority="81">
      <formula>ABS(O$7-O$10)&gt;=1000</formula>
    </cfRule>
  </conditionalFormatting>
  <conditionalFormatting sqref="P4:P11">
    <cfRule type="expression" dxfId="841" priority="80">
      <formula>ABS(P$7-P$10)&gt;=1000</formula>
    </cfRule>
  </conditionalFormatting>
  <conditionalFormatting sqref="Q4:Q11">
    <cfRule type="expression" dxfId="840" priority="79">
      <formula>ABS(Q$7-Q$10)&gt;=1000</formula>
    </cfRule>
  </conditionalFormatting>
  <conditionalFormatting sqref="R4:R11">
    <cfRule type="expression" dxfId="839" priority="78">
      <formula>ABS(R$7-R$10)&gt;=1000</formula>
    </cfRule>
  </conditionalFormatting>
  <conditionalFormatting sqref="S4:S11">
    <cfRule type="expression" dxfId="838" priority="77">
      <formula>ABS(S$7-S$10)&gt;=1000</formula>
    </cfRule>
  </conditionalFormatting>
  <conditionalFormatting sqref="T4:T9 T11">
    <cfRule type="expression" dxfId="837" priority="76">
      <formula>ABS(T$7-T$10)&gt;=1000</formula>
    </cfRule>
  </conditionalFormatting>
  <conditionalFormatting sqref="U4:U9 U11">
    <cfRule type="expression" dxfId="836" priority="75">
      <formula>ABS(U$7-U$10)&gt;=1000</formula>
    </cfRule>
  </conditionalFormatting>
  <conditionalFormatting sqref="V4:V9 V11">
    <cfRule type="expression" dxfId="835" priority="74">
      <formula>ABS(V$7-V$10)&gt;=1000</formula>
    </cfRule>
  </conditionalFormatting>
  <conditionalFormatting sqref="W4:W9 W11">
    <cfRule type="expression" dxfId="834" priority="73">
      <formula>ABS(W$7-W$10)&gt;=1000</formula>
    </cfRule>
  </conditionalFormatting>
  <conditionalFormatting sqref="X4:X9 X11">
    <cfRule type="expression" dxfId="833" priority="72">
      <formula>ABS(X$7-X$10)&gt;=1000</formula>
    </cfRule>
  </conditionalFormatting>
  <conditionalFormatting sqref="Y4:Y9 Y11">
    <cfRule type="expression" dxfId="832" priority="71">
      <formula>ABS(Y$7-Y$10)&gt;=1000</formula>
    </cfRule>
  </conditionalFormatting>
  <conditionalFormatting sqref="Z4:Z11">
    <cfRule type="expression" dxfId="831" priority="70">
      <formula>ABS(Z$7-Z$10)&gt;=1000</formula>
    </cfRule>
  </conditionalFormatting>
  <conditionalFormatting sqref="AA4:AA11">
    <cfRule type="expression" dxfId="830" priority="69">
      <formula>ABS(AA$7-AA$10)&gt;=1000</formula>
    </cfRule>
  </conditionalFormatting>
  <conditionalFormatting sqref="AB4:AB11">
    <cfRule type="expression" dxfId="829" priority="68">
      <formula>ABS(AB$7-AB$10)&gt;=1000</formula>
    </cfRule>
  </conditionalFormatting>
  <conditionalFormatting sqref="AC4 AC6:AC11">
    <cfRule type="expression" dxfId="828" priority="67">
      <formula>ABS(AC$7-AC$10)&gt;=1000</formula>
    </cfRule>
  </conditionalFormatting>
  <conditionalFormatting sqref="AD4:AD11">
    <cfRule type="expression" dxfId="827" priority="66">
      <formula>ABS(AD$7-AD$10)&gt;=1000</formula>
    </cfRule>
  </conditionalFormatting>
  <conditionalFormatting sqref="AE4:AE11">
    <cfRule type="expression" dxfId="826" priority="65">
      <formula>ABS(AE$7-AE$10)&gt;=1000</formula>
    </cfRule>
  </conditionalFormatting>
  <conditionalFormatting sqref="D13:D20">
    <cfRule type="expression" dxfId="825" priority="64">
      <formula>ABS(D$16-D$19)&gt;=1000</formula>
    </cfRule>
  </conditionalFormatting>
  <conditionalFormatting sqref="E13:E20">
    <cfRule type="expression" dxfId="824" priority="63">
      <formula>ABS(E$16-E$19)&gt;=1000</formula>
    </cfRule>
  </conditionalFormatting>
  <conditionalFormatting sqref="F13 F15:F20">
    <cfRule type="expression" dxfId="823" priority="62">
      <formula>ABS(F$16-F$19)&gt;=1000</formula>
    </cfRule>
  </conditionalFormatting>
  <conditionalFormatting sqref="G13:G20">
    <cfRule type="expression" dxfId="822" priority="61">
      <formula>ABS(G$16-G$19)&gt;=1000</formula>
    </cfRule>
  </conditionalFormatting>
  <conditionalFormatting sqref="H13:H20">
    <cfRule type="expression" dxfId="821" priority="60">
      <formula>ABS(H$16-H$19)&gt;=1000</formula>
    </cfRule>
  </conditionalFormatting>
  <conditionalFormatting sqref="I13:I20">
    <cfRule type="expression" dxfId="820" priority="59">
      <formula>ABS(I$16-I$19)&gt;=1000</formula>
    </cfRule>
  </conditionalFormatting>
  <conditionalFormatting sqref="J13:J20">
    <cfRule type="expression" dxfId="819" priority="58">
      <formula>ABS(J$16-J$19)&gt;=1000</formula>
    </cfRule>
  </conditionalFormatting>
  <conditionalFormatting sqref="L13:L20">
    <cfRule type="expression" dxfId="818" priority="57">
      <formula>ABS(L$16-L$19)&gt;=1000</formula>
    </cfRule>
  </conditionalFormatting>
  <conditionalFormatting sqref="M13 M15 M17:M18 M20">
    <cfRule type="expression" dxfId="817" priority="56">
      <formula>ABS(M$16-M$19)&gt;=1000</formula>
    </cfRule>
  </conditionalFormatting>
  <conditionalFormatting sqref="N13:N20">
    <cfRule type="expression" dxfId="816" priority="55">
      <formula>ABS(N$16-N$19)&gt;=1000</formula>
    </cfRule>
  </conditionalFormatting>
  <conditionalFormatting sqref="O13:O20">
    <cfRule type="expression" dxfId="815" priority="54">
      <formula>ABS(O$16-O$19)&gt;=1000</formula>
    </cfRule>
  </conditionalFormatting>
  <conditionalFormatting sqref="P13:P20">
    <cfRule type="expression" dxfId="814" priority="53">
      <formula>ABS(P$16-P$19)&gt;=1000</formula>
    </cfRule>
  </conditionalFormatting>
  <conditionalFormatting sqref="Q13 Q15:Q20">
    <cfRule type="expression" dxfId="813" priority="52">
      <formula>ABS(Q$16-Q$19)&gt;=1000</formula>
    </cfRule>
  </conditionalFormatting>
  <conditionalFormatting sqref="R13:R20">
    <cfRule type="expression" dxfId="812" priority="51">
      <formula>ABS(R$16-R$19)&gt;=1000</formula>
    </cfRule>
  </conditionalFormatting>
  <conditionalFormatting sqref="S13:S20">
    <cfRule type="expression" dxfId="811" priority="50">
      <formula>ABS(S$16-S$19)&gt;=1000</formula>
    </cfRule>
  </conditionalFormatting>
  <conditionalFormatting sqref="T13:T20">
    <cfRule type="expression" dxfId="810" priority="49">
      <formula>ABS(T$16-T$19)&gt;=1000</formula>
    </cfRule>
  </conditionalFormatting>
  <conditionalFormatting sqref="U13:U20">
    <cfRule type="expression" dxfId="809" priority="48">
      <formula>ABS(U$16-U$19)&gt;=1000</formula>
    </cfRule>
  </conditionalFormatting>
  <conditionalFormatting sqref="V13:V20">
    <cfRule type="expression" dxfId="808" priority="47">
      <formula>ABS(V$16-V$19)&gt;=1000</formula>
    </cfRule>
  </conditionalFormatting>
  <conditionalFormatting sqref="W13 W15:W18 W20">
    <cfRule type="expression" dxfId="807" priority="46">
      <formula>ABS(W$16-W$19)&gt;=1000</formula>
    </cfRule>
  </conditionalFormatting>
  <conditionalFormatting sqref="X13 X15:X20 Y19">
    <cfRule type="expression" dxfId="806" priority="45">
      <formula>ABS(X$16-X$19)&gt;=1000</formula>
    </cfRule>
  </conditionalFormatting>
  <conditionalFormatting sqref="Y13 Y15:Y18 Y20">
    <cfRule type="expression" dxfId="805" priority="44">
      <formula>ABS(Y$16-Y$19)&gt;=1000</formula>
    </cfRule>
  </conditionalFormatting>
  <conditionalFormatting sqref="Z13:Z20">
    <cfRule type="expression" dxfId="804" priority="43">
      <formula>ABS(Z$16-Z$19)&gt;=1000</formula>
    </cfRule>
  </conditionalFormatting>
  <conditionalFormatting sqref="AA13:AA20">
    <cfRule type="expression" dxfId="803" priority="42">
      <formula>ABS(AA$16-AA$19)&gt;=1000</formula>
    </cfRule>
  </conditionalFormatting>
  <conditionalFormatting sqref="AB13 AB15:AB20">
    <cfRule type="expression" dxfId="802" priority="41">
      <formula>ABS(AB$16-AB$19)&gt;=1000</formula>
    </cfRule>
  </conditionalFormatting>
  <conditionalFormatting sqref="AC13 AC15:AC20">
    <cfRule type="expression" dxfId="801" priority="40">
      <formula>ABS(AC$16-AC$19)&gt;=1000</formula>
    </cfRule>
  </conditionalFormatting>
  <conditionalFormatting sqref="AD13:AD20">
    <cfRule type="expression" dxfId="800" priority="39">
      <formula>ABS(AD$16-AD$19)&gt;=1000</formula>
    </cfRule>
  </conditionalFormatting>
  <conditionalFormatting sqref="AE13:AE20">
    <cfRule type="expression" dxfId="799" priority="38">
      <formula>ABS(AE$16-AE$19)&gt;=1000</formula>
    </cfRule>
  </conditionalFormatting>
  <conditionalFormatting sqref="D22:D29">
    <cfRule type="expression" dxfId="798" priority="37">
      <formula>ABS(D$25-D$28)&gt;=1000</formula>
    </cfRule>
  </conditionalFormatting>
  <conditionalFormatting sqref="E22:E29">
    <cfRule type="expression" dxfId="797" priority="36">
      <formula>ABS(E$25-E$28)&gt;=1000</formula>
    </cfRule>
  </conditionalFormatting>
  <conditionalFormatting sqref="F22:F29">
    <cfRule type="expression" dxfId="796" priority="35">
      <formula>ABS(F$25-F$28)&gt;=1000</formula>
    </cfRule>
  </conditionalFormatting>
  <conditionalFormatting sqref="G22:G29">
    <cfRule type="expression" dxfId="795" priority="34">
      <formula>ABS(G$25-G$28)&gt;=1000</formula>
    </cfRule>
  </conditionalFormatting>
  <conditionalFormatting sqref="H22:H29">
    <cfRule type="expression" dxfId="794" priority="33">
      <formula>ABS(H$25-H$28)&gt;=1000</formula>
    </cfRule>
  </conditionalFormatting>
  <conditionalFormatting sqref="I22 I24:I29">
    <cfRule type="expression" dxfId="793" priority="32">
      <formula>ABS(I$25-I$28)&gt;=1000</formula>
    </cfRule>
  </conditionalFormatting>
  <conditionalFormatting sqref="J22:J29 K22">
    <cfRule type="expression" dxfId="792" priority="31">
      <formula>ABS(J$25-J$28)&gt;=1000</formula>
    </cfRule>
  </conditionalFormatting>
  <conditionalFormatting sqref="K23:K29 L25 L28">
    <cfRule type="expression" dxfId="791" priority="30">
      <formula>ABS(K$25-K$28)&gt;=1000</formula>
    </cfRule>
  </conditionalFormatting>
  <conditionalFormatting sqref="L22:L24 L26:L27 L29">
    <cfRule type="expression" dxfId="790" priority="29">
      <formula>ABS(L$25-L$28)&gt;=1000</formula>
    </cfRule>
  </conditionalFormatting>
  <conditionalFormatting sqref="M22:M29">
    <cfRule type="expression" dxfId="789" priority="28">
      <formula>ABS(M$25-M$28)&gt;=1000</formula>
    </cfRule>
  </conditionalFormatting>
  <conditionalFormatting sqref="N22:N29">
    <cfRule type="expression" dxfId="788" priority="27">
      <formula>ABS(N$25-N$28)&gt;=1000</formula>
    </cfRule>
  </conditionalFormatting>
  <conditionalFormatting sqref="O22:O29">
    <cfRule type="expression" dxfId="787" priority="26">
      <formula>ABS(O$25-O$28)&gt;=1000</formula>
    </cfRule>
  </conditionalFormatting>
  <conditionalFormatting sqref="P22:P29">
    <cfRule type="expression" dxfId="786" priority="25">
      <formula>ABS(P$25-P$28)&gt;=1000</formula>
    </cfRule>
  </conditionalFormatting>
  <conditionalFormatting sqref="Q22:Q29">
    <cfRule type="expression" dxfId="785" priority="24">
      <formula>ABS(Q$25-Q$28)&gt;=1000</formula>
    </cfRule>
  </conditionalFormatting>
  <conditionalFormatting sqref="R22:R29">
    <cfRule type="expression" dxfId="784" priority="23">
      <formula>ABS(R$25-R$28)&gt;=1000</formula>
    </cfRule>
  </conditionalFormatting>
  <conditionalFormatting sqref="S22:S29">
    <cfRule type="expression" dxfId="783" priority="22">
      <formula>ABS(S$25-S$28)&gt;=1000</formula>
    </cfRule>
  </conditionalFormatting>
  <conditionalFormatting sqref="T22:T29">
    <cfRule type="expression" dxfId="782" priority="21">
      <formula>ABS(T$25-T$28)&gt;=1000</formula>
    </cfRule>
  </conditionalFormatting>
  <conditionalFormatting sqref="U22:U29">
    <cfRule type="expression" dxfId="781" priority="20">
      <formula>ABS(U$25-U$28)&gt;=1000</formula>
    </cfRule>
  </conditionalFormatting>
  <conditionalFormatting sqref="V22:V29">
    <cfRule type="expression" dxfId="780" priority="19">
      <formula>ABS(V$25-V$28)&gt;=1000</formula>
    </cfRule>
  </conditionalFormatting>
  <conditionalFormatting sqref="W22:W29">
    <cfRule type="expression" dxfId="779" priority="18">
      <formula>ABS(W$25-W$28)&gt;=1000</formula>
    </cfRule>
  </conditionalFormatting>
  <conditionalFormatting sqref="X22:X29">
    <cfRule type="expression" dxfId="778" priority="17">
      <formula>ABS(X$25-X$28)&gt;=1000</formula>
    </cfRule>
  </conditionalFormatting>
  <conditionalFormatting sqref="Y22:Y29">
    <cfRule type="expression" dxfId="777" priority="16">
      <formula>ABS(Y$25-Y$28)&gt;=1000</formula>
    </cfRule>
  </conditionalFormatting>
  <conditionalFormatting sqref="I23">
    <cfRule type="expression" dxfId="776" priority="15">
      <formula>ABS(I$25-I$28)&gt;=1000</formula>
    </cfRule>
  </conditionalFormatting>
  <conditionalFormatting sqref="F14">
    <cfRule type="expression" dxfId="775" priority="14">
      <formula>ABS(F$16-F$19)&gt;=1000</formula>
    </cfRule>
  </conditionalFormatting>
  <conditionalFormatting sqref="Q14">
    <cfRule type="expression" dxfId="774" priority="13">
      <formula>ABS(Q$16-Q$19)&gt;=1000</formula>
    </cfRule>
  </conditionalFormatting>
  <conditionalFormatting sqref="W14">
    <cfRule type="expression" dxfId="773" priority="12">
      <formula>ABS(W$16-W$19)&gt;=1000</formula>
    </cfRule>
  </conditionalFormatting>
  <conditionalFormatting sqref="Y14">
    <cfRule type="expression" dxfId="772" priority="11">
      <formula>ABS(Y$16-Y$19)&gt;=1000</formula>
    </cfRule>
  </conditionalFormatting>
  <conditionalFormatting sqref="X14">
    <cfRule type="expression" dxfId="771" priority="10">
      <formula>ABS(X$16-X$19)&gt;=1000</formula>
    </cfRule>
  </conditionalFormatting>
  <conditionalFormatting sqref="T10:Y10">
    <cfRule type="expression" dxfId="770" priority="9">
      <formula>ABS(T$7-T$10)&gt;=1000</formula>
    </cfRule>
  </conditionalFormatting>
  <conditionalFormatting sqref="W19">
    <cfRule type="expression" dxfId="769" priority="8">
      <formula>ABS(W$16-W$19)&gt;=1000</formula>
    </cfRule>
  </conditionalFormatting>
  <conditionalFormatting sqref="AC5">
    <cfRule type="expression" dxfId="768" priority="7">
      <formula>ABS(AC$7-AC$10)&gt;=1000</formula>
    </cfRule>
  </conditionalFormatting>
  <conditionalFormatting sqref="M14">
    <cfRule type="expression" dxfId="767" priority="6">
      <formula>ABS(M$16-M$19)&gt;=1000</formula>
    </cfRule>
  </conditionalFormatting>
  <conditionalFormatting sqref="M16">
    <cfRule type="expression" dxfId="766" priority="5">
      <formula>ABS(M$16-M$19)&gt;=1000</formula>
    </cfRule>
  </conditionalFormatting>
  <conditionalFormatting sqref="M19">
    <cfRule type="expression" dxfId="765" priority="4">
      <formula>ABS(M$16-M$19)&gt;=1000</formula>
    </cfRule>
  </conditionalFormatting>
  <conditionalFormatting sqref="K13:K20">
    <cfRule type="expression" dxfId="764" priority="3">
      <formula>ABS(K$16-K$19)&gt;=1000</formula>
    </cfRule>
  </conditionalFormatting>
  <conditionalFormatting sqref="E5">
    <cfRule type="expression" dxfId="763" priority="2">
      <formula>ABS(E$7-E$10)&gt;=1000</formula>
    </cfRule>
  </conditionalFormatting>
  <conditionalFormatting sqref="AB14:AC14">
    <cfRule type="expression" dxfId="762" priority="1">
      <formula>ABS(AB$16-AB$19)&gt;=1000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260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58">
    <pageSetUpPr fitToPage="1"/>
  </sheetPr>
  <dimension ref="A1:CU223"/>
  <sheetViews>
    <sheetView view="pageBreakPreview" zoomScale="70" zoomScaleNormal="100" zoomScaleSheetLayoutView="70" workbookViewId="0">
      <selection activeCell="V18" sqref="V18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36" t="s" ph="1">
        <v>195</v>
      </c>
      <c r="C1" s="236" ph="1"/>
      <c r="D1" s="236" ph="1"/>
      <c r="E1" s="236" ph="1"/>
      <c r="F1" s="236" ph="1"/>
      <c r="G1" s="236" ph="1"/>
      <c r="H1" s="236" ph="1"/>
      <c r="I1" s="236" ph="1"/>
      <c r="J1" s="236" ph="1"/>
      <c r="K1" s="236" ph="1"/>
      <c r="L1" s="236" ph="1"/>
      <c r="M1" s="236" ph="1"/>
      <c r="N1" s="236" ph="1"/>
      <c r="O1" s="236" ph="1"/>
      <c r="P1" s="236" ph="1"/>
      <c r="Q1" s="236" ph="1"/>
      <c r="R1" s="236" ph="1"/>
      <c r="S1" s="236" ph="1"/>
      <c r="T1" s="236" ph="1"/>
      <c r="U1" s="236" ph="1"/>
      <c r="V1" s="236" ph="1"/>
      <c r="W1" s="236" ph="1"/>
      <c r="X1" s="236" ph="1"/>
      <c r="Y1" s="236" ph="1"/>
      <c r="Z1" s="236" ph="1"/>
      <c r="AA1" s="236" ph="1"/>
      <c r="AB1" s="236" ph="1"/>
      <c r="AC1" s="236" ph="1"/>
      <c r="AD1" s="236" ph="1"/>
      <c r="AE1" s="236" ph="1"/>
    </row>
    <row r="2" spans="1:99" s="66" customFormat="1" ht="24" customHeight="1" ph="1">
      <c r="B2" s="237" t="s" ph="1">
        <v>99</v>
      </c>
      <c r="C2" s="237" ph="1"/>
      <c r="D2" s="237" ph="1"/>
      <c r="E2" s="237" ph="1"/>
      <c r="F2" s="237" ph="1"/>
      <c r="G2" s="237" ph="1"/>
      <c r="H2" s="237" ph="1"/>
      <c r="I2" s="237" ph="1"/>
      <c r="J2" s="237" ph="1"/>
      <c r="K2" s="237" ph="1"/>
      <c r="L2" s="237" ph="1"/>
      <c r="M2" s="237" ph="1"/>
      <c r="N2" s="237" ph="1"/>
      <c r="O2" s="237" ph="1"/>
      <c r="P2" s="237" ph="1"/>
      <c r="Q2" s="237" ph="1"/>
      <c r="R2" s="237" ph="1"/>
      <c r="S2" s="237" ph="1"/>
      <c r="T2" s="237" ph="1"/>
      <c r="U2" s="237" ph="1"/>
      <c r="V2" s="237" ph="1"/>
      <c r="W2" s="237" ph="1"/>
      <c r="X2" s="237" ph="1"/>
      <c r="Y2" s="237" ph="1"/>
      <c r="Z2" s="237" ph="1"/>
      <c r="AA2" s="237" ph="1"/>
      <c r="AB2" s="237" ph="1"/>
      <c r="AC2" s="237" ph="1"/>
      <c r="AD2" s="237" ph="1"/>
      <c r="AE2" s="237" ph="1"/>
    </row>
    <row r="3" spans="1:99" ht="21" customHeight="1" ph="1">
      <c r="B3" s="238" ph="1">
        <v>45674</v>
      </c>
      <c r="C3" s="238"/>
      <c r="D3" s="238"/>
      <c r="E3" s="238"/>
      <c r="F3" s="238"/>
      <c r="G3" s="238"/>
      <c r="H3" s="238"/>
      <c r="I3" s="238"/>
      <c r="J3" s="238"/>
      <c r="K3" s="238"/>
      <c r="L3" s="238"/>
      <c r="M3" s="238"/>
      <c r="N3" s="238"/>
      <c r="O3" s="238"/>
      <c r="P3" s="238"/>
      <c r="Q3" s="238"/>
      <c r="R3" s="238"/>
      <c r="S3" s="238"/>
      <c r="T3" s="238"/>
      <c r="U3" s="238"/>
      <c r="V3" s="238"/>
      <c r="W3" s="238"/>
      <c r="X3" s="238"/>
      <c r="Y3" s="238"/>
      <c r="Z3" s="238"/>
      <c r="AA3" s="238"/>
      <c r="AB3" s="238"/>
      <c r="AC3" s="238"/>
      <c r="AD3" s="238"/>
      <c r="AE3" s="238"/>
    </row>
    <row r="4" spans="1:99" s="69" customFormat="1" ph="1">
      <c r="A4" s="65" ph="1"/>
      <c r="B4" s="217" t="s" ph="1">
        <v>37</v>
      </c>
      <c r="C4" s="67" t="s" ph="1">
        <v>210</v>
      </c>
      <c r="D4" s="68" t="s" ph="1">
        <v>45</v>
      </c>
      <c r="E4" s="68" t="s" ph="1">
        <v>46</v>
      </c>
      <c r="F4" s="68" t="s" ph="1">
        <v>39</v>
      </c>
      <c r="G4" s="68" t="s" ph="1">
        <v>47</v>
      </c>
      <c r="H4" s="68" t="s" ph="1">
        <v>48</v>
      </c>
      <c r="I4" s="68" t="s" ph="1">
        <v>133</v>
      </c>
      <c r="J4" s="68" t="s" ph="1">
        <v>49</v>
      </c>
      <c r="K4" s="68" t="s" ph="1">
        <v>134</v>
      </c>
      <c r="L4" s="68" t="s" ph="1">
        <v>135</v>
      </c>
      <c r="M4" s="68" t="s" ph="1">
        <v>50</v>
      </c>
      <c r="N4" s="68" t="s" ph="1">
        <v>51</v>
      </c>
      <c r="O4" s="68" t="s" ph="1">
        <v>137</v>
      </c>
      <c r="P4" s="68" t="s" ph="1">
        <v>139</v>
      </c>
      <c r="Q4" s="68" t="s" ph="1">
        <v>140</v>
      </c>
      <c r="R4" s="68" t="s" ph="1">
        <v>141</v>
      </c>
      <c r="S4" s="68" t="s" ph="1">
        <v>142</v>
      </c>
      <c r="T4" s="68" t="s" ph="1">
        <v>143</v>
      </c>
      <c r="U4" s="68" t="s" ph="1">
        <v>144</v>
      </c>
      <c r="V4" s="68" t="s" ph="1">
        <v>145</v>
      </c>
      <c r="W4" s="68" t="s" ph="1">
        <v>146</v>
      </c>
      <c r="X4" s="68" t="s" ph="1">
        <v>147</v>
      </c>
      <c r="Y4" s="68" t="s" ph="1">
        <v>148</v>
      </c>
      <c r="Z4" s="68" t="s" ph="1">
        <v>52</v>
      </c>
      <c r="AA4" s="68" t="s" ph="1">
        <v>149</v>
      </c>
      <c r="AB4" s="68" t="s" ph="1">
        <v>150</v>
      </c>
      <c r="AC4" s="68" t="s" ph="1">
        <v>151</v>
      </c>
      <c r="AD4" s="68" t="s" ph="1">
        <v>40</v>
      </c>
      <c r="AE4" s="68" t="s" ph="1">
        <v>152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7" ph="1"/>
      <c r="C5" s="67" t="s" ph="1">
        <v>36</v>
      </c>
      <c r="D5" s="70" t="s" ph="1">
        <v>194</v>
      </c>
      <c r="E5" s="70" t="s" ph="1">
        <v>55</v>
      </c>
      <c r="F5" s="70" t="s" ph="1">
        <v>130</v>
      </c>
      <c r="G5" s="70" t="s" ph="1">
        <v>56</v>
      </c>
      <c r="H5" s="70" t="s" ph="1">
        <v>56</v>
      </c>
      <c r="I5" s="70" t="s" ph="1">
        <v>57</v>
      </c>
      <c r="J5" s="70" t="s" ph="1">
        <v>58</v>
      </c>
      <c r="K5" s="70" t="s" ph="1">
        <v>59</v>
      </c>
      <c r="L5" s="70" t="s" ph="1">
        <v>136</v>
      </c>
      <c r="M5" s="70" t="s" ph="1">
        <v>60</v>
      </c>
      <c r="N5" s="70" t="s" ph="1">
        <v>61</v>
      </c>
      <c r="O5" s="70" t="s" ph="1">
        <v>138</v>
      </c>
      <c r="P5" s="70" t="s" ph="1">
        <v>88</v>
      </c>
      <c r="Q5" s="70" t="s" ph="1">
        <v>96</v>
      </c>
      <c r="R5" s="70" t="s" ph="1">
        <v>96</v>
      </c>
      <c r="S5" s="70" t="s" ph="1">
        <v>96</v>
      </c>
      <c r="T5" s="70" t="s" ph="1">
        <v>96</v>
      </c>
      <c r="U5" s="70" t="s" ph="1">
        <v>96</v>
      </c>
      <c r="V5" s="70" t="s" ph="1">
        <v>96</v>
      </c>
      <c r="W5" s="70" t="s" ph="1">
        <v>96</v>
      </c>
      <c r="X5" s="70" t="s" ph="1">
        <v>96</v>
      </c>
      <c r="Y5" s="70" t="s" ph="1">
        <v>96</v>
      </c>
      <c r="Z5" s="70" t="s" ph="1">
        <v>95</v>
      </c>
      <c r="AA5" s="70" t="s" ph="1">
        <v>62</v>
      </c>
      <c r="AB5" s="70" t="s" ph="1">
        <v>62</v>
      </c>
      <c r="AC5" s="70" t="s" ph="1">
        <v>222</v>
      </c>
      <c r="AD5" s="70" t="s" ph="1">
        <v>83</v>
      </c>
      <c r="AE5" s="70" t="s" ph="1">
        <v>661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5" ph="1">
        <v>0.33333333333333331</v>
      </c>
      <c r="C6" s="151" t="s" ph="1">
        <v>211</v>
      </c>
      <c r="D6" s="71">
        <v>4092</v>
      </c>
      <c r="E6" s="71">
        <v>0</v>
      </c>
      <c r="F6" s="71">
        <v>3931</v>
      </c>
      <c r="G6" s="71">
        <v>8868</v>
      </c>
      <c r="H6" s="71">
        <v>3891</v>
      </c>
      <c r="I6" s="71">
        <v>39.020000000000003</v>
      </c>
      <c r="J6" s="71">
        <v>79.510000000000005</v>
      </c>
      <c r="K6" s="71">
        <v>52.87</v>
      </c>
      <c r="L6" s="71">
        <v>40.35</v>
      </c>
      <c r="M6" s="71">
        <v>5669</v>
      </c>
      <c r="N6" s="71">
        <v>5718</v>
      </c>
      <c r="O6" s="71">
        <v>5096</v>
      </c>
      <c r="P6" s="71">
        <v>2888</v>
      </c>
      <c r="Q6" s="71">
        <v>3076</v>
      </c>
      <c r="R6" s="71">
        <v>1753</v>
      </c>
      <c r="S6" s="71">
        <v>0</v>
      </c>
      <c r="T6" s="71">
        <v>0</v>
      </c>
      <c r="U6" s="71">
        <v>0</v>
      </c>
      <c r="V6" s="71">
        <v>0</v>
      </c>
      <c r="W6" s="71">
        <v>7100</v>
      </c>
      <c r="X6" s="71">
        <v>7000</v>
      </c>
      <c r="Y6" s="71">
        <v>4623</v>
      </c>
      <c r="Z6" s="71">
        <v>3791</v>
      </c>
      <c r="AA6" s="71">
        <v>1713</v>
      </c>
      <c r="AB6" s="71">
        <v>2149</v>
      </c>
      <c r="AC6" s="71">
        <v>6762</v>
      </c>
      <c r="AD6" s="71">
        <v>261</v>
      </c>
      <c r="AE6" s="71">
        <v>3023</v>
      </c>
    </row>
    <row r="7" spans="1:99" s="72" customFormat="1" ht="22.5" ph="1">
      <c r="B7" s="235" ph="1"/>
      <c r="C7" s="68" t="s" ph="1">
        <v>212</v>
      </c>
      <c r="D7" s="73" ph="1">
        <f>D6*33.183*LOOKUP(D8,密度!$A$2:$A$50,密度!$Q$2:$Q$50)</f>
        <v>129612.05735544002</v>
      </c>
      <c r="E7" s="73" ph="1">
        <f>E6*51.53*LOOKUP(E8,密度!$A$2:$A$50,密度!$I$2:$I$50)</f>
        <v>0</v>
      </c>
      <c r="F7" s="73" ph="1">
        <f>F6*33.183*LOOKUP(F8,密度!$A$2:$A$50,密度!$C$2:$C$50)</f>
        <v>145651.95369180001</v>
      </c>
      <c r="G7" s="73" ph="1">
        <f xml:space="preserve"> (G6+2)*51.53*LOOKUP(G8,密度!$A$2:$A$50,密度!$B$2:$B$50)</f>
        <v>360949.04767</v>
      </c>
      <c r="H7" s="73" ph="1">
        <f>(H6)*51.53*LOOKUP(H8,密度!$A$2:$A$50,密度!$B$2:$B$50)</f>
        <v>159359.96720399999</v>
      </c>
      <c r="I7" s="73" ph="1">
        <f>I6*290.8*1.0267</f>
        <v>11649.981327200001</v>
      </c>
      <c r="J7" s="73" ph="1">
        <f>J6*290.8*0.7892</f>
        <v>18247.494113600002</v>
      </c>
      <c r="K7" s="73" ph="1">
        <f>K6*290.8*1.1126</f>
        <v>17105.7755096</v>
      </c>
      <c r="L7" s="73" ph="1">
        <f>L6*290.8*0.777</f>
        <v>9117.1470600000011</v>
      </c>
      <c r="M7" s="73" ph="1">
        <f>M6*33.183*LOOKUP(M8,密度!$A$2:$A$50,密度!$D$2:$D$50)</f>
        <v>195149.90656980002</v>
      </c>
      <c r="N7" s="73" ph="1">
        <f>N6*33.183*LOOKUP(N8,密度!$A$2:$A$50,密度!$E$2:$E$50)</f>
        <v>151223.094018</v>
      </c>
      <c r="O7" s="73" ph="1">
        <f>O6*20.428*LOOKUP(O8,密度!$A$2:$A$50,密度!$C$2:$C$50)</f>
        <v>115749.99974720001</v>
      </c>
      <c r="P7" s="73" ph="1">
        <f>P6*51.53*LOOKUP(P8,密度!$A$2:$A$50,密度!$B$2:$B$50)</f>
        <v>117522.080008</v>
      </c>
      <c r="Q7" s="73" ph="1">
        <f>Q6*1.5*1.5*3.1416*LOOKUP(W8,密度!$A$2:$A$50,密度!$L$2:$L$50)</f>
        <v>20590.633879199999</v>
      </c>
      <c r="R7" s="73" ph="1">
        <f>R6*1.5*1.5*3.1416*LOOKUP(R8,密度!$A$2:$A$50,密度!$L$2:$L$50)</f>
        <v>11672.562963599998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47527.145819999998</v>
      </c>
      <c r="X7" s="73" ph="1">
        <f>X6*1.5*1.5*3.1416*LOOKUP(X8,密度!$A$2:$A$50,密度!$L$2:$L$50)</f>
        <v>47303.071199999998</v>
      </c>
      <c r="Y7" s="73" ph="1">
        <f>Y6*1.5*1.5*3.1416*LOOKUP(Y8,密度!$A$2:$A$50,密度!$L$2:$L$50)</f>
        <v>30978.874634399999</v>
      </c>
      <c r="Z7" s="73" ph="1">
        <f>Z6*33.183*LOOKUP(Z8,密度!$A$2:$A$50,密度!$L$2:$L$50)</f>
        <v>119381.11859699999</v>
      </c>
      <c r="AA7" s="73" ph="1">
        <f>AA6*33.183*LOOKUP(AA8,密度!$A$2:$A$50,密度!$D$2:$D$50)</f>
        <v>58968.387714600009</v>
      </c>
      <c r="AB7" s="73" ph="1">
        <f>AB6*20.428*LOOKUP(AB8,密度!$A$2:$A$50,密度!$D$2:$D$50)</f>
        <v>45853.311854000007</v>
      </c>
      <c r="AC7" s="73" ph="1">
        <f>AC6*51.53*LOOKUP(AC8,密度!$A$2:$A$50,密度!$Q$2:$Q$50)</f>
        <v>332605.51120439998</v>
      </c>
      <c r="AD7" s="73" ph="1">
        <f>AD6*20.428*LOOKUP(AD8,密度!$A$2:$A$50,密度!$V$2:$V$50)</f>
        <v>5139.7665120000001</v>
      </c>
      <c r="AE7" s="73" ph="1">
        <f>AE6*20.428</f>
        <v>61753.844000000005</v>
      </c>
    </row>
    <row r="8" spans="1:99" ph="1">
      <c r="B8" s="235" ph="1"/>
      <c r="C8" s="68" t="s" ph="1">
        <v>213</v>
      </c>
      <c r="D8" s="74">
        <v>14</v>
      </c>
      <c r="E8" s="74">
        <v>13</v>
      </c>
      <c r="F8" s="74">
        <v>14</v>
      </c>
      <c r="G8" s="74">
        <v>13</v>
      </c>
      <c r="H8" s="74">
        <v>7</v>
      </c>
      <c r="I8" s="74">
        <v>25</v>
      </c>
      <c r="J8" s="74">
        <v>25</v>
      </c>
      <c r="K8" s="74">
        <v>25</v>
      </c>
      <c r="L8" s="74">
        <v>25</v>
      </c>
      <c r="M8" s="74">
        <v>13</v>
      </c>
      <c r="N8" s="74">
        <v>14</v>
      </c>
      <c r="O8" s="74">
        <v>21</v>
      </c>
      <c r="P8" s="74">
        <v>13</v>
      </c>
      <c r="Q8" s="74">
        <v>12</v>
      </c>
      <c r="R8" s="74">
        <v>20</v>
      </c>
      <c r="S8" s="74">
        <v>7</v>
      </c>
      <c r="T8" s="74">
        <v>8</v>
      </c>
      <c r="U8" s="74">
        <v>13</v>
      </c>
      <c r="V8" s="74">
        <v>17</v>
      </c>
      <c r="W8" s="74">
        <v>15</v>
      </c>
      <c r="X8" s="74">
        <v>6</v>
      </c>
      <c r="Y8" s="74">
        <v>14</v>
      </c>
      <c r="Z8" s="74">
        <v>13</v>
      </c>
      <c r="AA8" s="74">
        <v>13</v>
      </c>
      <c r="AB8" s="74">
        <v>5</v>
      </c>
      <c r="AC8" s="74">
        <v>10</v>
      </c>
      <c r="AD8" s="74">
        <v>10</v>
      </c>
      <c r="AE8" s="74">
        <v>15</v>
      </c>
    </row>
    <row r="9" spans="1:99" ph="1">
      <c r="B9" s="235" ph="1">
        <v>0.66666666666666663</v>
      </c>
      <c r="C9" s="151" t="s" ph="1">
        <v>214</v>
      </c>
      <c r="D9" s="71">
        <v>4092</v>
      </c>
      <c r="E9" s="71">
        <v>0</v>
      </c>
      <c r="F9" s="71">
        <v>4505</v>
      </c>
      <c r="G9" s="71">
        <v>8870</v>
      </c>
      <c r="H9" s="71">
        <v>6300</v>
      </c>
      <c r="I9" s="71">
        <v>39.01</v>
      </c>
      <c r="J9" s="71">
        <v>79.819999999999993</v>
      </c>
      <c r="K9" s="71">
        <v>22.76</v>
      </c>
      <c r="L9" s="71">
        <v>39.35</v>
      </c>
      <c r="M9" s="71">
        <v>5192</v>
      </c>
      <c r="N9" s="71">
        <v>5723</v>
      </c>
      <c r="O9" s="71">
        <v>4903</v>
      </c>
      <c r="P9" s="71">
        <v>2785</v>
      </c>
      <c r="Q9" s="71">
        <v>6081</v>
      </c>
      <c r="R9" s="71">
        <v>2818</v>
      </c>
      <c r="S9" s="71">
        <v>0</v>
      </c>
      <c r="T9" s="71">
        <v>0</v>
      </c>
      <c r="U9" s="71">
        <v>0</v>
      </c>
      <c r="V9" s="71">
        <v>0</v>
      </c>
      <c r="W9" s="71">
        <v>3913</v>
      </c>
      <c r="X9" s="71">
        <v>7000</v>
      </c>
      <c r="Y9" s="71">
        <v>4628</v>
      </c>
      <c r="Z9" s="71">
        <v>3479</v>
      </c>
      <c r="AA9" s="71">
        <v>1711</v>
      </c>
      <c r="AB9" s="71">
        <v>2148</v>
      </c>
      <c r="AC9" s="71">
        <v>6762</v>
      </c>
      <c r="AD9" s="71">
        <v>261</v>
      </c>
      <c r="AE9" s="71">
        <v>2925</v>
      </c>
    </row>
    <row r="10" spans="1:99" s="72" customFormat="1" ht="22.5" ph="1">
      <c r="B10" s="235" ph="1"/>
      <c r="C10" s="151" t="s" ph="1">
        <v>212</v>
      </c>
      <c r="D10" s="73" ph="1">
        <f>D9*33.183*LOOKUP(D11,密度!$A$2:$A$50,密度!$Q$2:$Q$50)</f>
        <v>129612.05735544002</v>
      </c>
      <c r="E10" s="73" ph="1">
        <f>E9*51.53*LOOKUP(E11,密度!$A$2:$A$50,密度!$I$2:$I$50)</f>
        <v>0</v>
      </c>
      <c r="F10" s="73" ph="1">
        <f>F9*33.183*LOOKUP(F11,密度!$A$2:$A$50,密度!$C$2:$C$50)</f>
        <v>166710.595608</v>
      </c>
      <c r="G10" s="73" ph="1">
        <f xml:space="preserve"> (G9+2)*51.53*LOOKUP(G11,密度!$A$2:$A$50,密度!$B$2:$B$50)</f>
        <v>360253.23808000004</v>
      </c>
      <c r="H10" s="73" ph="1">
        <f>(H9)*51.53*LOOKUP(H11,密度!$A$2:$A$50,密度!$B$2:$B$50)</f>
        <v>257471.19090000002</v>
      </c>
      <c r="I10" s="73" ph="1">
        <f>I9*290.8*1.0267</f>
        <v>11646.9956836</v>
      </c>
      <c r="J10" s="73" ph="1">
        <f>J9*290.8*0.7892</f>
        <v>18318.638915200001</v>
      </c>
      <c r="K10" s="73" ph="1">
        <f>K9*290.8*1.1126</f>
        <v>7363.8632608000016</v>
      </c>
      <c r="L10" s="73" ph="1">
        <f>L9*290.8*0.777</f>
        <v>8891.1954600000008</v>
      </c>
      <c r="M10" s="73" ph="1">
        <f>M9*33.183*LOOKUP(M11,密度!$A$2:$A$50,密度!$D$2:$D$50)</f>
        <v>178419.52244160001</v>
      </c>
      <c r="N10" s="73" ph="1">
        <f>N9*33.183*LOOKUP(N11,密度!$A$2:$A$50,密度!$E$2:$E$50)</f>
        <v>150709.64682240001</v>
      </c>
      <c r="O10" s="73" ph="1">
        <f>O9*20.428*LOOKUP(O11,密度!$A$2:$A$50,密度!$C$2:$C$50)</f>
        <v>111286.09157240001</v>
      </c>
      <c r="P10" s="73" ph="1">
        <f>P9*51.53*LOOKUP(P11,密度!$A$2:$A$50,密度!$B$2:$B$50)</f>
        <v>112971.89856000002</v>
      </c>
      <c r="Q10" s="73" ph="1">
        <f>Q9*1.5*1.5*3.1416*LOOKUP(W11,密度!$A$2:$A$50,密度!$L$2:$L$50)</f>
        <v>40705.9963002</v>
      </c>
      <c r="R10" s="73" ph="1">
        <f>R9*1.5*1.5*3.1416*LOOKUP(R11,密度!$A$2:$A$50,密度!$L$2:$L$50)</f>
        <v>18724.155911999998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26193.481914599997</v>
      </c>
      <c r="X10" s="73" ph="1">
        <f>X9*1.5*1.5*3.1416*LOOKUP(X11,密度!$A$2:$A$50,密度!$L$2:$L$50)</f>
        <v>47253.590999999993</v>
      </c>
      <c r="Y10" s="73" ph="1">
        <f>Y9*1.5*1.5*3.1416*LOOKUP(Y11,密度!$A$2:$A$50,密度!$L$2:$L$50)</f>
        <v>30979.6663176</v>
      </c>
      <c r="Z10" s="73" ph="1">
        <f>Z9*33.183*LOOKUP(Z11,密度!$A$2:$A$50,密度!$L$2:$L$50)</f>
        <v>109325.14317900001</v>
      </c>
      <c r="AA10" s="73" ph="1">
        <f>AA9*33.183*LOOKUP(AA11,密度!$A$2:$A$50,密度!$D$2:$D$50)</f>
        <v>58751.921732399991</v>
      </c>
      <c r="AB10" s="73" ph="1">
        <f>AB9*20.428*LOOKUP(AB11,密度!$A$2:$A$50,密度!$D$2:$D$50)</f>
        <v>45792.483398400007</v>
      </c>
      <c r="AC10" s="73" ph="1">
        <f>AC9*51.53*LOOKUP(AC11,密度!$A$2:$A$50,密度!$Q$2:$Q$50)</f>
        <v>332605.51120439998</v>
      </c>
      <c r="AD10" s="73" ph="1">
        <f>AD9*20.428*LOOKUP(AD11,密度!$A$2:$A$50,密度!$V$2:$V$50)</f>
        <v>5139.7665120000001</v>
      </c>
      <c r="AE10" s="73" ph="1">
        <f>AE9*20.428</f>
        <v>59751.9</v>
      </c>
    </row>
    <row r="11" spans="1:99" ph="1">
      <c r="A11" s="64" t="s" ph="1">
        <v>196</v>
      </c>
      <c r="B11" s="235" ph="1"/>
      <c r="C11" s="151" t="s" ph="1">
        <v>213</v>
      </c>
      <c r="D11" s="74">
        <v>15</v>
      </c>
      <c r="E11" s="74">
        <v>15</v>
      </c>
      <c r="F11" s="74">
        <v>16</v>
      </c>
      <c r="G11" s="74">
        <v>15</v>
      </c>
      <c r="H11" s="74">
        <v>9</v>
      </c>
      <c r="I11" s="74">
        <v>25</v>
      </c>
      <c r="J11" s="74">
        <v>25</v>
      </c>
      <c r="K11" s="74">
        <v>25</v>
      </c>
      <c r="L11" s="74">
        <v>25</v>
      </c>
      <c r="M11" s="74">
        <v>15</v>
      </c>
      <c r="N11" s="74">
        <v>16</v>
      </c>
      <c r="O11" s="74">
        <v>22</v>
      </c>
      <c r="P11" s="74">
        <v>16</v>
      </c>
      <c r="Q11" s="74">
        <v>15</v>
      </c>
      <c r="R11" s="74">
        <v>22</v>
      </c>
      <c r="S11" s="74">
        <v>11</v>
      </c>
      <c r="T11" s="74">
        <v>24</v>
      </c>
      <c r="U11" s="74">
        <v>17</v>
      </c>
      <c r="V11" s="74">
        <v>22</v>
      </c>
      <c r="W11" s="74">
        <v>15</v>
      </c>
      <c r="X11" s="74">
        <v>7</v>
      </c>
      <c r="Y11" s="74">
        <v>15</v>
      </c>
      <c r="Z11" s="74">
        <v>15</v>
      </c>
      <c r="AA11" s="74">
        <v>16</v>
      </c>
      <c r="AB11" s="74">
        <v>6</v>
      </c>
      <c r="AC11" s="74">
        <v>13</v>
      </c>
      <c r="AD11" s="74">
        <v>15</v>
      </c>
      <c r="AE11" s="74">
        <v>20</v>
      </c>
    </row>
    <row r="12" spans="1:99" ht="9.9499999999999993" customHeight="1" ph="1"/>
    <row r="13" spans="1:99" s="72" customFormat="1" ht="29.25" customHeight="1" ph="1">
      <c r="B13" s="212" t="s" ph="1">
        <v>37</v>
      </c>
      <c r="C13" s="151" t="s" ph="1">
        <v>210</v>
      </c>
      <c r="D13" s="76" t="s" ph="1">
        <v>53</v>
      </c>
      <c r="E13" s="76" t="s" ph="1">
        <v>54</v>
      </c>
      <c r="F13" s="76" t="s" ph="1">
        <v>66</v>
      </c>
      <c r="G13" s="76" t="s" ph="1">
        <v>67</v>
      </c>
      <c r="H13" s="76" t="s" ph="1">
        <v>154</v>
      </c>
      <c r="I13" s="76" t="s" ph="1">
        <v>68</v>
      </c>
      <c r="J13" s="76" t="s" ph="1">
        <v>155</v>
      </c>
      <c r="K13" s="76" t="s" ph="1">
        <v>63</v>
      </c>
      <c r="L13" s="76" t="s" ph="1">
        <v>69</v>
      </c>
      <c r="M13" s="76" t="s" ph="1">
        <v>70</v>
      </c>
      <c r="N13" s="76" t="s" ph="1">
        <v>156</v>
      </c>
      <c r="O13" s="76" t="s" ph="1">
        <v>64</v>
      </c>
      <c r="P13" s="76" t="s" ph="1">
        <v>71</v>
      </c>
      <c r="Q13" s="76" t="s" ph="1">
        <v>72</v>
      </c>
      <c r="R13" s="76" t="s" ph="1">
        <v>73</v>
      </c>
      <c r="S13" s="76" t="s" ph="1">
        <v>74</v>
      </c>
      <c r="T13" s="76" t="s" ph="1">
        <v>75</v>
      </c>
      <c r="U13" s="76" t="s" ph="1">
        <v>76</v>
      </c>
      <c r="V13" s="76" t="s" ph="1">
        <v>157</v>
      </c>
      <c r="W13" s="76" t="s" ph="1">
        <v>158</v>
      </c>
      <c r="X13" s="76" t="s" ph="1">
        <v>159</v>
      </c>
      <c r="Y13" s="105" t="s" ph="1">
        <v>77</v>
      </c>
      <c r="Z13" s="76" t="s" ph="1">
        <v>86</v>
      </c>
      <c r="AA13" s="76" t="s" ph="1">
        <v>160</v>
      </c>
      <c r="AB13" s="76" t="s" ph="1">
        <v>161</v>
      </c>
      <c r="AC13" s="76" t="s" ph="1">
        <v>162</v>
      </c>
      <c r="AD13" s="76" t="s" ph="1">
        <v>163</v>
      </c>
      <c r="AE13" s="76" t="s" ph="1">
        <v>164</v>
      </c>
      <c r="AG13" s="72" t="s" ph="1">
        <v>369</v>
      </c>
      <c r="AH13" s="72" t="s" ph="1">
        <v>232</v>
      </c>
      <c r="AI13" s="72" t="s" ph="1">
        <v>233</v>
      </c>
      <c r="AJ13" s="72" t="s" ph="1">
        <v>234</v>
      </c>
      <c r="AK13" s="72" t="s" ph="1">
        <v>235</v>
      </c>
      <c r="AL13" s="72" t="s" ph="1">
        <v>236</v>
      </c>
      <c r="AM13" s="72" t="s" ph="1">
        <v>237</v>
      </c>
      <c r="AN13" s="72" t="s" ph="1">
        <v>238</v>
      </c>
      <c r="AO13" s="72" t="s" ph="1">
        <v>239</v>
      </c>
      <c r="AP13" s="72" t="s" ph="1">
        <v>240</v>
      </c>
      <c r="AQ13" s="72" t="s" ph="1">
        <v>241</v>
      </c>
      <c r="AR13" s="72" t="s" ph="1">
        <v>242</v>
      </c>
      <c r="AS13" s="72" t="s" ph="1">
        <v>243</v>
      </c>
      <c r="AT13" s="72" t="s" ph="1">
        <v>244</v>
      </c>
      <c r="AU13" s="72" t="s" ph="1">
        <v>245</v>
      </c>
      <c r="AV13" s="72" t="s" ph="1">
        <v>246</v>
      </c>
      <c r="AW13" s="72" t="s" ph="1">
        <v>247</v>
      </c>
      <c r="AX13" s="72" t="s" ph="1">
        <v>248</v>
      </c>
      <c r="AY13" s="72" t="s" ph="1">
        <v>370</v>
      </c>
      <c r="AZ13" s="72" t="s" ph="1">
        <v>249</v>
      </c>
      <c r="BA13" s="72" t="s" ph="1">
        <v>250</v>
      </c>
      <c r="BB13" s="72" t="s" ph="1">
        <v>635</v>
      </c>
      <c r="BC13" s="72" t="s" ph="1">
        <v>251</v>
      </c>
      <c r="BD13" s="72" t="s" ph="1">
        <v>371</v>
      </c>
      <c r="BE13" s="72" t="s" ph="1">
        <v>372</v>
      </c>
      <c r="BF13" s="72" t="s" ph="1">
        <v>373</v>
      </c>
      <c r="BG13" s="72" t="s" ph="1">
        <v>374</v>
      </c>
      <c r="BH13" s="72" t="s" ph="1">
        <v>375</v>
      </c>
    </row>
    <row r="14" spans="1:99" s="72" customFormat="1" ht="24" ph="1">
      <c r="B14" s="213" ph="1"/>
      <c r="C14" s="67" t="s" ph="1">
        <v>36</v>
      </c>
      <c r="D14" s="77" t="s" ph="1">
        <v>131</v>
      </c>
      <c r="E14" s="77" t="s" ph="1">
        <v>131</v>
      </c>
      <c r="F14" s="153" t="s" ph="1">
        <v>656</v>
      </c>
      <c r="G14" s="77" t="s" ph="1">
        <v>220</v>
      </c>
      <c r="H14" s="77" t="s" ph="1">
        <v>648</v>
      </c>
      <c r="I14" s="77" t="s" ph="1">
        <v>65</v>
      </c>
      <c r="J14" s="77" t="s" ph="1">
        <v>230</v>
      </c>
      <c r="K14" s="77" t="s" ph="1">
        <v>226</v>
      </c>
      <c r="L14" s="77" t="s" ph="1">
        <v>41</v>
      </c>
      <c r="M14" s="104" t="s" ph="1">
        <v>225</v>
      </c>
      <c r="N14" s="104" t="s" ph="1">
        <v>221</v>
      </c>
      <c r="O14" s="104" t="s" ph="1">
        <v>229</v>
      </c>
      <c r="P14" s="77" t="s" ph="1">
        <v>82</v>
      </c>
      <c r="Q14" s="77" t="s" ph="1">
        <v>82</v>
      </c>
      <c r="R14" s="88" t="s" ph="1">
        <v>7</v>
      </c>
      <c r="S14" s="77" t="s" ph="1">
        <v>82</v>
      </c>
      <c r="T14" s="77" t="s" ph="1">
        <v>98</v>
      </c>
      <c r="U14" s="77" t="s" ph="1">
        <v>659</v>
      </c>
      <c r="V14" s="77" t="s" ph="1">
        <v>649</v>
      </c>
      <c r="W14" s="77" t="s" ph="1">
        <v>223</v>
      </c>
      <c r="X14" s="77" t="s" ph="1">
        <v>78</v>
      </c>
      <c r="Y14" s="144" t="s" ph="1">
        <v>0</v>
      </c>
      <c r="Z14" s="77" t="s" ph="1">
        <v>62</v>
      </c>
      <c r="AA14" s="77" t="s" ph="1">
        <v>88</v>
      </c>
      <c r="AB14" s="77" t="s" ph="1">
        <v>653</v>
      </c>
      <c r="AC14" s="77" t="s" ph="1">
        <v>653</v>
      </c>
      <c r="AD14" s="77" t="s" ph="1">
        <v>136</v>
      </c>
      <c r="AE14" s="77" t="s" ph="1">
        <v>136</v>
      </c>
      <c r="AG14" s="72" t="s" ph="1">
        <v>252</v>
      </c>
      <c r="AI14" s="72" t="s" ph="1">
        <v>253</v>
      </c>
      <c r="AJ14" s="72" t="s" ph="1">
        <v>376</v>
      </c>
      <c r="AK14" s="72" t="s" ph="1">
        <v>254</v>
      </c>
      <c r="AM14" s="72" t="s" ph="1">
        <v>256</v>
      </c>
      <c r="AN14" s="72" t="s" ph="1">
        <v>254</v>
      </c>
      <c r="AO14" s="72" t="s" ph="1">
        <v>255</v>
      </c>
      <c r="AP14" s="72" t="s" ph="1">
        <v>256</v>
      </c>
      <c r="AQ14" s="72" t="s" ph="1">
        <v>254</v>
      </c>
      <c r="AR14" s="72" t="s" ph="1">
        <v>255</v>
      </c>
      <c r="AS14" s="72" t="s" ph="1">
        <v>256</v>
      </c>
      <c r="AT14" s="72" t="s" ph="1">
        <v>254</v>
      </c>
      <c r="AU14" s="72" t="s" ph="1">
        <v>255</v>
      </c>
      <c r="AV14" s="72" t="s" ph="1">
        <v>256</v>
      </c>
      <c r="AW14" s="72" t="s" ph="1">
        <v>254</v>
      </c>
      <c r="AX14" s="72" t="s" ph="1">
        <v>255</v>
      </c>
      <c r="AY14" s="72" t="s" ph="1">
        <v>256</v>
      </c>
      <c r="AZ14" s="72" t="s" ph="1">
        <v>255</v>
      </c>
    </row>
    <row r="15" spans="1:99" ph="1">
      <c r="B15" s="214" ph="1">
        <v>0.33333333333333331</v>
      </c>
      <c r="C15" s="151" t="s" ph="1">
        <v>211</v>
      </c>
      <c r="D15" s="78">
        <v>4300</v>
      </c>
      <c r="E15" s="78">
        <v>73</v>
      </c>
      <c r="F15" s="78">
        <v>3551</v>
      </c>
      <c r="G15" s="78">
        <v>1874</v>
      </c>
      <c r="H15" s="78">
        <v>2895</v>
      </c>
      <c r="I15" s="78">
        <v>6</v>
      </c>
      <c r="J15" s="78">
        <v>391</v>
      </c>
      <c r="K15" s="78">
        <v>1887</v>
      </c>
      <c r="L15" s="78">
        <v>1028</v>
      </c>
      <c r="M15" s="78">
        <v>1592</v>
      </c>
      <c r="N15" s="78">
        <v>1706</v>
      </c>
      <c r="O15" s="78">
        <v>233</v>
      </c>
      <c r="P15" s="78">
        <v>1098</v>
      </c>
      <c r="Q15" s="78">
        <v>4483</v>
      </c>
      <c r="R15" s="78">
        <v>3482</v>
      </c>
      <c r="S15" s="78">
        <v>5597</v>
      </c>
      <c r="T15" s="78">
        <v>2318</v>
      </c>
      <c r="U15" s="78">
        <v>5102</v>
      </c>
      <c r="V15" s="78">
        <v>-1651</v>
      </c>
      <c r="W15" s="78">
        <v>-594</v>
      </c>
      <c r="X15" s="78">
        <v>945</v>
      </c>
      <c r="Y15" s="106">
        <v>-9901</v>
      </c>
      <c r="Z15" s="78">
        <v>0</v>
      </c>
      <c r="AA15" s="78">
        <v>28</v>
      </c>
      <c r="AB15" s="78" ph="1">
        <v>6255</v>
      </c>
      <c r="AC15" s="78" ph="1">
        <v>6481</v>
      </c>
      <c r="AD15" s="78">
        <v>44.62</v>
      </c>
      <c r="AE15" s="78">
        <v>5.68</v>
      </c>
      <c r="AG15" s="64" t="s" ph="1">
        <v>258</v>
      </c>
      <c r="AH15" s="64" ph="1">
        <v>1</v>
      </c>
      <c r="AI15" s="64" t="s" ph="1">
        <v>377</v>
      </c>
      <c r="AK15" s="64" t="s" ph="1">
        <v>631</v>
      </c>
      <c r="AM15" s="64" t="s" ph="1">
        <v>379</v>
      </c>
      <c r="AZ15" s="64" t="s" ph="1">
        <v>260</v>
      </c>
      <c r="BA15" s="64" ph="1">
        <v>0</v>
      </c>
    </row>
    <row r="16" spans="1:99" s="72" customFormat="1" ht="22.5" ph="1">
      <c r="B16" s="215" ph="1"/>
      <c r="C16" s="151" t="s" ph="1">
        <v>212</v>
      </c>
      <c r="D16" s="73" ph="1">
        <f>D15*7.0686*LOOKUP(D17,密度!$A$2:$A$50,密度!$L$2:$L$50)</f>
        <v>28875.231</v>
      </c>
      <c r="E16" s="73" ph="1">
        <f>E15*7.0686*LOOKUP(E17,密度!$A$2:$A$50,密度!$L$2:$L$50)</f>
        <v>490.20740999999992</v>
      </c>
      <c r="F16" s="73" ph="1">
        <f>F15*9.0746*LOOKUP(F17,密度!$A$2:$A$50,密度!$L$2:$L$50)</f>
        <v>30580.485465400001</v>
      </c>
      <c r="G16" s="73" ph="1">
        <f>G15*9.0746*LOOKUP(G17,密度!$A$2:$A$50,密度!$B$2:$B$50)</f>
        <v>13415.875935560001</v>
      </c>
      <c r="H16" s="73" ph="1">
        <f>H15*9.0746*LOOKUP(H17,密度!$A$2:$A$50,密度!$L$2:$L$50)</f>
        <v>24747.250914</v>
      </c>
      <c r="I16" s="73" ph="1">
        <f>I15*9.0746*LOOKUP(I17,密度!$A$2:$A$50,密度!$U$2:$U$50)</f>
        <v>55.972132800000004</v>
      </c>
      <c r="J16" s="73" ph="1">
        <f>J15*9.0746*LOOKUP(J17,密度!$A$2:$A$50,密度!$L$2:$L$50)</f>
        <v>3370.76017</v>
      </c>
      <c r="K16" s="73" ph="1">
        <f>K15*9.0746*LOOKUP(K17,密度!$A$2:$A$50,密度!$C$2:$C$50)</f>
        <v>19147.799837639999</v>
      </c>
      <c r="L16" s="73" ph="1">
        <f>L15*9.0746*LOOKUP(L17,密度!$A$2:$A$50,密度!$E$2:$E$50)</f>
        <v>7477.8769420799999</v>
      </c>
      <c r="M16" s="73" ph="1">
        <f>M15*9.0746*LOOKUP(M17,密度!$A$2:$A$50,密度!$M$2:$M$50)</f>
        <v>12717.485644960001</v>
      </c>
      <c r="N16" s="73" ph="1">
        <f>N15*9.0746*LOOKUP(N17,密度!$A$2:$A$50,密度!$M$2:$M$50)</f>
        <v>13628.159868280001</v>
      </c>
      <c r="O16" s="73" ph="1">
        <f>O15*9.0746*LOOKUP(O17,密度!$A$2:$A$50,密度!$G$2:$G$50)</f>
        <v>2055.6019859600001</v>
      </c>
      <c r="P16" s="73" ph="1">
        <f ca="1">P15*9.0746*LOOKUP(P17,密度!$A$2:$A$51,密度!$Q$2:$Q$50)</f>
        <v>9510.951415032001</v>
      </c>
      <c r="Q16" s="73" ph="1">
        <f>Q15*9.0746*LOOKUP(Q17,密度!$A$2:$A$50,密度!$Q$2:$Q$50)</f>
        <v>38832.053910372</v>
      </c>
      <c r="R16" s="73" ph="1">
        <f>MAX(R15*9.0746*LOOKUP(R17,密度!$A$2:$A$50,密度!$B$2:$B$50),0)</f>
        <v>24927.47065508</v>
      </c>
      <c r="S16" s="73" ph="1">
        <f>S15*9.0746*LOOKUP(S17,密度!$A$2:$A$50,密度!$Q$2:$Q$50)</f>
        <v>48481.598424348005</v>
      </c>
      <c r="T16" s="73" ph="1">
        <f>T15*9.0746*LOOKUP(T17,密度!$A$2:$A$50,密度!$O$2:$O$50)</f>
        <v>19646.617895200001</v>
      </c>
      <c r="U16" s="73" ph="1">
        <f>U15*9.0746*LOOKUP(U17,密度!$A$2:$A$50,密度!$H$2:$H$50)</f>
        <v>43043.816973239998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215.4641142240007</v>
      </c>
      <c r="X16" s="73" ph="1">
        <f>MAX(5600*LOOKUP(X17,密度!$A$2:$A$50,密度!$I$2:$I$50)+X15*9.0476*LOOKUP(X17,密度!$A$2:$A$50,密度!$I$2:$I$50),0)</f>
        <v>14621.03490078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200.88260527999998</v>
      </c>
      <c r="AB16" s="73" ph="1">
        <f>AB15*9.0746*LOOKUP(AB17,密度!$A$2:$A$50,密度!$L$2:$L$50)</f>
        <v>53810.018603999997</v>
      </c>
      <c r="AC16" s="73" ph="1">
        <f>AC15*9.0746*LOOKUP(AC17,密度!$A$2:$A$50,密度!$L$2:$L$50)</f>
        <v>55871.858469999999</v>
      </c>
      <c r="AD16" s="73" ph="1">
        <f>AD15*268.68*LOOKUP(AD17,密度!$A$2:$A$50,密度!B2:B50)+IF(AD15&lt;=0,0,1566*LOOKUP(AD17,密度!$A$2:$A$50,密度!B2:B50))</f>
        <v>10567.08944736</v>
      </c>
      <c r="AE16" s="73" ph="1">
        <f>AE15*268.68*LOOKUP(AE17,密度!$A$2:$A$50,密度!B2:B50)+IF(AE15&lt;=0,0,1566*LOOKUP(AE17,密度!$A$2:$A$50,密度!B2:B50))</f>
        <v>2410.6030310400001</v>
      </c>
      <c r="AH16" s="72" ph="1">
        <v>2</v>
      </c>
      <c r="AI16" s="72" t="s" ph="1">
        <v>381</v>
      </c>
      <c r="AZ16" s="72" t="s" ph="1">
        <v>260</v>
      </c>
      <c r="BA16" s="72" ph="1">
        <v>0</v>
      </c>
    </row>
    <row r="17" spans="1:57" ph="1">
      <c r="A17" s="64" t="s" ph="1">
        <v>85</v>
      </c>
      <c r="B17" s="216" ph="1"/>
      <c r="C17" s="79" t="s" ph="1">
        <v>213</v>
      </c>
      <c r="D17" s="74">
        <v>12</v>
      </c>
      <c r="E17" s="74">
        <v>12</v>
      </c>
      <c r="F17" s="74">
        <v>13</v>
      </c>
      <c r="G17" s="74">
        <v>14</v>
      </c>
      <c r="H17" s="74">
        <v>20</v>
      </c>
      <c r="I17" s="74">
        <v>12</v>
      </c>
      <c r="J17" s="74">
        <v>12</v>
      </c>
      <c r="K17" s="74">
        <v>12</v>
      </c>
      <c r="L17" s="74">
        <v>10</v>
      </c>
      <c r="M17" s="74">
        <v>14</v>
      </c>
      <c r="N17" s="74">
        <v>12</v>
      </c>
      <c r="O17" s="74">
        <v>14</v>
      </c>
      <c r="P17" s="74">
        <v>12</v>
      </c>
      <c r="Q17" s="74">
        <v>12</v>
      </c>
      <c r="R17" s="74">
        <v>14</v>
      </c>
      <c r="S17" s="74">
        <v>12</v>
      </c>
      <c r="T17" s="74">
        <v>13</v>
      </c>
      <c r="U17" s="74">
        <v>10</v>
      </c>
      <c r="V17" s="74">
        <v>13</v>
      </c>
      <c r="W17" s="74">
        <v>12</v>
      </c>
      <c r="X17" s="74">
        <v>33</v>
      </c>
      <c r="Y17" s="108">
        <v>33</v>
      </c>
      <c r="Z17" s="74">
        <v>14</v>
      </c>
      <c r="AA17" s="74">
        <v>12</v>
      </c>
      <c r="AB17" s="74">
        <v>14</v>
      </c>
      <c r="AC17" s="74">
        <v>12</v>
      </c>
      <c r="AD17" s="74">
        <v>25</v>
      </c>
      <c r="AE17" s="74">
        <v>25</v>
      </c>
      <c r="AH17" s="64" ph="1">
        <v>3</v>
      </c>
      <c r="AI17" s="64" t="s" ph="1">
        <v>382</v>
      </c>
      <c r="AK17" s="64" t="s" ph="1">
        <v>614</v>
      </c>
      <c r="AL17" s="64" ph="1">
        <v>80</v>
      </c>
      <c r="AM17" s="64" t="s" ph="1">
        <v>379</v>
      </c>
      <c r="AZ17" s="64" t="s" ph="1">
        <v>260</v>
      </c>
      <c r="BA17" s="64" ph="1">
        <v>80</v>
      </c>
      <c r="BD17" s="64" t="s" ph="1">
        <v>258</v>
      </c>
      <c r="BE17" s="64" ph="1">
        <v>2270</v>
      </c>
    </row>
    <row r="18" spans="1:57" ph="1">
      <c r="B18" s="214" ph="1">
        <v>0.66666666666666663</v>
      </c>
      <c r="C18" s="79" t="s" ph="1">
        <v>214</v>
      </c>
      <c r="D18" s="71">
        <v>4300</v>
      </c>
      <c r="E18" s="71">
        <v>73</v>
      </c>
      <c r="F18" s="71">
        <v>3928</v>
      </c>
      <c r="G18" s="71">
        <v>1892</v>
      </c>
      <c r="H18" s="71">
        <v>2890</v>
      </c>
      <c r="I18" s="71">
        <v>5</v>
      </c>
      <c r="J18" s="71">
        <v>390</v>
      </c>
      <c r="K18" s="71">
        <v>1888</v>
      </c>
      <c r="L18" s="71">
        <v>4152</v>
      </c>
      <c r="M18" s="71">
        <v>1596</v>
      </c>
      <c r="N18" s="71">
        <v>2573</v>
      </c>
      <c r="O18" s="71">
        <v>228</v>
      </c>
      <c r="P18" s="71">
        <v>1097</v>
      </c>
      <c r="Q18" s="71">
        <v>2713</v>
      </c>
      <c r="R18" s="71">
        <v>3486</v>
      </c>
      <c r="S18" s="71">
        <v>5602</v>
      </c>
      <c r="T18" s="71">
        <v>1549</v>
      </c>
      <c r="U18" s="71">
        <v>6892</v>
      </c>
      <c r="V18" s="71">
        <v>-1654</v>
      </c>
      <c r="W18" s="71">
        <v>-594</v>
      </c>
      <c r="X18" s="71">
        <v>942</v>
      </c>
      <c r="Y18" s="109">
        <v>-9901</v>
      </c>
      <c r="Z18" s="71">
        <v>0</v>
      </c>
      <c r="AA18" s="71">
        <v>29</v>
      </c>
      <c r="AB18" s="71">
        <v>6266</v>
      </c>
      <c r="AC18" s="71">
        <v>6489</v>
      </c>
      <c r="AD18" s="71">
        <v>70.209999999999994</v>
      </c>
      <c r="AE18" s="71">
        <v>5.67</v>
      </c>
      <c r="AH18" s="64" ph="1">
        <v>4</v>
      </c>
      <c r="AI18" s="64" t="s" ph="1">
        <v>384</v>
      </c>
      <c r="AJ18" s="64" t="s" ph="1">
        <v>632</v>
      </c>
      <c r="AK18" s="64" t="s" ph="1">
        <v>631</v>
      </c>
      <c r="AL18" s="64" ph="1">
        <v>740</v>
      </c>
      <c r="AM18" s="64" t="s" ph="1">
        <v>383</v>
      </c>
      <c r="AZ18" s="64" t="s" ph="1">
        <v>260</v>
      </c>
      <c r="BA18" s="64" ph="1">
        <v>740</v>
      </c>
    </row>
    <row r="19" spans="1:57" s="72" customFormat="1" ht="22.5" ph="1">
      <c r="B19" s="215" ph="1"/>
      <c r="C19" s="151" t="s" ph="1">
        <v>212</v>
      </c>
      <c r="D19" s="73" ph="1">
        <f>D18*7.0686*LOOKUP(D20,密度!$A$2:$A$50,密度!$L$2:$L$50)</f>
        <v>28784.046059999997</v>
      </c>
      <c r="E19" s="73" ph="1">
        <f>E18*7.0686*LOOKUP(E20,密度!$A$2:$A$50,密度!$L$2:$L$50)</f>
        <v>488.65938659999995</v>
      </c>
      <c r="F19" s="73" ph="1">
        <f>F18*9.0746*LOOKUP(F20,密度!$A$2:$A$50,密度!$L$2:$L$50)</f>
        <v>33684.552215999996</v>
      </c>
      <c r="G19" s="73" ph="1">
        <f>G18*9.0746*LOOKUP(G20,密度!$A$2:$A$50,密度!$B$2:$B$50)</f>
        <v>13529.2848416</v>
      </c>
      <c r="H19" s="73" ph="1">
        <f>H18*9.0746*LOOKUP(H20,密度!$A$2:$A$50,密度!$L$2:$L$50)</f>
        <v>24756.960736000001</v>
      </c>
      <c r="I19" s="73" ph="1">
        <f>I18*9.0746*LOOKUP(I20,密度!$A$2:$A$50,密度!$U$2:$U$50)</f>
        <v>46.643444000000009</v>
      </c>
      <c r="J19" s="73" ph="1">
        <f>J18*9.0746*LOOKUP(J20,密度!$A$2:$A$50,密度!$L$2:$L$50)</f>
        <v>3347.9829239999999</v>
      </c>
      <c r="K19" s="73" ph="1">
        <f>K18*9.0746*LOOKUP(K20,密度!$A$2:$A$50,密度!$C$2:$C$50)</f>
        <v>19116.828227839997</v>
      </c>
      <c r="L19" s="73" ph="1">
        <f>L18*9.0746*LOOKUP(L20,密度!$A$2:$A$50,密度!$E$2:$E$50)</f>
        <v>29859.608316000002</v>
      </c>
      <c r="M19" s="73" ph="1">
        <f>M18*9.0746*LOOKUP(M20,密度!$A$2:$A$50,密度!$M$2:$M$50)</f>
        <v>12749.43912648</v>
      </c>
      <c r="N19" s="73" ph="1">
        <f>N18*9.0746*LOOKUP(N20,密度!$A$2:$A$50,密度!$M$2:$M$50)</f>
        <v>20554.076987740002</v>
      </c>
      <c r="O19" s="73" ph="1">
        <f>O18*9.0746*LOOKUP(O20,密度!$A$2:$A$50,密度!$G$2:$G$50)</f>
        <v>2002.8005184000001</v>
      </c>
      <c r="P19" s="73" ph="1">
        <f ca="1">P18*9.0746*LOOKUP(P20,密度!$A$2:$A$51,密度!$Q$2:$Q$50)</f>
        <v>9448.0354890580002</v>
      </c>
      <c r="Q19" s="73" ph="1">
        <f>Q18*9.0746*LOOKUP(Q20,密度!$A$2:$A$50,密度!$Q$2:$Q$50)</f>
        <v>23500.192339692003</v>
      </c>
      <c r="R19" s="73" ph="1">
        <f>MAX(R18*9.0746*LOOKUP(R20,密度!$A$2:$A$50,密度!$B$2:$B$50),0)</f>
        <v>24829.57024044</v>
      </c>
      <c r="S19" s="73" ph="1">
        <f>S18*9.0746*LOOKUP(S20,密度!$A$2:$A$50,密度!$Q$2:$Q$50)</f>
        <v>48524.908767768007</v>
      </c>
      <c r="T19" s="73" ph="1">
        <f>T18*9.0746*LOOKUP(T20,密度!$A$2:$A$50,密度!$O$2:$O$50)</f>
        <v>13128.822743600002</v>
      </c>
      <c r="U19" s="73" ph="1">
        <f>U18*9.0746*LOOKUP(U20,密度!$A$2:$A$50,密度!$H$2:$H$50)</f>
        <v>57832.719817039993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215.4641142240007</v>
      </c>
      <c r="X19" s="73" ph="1">
        <f>MAX(5600*LOOKUP(X20,密度!$A$2:$A$50,密度!$I$2:$I$50)+X18*9.0476*LOOKUP(X20,密度!$A$2:$A$50,密度!$I$2:$I$50),0)</f>
        <v>14655.270237839999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207.60960626000002</v>
      </c>
      <c r="AB19" s="73" ph="1">
        <f>AB18*9.0746*LOOKUP(AB20,密度!$A$2:$A$50,密度!$L$2:$L$50)</f>
        <v>53790.925645599993</v>
      </c>
      <c r="AC19" s="73" ph="1">
        <f>AC18*9.0746*LOOKUP(AC20,密度!$A$2:$A$50,密度!$L$2:$L$50)</f>
        <v>55881.940350600002</v>
      </c>
      <c r="AD19" s="73" ph="1">
        <f>AD18*268.68*LOOKUP(AD20,密度!$A$2:$A$50,密度!B5:B53)+IF(AD18&lt;=0,0,1566*LOOKUP(AD20,密度!$A$2:$A$50,密度!B5:B53))</f>
        <v>15874.1277156</v>
      </c>
      <c r="AE19" s="73" ph="1">
        <f>AE18*268.68*LOOKUP(AE20,密度!$A$2:$A$50,密度!B5:B53)+IF(AE18&lt;=0,0,1566*LOOKUP(AE20,密度!$A$2:$A$50,密度!B5:B53))</f>
        <v>2400.4759211999999</v>
      </c>
      <c r="AH19" s="72" ph="1">
        <v>5</v>
      </c>
      <c r="AI19" s="72" t="s" ph="1">
        <v>385</v>
      </c>
      <c r="AZ19" s="72" t="s" ph="1">
        <v>260</v>
      </c>
      <c r="BA19" s="72" ph="1">
        <v>0</v>
      </c>
      <c r="BD19" s="72" t="s" ph="1">
        <v>386</v>
      </c>
      <c r="BE19" s="72" ph="1">
        <v>1440</v>
      </c>
    </row>
    <row r="20" spans="1:57" ph="1">
      <c r="A20" s="72" ph="1"/>
      <c r="B20" s="215" ph="1"/>
      <c r="C20" s="80" t="s" ph="1">
        <v>213</v>
      </c>
      <c r="D20" s="81">
        <v>15</v>
      </c>
      <c r="E20" s="81">
        <v>15</v>
      </c>
      <c r="F20" s="81">
        <v>17</v>
      </c>
      <c r="G20" s="81">
        <v>15</v>
      </c>
      <c r="H20" s="81">
        <v>18</v>
      </c>
      <c r="I20" s="81">
        <v>16</v>
      </c>
      <c r="J20" s="81">
        <v>16</v>
      </c>
      <c r="K20" s="81">
        <v>15</v>
      </c>
      <c r="L20" s="81">
        <v>17</v>
      </c>
      <c r="M20" s="81">
        <v>17</v>
      </c>
      <c r="N20" s="81">
        <v>16</v>
      </c>
      <c r="O20" s="81">
        <v>18</v>
      </c>
      <c r="P20" s="81">
        <v>22</v>
      </c>
      <c r="Q20" s="81">
        <v>15</v>
      </c>
      <c r="R20" s="81">
        <v>19</v>
      </c>
      <c r="S20" s="81">
        <v>15</v>
      </c>
      <c r="T20" s="81">
        <v>17</v>
      </c>
      <c r="U20" s="81">
        <v>15</v>
      </c>
      <c r="V20" s="81">
        <v>15</v>
      </c>
      <c r="W20" s="81">
        <v>15</v>
      </c>
      <c r="X20" s="81">
        <v>29</v>
      </c>
      <c r="Y20" s="110">
        <v>29</v>
      </c>
      <c r="Z20" s="81">
        <v>21</v>
      </c>
      <c r="AA20" s="81">
        <v>14</v>
      </c>
      <c r="AB20" s="81">
        <v>16</v>
      </c>
      <c r="AC20" s="81">
        <v>13</v>
      </c>
      <c r="AD20" s="81">
        <v>25</v>
      </c>
      <c r="AE20" s="81">
        <v>25</v>
      </c>
      <c r="AH20" s="64" ph="1">
        <v>6</v>
      </c>
      <c r="AI20" s="64" t="s" ph="1">
        <v>387</v>
      </c>
      <c r="AZ20" s="64" t="s" ph="1">
        <v>260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388</v>
      </c>
      <c r="AZ21" s="64" t="s" ph="1">
        <v>260</v>
      </c>
      <c r="BA21" s="64" ph="1">
        <v>0</v>
      </c>
      <c r="BD21" s="64" t="s" ph="1">
        <v>276</v>
      </c>
      <c r="BE21" s="64" ph="1">
        <v>730</v>
      </c>
    </row>
    <row r="22" spans="1:57" ph="1">
      <c r="A22" s="72" ph="1"/>
      <c r="B22" s="213" t="s" ph="1">
        <v>37</v>
      </c>
      <c r="C22" s="85" t="s" ph="1">
        <v>210</v>
      </c>
      <c r="D22" s="86" t="s" ph="1">
        <v>104</v>
      </c>
      <c r="E22" s="86" t="s" ph="1">
        <v>105</v>
      </c>
      <c r="F22" s="86" t="s" ph="1">
        <v>106</v>
      </c>
      <c r="G22" s="86" t="s" ph="1">
        <v>107</v>
      </c>
      <c r="H22" s="86" t="s" ph="1">
        <v>108</v>
      </c>
      <c r="I22" s="86" t="s" ph="1">
        <v>109</v>
      </c>
      <c r="J22" s="86" t="s" ph="1">
        <v>110</v>
      </c>
      <c r="K22" s="86" t="s" ph="1">
        <v>111</v>
      </c>
      <c r="L22" s="86" t="s" ph="1">
        <v>112</v>
      </c>
      <c r="M22" s="86" t="s" ph="1">
        <v>113</v>
      </c>
      <c r="N22" s="86" t="s" ph="1">
        <v>114</v>
      </c>
      <c r="O22" s="86" t="s" ph="1">
        <v>115</v>
      </c>
      <c r="P22" s="86" t="s" ph="1">
        <v>116</v>
      </c>
      <c r="Q22" s="87" t="s" ph="1">
        <v>117</v>
      </c>
      <c r="R22" s="86" t="s" ph="1">
        <v>118</v>
      </c>
      <c r="S22" s="86" t="s" ph="1">
        <v>119</v>
      </c>
      <c r="T22" s="86" t="s" ph="1">
        <v>120</v>
      </c>
      <c r="U22" s="86" t="s" ph="1">
        <v>121</v>
      </c>
      <c r="V22" s="86" t="s" ph="1">
        <v>122</v>
      </c>
      <c r="W22" s="86" t="s" ph="1">
        <v>123</v>
      </c>
      <c r="X22" s="86" t="s" ph="1">
        <v>124</v>
      </c>
      <c r="Y22" s="86" t="s" ph="1">
        <v>126</v>
      </c>
      <c r="Z22" s="223" t="s" ph="1">
        <v>79</v>
      </c>
      <c r="AA22" s="224"/>
      <c r="AB22" s="224"/>
      <c r="AC22" s="224"/>
      <c r="AD22" s="224"/>
      <c r="AE22" s="225"/>
      <c r="AH22" s="64" ph="1">
        <v>8</v>
      </c>
      <c r="AI22" s="64" t="s" ph="1">
        <v>389</v>
      </c>
      <c r="AZ22" s="64" t="s" ph="1">
        <v>260</v>
      </c>
      <c r="BA22" s="64" ph="1">
        <v>0</v>
      </c>
    </row>
    <row r="23" spans="1:57" ph="1">
      <c r="A23" s="72" ph="1"/>
      <c r="B23" s="217" ph="1"/>
      <c r="C23" s="67" t="s" ph="1">
        <v>36</v>
      </c>
      <c r="D23" s="88" t="s" ph="1">
        <v>128</v>
      </c>
      <c r="E23" s="88" t="s" ph="1">
        <v>125</v>
      </c>
      <c r="F23" s="88" t="s" ph="1">
        <v>224</v>
      </c>
      <c r="G23" s="88" t="s" ph="1">
        <v>165</v>
      </c>
      <c r="H23" s="88" t="s" ph="1">
        <v>165</v>
      </c>
      <c r="I23" s="88" t="s" ph="1">
        <v>166</v>
      </c>
      <c r="J23" s="88" t="s" ph="1">
        <v>167</v>
      </c>
      <c r="K23" s="88" t="s" ph="1">
        <v>129</v>
      </c>
      <c r="L23" s="88" t="s" ph="1">
        <v>129</v>
      </c>
      <c r="M23" s="88" t="s" ph="1">
        <v>167</v>
      </c>
      <c r="N23" s="88" t="s" ph="1">
        <v>167</v>
      </c>
      <c r="O23" s="88" t="s" ph="1">
        <v>132</v>
      </c>
      <c r="P23" s="88" t="s" ph="1">
        <v>168</v>
      </c>
      <c r="Q23" s="89" t="s" ph="1">
        <v>168</v>
      </c>
      <c r="R23" s="88" t="s" ph="1">
        <v>169</v>
      </c>
      <c r="S23" s="88" t="s" ph="1">
        <v>170</v>
      </c>
      <c r="T23" s="88" t="s" ph="1">
        <v>651</v>
      </c>
      <c r="U23" s="88" t="s" ph="1">
        <v>660</v>
      </c>
      <c r="V23" s="88" t="s" ph="1">
        <v>172</v>
      </c>
      <c r="W23" s="88" t="s" ph="1">
        <v>170</v>
      </c>
      <c r="X23" s="88" t="s" ph="1">
        <v>231</v>
      </c>
      <c r="Y23" s="88" t="s" ph="1">
        <v>97</v>
      </c>
      <c r="Z23" s="226" t="s" ph="1">
        <v>664</v>
      </c>
      <c r="AA23" s="227"/>
      <c r="AB23" s="227"/>
      <c r="AC23" s="227"/>
      <c r="AD23" s="227"/>
      <c r="AE23" s="228"/>
      <c r="AH23" s="64" ph="1">
        <v>9</v>
      </c>
      <c r="AI23" s="64" t="s" ph="1">
        <v>390</v>
      </c>
      <c r="AZ23" s="64" t="s" ph="1">
        <v>260</v>
      </c>
      <c r="BA23" s="64" ph="1">
        <v>0</v>
      </c>
      <c r="BD23" s="64" t="s" ph="1">
        <v>282</v>
      </c>
      <c r="BE23" s="64" ph="1">
        <v>890</v>
      </c>
    </row>
    <row r="24" spans="1:57" ph="1">
      <c r="A24" s="72" ph="1"/>
      <c r="B24" s="235" ph="1">
        <v>0.33333333333333331</v>
      </c>
      <c r="C24" s="151" t="s" ph="1">
        <v>211</v>
      </c>
      <c r="D24" s="71">
        <v>44.02</v>
      </c>
      <c r="E24" s="71">
        <v>97.46</v>
      </c>
      <c r="F24" s="71">
        <v>2145</v>
      </c>
      <c r="G24" s="71">
        <v>3649</v>
      </c>
      <c r="H24" s="71">
        <v>4300</v>
      </c>
      <c r="I24" s="71">
        <v>2529</v>
      </c>
      <c r="J24" s="71">
        <v>2444</v>
      </c>
      <c r="K24" s="71">
        <v>5598</v>
      </c>
      <c r="L24" s="71">
        <v>5571</v>
      </c>
      <c r="M24" s="71">
        <v>1381</v>
      </c>
      <c r="N24" s="71">
        <v>867</v>
      </c>
      <c r="O24" s="71">
        <v>2052</v>
      </c>
      <c r="P24" s="71">
        <v>2472</v>
      </c>
      <c r="Q24" s="90">
        <v>788</v>
      </c>
      <c r="R24" s="71">
        <v>2013</v>
      </c>
      <c r="S24" s="71">
        <v>1415</v>
      </c>
      <c r="T24" s="71">
        <v>6380</v>
      </c>
      <c r="U24" s="71">
        <v>5176</v>
      </c>
      <c r="V24" s="71">
        <v>393</v>
      </c>
      <c r="W24" s="71">
        <v>10459</v>
      </c>
      <c r="X24" s="71">
        <v>10395</v>
      </c>
      <c r="Y24" s="71">
        <v>4519</v>
      </c>
      <c r="Z24" s="229"/>
      <c r="AA24" s="230"/>
      <c r="AB24" s="230"/>
      <c r="AC24" s="230"/>
      <c r="AD24" s="230"/>
      <c r="AE24" s="231"/>
      <c r="AH24" s="64" ph="1">
        <v>10</v>
      </c>
      <c r="AI24" s="64" t="s" ph="1">
        <v>391</v>
      </c>
      <c r="AZ24" s="64" t="s" ph="1">
        <v>260</v>
      </c>
      <c r="BA24" s="64" ph="1">
        <v>0</v>
      </c>
    </row>
    <row r="25" spans="1:57" ph="1">
      <c r="A25" s="72" ph="1"/>
      <c r="B25" s="235" ph="1"/>
      <c r="C25" s="68" t="s" ph="1">
        <v>212</v>
      </c>
      <c r="D25" s="91" ph="1">
        <f>D24*268.68*LOOKUP(D26,密度!$A$2:$A$50,密度!$Q$2:$Q$50)+IF(D24&lt;=0,0,1566*LOOKUP(D26,密度!$A$2:$A$50,密度!$Q$2:$Q$50))</f>
        <v>12679.966782864001</v>
      </c>
      <c r="E25" s="91" ph="1">
        <f>E24*268.68*LOOKUP(E26,密度!$A$2:$A$50,密度!$C$2:$C$50)+IF(E24&lt;=0,0,1566*LOOKUP(E26,密度!$A$2:$A$50,密度!$C$2:$C$50))</f>
        <v>30773.69689992</v>
      </c>
      <c r="F25" s="91" ph="1">
        <f>F24*11.702*LOOKUP(F26,密度!$A$2:$A$50,密度!$Q$2:$Q$50)</f>
        <v>23959.708086600003</v>
      </c>
      <c r="G25" s="91" ph="1">
        <f>G24*18.322*LOOKUP(G26,密度!$A$2:$A$50,密度!$B$2:$B$50)</f>
        <v>52796.955526600002</v>
      </c>
      <c r="H25" s="91" ph="1">
        <f>H24*18.322*LOOKUP(H26,密度!$A$2:$A$50,密度!$B$2:$B$50)</f>
        <v>62287.104759999987</v>
      </c>
      <c r="I25" s="91" ph="1">
        <f>I24*18.322*LOOKUP(I26,密度!$A$2:$A$50,密度!$Q$2:$Q$50)</f>
        <v>44229.88807452</v>
      </c>
      <c r="J25" s="91" ph="1">
        <f>J24*18.322*LOOKUP(J26,密度!$A$2:$A$50,密度!$Q$2:$Q$50)</f>
        <v>42743.316114720001</v>
      </c>
      <c r="K25" s="91" ph="1">
        <f>K24*18.322*LOOKUP(K26,密度!$A$2:$A$50,密度!$Q$2:$Q$50)</f>
        <v>97903.880364240002</v>
      </c>
      <c r="L25" s="91" ph="1">
        <f>L24*18.322*LOOKUP(L26,密度!$A$2:$A$50,密度!$Q$2:$Q$50)</f>
        <v>97431.675153479999</v>
      </c>
      <c r="M25" s="91" ph="1">
        <f>M24*18.322*LOOKUP(M26,密度!$A$2:$A$50,密度!$Q$2:$Q$50)</f>
        <v>24152.42207628</v>
      </c>
      <c r="N25" s="91" ph="1">
        <f>N24*18.322*LOOKUP(N26,密度!$A$2:$A$50,密度!$Q$2:$Q$50)</f>
        <v>15163.03398996</v>
      </c>
      <c r="O25" s="91" ph="1">
        <f>O24*18.322*LOOKUP(O26,密度!$A$2:$A$50,密度!$C$2:$C$50)</f>
        <v>42040.679140799999</v>
      </c>
      <c r="P25" s="91" ph="1">
        <f>P24*11.702*LOOKUP(P26,密度!$A$2:$A$50,密度!$B$2:$B$50)</f>
        <v>22820.781681600001</v>
      </c>
      <c r="Q25" s="92" ph="1">
        <f>Q24*18.322*LOOKUP(Q26,密度!$A$2:$A$50,密度!$B$2:$B$50)</f>
        <v>11401.480119199998</v>
      </c>
      <c r="R25" s="91" ph="1">
        <f>R24*35.891*LOOKUP(R26,密度!$A$2:$A$50,密度!$C$2:$C$50)</f>
        <v>80672.767777800007</v>
      </c>
      <c r="S25" s="91" ph="1">
        <f>S24*35.891*LOOKUP(S26,密度!$A$2:$A$50,密度!$B$2:$B$50)</f>
        <v>40151.225808999996</v>
      </c>
      <c r="T25" s="91" ph="1">
        <f>T24*35.891*LOOKUP(T26,密度!$A$2:$A$50,密度!$Q$2:$Q$50)</f>
        <v>218574.9409932</v>
      </c>
      <c r="U25" s="91" ph="1">
        <f>U24*35.891</f>
        <v>185771.81599999999</v>
      </c>
      <c r="V25" s="91" ph="1">
        <f>V24*47.051*LOOKUP(V26,密度!$A$2:$A$50,密度!$B$2:$B$50)</f>
        <v>14619.0185958</v>
      </c>
      <c r="W25" s="91" ph="1">
        <f>W24*47.051*LOOKUP(W26,密度!$A$2:$A$50,密度!$B$2:$B$50)</f>
        <v>387779.85029200005</v>
      </c>
      <c r="X25" s="91" ph="1">
        <f>X24*47.051*LOOKUP(X26,密度!$A$2:$A$50,密度!$I$2:$I$50)</f>
        <v>506526.49596779997</v>
      </c>
      <c r="Y25" s="91" ph="1">
        <f>Y24*47.051*LOOKUP(Y26,密度!$A$2:$A$50,密度!$L$2:$L$50)</f>
        <v>201141.80167399999</v>
      </c>
      <c r="Z25" s="229"/>
      <c r="AA25" s="230"/>
      <c r="AB25" s="230"/>
      <c r="AC25" s="230"/>
      <c r="AD25" s="230"/>
      <c r="AE25" s="231"/>
      <c r="AH25" s="64" ph="1">
        <v>11</v>
      </c>
      <c r="AI25" s="64" t="s" ph="1">
        <v>392</v>
      </c>
      <c r="AZ25" s="64" t="s" ph="1">
        <v>260</v>
      </c>
      <c r="BA25" s="64" ph="1">
        <v>0</v>
      </c>
      <c r="BD25" s="64" t="s" ph="1">
        <v>285</v>
      </c>
      <c r="BE25" s="64" ph="1">
        <v>8920</v>
      </c>
    </row>
    <row r="26" spans="1:57" ph="1">
      <c r="A26" s="72" ph="1"/>
      <c r="B26" s="235" ph="1"/>
      <c r="C26" s="68" t="s" ph="1">
        <v>213</v>
      </c>
      <c r="D26" s="74">
        <v>25</v>
      </c>
      <c r="E26" s="74">
        <v>25</v>
      </c>
      <c r="F26" s="74">
        <v>14</v>
      </c>
      <c r="G26" s="74">
        <v>13</v>
      </c>
      <c r="H26" s="74">
        <v>12</v>
      </c>
      <c r="I26" s="74">
        <v>13</v>
      </c>
      <c r="J26" s="74">
        <v>13</v>
      </c>
      <c r="K26" s="74">
        <v>14</v>
      </c>
      <c r="L26" s="74">
        <v>14</v>
      </c>
      <c r="M26" s="74">
        <v>13</v>
      </c>
      <c r="N26" s="74">
        <v>13</v>
      </c>
      <c r="O26" s="74">
        <v>12</v>
      </c>
      <c r="P26" s="74">
        <v>14</v>
      </c>
      <c r="Q26" s="93">
        <v>13</v>
      </c>
      <c r="R26" s="74">
        <v>14</v>
      </c>
      <c r="S26" s="74">
        <v>12</v>
      </c>
      <c r="T26" s="74">
        <v>13</v>
      </c>
      <c r="U26" s="74">
        <v>13</v>
      </c>
      <c r="V26" s="74">
        <v>12</v>
      </c>
      <c r="W26" s="74">
        <v>15</v>
      </c>
      <c r="X26" s="74">
        <v>49</v>
      </c>
      <c r="Y26" s="74">
        <v>16</v>
      </c>
      <c r="Z26" s="229"/>
      <c r="AA26" s="230"/>
      <c r="AB26" s="230"/>
      <c r="AC26" s="230"/>
      <c r="AD26" s="230"/>
      <c r="AE26" s="231"/>
      <c r="AH26" s="64" ph="1">
        <v>12</v>
      </c>
      <c r="AI26" s="64" t="s" ph="1">
        <v>393</v>
      </c>
      <c r="AZ26" s="64" t="s" ph="1">
        <v>260</v>
      </c>
      <c r="BA26" s="64" ph="1">
        <v>0</v>
      </c>
    </row>
    <row r="27" spans="1:57" ph="1">
      <c r="A27" s="72" ph="1"/>
      <c r="B27" s="235" ph="1">
        <v>0.66666666666666663</v>
      </c>
      <c r="C27" s="151" t="s" ph="1">
        <v>214</v>
      </c>
      <c r="D27" s="71">
        <v>44.13</v>
      </c>
      <c r="E27" s="71">
        <v>97.46</v>
      </c>
      <c r="F27" s="71">
        <v>2146</v>
      </c>
      <c r="G27" s="71">
        <v>3159</v>
      </c>
      <c r="H27" s="71">
        <v>2500</v>
      </c>
      <c r="I27" s="71">
        <v>2528</v>
      </c>
      <c r="J27" s="71">
        <v>2443</v>
      </c>
      <c r="K27" s="71">
        <v>5597</v>
      </c>
      <c r="L27" s="71">
        <v>5570</v>
      </c>
      <c r="M27" s="71">
        <v>1378</v>
      </c>
      <c r="N27" s="71">
        <v>864</v>
      </c>
      <c r="O27" s="71">
        <v>2050</v>
      </c>
      <c r="P27" s="71">
        <v>2475</v>
      </c>
      <c r="Q27" s="90">
        <v>2050</v>
      </c>
      <c r="R27" s="71">
        <v>2011</v>
      </c>
      <c r="S27" s="71">
        <v>2011</v>
      </c>
      <c r="T27" s="71">
        <v>6380</v>
      </c>
      <c r="U27" s="71">
        <v>5119</v>
      </c>
      <c r="V27" s="71">
        <v>387</v>
      </c>
      <c r="W27" s="71">
        <v>10200</v>
      </c>
      <c r="X27" s="71">
        <v>10019</v>
      </c>
      <c r="Y27" s="71">
        <v>3466</v>
      </c>
      <c r="Z27" s="229"/>
      <c r="AA27" s="230"/>
      <c r="AB27" s="230"/>
      <c r="AC27" s="230"/>
      <c r="AD27" s="230"/>
      <c r="AE27" s="231"/>
      <c r="AH27" s="64" ph="1">
        <v>13</v>
      </c>
      <c r="AI27" s="64" t="s" ph="1">
        <v>394</v>
      </c>
      <c r="AZ27" s="64" t="s" ph="1">
        <v>260</v>
      </c>
      <c r="BA27" s="64" ph="1">
        <v>0</v>
      </c>
      <c r="BD27" s="64" t="s" ph="1">
        <v>339</v>
      </c>
      <c r="BE27" s="64" ph="1">
        <v>7100</v>
      </c>
    </row>
    <row r="28" spans="1:57" ph="1">
      <c r="A28" s="72" ph="1"/>
      <c r="B28" s="235" ph="1"/>
      <c r="C28" s="151" t="s" ph="1">
        <v>212</v>
      </c>
      <c r="D28" s="91" ph="1">
        <f>D27*268.68*LOOKUP(D29,密度!$A$2:$A$50,密度!$Q$2:$Q$50)+IF(D27&lt;=0,0,1566*LOOKUP(D29,密度!$A$2:$A$50,密度!$Q$2:$Q$50))</f>
        <v>12707.947494216001</v>
      </c>
      <c r="E28" s="91" ph="1">
        <f>E27*268.68*LOOKUP(E29,密度!$A$2:$A$50,密度!$C$2:$C$50)+IF(E27&lt;=0,0,1566*LOOKUP(E29,密度!$A$2:$A$50,密度!$C$2:$C$50))</f>
        <v>30773.69689992</v>
      </c>
      <c r="F28" s="91" ph="1">
        <f>F27*11.702*LOOKUP(F29,密度!$A$2:$A$50,密度!$Q$2:$Q$50)</f>
        <v>23970.878113679999</v>
      </c>
      <c r="G28" s="91" ph="1">
        <f>G27*18.322*LOOKUP(G29,密度!$A$2:$A$50,密度!$B$2:$B$50)</f>
        <v>45608.808023999998</v>
      </c>
      <c r="H28" s="91" ph="1">
        <f>H27*18.322*LOOKUP(H29,密度!$A$2:$A$50,密度!$B$2:$B$50)</f>
        <v>36135.5645</v>
      </c>
      <c r="I28" s="91" ph="1">
        <f>I27*18.322*LOOKUP(I29,密度!$A$2:$A$50,密度!$Q$2:$Q$50)</f>
        <v>44212.398992639995</v>
      </c>
      <c r="J28" s="91" ph="1">
        <f>J27*18.322*LOOKUP(J29,密度!$A$2:$A$50,密度!$Q$2:$Q$50)</f>
        <v>42725.827032840003</v>
      </c>
      <c r="K28" s="91" ph="1">
        <f>K27*18.322*LOOKUP(K29,密度!$A$2:$A$50,密度!$Q$2:$Q$50)</f>
        <v>97789.995942399997</v>
      </c>
      <c r="L28" s="91" ph="1">
        <f>L27*18.322*LOOKUP(L29,密度!$A$2:$A$50,密度!$Q$2:$Q$50)</f>
        <v>97318.255743999995</v>
      </c>
      <c r="M28" s="91" ph="1">
        <f>M27*18.322*LOOKUP(M29,密度!$A$2:$A$50,密度!$Q$2:$Q$50)</f>
        <v>24099.954830640003</v>
      </c>
      <c r="N28" s="91" ph="1">
        <f>N27*18.322*LOOKUP(N29,密度!$A$2:$A$50,密度!$Q$2:$Q$50)</f>
        <v>15110.56674432</v>
      </c>
      <c r="O28" s="91" ph="1">
        <f>O27*18.322*LOOKUP(O29,密度!$A$2:$A$50,密度!$C$2:$C$50)</f>
        <v>41909.559579999994</v>
      </c>
      <c r="P28" s="91" ph="1">
        <f>P27*11.702*LOOKUP(P29,密度!$A$2:$A$50,密度!$B$2:$B$50)</f>
        <v>22822.410600000003</v>
      </c>
      <c r="Q28" s="92" ph="1">
        <f>Q27*18.322*LOOKUP(Q29,密度!$A$2:$A$50,密度!$B$2:$B$50)</f>
        <v>29567.310719999998</v>
      </c>
      <c r="R28" s="91" ph="1">
        <f>R27*35.891*LOOKUP(R29,密度!$A$2:$A$50,密度!$C$2:$C$50)</f>
        <v>80491.568475199994</v>
      </c>
      <c r="S28" s="91" ph="1">
        <f>S27*35.891*LOOKUP(S29,密度!$A$2:$A$50,密度!$B$2:$B$50)</f>
        <v>56940.2783089</v>
      </c>
      <c r="T28" s="91" ph="1">
        <f>T27*35.891*LOOKUP(T29,密度!$A$2:$A$50,密度!$Q$2:$Q$50)</f>
        <v>218574.9409932</v>
      </c>
      <c r="U28" s="91" ph="1">
        <f>U27*35.891</f>
        <v>183726.02899999998</v>
      </c>
      <c r="V28" s="91" ph="1">
        <f>V27*47.051*LOOKUP(V29,密度!$A$2:$A$50,密度!$B$2:$B$50)</f>
        <v>14333.917766400002</v>
      </c>
      <c r="W28" s="91" ph="1">
        <f>W27*47.051*LOOKUP(W29,密度!$A$2:$A$50,密度!$B$2:$B$50)</f>
        <v>377793.18144000001</v>
      </c>
      <c r="X28" s="91" ph="1">
        <f>X27*47.051*LOOKUP(X29,密度!$A$2:$A$50,密度!$I$2:$I$50)</f>
        <v>488204.80645515997</v>
      </c>
      <c r="Y28" s="91" ph="1">
        <f>Y27*47.051*LOOKUP(Y29,密度!$A$2:$A$50,密度!$L$2:$L$50)</f>
        <v>154272.512636</v>
      </c>
      <c r="Z28" s="229"/>
      <c r="AA28" s="230"/>
      <c r="AB28" s="230"/>
      <c r="AC28" s="230"/>
      <c r="AD28" s="230"/>
      <c r="AE28" s="231"/>
      <c r="AH28" s="64" ph="1">
        <v>14</v>
      </c>
      <c r="AI28" s="64" t="s" ph="1">
        <v>395</v>
      </c>
      <c r="AZ28" s="64" t="s" ph="1">
        <v>260</v>
      </c>
      <c r="BA28" s="64" ph="1">
        <v>0</v>
      </c>
    </row>
    <row r="29" spans="1:57" ph="1">
      <c r="A29" s="72" ph="1"/>
      <c r="B29" s="235" ph="1"/>
      <c r="C29" s="151" t="s" ph="1">
        <v>213</v>
      </c>
      <c r="D29" s="74">
        <v>25</v>
      </c>
      <c r="E29" s="74">
        <v>25</v>
      </c>
      <c r="F29" s="74">
        <v>15</v>
      </c>
      <c r="G29" s="74">
        <v>15</v>
      </c>
      <c r="H29" s="74">
        <v>14</v>
      </c>
      <c r="I29" s="74">
        <v>15</v>
      </c>
      <c r="J29" s="74">
        <v>15</v>
      </c>
      <c r="K29" s="74">
        <v>16</v>
      </c>
      <c r="L29" s="74">
        <v>16</v>
      </c>
      <c r="M29" s="74">
        <v>15</v>
      </c>
      <c r="N29" s="74">
        <v>15</v>
      </c>
      <c r="O29" s="74">
        <v>15</v>
      </c>
      <c r="P29" s="74">
        <v>15</v>
      </c>
      <c r="Q29" s="93">
        <v>16</v>
      </c>
      <c r="R29" s="74">
        <v>16</v>
      </c>
      <c r="S29" s="74">
        <v>14</v>
      </c>
      <c r="T29" s="74">
        <v>15</v>
      </c>
      <c r="U29" s="74">
        <v>15</v>
      </c>
      <c r="V29" s="74">
        <v>16</v>
      </c>
      <c r="W29" s="74">
        <v>16</v>
      </c>
      <c r="X29" s="74">
        <v>51</v>
      </c>
      <c r="Y29" s="74">
        <v>16</v>
      </c>
      <c r="Z29" s="232"/>
      <c r="AA29" s="233"/>
      <c r="AB29" s="233"/>
      <c r="AC29" s="233"/>
      <c r="AD29" s="233"/>
      <c r="AE29" s="234"/>
      <c r="AH29" s="64" ph="1">
        <v>15</v>
      </c>
      <c r="AI29" s="64" t="s" ph="1">
        <v>396</v>
      </c>
      <c r="AZ29" s="64" t="s" ph="1">
        <v>260</v>
      </c>
      <c r="BA29" s="64" ph="1">
        <v>0</v>
      </c>
      <c r="BD29" s="64" t="s" ph="1">
        <v>397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398</v>
      </c>
      <c r="AZ30" s="64" t="s" ph="1">
        <v>260</v>
      </c>
      <c r="BA30" s="64" ph="1">
        <v>0</v>
      </c>
    </row>
    <row r="31" spans="1:57" ht="28.5" ph="1">
      <c r="A31" s="64"/>
      <c r="B31" s="218" t="s" ph="1">
        <v>35</v>
      </c>
      <c r="C31" s="219" ph="1"/>
      <c r="D31" s="222" t="s" ph="1">
        <v>9</v>
      </c>
      <c r="E31" s="197" ph="1"/>
      <c r="F31" s="198" ph="1"/>
      <c r="G31" s="222" t="s" ph="1">
        <v>18</v>
      </c>
      <c r="H31" s="197" ph="1"/>
      <c r="I31" s="198" ph="1"/>
      <c r="J31" s="196" t="s" ph="1">
        <v>1</v>
      </c>
      <c r="K31" s="197" ph="1"/>
      <c r="L31" s="198" ph="1"/>
      <c r="M31" s="196" t="s" ph="1">
        <v>7</v>
      </c>
      <c r="N31" s="197" ph="1"/>
      <c r="O31" s="198" ph="1"/>
      <c r="P31" s="196" t="s" ph="1">
        <v>42</v>
      </c>
      <c r="Q31" s="197"/>
      <c r="R31" s="198"/>
      <c r="S31" s="196" t="s" ph="1">
        <v>2</v>
      </c>
      <c r="T31" s="197"/>
      <c r="U31" s="198"/>
      <c r="V31" s="196" t="s" ph="1">
        <v>81</v>
      </c>
      <c r="W31" s="197" ph="1"/>
      <c r="X31" s="198" ph="1"/>
      <c r="Y31" s="196" t="s" ph="1">
        <v>3</v>
      </c>
      <c r="Z31" s="197" ph="1"/>
      <c r="AA31" s="198" ph="1"/>
      <c r="AB31" s="199" t="s">
        <v>43</v>
      </c>
      <c r="AC31" s="200"/>
      <c r="AD31" s="200"/>
      <c r="AE31" s="201"/>
      <c r="AH31" s="64" ph="1">
        <v>17</v>
      </c>
      <c r="AI31" s="64" t="s" ph="1">
        <v>399</v>
      </c>
      <c r="AZ31" s="64" t="s" ph="1">
        <v>260</v>
      </c>
      <c r="BA31" s="64" ph="1">
        <v>0</v>
      </c>
      <c r="BD31" s="64" t="s" ph="1">
        <v>400</v>
      </c>
      <c r="BE31" s="64" ph="1">
        <v>9310</v>
      </c>
    </row>
    <row r="32" spans="1:57" ph="1">
      <c r="A32" s="64"/>
      <c r="B32" s="220" ph="1"/>
      <c r="C32" s="221" ph="1"/>
      <c r="D32" s="96" t="s" ph="1">
        <v>4</v>
      </c>
      <c r="E32" s="151" t="s" ph="1">
        <v>5</v>
      </c>
      <c r="F32" s="150" t="s" ph="1">
        <v>44</v>
      </c>
      <c r="G32" s="97" t="s" ph="1">
        <v>4</v>
      </c>
      <c r="H32" s="151" t="s" ph="1">
        <v>5</v>
      </c>
      <c r="I32" s="150" t="s" ph="1">
        <v>44</v>
      </c>
      <c r="J32" s="97" t="s" ph="1">
        <v>4</v>
      </c>
      <c r="K32" s="151" t="s" ph="1">
        <v>5</v>
      </c>
      <c r="L32" s="150" t="s" ph="1">
        <v>44</v>
      </c>
      <c r="M32" s="97" t="s" ph="1">
        <v>4</v>
      </c>
      <c r="N32" s="151" t="s" ph="1">
        <v>5</v>
      </c>
      <c r="O32" s="150" t="s" ph="1">
        <v>44</v>
      </c>
      <c r="P32" s="97" t="s" ph="1">
        <v>4</v>
      </c>
      <c r="Q32" s="98" t="s" ph="1">
        <v>5</v>
      </c>
      <c r="R32" s="99" t="s" ph="1">
        <v>44</v>
      </c>
      <c r="S32" s="97" t="s" ph="1">
        <v>4</v>
      </c>
      <c r="T32" s="151" t="s" ph="1">
        <v>5</v>
      </c>
      <c r="U32" s="99" t="s" ph="1">
        <v>44</v>
      </c>
      <c r="V32" s="97" t="s" ph="1">
        <v>4</v>
      </c>
      <c r="W32" s="151" t="s" ph="1">
        <v>5</v>
      </c>
      <c r="X32" s="99" t="s" ph="1">
        <v>44</v>
      </c>
      <c r="Y32" s="100" t="s" ph="1">
        <v>4</v>
      </c>
      <c r="Z32" s="151" t="s" ph="1">
        <v>5</v>
      </c>
      <c r="AA32" s="150" t="s" ph="1">
        <v>44</v>
      </c>
      <c r="AB32" s="97" t="s" ph="1">
        <v>102</v>
      </c>
      <c r="AC32" s="151" t="s" ph="1">
        <v>101</v>
      </c>
      <c r="AD32" s="202" t="s" ph="1">
        <v>100</v>
      </c>
      <c r="AE32" s="203"/>
      <c r="AH32" s="64" ph="1">
        <v>18</v>
      </c>
      <c r="AI32" s="64" t="s" ph="1">
        <v>401</v>
      </c>
      <c r="AZ32" s="64" t="s" ph="1">
        <v>260</v>
      </c>
      <c r="BA32" s="64" ph="1">
        <v>0</v>
      </c>
    </row>
    <row r="33" spans="1:57" ph="1">
      <c r="A33" s="64"/>
      <c r="B33" s="204" t="s" ph="1">
        <v>215</v>
      </c>
      <c r="C33" s="205" ph="1"/>
      <c r="D33" s="184" ph="1">
        <f>AA10+AB10+Z19</f>
        <v>104544.40513080001</v>
      </c>
      <c r="E33" s="184" ph="1">
        <f>M10+I10</f>
        <v>190066.5181252</v>
      </c>
      <c r="F33" s="208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152225263245678691011121314151617181920212345678910111213141516171819202223242435678910111213141516171819202122234567891011121314151617181920234567891011121314910151617181922212323456789101213141516171118192021222425234567891011121314[[#This Row],[F25]]</f>
        <v>3880</v>
      </c>
      <c r="G33" s="210" ph="1">
        <v>0</v>
      </c>
      <c r="H33" s="184" ph="1">
        <f>N19</f>
        <v>20554.076987740002</v>
      </c>
      <c r="I33" s="188" ph="1">
        <v>0</v>
      </c>
      <c r="J33" s="192" ph="1">
        <f>F10+O28</f>
        <v>208620.155188</v>
      </c>
      <c r="K33" s="184" ph="1">
        <f>O10+K10+E28+R28</f>
        <v>229915.22020832001</v>
      </c>
      <c r="L33" s="194" ph="1">
        <f>BE27</f>
        <v>7100</v>
      </c>
      <c r="M33" s="192" ph="1">
        <f>G10+H10+W28+S28</f>
        <v>1052457.8887289001</v>
      </c>
      <c r="N33" s="184" ph="1">
        <f>L10+P10++G28+H28+V28</f>
        <v>217941.38431040003</v>
      </c>
      <c r="O33" s="188" ph="1">
        <f>BE17</f>
        <v>2270</v>
      </c>
      <c r="P33" s="192" ph="1">
        <f>L19</f>
        <v>29859.608316000002</v>
      </c>
      <c r="Q33" s="184" ph="1">
        <f>J10+N10</f>
        <v>169028.2857376</v>
      </c>
      <c r="R33" s="188" ph="1">
        <f>BE23</f>
        <v>890</v>
      </c>
      <c r="S33" s="192" ph="1">
        <f>E10+X28</f>
        <v>488204.80645515997</v>
      </c>
      <c r="T33" s="184" ph="1">
        <f>X19</f>
        <v>14655.270237839999</v>
      </c>
      <c r="U33" s="173" ph="1">
        <f>BE21</f>
        <v>730</v>
      </c>
      <c r="V33" s="186" ph="1">
        <f ca="1">P19+Q19+S19+M28+N28+J28</f>
        <v>163409.48520431801</v>
      </c>
      <c r="W33" s="186" ph="1">
        <f>D28+F28+V19+T28</f>
        <v>255253.76660109599</v>
      </c>
      <c r="X33" s="188" ph="1">
        <f>BE29+BE31</f>
        <v>10200</v>
      </c>
      <c r="Y33" s="190" ph="1">
        <f>+Q10+R10+S10+T10+U10+V10+W10+X10+Y10</f>
        <v>163856.89144439998</v>
      </c>
      <c r="Z33" s="171" ph="1">
        <f>D10+T19+U19+Y28+Z10</f>
        <v>464171.25573108002</v>
      </c>
      <c r="AA33" s="173" ph="1">
        <f>BE19</f>
        <v>1440</v>
      </c>
      <c r="AB33" s="175" ph="1">
        <f>I19</f>
        <v>46.643444000000009</v>
      </c>
      <c r="AC33" s="177" ph="1">
        <f>AD10</f>
        <v>5139.7665120000001</v>
      </c>
      <c r="AD33" s="179" ph="1">
        <v>0</v>
      </c>
      <c r="AE33" s="180"/>
      <c r="AH33" s="64" ph="1">
        <v>19</v>
      </c>
      <c r="AI33" s="64" t="s" ph="1">
        <v>402</v>
      </c>
      <c r="AJ33" s="64" t="s" ph="1">
        <v>636</v>
      </c>
      <c r="AK33" s="64" t="s" ph="1">
        <v>633</v>
      </c>
      <c r="AL33" s="64" ph="1">
        <v>730</v>
      </c>
      <c r="AM33" s="64" t="s" ph="1">
        <v>383</v>
      </c>
      <c r="AZ33" s="64" t="s" ph="1">
        <v>260</v>
      </c>
      <c r="BA33" s="64" ph="1">
        <v>730</v>
      </c>
      <c r="BD33" s="64" t="s" ph="1">
        <v>334</v>
      </c>
      <c r="BE33" s="64" ph="1">
        <v>3880</v>
      </c>
    </row>
    <row r="34" spans="1:57" ph="1">
      <c r="A34" s="64"/>
      <c r="B34" s="206" ph="1"/>
      <c r="C34" s="207" ph="1"/>
      <c r="D34" s="185" ph="1"/>
      <c r="E34" s="185" ph="1"/>
      <c r="F34" s="209" ph="1"/>
      <c r="G34" s="211" ph="1"/>
      <c r="H34" s="185" ph="1"/>
      <c r="I34" s="189" ph="1"/>
      <c r="J34" s="193" ph="1"/>
      <c r="K34" s="185" ph="1"/>
      <c r="L34" s="195" ph="1"/>
      <c r="M34" s="193" ph="1"/>
      <c r="N34" s="185" ph="1"/>
      <c r="O34" s="189" ph="1"/>
      <c r="P34" s="193" ph="1"/>
      <c r="Q34" s="185" ph="1"/>
      <c r="R34" s="189" ph="1"/>
      <c r="S34" s="193" ph="1"/>
      <c r="T34" s="185"/>
      <c r="U34" s="174"/>
      <c r="V34" s="187" ph="1"/>
      <c r="W34" s="187" ph="1"/>
      <c r="X34" s="189" ph="1"/>
      <c r="Y34" s="191" ph="1"/>
      <c r="Z34" s="172" ph="1"/>
      <c r="AA34" s="174" ph="1"/>
      <c r="AB34" s="176"/>
      <c r="AC34" s="178"/>
      <c r="AD34" s="181"/>
      <c r="AE34" s="182"/>
      <c r="AH34" s="64" ph="1">
        <v>20</v>
      </c>
      <c r="AI34" s="64" t="s" ph="1">
        <v>403</v>
      </c>
      <c r="AJ34" s="64" t="s" ph="1">
        <v>637</v>
      </c>
      <c r="AK34" s="64" t="s" ph="1">
        <v>633</v>
      </c>
      <c r="AL34" s="64" ph="1">
        <v>720</v>
      </c>
      <c r="AM34" s="64" t="s" ph="1">
        <v>383</v>
      </c>
      <c r="AZ34" s="64" t="s" ph="1">
        <v>260</v>
      </c>
      <c r="BA34" s="64" ph="1">
        <v>720</v>
      </c>
    </row>
    <row r="35" spans="1:57" ph="1">
      <c r="A35" s="64"/>
      <c r="AC35" s="183" t="s" ph="1">
        <v>84</v>
      </c>
      <c r="AD35" s="183"/>
      <c r="AE35" s="183"/>
      <c r="AH35" s="64" ph="1">
        <v>21</v>
      </c>
      <c r="AI35" s="64" t="s" ph="1">
        <v>404</v>
      </c>
      <c r="AZ35" s="64" t="s" ph="1">
        <v>260</v>
      </c>
      <c r="BA35" s="64" ph="1">
        <v>0</v>
      </c>
      <c r="BD35" s="64" t="s" ph="1">
        <v>405</v>
      </c>
      <c r="BE35" s="64" ph="1">
        <v>2030</v>
      </c>
    </row>
    <row r="36" spans="1:57" ht="28.5" ph="1">
      <c r="A36" s="64"/>
      <c r="B36" s="103" t="s" ph="1">
        <v>216</v>
      </c>
      <c r="I36" s="169" t="s" ph="1">
        <v>217</v>
      </c>
      <c r="J36" s="169" ph="1"/>
      <c r="K36" s="101" ph="1"/>
      <c r="P36" s="101" ph="1"/>
      <c r="R36" s="169" t="s" ph="1">
        <v>218</v>
      </c>
      <c r="S36" s="169" ph="1"/>
      <c r="Y36" s="102" ph="1"/>
      <c r="Z36" s="149" t="s" ph="1">
        <v>219</v>
      </c>
      <c r="AA36" s="149" ph="1"/>
      <c r="AB36" s="170" t="s" ph="1">
        <v>655</v>
      </c>
      <c r="AC36" s="170" ph="1"/>
      <c r="AD36" s="170" ph="1"/>
      <c r="AE36" s="170" ph="1"/>
      <c r="BA36" s="64" ph="1">
        <v>2270</v>
      </c>
    </row>
    <row r="37" spans="1:57" s="14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9" t="s" ph="1">
        <v>386</v>
      </c>
      <c r="AI37" s="149" t="s" ph="1">
        <v>253</v>
      </c>
      <c r="AJ37" s="149" t="s" ph="1">
        <v>254</v>
      </c>
      <c r="AK37" s="149" t="s" ph="1">
        <v>255</v>
      </c>
      <c r="AM37" s="149" t="s" ph="1">
        <v>254</v>
      </c>
      <c r="AN37" s="149" t="s" ph="1">
        <v>255</v>
      </c>
      <c r="AO37" s="149" t="s" ph="1">
        <v>256</v>
      </c>
      <c r="AP37" s="149" t="s" ph="1">
        <v>254</v>
      </c>
      <c r="AQ37" s="149" t="s" ph="1">
        <v>255</v>
      </c>
      <c r="AR37" s="149" t="s" ph="1">
        <v>256</v>
      </c>
      <c r="AS37" s="149" t="s" ph="1">
        <v>254</v>
      </c>
      <c r="AT37" s="149" t="s" ph="1">
        <v>255</v>
      </c>
      <c r="AU37" s="149" t="s" ph="1">
        <v>256</v>
      </c>
      <c r="AV37" s="149" t="s" ph="1">
        <v>254</v>
      </c>
      <c r="AW37" s="149" t="s" ph="1">
        <v>255</v>
      </c>
      <c r="AX37" s="149" t="s" ph="1">
        <v>256</v>
      </c>
      <c r="AY37" s="149" t="s" ph="1">
        <v>255</v>
      </c>
      <c r="AZ37" s="149" t="s" ph="1">
        <v>257</v>
      </c>
      <c r="BD37" s="149" t="s" ph="1">
        <v>349</v>
      </c>
      <c r="BE37" s="149" ph="1">
        <v>0</v>
      </c>
    </row>
    <row r="38" spans="1:57" ph="1">
      <c r="AE38" s="64" ph="1"/>
      <c r="AH38" s="64" ph="1">
        <v>1</v>
      </c>
      <c r="AI38" s="64" t="s" ph="1">
        <v>406</v>
      </c>
      <c r="AY38" s="64" t="s" ph="1">
        <v>260</v>
      </c>
      <c r="AZ38" s="64" t="s" ph="1">
        <v>411</v>
      </c>
    </row>
    <row r="39" spans="1:57" ph="1">
      <c r="AH39" s="64" ph="1">
        <v>2</v>
      </c>
      <c r="AI39" s="64" t="s" ph="1">
        <v>408</v>
      </c>
      <c r="AJ39" s="64" t="s" ph="1">
        <v>380</v>
      </c>
      <c r="AK39" s="64" t="s" ph="1">
        <v>409</v>
      </c>
      <c r="AM39" s="64" t="s" ph="1">
        <v>614</v>
      </c>
      <c r="AN39" s="64" t="s" ph="1">
        <v>272</v>
      </c>
      <c r="AO39" s="64" t="s" ph="1">
        <v>407</v>
      </c>
      <c r="AY39" s="64" t="s" ph="1">
        <v>260</v>
      </c>
      <c r="AZ39" s="64" t="s" ph="1">
        <v>543</v>
      </c>
    </row>
    <row r="40" spans="1:57" ph="1">
      <c r="AH40" s="64" ph="1">
        <v>3</v>
      </c>
      <c r="AI40" s="64" t="s" ph="1">
        <v>410</v>
      </c>
      <c r="AJ40" s="64" t="s" ph="1">
        <v>614</v>
      </c>
      <c r="AK40" s="64" t="s" ph="1">
        <v>615</v>
      </c>
      <c r="AY40" s="64" t="s" ph="1">
        <v>260</v>
      </c>
      <c r="AZ40" s="64" t="s" ph="1">
        <v>615</v>
      </c>
    </row>
    <row r="41" spans="1:57" ph="1">
      <c r="AH41" s="64" ph="1">
        <v>4</v>
      </c>
      <c r="AI41" s="64" t="s" ph="1">
        <v>412</v>
      </c>
      <c r="AJ41" s="64" t="s" ph="1">
        <v>616</v>
      </c>
      <c r="AK41" s="64" t="s" ph="1">
        <v>617</v>
      </c>
      <c r="AM41" s="64" t="s" ph="1">
        <v>618</v>
      </c>
      <c r="AY41" s="64" t="s" ph="1">
        <v>260</v>
      </c>
      <c r="AZ41" s="64" t="s" ph="1">
        <v>617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413</v>
      </c>
      <c r="AY42" s="64" t="s" ph="1">
        <v>260</v>
      </c>
      <c r="AZ42" s="64" t="s" ph="1">
        <v>411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414</v>
      </c>
      <c r="AY43" s="64" t="s" ph="1">
        <v>260</v>
      </c>
      <c r="AZ43" s="64" t="s" ph="1">
        <v>411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415</v>
      </c>
      <c r="AV44" s="64" t="s" ph="1">
        <v>261</v>
      </c>
      <c r="AY44" s="64" t="s" ph="1">
        <v>260</v>
      </c>
      <c r="AZ44" s="64" t="s" ph="1">
        <v>411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416</v>
      </c>
      <c r="AV45" s="64" t="s" ph="1">
        <v>261</v>
      </c>
      <c r="AY45" s="64" t="s" ph="1">
        <v>260</v>
      </c>
      <c r="AZ45" s="64" t="s" ph="1">
        <v>411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417</v>
      </c>
      <c r="AV46" s="64" t="s" ph="1">
        <v>261</v>
      </c>
      <c r="AY46" s="64" t="s" ph="1">
        <v>260</v>
      </c>
      <c r="AZ46" s="64" t="s" ph="1">
        <v>411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418</v>
      </c>
      <c r="AV47" s="64" t="s" ph="1">
        <v>261</v>
      </c>
      <c r="AY47" s="64" t="s" ph="1">
        <v>260</v>
      </c>
      <c r="AZ47" s="64" t="s" ph="1">
        <v>411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619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276</v>
      </c>
      <c r="AI49" s="64" t="s" ph="1">
        <v>253</v>
      </c>
      <c r="AJ49" s="64" t="s" ph="1">
        <v>254</v>
      </c>
      <c r="AK49" s="64" t="s" ph="1">
        <v>255</v>
      </c>
      <c r="AM49" s="64" t="s" ph="1">
        <v>254</v>
      </c>
      <c r="AN49" s="64" t="s" ph="1">
        <v>255</v>
      </c>
      <c r="AO49" s="64" t="s" ph="1">
        <v>256</v>
      </c>
      <c r="AP49" s="64" t="s" ph="1">
        <v>254</v>
      </c>
      <c r="AQ49" s="64" t="s" ph="1">
        <v>255</v>
      </c>
      <c r="AR49" s="64" t="s" ph="1">
        <v>256</v>
      </c>
      <c r="AS49" s="64" t="s" ph="1">
        <v>254</v>
      </c>
      <c r="AT49" s="64" t="s" ph="1">
        <v>255</v>
      </c>
      <c r="AU49" s="64" t="s" ph="1">
        <v>256</v>
      </c>
      <c r="AV49" s="64" t="s" ph="1">
        <v>254</v>
      </c>
      <c r="AW49" s="64" t="s" ph="1">
        <v>255</v>
      </c>
      <c r="AX49" s="64" t="s" ph="1">
        <v>256</v>
      </c>
      <c r="AY49" s="64" t="s" ph="1">
        <v>255</v>
      </c>
      <c r="AZ49" s="64" t="s" ph="1">
        <v>257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419</v>
      </c>
      <c r="AY50" s="64" t="s" ph="1">
        <v>260</v>
      </c>
      <c r="AZ50" s="64" t="s" ph="1">
        <v>411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420</v>
      </c>
      <c r="AY51" s="64" t="s" ph="1">
        <v>260</v>
      </c>
      <c r="AZ51" s="64" t="s" ph="1">
        <v>411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421</v>
      </c>
      <c r="AJ52" s="64" t="s" ph="1">
        <v>378</v>
      </c>
      <c r="AK52" s="64" t="s" ph="1">
        <v>272</v>
      </c>
      <c r="AM52" s="64" t="s" ph="1">
        <v>380</v>
      </c>
      <c r="AN52" s="64" t="s" ph="1">
        <v>344</v>
      </c>
      <c r="AO52" s="64" t="s" ph="1">
        <v>277</v>
      </c>
      <c r="AP52" s="64" t="s" ph="1">
        <v>614</v>
      </c>
      <c r="AQ52" s="64" t="s" ph="1">
        <v>326</v>
      </c>
      <c r="AR52" s="64" t="s" ph="1">
        <v>277</v>
      </c>
      <c r="AY52" s="64" t="s" ph="1">
        <v>260</v>
      </c>
      <c r="AZ52" s="64" t="s" ph="1">
        <v>620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422</v>
      </c>
      <c r="AY53" s="64" t="s" ph="1">
        <v>260</v>
      </c>
      <c r="AZ53" s="64" t="s" ph="1">
        <v>411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423</v>
      </c>
      <c r="AJ54" s="64" t="s" ph="1">
        <v>378</v>
      </c>
      <c r="AK54" s="64" t="s" ph="1">
        <v>263</v>
      </c>
      <c r="AM54" s="64" t="s" ph="1">
        <v>380</v>
      </c>
      <c r="AN54" s="64" t="s" ph="1">
        <v>268</v>
      </c>
      <c r="AO54" s="64" t="s" ph="1">
        <v>277</v>
      </c>
      <c r="AP54" s="64" t="s" ph="1">
        <v>614</v>
      </c>
      <c r="AQ54" s="64" t="s" ph="1">
        <v>284</v>
      </c>
      <c r="AR54" s="64" t="s" ph="1">
        <v>277</v>
      </c>
      <c r="AY54" s="64" t="s" ph="1">
        <v>260</v>
      </c>
      <c r="AZ54" s="64" t="s" ph="1">
        <v>278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424</v>
      </c>
      <c r="AY55" s="64" t="s" ph="1">
        <v>260</v>
      </c>
      <c r="AZ55" s="64" t="s" ph="1">
        <v>411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425</v>
      </c>
      <c r="AY56" s="64" t="s" ph="1">
        <v>260</v>
      </c>
      <c r="AZ56" s="64" t="s" ph="1">
        <v>411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426</v>
      </c>
      <c r="AY57" s="64" t="s" ph="1">
        <v>260</v>
      </c>
      <c r="AZ57" s="64" t="s" ph="1">
        <v>411</v>
      </c>
    </row>
    <row r="58" spans="16:52" ph="1">
      <c r="P58" s="64"/>
      <c r="AN58" s="64" t="s" ph="1">
        <v>261</v>
      </c>
      <c r="AZ58" s="64" t="s" ph="1">
        <v>621</v>
      </c>
    </row>
    <row r="59" spans="16:52" ph="1">
      <c r="V59" s="64"/>
      <c r="AG59" s="64" t="s" ph="1">
        <v>279</v>
      </c>
      <c r="AI59" s="64" t="s" ph="1">
        <v>253</v>
      </c>
      <c r="AJ59" s="64" t="s" ph="1">
        <v>254</v>
      </c>
      <c r="AK59" s="64" t="s" ph="1">
        <v>255</v>
      </c>
      <c r="AM59" s="64" t="s" ph="1">
        <v>254</v>
      </c>
      <c r="AN59" s="64" t="s" ph="1">
        <v>255</v>
      </c>
      <c r="AO59" s="64" t="s" ph="1">
        <v>256</v>
      </c>
      <c r="AP59" s="64" t="s" ph="1">
        <v>254</v>
      </c>
      <c r="AQ59" s="64" t="s" ph="1">
        <v>255</v>
      </c>
      <c r="AR59" s="64" t="s" ph="1">
        <v>256</v>
      </c>
      <c r="AS59" s="64" t="s" ph="1">
        <v>254</v>
      </c>
      <c r="AT59" s="64" t="s" ph="1">
        <v>255</v>
      </c>
      <c r="AU59" s="64" t="s" ph="1">
        <v>256</v>
      </c>
      <c r="AV59" s="64" t="s" ph="1">
        <v>254</v>
      </c>
      <c r="AW59" s="64" t="s" ph="1">
        <v>255</v>
      </c>
      <c r="AX59" s="64" t="s" ph="1">
        <v>256</v>
      </c>
      <c r="AY59" s="64" t="s" ph="1">
        <v>255</v>
      </c>
      <c r="AZ59" s="64" t="s" ph="1">
        <v>257</v>
      </c>
    </row>
    <row r="60" spans="16:52" ph="1">
      <c r="R60" s="64"/>
      <c r="S60" s="64"/>
      <c r="T60" s="64"/>
      <c r="AH60" s="64" ph="1">
        <v>1</v>
      </c>
      <c r="AI60" s="64" t="s" ph="1">
        <v>427</v>
      </c>
      <c r="AY60" s="64" t="s" ph="1">
        <v>260</v>
      </c>
      <c r="AZ60" s="64" t="s" ph="1">
        <v>411</v>
      </c>
    </row>
    <row r="61" spans="16:52" ph="1">
      <c r="AH61" s="64" ph="1">
        <v>2</v>
      </c>
      <c r="AI61" s="64" t="s" ph="1">
        <v>428</v>
      </c>
      <c r="AS61" s="64" t="s" ph="1">
        <v>261</v>
      </c>
      <c r="AY61" s="64" t="s" ph="1">
        <v>260</v>
      </c>
      <c r="AZ61" s="64" t="s" ph="1">
        <v>411</v>
      </c>
    </row>
    <row r="62" spans="16:52" ph="1">
      <c r="AZ62" s="64" t="s" ph="1">
        <v>429</v>
      </c>
    </row>
    <row r="63" spans="16:52" ph="1">
      <c r="AG63" s="64" t="s" ph="1">
        <v>282</v>
      </c>
      <c r="AI63" s="64" t="s" ph="1">
        <v>253</v>
      </c>
      <c r="AJ63" s="64" t="s" ph="1">
        <v>254</v>
      </c>
      <c r="AK63" s="64" t="s" ph="1">
        <v>255</v>
      </c>
      <c r="AM63" s="64" t="s" ph="1">
        <v>254</v>
      </c>
      <c r="AN63" s="64" t="s" ph="1">
        <v>255</v>
      </c>
      <c r="AO63" s="64" t="s" ph="1">
        <v>256</v>
      </c>
      <c r="AP63" s="64" t="s" ph="1">
        <v>254</v>
      </c>
      <c r="AQ63" s="64" t="s" ph="1">
        <v>255</v>
      </c>
      <c r="AR63" s="64" t="s" ph="1">
        <v>256</v>
      </c>
      <c r="AS63" s="64" t="s" ph="1">
        <v>254</v>
      </c>
      <c r="AT63" s="64" t="s" ph="1">
        <v>255</v>
      </c>
      <c r="AU63" s="64" t="s" ph="1">
        <v>256</v>
      </c>
      <c r="AV63" s="64" t="s" ph="1">
        <v>254</v>
      </c>
      <c r="AW63" s="64" t="s" ph="1">
        <v>255</v>
      </c>
      <c r="AX63" s="64" t="s" ph="1">
        <v>256</v>
      </c>
      <c r="AY63" s="64" t="s" ph="1">
        <v>255</v>
      </c>
      <c r="AZ63" s="64" t="s" ph="1">
        <v>257</v>
      </c>
    </row>
    <row r="64" spans="16:52" ph="1">
      <c r="AH64" s="64" ph="1">
        <v>1</v>
      </c>
      <c r="AI64" s="64" t="s" ph="1">
        <v>430</v>
      </c>
      <c r="AJ64" s="64" t="s" ph="1">
        <v>431</v>
      </c>
      <c r="AK64" s="64" t="s" ph="1">
        <v>432</v>
      </c>
      <c r="AY64" s="64" t="s" ph="1">
        <v>260</v>
      </c>
      <c r="AZ64" s="64" t="s" ph="1">
        <v>432</v>
      </c>
    </row>
    <row r="65" spans="33:52" ph="1">
      <c r="AH65" s="64" ph="1">
        <v>2</v>
      </c>
      <c r="AI65" s="64" t="s" ph="1">
        <v>433</v>
      </c>
      <c r="AY65" s="64" t="s" ph="1">
        <v>260</v>
      </c>
      <c r="AZ65" s="64" t="s" ph="1">
        <v>411</v>
      </c>
    </row>
    <row r="66" spans="33:52" ph="1">
      <c r="AH66" s="64" ph="1">
        <v>3</v>
      </c>
      <c r="AI66" s="64" t="s" ph="1">
        <v>434</v>
      </c>
      <c r="AY66" s="64" t="s" ph="1">
        <v>260</v>
      </c>
      <c r="AZ66" s="64" t="s" ph="1">
        <v>411</v>
      </c>
    </row>
    <row r="67" spans="33:52" ph="1">
      <c r="AH67" s="64" ph="1">
        <v>4</v>
      </c>
      <c r="AI67" s="64" t="s" ph="1">
        <v>435</v>
      </c>
      <c r="AY67" s="64" t="s" ph="1">
        <v>260</v>
      </c>
      <c r="AZ67" s="64" t="s" ph="1">
        <v>411</v>
      </c>
    </row>
    <row r="68" spans="33:52" ph="1">
      <c r="AH68" s="64" ph="1">
        <v>5</v>
      </c>
      <c r="AI68" s="64" t="s" ph="1">
        <v>436</v>
      </c>
      <c r="AY68" s="64" t="s" ph="1">
        <v>260</v>
      </c>
      <c r="AZ68" s="64" t="s" ph="1">
        <v>411</v>
      </c>
    </row>
    <row r="69" spans="33:52" ph="1">
      <c r="AH69" s="64" ph="1">
        <v>6</v>
      </c>
      <c r="AI69" s="64" t="s" ph="1">
        <v>437</v>
      </c>
      <c r="AY69" s="64" t="s" ph="1">
        <v>260</v>
      </c>
      <c r="AZ69" s="64" t="s" ph="1">
        <v>411</v>
      </c>
    </row>
    <row r="70" spans="33:52" ph="1">
      <c r="AI70" s="64" t="s" ph="1">
        <v>438</v>
      </c>
      <c r="AY70" s="64" t="s" ph="1">
        <v>260</v>
      </c>
      <c r="AZ70" s="64" t="s" ph="1">
        <v>411</v>
      </c>
    </row>
    <row r="71" spans="33:52" ph="1">
      <c r="AH71" s="64" ph="1">
        <v>7</v>
      </c>
      <c r="AI71" s="64" t="s" ph="1">
        <v>439</v>
      </c>
      <c r="AJ71" s="64" t="s" ph="1">
        <v>378</v>
      </c>
      <c r="AK71" s="64" t="s" ph="1">
        <v>272</v>
      </c>
      <c r="AM71" s="64" t="s" ph="1">
        <v>380</v>
      </c>
      <c r="AN71" s="64" t="s" ph="1">
        <v>272</v>
      </c>
      <c r="AO71" s="64" t="s" ph="1">
        <v>440</v>
      </c>
      <c r="AP71" s="64" t="s" ph="1">
        <v>614</v>
      </c>
      <c r="AQ71" s="64" t="s" ph="1">
        <v>263</v>
      </c>
      <c r="AR71" s="64" t="s" ph="1">
        <v>440</v>
      </c>
      <c r="AY71" s="64" t="s" ph="1">
        <v>260</v>
      </c>
      <c r="AZ71" s="64" t="s" ph="1">
        <v>622</v>
      </c>
    </row>
    <row r="72" spans="33:52" ph="1">
      <c r="AZ72" s="64" t="s" ph="1">
        <v>623</v>
      </c>
    </row>
    <row r="73" spans="33:52" ph="1">
      <c r="AG73" s="64" t="s" ph="1">
        <v>285</v>
      </c>
      <c r="AI73" s="64" t="s" ph="1">
        <v>253</v>
      </c>
      <c r="AJ73" s="64" t="s" ph="1">
        <v>254</v>
      </c>
      <c r="AK73" s="64" t="s" ph="1">
        <v>255</v>
      </c>
      <c r="AM73" s="64" t="s" ph="1">
        <v>254</v>
      </c>
      <c r="AN73" s="64" t="s" ph="1">
        <v>255</v>
      </c>
      <c r="AO73" s="64" t="s" ph="1">
        <v>256</v>
      </c>
      <c r="AP73" s="64" t="s" ph="1">
        <v>254</v>
      </c>
      <c r="AQ73" s="64" t="s" ph="1">
        <v>255</v>
      </c>
      <c r="AR73" s="64" t="s" ph="1">
        <v>256</v>
      </c>
      <c r="AS73" s="64" t="s" ph="1">
        <v>254</v>
      </c>
      <c r="AT73" s="64" t="s" ph="1">
        <v>255</v>
      </c>
      <c r="AU73" s="64" t="s" ph="1">
        <v>256</v>
      </c>
      <c r="AV73" s="64" t="s" ph="1">
        <v>254</v>
      </c>
      <c r="AW73" s="64" t="s" ph="1">
        <v>255</v>
      </c>
      <c r="AX73" s="64" t="s" ph="1">
        <v>256</v>
      </c>
      <c r="AY73" s="64" t="s" ph="1">
        <v>255</v>
      </c>
      <c r="AZ73" s="64" t="s" ph="1">
        <v>257</v>
      </c>
    </row>
    <row r="74" spans="33:52" ph="1">
      <c r="AH74" s="64" ph="1">
        <v>1</v>
      </c>
      <c r="AI74" s="64" t="s" ph="1">
        <v>441</v>
      </c>
      <c r="AJ74" s="64" t="s" ph="1">
        <v>286</v>
      </c>
      <c r="AK74" s="64" t="s" ph="1">
        <v>268</v>
      </c>
      <c r="AM74" s="64" t="s" ph="1">
        <v>288</v>
      </c>
      <c r="AN74" s="64" t="s" ph="1">
        <v>298</v>
      </c>
      <c r="AO74" s="64" t="s" ph="1">
        <v>287</v>
      </c>
      <c r="AP74" s="64" t="s" ph="1">
        <v>289</v>
      </c>
      <c r="AQ74" s="64" t="s" ph="1">
        <v>266</v>
      </c>
      <c r="AR74" s="64" t="s" ph="1">
        <v>287</v>
      </c>
      <c r="AS74" s="64" t="s" ph="1">
        <v>259</v>
      </c>
      <c r="AT74" s="64" t="s" ph="1">
        <v>261</v>
      </c>
      <c r="AV74" s="64" t="s" ph="1">
        <v>442</v>
      </c>
      <c r="AW74" s="64" t="s" ph="1">
        <v>443</v>
      </c>
      <c r="AX74" s="64" t="s" ph="1">
        <v>444</v>
      </c>
      <c r="AY74" s="64" t="s" ph="1">
        <v>260</v>
      </c>
      <c r="AZ74" s="64" t="s" ph="1">
        <v>445</v>
      </c>
    </row>
    <row r="75" spans="33:52" ph="1">
      <c r="AJ75" s="64" t="s" ph="1">
        <v>291</v>
      </c>
      <c r="AK75" s="64" t="s" ph="1">
        <v>344</v>
      </c>
      <c r="AM75" s="64" t="s" ph="1">
        <v>289</v>
      </c>
      <c r="AN75" s="64" t="s" ph="1">
        <v>269</v>
      </c>
      <c r="AO75" s="64" t="s" ph="1">
        <v>287</v>
      </c>
      <c r="AS75" s="64" t="s" ph="1">
        <v>259</v>
      </c>
      <c r="AT75" s="64" t="s" ph="1">
        <v>290</v>
      </c>
    </row>
    <row r="76" spans="33:52" ph="1">
      <c r="AJ76" s="64" t="s" ph="1">
        <v>291</v>
      </c>
      <c r="AK76" s="64" t="s" ph="1">
        <v>284</v>
      </c>
      <c r="AM76" s="64" t="s" ph="1">
        <v>289</v>
      </c>
      <c r="AN76" s="64" t="s" ph="1">
        <v>272</v>
      </c>
      <c r="AO76" s="64" t="s" ph="1">
        <v>287</v>
      </c>
      <c r="AS76" s="64" t="s" ph="1">
        <v>259</v>
      </c>
      <c r="AT76" s="64" t="s" ph="1">
        <v>290</v>
      </c>
    </row>
    <row r="77" spans="33:52" ph="1">
      <c r="AJ77" s="64" t="s" ph="1">
        <v>327</v>
      </c>
      <c r="AK77" s="64" t="s" ph="1">
        <v>284</v>
      </c>
      <c r="AM77" s="64" t="s" ph="1">
        <v>328</v>
      </c>
      <c r="AN77" s="64" t="s" ph="1">
        <v>267</v>
      </c>
      <c r="AO77" s="64" t="s" ph="1">
        <v>287</v>
      </c>
      <c r="AS77" s="64" t="s" ph="1">
        <v>259</v>
      </c>
      <c r="AT77" s="64" t="s" ph="1">
        <v>329</v>
      </c>
    </row>
    <row r="78" spans="33:52" ph="1">
      <c r="AH78" s="64" ph="1">
        <v>2</v>
      </c>
      <c r="AI78" s="64" t="s" ph="1">
        <v>293</v>
      </c>
      <c r="AJ78" s="64" t="s" ph="1">
        <v>294</v>
      </c>
      <c r="AK78" s="64" t="s" ph="1">
        <v>263</v>
      </c>
      <c r="AM78" s="64" t="s" ph="1">
        <v>295</v>
      </c>
      <c r="AN78" s="64" t="s" ph="1">
        <v>298</v>
      </c>
      <c r="AO78" s="64" t="s" ph="1">
        <v>287</v>
      </c>
      <c r="AP78" s="64" t="s" ph="1">
        <v>296</v>
      </c>
      <c r="AQ78" s="64" t="s" ph="1">
        <v>342</v>
      </c>
      <c r="AR78" s="64" t="s" ph="1">
        <v>287</v>
      </c>
      <c r="AS78" s="64" t="s" ph="1">
        <v>297</v>
      </c>
      <c r="AT78" s="64" t="s" ph="1">
        <v>298</v>
      </c>
      <c r="AU78" s="64" t="s" ph="1">
        <v>287</v>
      </c>
      <c r="AV78" s="64" t="s" ph="1">
        <v>299</v>
      </c>
      <c r="AW78" s="64" t="s" ph="1">
        <v>287</v>
      </c>
      <c r="AY78" s="64" t="s" ph="1">
        <v>260</v>
      </c>
      <c r="AZ78" s="64" t="s" ph="1">
        <v>446</v>
      </c>
    </row>
    <row r="79" spans="33:52" ph="1">
      <c r="AJ79" s="64" t="s" ph="1">
        <v>289</v>
      </c>
      <c r="AK79" s="64" t="s" ph="1">
        <v>300</v>
      </c>
      <c r="AM79" s="64" t="s" ph="1">
        <v>301</v>
      </c>
      <c r="AN79" s="64" t="s" ph="1">
        <v>269</v>
      </c>
      <c r="AO79" s="64" t="s" ph="1">
        <v>287</v>
      </c>
      <c r="AP79" s="64" t="s" ph="1">
        <v>302</v>
      </c>
      <c r="AQ79" s="64" t="s" ph="1">
        <v>267</v>
      </c>
      <c r="AR79" s="64" t="s" ph="1">
        <v>303</v>
      </c>
      <c r="AS79" s="64" t="s" ph="1">
        <v>259</v>
      </c>
      <c r="AT79" s="64" t="s" ph="1">
        <v>304</v>
      </c>
      <c r="AV79" s="64" t="s" ph="1">
        <v>447</v>
      </c>
      <c r="AW79" s="64" t="s" ph="1">
        <v>346</v>
      </c>
      <c r="AX79" s="64" t="s" ph="1">
        <v>444</v>
      </c>
    </row>
    <row r="80" spans="33:52" ph="1">
      <c r="AH80" s="64" ph="1">
        <v>3</v>
      </c>
      <c r="AI80" s="64" t="s" ph="1">
        <v>305</v>
      </c>
      <c r="AJ80" s="64" t="s" ph="1">
        <v>306</v>
      </c>
      <c r="AK80" s="64" t="s" ph="1">
        <v>307</v>
      </c>
      <c r="AM80" s="64" t="s" ph="1">
        <v>308</v>
      </c>
      <c r="AN80" s="64" t="s" ph="1">
        <v>298</v>
      </c>
      <c r="AO80" s="64" t="s" ph="1">
        <v>287</v>
      </c>
      <c r="AP80" s="64" t="s" ph="1">
        <v>309</v>
      </c>
      <c r="AQ80" s="64" t="s" ph="1">
        <v>272</v>
      </c>
      <c r="AR80" s="64" t="s" ph="1">
        <v>287</v>
      </c>
      <c r="AS80" s="64" t="s" ph="1">
        <v>310</v>
      </c>
      <c r="AT80" s="64" t="s" ph="1">
        <v>271</v>
      </c>
      <c r="AU80" s="64" t="s" ph="1">
        <v>287</v>
      </c>
      <c r="AV80" s="64" t="s" ph="1">
        <v>311</v>
      </c>
      <c r="AW80" s="64" t="s" ph="1">
        <v>287</v>
      </c>
      <c r="AY80" s="64" t="s" ph="1">
        <v>260</v>
      </c>
      <c r="AZ80" s="64" t="s" ph="1">
        <v>448</v>
      </c>
    </row>
    <row r="81" spans="34:52" ph="1">
      <c r="AJ81" s="64" t="s" ph="1">
        <v>312</v>
      </c>
      <c r="AK81" s="64" t="s" ph="1">
        <v>266</v>
      </c>
      <c r="AM81" s="64" t="s" ph="1">
        <v>313</v>
      </c>
      <c r="AN81" s="64" t="s" ph="1">
        <v>269</v>
      </c>
      <c r="AO81" s="64" t="s" ph="1">
        <v>287</v>
      </c>
      <c r="AP81" s="64" t="s" ph="1">
        <v>314</v>
      </c>
      <c r="AQ81" s="64" t="s" ph="1">
        <v>298</v>
      </c>
      <c r="AR81" s="64" t="s" ph="1">
        <v>287</v>
      </c>
      <c r="AS81" s="64" t="s" ph="1">
        <v>315</v>
      </c>
      <c r="AT81" s="64" t="s" ph="1">
        <v>316</v>
      </c>
      <c r="AU81" s="64" t="s" ph="1">
        <v>287</v>
      </c>
      <c r="AV81" s="64" t="s" ph="1">
        <v>317</v>
      </c>
    </row>
    <row r="82" spans="34:52" ph="1">
      <c r="AJ82" s="64" t="s" ph="1">
        <v>318</v>
      </c>
      <c r="AK82" s="64" t="s" ph="1">
        <v>266</v>
      </c>
      <c r="AM82" s="64" t="s" ph="1">
        <v>319</v>
      </c>
      <c r="AN82" s="64" t="s" ph="1">
        <v>316</v>
      </c>
      <c r="AO82" s="64" t="s" ph="1">
        <v>320</v>
      </c>
      <c r="AP82" s="64" t="s" ph="1">
        <v>321</v>
      </c>
      <c r="AQ82" s="64" t="s" ph="1">
        <v>298</v>
      </c>
      <c r="AR82" s="64" t="s" ph="1">
        <v>287</v>
      </c>
      <c r="AS82" s="64" t="s" ph="1">
        <v>322</v>
      </c>
      <c r="AT82" s="64" t="s" ph="1">
        <v>273</v>
      </c>
      <c r="AU82" s="64" t="s" ph="1">
        <v>287</v>
      </c>
      <c r="AV82" s="64" t="s" ph="1">
        <v>447</v>
      </c>
      <c r="AW82" s="64" t="s" ph="1">
        <v>347</v>
      </c>
      <c r="AX82" s="64" t="s" ph="1">
        <v>444</v>
      </c>
    </row>
    <row r="83" spans="34:52" ph="1">
      <c r="AJ83" s="64" t="s" ph="1">
        <v>323</v>
      </c>
      <c r="AK83" s="64" t="s" ph="1">
        <v>340</v>
      </c>
      <c r="AM83" s="64" t="s" ph="1">
        <v>324</v>
      </c>
      <c r="AN83" s="64" t="s" ph="1">
        <v>272</v>
      </c>
      <c r="AO83" s="64" t="s" ph="1">
        <v>303</v>
      </c>
      <c r="AP83" s="64" t="s" ph="1">
        <v>325</v>
      </c>
      <c r="AQ83" s="64" t="s" ph="1">
        <v>326</v>
      </c>
      <c r="AR83" s="64" t="s" ph="1">
        <v>303</v>
      </c>
      <c r="AS83" s="64" t="s" ph="1">
        <v>449</v>
      </c>
      <c r="AT83" s="64" t="s" ph="1">
        <v>298</v>
      </c>
      <c r="AU83" s="64" t="s" ph="1">
        <v>303</v>
      </c>
      <c r="AV83" s="64" t="s" ph="1">
        <v>450</v>
      </c>
      <c r="AW83" s="64" t="s" ph="1">
        <v>347</v>
      </c>
      <c r="AX83" s="64" t="s" ph="1">
        <v>451</v>
      </c>
    </row>
    <row r="84" spans="34:52" ph="1">
      <c r="AH84" s="64" ph="1">
        <v>4</v>
      </c>
      <c r="AI84" s="64" t="s" ph="1">
        <v>330</v>
      </c>
      <c r="AJ84" s="64" t="s" ph="1">
        <v>270</v>
      </c>
      <c r="AK84" s="64" t="s" ph="1">
        <v>273</v>
      </c>
      <c r="AM84" s="64" t="s" ph="1">
        <v>274</v>
      </c>
      <c r="AN84" s="64" t="s" ph="1">
        <v>267</v>
      </c>
      <c r="AO84" s="64" t="s" ph="1">
        <v>303</v>
      </c>
      <c r="AP84" s="64" t="s" ph="1">
        <v>332</v>
      </c>
      <c r="AQ84" s="64" t="s" ph="1">
        <v>266</v>
      </c>
      <c r="AR84" s="64" t="s" ph="1">
        <v>303</v>
      </c>
      <c r="AS84" s="64" t="s" ph="1">
        <v>332</v>
      </c>
      <c r="AT84" s="64" t="s" ph="1">
        <v>268</v>
      </c>
      <c r="AU84" s="64" t="s" ph="1">
        <v>303</v>
      </c>
      <c r="AY84" s="64" t="s" ph="1">
        <v>260</v>
      </c>
      <c r="AZ84" s="64" t="s" ph="1">
        <v>452</v>
      </c>
    </row>
    <row r="85" spans="34:52" ph="1">
      <c r="AJ85" s="64" t="s" ph="1">
        <v>262</v>
      </c>
      <c r="AK85" s="64" t="s" ph="1">
        <v>266</v>
      </c>
      <c r="AM85" s="64" t="s" ph="1">
        <v>453</v>
      </c>
      <c r="AN85" s="64" t="s" ph="1">
        <v>273</v>
      </c>
      <c r="AO85" s="64" t="s" ph="1">
        <v>303</v>
      </c>
      <c r="AP85" s="64" t="s" ph="1">
        <v>454</v>
      </c>
      <c r="AQ85" s="64" t="s" ph="1">
        <v>269</v>
      </c>
      <c r="AR85" s="64" t="s" ph="1">
        <v>303</v>
      </c>
      <c r="AS85" s="64" t="s" ph="1">
        <v>455</v>
      </c>
      <c r="AT85" s="64" t="s" ph="1">
        <v>269</v>
      </c>
      <c r="AU85" s="64" t="s" ph="1">
        <v>303</v>
      </c>
    </row>
    <row r="86" spans="34:52" ph="1">
      <c r="AJ86" s="64" t="s" ph="1">
        <v>456</v>
      </c>
      <c r="AK86" s="64" t="s" ph="1">
        <v>275</v>
      </c>
      <c r="AM86" s="64" t="s" ph="1">
        <v>457</v>
      </c>
      <c r="AN86" s="64" t="s" ph="1">
        <v>316</v>
      </c>
      <c r="AO86" s="64" t="s" ph="1">
        <v>303</v>
      </c>
      <c r="AP86" s="64" t="s" ph="1">
        <v>458</v>
      </c>
      <c r="AQ86" s="64" t="s" ph="1">
        <v>263</v>
      </c>
      <c r="AR86" s="64" t="s" ph="1">
        <v>303</v>
      </c>
      <c r="AS86" s="64" t="s" ph="1">
        <v>459</v>
      </c>
      <c r="AT86" s="64" t="s" ph="1">
        <v>281</v>
      </c>
      <c r="AU86" s="64" t="s" ph="1">
        <v>303</v>
      </c>
    </row>
    <row r="87" spans="34:52" ph="1">
      <c r="AJ87" s="64" t="s" ph="1">
        <v>460</v>
      </c>
      <c r="AK87" s="64" t="s" ph="1">
        <v>316</v>
      </c>
      <c r="AM87" s="64" t="s" ph="1">
        <v>447</v>
      </c>
      <c r="AN87" s="64" t="s" ph="1">
        <v>461</v>
      </c>
      <c r="AO87" s="64" t="s" ph="1">
        <v>444</v>
      </c>
    </row>
    <row r="88" spans="34:52" ph="1">
      <c r="AH88" s="64" ph="1">
        <v>5</v>
      </c>
      <c r="AI88" s="64" t="s" ph="1">
        <v>333</v>
      </c>
      <c r="AJ88" s="64" t="s" ph="1">
        <v>462</v>
      </c>
      <c r="AK88" s="64" t="s" ph="1">
        <v>316</v>
      </c>
      <c r="AM88" s="64" t="s" ph="1">
        <v>463</v>
      </c>
      <c r="AN88" s="64" t="s" ph="1">
        <v>316</v>
      </c>
      <c r="AO88" s="64" t="s" ph="1">
        <v>303</v>
      </c>
      <c r="AP88" s="64" t="s" ph="1">
        <v>464</v>
      </c>
      <c r="AQ88" s="64" t="s" ph="1">
        <v>266</v>
      </c>
      <c r="AR88" s="64" t="s" ph="1">
        <v>303</v>
      </c>
      <c r="AS88" s="64" t="s" ph="1">
        <v>465</v>
      </c>
      <c r="AT88" s="64" t="s" ph="1">
        <v>316</v>
      </c>
      <c r="AU88" s="64" t="s" ph="1">
        <v>303</v>
      </c>
      <c r="AV88" s="64" t="s" ph="1">
        <v>466</v>
      </c>
      <c r="AW88" s="64" t="s" ph="1">
        <v>271</v>
      </c>
      <c r="AX88" s="64" t="s" ph="1">
        <v>303</v>
      </c>
      <c r="AY88" s="64" t="s" ph="1">
        <v>260</v>
      </c>
      <c r="AZ88" s="64" t="s" ph="1">
        <v>467</v>
      </c>
    </row>
    <row r="89" spans="34:52" ph="1">
      <c r="AJ89" s="64" t="s" ph="1">
        <v>468</v>
      </c>
      <c r="AK89" s="64" t="s" ph="1">
        <v>269</v>
      </c>
      <c r="AM89" s="64" t="s" ph="1">
        <v>469</v>
      </c>
      <c r="AN89" s="64" t="s" ph="1">
        <v>272</v>
      </c>
      <c r="AO89" s="64" t="s" ph="1">
        <v>303</v>
      </c>
      <c r="AP89" s="64" t="s" ph="1">
        <v>470</v>
      </c>
      <c r="AQ89" s="64" t="s" ph="1">
        <v>281</v>
      </c>
      <c r="AR89" s="64" t="s" ph="1">
        <v>303</v>
      </c>
      <c r="AS89" s="64" t="s" ph="1">
        <v>471</v>
      </c>
      <c r="AT89" s="64" t="s" ph="1">
        <v>316</v>
      </c>
      <c r="AU89" s="64" t="s" ph="1">
        <v>303</v>
      </c>
      <c r="AV89" s="64" t="s" ph="1">
        <v>472</v>
      </c>
      <c r="AW89" s="64" t="s" ph="1">
        <v>298</v>
      </c>
      <c r="AX89" s="64" t="s" ph="1">
        <v>331</v>
      </c>
    </row>
    <row r="90" spans="34:52" ph="1">
      <c r="AJ90" s="64" t="s" ph="1">
        <v>473</v>
      </c>
      <c r="AK90" s="64" t="s" ph="1">
        <v>272</v>
      </c>
      <c r="AM90" s="64" t="s" ph="1">
        <v>474</v>
      </c>
      <c r="AN90" s="64" t="s" ph="1">
        <v>269</v>
      </c>
      <c r="AO90" s="64" t="s" ph="1">
        <v>303</v>
      </c>
      <c r="AP90" s="64" t="s" ph="1">
        <v>475</v>
      </c>
      <c r="AQ90" s="64" t="s" ph="1">
        <v>338</v>
      </c>
      <c r="AR90" s="64" t="s" ph="1">
        <v>303</v>
      </c>
      <c r="AS90" s="64" t="s" ph="1">
        <v>476</v>
      </c>
      <c r="AT90" s="64" t="s" ph="1">
        <v>326</v>
      </c>
      <c r="AU90" s="64" t="s" ph="1">
        <v>303</v>
      </c>
      <c r="AV90" s="64" t="s" ph="1">
        <v>477</v>
      </c>
      <c r="AW90" s="64" t="s" ph="1">
        <v>263</v>
      </c>
      <c r="AX90" s="64" t="s" ph="1">
        <v>303</v>
      </c>
    </row>
    <row r="91" spans="34:52" ph="1">
      <c r="AJ91" s="64" t="s" ph="1">
        <v>478</v>
      </c>
      <c r="AK91" s="64" t="s" ph="1">
        <v>316</v>
      </c>
      <c r="AM91" s="64" t="s" ph="1">
        <v>479</v>
      </c>
      <c r="AN91" s="64" t="s" ph="1">
        <v>283</v>
      </c>
      <c r="AO91" s="64" t="s" ph="1">
        <v>303</v>
      </c>
      <c r="AP91" s="64" t="s" ph="1">
        <v>480</v>
      </c>
      <c r="AQ91" s="64" t="s" ph="1">
        <v>263</v>
      </c>
      <c r="AS91" s="64" t="s" ph="1">
        <v>447</v>
      </c>
      <c r="AT91" s="64" t="s" ph="1">
        <v>443</v>
      </c>
      <c r="AU91" s="64" t="s" ph="1">
        <v>444</v>
      </c>
    </row>
    <row r="92" spans="34:52" ph="1">
      <c r="AH92" s="64" ph="1">
        <v>6</v>
      </c>
      <c r="AI92" s="64" t="s" ph="1">
        <v>481</v>
      </c>
      <c r="AJ92" s="64" t="s" ph="1">
        <v>482</v>
      </c>
      <c r="AK92" s="64" t="s" ph="1">
        <v>411</v>
      </c>
      <c r="AM92" s="64" t="s" ph="1">
        <v>483</v>
      </c>
      <c r="AN92" s="64" t="s" ph="1">
        <v>271</v>
      </c>
      <c r="AO92" s="64" t="s" ph="1">
        <v>303</v>
      </c>
      <c r="AP92" s="64" t="s" ph="1">
        <v>484</v>
      </c>
      <c r="AQ92" s="64" t="s" ph="1">
        <v>343</v>
      </c>
      <c r="AR92" s="64" t="s" ph="1">
        <v>303</v>
      </c>
      <c r="AS92" s="64" t="s" ph="1">
        <v>485</v>
      </c>
      <c r="AT92" s="64" t="s" ph="1">
        <v>316</v>
      </c>
      <c r="AU92" s="64" t="s" ph="1">
        <v>303</v>
      </c>
      <c r="AV92" s="64" t="s" ph="1">
        <v>486</v>
      </c>
      <c r="AW92" s="64" t="s" ph="1">
        <v>272</v>
      </c>
      <c r="AX92" s="64" t="s" ph="1">
        <v>303</v>
      </c>
      <c r="AY92" s="64" t="s" ph="1">
        <v>260</v>
      </c>
      <c r="AZ92" s="64" t="s" ph="1">
        <v>467</v>
      </c>
    </row>
    <row r="93" spans="34:52" ph="1">
      <c r="AJ93" s="64" t="s" ph="1">
        <v>487</v>
      </c>
      <c r="AK93" s="64" t="s" ph="1">
        <v>266</v>
      </c>
      <c r="AM93" s="64" t="s" ph="1">
        <v>488</v>
      </c>
      <c r="AN93" s="64" t="s" ph="1">
        <v>271</v>
      </c>
      <c r="AO93" s="64" t="s" ph="1">
        <v>303</v>
      </c>
      <c r="AP93" s="64" t="s" ph="1">
        <v>489</v>
      </c>
      <c r="AQ93" s="64" t="s" ph="1">
        <v>275</v>
      </c>
      <c r="AR93" s="64" t="s" ph="1">
        <v>303</v>
      </c>
      <c r="AS93" s="64" t="s" ph="1">
        <v>490</v>
      </c>
      <c r="AT93" s="64" t="s" ph="1">
        <v>281</v>
      </c>
      <c r="AU93" s="64" t="s" ph="1">
        <v>303</v>
      </c>
      <c r="AV93" s="64" t="s" ph="1">
        <v>491</v>
      </c>
      <c r="AW93" s="64" t="s" ph="1">
        <v>275</v>
      </c>
      <c r="AX93" s="64" t="s" ph="1">
        <v>303</v>
      </c>
    </row>
    <row r="94" spans="34:52" ph="1">
      <c r="AJ94" s="64" t="s" ph="1">
        <v>492</v>
      </c>
      <c r="AK94" s="64" t="s" ph="1">
        <v>338</v>
      </c>
      <c r="AM94" s="64" t="s" ph="1">
        <v>493</v>
      </c>
      <c r="AN94" s="64" t="s" ph="1">
        <v>275</v>
      </c>
      <c r="AO94" s="64" t="s" ph="1">
        <v>303</v>
      </c>
      <c r="AP94" s="64" t="s" ph="1">
        <v>494</v>
      </c>
      <c r="AQ94" s="64" t="s" ph="1">
        <v>283</v>
      </c>
      <c r="AR94" s="64" t="s" ph="1">
        <v>303</v>
      </c>
      <c r="AS94" s="64" t="s" ph="1">
        <v>495</v>
      </c>
      <c r="AT94" s="64" t="s" ph="1">
        <v>269</v>
      </c>
      <c r="AU94" s="64" t="s" ph="1">
        <v>303</v>
      </c>
      <c r="AV94" s="64" t="s" ph="1">
        <v>496</v>
      </c>
      <c r="AW94" s="64" t="s" ph="1">
        <v>269</v>
      </c>
      <c r="AX94" s="64" t="s" ph="1">
        <v>303</v>
      </c>
    </row>
    <row r="95" spans="34:52" ph="1">
      <c r="AJ95" s="64" t="s" ph="1">
        <v>497</v>
      </c>
      <c r="AK95" s="64" t="s" ph="1">
        <v>343</v>
      </c>
    </row>
    <row r="96" spans="34:52" ph="1">
      <c r="AH96" s="64" ph="1">
        <v>7</v>
      </c>
      <c r="AI96" s="64" t="s" ph="1">
        <v>498</v>
      </c>
      <c r="AJ96" s="64" t="s" ph="1">
        <v>497</v>
      </c>
      <c r="AK96" s="64" t="s" ph="1">
        <v>298</v>
      </c>
      <c r="AM96" s="64" t="s" ph="1">
        <v>499</v>
      </c>
      <c r="AN96" s="64" t="s" ph="1">
        <v>272</v>
      </c>
      <c r="AO96" s="64" t="s" ph="1">
        <v>303</v>
      </c>
      <c r="AP96" s="64" t="s" ph="1">
        <v>500</v>
      </c>
      <c r="AQ96" s="64" t="s" ph="1">
        <v>316</v>
      </c>
      <c r="AR96" s="64" t="s" ph="1">
        <v>331</v>
      </c>
      <c r="AS96" s="64" t="s" ph="1">
        <v>501</v>
      </c>
      <c r="AT96" s="64" t="s" ph="1">
        <v>275</v>
      </c>
      <c r="AU96" s="64" t="s" ph="1">
        <v>331</v>
      </c>
      <c r="AV96" s="64" t="s" ph="1">
        <v>502</v>
      </c>
      <c r="AW96" s="64" t="s" ph="1">
        <v>271</v>
      </c>
      <c r="AX96" s="64" t="s" ph="1">
        <v>331</v>
      </c>
      <c r="AY96" s="64" t="s" ph="1">
        <v>260</v>
      </c>
      <c r="AZ96" s="64" t="s" ph="1">
        <v>503</v>
      </c>
    </row>
    <row r="97" spans="33:52" ph="1">
      <c r="AJ97" s="64" t="s" ph="1">
        <v>504</v>
      </c>
      <c r="AK97" s="64" t="s" ph="1">
        <v>326</v>
      </c>
      <c r="AM97" s="64" t="s" ph="1">
        <v>505</v>
      </c>
      <c r="AN97" s="64" t="s" ph="1">
        <v>269</v>
      </c>
      <c r="AO97" s="64" t="s" ph="1">
        <v>303</v>
      </c>
      <c r="AP97" s="64" t="s" ph="1">
        <v>506</v>
      </c>
      <c r="AQ97" s="64" t="s" ph="1">
        <v>263</v>
      </c>
      <c r="AR97" s="64" t="s" ph="1">
        <v>331</v>
      </c>
      <c r="AS97" s="64" t="s" ph="1">
        <v>507</v>
      </c>
      <c r="AT97" s="64" t="s" ph="1">
        <v>266</v>
      </c>
      <c r="AU97" s="64" t="s" ph="1">
        <v>331</v>
      </c>
      <c r="AV97" s="64" t="s" ph="1">
        <v>508</v>
      </c>
      <c r="AW97" s="64" t="s" ph="1">
        <v>272</v>
      </c>
      <c r="AX97" s="64" t="s" ph="1">
        <v>331</v>
      </c>
    </row>
    <row r="98" spans="33:52" ph="1">
      <c r="AJ98" s="64" t="s" ph="1">
        <v>509</v>
      </c>
      <c r="AK98" s="64" t="s" ph="1">
        <v>275</v>
      </c>
      <c r="AM98" s="64" t="s" ph="1">
        <v>510</v>
      </c>
      <c r="AN98" s="64" t="s" ph="1">
        <v>283</v>
      </c>
      <c r="AO98" s="64" t="s" ph="1">
        <v>303</v>
      </c>
      <c r="AP98" s="64" t="s" ph="1">
        <v>511</v>
      </c>
      <c r="AQ98" s="64" t="s" ph="1">
        <v>263</v>
      </c>
      <c r="AR98" s="64" t="s" ph="1">
        <v>331</v>
      </c>
      <c r="AS98" s="64" t="s" ph="1">
        <v>512</v>
      </c>
      <c r="AT98" s="64" t="s" ph="1">
        <v>343</v>
      </c>
      <c r="AU98" s="64" t="s" ph="1">
        <v>331</v>
      </c>
      <c r="AV98" s="64" t="s" ph="1">
        <v>513</v>
      </c>
      <c r="AW98" s="64" t="s" ph="1">
        <v>266</v>
      </c>
      <c r="AX98" s="64" t="s" ph="1">
        <v>331</v>
      </c>
    </row>
    <row r="99" spans="33:52" ph="1">
      <c r="AH99" s="64" ph="1">
        <v>8</v>
      </c>
      <c r="AI99" s="64" t="s" ph="1">
        <v>514</v>
      </c>
      <c r="AJ99" s="64" t="s" ph="1">
        <v>515</v>
      </c>
      <c r="AK99" s="64" t="s" ph="1">
        <v>411</v>
      </c>
      <c r="AM99" s="64" t="s" ph="1">
        <v>516</v>
      </c>
      <c r="AN99" s="64" t="s" ph="1">
        <v>298</v>
      </c>
      <c r="AO99" s="64" t="s" ph="1">
        <v>303</v>
      </c>
      <c r="AP99" s="64" t="s" ph="1">
        <v>517</v>
      </c>
      <c r="AQ99" s="64" t="s" ph="1">
        <v>268</v>
      </c>
      <c r="AR99" s="64" t="s" ph="1">
        <v>331</v>
      </c>
      <c r="AS99" s="64" t="s" ph="1">
        <v>518</v>
      </c>
      <c r="AT99" s="64" t="s" ph="1">
        <v>283</v>
      </c>
      <c r="AU99" s="64" t="s" ph="1">
        <v>331</v>
      </c>
      <c r="AV99" s="64" t="s" ph="1">
        <v>519</v>
      </c>
      <c r="AW99" s="64" t="s" ph="1">
        <v>268</v>
      </c>
      <c r="AX99" s="64" t="s" ph="1">
        <v>331</v>
      </c>
      <c r="AY99" s="64" t="s" ph="1">
        <v>260</v>
      </c>
      <c r="AZ99" s="64" t="s" ph="1">
        <v>520</v>
      </c>
    </row>
    <row r="100" spans="33:52" ph="1">
      <c r="AJ100" s="64" t="s" ph="1">
        <v>521</v>
      </c>
      <c r="AK100" s="64" t="s" ph="1">
        <v>266</v>
      </c>
      <c r="AM100" s="64" t="s" ph="1">
        <v>522</v>
      </c>
      <c r="AN100" s="64" t="s" ph="1">
        <v>338</v>
      </c>
      <c r="AO100" s="64" t="s" ph="1">
        <v>303</v>
      </c>
      <c r="AP100" s="64" t="s" ph="1">
        <v>523</v>
      </c>
      <c r="AQ100" s="64" t="s" ph="1">
        <v>344</v>
      </c>
      <c r="AR100" s="64" t="s" ph="1">
        <v>331</v>
      </c>
      <c r="AS100" s="64" t="s" ph="1">
        <v>524</v>
      </c>
      <c r="AT100" s="64" t="s" ph="1">
        <v>411</v>
      </c>
      <c r="AU100" s="64" t="s" ph="1">
        <v>303</v>
      </c>
      <c r="AV100" s="64" t="s" ph="1">
        <v>525</v>
      </c>
      <c r="AW100" s="64" t="s" ph="1">
        <v>411</v>
      </c>
      <c r="AX100" s="64" t="s" ph="1">
        <v>303</v>
      </c>
    </row>
    <row r="101" spans="33:52" ph="1">
      <c r="AJ101" s="64" t="s" ph="1">
        <v>526</v>
      </c>
      <c r="AK101" s="64" t="s" ph="1">
        <v>411</v>
      </c>
      <c r="AM101" s="64" t="s" ph="1">
        <v>527</v>
      </c>
      <c r="AN101" s="64" t="s" ph="1">
        <v>269</v>
      </c>
      <c r="AO101" s="64" t="s" ph="1">
        <v>303</v>
      </c>
      <c r="AP101" s="64" t="s" ph="1">
        <v>528</v>
      </c>
      <c r="AQ101" s="64" t="s" ph="1">
        <v>281</v>
      </c>
      <c r="AR101" s="64" t="s" ph="1">
        <v>331</v>
      </c>
      <c r="AS101" s="64" t="s" ph="1">
        <v>529</v>
      </c>
      <c r="AT101" s="64" t="s" ph="1">
        <v>338</v>
      </c>
      <c r="AU101" s="64" t="s" ph="1">
        <v>331</v>
      </c>
      <c r="AV101" s="64" t="s" ph="1">
        <v>530</v>
      </c>
      <c r="AW101" s="64" t="s" ph="1">
        <v>269</v>
      </c>
      <c r="AX101" s="64" t="s" ph="1">
        <v>303</v>
      </c>
    </row>
    <row r="102" spans="33:52" ph="1">
      <c r="AJ102" s="64" t="s" ph="1">
        <v>531</v>
      </c>
      <c r="AK102" s="64" t="s" ph="1">
        <v>266</v>
      </c>
      <c r="AM102" s="64" t="s" ph="1">
        <v>532</v>
      </c>
      <c r="AN102" s="64" t="s" ph="1">
        <v>275</v>
      </c>
      <c r="AO102" s="64" t="s" ph="1">
        <v>303</v>
      </c>
      <c r="AP102" s="64" t="s" ph="1">
        <v>533</v>
      </c>
      <c r="AQ102" s="64" t="s" ph="1">
        <v>281</v>
      </c>
      <c r="AR102" s="64" t="s" ph="1">
        <v>303</v>
      </c>
      <c r="AS102" s="64" t="s" ph="1">
        <v>534</v>
      </c>
      <c r="AT102" s="64" t="s" ph="1">
        <v>298</v>
      </c>
      <c r="AU102" s="64" t="s" ph="1">
        <v>303</v>
      </c>
      <c r="AV102" s="64" t="s" ph="1">
        <v>535</v>
      </c>
      <c r="AW102" s="64" t="s" ph="1">
        <v>316</v>
      </c>
      <c r="AX102" s="64" t="s" ph="1">
        <v>303</v>
      </c>
    </row>
    <row r="103" spans="33:52" ph="1">
      <c r="AH103" s="64" ph="1">
        <v>9</v>
      </c>
      <c r="AI103" s="64" t="s" ph="1">
        <v>536</v>
      </c>
      <c r="AJ103" s="64" t="s" ph="1">
        <v>537</v>
      </c>
      <c r="AK103" s="64" t="s" ph="1">
        <v>411</v>
      </c>
      <c r="AM103" s="64" t="s" ph="1">
        <v>538</v>
      </c>
      <c r="AN103" s="64" t="s" ph="1">
        <v>326</v>
      </c>
      <c r="AO103" s="64" t="s" ph="1">
        <v>303</v>
      </c>
      <c r="AP103" s="64" t="s" ph="1">
        <v>380</v>
      </c>
      <c r="AQ103" s="64" t="s" ph="1">
        <v>269</v>
      </c>
      <c r="AR103" s="64" t="s" ph="1">
        <v>303</v>
      </c>
      <c r="AS103" s="64" t="s" ph="1">
        <v>614</v>
      </c>
      <c r="AT103" s="64" t="s" ph="1">
        <v>411</v>
      </c>
      <c r="AU103" s="64" t="s" ph="1">
        <v>303</v>
      </c>
      <c r="AY103" s="64" t="s" ph="1">
        <v>260</v>
      </c>
      <c r="AZ103" s="64" t="s" ph="1">
        <v>268</v>
      </c>
    </row>
    <row r="104" spans="33:52" ph="1">
      <c r="AZ104" s="64" t="s" ph="1">
        <v>539</v>
      </c>
    </row>
    <row r="105" spans="33:52" ph="1">
      <c r="AG105" s="64" t="s" ph="1">
        <v>339</v>
      </c>
      <c r="AI105" s="64" t="s" ph="1">
        <v>253</v>
      </c>
      <c r="AJ105" s="64" t="s" ph="1">
        <v>254</v>
      </c>
      <c r="AK105" s="64" t="s" ph="1">
        <v>255</v>
      </c>
      <c r="AM105" s="64" t="s" ph="1">
        <v>254</v>
      </c>
      <c r="AN105" s="64" t="s" ph="1">
        <v>255</v>
      </c>
      <c r="AO105" s="64" t="s" ph="1">
        <v>256</v>
      </c>
      <c r="AP105" s="64" t="s" ph="1">
        <v>254</v>
      </c>
      <c r="AQ105" s="64" t="s" ph="1">
        <v>255</v>
      </c>
      <c r="AR105" s="64" t="s" ph="1">
        <v>256</v>
      </c>
      <c r="AS105" s="64" t="s" ph="1">
        <v>254</v>
      </c>
      <c r="AT105" s="64" t="s" ph="1">
        <v>255</v>
      </c>
      <c r="AU105" s="64" t="s" ph="1">
        <v>256</v>
      </c>
      <c r="AV105" s="64" t="s" ph="1">
        <v>254</v>
      </c>
      <c r="AW105" s="64" t="s" ph="1">
        <v>255</v>
      </c>
      <c r="AX105" s="64" t="s" ph="1">
        <v>256</v>
      </c>
      <c r="AZ105" s="64" t="s" ph="1">
        <v>257</v>
      </c>
    </row>
    <row r="106" spans="33:52" ph="1">
      <c r="AH106" s="64" ph="1">
        <v>1</v>
      </c>
      <c r="AI106" s="64" t="s" ph="1">
        <v>540</v>
      </c>
      <c r="AJ106" s="64" t="s" ph="1">
        <v>614</v>
      </c>
      <c r="AK106" s="64" t="s" ph="1">
        <v>275</v>
      </c>
      <c r="AZ106" s="64" t="s" ph="1">
        <v>275</v>
      </c>
    </row>
    <row r="107" spans="33:52" ph="1">
      <c r="AH107" s="64" ph="1">
        <v>2</v>
      </c>
      <c r="AI107" s="64" t="s" ph="1">
        <v>541</v>
      </c>
      <c r="AJ107" s="64" t="s" ph="1">
        <v>542</v>
      </c>
      <c r="AK107" s="64" t="s" ph="1">
        <v>272</v>
      </c>
      <c r="AM107" s="64" t="s" ph="1">
        <v>378</v>
      </c>
      <c r="AN107" s="64" t="s" ph="1">
        <v>543</v>
      </c>
      <c r="AO107" s="64" t="s" ph="1">
        <v>544</v>
      </c>
      <c r="AP107" s="64" t="s" ph="1">
        <v>380</v>
      </c>
      <c r="AQ107" s="64" t="s" ph="1">
        <v>348</v>
      </c>
      <c r="AR107" s="64" t="s" ph="1">
        <v>544</v>
      </c>
      <c r="AS107" s="64" t="s" ph="1">
        <v>614</v>
      </c>
      <c r="AT107" s="64" t="s" ph="1">
        <v>543</v>
      </c>
      <c r="AU107" s="64" t="s" ph="1">
        <v>544</v>
      </c>
      <c r="AY107" s="64" t="s" ph="1">
        <v>260</v>
      </c>
      <c r="AZ107" s="64" t="s" ph="1">
        <v>624</v>
      </c>
    </row>
    <row r="108" spans="33:52" ph="1">
      <c r="AH108" s="64" ph="1">
        <v>3</v>
      </c>
      <c r="AI108" s="64" t="s" ph="1">
        <v>545</v>
      </c>
      <c r="AY108" s="64" t="s" ph="1">
        <v>260</v>
      </c>
      <c r="AZ108" s="64" t="s" ph="1">
        <v>411</v>
      </c>
    </row>
    <row r="109" spans="33:52" ph="1">
      <c r="AH109" s="64" ph="1">
        <v>4</v>
      </c>
      <c r="AI109" s="64" t="s" ph="1">
        <v>546</v>
      </c>
      <c r="AY109" s="64" t="s" ph="1">
        <v>260</v>
      </c>
      <c r="AZ109" s="64" t="s" ph="1">
        <v>411</v>
      </c>
    </row>
    <row r="110" spans="33:52" ph="1">
      <c r="AH110" s="64" ph="1">
        <v>5</v>
      </c>
      <c r="AI110" s="64" t="s" ph="1">
        <v>547</v>
      </c>
      <c r="AY110" s="64" t="s" ph="1">
        <v>260</v>
      </c>
      <c r="AZ110" s="64" t="s" ph="1">
        <v>411</v>
      </c>
    </row>
    <row r="111" spans="33:52" ph="1">
      <c r="AH111" s="64" ph="1">
        <v>6</v>
      </c>
      <c r="AI111" s="64" t="s" ph="1">
        <v>625</v>
      </c>
      <c r="AJ111" s="64" t="s" ph="1">
        <v>530</v>
      </c>
      <c r="AK111" s="64" t="s" ph="1">
        <v>269</v>
      </c>
      <c r="AM111" s="64" t="s" ph="1">
        <v>531</v>
      </c>
      <c r="AN111" s="64" t="s" ph="1">
        <v>263</v>
      </c>
      <c r="AO111" s="64" t="s" ph="1">
        <v>544</v>
      </c>
      <c r="AP111" s="64" t="s" ph="1">
        <v>532</v>
      </c>
      <c r="AQ111" s="64" t="s" ph="1">
        <v>272</v>
      </c>
      <c r="AR111" s="64" t="s" ph="1">
        <v>544</v>
      </c>
      <c r="AS111" s="64" t="s" ph="1">
        <v>533</v>
      </c>
      <c r="AT111" s="64" t="s" ph="1">
        <v>281</v>
      </c>
      <c r="AU111" s="64" t="s" ph="1">
        <v>544</v>
      </c>
      <c r="AV111" s="64" t="s" ph="1">
        <v>534</v>
      </c>
      <c r="AW111" s="64" t="s" ph="1">
        <v>271</v>
      </c>
      <c r="AX111" s="64" t="s" ph="1">
        <v>544</v>
      </c>
      <c r="AY111" s="64" t="s" ph="1">
        <v>260</v>
      </c>
      <c r="AZ111" s="64" t="s" ph="1">
        <v>548</v>
      </c>
    </row>
    <row r="112" spans="33:52" ph="1">
      <c r="AJ112" s="64" t="s" ph="1">
        <v>535</v>
      </c>
      <c r="AK112" s="64" t="s" ph="1">
        <v>316</v>
      </c>
      <c r="AM112" s="64" t="s" ph="1">
        <v>537</v>
      </c>
      <c r="AN112" s="64" t="s" ph="1">
        <v>340</v>
      </c>
      <c r="AO112" s="64" t="s" ph="1">
        <v>544</v>
      </c>
      <c r="AP112" s="64" t="s" ph="1">
        <v>538</v>
      </c>
      <c r="AQ112" s="64" t="s" ph="1">
        <v>549</v>
      </c>
      <c r="AR112" s="64" t="s" ph="1">
        <v>544</v>
      </c>
      <c r="AS112" s="64" t="s" ph="1">
        <v>550</v>
      </c>
      <c r="AT112" s="64" t="s" ph="1">
        <v>292</v>
      </c>
      <c r="AU112" s="64" t="s" ph="1">
        <v>544</v>
      </c>
      <c r="AV112" s="64" t="s" ph="1">
        <v>551</v>
      </c>
      <c r="AW112" s="64" t="s" ph="1">
        <v>338</v>
      </c>
      <c r="AX112" s="64" t="s" ph="1">
        <v>544</v>
      </c>
    </row>
    <row r="113" spans="33:52" ph="1">
      <c r="AH113" s="64" ph="1">
        <v>7</v>
      </c>
      <c r="AI113" s="64" t="s" ph="1">
        <v>552</v>
      </c>
      <c r="AJ113" s="64" t="s" ph="1">
        <v>633</v>
      </c>
      <c r="AK113" s="64" t="s" ph="1">
        <v>638</v>
      </c>
      <c r="AY113" s="64" t="s" ph="1">
        <v>260</v>
      </c>
      <c r="AZ113" s="64" t="s" ph="1">
        <v>638</v>
      </c>
    </row>
    <row r="114" spans="33:52" ph="1">
      <c r="AH114" s="64" ph="1">
        <v>8</v>
      </c>
      <c r="AI114" s="64" t="s" ph="1">
        <v>553</v>
      </c>
      <c r="AJ114" s="64" t="s" ph="1">
        <v>633</v>
      </c>
      <c r="AK114" s="64" t="s" ph="1">
        <v>639</v>
      </c>
      <c r="AY114" s="64" t="s" ph="1">
        <v>260</v>
      </c>
      <c r="AZ114" s="64" t="s" ph="1">
        <v>639</v>
      </c>
    </row>
    <row r="115" spans="33:52" ph="1">
      <c r="AH115" s="64" ph="1">
        <v>9</v>
      </c>
      <c r="AI115" s="64" t="s" ph="1">
        <v>554</v>
      </c>
      <c r="AJ115" s="64" t="s" ph="1">
        <v>633</v>
      </c>
      <c r="AK115" s="64" t="s" ph="1">
        <v>639</v>
      </c>
      <c r="AY115" s="64" t="s" ph="1">
        <v>260</v>
      </c>
      <c r="AZ115" s="64" t="s" ph="1">
        <v>639</v>
      </c>
    </row>
    <row r="116" spans="33:52" ph="1">
      <c r="AH116" s="64" ph="1">
        <v>10</v>
      </c>
      <c r="AI116" s="64" t="s" ph="1">
        <v>555</v>
      </c>
      <c r="AJ116" s="64" t="s" ph="1">
        <v>633</v>
      </c>
      <c r="AK116" s="64" t="s" ph="1">
        <v>639</v>
      </c>
      <c r="AY116" s="64" t="s" ph="1">
        <v>260</v>
      </c>
      <c r="AZ116" s="64" t="s" ph="1">
        <v>639</v>
      </c>
    </row>
    <row r="117" spans="33:52" ph="1">
      <c r="AH117" s="64" ph="1">
        <v>11</v>
      </c>
      <c r="AI117" s="64" t="s" ph="1">
        <v>556</v>
      </c>
      <c r="AJ117" s="64" t="s" ph="1">
        <v>633</v>
      </c>
      <c r="AK117" s="64" t="s" ph="1">
        <v>639</v>
      </c>
      <c r="AY117" s="64" t="s" ph="1">
        <v>260</v>
      </c>
      <c r="AZ117" s="64" t="s" ph="1">
        <v>639</v>
      </c>
    </row>
    <row r="118" spans="33:52" ph="1">
      <c r="AZ118" s="64" t="s" ph="1">
        <v>640</v>
      </c>
    </row>
    <row r="119" spans="33:52" ph="1">
      <c r="AI119" s="64" t="s" ph="1">
        <v>253</v>
      </c>
      <c r="AJ119" s="64" t="s" ph="1">
        <v>254</v>
      </c>
      <c r="AK119" s="64" t="s" ph="1">
        <v>255</v>
      </c>
      <c r="AM119" s="64" t="s" ph="1">
        <v>254</v>
      </c>
      <c r="AN119" s="64" t="s" ph="1">
        <v>255</v>
      </c>
      <c r="AO119" s="64" t="s" ph="1">
        <v>256</v>
      </c>
      <c r="AP119" s="64" t="s" ph="1">
        <v>254</v>
      </c>
      <c r="AQ119" s="64" t="s" ph="1">
        <v>255</v>
      </c>
      <c r="AR119" s="64" t="s" ph="1">
        <v>256</v>
      </c>
      <c r="AS119" s="64" t="s" ph="1">
        <v>254</v>
      </c>
      <c r="AT119" s="64" t="s" ph="1">
        <v>255</v>
      </c>
      <c r="AU119" s="64" t="s" ph="1">
        <v>256</v>
      </c>
      <c r="AV119" s="64" t="s" ph="1">
        <v>254</v>
      </c>
      <c r="AW119" s="64" t="s" ph="1">
        <v>255</v>
      </c>
      <c r="AX119" s="64" t="s" ph="1">
        <v>256</v>
      </c>
      <c r="AY119" s="64" t="s" ph="1">
        <v>255</v>
      </c>
      <c r="AZ119" s="64" t="s" ph="1">
        <v>257</v>
      </c>
    </row>
    <row r="120" spans="33:52" ph="1">
      <c r="AG120" s="64" t="s" ph="1">
        <v>397</v>
      </c>
      <c r="AH120" s="64" ph="1">
        <v>1</v>
      </c>
      <c r="AI120" s="64" t="s" ph="1">
        <v>557</v>
      </c>
      <c r="AJ120" s="64" t="s" ph="1">
        <v>631</v>
      </c>
      <c r="AK120" s="64" t="s" ph="1">
        <v>411</v>
      </c>
      <c r="AY120" s="64" t="s" ph="1">
        <v>260</v>
      </c>
      <c r="AZ120" s="64" t="s" ph="1">
        <v>411</v>
      </c>
    </row>
    <row r="121" spans="33:52" ph="1">
      <c r="AH121" s="64" ph="1">
        <v>2</v>
      </c>
      <c r="AI121" s="64" t="s" ph="1">
        <v>558</v>
      </c>
      <c r="AY121" s="64" t="s" ph="1">
        <v>260</v>
      </c>
      <c r="AZ121" s="64" t="s" ph="1">
        <v>411</v>
      </c>
    </row>
    <row r="122" spans="33:52" ph="1">
      <c r="AH122" s="64" ph="1">
        <v>3</v>
      </c>
      <c r="AI122" s="64" t="s" ph="1">
        <v>559</v>
      </c>
      <c r="AJ122" s="64" t="s" ph="1">
        <v>614</v>
      </c>
      <c r="AK122" s="64" t="s" ph="1">
        <v>626</v>
      </c>
      <c r="AM122" s="64" t="s" ph="1">
        <v>641</v>
      </c>
      <c r="AN122" s="64" t="s" ph="1">
        <v>634</v>
      </c>
      <c r="AO122" s="64" t="s" ph="1">
        <v>109</v>
      </c>
      <c r="AY122" s="64" t="s" ph="1">
        <v>260</v>
      </c>
      <c r="AZ122" s="64" t="s" ph="1">
        <v>623</v>
      </c>
    </row>
    <row r="123" spans="33:52" ph="1">
      <c r="AY123" s="64" t="s" ph="1">
        <v>260</v>
      </c>
      <c r="AZ123" s="64" t="s" ph="1">
        <v>623</v>
      </c>
    </row>
    <row r="124" spans="33:52" ph="1">
      <c r="AG124" s="64" t="s" ph="1">
        <v>400</v>
      </c>
      <c r="AH124" s="64" ph="1">
        <v>4</v>
      </c>
      <c r="AI124" s="64" t="s" ph="1">
        <v>560</v>
      </c>
      <c r="AJ124" s="64" t="s" ph="1">
        <v>561</v>
      </c>
      <c r="AK124" s="64" t="s" ph="1">
        <v>562</v>
      </c>
      <c r="AY124" s="64" t="s" ph="1">
        <v>260</v>
      </c>
      <c r="AZ124" s="64" t="s" ph="1">
        <v>562</v>
      </c>
    </row>
    <row r="125" spans="33:52" ph="1">
      <c r="AH125" s="64" ph="1">
        <v>5</v>
      </c>
      <c r="AI125" s="64" t="s" ph="1">
        <v>563</v>
      </c>
      <c r="AJ125" s="64" t="s" ph="1">
        <v>561</v>
      </c>
      <c r="AK125" s="64" t="s" ph="1">
        <v>562</v>
      </c>
      <c r="AY125" s="64" t="s" ph="1">
        <v>260</v>
      </c>
      <c r="AZ125" s="64" t="s" ph="1">
        <v>562</v>
      </c>
    </row>
    <row r="126" spans="33:52" ph="1">
      <c r="AH126" s="64" ph="1">
        <v>6</v>
      </c>
      <c r="AI126" s="64" t="s" ph="1">
        <v>564</v>
      </c>
      <c r="AJ126" s="64" t="s" ph="1">
        <v>633</v>
      </c>
      <c r="AK126" s="64" t="s" ph="1">
        <v>642</v>
      </c>
      <c r="AY126" s="64" t="s" ph="1">
        <v>260</v>
      </c>
      <c r="AZ126" s="64" t="s" ph="1">
        <v>642</v>
      </c>
    </row>
    <row r="127" spans="33:52" ph="1">
      <c r="AH127" s="64" ph="1">
        <v>7</v>
      </c>
      <c r="AI127" s="64" t="s" ph="1">
        <v>565</v>
      </c>
      <c r="AJ127" s="64" t="s" ph="1">
        <v>633</v>
      </c>
      <c r="AK127" s="64" t="s" ph="1">
        <v>643</v>
      </c>
      <c r="AY127" s="64" t="s" ph="1">
        <v>260</v>
      </c>
      <c r="AZ127" s="64" t="s" ph="1">
        <v>643</v>
      </c>
    </row>
    <row r="128" spans="33:52" ph="1">
      <c r="AH128" s="64" ph="1">
        <v>8</v>
      </c>
      <c r="AI128" s="64" t="s" ph="1">
        <v>566</v>
      </c>
      <c r="AY128" s="64" t="s" ph="1">
        <v>260</v>
      </c>
      <c r="AZ128" s="64" t="s" ph="1">
        <v>411</v>
      </c>
    </row>
    <row r="129" spans="33:52" ph="1">
      <c r="AH129" s="64" ph="1">
        <v>9</v>
      </c>
      <c r="AI129" s="64" t="s" ph="1">
        <v>567</v>
      </c>
      <c r="AY129" s="64" t="s" ph="1">
        <v>260</v>
      </c>
      <c r="AZ129" s="64" t="s" ph="1">
        <v>411</v>
      </c>
    </row>
    <row r="130" spans="33:52" ph="1">
      <c r="AH130" s="64" ph="1">
        <v>10</v>
      </c>
      <c r="AI130" s="64" t="s" ph="1">
        <v>568</v>
      </c>
      <c r="AY130" s="64" t="s" ph="1">
        <v>260</v>
      </c>
      <c r="AZ130" s="64" t="s" ph="1">
        <v>411</v>
      </c>
    </row>
    <row r="131" spans="33:52" ph="1">
      <c r="AH131" s="64" ph="1">
        <v>11</v>
      </c>
      <c r="AI131" s="64" t="s" ph="1">
        <v>569</v>
      </c>
      <c r="AJ131" s="64" t="s" ph="1">
        <v>627</v>
      </c>
      <c r="AK131" s="64" t="s" ph="1">
        <v>623</v>
      </c>
      <c r="AY131" s="64" t="s" ph="1">
        <v>260</v>
      </c>
      <c r="AZ131" s="64" t="s" ph="1">
        <v>623</v>
      </c>
    </row>
    <row r="132" spans="33:52" ph="1">
      <c r="AH132" s="64" ph="1">
        <v>12</v>
      </c>
      <c r="AI132" s="64" t="s" ph="1">
        <v>570</v>
      </c>
      <c r="AJ132" s="64" t="s" ph="1">
        <v>627</v>
      </c>
      <c r="AK132" s="64" t="s" ph="1">
        <v>562</v>
      </c>
      <c r="AY132" s="64" t="s" ph="1">
        <v>260</v>
      </c>
      <c r="AZ132" s="64" t="s" ph="1">
        <v>562</v>
      </c>
    </row>
    <row r="133" spans="33:52" ph="1">
      <c r="AH133" s="64" ph="1">
        <v>13</v>
      </c>
      <c r="AI133" s="64" t="s" ph="1">
        <v>571</v>
      </c>
      <c r="AJ133" s="64" t="s" ph="1">
        <v>627</v>
      </c>
      <c r="AK133" s="64" t="s" ph="1">
        <v>628</v>
      </c>
      <c r="AY133" s="64" t="s" ph="1">
        <v>260</v>
      </c>
      <c r="AZ133" s="64" t="s" ph="1">
        <v>628</v>
      </c>
    </row>
    <row r="134" spans="33:52" ph="1">
      <c r="AH134" s="64" ph="1">
        <v>14</v>
      </c>
      <c r="AI134" s="64" t="s" ph="1">
        <v>572</v>
      </c>
      <c r="AJ134" s="64" t="s" ph="1">
        <v>627</v>
      </c>
      <c r="AK134" s="64" t="s" ph="1">
        <v>629</v>
      </c>
      <c r="AY134" s="64" t="s" ph="1">
        <v>260</v>
      </c>
      <c r="AZ134" s="64" t="s" ph="1">
        <v>629</v>
      </c>
    </row>
    <row r="135" spans="33:52" ph="1">
      <c r="AH135" s="64" ph="1">
        <v>15</v>
      </c>
      <c r="AI135" s="64" t="s" ph="1">
        <v>573</v>
      </c>
      <c r="AJ135" s="64" t="s" ph="1">
        <v>627</v>
      </c>
      <c r="AK135" s="64" t="s" ph="1">
        <v>630</v>
      </c>
      <c r="AY135" s="64" t="s" ph="1">
        <v>260</v>
      </c>
      <c r="AZ135" s="64" t="s" ph="1">
        <v>630</v>
      </c>
    </row>
    <row r="136" spans="33:52" ph="1">
      <c r="AZ136" s="64" t="s" ph="1">
        <v>644</v>
      </c>
    </row>
    <row r="137" spans="33:52" ph="1">
      <c r="AG137" s="64" t="s" ph="1">
        <v>334</v>
      </c>
      <c r="AI137" s="64" t="s" ph="1">
        <v>253</v>
      </c>
      <c r="AJ137" s="64" t="s" ph="1">
        <v>254</v>
      </c>
      <c r="AK137" s="64" t="s" ph="1">
        <v>255</v>
      </c>
      <c r="AM137" s="64" t="s" ph="1">
        <v>254</v>
      </c>
      <c r="AN137" s="64" t="s" ph="1">
        <v>255</v>
      </c>
      <c r="AO137" s="64" t="s" ph="1">
        <v>256</v>
      </c>
      <c r="AP137" s="64" t="s" ph="1">
        <v>254</v>
      </c>
      <c r="AQ137" s="64" t="s" ph="1">
        <v>255</v>
      </c>
      <c r="AR137" s="64" t="s" ph="1">
        <v>256</v>
      </c>
      <c r="AS137" s="64" t="s" ph="1">
        <v>254</v>
      </c>
      <c r="AT137" s="64" t="s" ph="1">
        <v>255</v>
      </c>
      <c r="AU137" s="64" t="s" ph="1">
        <v>256</v>
      </c>
      <c r="AV137" s="64" t="s" ph="1">
        <v>254</v>
      </c>
      <c r="AW137" s="64" t="s" ph="1">
        <v>255</v>
      </c>
      <c r="AX137" s="64" t="s" ph="1">
        <v>256</v>
      </c>
      <c r="AY137" s="64" t="s" ph="1">
        <v>255</v>
      </c>
      <c r="AZ137" s="64" t="s" ph="1">
        <v>257</v>
      </c>
    </row>
    <row r="138" spans="33:52" ph="1">
      <c r="AH138" s="64" ph="1">
        <v>1</v>
      </c>
      <c r="AI138" s="64" t="s" ph="1">
        <v>574</v>
      </c>
      <c r="AJ138" s="64" t="s" ph="1">
        <v>575</v>
      </c>
      <c r="AK138" s="64" t="s" ph="1">
        <v>576</v>
      </c>
      <c r="AY138" s="64" t="s" ph="1">
        <v>260</v>
      </c>
      <c r="AZ138" s="64" t="s" ph="1">
        <v>576</v>
      </c>
    </row>
    <row r="139" spans="33:52" ph="1">
      <c r="AH139" s="64" ph="1">
        <v>2</v>
      </c>
      <c r="AI139" s="64" t="s" ph="1">
        <v>577</v>
      </c>
      <c r="AJ139" s="64" t="s" ph="1">
        <v>633</v>
      </c>
      <c r="AK139" s="64" t="s" ph="1">
        <v>645</v>
      </c>
      <c r="AY139" s="64" t="s" ph="1">
        <v>260</v>
      </c>
      <c r="AZ139" s="64" t="s" ph="1">
        <v>645</v>
      </c>
    </row>
    <row r="140" spans="33:52" ph="1">
      <c r="AH140" s="64" ph="1">
        <v>3</v>
      </c>
      <c r="AI140" s="64" t="s" ph="1">
        <v>578</v>
      </c>
      <c r="AJ140" s="64" t="s" ph="1">
        <v>531</v>
      </c>
      <c r="AK140" s="64" t="s" ph="1">
        <v>343</v>
      </c>
      <c r="AM140" s="64" t="s" ph="1">
        <v>532</v>
      </c>
      <c r="AN140" s="64" t="s" ph="1">
        <v>263</v>
      </c>
      <c r="AO140" s="64" t="s" ph="1">
        <v>579</v>
      </c>
      <c r="AP140" s="64" t="s" ph="1">
        <v>533</v>
      </c>
      <c r="AQ140" s="64" t="s" ph="1">
        <v>280</v>
      </c>
      <c r="AR140" s="64" t="s" ph="1">
        <v>579</v>
      </c>
      <c r="AS140" s="64" t="s" ph="1">
        <v>534</v>
      </c>
      <c r="AT140" s="64" t="s" ph="1">
        <v>273</v>
      </c>
      <c r="AU140" s="64" t="s" ph="1">
        <v>579</v>
      </c>
      <c r="AV140" s="64" t="s" ph="1">
        <v>535</v>
      </c>
      <c r="AW140" s="64" t="s" ph="1">
        <v>266</v>
      </c>
      <c r="AX140" s="64" t="s" ph="1">
        <v>579</v>
      </c>
      <c r="AY140" s="64" t="s" ph="1">
        <v>260</v>
      </c>
      <c r="AZ140" s="64" t="s" ph="1">
        <v>335</v>
      </c>
    </row>
    <row r="141" spans="33:52" ph="1">
      <c r="AJ141" s="64" t="s" ph="1">
        <v>537</v>
      </c>
      <c r="AK141" s="64" t="s" ph="1">
        <v>266</v>
      </c>
      <c r="AM141" s="64" t="s" ph="1">
        <v>538</v>
      </c>
      <c r="AN141" s="64" t="s" ph="1">
        <v>269</v>
      </c>
      <c r="AO141" s="64" t="s" ph="1">
        <v>579</v>
      </c>
      <c r="AP141" s="64" t="s" ph="1">
        <v>550</v>
      </c>
      <c r="AQ141" s="64" t="s" ph="1">
        <v>338</v>
      </c>
      <c r="AR141" s="64" t="s" ph="1">
        <v>579</v>
      </c>
      <c r="AS141" s="64" t="s" ph="1">
        <v>542</v>
      </c>
      <c r="AT141" s="64" t="s" ph="1">
        <v>266</v>
      </c>
      <c r="AU141" s="64" t="s" ph="1">
        <v>579</v>
      </c>
      <c r="AV141" s="64" t="s" ph="1">
        <v>378</v>
      </c>
      <c r="AW141" s="64" t="s" ph="1">
        <v>272</v>
      </c>
      <c r="AX141" s="64" t="s" ph="1">
        <v>579</v>
      </c>
    </row>
    <row r="142" spans="33:52" ph="1">
      <c r="AJ142" s="64" t="s" ph="1">
        <v>580</v>
      </c>
      <c r="AK142" s="64" t="s" ph="1">
        <v>283</v>
      </c>
    </row>
    <row r="143" spans="33:52" ph="1">
      <c r="AH143" s="64" ph="1">
        <v>4</v>
      </c>
      <c r="AI143" s="64" t="s" ph="1">
        <v>581</v>
      </c>
      <c r="AJ143" s="64" t="s" ph="1">
        <v>561</v>
      </c>
      <c r="AK143" s="64" t="s" ph="1">
        <v>582</v>
      </c>
      <c r="AY143" s="64" t="s" ph="1">
        <v>260</v>
      </c>
      <c r="AZ143" s="64" t="s" ph="1">
        <v>582</v>
      </c>
    </row>
    <row r="144" spans="33:52" ph="1">
      <c r="AH144" s="64" ph="1">
        <v>5</v>
      </c>
      <c r="AI144" s="64" t="s" ph="1">
        <v>583</v>
      </c>
      <c r="AY144" s="64" t="s" ph="1">
        <v>260</v>
      </c>
      <c r="AZ144" s="64" t="s" ph="1">
        <v>411</v>
      </c>
    </row>
    <row r="145" spans="33:52" ph="1">
      <c r="AH145" s="64" ph="1">
        <v>6</v>
      </c>
      <c r="AI145" s="64" t="s" ph="1">
        <v>584</v>
      </c>
      <c r="AY145" s="64" t="s" ph="1">
        <v>260</v>
      </c>
      <c r="AZ145" s="64" t="s" ph="1">
        <v>411</v>
      </c>
    </row>
    <row r="146" spans="33:52" ph="1">
      <c r="AH146" s="64" ph="1">
        <v>7</v>
      </c>
      <c r="AI146" s="64" t="s" ph="1">
        <v>585</v>
      </c>
      <c r="AY146" s="64" t="s" ph="1">
        <v>260</v>
      </c>
      <c r="AZ146" s="64" t="s" ph="1">
        <v>411</v>
      </c>
    </row>
    <row r="147" spans="33:52" ph="1">
      <c r="AH147" s="64" ph="1">
        <v>8</v>
      </c>
      <c r="AI147" s="64" t="s" ph="1">
        <v>586</v>
      </c>
      <c r="AY147" s="64" t="s" ph="1">
        <v>260</v>
      </c>
      <c r="AZ147" s="64" t="s" ph="1">
        <v>411</v>
      </c>
    </row>
    <row r="148" spans="33:52" ph="1">
      <c r="AH148" s="64" ph="1">
        <v>9</v>
      </c>
      <c r="AI148" s="64" t="s" ph="1">
        <v>587</v>
      </c>
      <c r="AY148" s="64" t="s" ph="1">
        <v>260</v>
      </c>
      <c r="AZ148" s="64" t="s" ph="1">
        <v>411</v>
      </c>
    </row>
    <row r="149" spans="33:52" ph="1">
      <c r="AH149" s="64" ph="1">
        <v>10</v>
      </c>
      <c r="AI149" s="64" t="s" ph="1">
        <v>588</v>
      </c>
      <c r="AY149" s="64" t="s" ph="1">
        <v>260</v>
      </c>
      <c r="AZ149" s="64" t="s" ph="1">
        <v>411</v>
      </c>
    </row>
    <row r="150" spans="33:52" ph="1">
      <c r="AH150" s="64" ph="1">
        <v>11</v>
      </c>
      <c r="AI150" s="64" t="s" ph="1">
        <v>589</v>
      </c>
      <c r="AY150" s="64" t="s" ph="1">
        <v>260</v>
      </c>
      <c r="AZ150" s="64" t="s" ph="1">
        <v>411</v>
      </c>
    </row>
    <row r="151" spans="33:52" ph="1">
      <c r="AH151" s="64" ph="1">
        <v>12</v>
      </c>
      <c r="AI151" s="64" t="s" ph="1">
        <v>590</v>
      </c>
      <c r="AY151" s="64" t="s" ph="1">
        <v>260</v>
      </c>
      <c r="AZ151" s="64" t="s" ph="1">
        <v>411</v>
      </c>
    </row>
    <row r="152" spans="33:52" ph="1">
      <c r="AH152" s="64" ph="1">
        <v>13</v>
      </c>
      <c r="AI152" s="64" t="s" ph="1">
        <v>591</v>
      </c>
      <c r="AY152" s="64" t="s" ph="1">
        <v>260</v>
      </c>
      <c r="AZ152" s="64" t="s" ph="1">
        <v>411</v>
      </c>
    </row>
    <row r="153" spans="33:52" ph="1">
      <c r="AH153" s="64" ph="1">
        <v>14</v>
      </c>
      <c r="AI153" s="64" t="s" ph="1">
        <v>592</v>
      </c>
      <c r="AY153" s="64" t="s" ph="1">
        <v>260</v>
      </c>
      <c r="AZ153" s="64" t="s" ph="1">
        <v>411</v>
      </c>
    </row>
    <row r="154" spans="33:52" ph="1">
      <c r="AH154" s="64" ph="1">
        <v>15</v>
      </c>
      <c r="AI154" s="64" t="s" ph="1">
        <v>593</v>
      </c>
      <c r="AY154" s="64" t="s" ph="1">
        <v>260</v>
      </c>
      <c r="AZ154" s="64" t="s" ph="1">
        <v>411</v>
      </c>
    </row>
    <row r="155" spans="33:52" ph="1">
      <c r="AH155" s="64" ph="1">
        <v>16</v>
      </c>
      <c r="AI155" s="64" t="s" ph="1">
        <v>594</v>
      </c>
      <c r="AJ155" s="64" t="s" ph="1">
        <v>380</v>
      </c>
      <c r="AK155" s="64" t="s" ph="1">
        <v>275</v>
      </c>
      <c r="AM155" s="64" t="s" ph="1">
        <v>614</v>
      </c>
      <c r="AN155" s="64" t="s" ph="1">
        <v>326</v>
      </c>
      <c r="AO155" s="64" t="s" ph="1">
        <v>579</v>
      </c>
      <c r="AY155" s="64" t="s" ph="1">
        <v>260</v>
      </c>
      <c r="AZ155" s="64" t="s" ph="1">
        <v>267</v>
      </c>
    </row>
    <row r="156" spans="33:52" ph="1">
      <c r="AZ156" s="64" t="s" ph="1">
        <v>646</v>
      </c>
    </row>
    <row r="157" spans="33:52" ph="1">
      <c r="AG157" s="64" t="s" ph="1">
        <v>595</v>
      </c>
      <c r="AI157" s="64" t="s" ph="1">
        <v>253</v>
      </c>
      <c r="AJ157" s="64" t="s" ph="1">
        <v>254</v>
      </c>
      <c r="AK157" s="64" t="s" ph="1">
        <v>255</v>
      </c>
      <c r="AM157" s="64" t="s" ph="1">
        <v>254</v>
      </c>
      <c r="AN157" s="64" t="s" ph="1">
        <v>255</v>
      </c>
      <c r="AO157" s="64" t="s" ph="1">
        <v>256</v>
      </c>
      <c r="AP157" s="64" t="s" ph="1">
        <v>254</v>
      </c>
      <c r="AQ157" s="64" t="s" ph="1">
        <v>255</v>
      </c>
      <c r="AR157" s="64" t="s" ph="1">
        <v>256</v>
      </c>
      <c r="AS157" s="64" t="s" ph="1">
        <v>254</v>
      </c>
      <c r="AT157" s="64" t="s" ph="1">
        <v>255</v>
      </c>
      <c r="AU157" s="64" t="s" ph="1">
        <v>256</v>
      </c>
      <c r="AV157" s="64" t="s" ph="1">
        <v>254</v>
      </c>
      <c r="AW157" s="64" t="s" ph="1">
        <v>255</v>
      </c>
      <c r="AX157" s="64" t="s" ph="1">
        <v>256</v>
      </c>
      <c r="AY157" s="64" t="s" ph="1">
        <v>255</v>
      </c>
      <c r="AZ157" s="64" t="s" ph="1">
        <v>257</v>
      </c>
    </row>
    <row r="158" spans="33:52" ph="1">
      <c r="AH158" s="64" ph="1">
        <v>1</v>
      </c>
      <c r="AI158" s="64" t="s" ph="1">
        <v>596</v>
      </c>
      <c r="AY158" s="64" t="s" ph="1">
        <v>260</v>
      </c>
      <c r="AZ158" s="64" t="s" ph="1">
        <v>411</v>
      </c>
    </row>
    <row r="159" spans="33:52" ph="1">
      <c r="AH159" s="64" ph="1">
        <v>2</v>
      </c>
      <c r="AI159" s="64" t="s" ph="1">
        <v>597</v>
      </c>
      <c r="AY159" s="64" t="s" ph="1">
        <v>260</v>
      </c>
      <c r="AZ159" s="64" t="s" ph="1">
        <v>411</v>
      </c>
    </row>
    <row r="160" spans="33:52" ph="1">
      <c r="AZ160" s="64" t="s" ph="1">
        <v>429</v>
      </c>
    </row>
    <row r="161" spans="33:52" ph="1">
      <c r="AG161" s="64" t="s" ph="1">
        <v>405</v>
      </c>
      <c r="AI161" s="64" t="s" ph="1">
        <v>253</v>
      </c>
      <c r="AJ161" s="64" t="s" ph="1">
        <v>254</v>
      </c>
      <c r="AK161" s="64" t="s" ph="1">
        <v>255</v>
      </c>
      <c r="AM161" s="64" t="s" ph="1">
        <v>254</v>
      </c>
      <c r="AN161" s="64" t="s" ph="1">
        <v>255</v>
      </c>
      <c r="AO161" s="64" t="s" ph="1">
        <v>256</v>
      </c>
      <c r="AP161" s="64" t="s" ph="1">
        <v>254</v>
      </c>
      <c r="AQ161" s="64" t="s" ph="1">
        <v>255</v>
      </c>
      <c r="AR161" s="64" t="s" ph="1">
        <v>256</v>
      </c>
      <c r="AS161" s="64" t="s" ph="1">
        <v>254</v>
      </c>
      <c r="AT161" s="64" t="s" ph="1">
        <v>255</v>
      </c>
      <c r="AU161" s="64" t="s" ph="1">
        <v>256</v>
      </c>
      <c r="AV161" s="64" t="s" ph="1">
        <v>254</v>
      </c>
      <c r="AW161" s="64" t="s" ph="1">
        <v>255</v>
      </c>
      <c r="AX161" s="64" t="s" ph="1">
        <v>256</v>
      </c>
      <c r="AY161" s="64" t="s" ph="1">
        <v>255</v>
      </c>
      <c r="AZ161" s="64" t="s" ph="1">
        <v>257</v>
      </c>
    </row>
    <row r="162" spans="33:52" ph="1">
      <c r="AH162" s="64" ph="1">
        <v>1</v>
      </c>
      <c r="AI162" s="64" t="s" ph="1">
        <v>598</v>
      </c>
      <c r="AJ162" s="64" t="s" ph="1">
        <v>599</v>
      </c>
      <c r="AK162" s="64" t="s" ph="1">
        <v>543</v>
      </c>
      <c r="AM162" s="64" t="s" ph="1">
        <v>600</v>
      </c>
      <c r="AN162" s="64" t="s" ph="1">
        <v>264</v>
      </c>
      <c r="AO162" s="64" t="s" ph="1">
        <v>601</v>
      </c>
      <c r="AY162" s="64" t="s" ph="1">
        <v>260</v>
      </c>
      <c r="AZ162" s="64" t="s" ph="1">
        <v>336</v>
      </c>
    </row>
    <row r="163" spans="33:52" ph="1">
      <c r="AH163" s="64" ph="1">
        <v>2</v>
      </c>
      <c r="AI163" s="64" t="s" ph="1">
        <v>602</v>
      </c>
      <c r="AJ163" s="64" t="s" ph="1">
        <v>599</v>
      </c>
      <c r="AK163" s="64" t="s" ph="1">
        <v>432</v>
      </c>
      <c r="AY163" s="64" t="s" ph="1">
        <v>260</v>
      </c>
      <c r="AZ163" s="64" t="s" ph="1">
        <v>432</v>
      </c>
    </row>
    <row r="164" spans="33:52" ph="1">
      <c r="AH164" s="64" ph="1">
        <v>3</v>
      </c>
      <c r="AI164" s="64" t="s" ph="1">
        <v>603</v>
      </c>
      <c r="AJ164" s="64" t="s" ph="1">
        <v>599</v>
      </c>
      <c r="AK164" s="64" t="s" ph="1">
        <v>336</v>
      </c>
      <c r="AY164" s="64" t="s" ph="1">
        <v>260</v>
      </c>
      <c r="AZ164" s="64" t="s" ph="1">
        <v>336</v>
      </c>
    </row>
    <row r="165" spans="33:52" ph="1">
      <c r="AH165" s="64" ph="1">
        <v>4</v>
      </c>
      <c r="AI165" s="64" t="s" ph="1">
        <v>604</v>
      </c>
      <c r="AY165" s="64" t="s" ph="1">
        <v>260</v>
      </c>
      <c r="AZ165" s="64" t="s" ph="1">
        <v>411</v>
      </c>
    </row>
    <row r="166" spans="33:52" ph="1">
      <c r="AH166" s="64" ph="1">
        <v>5</v>
      </c>
      <c r="AI166" s="64" t="s" ph="1">
        <v>605</v>
      </c>
      <c r="AY166" s="64" t="s" ph="1">
        <v>260</v>
      </c>
      <c r="AZ166" s="64" t="s" ph="1">
        <v>411</v>
      </c>
    </row>
    <row r="167" spans="33:52" ph="1">
      <c r="AZ167" s="64" t="s" ph="1">
        <v>606</v>
      </c>
    </row>
    <row r="168" spans="33:52" ph="1">
      <c r="AG168" s="64" t="s" ph="1">
        <v>349</v>
      </c>
      <c r="AI168" s="64" t="s" ph="1">
        <v>253</v>
      </c>
      <c r="AJ168" s="64" t="s" ph="1">
        <v>254</v>
      </c>
      <c r="AK168" s="64" t="s" ph="1">
        <v>255</v>
      </c>
      <c r="AM168" s="64" t="s" ph="1">
        <v>254</v>
      </c>
      <c r="AN168" s="64" t="s" ph="1">
        <v>255</v>
      </c>
      <c r="AO168" s="64" t="s" ph="1">
        <v>256</v>
      </c>
      <c r="AP168" s="64" t="s" ph="1">
        <v>254</v>
      </c>
      <c r="AQ168" s="64" t="s" ph="1">
        <v>255</v>
      </c>
      <c r="AR168" s="64" t="s" ph="1">
        <v>256</v>
      </c>
      <c r="AS168" s="64" t="s" ph="1">
        <v>254</v>
      </c>
      <c r="AT168" s="64" t="s" ph="1">
        <v>255</v>
      </c>
      <c r="AU168" s="64" t="s" ph="1">
        <v>256</v>
      </c>
      <c r="AV168" s="64" t="s" ph="1">
        <v>254</v>
      </c>
      <c r="AW168" s="64" t="s" ph="1">
        <v>255</v>
      </c>
      <c r="AX168" s="64" t="s" ph="1">
        <v>256</v>
      </c>
      <c r="AY168" s="64" t="s" ph="1">
        <v>255</v>
      </c>
      <c r="AZ168" s="64" t="s" ph="1">
        <v>257</v>
      </c>
    </row>
    <row r="169" spans="33:52" ph="1">
      <c r="AH169" s="64" ph="1">
        <v>1</v>
      </c>
      <c r="AI169" s="64" t="s" ph="1">
        <v>607</v>
      </c>
      <c r="AY169" s="64" t="s" ph="1">
        <v>260</v>
      </c>
      <c r="AZ169" s="64" t="s" ph="1">
        <v>411</v>
      </c>
    </row>
    <row r="170" spans="33:52" ph="1">
      <c r="AH170" s="64" ph="1">
        <v>2</v>
      </c>
      <c r="AI170" s="64" t="s" ph="1">
        <v>608</v>
      </c>
      <c r="AY170" s="64" t="s" ph="1">
        <v>260</v>
      </c>
      <c r="AZ170" s="64" t="s" ph="1">
        <v>411</v>
      </c>
    </row>
    <row r="171" spans="33:52" ph="1">
      <c r="AH171" s="64" ph="1">
        <v>3</v>
      </c>
      <c r="AI171" s="64" t="s" ph="1">
        <v>609</v>
      </c>
      <c r="AY171" s="64" t="s" ph="1">
        <v>260</v>
      </c>
      <c r="AZ171" s="64" t="s" ph="1">
        <v>411</v>
      </c>
    </row>
    <row r="172" spans="33:52" ph="1">
      <c r="AH172" s="64" ph="1">
        <v>4</v>
      </c>
      <c r="AI172" s="64" t="s" ph="1">
        <v>610</v>
      </c>
      <c r="AY172" s="64" t="s" ph="1">
        <v>260</v>
      </c>
      <c r="AZ172" s="64" t="s" ph="1">
        <v>411</v>
      </c>
    </row>
    <row r="173" spans="33:52" ph="1">
      <c r="AH173" s="64" ph="1">
        <v>5</v>
      </c>
      <c r="AI173" s="64" t="s" ph="1">
        <v>611</v>
      </c>
      <c r="AY173" s="64" t="s" ph="1">
        <v>260</v>
      </c>
      <c r="AZ173" s="64" t="s" ph="1">
        <v>411</v>
      </c>
    </row>
    <row r="174" spans="33:52" ph="1">
      <c r="AZ174" s="64" t="s" ph="1">
        <v>429</v>
      </c>
    </row>
    <row r="175" spans="33:52" ph="1">
      <c r="AJ175" s="64" t="s" ph="1">
        <v>350</v>
      </c>
    </row>
    <row r="176" spans="33:52" ph="1">
      <c r="AJ176" s="64" t="s" ph="1">
        <v>351</v>
      </c>
      <c r="AK176" s="64" t="s" ph="1">
        <v>352</v>
      </c>
      <c r="AM176" s="64" t="s" ph="1">
        <v>353</v>
      </c>
      <c r="AO176" s="64" t="s" ph="1">
        <v>354</v>
      </c>
      <c r="AP176" s="64" t="s" ph="1">
        <v>355</v>
      </c>
      <c r="AQ176" s="64" t="s" ph="1">
        <v>345</v>
      </c>
      <c r="AR176" s="64" t="s" ph="1">
        <v>265</v>
      </c>
    </row>
    <row r="177" spans="36:56" ph="1">
      <c r="AJ177" s="64" t="s" ph="1">
        <v>647</v>
      </c>
      <c r="AK177" s="64" t="s" ph="1">
        <v>356</v>
      </c>
      <c r="AO177" s="64" t="s" ph="1">
        <v>356</v>
      </c>
      <c r="AP177" s="64" t="s" ph="1">
        <v>356</v>
      </c>
      <c r="AQ177" s="64" t="s" ph="1">
        <v>357</v>
      </c>
      <c r="AR177" s="64" t="s" ph="1">
        <v>358</v>
      </c>
    </row>
    <row r="179" spans="36:56" ph="1">
      <c r="AJ179" s="64" t="s" ph="1">
        <v>359</v>
      </c>
      <c r="AK179" s="64" t="s" ph="1">
        <v>360</v>
      </c>
      <c r="AM179" s="64" t="s" ph="1">
        <v>361</v>
      </c>
      <c r="AN179" s="64" t="s" ph="1">
        <v>337</v>
      </c>
      <c r="AO179" s="64" t="s" ph="1">
        <v>362</v>
      </c>
      <c r="AP179" s="64" t="s" ph="1">
        <v>341</v>
      </c>
      <c r="AQ179" s="64" t="s" ph="1">
        <v>363</v>
      </c>
      <c r="AR179" s="64" t="s" ph="1">
        <v>364</v>
      </c>
    </row>
    <row r="180" spans="36:56" ph="1">
      <c r="AJ180" s="64" t="s" ph="1">
        <v>356</v>
      </c>
      <c r="AK180" s="64" t="s" ph="1">
        <v>356</v>
      </c>
      <c r="AL180" s="64" ph="1">
        <v>116</v>
      </c>
      <c r="AM180" s="64" t="s" ph="1">
        <v>356</v>
      </c>
      <c r="AN180" s="64" t="s" ph="1">
        <v>365</v>
      </c>
      <c r="AO180" s="64" t="s" ph="1">
        <v>356</v>
      </c>
      <c r="AP180" s="64" t="s" ph="1">
        <v>366</v>
      </c>
      <c r="AQ180" s="64" t="s" ph="1">
        <v>367</v>
      </c>
      <c r="AR180" s="64" t="s" ph="1">
        <v>368</v>
      </c>
    </row>
    <row r="189" spans="36:56" ph="1">
      <c r="BD189" s="64" t="s" ph="1">
        <v>612</v>
      </c>
    </row>
    <row r="223" spans="18:18" ph="1">
      <c r="R223" s="138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731" priority="92">
      <formula>ABS(D$7-D$10)&gt;=1000</formula>
    </cfRule>
  </conditionalFormatting>
  <conditionalFormatting sqref="E4 E6:E11">
    <cfRule type="expression" dxfId="730" priority="91">
      <formula>ABS(E$7-E$10)&gt;=1000</formula>
    </cfRule>
  </conditionalFormatting>
  <conditionalFormatting sqref="F4:F11">
    <cfRule type="expression" dxfId="729" priority="90">
      <formula>ABS(F$7-F$10)&gt;=1000</formula>
    </cfRule>
  </conditionalFormatting>
  <conditionalFormatting sqref="G4:G11">
    <cfRule type="expression" dxfId="728" priority="89">
      <formula>ABS(G$7-G$10)&gt;=1000</formula>
    </cfRule>
  </conditionalFormatting>
  <conditionalFormatting sqref="H4:H11">
    <cfRule type="expression" dxfId="727" priority="88">
      <formula>ABS(H$7-H$10)&gt;=1000</formula>
    </cfRule>
  </conditionalFormatting>
  <conditionalFormatting sqref="I4:I11">
    <cfRule type="expression" dxfId="726" priority="87">
      <formula>ABS(I$7-I$10)&gt;=1000</formula>
    </cfRule>
  </conditionalFormatting>
  <conditionalFormatting sqref="J4:J11">
    <cfRule type="expression" dxfId="725" priority="86">
      <formula>ABS(J$7-J$10)&gt;=1000</formula>
    </cfRule>
  </conditionalFormatting>
  <conditionalFormatting sqref="K4:K11">
    <cfRule type="expression" dxfId="724" priority="85">
      <formula>ABS(K$7-K$10)&gt;=1000</formula>
    </cfRule>
  </conditionalFormatting>
  <conditionalFormatting sqref="L4:L11">
    <cfRule type="expression" dxfId="723" priority="84">
      <formula>ABS(L$7-L$10)&gt;=1000</formula>
    </cfRule>
  </conditionalFormatting>
  <conditionalFormatting sqref="M4:M11">
    <cfRule type="expression" dxfId="722" priority="83">
      <formula>ABS(M$7-M$10)&gt;=1000</formula>
    </cfRule>
  </conditionalFormatting>
  <conditionalFormatting sqref="N4:N11">
    <cfRule type="expression" dxfId="721" priority="82">
      <formula>ABS(N$7-N$10)&gt;=1000</formula>
    </cfRule>
  </conditionalFormatting>
  <conditionalFormatting sqref="O4:O11">
    <cfRule type="expression" dxfId="720" priority="81">
      <formula>ABS(O$7-O$10)&gt;=1000</formula>
    </cfRule>
  </conditionalFormatting>
  <conditionalFormatting sqref="P4:P11">
    <cfRule type="expression" dxfId="719" priority="80">
      <formula>ABS(P$7-P$10)&gt;=1000</formula>
    </cfRule>
  </conditionalFormatting>
  <conditionalFormatting sqref="Q4:Q11">
    <cfRule type="expression" dxfId="718" priority="79">
      <formula>ABS(Q$7-Q$10)&gt;=1000</formula>
    </cfRule>
  </conditionalFormatting>
  <conditionalFormatting sqref="R4:R11">
    <cfRule type="expression" dxfId="717" priority="78">
      <formula>ABS(R$7-R$10)&gt;=1000</formula>
    </cfRule>
  </conditionalFormatting>
  <conditionalFormatting sqref="S4:S11">
    <cfRule type="expression" dxfId="716" priority="77">
      <formula>ABS(S$7-S$10)&gt;=1000</formula>
    </cfRule>
  </conditionalFormatting>
  <conditionalFormatting sqref="T4:T9 T11">
    <cfRule type="expression" dxfId="715" priority="76">
      <formula>ABS(T$7-T$10)&gt;=1000</formula>
    </cfRule>
  </conditionalFormatting>
  <conditionalFormatting sqref="U4:U9 U11">
    <cfRule type="expression" dxfId="714" priority="75">
      <formula>ABS(U$7-U$10)&gt;=1000</formula>
    </cfRule>
  </conditionalFormatting>
  <conditionalFormatting sqref="V4:V9 V11">
    <cfRule type="expression" dxfId="713" priority="74">
      <formula>ABS(V$7-V$10)&gt;=1000</formula>
    </cfRule>
  </conditionalFormatting>
  <conditionalFormatting sqref="W4:W9 W11">
    <cfRule type="expression" dxfId="712" priority="73">
      <formula>ABS(W$7-W$10)&gt;=1000</formula>
    </cfRule>
  </conditionalFormatting>
  <conditionalFormatting sqref="X4:X9 X11">
    <cfRule type="expression" dxfId="711" priority="72">
      <formula>ABS(X$7-X$10)&gt;=1000</formula>
    </cfRule>
  </conditionalFormatting>
  <conditionalFormatting sqref="Y4:Y9 Y11">
    <cfRule type="expression" dxfId="710" priority="71">
      <formula>ABS(Y$7-Y$10)&gt;=1000</formula>
    </cfRule>
  </conditionalFormatting>
  <conditionalFormatting sqref="Z4:Z11">
    <cfRule type="expression" dxfId="709" priority="70">
      <formula>ABS(Z$7-Z$10)&gt;=1000</formula>
    </cfRule>
  </conditionalFormatting>
  <conditionalFormatting sqref="AA4:AA11">
    <cfRule type="expression" dxfId="708" priority="69">
      <formula>ABS(AA$7-AA$10)&gt;=1000</formula>
    </cfRule>
  </conditionalFormatting>
  <conditionalFormatting sqref="AB4:AB11">
    <cfRule type="expression" dxfId="707" priority="68">
      <formula>ABS(AB$7-AB$10)&gt;=1000</formula>
    </cfRule>
  </conditionalFormatting>
  <conditionalFormatting sqref="AC4 AC6:AC11">
    <cfRule type="expression" dxfId="706" priority="67">
      <formula>ABS(AC$7-AC$10)&gt;=1000</formula>
    </cfRule>
  </conditionalFormatting>
  <conditionalFormatting sqref="AD4:AD11">
    <cfRule type="expression" dxfId="705" priority="66">
      <formula>ABS(AD$7-AD$10)&gt;=1000</formula>
    </cfRule>
  </conditionalFormatting>
  <conditionalFormatting sqref="AE4:AE11">
    <cfRule type="expression" dxfId="704" priority="65">
      <formula>ABS(AE$7-AE$10)&gt;=1000</formula>
    </cfRule>
  </conditionalFormatting>
  <conditionalFormatting sqref="D13:D20">
    <cfRule type="expression" dxfId="703" priority="64">
      <formula>ABS(D$16-D$19)&gt;=1000</formula>
    </cfRule>
  </conditionalFormatting>
  <conditionalFormatting sqref="E13:E20">
    <cfRule type="expression" dxfId="702" priority="63">
      <formula>ABS(E$16-E$19)&gt;=1000</formula>
    </cfRule>
  </conditionalFormatting>
  <conditionalFormatting sqref="F13 F15:F20">
    <cfRule type="expression" dxfId="701" priority="62">
      <formula>ABS(F$16-F$19)&gt;=1000</formula>
    </cfRule>
  </conditionalFormatting>
  <conditionalFormatting sqref="G13:G20">
    <cfRule type="expression" dxfId="700" priority="61">
      <formula>ABS(G$16-G$19)&gt;=1000</formula>
    </cfRule>
  </conditionalFormatting>
  <conditionalFormatting sqref="H13:H20">
    <cfRule type="expression" dxfId="699" priority="60">
      <formula>ABS(H$16-H$19)&gt;=1000</formula>
    </cfRule>
  </conditionalFormatting>
  <conditionalFormatting sqref="I13:I20">
    <cfRule type="expression" dxfId="698" priority="59">
      <formula>ABS(I$16-I$19)&gt;=1000</formula>
    </cfRule>
  </conditionalFormatting>
  <conditionalFormatting sqref="J13:J20">
    <cfRule type="expression" dxfId="697" priority="58">
      <formula>ABS(J$16-J$19)&gt;=1000</formula>
    </cfRule>
  </conditionalFormatting>
  <conditionalFormatting sqref="L13:L20">
    <cfRule type="expression" dxfId="696" priority="57">
      <formula>ABS(L$16-L$19)&gt;=1000</formula>
    </cfRule>
  </conditionalFormatting>
  <conditionalFormatting sqref="M13 M15 M17:M18 M20">
    <cfRule type="expression" dxfId="695" priority="56">
      <formula>ABS(M$16-M$19)&gt;=1000</formula>
    </cfRule>
  </conditionalFormatting>
  <conditionalFormatting sqref="N13:N20">
    <cfRule type="expression" dxfId="694" priority="55">
      <formula>ABS(N$16-N$19)&gt;=1000</formula>
    </cfRule>
  </conditionalFormatting>
  <conditionalFormatting sqref="O13:O20">
    <cfRule type="expression" dxfId="693" priority="54">
      <formula>ABS(O$16-O$19)&gt;=1000</formula>
    </cfRule>
  </conditionalFormatting>
  <conditionalFormatting sqref="P13:P20">
    <cfRule type="expression" dxfId="692" priority="53">
      <formula>ABS(P$16-P$19)&gt;=1000</formula>
    </cfRule>
  </conditionalFormatting>
  <conditionalFormatting sqref="Q13 Q15:Q20">
    <cfRule type="expression" dxfId="691" priority="52">
      <formula>ABS(Q$16-Q$19)&gt;=1000</formula>
    </cfRule>
  </conditionalFormatting>
  <conditionalFormatting sqref="R13:R20">
    <cfRule type="expression" dxfId="690" priority="51">
      <formula>ABS(R$16-R$19)&gt;=1000</formula>
    </cfRule>
  </conditionalFormatting>
  <conditionalFormatting sqref="S13:S20">
    <cfRule type="expression" dxfId="689" priority="50">
      <formula>ABS(S$16-S$19)&gt;=1000</formula>
    </cfRule>
  </conditionalFormatting>
  <conditionalFormatting sqref="T13:T20">
    <cfRule type="expression" dxfId="688" priority="49">
      <formula>ABS(T$16-T$19)&gt;=1000</formula>
    </cfRule>
  </conditionalFormatting>
  <conditionalFormatting sqref="U13:U20">
    <cfRule type="expression" dxfId="687" priority="48">
      <formula>ABS(U$16-U$19)&gt;=1000</formula>
    </cfRule>
  </conditionalFormatting>
  <conditionalFormatting sqref="V13:V20">
    <cfRule type="expression" dxfId="686" priority="47">
      <formula>ABS(V$16-V$19)&gt;=1000</formula>
    </cfRule>
  </conditionalFormatting>
  <conditionalFormatting sqref="W13 W15:W18 W20">
    <cfRule type="expression" dxfId="685" priority="46">
      <formula>ABS(W$16-W$19)&gt;=1000</formula>
    </cfRule>
  </conditionalFormatting>
  <conditionalFormatting sqref="X13 X15:X20 Y19">
    <cfRule type="expression" dxfId="684" priority="45">
      <formula>ABS(X$16-X$19)&gt;=1000</formula>
    </cfRule>
  </conditionalFormatting>
  <conditionalFormatting sqref="Y13 Y15:Y18 Y20">
    <cfRule type="expression" dxfId="683" priority="44">
      <formula>ABS(Y$16-Y$19)&gt;=1000</formula>
    </cfRule>
  </conditionalFormatting>
  <conditionalFormatting sqref="Z13:Z20">
    <cfRule type="expression" dxfId="682" priority="43">
      <formula>ABS(Z$16-Z$19)&gt;=1000</formula>
    </cfRule>
  </conditionalFormatting>
  <conditionalFormatting sqref="AA13:AA20">
    <cfRule type="expression" dxfId="681" priority="42">
      <formula>ABS(AA$16-AA$19)&gt;=1000</formula>
    </cfRule>
  </conditionalFormatting>
  <conditionalFormatting sqref="AB13 AB15:AB20">
    <cfRule type="expression" dxfId="680" priority="41">
      <formula>ABS(AB$16-AB$19)&gt;=1000</formula>
    </cfRule>
  </conditionalFormatting>
  <conditionalFormatting sqref="AC13 AC15:AC20">
    <cfRule type="expression" dxfId="679" priority="40">
      <formula>ABS(AC$16-AC$19)&gt;=1000</formula>
    </cfRule>
  </conditionalFormatting>
  <conditionalFormatting sqref="AD13:AD20">
    <cfRule type="expression" dxfId="678" priority="39">
      <formula>ABS(AD$16-AD$19)&gt;=1000</formula>
    </cfRule>
  </conditionalFormatting>
  <conditionalFormatting sqref="AE13:AE20">
    <cfRule type="expression" dxfId="677" priority="38">
      <formula>ABS(AE$16-AE$19)&gt;=1000</formula>
    </cfRule>
  </conditionalFormatting>
  <conditionalFormatting sqref="D22:D29">
    <cfRule type="expression" dxfId="676" priority="37">
      <formula>ABS(D$25-D$28)&gt;=1000</formula>
    </cfRule>
  </conditionalFormatting>
  <conditionalFormatting sqref="E22:E29">
    <cfRule type="expression" dxfId="675" priority="36">
      <formula>ABS(E$25-E$28)&gt;=1000</formula>
    </cfRule>
  </conditionalFormatting>
  <conditionalFormatting sqref="F22:F29">
    <cfRule type="expression" dxfId="674" priority="35">
      <formula>ABS(F$25-F$28)&gt;=1000</formula>
    </cfRule>
  </conditionalFormatting>
  <conditionalFormatting sqref="G22:G29">
    <cfRule type="expression" dxfId="673" priority="34">
      <formula>ABS(G$25-G$28)&gt;=1000</formula>
    </cfRule>
  </conditionalFormatting>
  <conditionalFormatting sqref="H22:H29">
    <cfRule type="expression" dxfId="672" priority="33">
      <formula>ABS(H$25-H$28)&gt;=1000</formula>
    </cfRule>
  </conditionalFormatting>
  <conditionalFormatting sqref="I22 I24:I29">
    <cfRule type="expression" dxfId="671" priority="32">
      <formula>ABS(I$25-I$28)&gt;=1000</formula>
    </cfRule>
  </conditionalFormatting>
  <conditionalFormatting sqref="J22:J29 K22">
    <cfRule type="expression" dxfId="670" priority="31">
      <formula>ABS(J$25-J$28)&gt;=1000</formula>
    </cfRule>
  </conditionalFormatting>
  <conditionalFormatting sqref="K23:K29 L25 L28">
    <cfRule type="expression" dxfId="669" priority="30">
      <formula>ABS(K$25-K$28)&gt;=1000</formula>
    </cfRule>
  </conditionalFormatting>
  <conditionalFormatting sqref="L22:L24 L26:L27 L29">
    <cfRule type="expression" dxfId="668" priority="29">
      <formula>ABS(L$25-L$28)&gt;=1000</formula>
    </cfRule>
  </conditionalFormatting>
  <conditionalFormatting sqref="M22:M29">
    <cfRule type="expression" dxfId="667" priority="28">
      <formula>ABS(M$25-M$28)&gt;=1000</formula>
    </cfRule>
  </conditionalFormatting>
  <conditionalFormatting sqref="N22:N29">
    <cfRule type="expression" dxfId="666" priority="27">
      <formula>ABS(N$25-N$28)&gt;=1000</formula>
    </cfRule>
  </conditionalFormatting>
  <conditionalFormatting sqref="O22:O29">
    <cfRule type="expression" dxfId="665" priority="26">
      <formula>ABS(O$25-O$28)&gt;=1000</formula>
    </cfRule>
  </conditionalFormatting>
  <conditionalFormatting sqref="P22:P29">
    <cfRule type="expression" dxfId="664" priority="25">
      <formula>ABS(P$25-P$28)&gt;=1000</formula>
    </cfRule>
  </conditionalFormatting>
  <conditionalFormatting sqref="Q22:Q29">
    <cfRule type="expression" dxfId="663" priority="24">
      <formula>ABS(Q$25-Q$28)&gt;=1000</formula>
    </cfRule>
  </conditionalFormatting>
  <conditionalFormatting sqref="R22:R29">
    <cfRule type="expression" dxfId="662" priority="23">
      <formula>ABS(R$25-R$28)&gt;=1000</formula>
    </cfRule>
  </conditionalFormatting>
  <conditionalFormatting sqref="S22:S29">
    <cfRule type="expression" dxfId="661" priority="22">
      <formula>ABS(S$25-S$28)&gt;=1000</formula>
    </cfRule>
  </conditionalFormatting>
  <conditionalFormatting sqref="T22:T29">
    <cfRule type="expression" dxfId="660" priority="21">
      <formula>ABS(T$25-T$28)&gt;=1000</formula>
    </cfRule>
  </conditionalFormatting>
  <conditionalFormatting sqref="U22:U29">
    <cfRule type="expression" dxfId="659" priority="20">
      <formula>ABS(U$25-U$28)&gt;=1000</formula>
    </cfRule>
  </conditionalFormatting>
  <conditionalFormatting sqref="V22:V29">
    <cfRule type="expression" dxfId="658" priority="19">
      <formula>ABS(V$25-V$28)&gt;=1000</formula>
    </cfRule>
  </conditionalFormatting>
  <conditionalFormatting sqref="W22:W29">
    <cfRule type="expression" dxfId="657" priority="18">
      <formula>ABS(W$25-W$28)&gt;=1000</formula>
    </cfRule>
  </conditionalFormatting>
  <conditionalFormatting sqref="X22:X29">
    <cfRule type="expression" dxfId="656" priority="17">
      <formula>ABS(X$25-X$28)&gt;=1000</formula>
    </cfRule>
  </conditionalFormatting>
  <conditionalFormatting sqref="Y22:Y29">
    <cfRule type="expression" dxfId="655" priority="16">
      <formula>ABS(Y$25-Y$28)&gt;=1000</formula>
    </cfRule>
  </conditionalFormatting>
  <conditionalFormatting sqref="I23">
    <cfRule type="expression" dxfId="654" priority="15">
      <formula>ABS(I$25-I$28)&gt;=1000</formula>
    </cfRule>
  </conditionalFormatting>
  <conditionalFormatting sqref="F14">
    <cfRule type="expression" dxfId="653" priority="14">
      <formula>ABS(F$16-F$19)&gt;=1000</formula>
    </cfRule>
  </conditionalFormatting>
  <conditionalFormatting sqref="Q14">
    <cfRule type="expression" dxfId="652" priority="13">
      <formula>ABS(Q$16-Q$19)&gt;=1000</formula>
    </cfRule>
  </conditionalFormatting>
  <conditionalFormatting sqref="W14">
    <cfRule type="expression" dxfId="651" priority="12">
      <formula>ABS(W$16-W$19)&gt;=1000</formula>
    </cfRule>
  </conditionalFormatting>
  <conditionalFormatting sqref="Y14">
    <cfRule type="expression" dxfId="650" priority="11">
      <formula>ABS(Y$16-Y$19)&gt;=1000</formula>
    </cfRule>
  </conditionalFormatting>
  <conditionalFormatting sqref="X14">
    <cfRule type="expression" dxfId="649" priority="10">
      <formula>ABS(X$16-X$19)&gt;=1000</formula>
    </cfRule>
  </conditionalFormatting>
  <conditionalFormatting sqref="T10:Y10">
    <cfRule type="expression" dxfId="648" priority="9">
      <formula>ABS(T$7-T$10)&gt;=1000</formula>
    </cfRule>
  </conditionalFormatting>
  <conditionalFormatting sqref="W19">
    <cfRule type="expression" dxfId="647" priority="8">
      <formula>ABS(W$16-W$19)&gt;=1000</formula>
    </cfRule>
  </conditionalFormatting>
  <conditionalFormatting sqref="AC5">
    <cfRule type="expression" dxfId="646" priority="7">
      <formula>ABS(AC$7-AC$10)&gt;=1000</formula>
    </cfRule>
  </conditionalFormatting>
  <conditionalFormatting sqref="M14">
    <cfRule type="expression" dxfId="645" priority="6">
      <formula>ABS(M$16-M$19)&gt;=1000</formula>
    </cfRule>
  </conditionalFormatting>
  <conditionalFormatting sqref="M16">
    <cfRule type="expression" dxfId="644" priority="5">
      <formula>ABS(M$16-M$19)&gt;=1000</formula>
    </cfRule>
  </conditionalFormatting>
  <conditionalFormatting sqref="M19">
    <cfRule type="expression" dxfId="643" priority="4">
      <formula>ABS(M$16-M$19)&gt;=1000</formula>
    </cfRule>
  </conditionalFormatting>
  <conditionalFormatting sqref="K13:K20">
    <cfRule type="expression" dxfId="642" priority="3">
      <formula>ABS(K$16-K$19)&gt;=1000</formula>
    </cfRule>
  </conditionalFormatting>
  <conditionalFormatting sqref="E5">
    <cfRule type="expression" dxfId="641" priority="2">
      <formula>ABS(E$7-E$10)&gt;=1000</formula>
    </cfRule>
  </conditionalFormatting>
  <conditionalFormatting sqref="AB14:AC14">
    <cfRule type="expression" dxfId="640" priority="1">
      <formula>ABS(AB$16-AB$19)&gt;=1000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363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59">
    <pageSetUpPr fitToPage="1"/>
  </sheetPr>
  <dimension ref="A1:CU223"/>
  <sheetViews>
    <sheetView view="pageBreakPreview" zoomScale="70" zoomScaleNormal="100" zoomScaleSheetLayoutView="70" workbookViewId="0">
      <selection activeCell="J22" sqref="J22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36" t="s" ph="1">
        <v>195</v>
      </c>
      <c r="C1" s="236" ph="1"/>
      <c r="D1" s="236" ph="1"/>
      <c r="E1" s="236" ph="1"/>
      <c r="F1" s="236" ph="1"/>
      <c r="G1" s="236" ph="1"/>
      <c r="H1" s="236" ph="1"/>
      <c r="I1" s="236" ph="1"/>
      <c r="J1" s="236" ph="1"/>
      <c r="K1" s="236" ph="1"/>
      <c r="L1" s="236" ph="1"/>
      <c r="M1" s="236" ph="1"/>
      <c r="N1" s="236" ph="1"/>
      <c r="O1" s="236" ph="1"/>
      <c r="P1" s="236" ph="1"/>
      <c r="Q1" s="236" ph="1"/>
      <c r="R1" s="236" ph="1"/>
      <c r="S1" s="236" ph="1"/>
      <c r="T1" s="236" ph="1"/>
      <c r="U1" s="236" ph="1"/>
      <c r="V1" s="236" ph="1"/>
      <c r="W1" s="236" ph="1"/>
      <c r="X1" s="236" ph="1"/>
      <c r="Y1" s="236" ph="1"/>
      <c r="Z1" s="236" ph="1"/>
      <c r="AA1" s="236" ph="1"/>
      <c r="AB1" s="236" ph="1"/>
      <c r="AC1" s="236" ph="1"/>
      <c r="AD1" s="236" ph="1"/>
      <c r="AE1" s="236" ph="1"/>
    </row>
    <row r="2" spans="1:99" s="66" customFormat="1" ht="24" customHeight="1" ph="1">
      <c r="B2" s="237" t="s" ph="1">
        <v>99</v>
      </c>
      <c r="C2" s="237" ph="1"/>
      <c r="D2" s="237" ph="1"/>
      <c r="E2" s="237" ph="1"/>
      <c r="F2" s="237" ph="1"/>
      <c r="G2" s="237" ph="1"/>
      <c r="H2" s="237" ph="1"/>
      <c r="I2" s="237" ph="1"/>
      <c r="J2" s="237" ph="1"/>
      <c r="K2" s="237" ph="1"/>
      <c r="L2" s="237" ph="1"/>
      <c r="M2" s="237" ph="1"/>
      <c r="N2" s="237" ph="1"/>
      <c r="O2" s="237" ph="1"/>
      <c r="P2" s="237" ph="1"/>
      <c r="Q2" s="237" ph="1"/>
      <c r="R2" s="237" ph="1"/>
      <c r="S2" s="237" ph="1"/>
      <c r="T2" s="237" ph="1"/>
      <c r="U2" s="237" ph="1"/>
      <c r="V2" s="237" ph="1"/>
      <c r="W2" s="237" ph="1"/>
      <c r="X2" s="237" ph="1"/>
      <c r="Y2" s="237" ph="1"/>
      <c r="Z2" s="237" ph="1"/>
      <c r="AA2" s="237" ph="1"/>
      <c r="AB2" s="237" ph="1"/>
      <c r="AC2" s="237" ph="1"/>
      <c r="AD2" s="237" ph="1"/>
      <c r="AE2" s="237" ph="1"/>
    </row>
    <row r="3" spans="1:99" ht="21" customHeight="1" ph="1">
      <c r="B3" s="238" ph="1">
        <v>45677</v>
      </c>
      <c r="C3" s="238"/>
      <c r="D3" s="238"/>
      <c r="E3" s="238"/>
      <c r="F3" s="238"/>
      <c r="G3" s="238"/>
      <c r="H3" s="238"/>
      <c r="I3" s="238"/>
      <c r="J3" s="238"/>
      <c r="K3" s="238"/>
      <c r="L3" s="238"/>
      <c r="M3" s="238"/>
      <c r="N3" s="238"/>
      <c r="O3" s="238"/>
      <c r="P3" s="238"/>
      <c r="Q3" s="238"/>
      <c r="R3" s="238"/>
      <c r="S3" s="238"/>
      <c r="T3" s="238"/>
      <c r="U3" s="238"/>
      <c r="V3" s="238"/>
      <c r="W3" s="238"/>
      <c r="X3" s="238"/>
      <c r="Y3" s="238"/>
      <c r="Z3" s="238"/>
      <c r="AA3" s="238"/>
      <c r="AB3" s="238"/>
      <c r="AC3" s="238"/>
      <c r="AD3" s="238"/>
      <c r="AE3" s="238"/>
    </row>
    <row r="4" spans="1:99" s="69" customFormat="1" ph="1">
      <c r="A4" s="65" ph="1"/>
      <c r="B4" s="217" t="s" ph="1">
        <v>37</v>
      </c>
      <c r="C4" s="67" t="s" ph="1">
        <v>210</v>
      </c>
      <c r="D4" s="68" t="s" ph="1">
        <v>45</v>
      </c>
      <c r="E4" s="68" t="s" ph="1">
        <v>46</v>
      </c>
      <c r="F4" s="68" t="s" ph="1">
        <v>39</v>
      </c>
      <c r="G4" s="68" t="s" ph="1">
        <v>47</v>
      </c>
      <c r="H4" s="68" t="s" ph="1">
        <v>48</v>
      </c>
      <c r="I4" s="68" t="s" ph="1">
        <v>133</v>
      </c>
      <c r="J4" s="68" t="s" ph="1">
        <v>49</v>
      </c>
      <c r="K4" s="68" t="s" ph="1">
        <v>134</v>
      </c>
      <c r="L4" s="68" t="s" ph="1">
        <v>135</v>
      </c>
      <c r="M4" s="68" t="s" ph="1">
        <v>50</v>
      </c>
      <c r="N4" s="68" t="s" ph="1">
        <v>51</v>
      </c>
      <c r="O4" s="68" t="s" ph="1">
        <v>137</v>
      </c>
      <c r="P4" s="68" t="s" ph="1">
        <v>139</v>
      </c>
      <c r="Q4" s="68" t="s" ph="1">
        <v>140</v>
      </c>
      <c r="R4" s="68" t="s" ph="1">
        <v>141</v>
      </c>
      <c r="S4" s="68" t="s" ph="1">
        <v>142</v>
      </c>
      <c r="T4" s="68" t="s" ph="1">
        <v>143</v>
      </c>
      <c r="U4" s="68" t="s" ph="1">
        <v>144</v>
      </c>
      <c r="V4" s="68" t="s" ph="1">
        <v>145</v>
      </c>
      <c r="W4" s="68" t="s" ph="1">
        <v>146</v>
      </c>
      <c r="X4" s="68" t="s" ph="1">
        <v>147</v>
      </c>
      <c r="Y4" s="68" t="s" ph="1">
        <v>148</v>
      </c>
      <c r="Z4" s="68" t="s" ph="1">
        <v>52</v>
      </c>
      <c r="AA4" s="68" t="s" ph="1">
        <v>149</v>
      </c>
      <c r="AB4" s="68" t="s" ph="1">
        <v>150</v>
      </c>
      <c r="AC4" s="68" t="s" ph="1">
        <v>151</v>
      </c>
      <c r="AD4" s="68" t="s" ph="1">
        <v>40</v>
      </c>
      <c r="AE4" s="68" t="s" ph="1">
        <v>152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7" ph="1"/>
      <c r="C5" s="67" t="s" ph="1">
        <v>36</v>
      </c>
      <c r="D5" s="70" t="s" ph="1">
        <v>194</v>
      </c>
      <c r="E5" s="70" t="s" ph="1">
        <v>55</v>
      </c>
      <c r="F5" s="70" t="s" ph="1">
        <v>130</v>
      </c>
      <c r="G5" s="70" t="s" ph="1">
        <v>56</v>
      </c>
      <c r="H5" s="70" t="s" ph="1">
        <v>56</v>
      </c>
      <c r="I5" s="70" t="s" ph="1">
        <v>57</v>
      </c>
      <c r="J5" s="70" t="s" ph="1">
        <v>58</v>
      </c>
      <c r="K5" s="70" t="s" ph="1">
        <v>59</v>
      </c>
      <c r="L5" s="70" t="s" ph="1">
        <v>136</v>
      </c>
      <c r="M5" s="70" t="s" ph="1">
        <v>60</v>
      </c>
      <c r="N5" s="70" t="s" ph="1">
        <v>61</v>
      </c>
      <c r="O5" s="70" t="s" ph="1">
        <v>138</v>
      </c>
      <c r="P5" s="70" t="s" ph="1">
        <v>88</v>
      </c>
      <c r="Q5" s="70" t="s" ph="1">
        <v>96</v>
      </c>
      <c r="R5" s="70" t="s" ph="1">
        <v>96</v>
      </c>
      <c r="S5" s="70" t="s" ph="1">
        <v>96</v>
      </c>
      <c r="T5" s="70" t="s" ph="1">
        <v>96</v>
      </c>
      <c r="U5" s="70" t="s" ph="1">
        <v>96</v>
      </c>
      <c r="V5" s="70" t="s" ph="1">
        <v>96</v>
      </c>
      <c r="W5" s="70" t="s" ph="1">
        <v>96</v>
      </c>
      <c r="X5" s="70" t="s" ph="1">
        <v>96</v>
      </c>
      <c r="Y5" s="70" t="s" ph="1">
        <v>96</v>
      </c>
      <c r="Z5" s="70" t="s" ph="1">
        <v>95</v>
      </c>
      <c r="AA5" s="70" t="s" ph="1">
        <v>62</v>
      </c>
      <c r="AB5" s="70" t="s" ph="1">
        <v>62</v>
      </c>
      <c r="AC5" s="70" t="s" ph="1">
        <v>222</v>
      </c>
      <c r="AD5" s="70" t="s" ph="1">
        <v>83</v>
      </c>
      <c r="AE5" s="70" t="s" ph="1">
        <v>661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5" ph="1">
        <v>0.33333333333333331</v>
      </c>
      <c r="C6" s="151" t="s" ph="1">
        <v>211</v>
      </c>
      <c r="D6" s="71">
        <v>4096</v>
      </c>
      <c r="E6" s="71">
        <v>0</v>
      </c>
      <c r="F6" s="71">
        <v>2511</v>
      </c>
      <c r="G6" s="71">
        <v>8874</v>
      </c>
      <c r="H6" s="71">
        <v>6286</v>
      </c>
      <c r="I6" s="71">
        <v>39.119999999999997</v>
      </c>
      <c r="J6" s="71">
        <v>79.81</v>
      </c>
      <c r="K6" s="71">
        <v>84.87</v>
      </c>
      <c r="L6" s="71">
        <v>39.020000000000003</v>
      </c>
      <c r="M6" s="71">
        <v>5192</v>
      </c>
      <c r="N6" s="71">
        <v>5724</v>
      </c>
      <c r="O6" s="71">
        <v>5204</v>
      </c>
      <c r="P6" s="71">
        <v>4249</v>
      </c>
      <c r="Q6" s="71">
        <v>6891</v>
      </c>
      <c r="R6" s="71">
        <v>7063</v>
      </c>
      <c r="S6" s="71">
        <v>2523</v>
      </c>
      <c r="T6" s="71">
        <v>2436</v>
      </c>
      <c r="U6" s="71">
        <v>0</v>
      </c>
      <c r="V6" s="71">
        <v>0</v>
      </c>
      <c r="W6" s="71">
        <v>0</v>
      </c>
      <c r="X6" s="71">
        <v>0</v>
      </c>
      <c r="Y6" s="71">
        <v>2720</v>
      </c>
      <c r="Z6" s="71">
        <v>2899</v>
      </c>
      <c r="AA6" s="71">
        <v>1715</v>
      </c>
      <c r="AB6" s="71">
        <v>2151</v>
      </c>
      <c r="AC6" s="71">
        <v>6768</v>
      </c>
      <c r="AD6" s="71">
        <v>261</v>
      </c>
      <c r="AE6" s="71">
        <v>2600</v>
      </c>
    </row>
    <row r="7" spans="1:99" s="72" customFormat="1" ht="22.5" ph="1">
      <c r="B7" s="235" ph="1"/>
      <c r="C7" s="68" t="s" ph="1">
        <v>212</v>
      </c>
      <c r="D7" s="73" ph="1">
        <f>D6*33.183*LOOKUP(D8,密度!$A$2:$A$50,密度!$Q$2:$Q$50)</f>
        <v>129738.75535872001</v>
      </c>
      <c r="E7" s="73" ph="1">
        <f>E6*51.53*LOOKUP(E8,密度!$A$2:$A$50,密度!$I$2:$I$50)</f>
        <v>0</v>
      </c>
      <c r="F7" s="73" ph="1">
        <f>F6*33.183*LOOKUP(F8,密度!$A$2:$A$50,密度!$C$2:$C$50)</f>
        <v>92971.260005399992</v>
      </c>
      <c r="G7" s="73" ph="1">
        <f xml:space="preserve"> (G6+2)*51.53*LOOKUP(G8,密度!$A$2:$A$50,密度!$B$2:$B$50)</f>
        <v>360827.30289200007</v>
      </c>
      <c r="H7" s="73" ph="1">
        <f>(H6)*51.53*LOOKUP(H8,密度!$A$2:$A$50,密度!$B$2:$B$50)</f>
        <v>257190.55852000002</v>
      </c>
      <c r="I7" s="73" ph="1">
        <f>I6*290.8*1.0267</f>
        <v>11679.837763199999</v>
      </c>
      <c r="J7" s="73" ph="1">
        <f>J6*290.8*0.7892</f>
        <v>18316.343921600004</v>
      </c>
      <c r="K7" s="73" ph="1">
        <f>K6*290.8*1.1126</f>
        <v>27459.186069600004</v>
      </c>
      <c r="L7" s="73" ph="1">
        <f>L6*290.8*0.777</f>
        <v>8816.631432000002</v>
      </c>
      <c r="M7" s="73" ph="1">
        <f>M6*33.183*LOOKUP(M8,密度!$A$2:$A$50,密度!$D$2:$D$50)</f>
        <v>178574.579964</v>
      </c>
      <c r="N7" s="73" ph="1">
        <f>N6*33.183*LOOKUP(N8,密度!$A$2:$A$50,密度!$E$2:$E$50)</f>
        <v>150944.9142924</v>
      </c>
      <c r="O7" s="73" ph="1">
        <f>O6*20.428*LOOKUP(O8,密度!$A$2:$A$50,密度!$C$2:$C$50)</f>
        <v>118203.10021280001</v>
      </c>
      <c r="P7" s="73" ph="1">
        <f>P6*51.53*LOOKUP(P8,密度!$A$2:$A$50,密度!$B$2:$B$50)</f>
        <v>172533.36436000001</v>
      </c>
      <c r="Q7" s="73" ph="1">
        <f>Q6*1.5*1.5*3.1416*LOOKUP(W8,密度!$A$2:$A$50,密度!$L$2:$L$50)</f>
        <v>46128.107302199998</v>
      </c>
      <c r="R7" s="73" ph="1">
        <f>R6*1.5*1.5*3.1416*LOOKUP(R8,密度!$A$2:$A$50,密度!$L$2:$L$50)</f>
        <v>46979.916013800001</v>
      </c>
      <c r="S7" s="73" ph="1">
        <f>S6*1.5*1.5*3.1416*LOOKUP(S8,密度!$A$2:$A$50,密度!$L$2:$L$50)</f>
        <v>16978.042065599999</v>
      </c>
      <c r="T7" s="73" ph="1">
        <f>T6*1.5*1.5*3.1416*LOOKUP(T8,密度!$A$2:$A$50,密度!$L$2:$L$50)</f>
        <v>16358.154119999999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18207.582623999999</v>
      </c>
      <c r="Z7" s="73" ph="1">
        <f>Z6*33.183*LOOKUP(Z8,密度!$A$2:$A$50,密度!$L$2:$L$50)</f>
        <v>91291.443632999988</v>
      </c>
      <c r="AA7" s="73" ph="1">
        <f>AA6*33.183*LOOKUP(AA8,密度!$A$2:$A$50,密度!$D$2:$D$50)</f>
        <v>58986.017842499998</v>
      </c>
      <c r="AB7" s="73" ph="1">
        <f>AB6*20.428*LOOKUP(AB8,密度!$A$2:$A$50,密度!$D$2:$D$50)</f>
        <v>45895.985946000001</v>
      </c>
      <c r="AC7" s="73" ph="1">
        <f>AC6*51.53*LOOKUP(AC8,密度!$A$2:$A$50,密度!$Q$2:$Q$50)</f>
        <v>332900.63588159997</v>
      </c>
      <c r="AD7" s="73" ph="1">
        <f>AD6*20.428*LOOKUP(AD8,密度!$A$2:$A$50,密度!$V$2:$V$50)</f>
        <v>5139.7665120000001</v>
      </c>
      <c r="AE7" s="73" ph="1">
        <f>AE6*20.428</f>
        <v>53112.800000000003</v>
      </c>
    </row>
    <row r="8" spans="1:99" ph="1">
      <c r="B8" s="235" ph="1"/>
      <c r="C8" s="68" t="s" ph="1">
        <v>213</v>
      </c>
      <c r="D8" s="74">
        <v>15</v>
      </c>
      <c r="E8" s="74">
        <v>14</v>
      </c>
      <c r="F8" s="74">
        <v>15</v>
      </c>
      <c r="G8" s="74">
        <v>14</v>
      </c>
      <c r="H8" s="74">
        <v>8</v>
      </c>
      <c r="I8" s="74">
        <v>25</v>
      </c>
      <c r="J8" s="74">
        <v>25</v>
      </c>
      <c r="K8" s="74">
        <v>25</v>
      </c>
      <c r="L8" s="74">
        <v>25</v>
      </c>
      <c r="M8" s="74">
        <v>14</v>
      </c>
      <c r="N8" s="74">
        <v>15</v>
      </c>
      <c r="O8" s="74">
        <v>21</v>
      </c>
      <c r="P8" s="74">
        <v>15</v>
      </c>
      <c r="Q8" s="74">
        <v>14</v>
      </c>
      <c r="R8" s="74">
        <v>21</v>
      </c>
      <c r="S8" s="74">
        <v>10</v>
      </c>
      <c r="T8" s="74">
        <v>12</v>
      </c>
      <c r="U8" s="74">
        <v>15</v>
      </c>
      <c r="V8" s="74">
        <v>18</v>
      </c>
      <c r="W8" s="74">
        <v>15</v>
      </c>
      <c r="X8" s="74">
        <v>6</v>
      </c>
      <c r="Y8" s="74">
        <v>15</v>
      </c>
      <c r="Z8" s="74">
        <v>13</v>
      </c>
      <c r="AA8" s="74">
        <v>14</v>
      </c>
      <c r="AB8" s="74">
        <v>5</v>
      </c>
      <c r="AC8" s="74">
        <v>12</v>
      </c>
      <c r="AD8" s="74">
        <v>13</v>
      </c>
      <c r="AE8" s="74">
        <v>19</v>
      </c>
    </row>
    <row r="9" spans="1:99" ph="1">
      <c r="B9" s="235" ph="1">
        <v>0.66666666666666663</v>
      </c>
      <c r="C9" s="151" t="s" ph="1">
        <v>214</v>
      </c>
      <c r="D9" s="71">
        <v>4096</v>
      </c>
      <c r="E9" s="71">
        <v>0</v>
      </c>
      <c r="F9" s="71">
        <v>3068</v>
      </c>
      <c r="G9" s="71">
        <v>8876</v>
      </c>
      <c r="H9" s="71">
        <v>5983</v>
      </c>
      <c r="I9" s="71">
        <v>39.119999999999997</v>
      </c>
      <c r="J9" s="71">
        <v>80.13</v>
      </c>
      <c r="K9" s="71">
        <v>90.87</v>
      </c>
      <c r="L9" s="71">
        <v>39.869999999999997</v>
      </c>
      <c r="M9" s="71">
        <v>5194</v>
      </c>
      <c r="N9" s="71">
        <v>5731</v>
      </c>
      <c r="O9" s="71">
        <v>5177</v>
      </c>
      <c r="P9" s="71">
        <v>4137</v>
      </c>
      <c r="Q9" s="71">
        <v>6889</v>
      </c>
      <c r="R9" s="71">
        <v>7069</v>
      </c>
      <c r="S9" s="71">
        <v>5287</v>
      </c>
      <c r="T9" s="71">
        <v>5187</v>
      </c>
      <c r="U9" s="71">
        <v>0</v>
      </c>
      <c r="V9" s="71">
        <v>0</v>
      </c>
      <c r="W9" s="71">
        <v>0</v>
      </c>
      <c r="X9" s="71">
        <v>0</v>
      </c>
      <c r="Y9" s="71">
        <v>1000</v>
      </c>
      <c r="Z9" s="71">
        <v>617</v>
      </c>
      <c r="AA9" s="71">
        <v>1711</v>
      </c>
      <c r="AB9" s="71">
        <v>3280</v>
      </c>
      <c r="AC9" s="71">
        <v>7067</v>
      </c>
      <c r="AD9" s="71">
        <v>261</v>
      </c>
      <c r="AE9" s="71">
        <v>2468</v>
      </c>
    </row>
    <row r="10" spans="1:99" s="72" customFormat="1" ht="22.5" ph="1">
      <c r="B10" s="235" ph="1"/>
      <c r="C10" s="151" t="s" ph="1">
        <v>212</v>
      </c>
      <c r="D10" s="73" ph="1">
        <f>D9*33.183*LOOKUP(D11,密度!$A$2:$A$50,密度!$Q$2:$Q$50)</f>
        <v>129610.9928448</v>
      </c>
      <c r="E10" s="73" ph="1">
        <f>E9*51.53*LOOKUP(E11,密度!$A$2:$A$50,密度!$I$2:$I$50)</f>
        <v>0</v>
      </c>
      <c r="F10" s="73" ph="1">
        <f>F9*33.183*LOOKUP(F11,密度!$A$2:$A$50,密度!$C$2:$C$50)</f>
        <v>113462.16733800001</v>
      </c>
      <c r="G10" s="73" ph="1">
        <f xml:space="preserve"> (G9+2)*51.53*LOOKUP(G11,密度!$A$2:$A$50,密度!$B$2:$B$50)</f>
        <v>360130.88524800004</v>
      </c>
      <c r="H10" s="73" ph="1">
        <f>(H9)*51.53*LOOKUP(H11,密度!$A$2:$A$50,密度!$B$2:$B$50)</f>
        <v>243745.13449399997</v>
      </c>
      <c r="I10" s="73" ph="1">
        <f>I9*290.8*1.0267</f>
        <v>11679.837763199999</v>
      </c>
      <c r="J10" s="73" ph="1">
        <f>J9*290.8*0.7892</f>
        <v>18389.783716800001</v>
      </c>
      <c r="K10" s="73" ph="1">
        <f>K9*290.8*1.1126</f>
        <v>29400.450549600006</v>
      </c>
      <c r="L10" s="73" ph="1">
        <f>L9*290.8*0.777</f>
        <v>9008.6902919999993</v>
      </c>
      <c r="M10" s="73" ph="1">
        <f>M9*33.183*LOOKUP(M11,密度!$A$2:$A$50,密度!$D$2:$D$50)</f>
        <v>178350.36906960001</v>
      </c>
      <c r="N10" s="73" ph="1">
        <f>N9*33.183*LOOKUP(N11,密度!$A$2:$A$50,密度!$E$2:$E$50)</f>
        <v>150711.1301025</v>
      </c>
      <c r="O10" s="73" ph="1">
        <f>O9*20.428*LOOKUP(O11,密度!$A$2:$A$50,密度!$C$2:$C$50)</f>
        <v>117431.19146240002</v>
      </c>
      <c r="P10" s="73" ph="1">
        <f>P9*51.53*LOOKUP(P11,密度!$A$2:$A$50,密度!$B$2:$B$50)</f>
        <v>167495.21957700001</v>
      </c>
      <c r="Q10" s="73" ph="1">
        <f>Q9*1.5*1.5*3.1416*LOOKUP(W11,密度!$A$2:$A$50,密度!$L$2:$L$50)</f>
        <v>45676.459105199996</v>
      </c>
      <c r="R10" s="73" ph="1">
        <f>R9*1.5*1.5*3.1416*LOOKUP(R11,密度!$A$2:$A$50,密度!$L$2:$L$50)</f>
        <v>46919.889462599996</v>
      </c>
      <c r="S10" s="73" ph="1">
        <f>S9*1.5*1.5*3.1416*LOOKUP(S11,密度!$A$2:$A$50,密度!$L$2:$L$50)</f>
        <v>35465.732101799993</v>
      </c>
      <c r="T10" s="73" ph="1">
        <f>T9*1.5*1.5*3.1416*LOOKUP(T11,密度!$A$2:$A$50,密度!$L$2:$L$50)</f>
        <v>34758.257133599996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6672.7583999999988</v>
      </c>
      <c r="Z10" s="73" ph="1">
        <f>Z9*33.183*LOOKUP(Z11,密度!$A$2:$A$50,密度!$L$2:$L$50)</f>
        <v>19409.267627999998</v>
      </c>
      <c r="AA10" s="73" ph="1">
        <f>AA9*33.183*LOOKUP(AA11,密度!$A$2:$A$50,密度!$D$2:$D$50)</f>
        <v>58655.402340299996</v>
      </c>
      <c r="AB10" s="73" ph="1">
        <f>AB9*20.428*LOOKUP(AB11,密度!$A$2:$A$50,密度!$D$2:$D$50)</f>
        <v>69925.207424000007</v>
      </c>
      <c r="AC10" s="73" ph="1">
        <f>AC9*51.53*LOOKUP(AC11,密度!$A$2:$A$50,密度!$Q$2:$Q$50)</f>
        <v>347265.36953600001</v>
      </c>
      <c r="AD10" s="73" ph="1">
        <f>AD9*20.428*LOOKUP(AD11,密度!$A$2:$A$50,密度!$V$2:$V$50)</f>
        <v>5139.7665120000001</v>
      </c>
      <c r="AE10" s="73" ph="1">
        <f>AE9*20.428</f>
        <v>50416.304000000004</v>
      </c>
    </row>
    <row r="11" spans="1:99" ph="1">
      <c r="A11" s="64" t="s" ph="1">
        <v>196</v>
      </c>
      <c r="B11" s="235" ph="1"/>
      <c r="C11" s="151" t="s" ph="1">
        <v>213</v>
      </c>
      <c r="D11" s="74">
        <v>16</v>
      </c>
      <c r="E11" s="74">
        <v>17</v>
      </c>
      <c r="F11" s="74">
        <v>17</v>
      </c>
      <c r="G11" s="74">
        <v>16</v>
      </c>
      <c r="H11" s="74">
        <v>12</v>
      </c>
      <c r="I11" s="74">
        <v>25</v>
      </c>
      <c r="J11" s="74">
        <v>25</v>
      </c>
      <c r="K11" s="74">
        <v>25</v>
      </c>
      <c r="L11" s="74">
        <v>25</v>
      </c>
      <c r="M11" s="74">
        <v>16</v>
      </c>
      <c r="N11" s="74">
        <v>17</v>
      </c>
      <c r="O11" s="74">
        <v>23</v>
      </c>
      <c r="P11" s="74">
        <v>18</v>
      </c>
      <c r="Q11" s="74">
        <v>16</v>
      </c>
      <c r="R11" s="74">
        <v>23</v>
      </c>
      <c r="S11" s="74">
        <v>13</v>
      </c>
      <c r="T11" s="74">
        <v>14</v>
      </c>
      <c r="U11" s="74">
        <v>18</v>
      </c>
      <c r="V11" s="74">
        <v>25</v>
      </c>
      <c r="W11" s="74">
        <v>24</v>
      </c>
      <c r="X11" s="74">
        <v>14</v>
      </c>
      <c r="Y11" s="74">
        <v>18</v>
      </c>
      <c r="Z11" s="74">
        <v>14</v>
      </c>
      <c r="AA11" s="74">
        <v>18</v>
      </c>
      <c r="AB11" s="74">
        <v>6</v>
      </c>
      <c r="AC11" s="74">
        <v>16</v>
      </c>
      <c r="AD11" s="74">
        <v>18</v>
      </c>
      <c r="AE11" s="74">
        <v>21</v>
      </c>
    </row>
    <row r="12" spans="1:99" ht="9.9499999999999993" customHeight="1" ph="1"/>
    <row r="13" spans="1:99" s="72" customFormat="1" ht="29.25" customHeight="1" ph="1">
      <c r="B13" s="212" t="s" ph="1">
        <v>37</v>
      </c>
      <c r="C13" s="151" t="s" ph="1">
        <v>210</v>
      </c>
      <c r="D13" s="76" t="s" ph="1">
        <v>53</v>
      </c>
      <c r="E13" s="76" t="s" ph="1">
        <v>54</v>
      </c>
      <c r="F13" s="76" t="s" ph="1">
        <v>66</v>
      </c>
      <c r="G13" s="76" t="s" ph="1">
        <v>67</v>
      </c>
      <c r="H13" s="76" t="s" ph="1">
        <v>154</v>
      </c>
      <c r="I13" s="76" t="s" ph="1">
        <v>68</v>
      </c>
      <c r="J13" s="76" t="s" ph="1">
        <v>155</v>
      </c>
      <c r="K13" s="76" t="s" ph="1">
        <v>63</v>
      </c>
      <c r="L13" s="76" t="s" ph="1">
        <v>69</v>
      </c>
      <c r="M13" s="76" t="s" ph="1">
        <v>70</v>
      </c>
      <c r="N13" s="76" t="s" ph="1">
        <v>156</v>
      </c>
      <c r="O13" s="76" t="s" ph="1">
        <v>64</v>
      </c>
      <c r="P13" s="76" t="s" ph="1">
        <v>71</v>
      </c>
      <c r="Q13" s="76" t="s" ph="1">
        <v>72</v>
      </c>
      <c r="R13" s="76" t="s" ph="1">
        <v>73</v>
      </c>
      <c r="S13" s="76" t="s" ph="1">
        <v>74</v>
      </c>
      <c r="T13" s="76" t="s" ph="1">
        <v>75</v>
      </c>
      <c r="U13" s="76" t="s" ph="1">
        <v>76</v>
      </c>
      <c r="V13" s="76" t="s" ph="1">
        <v>157</v>
      </c>
      <c r="W13" s="76" t="s" ph="1">
        <v>158</v>
      </c>
      <c r="X13" s="76" t="s" ph="1">
        <v>159</v>
      </c>
      <c r="Y13" s="105" t="s" ph="1">
        <v>77</v>
      </c>
      <c r="Z13" s="76" t="s" ph="1">
        <v>86</v>
      </c>
      <c r="AA13" s="76" t="s" ph="1">
        <v>160</v>
      </c>
      <c r="AB13" s="76" t="s" ph="1">
        <v>161</v>
      </c>
      <c r="AC13" s="76" t="s" ph="1">
        <v>162</v>
      </c>
      <c r="AD13" s="76" t="s" ph="1">
        <v>163</v>
      </c>
      <c r="AE13" s="76" t="s" ph="1">
        <v>164</v>
      </c>
      <c r="AG13" s="72" t="s" ph="1">
        <v>369</v>
      </c>
      <c r="AH13" s="72" t="s" ph="1">
        <v>232</v>
      </c>
      <c r="AI13" s="72" t="s" ph="1">
        <v>233</v>
      </c>
      <c r="AJ13" s="72" t="s" ph="1">
        <v>234</v>
      </c>
      <c r="AK13" s="72" t="s" ph="1">
        <v>235</v>
      </c>
      <c r="AL13" s="72" t="s" ph="1">
        <v>236</v>
      </c>
      <c r="AM13" s="72" t="s" ph="1">
        <v>237</v>
      </c>
      <c r="AN13" s="72" t="s" ph="1">
        <v>238</v>
      </c>
      <c r="AO13" s="72" t="s" ph="1">
        <v>239</v>
      </c>
      <c r="AP13" s="72" t="s" ph="1">
        <v>240</v>
      </c>
      <c r="AQ13" s="72" t="s" ph="1">
        <v>241</v>
      </c>
      <c r="AR13" s="72" t="s" ph="1">
        <v>242</v>
      </c>
      <c r="AS13" s="72" t="s" ph="1">
        <v>243</v>
      </c>
      <c r="AT13" s="72" t="s" ph="1">
        <v>244</v>
      </c>
      <c r="AU13" s="72" t="s" ph="1">
        <v>245</v>
      </c>
      <c r="AV13" s="72" t="s" ph="1">
        <v>246</v>
      </c>
      <c r="AW13" s="72" t="s" ph="1">
        <v>247</v>
      </c>
      <c r="AX13" s="72" t="s" ph="1">
        <v>248</v>
      </c>
      <c r="AY13" s="72" t="s" ph="1">
        <v>370</v>
      </c>
      <c r="AZ13" s="72" t="s" ph="1">
        <v>249</v>
      </c>
      <c r="BA13" s="72" t="s" ph="1">
        <v>250</v>
      </c>
      <c r="BB13" s="72" t="s" ph="1">
        <v>635</v>
      </c>
      <c r="BC13" s="72" t="s" ph="1">
        <v>251</v>
      </c>
      <c r="BD13" s="72" t="s" ph="1">
        <v>371</v>
      </c>
      <c r="BE13" s="72" t="s" ph="1">
        <v>372</v>
      </c>
      <c r="BF13" s="72" t="s" ph="1">
        <v>373</v>
      </c>
      <c r="BG13" s="72" t="s" ph="1">
        <v>374</v>
      </c>
      <c r="BH13" s="72" t="s" ph="1">
        <v>375</v>
      </c>
    </row>
    <row r="14" spans="1:99" s="72" customFormat="1" ht="24" ph="1">
      <c r="B14" s="213" ph="1"/>
      <c r="C14" s="67" t="s" ph="1">
        <v>36</v>
      </c>
      <c r="D14" s="77" t="s" ph="1">
        <v>131</v>
      </c>
      <c r="E14" s="77" t="s" ph="1">
        <v>131</v>
      </c>
      <c r="F14" s="153" t="s" ph="1">
        <v>656</v>
      </c>
      <c r="G14" s="77" t="s" ph="1">
        <v>220</v>
      </c>
      <c r="H14" s="77" t="s" ph="1">
        <v>648</v>
      </c>
      <c r="I14" s="77" t="s" ph="1">
        <v>65</v>
      </c>
      <c r="J14" s="77" t="s" ph="1">
        <v>230</v>
      </c>
      <c r="K14" s="77" t="s" ph="1">
        <v>226</v>
      </c>
      <c r="L14" s="77" t="s" ph="1">
        <v>41</v>
      </c>
      <c r="M14" s="104" t="s" ph="1">
        <v>225</v>
      </c>
      <c r="N14" s="104" t="s" ph="1">
        <v>221</v>
      </c>
      <c r="O14" s="104" t="s" ph="1">
        <v>229</v>
      </c>
      <c r="P14" s="77" t="s" ph="1">
        <v>82</v>
      </c>
      <c r="Q14" s="77" t="s" ph="1">
        <v>82</v>
      </c>
      <c r="R14" s="88" t="s" ph="1">
        <v>7</v>
      </c>
      <c r="S14" s="77" t="s" ph="1">
        <v>82</v>
      </c>
      <c r="T14" s="77" t="s" ph="1">
        <v>98</v>
      </c>
      <c r="U14" s="77" t="s" ph="1">
        <v>659</v>
      </c>
      <c r="V14" s="77" t="s" ph="1">
        <v>649</v>
      </c>
      <c r="W14" s="77" t="s" ph="1">
        <v>223</v>
      </c>
      <c r="X14" s="77" t="s" ph="1">
        <v>78</v>
      </c>
      <c r="Y14" s="144" t="s" ph="1">
        <v>0</v>
      </c>
      <c r="Z14" s="77" t="s" ph="1">
        <v>62</v>
      </c>
      <c r="AA14" s="77" t="s" ph="1">
        <v>88</v>
      </c>
      <c r="AB14" s="77" t="s" ph="1">
        <v>653</v>
      </c>
      <c r="AC14" s="77" t="s" ph="1">
        <v>653</v>
      </c>
      <c r="AD14" s="77" t="s" ph="1">
        <v>136</v>
      </c>
      <c r="AE14" s="77" t="s" ph="1">
        <v>136</v>
      </c>
      <c r="AG14" s="72" t="s" ph="1">
        <v>252</v>
      </c>
      <c r="AI14" s="72" t="s" ph="1">
        <v>253</v>
      </c>
      <c r="AJ14" s="72" t="s" ph="1">
        <v>376</v>
      </c>
      <c r="AK14" s="72" t="s" ph="1">
        <v>254</v>
      </c>
      <c r="AM14" s="72" t="s" ph="1">
        <v>256</v>
      </c>
      <c r="AN14" s="72" t="s" ph="1">
        <v>254</v>
      </c>
      <c r="AO14" s="72" t="s" ph="1">
        <v>255</v>
      </c>
      <c r="AP14" s="72" t="s" ph="1">
        <v>256</v>
      </c>
      <c r="AQ14" s="72" t="s" ph="1">
        <v>254</v>
      </c>
      <c r="AR14" s="72" t="s" ph="1">
        <v>255</v>
      </c>
      <c r="AS14" s="72" t="s" ph="1">
        <v>256</v>
      </c>
      <c r="AT14" s="72" t="s" ph="1">
        <v>254</v>
      </c>
      <c r="AU14" s="72" t="s" ph="1">
        <v>255</v>
      </c>
      <c r="AV14" s="72" t="s" ph="1">
        <v>256</v>
      </c>
      <c r="AW14" s="72" t="s" ph="1">
        <v>254</v>
      </c>
      <c r="AX14" s="72" t="s" ph="1">
        <v>255</v>
      </c>
      <c r="AY14" s="72" t="s" ph="1">
        <v>256</v>
      </c>
      <c r="AZ14" s="72" t="s" ph="1">
        <v>255</v>
      </c>
    </row>
    <row r="15" spans="1:99" ph="1">
      <c r="B15" s="214" ph="1">
        <v>0.33333333333333331</v>
      </c>
      <c r="C15" s="151" t="s" ph="1">
        <v>211</v>
      </c>
      <c r="D15" s="78">
        <v>4950</v>
      </c>
      <c r="E15" s="78">
        <v>74</v>
      </c>
      <c r="F15" s="78">
        <v>3924</v>
      </c>
      <c r="G15" s="78">
        <v>2208</v>
      </c>
      <c r="H15" s="78">
        <v>2870</v>
      </c>
      <c r="I15" s="78">
        <v>10</v>
      </c>
      <c r="J15" s="78">
        <v>391</v>
      </c>
      <c r="K15" s="78">
        <v>1911</v>
      </c>
      <c r="L15" s="78">
        <v>5222</v>
      </c>
      <c r="M15" s="78">
        <v>3421</v>
      </c>
      <c r="N15" s="78">
        <v>738</v>
      </c>
      <c r="O15" s="78">
        <v>234</v>
      </c>
      <c r="P15" s="78">
        <v>1098</v>
      </c>
      <c r="Q15" s="78">
        <v>2709</v>
      </c>
      <c r="R15" s="78">
        <v>3488</v>
      </c>
      <c r="S15" s="78">
        <v>5608</v>
      </c>
      <c r="T15" s="78">
        <v>623</v>
      </c>
      <c r="U15" s="78">
        <v>6890</v>
      </c>
      <c r="V15" s="78">
        <v>-1638</v>
      </c>
      <c r="W15" s="78">
        <v>-593</v>
      </c>
      <c r="X15" s="78">
        <v>944</v>
      </c>
      <c r="Y15" s="106">
        <v>-9901</v>
      </c>
      <c r="Z15" s="78">
        <v>0</v>
      </c>
      <c r="AA15" s="78">
        <v>27</v>
      </c>
      <c r="AB15" s="78" ph="1">
        <v>6269</v>
      </c>
      <c r="AC15" s="78" ph="1">
        <v>6493</v>
      </c>
      <c r="AD15" s="78">
        <v>5.21</v>
      </c>
      <c r="AE15" s="78">
        <v>55.34</v>
      </c>
      <c r="AG15" s="64" t="s" ph="1">
        <v>258</v>
      </c>
      <c r="AH15" s="64" ph="1">
        <v>1</v>
      </c>
      <c r="AI15" s="64" t="s" ph="1">
        <v>377</v>
      </c>
      <c r="AK15" s="64" t="s" ph="1">
        <v>631</v>
      </c>
      <c r="AM15" s="64" t="s" ph="1">
        <v>379</v>
      </c>
      <c r="AZ15" s="64" t="s" ph="1">
        <v>260</v>
      </c>
      <c r="BA15" s="64" ph="1">
        <v>0</v>
      </c>
    </row>
    <row r="16" spans="1:99" s="72" customFormat="1" ht="22.5" ph="1">
      <c r="B16" s="215" ph="1"/>
      <c r="C16" s="151" t="s" ph="1">
        <v>212</v>
      </c>
      <c r="D16" s="73" ph="1">
        <f>D15*7.0686*LOOKUP(D17,密度!$A$2:$A$50,密度!$L$2:$L$50)</f>
        <v>33135.122790000001</v>
      </c>
      <c r="E16" s="73" ph="1">
        <f>E15*7.0686*LOOKUP(E17,密度!$A$2:$A$50,密度!$L$2:$L$50)</f>
        <v>495.35335079999999</v>
      </c>
      <c r="F16" s="73" ph="1">
        <f>F15*9.0746*LOOKUP(F17,密度!$A$2:$A$50,密度!$L$2:$L$50)</f>
        <v>33685.8589584</v>
      </c>
      <c r="G16" s="73" ph="1">
        <f>G15*9.0746*LOOKUP(G17,密度!$A$2:$A$50,密度!$B$2:$B$50)</f>
        <v>15788.932838400002</v>
      </c>
      <c r="H16" s="73" ph="1">
        <f>H15*9.0746*LOOKUP(H17,密度!$A$2:$A$50,密度!$L$2:$L$50)</f>
        <v>24689.808695999996</v>
      </c>
      <c r="I16" s="73" ph="1">
        <f>I15*9.0746*LOOKUP(I17,密度!$A$2:$A$50,密度!$U$2:$U$50)</f>
        <v>93.286888000000019</v>
      </c>
      <c r="J16" s="73" ph="1">
        <f>J15*9.0746*LOOKUP(J17,密度!$A$2:$A$50,密度!$L$2:$L$50)</f>
        <v>3360.1156641999996</v>
      </c>
      <c r="K16" s="73" ph="1">
        <f>K15*9.0746*LOOKUP(K17,密度!$A$2:$A$50,密度!$C$2:$C$50)</f>
        <v>19377.459814440001</v>
      </c>
      <c r="L16" s="73" ph="1">
        <f>L15*9.0746*LOOKUP(L17,密度!$A$2:$A$50,密度!$E$2:$E$50)</f>
        <v>37658.894885640002</v>
      </c>
      <c r="M16" s="73" ph="1">
        <f>M15*9.0746*LOOKUP(M17,密度!$A$2:$A$50,密度!$M$2:$M$50)</f>
        <v>27328.21506998</v>
      </c>
      <c r="N16" s="73" ph="1">
        <f>N15*9.0746*LOOKUP(N17,密度!$A$2:$A$50,密度!$M$2:$M$50)</f>
        <v>5895.4173404399999</v>
      </c>
      <c r="O16" s="73" ph="1">
        <f>O15*9.0746*LOOKUP(O17,密度!$A$2:$A$50,密度!$G$2:$G$50)</f>
        <v>2062.30085568</v>
      </c>
      <c r="P16" s="73" ph="1">
        <f ca="1">P15*9.0746*LOOKUP(P17,密度!$A$2:$A$51,密度!$Q$2:$Q$50)</f>
        <v>9510.951415032001</v>
      </c>
      <c r="Q16" s="73" ph="1">
        <f>Q15*9.0746*LOOKUP(Q17,密度!$A$2:$A$50,密度!$Q$2:$Q$50)</f>
        <v>23465.544064956004</v>
      </c>
      <c r="R16" s="73" ph="1">
        <f>MAX(R15*9.0746*LOOKUP(R17,密度!$A$2:$A$50,密度!$B$2:$B$50),0)</f>
        <v>24916.615618560001</v>
      </c>
      <c r="S16" s="73" ph="1">
        <f>S15*9.0746*LOOKUP(S17,密度!$A$2:$A$50,密度!$Q$2:$Q$50)</f>
        <v>48576.881179872005</v>
      </c>
      <c r="T16" s="73" ph="1">
        <f>T15*9.0746*LOOKUP(T17,密度!$A$2:$A$50,密度!$O$2:$O$50)</f>
        <v>5280.3463972000009</v>
      </c>
      <c r="U16" s="73" ph="1">
        <f>U15*9.0746*LOOKUP(U17,密度!$A$2:$A$50,密度!$H$2:$H$50)</f>
        <v>57878.461245799997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224.10041032800018</v>
      </c>
      <c r="X16" s="73" ph="1">
        <f>MAX(5600*LOOKUP(X17,密度!$A$2:$A$50,密度!$I$2:$I$50)+X15*9.0476*LOOKUP(X17,密度!$A$2:$A$50,密度!$I$2:$I$50),0)</f>
        <v>14564.596794624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193.90423788000001</v>
      </c>
      <c r="AB16" s="73" ph="1">
        <f>AB15*9.0746*LOOKUP(AB17,密度!$A$2:$A$50,密度!$L$2:$L$50)</f>
        <v>53816.679360399998</v>
      </c>
      <c r="AC16" s="73" ph="1">
        <f>AC15*9.0746*LOOKUP(AC17,密度!$A$2:$A$50,密度!$L$2:$L$50)</f>
        <v>55916.387532200002</v>
      </c>
      <c r="AD16" s="73" ph="1">
        <f>AD15*268.68*LOOKUP(AD17,密度!$A$2:$A$50,密度!B2:B50)+IF(AD15&lt;=0,0,1566*LOOKUP(AD17,密度!$A$2:$A$50,密度!B2:B50))</f>
        <v>2312.1554548799995</v>
      </c>
      <c r="AE16" s="73" ph="1">
        <f>AE15*268.68*LOOKUP(AE17,密度!$A$2:$A$50,密度!B2:B50)+IF(AE15&lt;=0,0,1566*LOOKUP(AE17,密度!$A$2:$A$50,密度!B2:B50))</f>
        <v>12812.53203552</v>
      </c>
      <c r="AH16" s="72" ph="1">
        <v>2</v>
      </c>
      <c r="AI16" s="72" t="s" ph="1">
        <v>381</v>
      </c>
      <c r="AZ16" s="72" t="s" ph="1">
        <v>260</v>
      </c>
      <c r="BA16" s="72" ph="1">
        <v>0</v>
      </c>
    </row>
    <row r="17" spans="1:57" ph="1">
      <c r="A17" s="64" t="s" ph="1">
        <v>85</v>
      </c>
      <c r="B17" s="216" ph="1"/>
      <c r="C17" s="79" t="s" ph="1">
        <v>213</v>
      </c>
      <c r="D17" s="74">
        <v>15</v>
      </c>
      <c r="E17" s="74">
        <v>15</v>
      </c>
      <c r="F17" s="74">
        <v>16</v>
      </c>
      <c r="G17" s="74">
        <v>15</v>
      </c>
      <c r="H17" s="74">
        <v>14</v>
      </c>
      <c r="I17" s="74">
        <v>13</v>
      </c>
      <c r="J17" s="74">
        <v>15</v>
      </c>
      <c r="K17" s="74">
        <v>13</v>
      </c>
      <c r="L17" s="74">
        <v>15</v>
      </c>
      <c r="M17" s="74">
        <v>16</v>
      </c>
      <c r="N17" s="74">
        <v>14</v>
      </c>
      <c r="O17" s="74">
        <v>15</v>
      </c>
      <c r="P17" s="74">
        <v>14</v>
      </c>
      <c r="Q17" s="74">
        <v>15</v>
      </c>
      <c r="R17" s="74">
        <v>16</v>
      </c>
      <c r="S17" s="74">
        <v>15</v>
      </c>
      <c r="T17" s="74">
        <v>13</v>
      </c>
      <c r="U17" s="74">
        <v>14</v>
      </c>
      <c r="V17" s="74">
        <v>15</v>
      </c>
      <c r="W17" s="74">
        <v>15</v>
      </c>
      <c r="X17" s="74">
        <v>36</v>
      </c>
      <c r="Y17" s="108">
        <v>36</v>
      </c>
      <c r="Z17" s="74">
        <v>15</v>
      </c>
      <c r="AA17" s="74">
        <v>11</v>
      </c>
      <c r="AB17" s="74">
        <v>16</v>
      </c>
      <c r="AC17" s="74">
        <v>13</v>
      </c>
      <c r="AD17" s="74">
        <v>25</v>
      </c>
      <c r="AE17" s="74">
        <v>25</v>
      </c>
      <c r="AH17" s="64" ph="1">
        <v>3</v>
      </c>
      <c r="AI17" s="64" t="s" ph="1">
        <v>382</v>
      </c>
      <c r="AK17" s="64" t="s" ph="1">
        <v>614</v>
      </c>
      <c r="AL17" s="64" ph="1">
        <v>80</v>
      </c>
      <c r="AM17" s="64" t="s" ph="1">
        <v>379</v>
      </c>
      <c r="AZ17" s="64" t="s" ph="1">
        <v>260</v>
      </c>
      <c r="BA17" s="64" ph="1">
        <v>80</v>
      </c>
      <c r="BD17" s="64" t="s" ph="1">
        <v>258</v>
      </c>
      <c r="BE17" s="64" ph="1">
        <v>2270</v>
      </c>
    </row>
    <row r="18" spans="1:57" ph="1">
      <c r="B18" s="214" ph="1">
        <v>0.66666666666666663</v>
      </c>
      <c r="C18" s="79" t="s" ph="1">
        <v>214</v>
      </c>
      <c r="D18" s="71">
        <v>2750</v>
      </c>
      <c r="E18" s="71">
        <v>73</v>
      </c>
      <c r="F18" s="71">
        <v>1696</v>
      </c>
      <c r="G18" s="71">
        <v>2239</v>
      </c>
      <c r="H18" s="71">
        <v>2872</v>
      </c>
      <c r="I18" s="71">
        <v>4</v>
      </c>
      <c r="J18" s="71">
        <v>390</v>
      </c>
      <c r="K18" s="71">
        <v>2676</v>
      </c>
      <c r="L18" s="71">
        <v>5233</v>
      </c>
      <c r="M18" s="71">
        <v>463</v>
      </c>
      <c r="N18" s="71">
        <v>1530</v>
      </c>
      <c r="O18" s="71">
        <v>230</v>
      </c>
      <c r="P18" s="71">
        <v>1099</v>
      </c>
      <c r="Q18" s="71">
        <v>2715</v>
      </c>
      <c r="R18" s="71">
        <v>3493</v>
      </c>
      <c r="S18" s="71">
        <v>5611</v>
      </c>
      <c r="T18" s="71">
        <v>6670</v>
      </c>
      <c r="U18" s="71">
        <v>2611</v>
      </c>
      <c r="V18" s="71">
        <v>-1641</v>
      </c>
      <c r="W18" s="71">
        <v>-595</v>
      </c>
      <c r="X18" s="71">
        <v>940</v>
      </c>
      <c r="Y18" s="109">
        <v>-9901</v>
      </c>
      <c r="Z18" s="71">
        <v>0</v>
      </c>
      <c r="AA18" s="71">
        <v>26</v>
      </c>
      <c r="AB18" s="71">
        <v>6279</v>
      </c>
      <c r="AC18" s="71">
        <v>6502</v>
      </c>
      <c r="AD18" s="71">
        <v>7.35</v>
      </c>
      <c r="AE18" s="71">
        <v>84.62</v>
      </c>
      <c r="AH18" s="64" ph="1">
        <v>4</v>
      </c>
      <c r="AI18" s="64" t="s" ph="1">
        <v>384</v>
      </c>
      <c r="AJ18" s="64" t="s" ph="1">
        <v>632</v>
      </c>
      <c r="AK18" s="64" t="s" ph="1">
        <v>631</v>
      </c>
      <c r="AL18" s="64" ph="1">
        <v>740</v>
      </c>
      <c r="AM18" s="64" t="s" ph="1">
        <v>383</v>
      </c>
      <c r="AZ18" s="64" t="s" ph="1">
        <v>260</v>
      </c>
      <c r="BA18" s="64" ph="1">
        <v>740</v>
      </c>
    </row>
    <row r="19" spans="1:57" s="72" customFormat="1" ht="22.5" ph="1">
      <c r="B19" s="215" ph="1"/>
      <c r="C19" s="151" t="s" ph="1">
        <v>212</v>
      </c>
      <c r="D19" s="73" ph="1">
        <f>D18*7.0686*LOOKUP(D20,密度!$A$2:$A$50,密度!$L$2:$L$50)</f>
        <v>18369.524250000002</v>
      </c>
      <c r="E19" s="73" ph="1">
        <f>E18*7.0686*LOOKUP(E20,密度!$A$2:$A$50,密度!$L$2:$L$50)</f>
        <v>487.62737099999993</v>
      </c>
      <c r="F19" s="73" ph="1">
        <f>F18*9.0746*LOOKUP(F20,密度!$A$2:$A$50,密度!$L$2:$L$50)</f>
        <v>14528.652390399999</v>
      </c>
      <c r="G19" s="73" ph="1">
        <f>G18*9.0746*LOOKUP(G20,密度!$A$2:$A$50,密度!$B$2:$B$50)</f>
        <v>15978.098320159999</v>
      </c>
      <c r="H19" s="73" ph="1">
        <f>H18*9.0746*LOOKUP(H20,密度!$A$2:$A$50,密度!$L$2:$L$50)</f>
        <v>24680.951886400002</v>
      </c>
      <c r="I19" s="73" ph="1">
        <f>I18*9.0746*LOOKUP(I20,密度!$A$2:$A$50,密度!$U$2:$U$50)</f>
        <v>37.3147552</v>
      </c>
      <c r="J19" s="73" ph="1">
        <f>J18*9.0746*LOOKUP(J20,密度!$A$2:$A$50,密度!$L$2:$L$50)</f>
        <v>3333.826548</v>
      </c>
      <c r="K19" s="73" ph="1">
        <f>K18*9.0746*LOOKUP(K20,密度!$A$2:$A$50,密度!$C$2:$C$50)</f>
        <v>27049.535011439999</v>
      </c>
      <c r="L19" s="73" ph="1">
        <f>L18*9.0746*LOOKUP(L20,密度!$A$2:$A$50,密度!$E$2:$E$50)</f>
        <v>37633.7500765</v>
      </c>
      <c r="M19" s="73" ph="1">
        <f>M18*9.0746*LOOKUP(M20,密度!$A$2:$A$50,密度!$M$2:$M$50)</f>
        <v>3693.5736381800002</v>
      </c>
      <c r="N19" s="73" ph="1">
        <f>N18*9.0746*LOOKUP(N20,密度!$A$2:$A$50,密度!$M$2:$M$50)</f>
        <v>12222.206681400001</v>
      </c>
      <c r="O19" s="73" ph="1">
        <f>O18*9.0746*LOOKUP(O20,密度!$A$2:$A$50,密度!$G$2:$G$50)</f>
        <v>2018.2817859999998</v>
      </c>
      <c r="P19" s="73" ph="1">
        <f ca="1">P18*9.0746*LOOKUP(P20,密度!$A$2:$A$51,密度!$Q$2:$Q$50)</f>
        <v>9471.2445045259992</v>
      </c>
      <c r="Q19" s="73" ph="1">
        <f>Q18*9.0746*LOOKUP(Q20,密度!$A$2:$A$50,密度!$Q$2:$Q$50)</f>
        <v>23474.647159200002</v>
      </c>
      <c r="R19" s="73" ph="1">
        <f>MAX(R18*9.0746*LOOKUP(R20,密度!$A$2:$A$50,密度!$B$2:$B$50),0)</f>
        <v>24854.070752979998</v>
      </c>
      <c r="S19" s="73" ph="1">
        <f>S18*9.0746*LOOKUP(S20,密度!$A$2:$A$50,密度!$Q$2:$Q$50)</f>
        <v>48555.004860159999</v>
      </c>
      <c r="T19" s="73" ph="1">
        <f>T18*9.0746*LOOKUP(T20,密度!$A$2:$A$50,密度!$O$2:$O$50)</f>
        <v>56532.761588000008</v>
      </c>
      <c r="U19" s="73" ph="1">
        <f>U18*9.0746*LOOKUP(U20,密度!$A$2:$A$50,密度!$H$2:$H$50)</f>
        <v>21885.945140219999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206.27962278000086</v>
      </c>
      <c r="X19" s="73" ph="1">
        <f>MAX(5600*LOOKUP(X20,密度!$A$2:$A$50,密度!$I$2:$I$50)+X18*9.0476*LOOKUP(X20,密度!$A$2:$A$50,密度!$I$2:$I$50),0)</f>
        <v>14589.947193599997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185.73165312</v>
      </c>
      <c r="AB19" s="73" ph="1">
        <f>AB18*9.0746*LOOKUP(AB20,密度!$A$2:$A$50,密度!$L$2:$L$50)</f>
        <v>53845.545663000004</v>
      </c>
      <c r="AC19" s="73" ph="1">
        <f>AC18*9.0746*LOOKUP(AC20,密度!$A$2:$A$50,密度!$L$2:$L$50)</f>
        <v>55875.887592399995</v>
      </c>
      <c r="AD19" s="73" ph="1">
        <f>AD18*268.68*LOOKUP(AD20,密度!$A$2:$A$50,密度!B5:B53)+IF(AD18&lt;=0,0,1566*LOOKUP(AD20,密度!$A$2:$A$50,密度!B5:B53))</f>
        <v>2751.2000459999999</v>
      </c>
      <c r="AE19" s="73" ph="1">
        <f>AE18*268.68*LOOKUP(AE20,密度!$A$2:$A$50,密度!B5:B53)+IF(AE18&lt;=0,0,1566*LOOKUP(AE20,密度!$A$2:$A$50,密度!B5:B53))</f>
        <v>18882.422143200001</v>
      </c>
      <c r="AH19" s="72" ph="1">
        <v>5</v>
      </c>
      <c r="AI19" s="72" t="s" ph="1">
        <v>385</v>
      </c>
      <c r="AZ19" s="72" t="s" ph="1">
        <v>260</v>
      </c>
      <c r="BA19" s="72" ph="1">
        <v>0</v>
      </c>
      <c r="BD19" s="72" t="s" ph="1">
        <v>386</v>
      </c>
      <c r="BE19" s="72" ph="1">
        <v>1440</v>
      </c>
    </row>
    <row r="20" spans="1:57" ph="1">
      <c r="A20" s="72" ph="1"/>
      <c r="B20" s="215" ph="1"/>
      <c r="C20" s="80" t="s" ph="1">
        <v>213</v>
      </c>
      <c r="D20" s="81">
        <v>17</v>
      </c>
      <c r="E20" s="81">
        <v>17</v>
      </c>
      <c r="F20" s="81">
        <v>18</v>
      </c>
      <c r="G20" s="81">
        <v>17</v>
      </c>
      <c r="H20" s="81">
        <v>15</v>
      </c>
      <c r="I20" s="81">
        <v>18</v>
      </c>
      <c r="J20" s="81">
        <v>20</v>
      </c>
      <c r="K20" s="81">
        <v>18</v>
      </c>
      <c r="L20" s="81">
        <v>17</v>
      </c>
      <c r="M20" s="81">
        <v>21</v>
      </c>
      <c r="N20" s="81">
        <v>16</v>
      </c>
      <c r="O20" s="81">
        <v>19</v>
      </c>
      <c r="P20" s="81">
        <v>21</v>
      </c>
      <c r="Q20" s="81">
        <v>17</v>
      </c>
      <c r="R20" s="81">
        <v>20</v>
      </c>
      <c r="S20" s="81">
        <v>16</v>
      </c>
      <c r="T20" s="81">
        <v>16</v>
      </c>
      <c r="U20" s="81">
        <v>16</v>
      </c>
      <c r="V20" s="81">
        <v>17</v>
      </c>
      <c r="W20" s="81">
        <v>18</v>
      </c>
      <c r="X20" s="81">
        <v>32</v>
      </c>
      <c r="Y20" s="110">
        <v>32</v>
      </c>
      <c r="Z20" s="81">
        <v>21</v>
      </c>
      <c r="AA20" s="81">
        <v>16</v>
      </c>
      <c r="AB20" s="81">
        <v>17</v>
      </c>
      <c r="AC20" s="81">
        <v>15</v>
      </c>
      <c r="AD20" s="81">
        <v>25</v>
      </c>
      <c r="AE20" s="81">
        <v>25</v>
      </c>
      <c r="AH20" s="64" ph="1">
        <v>6</v>
      </c>
      <c r="AI20" s="64" t="s" ph="1">
        <v>387</v>
      </c>
      <c r="AZ20" s="64" t="s" ph="1">
        <v>260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388</v>
      </c>
      <c r="AZ21" s="64" t="s" ph="1">
        <v>260</v>
      </c>
      <c r="BA21" s="64" ph="1">
        <v>0</v>
      </c>
      <c r="BD21" s="64" t="s" ph="1">
        <v>276</v>
      </c>
      <c r="BE21" s="64" ph="1">
        <v>730</v>
      </c>
    </row>
    <row r="22" spans="1:57" ph="1">
      <c r="A22" s="72" ph="1"/>
      <c r="B22" s="213" t="s" ph="1">
        <v>37</v>
      </c>
      <c r="C22" s="85" t="s" ph="1">
        <v>210</v>
      </c>
      <c r="D22" s="86" t="s" ph="1">
        <v>104</v>
      </c>
      <c r="E22" s="86" t="s" ph="1">
        <v>105</v>
      </c>
      <c r="F22" s="86" t="s" ph="1">
        <v>106</v>
      </c>
      <c r="G22" s="86" t="s" ph="1">
        <v>107</v>
      </c>
      <c r="H22" s="86" t="s" ph="1">
        <v>108</v>
      </c>
      <c r="I22" s="86" t="s" ph="1">
        <v>109</v>
      </c>
      <c r="J22" s="86" t="s" ph="1">
        <v>110</v>
      </c>
      <c r="K22" s="86" t="s" ph="1">
        <v>111</v>
      </c>
      <c r="L22" s="86" t="s" ph="1">
        <v>112</v>
      </c>
      <c r="M22" s="86" t="s" ph="1">
        <v>113</v>
      </c>
      <c r="N22" s="86" t="s" ph="1">
        <v>114</v>
      </c>
      <c r="O22" s="86" t="s" ph="1">
        <v>115</v>
      </c>
      <c r="P22" s="86" t="s" ph="1">
        <v>116</v>
      </c>
      <c r="Q22" s="87" t="s" ph="1">
        <v>117</v>
      </c>
      <c r="R22" s="86" t="s" ph="1">
        <v>118</v>
      </c>
      <c r="S22" s="86" t="s" ph="1">
        <v>119</v>
      </c>
      <c r="T22" s="86" t="s" ph="1">
        <v>120</v>
      </c>
      <c r="U22" s="86" t="s" ph="1">
        <v>121</v>
      </c>
      <c r="V22" s="86" t="s" ph="1">
        <v>122</v>
      </c>
      <c r="W22" s="86" t="s" ph="1">
        <v>123</v>
      </c>
      <c r="X22" s="86" t="s" ph="1">
        <v>124</v>
      </c>
      <c r="Y22" s="86" t="s" ph="1">
        <v>126</v>
      </c>
      <c r="Z22" s="223" t="s" ph="1">
        <v>79</v>
      </c>
      <c r="AA22" s="224"/>
      <c r="AB22" s="224"/>
      <c r="AC22" s="224"/>
      <c r="AD22" s="224"/>
      <c r="AE22" s="225"/>
      <c r="AH22" s="64" ph="1">
        <v>8</v>
      </c>
      <c r="AI22" s="64" t="s" ph="1">
        <v>389</v>
      </c>
      <c r="AZ22" s="64" t="s" ph="1">
        <v>260</v>
      </c>
      <c r="BA22" s="64" ph="1">
        <v>0</v>
      </c>
    </row>
    <row r="23" spans="1:57" ph="1">
      <c r="A23" s="72" ph="1"/>
      <c r="B23" s="217" ph="1"/>
      <c r="C23" s="67" t="s" ph="1">
        <v>36</v>
      </c>
      <c r="D23" s="88" t="s" ph="1">
        <v>128</v>
      </c>
      <c r="E23" s="88" t="s" ph="1">
        <v>125</v>
      </c>
      <c r="F23" s="88" t="s" ph="1">
        <v>224</v>
      </c>
      <c r="G23" s="88" t="s" ph="1">
        <v>165</v>
      </c>
      <c r="H23" s="88" t="s" ph="1">
        <v>165</v>
      </c>
      <c r="I23" s="88" t="s" ph="1">
        <v>166</v>
      </c>
      <c r="J23" s="88" t="s" ph="1">
        <v>167</v>
      </c>
      <c r="K23" s="88" t="s" ph="1">
        <v>129</v>
      </c>
      <c r="L23" s="88" t="s" ph="1">
        <v>129</v>
      </c>
      <c r="M23" s="88" t="s" ph="1">
        <v>167</v>
      </c>
      <c r="N23" s="88" t="s" ph="1">
        <v>167</v>
      </c>
      <c r="O23" s="88" t="s" ph="1">
        <v>132</v>
      </c>
      <c r="P23" s="88" t="s" ph="1">
        <v>168</v>
      </c>
      <c r="Q23" s="89" t="s" ph="1">
        <v>168</v>
      </c>
      <c r="R23" s="88" t="s" ph="1">
        <v>169</v>
      </c>
      <c r="S23" s="88" t="s" ph="1">
        <v>170</v>
      </c>
      <c r="T23" s="88" t="s" ph="1">
        <v>651</v>
      </c>
      <c r="U23" s="88" t="s" ph="1">
        <v>660</v>
      </c>
      <c r="V23" s="88" t="s" ph="1">
        <v>172</v>
      </c>
      <c r="W23" s="88" t="s" ph="1">
        <v>170</v>
      </c>
      <c r="X23" s="88" t="s" ph="1">
        <v>231</v>
      </c>
      <c r="Y23" s="88" t="s" ph="1">
        <v>97</v>
      </c>
      <c r="Z23" s="226" t="s" ph="1">
        <v>657</v>
      </c>
      <c r="AA23" s="227"/>
      <c r="AB23" s="227"/>
      <c r="AC23" s="227"/>
      <c r="AD23" s="227"/>
      <c r="AE23" s="228"/>
      <c r="AH23" s="64" ph="1">
        <v>9</v>
      </c>
      <c r="AI23" s="64" t="s" ph="1">
        <v>390</v>
      </c>
      <c r="AZ23" s="64" t="s" ph="1">
        <v>260</v>
      </c>
      <c r="BA23" s="64" ph="1">
        <v>0</v>
      </c>
      <c r="BD23" s="64" t="s" ph="1">
        <v>282</v>
      </c>
      <c r="BE23" s="64" ph="1">
        <v>890</v>
      </c>
    </row>
    <row r="24" spans="1:57" ph="1">
      <c r="A24" s="72" ph="1"/>
      <c r="B24" s="235" ph="1">
        <v>0.33333333333333331</v>
      </c>
      <c r="C24" s="151" t="s" ph="1">
        <v>211</v>
      </c>
      <c r="D24" s="71">
        <v>44.12</v>
      </c>
      <c r="E24" s="71">
        <v>70.56</v>
      </c>
      <c r="F24" s="71">
        <v>2147</v>
      </c>
      <c r="G24" s="71">
        <v>2673</v>
      </c>
      <c r="H24" s="71">
        <v>1533</v>
      </c>
      <c r="I24" s="71">
        <v>2533</v>
      </c>
      <c r="J24" s="71">
        <v>2448</v>
      </c>
      <c r="K24" s="71">
        <v>5604</v>
      </c>
      <c r="L24" s="71">
        <v>5577</v>
      </c>
      <c r="M24" s="71">
        <v>1382</v>
      </c>
      <c r="N24" s="71">
        <v>868</v>
      </c>
      <c r="O24" s="71">
        <v>2053</v>
      </c>
      <c r="P24" s="71">
        <v>2478</v>
      </c>
      <c r="Q24" s="90">
        <v>772</v>
      </c>
      <c r="R24" s="71">
        <v>3376</v>
      </c>
      <c r="S24" s="71">
        <v>2028</v>
      </c>
      <c r="T24" s="71">
        <v>6384</v>
      </c>
      <c r="U24" s="71">
        <v>5747</v>
      </c>
      <c r="V24" s="71">
        <v>396</v>
      </c>
      <c r="W24" s="71">
        <v>7975</v>
      </c>
      <c r="X24" s="71">
        <v>10076</v>
      </c>
      <c r="Y24" s="71">
        <v>3654</v>
      </c>
      <c r="Z24" s="229"/>
      <c r="AA24" s="230"/>
      <c r="AB24" s="230"/>
      <c r="AC24" s="230"/>
      <c r="AD24" s="230"/>
      <c r="AE24" s="231"/>
      <c r="AH24" s="64" ph="1">
        <v>10</v>
      </c>
      <c r="AI24" s="64" t="s" ph="1">
        <v>391</v>
      </c>
      <c r="AZ24" s="64" t="s" ph="1">
        <v>260</v>
      </c>
      <c r="BA24" s="64" ph="1">
        <v>0</v>
      </c>
    </row>
    <row r="25" spans="1:57" ph="1">
      <c r="A25" s="72" ph="1"/>
      <c r="B25" s="235" ph="1"/>
      <c r="C25" s="68" t="s" ph="1">
        <v>212</v>
      </c>
      <c r="D25" s="91" ph="1">
        <f>D24*268.68*LOOKUP(D26,密度!$A$2:$A$50,密度!$Q$2:$Q$50)+IF(D24&lt;=0,0,1566*LOOKUP(D26,密度!$A$2:$A$50,密度!$Q$2:$Q$50))</f>
        <v>12705.403793183999</v>
      </c>
      <c r="E25" s="91" ph="1">
        <f>E24*268.68*LOOKUP(E26,密度!$A$2:$A$50,密度!$C$2:$C$50)+IF(E24&lt;=0,0,1566*LOOKUP(E26,密度!$A$2:$A$50,密度!$C$2:$C$50))</f>
        <v>22759.13102112</v>
      </c>
      <c r="F25" s="91" ph="1">
        <f>F24*11.702*LOOKUP(F26,密度!$A$2:$A$50,密度!$Q$2:$Q$50)</f>
        <v>23982.048140760002</v>
      </c>
      <c r="G25" s="91" ph="1">
        <f>G24*18.322*LOOKUP(G26,密度!$A$2:$A$50,密度!$B$2:$B$50)</f>
        <v>38636.145563400001</v>
      </c>
      <c r="H25" s="91" ph="1">
        <f>H24*18.322*LOOKUP(H26,密度!$A$2:$A$50,密度!$B$2:$B$50)</f>
        <v>22158.328151400001</v>
      </c>
      <c r="I25" s="91" ph="1">
        <f>I24*18.322*LOOKUP(I26,密度!$A$2:$A$50,密度!$Q$2:$Q$50)</f>
        <v>44299.844402039998</v>
      </c>
      <c r="J25" s="91" ph="1">
        <f>J24*18.322*LOOKUP(J26,密度!$A$2:$A$50,密度!$Q$2:$Q$50)</f>
        <v>42813.272442240006</v>
      </c>
      <c r="K25" s="91" ph="1">
        <f>K24*18.322*LOOKUP(K26,密度!$A$2:$A$50,密度!$Q$2:$Q$50)</f>
        <v>98008.814855520002</v>
      </c>
      <c r="L25" s="91" ph="1">
        <f>L24*18.322*LOOKUP(L26,密度!$A$2:$A$50,密度!$Q$2:$Q$50)</f>
        <v>97440.558758400002</v>
      </c>
      <c r="M25" s="91" ph="1">
        <f>M24*18.322*LOOKUP(M26,密度!$A$2:$A$50,密度!$Q$2:$Q$50)</f>
        <v>24169.911158159997</v>
      </c>
      <c r="N25" s="91" ph="1">
        <f>N24*18.322*LOOKUP(N26,密度!$A$2:$A$50,密度!$Q$2:$Q$50)</f>
        <v>15180.52307184</v>
      </c>
      <c r="O25" s="91" ph="1">
        <f>O24*18.322*LOOKUP(O26,密度!$A$2:$A$50,密度!$C$2:$C$50)</f>
        <v>42000.982695600003</v>
      </c>
      <c r="P25" s="91" ph="1">
        <f>P24*11.702*LOOKUP(P26,密度!$A$2:$A$50,密度!$B$2:$B$50)</f>
        <v>22850.074128</v>
      </c>
      <c r="Q25" s="92" ph="1">
        <f>Q24*18.322*LOOKUP(Q26,密度!$A$2:$A$50,密度!$B$2:$B$50)</f>
        <v>11169.977984799998</v>
      </c>
      <c r="R25" s="91" ph="1">
        <f>R24*35.891*LOOKUP(R26,密度!$A$2:$A$50,密度!$C$2:$C$50)</f>
        <v>135296.20666559998</v>
      </c>
      <c r="S25" s="91" ph="1">
        <f>S24*35.891*LOOKUP(S26,密度!$A$2:$A$50,密度!$B$2:$B$50)</f>
        <v>57479.852835599988</v>
      </c>
      <c r="T25" s="91" ph="1">
        <f>T24*35.891*LOOKUP(T26,密度!$A$2:$A$50,密度!$Q$2:$Q$50)</f>
        <v>218711.97857376002</v>
      </c>
      <c r="U25" s="91" ph="1">
        <f>U24*35.891</f>
        <v>206265.57699999999</v>
      </c>
      <c r="V25" s="91" ph="1">
        <f>V24*47.051*LOOKUP(V26,密度!$A$2:$A$50,密度!$B$2:$B$50)</f>
        <v>14698.939424400001</v>
      </c>
      <c r="W25" s="91" ph="1">
        <f>W24*47.051*LOOKUP(W26,密度!$A$2:$A$50,密度!$B$2:$B$50)</f>
        <v>295382.41392000002</v>
      </c>
      <c r="X25" s="91" ph="1">
        <f>X24*47.051*LOOKUP(X26,密度!$A$2:$A$50,密度!$I$2:$I$50)</f>
        <v>490982.29662063997</v>
      </c>
      <c r="Y25" s="91" ph="1">
        <f>Y24*47.051*LOOKUP(Y26,密度!$A$2:$A$50,密度!$L$2:$L$50)</f>
        <v>162640.438884</v>
      </c>
      <c r="Z25" s="229"/>
      <c r="AA25" s="230"/>
      <c r="AB25" s="230"/>
      <c r="AC25" s="230"/>
      <c r="AD25" s="230"/>
      <c r="AE25" s="231"/>
      <c r="AH25" s="64" ph="1">
        <v>11</v>
      </c>
      <c r="AI25" s="64" t="s" ph="1">
        <v>392</v>
      </c>
      <c r="AZ25" s="64" t="s" ph="1">
        <v>260</v>
      </c>
      <c r="BA25" s="64" ph="1">
        <v>0</v>
      </c>
      <c r="BD25" s="64" t="s" ph="1">
        <v>285</v>
      </c>
      <c r="BE25" s="64" ph="1">
        <v>8920</v>
      </c>
    </row>
    <row r="26" spans="1:57" ph="1">
      <c r="A26" s="72" ph="1"/>
      <c r="B26" s="235" ph="1"/>
      <c r="C26" s="68" t="s" ph="1">
        <v>213</v>
      </c>
      <c r="D26" s="74">
        <v>25</v>
      </c>
      <c r="E26" s="74">
        <v>25</v>
      </c>
      <c r="F26" s="74">
        <v>15</v>
      </c>
      <c r="G26" s="74">
        <v>14</v>
      </c>
      <c r="H26" s="74">
        <v>14</v>
      </c>
      <c r="I26" s="74">
        <v>15</v>
      </c>
      <c r="J26" s="74">
        <v>15</v>
      </c>
      <c r="K26" s="74">
        <v>15</v>
      </c>
      <c r="L26" s="74">
        <v>16</v>
      </c>
      <c r="M26" s="74">
        <v>15</v>
      </c>
      <c r="N26" s="74">
        <v>15</v>
      </c>
      <c r="O26" s="74">
        <v>14</v>
      </c>
      <c r="P26" s="74">
        <v>15</v>
      </c>
      <c r="Q26" s="93">
        <v>13</v>
      </c>
      <c r="R26" s="74">
        <v>14</v>
      </c>
      <c r="S26" s="74">
        <v>13</v>
      </c>
      <c r="T26" s="74">
        <v>14</v>
      </c>
      <c r="U26" s="74">
        <v>14</v>
      </c>
      <c r="V26" s="74">
        <v>14</v>
      </c>
      <c r="W26" s="74">
        <v>16</v>
      </c>
      <c r="X26" s="74">
        <v>56</v>
      </c>
      <c r="Y26" s="74">
        <v>16</v>
      </c>
      <c r="Z26" s="229"/>
      <c r="AA26" s="230"/>
      <c r="AB26" s="230"/>
      <c r="AC26" s="230"/>
      <c r="AD26" s="230"/>
      <c r="AE26" s="231"/>
      <c r="AH26" s="64" ph="1">
        <v>12</v>
      </c>
      <c r="AI26" s="64" t="s" ph="1">
        <v>393</v>
      </c>
      <c r="AZ26" s="64" t="s" ph="1">
        <v>260</v>
      </c>
      <c r="BA26" s="64" ph="1">
        <v>0</v>
      </c>
    </row>
    <row r="27" spans="1:57" ph="1">
      <c r="A27" s="72" ph="1"/>
      <c r="B27" s="235" ph="1">
        <v>0.66666666666666663</v>
      </c>
      <c r="C27" s="151" t="s" ph="1">
        <v>214</v>
      </c>
      <c r="D27" s="71">
        <v>44.23</v>
      </c>
      <c r="E27" s="71">
        <v>91.25</v>
      </c>
      <c r="F27" s="71">
        <v>2148</v>
      </c>
      <c r="G27" s="71">
        <v>2209</v>
      </c>
      <c r="H27" s="71">
        <v>1095</v>
      </c>
      <c r="I27" s="71">
        <v>2532</v>
      </c>
      <c r="J27" s="71">
        <v>2447</v>
      </c>
      <c r="K27" s="71">
        <v>5606</v>
      </c>
      <c r="L27" s="71">
        <v>5577</v>
      </c>
      <c r="M27" s="71">
        <v>1380</v>
      </c>
      <c r="N27" s="71">
        <v>856</v>
      </c>
      <c r="O27" s="71">
        <v>2051</v>
      </c>
      <c r="P27" s="71">
        <v>2481</v>
      </c>
      <c r="Q27" s="90">
        <v>1353</v>
      </c>
      <c r="R27" s="71">
        <v>3374</v>
      </c>
      <c r="S27" s="71">
        <v>2644</v>
      </c>
      <c r="T27" s="71">
        <v>6386</v>
      </c>
      <c r="U27" s="71">
        <v>5118</v>
      </c>
      <c r="V27" s="71">
        <v>391</v>
      </c>
      <c r="W27" s="71">
        <v>7700</v>
      </c>
      <c r="X27" s="71">
        <v>10687</v>
      </c>
      <c r="Y27" s="71">
        <v>4126</v>
      </c>
      <c r="Z27" s="229"/>
      <c r="AA27" s="230"/>
      <c r="AB27" s="230"/>
      <c r="AC27" s="230"/>
      <c r="AD27" s="230"/>
      <c r="AE27" s="231"/>
      <c r="AH27" s="64" ph="1">
        <v>13</v>
      </c>
      <c r="AI27" s="64" t="s" ph="1">
        <v>394</v>
      </c>
      <c r="AZ27" s="64" t="s" ph="1">
        <v>260</v>
      </c>
      <c r="BA27" s="64" ph="1">
        <v>0</v>
      </c>
      <c r="BD27" s="64" t="s" ph="1">
        <v>339</v>
      </c>
      <c r="BE27" s="64" ph="1">
        <v>7100</v>
      </c>
    </row>
    <row r="28" spans="1:57" ph="1">
      <c r="A28" s="72" ph="1"/>
      <c r="B28" s="235" ph="1"/>
      <c r="C28" s="151" t="s" ph="1">
        <v>212</v>
      </c>
      <c r="D28" s="91" ph="1">
        <f>D27*268.68*LOOKUP(D29,密度!$A$2:$A$50,密度!$Q$2:$Q$50)+IF(D27&lt;=0,0,1566*LOOKUP(D29,密度!$A$2:$A$50,密度!$Q$2:$Q$50))</f>
        <v>12733.384504535999</v>
      </c>
      <c r="E28" s="91" ph="1">
        <f>E27*268.68*LOOKUP(E29,密度!$A$2:$A$50,密度!$C$2:$C$50)+IF(E27&lt;=0,0,1566*LOOKUP(E29,密度!$A$2:$A$50,密度!$C$2:$C$50))</f>
        <v>28923.494145000001</v>
      </c>
      <c r="F28" s="91" ph="1">
        <f>F27*11.702*LOOKUP(F29,密度!$A$2:$A$50,密度!$Q$2:$Q$50)</f>
        <v>23949.481708800002</v>
      </c>
      <c r="G28" s="91" ph="1">
        <f>G27*18.322*LOOKUP(G29,密度!$A$2:$A$50,密度!$B$2:$B$50)</f>
        <v>31860.580185599996</v>
      </c>
      <c r="H28" s="91" ph="1">
        <f>H27*18.322*LOOKUP(H29,密度!$A$2:$A$50,密度!$B$2:$B$50)</f>
        <v>15793.270848</v>
      </c>
      <c r="I28" s="91" ph="1">
        <f>I27*18.322*LOOKUP(I29,密度!$A$2:$A$50,密度!$Q$2:$Q$50)</f>
        <v>44282.355320160001</v>
      </c>
      <c r="J28" s="91" ph="1">
        <f>J27*18.322*LOOKUP(J29,密度!$A$2:$A$50,密度!$Q$2:$Q$50)</f>
        <v>42717.772315200004</v>
      </c>
      <c r="K28" s="91" ph="1">
        <f>K27*18.322*LOOKUP(K29,密度!$A$2:$A$50,密度!$Q$2:$Q$50)</f>
        <v>97865.072169599996</v>
      </c>
      <c r="L28" s="91" ph="1">
        <f>L27*18.322*LOOKUP(L29,密度!$A$2:$A$50,密度!$Q$2:$Q$50)</f>
        <v>97440.558758400002</v>
      </c>
      <c r="M28" s="91" ph="1">
        <f>M27*18.322*LOOKUP(M29,密度!$A$2:$A$50,密度!$Q$2:$Q$50)</f>
        <v>24111.165696</v>
      </c>
      <c r="N28" s="91" ph="1">
        <f>N27*18.322*LOOKUP(N29,密度!$A$2:$A$50,密度!$Q$2:$Q$50)</f>
        <v>14955.9114752</v>
      </c>
      <c r="O28" s="91" ph="1">
        <f>O27*18.322*LOOKUP(O29,密度!$A$2:$A$50,密度!$C$2:$C$50)</f>
        <v>41907.456214399994</v>
      </c>
      <c r="P28" s="91" ph="1">
        <f>P27*11.702*LOOKUP(P29,密度!$A$2:$A$50,密度!$B$2:$B$50)</f>
        <v>22854.511526400001</v>
      </c>
      <c r="Q28" s="92" ph="1">
        <f>Q27*18.322*LOOKUP(Q29,密度!$A$2:$A$50,密度!$B$2:$B$50)</f>
        <v>19494.593342399996</v>
      </c>
      <c r="R28" s="91" ph="1">
        <f>R27*35.891*LOOKUP(R29,密度!$A$2:$A$50,密度!$C$2:$C$50)</f>
        <v>135119.17789719999</v>
      </c>
      <c r="S28" s="91" ph="1">
        <f>S27*35.891*LOOKUP(S29,密度!$A$2:$A$50,密度!$B$2:$B$50)</f>
        <v>74777.893551999994</v>
      </c>
      <c r="T28" s="91" ph="1">
        <f>T27*35.891*LOOKUP(T29,密度!$A$2:$A$50,密度!$Q$2:$Q$50)</f>
        <v>218565.04943359998</v>
      </c>
      <c r="U28" s="91" ph="1">
        <f>U27*35.891</f>
        <v>183690.13799999998</v>
      </c>
      <c r="V28" s="91" ph="1">
        <f>V27*47.051*LOOKUP(V29,密度!$A$2:$A$50,密度!$B$2:$B$50)</f>
        <v>14467.354402400002</v>
      </c>
      <c r="W28" s="91" ph="1">
        <f>W27*47.051*LOOKUP(W29,密度!$A$2:$A$50,密度!$B$2:$B$50)</f>
        <v>284906.97928000003</v>
      </c>
      <c r="X28" s="91" ph="1">
        <f>X27*47.051*LOOKUP(X29,密度!$A$2:$A$50,密度!$I$2:$I$50)</f>
        <v>519608.58047432004</v>
      </c>
      <c r="Y28" s="91" ph="1">
        <f>Y27*47.051*LOOKUP(Y29,密度!$A$2:$A$50,密度!$L$2:$L$50)</f>
        <v>183261.010144</v>
      </c>
      <c r="Z28" s="229"/>
      <c r="AA28" s="230"/>
      <c r="AB28" s="230"/>
      <c r="AC28" s="230"/>
      <c r="AD28" s="230"/>
      <c r="AE28" s="231"/>
      <c r="AH28" s="64" ph="1">
        <v>14</v>
      </c>
      <c r="AI28" s="64" t="s" ph="1">
        <v>395</v>
      </c>
      <c r="AZ28" s="64" t="s" ph="1">
        <v>260</v>
      </c>
      <c r="BA28" s="64" ph="1">
        <v>0</v>
      </c>
    </row>
    <row r="29" spans="1:57" ph="1">
      <c r="A29" s="72" ph="1"/>
      <c r="B29" s="235" ph="1"/>
      <c r="C29" s="151" t="s" ph="1">
        <v>213</v>
      </c>
      <c r="D29" s="74">
        <v>25</v>
      </c>
      <c r="E29" s="74">
        <v>25</v>
      </c>
      <c r="F29" s="74">
        <v>17</v>
      </c>
      <c r="G29" s="74">
        <v>16</v>
      </c>
      <c r="H29" s="74">
        <v>16</v>
      </c>
      <c r="I29" s="74">
        <v>15</v>
      </c>
      <c r="J29" s="74">
        <v>17</v>
      </c>
      <c r="K29" s="74">
        <v>17</v>
      </c>
      <c r="L29" s="74">
        <v>16</v>
      </c>
      <c r="M29" s="74">
        <v>16</v>
      </c>
      <c r="N29" s="74">
        <v>16</v>
      </c>
      <c r="O29" s="74">
        <v>16</v>
      </c>
      <c r="P29" s="74">
        <v>16</v>
      </c>
      <c r="Q29" s="93">
        <v>17</v>
      </c>
      <c r="R29" s="74">
        <v>15</v>
      </c>
      <c r="S29" s="74">
        <v>15</v>
      </c>
      <c r="T29" s="74">
        <v>16</v>
      </c>
      <c r="U29" s="74">
        <v>16</v>
      </c>
      <c r="V29" s="74">
        <v>17</v>
      </c>
      <c r="W29" s="74">
        <v>17</v>
      </c>
      <c r="X29" s="74">
        <v>47</v>
      </c>
      <c r="Y29" s="74">
        <v>18</v>
      </c>
      <c r="Z29" s="232"/>
      <c r="AA29" s="233"/>
      <c r="AB29" s="233"/>
      <c r="AC29" s="233"/>
      <c r="AD29" s="233"/>
      <c r="AE29" s="234"/>
      <c r="AH29" s="64" ph="1">
        <v>15</v>
      </c>
      <c r="AI29" s="64" t="s" ph="1">
        <v>396</v>
      </c>
      <c r="AZ29" s="64" t="s" ph="1">
        <v>260</v>
      </c>
      <c r="BA29" s="64" ph="1">
        <v>0</v>
      </c>
      <c r="BD29" s="64" t="s" ph="1">
        <v>397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398</v>
      </c>
      <c r="AZ30" s="64" t="s" ph="1">
        <v>260</v>
      </c>
      <c r="BA30" s="64" ph="1">
        <v>0</v>
      </c>
    </row>
    <row r="31" spans="1:57" ht="28.5" ph="1">
      <c r="A31" s="64"/>
      <c r="B31" s="218" t="s" ph="1">
        <v>35</v>
      </c>
      <c r="C31" s="219" ph="1"/>
      <c r="D31" s="222" t="s" ph="1">
        <v>9</v>
      </c>
      <c r="E31" s="197" ph="1"/>
      <c r="F31" s="198" ph="1"/>
      <c r="G31" s="222" t="s" ph="1">
        <v>18</v>
      </c>
      <c r="H31" s="197" ph="1"/>
      <c r="I31" s="198" ph="1"/>
      <c r="J31" s="196" t="s" ph="1">
        <v>1</v>
      </c>
      <c r="K31" s="197" ph="1"/>
      <c r="L31" s="198" ph="1"/>
      <c r="M31" s="196" t="s" ph="1">
        <v>7</v>
      </c>
      <c r="N31" s="197" ph="1"/>
      <c r="O31" s="198" ph="1"/>
      <c r="P31" s="196" t="s" ph="1">
        <v>42</v>
      </c>
      <c r="Q31" s="197"/>
      <c r="R31" s="198"/>
      <c r="S31" s="196" t="s" ph="1">
        <v>2</v>
      </c>
      <c r="T31" s="197"/>
      <c r="U31" s="198"/>
      <c r="V31" s="196" t="s" ph="1">
        <v>81</v>
      </c>
      <c r="W31" s="197" ph="1"/>
      <c r="X31" s="198" ph="1"/>
      <c r="Y31" s="196" t="s" ph="1">
        <v>3</v>
      </c>
      <c r="Z31" s="197" ph="1"/>
      <c r="AA31" s="198" ph="1"/>
      <c r="AB31" s="199" t="s">
        <v>43</v>
      </c>
      <c r="AC31" s="200"/>
      <c r="AD31" s="200"/>
      <c r="AE31" s="201"/>
      <c r="AH31" s="64" ph="1">
        <v>17</v>
      </c>
      <c r="AI31" s="64" t="s" ph="1">
        <v>399</v>
      </c>
      <c r="AZ31" s="64" t="s" ph="1">
        <v>260</v>
      </c>
      <c r="BA31" s="64" ph="1">
        <v>0</v>
      </c>
      <c r="BD31" s="64" t="s" ph="1">
        <v>400</v>
      </c>
      <c r="BE31" s="64" ph="1">
        <v>9310</v>
      </c>
    </row>
    <row r="32" spans="1:57" ph="1">
      <c r="A32" s="64"/>
      <c r="B32" s="220" ph="1"/>
      <c r="C32" s="221" ph="1"/>
      <c r="D32" s="96" t="s" ph="1">
        <v>4</v>
      </c>
      <c r="E32" s="151" t="s" ph="1">
        <v>5</v>
      </c>
      <c r="F32" s="150" t="s" ph="1">
        <v>44</v>
      </c>
      <c r="G32" s="97" t="s" ph="1">
        <v>4</v>
      </c>
      <c r="H32" s="151" t="s" ph="1">
        <v>5</v>
      </c>
      <c r="I32" s="150" t="s" ph="1">
        <v>44</v>
      </c>
      <c r="J32" s="97" t="s" ph="1">
        <v>4</v>
      </c>
      <c r="K32" s="151" t="s" ph="1">
        <v>5</v>
      </c>
      <c r="L32" s="150" t="s" ph="1">
        <v>44</v>
      </c>
      <c r="M32" s="97" t="s" ph="1">
        <v>4</v>
      </c>
      <c r="N32" s="151" t="s" ph="1">
        <v>5</v>
      </c>
      <c r="O32" s="150" t="s" ph="1">
        <v>44</v>
      </c>
      <c r="P32" s="97" t="s" ph="1">
        <v>4</v>
      </c>
      <c r="Q32" s="98" t="s" ph="1">
        <v>5</v>
      </c>
      <c r="R32" s="99" t="s" ph="1">
        <v>44</v>
      </c>
      <c r="S32" s="97" t="s" ph="1">
        <v>4</v>
      </c>
      <c r="T32" s="151" t="s" ph="1">
        <v>5</v>
      </c>
      <c r="U32" s="99" t="s" ph="1">
        <v>44</v>
      </c>
      <c r="V32" s="97" t="s" ph="1">
        <v>4</v>
      </c>
      <c r="W32" s="151" t="s" ph="1">
        <v>5</v>
      </c>
      <c r="X32" s="99" t="s" ph="1">
        <v>44</v>
      </c>
      <c r="Y32" s="100" t="s" ph="1">
        <v>4</v>
      </c>
      <c r="Z32" s="151" t="s" ph="1">
        <v>5</v>
      </c>
      <c r="AA32" s="150" t="s" ph="1">
        <v>44</v>
      </c>
      <c r="AB32" s="97" t="s" ph="1">
        <v>102</v>
      </c>
      <c r="AC32" s="151" t="s" ph="1">
        <v>101</v>
      </c>
      <c r="AD32" s="202" t="s" ph="1">
        <v>100</v>
      </c>
      <c r="AE32" s="203"/>
      <c r="AH32" s="64" ph="1">
        <v>18</v>
      </c>
      <c r="AI32" s="64" t="s" ph="1">
        <v>401</v>
      </c>
      <c r="AZ32" s="64" t="s" ph="1">
        <v>260</v>
      </c>
      <c r="BA32" s="64" ph="1">
        <v>0</v>
      </c>
    </row>
    <row r="33" spans="1:57" ph="1">
      <c r="A33" s="64"/>
      <c r="B33" s="204" t="s" ph="1">
        <v>215</v>
      </c>
      <c r="C33" s="205" ph="1"/>
      <c r="D33" s="184" ph="1">
        <f>AA10+AB10+Z19</f>
        <v>128580.6097643</v>
      </c>
      <c r="E33" s="184" ph="1">
        <f>M10+I10</f>
        <v>190030.2068328</v>
      </c>
      <c r="F33" s="208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[[#This Row],[F25]]</f>
        <v>3880</v>
      </c>
      <c r="G33" s="210" ph="1">
        <v>0</v>
      </c>
      <c r="H33" s="184" ph="1">
        <f>N19</f>
        <v>12222.206681400001</v>
      </c>
      <c r="I33" s="188" ph="1">
        <v>0</v>
      </c>
      <c r="J33" s="192" ph="1">
        <f>F10+O28</f>
        <v>155369.62355240001</v>
      </c>
      <c r="K33" s="184" ph="1">
        <f>O10+K10+E28+R28</f>
        <v>310874.31405420002</v>
      </c>
      <c r="L33" s="194" ph="1">
        <f>BE27</f>
        <v>7100</v>
      </c>
      <c r="M33" s="192" ph="1">
        <f>G10+H10+W28+S28</f>
        <v>963560.89257399994</v>
      </c>
      <c r="N33" s="184" ph="1">
        <f>L10+P10++G28+H28+V28</f>
        <v>238625.11530500001</v>
      </c>
      <c r="O33" s="188" ph="1">
        <f>BE17</f>
        <v>2270</v>
      </c>
      <c r="P33" s="192" ph="1">
        <f>L19</f>
        <v>37633.7500765</v>
      </c>
      <c r="Q33" s="184" ph="1">
        <f>J10+N10</f>
        <v>169100.91381930001</v>
      </c>
      <c r="R33" s="188" ph="1">
        <f>BE23</f>
        <v>890</v>
      </c>
      <c r="S33" s="192" ph="1">
        <f>E10+X28</f>
        <v>519608.58047432004</v>
      </c>
      <c r="T33" s="184" ph="1">
        <f>X19</f>
        <v>14589.947193599997</v>
      </c>
      <c r="U33" s="173" ph="1">
        <f>BE21</f>
        <v>730</v>
      </c>
      <c r="V33" s="186" ph="1">
        <f ca="1">P19+Q19+S19+M28+N28+J28</f>
        <v>163285.74601028601</v>
      </c>
      <c r="W33" s="186" ph="1">
        <f>D28+F28+V19+T28</f>
        <v>255247.91564693599</v>
      </c>
      <c r="X33" s="188" ph="1">
        <f>BE29+BE31</f>
        <v>10200</v>
      </c>
      <c r="Y33" s="190" ph="1">
        <f>+Q10+R10+S10+T10+U10+V10+W10+X10+Y10</f>
        <v>169493.09620319997</v>
      </c>
      <c r="Z33" s="171" ph="1">
        <f>D10+T19+U19+Y28+Z10</f>
        <v>410699.97734501999</v>
      </c>
      <c r="AA33" s="173" ph="1">
        <f>BE19</f>
        <v>1440</v>
      </c>
      <c r="AB33" s="175" ph="1">
        <f>I19</f>
        <v>37.3147552</v>
      </c>
      <c r="AC33" s="177" ph="1">
        <f>AD10</f>
        <v>5139.7665120000001</v>
      </c>
      <c r="AD33" s="179" ph="1">
        <v>0</v>
      </c>
      <c r="AE33" s="180"/>
      <c r="AH33" s="64" ph="1">
        <v>19</v>
      </c>
      <c r="AI33" s="64" t="s" ph="1">
        <v>402</v>
      </c>
      <c r="AJ33" s="64" t="s" ph="1">
        <v>636</v>
      </c>
      <c r="AK33" s="64" t="s" ph="1">
        <v>633</v>
      </c>
      <c r="AL33" s="64" ph="1">
        <v>730</v>
      </c>
      <c r="AM33" s="64" t="s" ph="1">
        <v>383</v>
      </c>
      <c r="AZ33" s="64" t="s" ph="1">
        <v>260</v>
      </c>
      <c r="BA33" s="64" ph="1">
        <v>730</v>
      </c>
      <c r="BD33" s="64" t="s" ph="1">
        <v>334</v>
      </c>
      <c r="BE33" s="64" ph="1">
        <v>3880</v>
      </c>
    </row>
    <row r="34" spans="1:57" ph="1">
      <c r="A34" s="64"/>
      <c r="B34" s="206" ph="1"/>
      <c r="C34" s="207" ph="1"/>
      <c r="D34" s="185" ph="1"/>
      <c r="E34" s="185" ph="1"/>
      <c r="F34" s="209" ph="1"/>
      <c r="G34" s="211" ph="1"/>
      <c r="H34" s="185" ph="1"/>
      <c r="I34" s="189" ph="1"/>
      <c r="J34" s="193" ph="1"/>
      <c r="K34" s="185" ph="1"/>
      <c r="L34" s="195" ph="1"/>
      <c r="M34" s="193" ph="1"/>
      <c r="N34" s="185" ph="1"/>
      <c r="O34" s="189" ph="1"/>
      <c r="P34" s="193" ph="1"/>
      <c r="Q34" s="185" ph="1"/>
      <c r="R34" s="189" ph="1"/>
      <c r="S34" s="193" ph="1"/>
      <c r="T34" s="185"/>
      <c r="U34" s="174"/>
      <c r="V34" s="187" ph="1"/>
      <c r="W34" s="187" ph="1"/>
      <c r="X34" s="189" ph="1"/>
      <c r="Y34" s="191" ph="1"/>
      <c r="Z34" s="172" ph="1"/>
      <c r="AA34" s="174" ph="1"/>
      <c r="AB34" s="176"/>
      <c r="AC34" s="178"/>
      <c r="AD34" s="181"/>
      <c r="AE34" s="182"/>
      <c r="AH34" s="64" ph="1">
        <v>20</v>
      </c>
      <c r="AI34" s="64" t="s" ph="1">
        <v>403</v>
      </c>
      <c r="AJ34" s="64" t="s" ph="1">
        <v>637</v>
      </c>
      <c r="AK34" s="64" t="s" ph="1">
        <v>633</v>
      </c>
      <c r="AL34" s="64" ph="1">
        <v>720</v>
      </c>
      <c r="AM34" s="64" t="s" ph="1">
        <v>383</v>
      </c>
      <c r="AZ34" s="64" t="s" ph="1">
        <v>260</v>
      </c>
      <c r="BA34" s="64" ph="1">
        <v>720</v>
      </c>
    </row>
    <row r="35" spans="1:57" ph="1">
      <c r="A35" s="64"/>
      <c r="AC35" s="183" t="s" ph="1">
        <v>84</v>
      </c>
      <c r="AD35" s="183"/>
      <c r="AE35" s="183"/>
      <c r="AH35" s="64" ph="1">
        <v>21</v>
      </c>
      <c r="AI35" s="64" t="s" ph="1">
        <v>404</v>
      </c>
      <c r="AZ35" s="64" t="s" ph="1">
        <v>260</v>
      </c>
      <c r="BA35" s="64" ph="1">
        <v>0</v>
      </c>
      <c r="BD35" s="64" t="s" ph="1">
        <v>405</v>
      </c>
      <c r="BE35" s="64" ph="1">
        <v>2030</v>
      </c>
    </row>
    <row r="36" spans="1:57" ht="28.5" ph="1">
      <c r="A36" s="64"/>
      <c r="B36" s="103" t="s" ph="1">
        <v>216</v>
      </c>
      <c r="I36" s="169" t="s" ph="1">
        <v>217</v>
      </c>
      <c r="J36" s="169" ph="1"/>
      <c r="K36" s="101" ph="1"/>
      <c r="P36" s="101" ph="1"/>
      <c r="R36" s="169" t="s" ph="1">
        <v>218</v>
      </c>
      <c r="S36" s="169" ph="1"/>
      <c r="Y36" s="102" ph="1"/>
      <c r="Z36" s="149" t="s" ph="1">
        <v>219</v>
      </c>
      <c r="AA36" s="149" ph="1"/>
      <c r="AB36" s="170" t="s" ph="1">
        <v>655</v>
      </c>
      <c r="AC36" s="170" ph="1"/>
      <c r="AD36" s="170" ph="1"/>
      <c r="AE36" s="170" ph="1"/>
      <c r="BA36" s="64" ph="1">
        <v>2270</v>
      </c>
    </row>
    <row r="37" spans="1:57" s="14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9" t="s" ph="1">
        <v>386</v>
      </c>
      <c r="AI37" s="149" t="s" ph="1">
        <v>253</v>
      </c>
      <c r="AJ37" s="149" t="s" ph="1">
        <v>254</v>
      </c>
      <c r="AK37" s="149" t="s" ph="1">
        <v>255</v>
      </c>
      <c r="AM37" s="149" t="s" ph="1">
        <v>254</v>
      </c>
      <c r="AN37" s="149" t="s" ph="1">
        <v>255</v>
      </c>
      <c r="AO37" s="149" t="s" ph="1">
        <v>256</v>
      </c>
      <c r="AP37" s="149" t="s" ph="1">
        <v>254</v>
      </c>
      <c r="AQ37" s="149" t="s" ph="1">
        <v>255</v>
      </c>
      <c r="AR37" s="149" t="s" ph="1">
        <v>256</v>
      </c>
      <c r="AS37" s="149" t="s" ph="1">
        <v>254</v>
      </c>
      <c r="AT37" s="149" t="s" ph="1">
        <v>255</v>
      </c>
      <c r="AU37" s="149" t="s" ph="1">
        <v>256</v>
      </c>
      <c r="AV37" s="149" t="s" ph="1">
        <v>254</v>
      </c>
      <c r="AW37" s="149" t="s" ph="1">
        <v>255</v>
      </c>
      <c r="AX37" s="149" t="s" ph="1">
        <v>256</v>
      </c>
      <c r="AY37" s="149" t="s" ph="1">
        <v>255</v>
      </c>
      <c r="AZ37" s="149" t="s" ph="1">
        <v>257</v>
      </c>
      <c r="BD37" s="149" t="s" ph="1">
        <v>349</v>
      </c>
      <c r="BE37" s="149" ph="1">
        <v>0</v>
      </c>
    </row>
    <row r="38" spans="1:57" ph="1">
      <c r="AE38" s="64" ph="1"/>
      <c r="AH38" s="64" ph="1">
        <v>1</v>
      </c>
      <c r="AI38" s="64" t="s" ph="1">
        <v>406</v>
      </c>
      <c r="AY38" s="64" t="s" ph="1">
        <v>260</v>
      </c>
      <c r="AZ38" s="64" t="s" ph="1">
        <v>411</v>
      </c>
    </row>
    <row r="39" spans="1:57" ph="1">
      <c r="AH39" s="64" ph="1">
        <v>2</v>
      </c>
      <c r="AI39" s="64" t="s" ph="1">
        <v>408</v>
      </c>
      <c r="AJ39" s="64" t="s" ph="1">
        <v>380</v>
      </c>
      <c r="AK39" s="64" t="s" ph="1">
        <v>409</v>
      </c>
      <c r="AM39" s="64" t="s" ph="1">
        <v>614</v>
      </c>
      <c r="AN39" s="64" t="s" ph="1">
        <v>272</v>
      </c>
      <c r="AO39" s="64" t="s" ph="1">
        <v>407</v>
      </c>
      <c r="AY39" s="64" t="s" ph="1">
        <v>260</v>
      </c>
      <c r="AZ39" s="64" t="s" ph="1">
        <v>543</v>
      </c>
    </row>
    <row r="40" spans="1:57" ph="1">
      <c r="AH40" s="64" ph="1">
        <v>3</v>
      </c>
      <c r="AI40" s="64" t="s" ph="1">
        <v>410</v>
      </c>
      <c r="AJ40" s="64" t="s" ph="1">
        <v>614</v>
      </c>
      <c r="AK40" s="64" t="s" ph="1">
        <v>615</v>
      </c>
      <c r="AY40" s="64" t="s" ph="1">
        <v>260</v>
      </c>
      <c r="AZ40" s="64" t="s" ph="1">
        <v>615</v>
      </c>
    </row>
    <row r="41" spans="1:57" ph="1">
      <c r="AH41" s="64" ph="1">
        <v>4</v>
      </c>
      <c r="AI41" s="64" t="s" ph="1">
        <v>412</v>
      </c>
      <c r="AJ41" s="64" t="s" ph="1">
        <v>616</v>
      </c>
      <c r="AK41" s="64" t="s" ph="1">
        <v>617</v>
      </c>
      <c r="AM41" s="64" t="s" ph="1">
        <v>618</v>
      </c>
      <c r="AY41" s="64" t="s" ph="1">
        <v>260</v>
      </c>
      <c r="AZ41" s="64" t="s" ph="1">
        <v>617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413</v>
      </c>
      <c r="AY42" s="64" t="s" ph="1">
        <v>260</v>
      </c>
      <c r="AZ42" s="64" t="s" ph="1">
        <v>411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414</v>
      </c>
      <c r="AY43" s="64" t="s" ph="1">
        <v>260</v>
      </c>
      <c r="AZ43" s="64" t="s" ph="1">
        <v>411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415</v>
      </c>
      <c r="AV44" s="64" t="s" ph="1">
        <v>261</v>
      </c>
      <c r="AY44" s="64" t="s" ph="1">
        <v>260</v>
      </c>
      <c r="AZ44" s="64" t="s" ph="1">
        <v>411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416</v>
      </c>
      <c r="AV45" s="64" t="s" ph="1">
        <v>261</v>
      </c>
      <c r="AY45" s="64" t="s" ph="1">
        <v>260</v>
      </c>
      <c r="AZ45" s="64" t="s" ph="1">
        <v>411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417</v>
      </c>
      <c r="AV46" s="64" t="s" ph="1">
        <v>261</v>
      </c>
      <c r="AY46" s="64" t="s" ph="1">
        <v>260</v>
      </c>
      <c r="AZ46" s="64" t="s" ph="1">
        <v>411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418</v>
      </c>
      <c r="AV47" s="64" t="s" ph="1">
        <v>261</v>
      </c>
      <c r="AY47" s="64" t="s" ph="1">
        <v>260</v>
      </c>
      <c r="AZ47" s="64" t="s" ph="1">
        <v>411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619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276</v>
      </c>
      <c r="AI49" s="64" t="s" ph="1">
        <v>253</v>
      </c>
      <c r="AJ49" s="64" t="s" ph="1">
        <v>254</v>
      </c>
      <c r="AK49" s="64" t="s" ph="1">
        <v>255</v>
      </c>
      <c r="AM49" s="64" t="s" ph="1">
        <v>254</v>
      </c>
      <c r="AN49" s="64" t="s" ph="1">
        <v>255</v>
      </c>
      <c r="AO49" s="64" t="s" ph="1">
        <v>256</v>
      </c>
      <c r="AP49" s="64" t="s" ph="1">
        <v>254</v>
      </c>
      <c r="AQ49" s="64" t="s" ph="1">
        <v>255</v>
      </c>
      <c r="AR49" s="64" t="s" ph="1">
        <v>256</v>
      </c>
      <c r="AS49" s="64" t="s" ph="1">
        <v>254</v>
      </c>
      <c r="AT49" s="64" t="s" ph="1">
        <v>255</v>
      </c>
      <c r="AU49" s="64" t="s" ph="1">
        <v>256</v>
      </c>
      <c r="AV49" s="64" t="s" ph="1">
        <v>254</v>
      </c>
      <c r="AW49" s="64" t="s" ph="1">
        <v>255</v>
      </c>
      <c r="AX49" s="64" t="s" ph="1">
        <v>256</v>
      </c>
      <c r="AY49" s="64" t="s" ph="1">
        <v>255</v>
      </c>
      <c r="AZ49" s="64" t="s" ph="1">
        <v>257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419</v>
      </c>
      <c r="AY50" s="64" t="s" ph="1">
        <v>260</v>
      </c>
      <c r="AZ50" s="64" t="s" ph="1">
        <v>411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420</v>
      </c>
      <c r="AY51" s="64" t="s" ph="1">
        <v>260</v>
      </c>
      <c r="AZ51" s="64" t="s" ph="1">
        <v>411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421</v>
      </c>
      <c r="AJ52" s="64" t="s" ph="1">
        <v>378</v>
      </c>
      <c r="AK52" s="64" t="s" ph="1">
        <v>272</v>
      </c>
      <c r="AM52" s="64" t="s" ph="1">
        <v>380</v>
      </c>
      <c r="AN52" s="64" t="s" ph="1">
        <v>344</v>
      </c>
      <c r="AO52" s="64" t="s" ph="1">
        <v>277</v>
      </c>
      <c r="AP52" s="64" t="s" ph="1">
        <v>614</v>
      </c>
      <c r="AQ52" s="64" t="s" ph="1">
        <v>326</v>
      </c>
      <c r="AR52" s="64" t="s" ph="1">
        <v>277</v>
      </c>
      <c r="AY52" s="64" t="s" ph="1">
        <v>260</v>
      </c>
      <c r="AZ52" s="64" t="s" ph="1">
        <v>620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422</v>
      </c>
      <c r="AY53" s="64" t="s" ph="1">
        <v>260</v>
      </c>
      <c r="AZ53" s="64" t="s" ph="1">
        <v>411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423</v>
      </c>
      <c r="AJ54" s="64" t="s" ph="1">
        <v>378</v>
      </c>
      <c r="AK54" s="64" t="s" ph="1">
        <v>263</v>
      </c>
      <c r="AM54" s="64" t="s" ph="1">
        <v>380</v>
      </c>
      <c r="AN54" s="64" t="s" ph="1">
        <v>268</v>
      </c>
      <c r="AO54" s="64" t="s" ph="1">
        <v>277</v>
      </c>
      <c r="AP54" s="64" t="s" ph="1">
        <v>614</v>
      </c>
      <c r="AQ54" s="64" t="s" ph="1">
        <v>284</v>
      </c>
      <c r="AR54" s="64" t="s" ph="1">
        <v>277</v>
      </c>
      <c r="AY54" s="64" t="s" ph="1">
        <v>260</v>
      </c>
      <c r="AZ54" s="64" t="s" ph="1">
        <v>278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424</v>
      </c>
      <c r="AY55" s="64" t="s" ph="1">
        <v>260</v>
      </c>
      <c r="AZ55" s="64" t="s" ph="1">
        <v>411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425</v>
      </c>
      <c r="AY56" s="64" t="s" ph="1">
        <v>260</v>
      </c>
      <c r="AZ56" s="64" t="s" ph="1">
        <v>411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426</v>
      </c>
      <c r="AY57" s="64" t="s" ph="1">
        <v>260</v>
      </c>
      <c r="AZ57" s="64" t="s" ph="1">
        <v>411</v>
      </c>
    </row>
    <row r="58" spans="16:52" ph="1">
      <c r="P58" s="64"/>
      <c r="AN58" s="64" t="s" ph="1">
        <v>261</v>
      </c>
      <c r="AZ58" s="64" t="s" ph="1">
        <v>621</v>
      </c>
    </row>
    <row r="59" spans="16:52" ph="1">
      <c r="V59" s="64"/>
      <c r="AG59" s="64" t="s" ph="1">
        <v>279</v>
      </c>
      <c r="AI59" s="64" t="s" ph="1">
        <v>253</v>
      </c>
      <c r="AJ59" s="64" t="s" ph="1">
        <v>254</v>
      </c>
      <c r="AK59" s="64" t="s" ph="1">
        <v>255</v>
      </c>
      <c r="AM59" s="64" t="s" ph="1">
        <v>254</v>
      </c>
      <c r="AN59" s="64" t="s" ph="1">
        <v>255</v>
      </c>
      <c r="AO59" s="64" t="s" ph="1">
        <v>256</v>
      </c>
      <c r="AP59" s="64" t="s" ph="1">
        <v>254</v>
      </c>
      <c r="AQ59" s="64" t="s" ph="1">
        <v>255</v>
      </c>
      <c r="AR59" s="64" t="s" ph="1">
        <v>256</v>
      </c>
      <c r="AS59" s="64" t="s" ph="1">
        <v>254</v>
      </c>
      <c r="AT59" s="64" t="s" ph="1">
        <v>255</v>
      </c>
      <c r="AU59" s="64" t="s" ph="1">
        <v>256</v>
      </c>
      <c r="AV59" s="64" t="s" ph="1">
        <v>254</v>
      </c>
      <c r="AW59" s="64" t="s" ph="1">
        <v>255</v>
      </c>
      <c r="AX59" s="64" t="s" ph="1">
        <v>256</v>
      </c>
      <c r="AY59" s="64" t="s" ph="1">
        <v>255</v>
      </c>
      <c r="AZ59" s="64" t="s" ph="1">
        <v>257</v>
      </c>
    </row>
    <row r="60" spans="16:52" ph="1">
      <c r="R60" s="64"/>
      <c r="S60" s="64"/>
      <c r="T60" s="64"/>
      <c r="AH60" s="64" ph="1">
        <v>1</v>
      </c>
      <c r="AI60" s="64" t="s" ph="1">
        <v>427</v>
      </c>
      <c r="AY60" s="64" t="s" ph="1">
        <v>260</v>
      </c>
      <c r="AZ60" s="64" t="s" ph="1">
        <v>411</v>
      </c>
    </row>
    <row r="61" spans="16:52" ph="1">
      <c r="AH61" s="64" ph="1">
        <v>2</v>
      </c>
      <c r="AI61" s="64" t="s" ph="1">
        <v>428</v>
      </c>
      <c r="AS61" s="64" t="s" ph="1">
        <v>261</v>
      </c>
      <c r="AY61" s="64" t="s" ph="1">
        <v>260</v>
      </c>
      <c r="AZ61" s="64" t="s" ph="1">
        <v>411</v>
      </c>
    </row>
    <row r="62" spans="16:52" ph="1">
      <c r="AZ62" s="64" t="s" ph="1">
        <v>429</v>
      </c>
    </row>
    <row r="63" spans="16:52" ph="1">
      <c r="AG63" s="64" t="s" ph="1">
        <v>282</v>
      </c>
      <c r="AI63" s="64" t="s" ph="1">
        <v>253</v>
      </c>
      <c r="AJ63" s="64" t="s" ph="1">
        <v>254</v>
      </c>
      <c r="AK63" s="64" t="s" ph="1">
        <v>255</v>
      </c>
      <c r="AM63" s="64" t="s" ph="1">
        <v>254</v>
      </c>
      <c r="AN63" s="64" t="s" ph="1">
        <v>255</v>
      </c>
      <c r="AO63" s="64" t="s" ph="1">
        <v>256</v>
      </c>
      <c r="AP63" s="64" t="s" ph="1">
        <v>254</v>
      </c>
      <c r="AQ63" s="64" t="s" ph="1">
        <v>255</v>
      </c>
      <c r="AR63" s="64" t="s" ph="1">
        <v>256</v>
      </c>
      <c r="AS63" s="64" t="s" ph="1">
        <v>254</v>
      </c>
      <c r="AT63" s="64" t="s" ph="1">
        <v>255</v>
      </c>
      <c r="AU63" s="64" t="s" ph="1">
        <v>256</v>
      </c>
      <c r="AV63" s="64" t="s" ph="1">
        <v>254</v>
      </c>
      <c r="AW63" s="64" t="s" ph="1">
        <v>255</v>
      </c>
      <c r="AX63" s="64" t="s" ph="1">
        <v>256</v>
      </c>
      <c r="AY63" s="64" t="s" ph="1">
        <v>255</v>
      </c>
      <c r="AZ63" s="64" t="s" ph="1">
        <v>257</v>
      </c>
    </row>
    <row r="64" spans="16:52" ph="1">
      <c r="AH64" s="64" ph="1">
        <v>1</v>
      </c>
      <c r="AI64" s="64" t="s" ph="1">
        <v>430</v>
      </c>
      <c r="AJ64" s="64" t="s" ph="1">
        <v>431</v>
      </c>
      <c r="AK64" s="64" t="s" ph="1">
        <v>432</v>
      </c>
      <c r="AY64" s="64" t="s" ph="1">
        <v>260</v>
      </c>
      <c r="AZ64" s="64" t="s" ph="1">
        <v>432</v>
      </c>
    </row>
    <row r="65" spans="33:52" ph="1">
      <c r="AH65" s="64" ph="1">
        <v>2</v>
      </c>
      <c r="AI65" s="64" t="s" ph="1">
        <v>433</v>
      </c>
      <c r="AY65" s="64" t="s" ph="1">
        <v>260</v>
      </c>
      <c r="AZ65" s="64" t="s" ph="1">
        <v>411</v>
      </c>
    </row>
    <row r="66" spans="33:52" ph="1">
      <c r="AH66" s="64" ph="1">
        <v>3</v>
      </c>
      <c r="AI66" s="64" t="s" ph="1">
        <v>434</v>
      </c>
      <c r="AY66" s="64" t="s" ph="1">
        <v>260</v>
      </c>
      <c r="AZ66" s="64" t="s" ph="1">
        <v>411</v>
      </c>
    </row>
    <row r="67" spans="33:52" ph="1">
      <c r="AH67" s="64" ph="1">
        <v>4</v>
      </c>
      <c r="AI67" s="64" t="s" ph="1">
        <v>435</v>
      </c>
      <c r="AY67" s="64" t="s" ph="1">
        <v>260</v>
      </c>
      <c r="AZ67" s="64" t="s" ph="1">
        <v>411</v>
      </c>
    </row>
    <row r="68" spans="33:52" ph="1">
      <c r="AH68" s="64" ph="1">
        <v>5</v>
      </c>
      <c r="AI68" s="64" t="s" ph="1">
        <v>436</v>
      </c>
      <c r="AY68" s="64" t="s" ph="1">
        <v>260</v>
      </c>
      <c r="AZ68" s="64" t="s" ph="1">
        <v>411</v>
      </c>
    </row>
    <row r="69" spans="33:52" ph="1">
      <c r="AH69" s="64" ph="1">
        <v>6</v>
      </c>
      <c r="AI69" s="64" t="s" ph="1">
        <v>437</v>
      </c>
      <c r="AY69" s="64" t="s" ph="1">
        <v>260</v>
      </c>
      <c r="AZ69" s="64" t="s" ph="1">
        <v>411</v>
      </c>
    </row>
    <row r="70" spans="33:52" ph="1">
      <c r="AI70" s="64" t="s" ph="1">
        <v>438</v>
      </c>
      <c r="AY70" s="64" t="s" ph="1">
        <v>260</v>
      </c>
      <c r="AZ70" s="64" t="s" ph="1">
        <v>411</v>
      </c>
    </row>
    <row r="71" spans="33:52" ph="1">
      <c r="AH71" s="64" ph="1">
        <v>7</v>
      </c>
      <c r="AI71" s="64" t="s" ph="1">
        <v>439</v>
      </c>
      <c r="AJ71" s="64" t="s" ph="1">
        <v>378</v>
      </c>
      <c r="AK71" s="64" t="s" ph="1">
        <v>272</v>
      </c>
      <c r="AM71" s="64" t="s" ph="1">
        <v>380</v>
      </c>
      <c r="AN71" s="64" t="s" ph="1">
        <v>272</v>
      </c>
      <c r="AO71" s="64" t="s" ph="1">
        <v>440</v>
      </c>
      <c r="AP71" s="64" t="s" ph="1">
        <v>614</v>
      </c>
      <c r="AQ71" s="64" t="s" ph="1">
        <v>263</v>
      </c>
      <c r="AR71" s="64" t="s" ph="1">
        <v>440</v>
      </c>
      <c r="AY71" s="64" t="s" ph="1">
        <v>260</v>
      </c>
      <c r="AZ71" s="64" t="s" ph="1">
        <v>622</v>
      </c>
    </row>
    <row r="72" spans="33:52" ph="1">
      <c r="AZ72" s="64" t="s" ph="1">
        <v>623</v>
      </c>
    </row>
    <row r="73" spans="33:52" ph="1">
      <c r="AG73" s="64" t="s" ph="1">
        <v>285</v>
      </c>
      <c r="AI73" s="64" t="s" ph="1">
        <v>253</v>
      </c>
      <c r="AJ73" s="64" t="s" ph="1">
        <v>254</v>
      </c>
      <c r="AK73" s="64" t="s" ph="1">
        <v>255</v>
      </c>
      <c r="AM73" s="64" t="s" ph="1">
        <v>254</v>
      </c>
      <c r="AN73" s="64" t="s" ph="1">
        <v>255</v>
      </c>
      <c r="AO73" s="64" t="s" ph="1">
        <v>256</v>
      </c>
      <c r="AP73" s="64" t="s" ph="1">
        <v>254</v>
      </c>
      <c r="AQ73" s="64" t="s" ph="1">
        <v>255</v>
      </c>
      <c r="AR73" s="64" t="s" ph="1">
        <v>256</v>
      </c>
      <c r="AS73" s="64" t="s" ph="1">
        <v>254</v>
      </c>
      <c r="AT73" s="64" t="s" ph="1">
        <v>255</v>
      </c>
      <c r="AU73" s="64" t="s" ph="1">
        <v>256</v>
      </c>
      <c r="AV73" s="64" t="s" ph="1">
        <v>254</v>
      </c>
      <c r="AW73" s="64" t="s" ph="1">
        <v>255</v>
      </c>
      <c r="AX73" s="64" t="s" ph="1">
        <v>256</v>
      </c>
      <c r="AY73" s="64" t="s" ph="1">
        <v>255</v>
      </c>
      <c r="AZ73" s="64" t="s" ph="1">
        <v>257</v>
      </c>
    </row>
    <row r="74" spans="33:52" ph="1">
      <c r="AH74" s="64" ph="1">
        <v>1</v>
      </c>
      <c r="AI74" s="64" t="s" ph="1">
        <v>441</v>
      </c>
      <c r="AJ74" s="64" t="s" ph="1">
        <v>286</v>
      </c>
      <c r="AK74" s="64" t="s" ph="1">
        <v>268</v>
      </c>
      <c r="AM74" s="64" t="s" ph="1">
        <v>288</v>
      </c>
      <c r="AN74" s="64" t="s" ph="1">
        <v>298</v>
      </c>
      <c r="AO74" s="64" t="s" ph="1">
        <v>287</v>
      </c>
      <c r="AP74" s="64" t="s" ph="1">
        <v>289</v>
      </c>
      <c r="AQ74" s="64" t="s" ph="1">
        <v>266</v>
      </c>
      <c r="AR74" s="64" t="s" ph="1">
        <v>287</v>
      </c>
      <c r="AS74" s="64" t="s" ph="1">
        <v>259</v>
      </c>
      <c r="AT74" s="64" t="s" ph="1">
        <v>261</v>
      </c>
      <c r="AV74" s="64" t="s" ph="1">
        <v>442</v>
      </c>
      <c r="AW74" s="64" t="s" ph="1">
        <v>443</v>
      </c>
      <c r="AX74" s="64" t="s" ph="1">
        <v>444</v>
      </c>
      <c r="AY74" s="64" t="s" ph="1">
        <v>260</v>
      </c>
      <c r="AZ74" s="64" t="s" ph="1">
        <v>445</v>
      </c>
    </row>
    <row r="75" spans="33:52" ph="1">
      <c r="AJ75" s="64" t="s" ph="1">
        <v>291</v>
      </c>
      <c r="AK75" s="64" t="s" ph="1">
        <v>344</v>
      </c>
      <c r="AM75" s="64" t="s" ph="1">
        <v>289</v>
      </c>
      <c r="AN75" s="64" t="s" ph="1">
        <v>269</v>
      </c>
      <c r="AO75" s="64" t="s" ph="1">
        <v>287</v>
      </c>
      <c r="AS75" s="64" t="s" ph="1">
        <v>259</v>
      </c>
      <c r="AT75" s="64" t="s" ph="1">
        <v>290</v>
      </c>
    </row>
    <row r="76" spans="33:52" ph="1">
      <c r="AJ76" s="64" t="s" ph="1">
        <v>291</v>
      </c>
      <c r="AK76" s="64" t="s" ph="1">
        <v>284</v>
      </c>
      <c r="AM76" s="64" t="s" ph="1">
        <v>289</v>
      </c>
      <c r="AN76" s="64" t="s" ph="1">
        <v>272</v>
      </c>
      <c r="AO76" s="64" t="s" ph="1">
        <v>287</v>
      </c>
      <c r="AS76" s="64" t="s" ph="1">
        <v>259</v>
      </c>
      <c r="AT76" s="64" t="s" ph="1">
        <v>290</v>
      </c>
    </row>
    <row r="77" spans="33:52" ph="1">
      <c r="AJ77" s="64" t="s" ph="1">
        <v>327</v>
      </c>
      <c r="AK77" s="64" t="s" ph="1">
        <v>284</v>
      </c>
      <c r="AM77" s="64" t="s" ph="1">
        <v>328</v>
      </c>
      <c r="AN77" s="64" t="s" ph="1">
        <v>267</v>
      </c>
      <c r="AO77" s="64" t="s" ph="1">
        <v>287</v>
      </c>
      <c r="AS77" s="64" t="s" ph="1">
        <v>259</v>
      </c>
      <c r="AT77" s="64" t="s" ph="1">
        <v>329</v>
      </c>
    </row>
    <row r="78" spans="33:52" ph="1">
      <c r="AH78" s="64" ph="1">
        <v>2</v>
      </c>
      <c r="AI78" s="64" t="s" ph="1">
        <v>293</v>
      </c>
      <c r="AJ78" s="64" t="s" ph="1">
        <v>294</v>
      </c>
      <c r="AK78" s="64" t="s" ph="1">
        <v>263</v>
      </c>
      <c r="AM78" s="64" t="s" ph="1">
        <v>295</v>
      </c>
      <c r="AN78" s="64" t="s" ph="1">
        <v>298</v>
      </c>
      <c r="AO78" s="64" t="s" ph="1">
        <v>287</v>
      </c>
      <c r="AP78" s="64" t="s" ph="1">
        <v>296</v>
      </c>
      <c r="AQ78" s="64" t="s" ph="1">
        <v>342</v>
      </c>
      <c r="AR78" s="64" t="s" ph="1">
        <v>287</v>
      </c>
      <c r="AS78" s="64" t="s" ph="1">
        <v>297</v>
      </c>
      <c r="AT78" s="64" t="s" ph="1">
        <v>298</v>
      </c>
      <c r="AU78" s="64" t="s" ph="1">
        <v>287</v>
      </c>
      <c r="AV78" s="64" t="s" ph="1">
        <v>299</v>
      </c>
      <c r="AW78" s="64" t="s" ph="1">
        <v>287</v>
      </c>
      <c r="AY78" s="64" t="s" ph="1">
        <v>260</v>
      </c>
      <c r="AZ78" s="64" t="s" ph="1">
        <v>446</v>
      </c>
    </row>
    <row r="79" spans="33:52" ph="1">
      <c r="AJ79" s="64" t="s" ph="1">
        <v>289</v>
      </c>
      <c r="AK79" s="64" t="s" ph="1">
        <v>300</v>
      </c>
      <c r="AM79" s="64" t="s" ph="1">
        <v>301</v>
      </c>
      <c r="AN79" s="64" t="s" ph="1">
        <v>269</v>
      </c>
      <c r="AO79" s="64" t="s" ph="1">
        <v>287</v>
      </c>
      <c r="AP79" s="64" t="s" ph="1">
        <v>302</v>
      </c>
      <c r="AQ79" s="64" t="s" ph="1">
        <v>267</v>
      </c>
      <c r="AR79" s="64" t="s" ph="1">
        <v>303</v>
      </c>
      <c r="AS79" s="64" t="s" ph="1">
        <v>259</v>
      </c>
      <c r="AT79" s="64" t="s" ph="1">
        <v>304</v>
      </c>
      <c r="AV79" s="64" t="s" ph="1">
        <v>447</v>
      </c>
      <c r="AW79" s="64" t="s" ph="1">
        <v>346</v>
      </c>
      <c r="AX79" s="64" t="s" ph="1">
        <v>444</v>
      </c>
    </row>
    <row r="80" spans="33:52" ph="1">
      <c r="AH80" s="64" ph="1">
        <v>3</v>
      </c>
      <c r="AI80" s="64" t="s" ph="1">
        <v>305</v>
      </c>
      <c r="AJ80" s="64" t="s" ph="1">
        <v>306</v>
      </c>
      <c r="AK80" s="64" t="s" ph="1">
        <v>307</v>
      </c>
      <c r="AM80" s="64" t="s" ph="1">
        <v>308</v>
      </c>
      <c r="AN80" s="64" t="s" ph="1">
        <v>298</v>
      </c>
      <c r="AO80" s="64" t="s" ph="1">
        <v>287</v>
      </c>
      <c r="AP80" s="64" t="s" ph="1">
        <v>309</v>
      </c>
      <c r="AQ80" s="64" t="s" ph="1">
        <v>272</v>
      </c>
      <c r="AR80" s="64" t="s" ph="1">
        <v>287</v>
      </c>
      <c r="AS80" s="64" t="s" ph="1">
        <v>310</v>
      </c>
      <c r="AT80" s="64" t="s" ph="1">
        <v>271</v>
      </c>
      <c r="AU80" s="64" t="s" ph="1">
        <v>287</v>
      </c>
      <c r="AV80" s="64" t="s" ph="1">
        <v>311</v>
      </c>
      <c r="AW80" s="64" t="s" ph="1">
        <v>287</v>
      </c>
      <c r="AY80" s="64" t="s" ph="1">
        <v>260</v>
      </c>
      <c r="AZ80" s="64" t="s" ph="1">
        <v>448</v>
      </c>
    </row>
    <row r="81" spans="34:52" ph="1">
      <c r="AJ81" s="64" t="s" ph="1">
        <v>312</v>
      </c>
      <c r="AK81" s="64" t="s" ph="1">
        <v>266</v>
      </c>
      <c r="AM81" s="64" t="s" ph="1">
        <v>313</v>
      </c>
      <c r="AN81" s="64" t="s" ph="1">
        <v>269</v>
      </c>
      <c r="AO81" s="64" t="s" ph="1">
        <v>287</v>
      </c>
      <c r="AP81" s="64" t="s" ph="1">
        <v>314</v>
      </c>
      <c r="AQ81" s="64" t="s" ph="1">
        <v>298</v>
      </c>
      <c r="AR81" s="64" t="s" ph="1">
        <v>287</v>
      </c>
      <c r="AS81" s="64" t="s" ph="1">
        <v>315</v>
      </c>
      <c r="AT81" s="64" t="s" ph="1">
        <v>316</v>
      </c>
      <c r="AU81" s="64" t="s" ph="1">
        <v>287</v>
      </c>
      <c r="AV81" s="64" t="s" ph="1">
        <v>317</v>
      </c>
    </row>
    <row r="82" spans="34:52" ph="1">
      <c r="AJ82" s="64" t="s" ph="1">
        <v>318</v>
      </c>
      <c r="AK82" s="64" t="s" ph="1">
        <v>266</v>
      </c>
      <c r="AM82" s="64" t="s" ph="1">
        <v>319</v>
      </c>
      <c r="AN82" s="64" t="s" ph="1">
        <v>316</v>
      </c>
      <c r="AO82" s="64" t="s" ph="1">
        <v>320</v>
      </c>
      <c r="AP82" s="64" t="s" ph="1">
        <v>321</v>
      </c>
      <c r="AQ82" s="64" t="s" ph="1">
        <v>298</v>
      </c>
      <c r="AR82" s="64" t="s" ph="1">
        <v>287</v>
      </c>
      <c r="AS82" s="64" t="s" ph="1">
        <v>322</v>
      </c>
      <c r="AT82" s="64" t="s" ph="1">
        <v>273</v>
      </c>
      <c r="AU82" s="64" t="s" ph="1">
        <v>287</v>
      </c>
      <c r="AV82" s="64" t="s" ph="1">
        <v>447</v>
      </c>
      <c r="AW82" s="64" t="s" ph="1">
        <v>347</v>
      </c>
      <c r="AX82" s="64" t="s" ph="1">
        <v>444</v>
      </c>
    </row>
    <row r="83" spans="34:52" ph="1">
      <c r="AJ83" s="64" t="s" ph="1">
        <v>323</v>
      </c>
      <c r="AK83" s="64" t="s" ph="1">
        <v>340</v>
      </c>
      <c r="AM83" s="64" t="s" ph="1">
        <v>324</v>
      </c>
      <c r="AN83" s="64" t="s" ph="1">
        <v>272</v>
      </c>
      <c r="AO83" s="64" t="s" ph="1">
        <v>303</v>
      </c>
      <c r="AP83" s="64" t="s" ph="1">
        <v>325</v>
      </c>
      <c r="AQ83" s="64" t="s" ph="1">
        <v>326</v>
      </c>
      <c r="AR83" s="64" t="s" ph="1">
        <v>303</v>
      </c>
      <c r="AS83" s="64" t="s" ph="1">
        <v>449</v>
      </c>
      <c r="AT83" s="64" t="s" ph="1">
        <v>298</v>
      </c>
      <c r="AU83" s="64" t="s" ph="1">
        <v>303</v>
      </c>
      <c r="AV83" s="64" t="s" ph="1">
        <v>450</v>
      </c>
      <c r="AW83" s="64" t="s" ph="1">
        <v>347</v>
      </c>
      <c r="AX83" s="64" t="s" ph="1">
        <v>451</v>
      </c>
    </row>
    <row r="84" spans="34:52" ph="1">
      <c r="AH84" s="64" ph="1">
        <v>4</v>
      </c>
      <c r="AI84" s="64" t="s" ph="1">
        <v>330</v>
      </c>
      <c r="AJ84" s="64" t="s" ph="1">
        <v>270</v>
      </c>
      <c r="AK84" s="64" t="s" ph="1">
        <v>273</v>
      </c>
      <c r="AM84" s="64" t="s" ph="1">
        <v>274</v>
      </c>
      <c r="AN84" s="64" t="s" ph="1">
        <v>267</v>
      </c>
      <c r="AO84" s="64" t="s" ph="1">
        <v>303</v>
      </c>
      <c r="AP84" s="64" t="s" ph="1">
        <v>332</v>
      </c>
      <c r="AQ84" s="64" t="s" ph="1">
        <v>266</v>
      </c>
      <c r="AR84" s="64" t="s" ph="1">
        <v>303</v>
      </c>
      <c r="AS84" s="64" t="s" ph="1">
        <v>332</v>
      </c>
      <c r="AT84" s="64" t="s" ph="1">
        <v>268</v>
      </c>
      <c r="AU84" s="64" t="s" ph="1">
        <v>303</v>
      </c>
      <c r="AY84" s="64" t="s" ph="1">
        <v>260</v>
      </c>
      <c r="AZ84" s="64" t="s" ph="1">
        <v>452</v>
      </c>
    </row>
    <row r="85" spans="34:52" ph="1">
      <c r="AJ85" s="64" t="s" ph="1">
        <v>262</v>
      </c>
      <c r="AK85" s="64" t="s" ph="1">
        <v>266</v>
      </c>
      <c r="AM85" s="64" t="s" ph="1">
        <v>453</v>
      </c>
      <c r="AN85" s="64" t="s" ph="1">
        <v>273</v>
      </c>
      <c r="AO85" s="64" t="s" ph="1">
        <v>303</v>
      </c>
      <c r="AP85" s="64" t="s" ph="1">
        <v>454</v>
      </c>
      <c r="AQ85" s="64" t="s" ph="1">
        <v>269</v>
      </c>
      <c r="AR85" s="64" t="s" ph="1">
        <v>303</v>
      </c>
      <c r="AS85" s="64" t="s" ph="1">
        <v>455</v>
      </c>
      <c r="AT85" s="64" t="s" ph="1">
        <v>269</v>
      </c>
      <c r="AU85" s="64" t="s" ph="1">
        <v>303</v>
      </c>
    </row>
    <row r="86" spans="34:52" ph="1">
      <c r="AJ86" s="64" t="s" ph="1">
        <v>456</v>
      </c>
      <c r="AK86" s="64" t="s" ph="1">
        <v>275</v>
      </c>
      <c r="AM86" s="64" t="s" ph="1">
        <v>457</v>
      </c>
      <c r="AN86" s="64" t="s" ph="1">
        <v>316</v>
      </c>
      <c r="AO86" s="64" t="s" ph="1">
        <v>303</v>
      </c>
      <c r="AP86" s="64" t="s" ph="1">
        <v>458</v>
      </c>
      <c r="AQ86" s="64" t="s" ph="1">
        <v>263</v>
      </c>
      <c r="AR86" s="64" t="s" ph="1">
        <v>303</v>
      </c>
      <c r="AS86" s="64" t="s" ph="1">
        <v>459</v>
      </c>
      <c r="AT86" s="64" t="s" ph="1">
        <v>281</v>
      </c>
      <c r="AU86" s="64" t="s" ph="1">
        <v>303</v>
      </c>
    </row>
    <row r="87" spans="34:52" ph="1">
      <c r="AJ87" s="64" t="s" ph="1">
        <v>460</v>
      </c>
      <c r="AK87" s="64" t="s" ph="1">
        <v>316</v>
      </c>
      <c r="AM87" s="64" t="s" ph="1">
        <v>447</v>
      </c>
      <c r="AN87" s="64" t="s" ph="1">
        <v>461</v>
      </c>
      <c r="AO87" s="64" t="s" ph="1">
        <v>444</v>
      </c>
    </row>
    <row r="88" spans="34:52" ph="1">
      <c r="AH88" s="64" ph="1">
        <v>5</v>
      </c>
      <c r="AI88" s="64" t="s" ph="1">
        <v>333</v>
      </c>
      <c r="AJ88" s="64" t="s" ph="1">
        <v>462</v>
      </c>
      <c r="AK88" s="64" t="s" ph="1">
        <v>316</v>
      </c>
      <c r="AM88" s="64" t="s" ph="1">
        <v>463</v>
      </c>
      <c r="AN88" s="64" t="s" ph="1">
        <v>316</v>
      </c>
      <c r="AO88" s="64" t="s" ph="1">
        <v>303</v>
      </c>
      <c r="AP88" s="64" t="s" ph="1">
        <v>464</v>
      </c>
      <c r="AQ88" s="64" t="s" ph="1">
        <v>266</v>
      </c>
      <c r="AR88" s="64" t="s" ph="1">
        <v>303</v>
      </c>
      <c r="AS88" s="64" t="s" ph="1">
        <v>465</v>
      </c>
      <c r="AT88" s="64" t="s" ph="1">
        <v>316</v>
      </c>
      <c r="AU88" s="64" t="s" ph="1">
        <v>303</v>
      </c>
      <c r="AV88" s="64" t="s" ph="1">
        <v>466</v>
      </c>
      <c r="AW88" s="64" t="s" ph="1">
        <v>271</v>
      </c>
      <c r="AX88" s="64" t="s" ph="1">
        <v>303</v>
      </c>
      <c r="AY88" s="64" t="s" ph="1">
        <v>260</v>
      </c>
      <c r="AZ88" s="64" t="s" ph="1">
        <v>467</v>
      </c>
    </row>
    <row r="89" spans="34:52" ph="1">
      <c r="AJ89" s="64" t="s" ph="1">
        <v>468</v>
      </c>
      <c r="AK89" s="64" t="s" ph="1">
        <v>269</v>
      </c>
      <c r="AM89" s="64" t="s" ph="1">
        <v>469</v>
      </c>
      <c r="AN89" s="64" t="s" ph="1">
        <v>272</v>
      </c>
      <c r="AO89" s="64" t="s" ph="1">
        <v>303</v>
      </c>
      <c r="AP89" s="64" t="s" ph="1">
        <v>470</v>
      </c>
      <c r="AQ89" s="64" t="s" ph="1">
        <v>281</v>
      </c>
      <c r="AR89" s="64" t="s" ph="1">
        <v>303</v>
      </c>
      <c r="AS89" s="64" t="s" ph="1">
        <v>471</v>
      </c>
      <c r="AT89" s="64" t="s" ph="1">
        <v>316</v>
      </c>
      <c r="AU89" s="64" t="s" ph="1">
        <v>303</v>
      </c>
      <c r="AV89" s="64" t="s" ph="1">
        <v>472</v>
      </c>
      <c r="AW89" s="64" t="s" ph="1">
        <v>298</v>
      </c>
      <c r="AX89" s="64" t="s" ph="1">
        <v>331</v>
      </c>
    </row>
    <row r="90" spans="34:52" ph="1">
      <c r="AJ90" s="64" t="s" ph="1">
        <v>473</v>
      </c>
      <c r="AK90" s="64" t="s" ph="1">
        <v>272</v>
      </c>
      <c r="AM90" s="64" t="s" ph="1">
        <v>474</v>
      </c>
      <c r="AN90" s="64" t="s" ph="1">
        <v>269</v>
      </c>
      <c r="AO90" s="64" t="s" ph="1">
        <v>303</v>
      </c>
      <c r="AP90" s="64" t="s" ph="1">
        <v>475</v>
      </c>
      <c r="AQ90" s="64" t="s" ph="1">
        <v>338</v>
      </c>
      <c r="AR90" s="64" t="s" ph="1">
        <v>303</v>
      </c>
      <c r="AS90" s="64" t="s" ph="1">
        <v>476</v>
      </c>
      <c r="AT90" s="64" t="s" ph="1">
        <v>326</v>
      </c>
      <c r="AU90" s="64" t="s" ph="1">
        <v>303</v>
      </c>
      <c r="AV90" s="64" t="s" ph="1">
        <v>477</v>
      </c>
      <c r="AW90" s="64" t="s" ph="1">
        <v>263</v>
      </c>
      <c r="AX90" s="64" t="s" ph="1">
        <v>303</v>
      </c>
    </row>
    <row r="91" spans="34:52" ph="1">
      <c r="AJ91" s="64" t="s" ph="1">
        <v>478</v>
      </c>
      <c r="AK91" s="64" t="s" ph="1">
        <v>316</v>
      </c>
      <c r="AM91" s="64" t="s" ph="1">
        <v>479</v>
      </c>
      <c r="AN91" s="64" t="s" ph="1">
        <v>283</v>
      </c>
      <c r="AO91" s="64" t="s" ph="1">
        <v>303</v>
      </c>
      <c r="AP91" s="64" t="s" ph="1">
        <v>480</v>
      </c>
      <c r="AQ91" s="64" t="s" ph="1">
        <v>263</v>
      </c>
      <c r="AS91" s="64" t="s" ph="1">
        <v>447</v>
      </c>
      <c r="AT91" s="64" t="s" ph="1">
        <v>443</v>
      </c>
      <c r="AU91" s="64" t="s" ph="1">
        <v>444</v>
      </c>
    </row>
    <row r="92" spans="34:52" ph="1">
      <c r="AH92" s="64" ph="1">
        <v>6</v>
      </c>
      <c r="AI92" s="64" t="s" ph="1">
        <v>481</v>
      </c>
      <c r="AJ92" s="64" t="s" ph="1">
        <v>482</v>
      </c>
      <c r="AK92" s="64" t="s" ph="1">
        <v>411</v>
      </c>
      <c r="AM92" s="64" t="s" ph="1">
        <v>483</v>
      </c>
      <c r="AN92" s="64" t="s" ph="1">
        <v>271</v>
      </c>
      <c r="AO92" s="64" t="s" ph="1">
        <v>303</v>
      </c>
      <c r="AP92" s="64" t="s" ph="1">
        <v>484</v>
      </c>
      <c r="AQ92" s="64" t="s" ph="1">
        <v>343</v>
      </c>
      <c r="AR92" s="64" t="s" ph="1">
        <v>303</v>
      </c>
      <c r="AS92" s="64" t="s" ph="1">
        <v>485</v>
      </c>
      <c r="AT92" s="64" t="s" ph="1">
        <v>316</v>
      </c>
      <c r="AU92" s="64" t="s" ph="1">
        <v>303</v>
      </c>
      <c r="AV92" s="64" t="s" ph="1">
        <v>486</v>
      </c>
      <c r="AW92" s="64" t="s" ph="1">
        <v>272</v>
      </c>
      <c r="AX92" s="64" t="s" ph="1">
        <v>303</v>
      </c>
      <c r="AY92" s="64" t="s" ph="1">
        <v>260</v>
      </c>
      <c r="AZ92" s="64" t="s" ph="1">
        <v>467</v>
      </c>
    </row>
    <row r="93" spans="34:52" ph="1">
      <c r="AJ93" s="64" t="s" ph="1">
        <v>487</v>
      </c>
      <c r="AK93" s="64" t="s" ph="1">
        <v>266</v>
      </c>
      <c r="AM93" s="64" t="s" ph="1">
        <v>488</v>
      </c>
      <c r="AN93" s="64" t="s" ph="1">
        <v>271</v>
      </c>
      <c r="AO93" s="64" t="s" ph="1">
        <v>303</v>
      </c>
      <c r="AP93" s="64" t="s" ph="1">
        <v>489</v>
      </c>
      <c r="AQ93" s="64" t="s" ph="1">
        <v>275</v>
      </c>
      <c r="AR93" s="64" t="s" ph="1">
        <v>303</v>
      </c>
      <c r="AS93" s="64" t="s" ph="1">
        <v>490</v>
      </c>
      <c r="AT93" s="64" t="s" ph="1">
        <v>281</v>
      </c>
      <c r="AU93" s="64" t="s" ph="1">
        <v>303</v>
      </c>
      <c r="AV93" s="64" t="s" ph="1">
        <v>491</v>
      </c>
      <c r="AW93" s="64" t="s" ph="1">
        <v>275</v>
      </c>
      <c r="AX93" s="64" t="s" ph="1">
        <v>303</v>
      </c>
    </row>
    <row r="94" spans="34:52" ph="1">
      <c r="AJ94" s="64" t="s" ph="1">
        <v>492</v>
      </c>
      <c r="AK94" s="64" t="s" ph="1">
        <v>338</v>
      </c>
      <c r="AM94" s="64" t="s" ph="1">
        <v>493</v>
      </c>
      <c r="AN94" s="64" t="s" ph="1">
        <v>275</v>
      </c>
      <c r="AO94" s="64" t="s" ph="1">
        <v>303</v>
      </c>
      <c r="AP94" s="64" t="s" ph="1">
        <v>494</v>
      </c>
      <c r="AQ94" s="64" t="s" ph="1">
        <v>283</v>
      </c>
      <c r="AR94" s="64" t="s" ph="1">
        <v>303</v>
      </c>
      <c r="AS94" s="64" t="s" ph="1">
        <v>495</v>
      </c>
      <c r="AT94" s="64" t="s" ph="1">
        <v>269</v>
      </c>
      <c r="AU94" s="64" t="s" ph="1">
        <v>303</v>
      </c>
      <c r="AV94" s="64" t="s" ph="1">
        <v>496</v>
      </c>
      <c r="AW94" s="64" t="s" ph="1">
        <v>269</v>
      </c>
      <c r="AX94" s="64" t="s" ph="1">
        <v>303</v>
      </c>
    </row>
    <row r="95" spans="34:52" ph="1">
      <c r="AJ95" s="64" t="s" ph="1">
        <v>497</v>
      </c>
      <c r="AK95" s="64" t="s" ph="1">
        <v>343</v>
      </c>
    </row>
    <row r="96" spans="34:52" ph="1">
      <c r="AH96" s="64" ph="1">
        <v>7</v>
      </c>
      <c r="AI96" s="64" t="s" ph="1">
        <v>498</v>
      </c>
      <c r="AJ96" s="64" t="s" ph="1">
        <v>497</v>
      </c>
      <c r="AK96" s="64" t="s" ph="1">
        <v>298</v>
      </c>
      <c r="AM96" s="64" t="s" ph="1">
        <v>499</v>
      </c>
      <c r="AN96" s="64" t="s" ph="1">
        <v>272</v>
      </c>
      <c r="AO96" s="64" t="s" ph="1">
        <v>303</v>
      </c>
      <c r="AP96" s="64" t="s" ph="1">
        <v>500</v>
      </c>
      <c r="AQ96" s="64" t="s" ph="1">
        <v>316</v>
      </c>
      <c r="AR96" s="64" t="s" ph="1">
        <v>331</v>
      </c>
      <c r="AS96" s="64" t="s" ph="1">
        <v>501</v>
      </c>
      <c r="AT96" s="64" t="s" ph="1">
        <v>275</v>
      </c>
      <c r="AU96" s="64" t="s" ph="1">
        <v>331</v>
      </c>
      <c r="AV96" s="64" t="s" ph="1">
        <v>502</v>
      </c>
      <c r="AW96" s="64" t="s" ph="1">
        <v>271</v>
      </c>
      <c r="AX96" s="64" t="s" ph="1">
        <v>331</v>
      </c>
      <c r="AY96" s="64" t="s" ph="1">
        <v>260</v>
      </c>
      <c r="AZ96" s="64" t="s" ph="1">
        <v>503</v>
      </c>
    </row>
    <row r="97" spans="33:52" ph="1">
      <c r="AJ97" s="64" t="s" ph="1">
        <v>504</v>
      </c>
      <c r="AK97" s="64" t="s" ph="1">
        <v>326</v>
      </c>
      <c r="AM97" s="64" t="s" ph="1">
        <v>505</v>
      </c>
      <c r="AN97" s="64" t="s" ph="1">
        <v>269</v>
      </c>
      <c r="AO97" s="64" t="s" ph="1">
        <v>303</v>
      </c>
      <c r="AP97" s="64" t="s" ph="1">
        <v>506</v>
      </c>
      <c r="AQ97" s="64" t="s" ph="1">
        <v>263</v>
      </c>
      <c r="AR97" s="64" t="s" ph="1">
        <v>331</v>
      </c>
      <c r="AS97" s="64" t="s" ph="1">
        <v>507</v>
      </c>
      <c r="AT97" s="64" t="s" ph="1">
        <v>266</v>
      </c>
      <c r="AU97" s="64" t="s" ph="1">
        <v>331</v>
      </c>
      <c r="AV97" s="64" t="s" ph="1">
        <v>508</v>
      </c>
      <c r="AW97" s="64" t="s" ph="1">
        <v>272</v>
      </c>
      <c r="AX97" s="64" t="s" ph="1">
        <v>331</v>
      </c>
    </row>
    <row r="98" spans="33:52" ph="1">
      <c r="AJ98" s="64" t="s" ph="1">
        <v>509</v>
      </c>
      <c r="AK98" s="64" t="s" ph="1">
        <v>275</v>
      </c>
      <c r="AM98" s="64" t="s" ph="1">
        <v>510</v>
      </c>
      <c r="AN98" s="64" t="s" ph="1">
        <v>283</v>
      </c>
      <c r="AO98" s="64" t="s" ph="1">
        <v>303</v>
      </c>
      <c r="AP98" s="64" t="s" ph="1">
        <v>511</v>
      </c>
      <c r="AQ98" s="64" t="s" ph="1">
        <v>263</v>
      </c>
      <c r="AR98" s="64" t="s" ph="1">
        <v>331</v>
      </c>
      <c r="AS98" s="64" t="s" ph="1">
        <v>512</v>
      </c>
      <c r="AT98" s="64" t="s" ph="1">
        <v>343</v>
      </c>
      <c r="AU98" s="64" t="s" ph="1">
        <v>331</v>
      </c>
      <c r="AV98" s="64" t="s" ph="1">
        <v>513</v>
      </c>
      <c r="AW98" s="64" t="s" ph="1">
        <v>266</v>
      </c>
      <c r="AX98" s="64" t="s" ph="1">
        <v>331</v>
      </c>
    </row>
    <row r="99" spans="33:52" ph="1">
      <c r="AH99" s="64" ph="1">
        <v>8</v>
      </c>
      <c r="AI99" s="64" t="s" ph="1">
        <v>514</v>
      </c>
      <c r="AJ99" s="64" t="s" ph="1">
        <v>515</v>
      </c>
      <c r="AK99" s="64" t="s" ph="1">
        <v>411</v>
      </c>
      <c r="AM99" s="64" t="s" ph="1">
        <v>516</v>
      </c>
      <c r="AN99" s="64" t="s" ph="1">
        <v>298</v>
      </c>
      <c r="AO99" s="64" t="s" ph="1">
        <v>303</v>
      </c>
      <c r="AP99" s="64" t="s" ph="1">
        <v>517</v>
      </c>
      <c r="AQ99" s="64" t="s" ph="1">
        <v>268</v>
      </c>
      <c r="AR99" s="64" t="s" ph="1">
        <v>331</v>
      </c>
      <c r="AS99" s="64" t="s" ph="1">
        <v>518</v>
      </c>
      <c r="AT99" s="64" t="s" ph="1">
        <v>283</v>
      </c>
      <c r="AU99" s="64" t="s" ph="1">
        <v>331</v>
      </c>
      <c r="AV99" s="64" t="s" ph="1">
        <v>519</v>
      </c>
      <c r="AW99" s="64" t="s" ph="1">
        <v>268</v>
      </c>
      <c r="AX99" s="64" t="s" ph="1">
        <v>331</v>
      </c>
      <c r="AY99" s="64" t="s" ph="1">
        <v>260</v>
      </c>
      <c r="AZ99" s="64" t="s" ph="1">
        <v>520</v>
      </c>
    </row>
    <row r="100" spans="33:52" ph="1">
      <c r="AJ100" s="64" t="s" ph="1">
        <v>521</v>
      </c>
      <c r="AK100" s="64" t="s" ph="1">
        <v>266</v>
      </c>
      <c r="AM100" s="64" t="s" ph="1">
        <v>522</v>
      </c>
      <c r="AN100" s="64" t="s" ph="1">
        <v>338</v>
      </c>
      <c r="AO100" s="64" t="s" ph="1">
        <v>303</v>
      </c>
      <c r="AP100" s="64" t="s" ph="1">
        <v>523</v>
      </c>
      <c r="AQ100" s="64" t="s" ph="1">
        <v>344</v>
      </c>
      <c r="AR100" s="64" t="s" ph="1">
        <v>331</v>
      </c>
      <c r="AS100" s="64" t="s" ph="1">
        <v>524</v>
      </c>
      <c r="AT100" s="64" t="s" ph="1">
        <v>411</v>
      </c>
      <c r="AU100" s="64" t="s" ph="1">
        <v>303</v>
      </c>
      <c r="AV100" s="64" t="s" ph="1">
        <v>525</v>
      </c>
      <c r="AW100" s="64" t="s" ph="1">
        <v>411</v>
      </c>
      <c r="AX100" s="64" t="s" ph="1">
        <v>303</v>
      </c>
    </row>
    <row r="101" spans="33:52" ph="1">
      <c r="AJ101" s="64" t="s" ph="1">
        <v>526</v>
      </c>
      <c r="AK101" s="64" t="s" ph="1">
        <v>411</v>
      </c>
      <c r="AM101" s="64" t="s" ph="1">
        <v>527</v>
      </c>
      <c r="AN101" s="64" t="s" ph="1">
        <v>269</v>
      </c>
      <c r="AO101" s="64" t="s" ph="1">
        <v>303</v>
      </c>
      <c r="AP101" s="64" t="s" ph="1">
        <v>528</v>
      </c>
      <c r="AQ101" s="64" t="s" ph="1">
        <v>281</v>
      </c>
      <c r="AR101" s="64" t="s" ph="1">
        <v>331</v>
      </c>
      <c r="AS101" s="64" t="s" ph="1">
        <v>529</v>
      </c>
      <c r="AT101" s="64" t="s" ph="1">
        <v>338</v>
      </c>
      <c r="AU101" s="64" t="s" ph="1">
        <v>331</v>
      </c>
      <c r="AV101" s="64" t="s" ph="1">
        <v>530</v>
      </c>
      <c r="AW101" s="64" t="s" ph="1">
        <v>269</v>
      </c>
      <c r="AX101" s="64" t="s" ph="1">
        <v>303</v>
      </c>
    </row>
    <row r="102" spans="33:52" ph="1">
      <c r="AJ102" s="64" t="s" ph="1">
        <v>531</v>
      </c>
      <c r="AK102" s="64" t="s" ph="1">
        <v>266</v>
      </c>
      <c r="AM102" s="64" t="s" ph="1">
        <v>532</v>
      </c>
      <c r="AN102" s="64" t="s" ph="1">
        <v>275</v>
      </c>
      <c r="AO102" s="64" t="s" ph="1">
        <v>303</v>
      </c>
      <c r="AP102" s="64" t="s" ph="1">
        <v>533</v>
      </c>
      <c r="AQ102" s="64" t="s" ph="1">
        <v>281</v>
      </c>
      <c r="AR102" s="64" t="s" ph="1">
        <v>303</v>
      </c>
      <c r="AS102" s="64" t="s" ph="1">
        <v>534</v>
      </c>
      <c r="AT102" s="64" t="s" ph="1">
        <v>298</v>
      </c>
      <c r="AU102" s="64" t="s" ph="1">
        <v>303</v>
      </c>
      <c r="AV102" s="64" t="s" ph="1">
        <v>535</v>
      </c>
      <c r="AW102" s="64" t="s" ph="1">
        <v>316</v>
      </c>
      <c r="AX102" s="64" t="s" ph="1">
        <v>303</v>
      </c>
    </row>
    <row r="103" spans="33:52" ph="1">
      <c r="AH103" s="64" ph="1">
        <v>9</v>
      </c>
      <c r="AI103" s="64" t="s" ph="1">
        <v>536</v>
      </c>
      <c r="AJ103" s="64" t="s" ph="1">
        <v>537</v>
      </c>
      <c r="AK103" s="64" t="s" ph="1">
        <v>411</v>
      </c>
      <c r="AM103" s="64" t="s" ph="1">
        <v>538</v>
      </c>
      <c r="AN103" s="64" t="s" ph="1">
        <v>326</v>
      </c>
      <c r="AO103" s="64" t="s" ph="1">
        <v>303</v>
      </c>
      <c r="AP103" s="64" t="s" ph="1">
        <v>380</v>
      </c>
      <c r="AQ103" s="64" t="s" ph="1">
        <v>269</v>
      </c>
      <c r="AR103" s="64" t="s" ph="1">
        <v>303</v>
      </c>
      <c r="AS103" s="64" t="s" ph="1">
        <v>614</v>
      </c>
      <c r="AT103" s="64" t="s" ph="1">
        <v>411</v>
      </c>
      <c r="AU103" s="64" t="s" ph="1">
        <v>303</v>
      </c>
      <c r="AY103" s="64" t="s" ph="1">
        <v>260</v>
      </c>
      <c r="AZ103" s="64" t="s" ph="1">
        <v>268</v>
      </c>
    </row>
    <row r="104" spans="33:52" ph="1">
      <c r="AZ104" s="64" t="s" ph="1">
        <v>539</v>
      </c>
    </row>
    <row r="105" spans="33:52" ph="1">
      <c r="AG105" s="64" t="s" ph="1">
        <v>339</v>
      </c>
      <c r="AI105" s="64" t="s" ph="1">
        <v>253</v>
      </c>
      <c r="AJ105" s="64" t="s" ph="1">
        <v>254</v>
      </c>
      <c r="AK105" s="64" t="s" ph="1">
        <v>255</v>
      </c>
      <c r="AM105" s="64" t="s" ph="1">
        <v>254</v>
      </c>
      <c r="AN105" s="64" t="s" ph="1">
        <v>255</v>
      </c>
      <c r="AO105" s="64" t="s" ph="1">
        <v>256</v>
      </c>
      <c r="AP105" s="64" t="s" ph="1">
        <v>254</v>
      </c>
      <c r="AQ105" s="64" t="s" ph="1">
        <v>255</v>
      </c>
      <c r="AR105" s="64" t="s" ph="1">
        <v>256</v>
      </c>
      <c r="AS105" s="64" t="s" ph="1">
        <v>254</v>
      </c>
      <c r="AT105" s="64" t="s" ph="1">
        <v>255</v>
      </c>
      <c r="AU105" s="64" t="s" ph="1">
        <v>256</v>
      </c>
      <c r="AV105" s="64" t="s" ph="1">
        <v>254</v>
      </c>
      <c r="AW105" s="64" t="s" ph="1">
        <v>255</v>
      </c>
      <c r="AX105" s="64" t="s" ph="1">
        <v>256</v>
      </c>
      <c r="AZ105" s="64" t="s" ph="1">
        <v>257</v>
      </c>
    </row>
    <row r="106" spans="33:52" ph="1">
      <c r="AH106" s="64" ph="1">
        <v>1</v>
      </c>
      <c r="AI106" s="64" t="s" ph="1">
        <v>540</v>
      </c>
      <c r="AJ106" s="64" t="s" ph="1">
        <v>614</v>
      </c>
      <c r="AK106" s="64" t="s" ph="1">
        <v>275</v>
      </c>
      <c r="AZ106" s="64" t="s" ph="1">
        <v>275</v>
      </c>
    </row>
    <row r="107" spans="33:52" ph="1">
      <c r="AH107" s="64" ph="1">
        <v>2</v>
      </c>
      <c r="AI107" s="64" t="s" ph="1">
        <v>541</v>
      </c>
      <c r="AJ107" s="64" t="s" ph="1">
        <v>542</v>
      </c>
      <c r="AK107" s="64" t="s" ph="1">
        <v>272</v>
      </c>
      <c r="AM107" s="64" t="s" ph="1">
        <v>378</v>
      </c>
      <c r="AN107" s="64" t="s" ph="1">
        <v>543</v>
      </c>
      <c r="AO107" s="64" t="s" ph="1">
        <v>544</v>
      </c>
      <c r="AP107" s="64" t="s" ph="1">
        <v>380</v>
      </c>
      <c r="AQ107" s="64" t="s" ph="1">
        <v>348</v>
      </c>
      <c r="AR107" s="64" t="s" ph="1">
        <v>544</v>
      </c>
      <c r="AS107" s="64" t="s" ph="1">
        <v>614</v>
      </c>
      <c r="AT107" s="64" t="s" ph="1">
        <v>543</v>
      </c>
      <c r="AU107" s="64" t="s" ph="1">
        <v>544</v>
      </c>
      <c r="AY107" s="64" t="s" ph="1">
        <v>260</v>
      </c>
      <c r="AZ107" s="64" t="s" ph="1">
        <v>624</v>
      </c>
    </row>
    <row r="108" spans="33:52" ph="1">
      <c r="AH108" s="64" ph="1">
        <v>3</v>
      </c>
      <c r="AI108" s="64" t="s" ph="1">
        <v>545</v>
      </c>
      <c r="AY108" s="64" t="s" ph="1">
        <v>260</v>
      </c>
      <c r="AZ108" s="64" t="s" ph="1">
        <v>411</v>
      </c>
    </row>
    <row r="109" spans="33:52" ph="1">
      <c r="AH109" s="64" ph="1">
        <v>4</v>
      </c>
      <c r="AI109" s="64" t="s" ph="1">
        <v>546</v>
      </c>
      <c r="AY109" s="64" t="s" ph="1">
        <v>260</v>
      </c>
      <c r="AZ109" s="64" t="s" ph="1">
        <v>411</v>
      </c>
    </row>
    <row r="110" spans="33:52" ph="1">
      <c r="AH110" s="64" ph="1">
        <v>5</v>
      </c>
      <c r="AI110" s="64" t="s" ph="1">
        <v>547</v>
      </c>
      <c r="AY110" s="64" t="s" ph="1">
        <v>260</v>
      </c>
      <c r="AZ110" s="64" t="s" ph="1">
        <v>411</v>
      </c>
    </row>
    <row r="111" spans="33:52" ph="1">
      <c r="AH111" s="64" ph="1">
        <v>6</v>
      </c>
      <c r="AI111" s="64" t="s" ph="1">
        <v>625</v>
      </c>
      <c r="AJ111" s="64" t="s" ph="1">
        <v>530</v>
      </c>
      <c r="AK111" s="64" t="s" ph="1">
        <v>269</v>
      </c>
      <c r="AM111" s="64" t="s" ph="1">
        <v>531</v>
      </c>
      <c r="AN111" s="64" t="s" ph="1">
        <v>263</v>
      </c>
      <c r="AO111" s="64" t="s" ph="1">
        <v>544</v>
      </c>
      <c r="AP111" s="64" t="s" ph="1">
        <v>532</v>
      </c>
      <c r="AQ111" s="64" t="s" ph="1">
        <v>272</v>
      </c>
      <c r="AR111" s="64" t="s" ph="1">
        <v>544</v>
      </c>
      <c r="AS111" s="64" t="s" ph="1">
        <v>533</v>
      </c>
      <c r="AT111" s="64" t="s" ph="1">
        <v>281</v>
      </c>
      <c r="AU111" s="64" t="s" ph="1">
        <v>544</v>
      </c>
      <c r="AV111" s="64" t="s" ph="1">
        <v>534</v>
      </c>
      <c r="AW111" s="64" t="s" ph="1">
        <v>271</v>
      </c>
      <c r="AX111" s="64" t="s" ph="1">
        <v>544</v>
      </c>
      <c r="AY111" s="64" t="s" ph="1">
        <v>260</v>
      </c>
      <c r="AZ111" s="64" t="s" ph="1">
        <v>548</v>
      </c>
    </row>
    <row r="112" spans="33:52" ph="1">
      <c r="AJ112" s="64" t="s" ph="1">
        <v>535</v>
      </c>
      <c r="AK112" s="64" t="s" ph="1">
        <v>316</v>
      </c>
      <c r="AM112" s="64" t="s" ph="1">
        <v>537</v>
      </c>
      <c r="AN112" s="64" t="s" ph="1">
        <v>340</v>
      </c>
      <c r="AO112" s="64" t="s" ph="1">
        <v>544</v>
      </c>
      <c r="AP112" s="64" t="s" ph="1">
        <v>538</v>
      </c>
      <c r="AQ112" s="64" t="s" ph="1">
        <v>549</v>
      </c>
      <c r="AR112" s="64" t="s" ph="1">
        <v>544</v>
      </c>
      <c r="AS112" s="64" t="s" ph="1">
        <v>550</v>
      </c>
      <c r="AT112" s="64" t="s" ph="1">
        <v>292</v>
      </c>
      <c r="AU112" s="64" t="s" ph="1">
        <v>544</v>
      </c>
      <c r="AV112" s="64" t="s" ph="1">
        <v>551</v>
      </c>
      <c r="AW112" s="64" t="s" ph="1">
        <v>338</v>
      </c>
      <c r="AX112" s="64" t="s" ph="1">
        <v>544</v>
      </c>
    </row>
    <row r="113" spans="33:52" ph="1">
      <c r="AH113" s="64" ph="1">
        <v>7</v>
      </c>
      <c r="AI113" s="64" t="s" ph="1">
        <v>552</v>
      </c>
      <c r="AJ113" s="64" t="s" ph="1">
        <v>633</v>
      </c>
      <c r="AK113" s="64" t="s" ph="1">
        <v>638</v>
      </c>
      <c r="AY113" s="64" t="s" ph="1">
        <v>260</v>
      </c>
      <c r="AZ113" s="64" t="s" ph="1">
        <v>638</v>
      </c>
    </row>
    <row r="114" spans="33:52" ph="1">
      <c r="AH114" s="64" ph="1">
        <v>8</v>
      </c>
      <c r="AI114" s="64" t="s" ph="1">
        <v>553</v>
      </c>
      <c r="AJ114" s="64" t="s" ph="1">
        <v>633</v>
      </c>
      <c r="AK114" s="64" t="s" ph="1">
        <v>639</v>
      </c>
      <c r="AY114" s="64" t="s" ph="1">
        <v>260</v>
      </c>
      <c r="AZ114" s="64" t="s" ph="1">
        <v>639</v>
      </c>
    </row>
    <row r="115" spans="33:52" ph="1">
      <c r="AH115" s="64" ph="1">
        <v>9</v>
      </c>
      <c r="AI115" s="64" t="s" ph="1">
        <v>554</v>
      </c>
      <c r="AJ115" s="64" t="s" ph="1">
        <v>633</v>
      </c>
      <c r="AK115" s="64" t="s" ph="1">
        <v>639</v>
      </c>
      <c r="AY115" s="64" t="s" ph="1">
        <v>260</v>
      </c>
      <c r="AZ115" s="64" t="s" ph="1">
        <v>639</v>
      </c>
    </row>
    <row r="116" spans="33:52" ph="1">
      <c r="AH116" s="64" ph="1">
        <v>10</v>
      </c>
      <c r="AI116" s="64" t="s" ph="1">
        <v>555</v>
      </c>
      <c r="AJ116" s="64" t="s" ph="1">
        <v>633</v>
      </c>
      <c r="AK116" s="64" t="s" ph="1">
        <v>639</v>
      </c>
      <c r="AY116" s="64" t="s" ph="1">
        <v>260</v>
      </c>
      <c r="AZ116" s="64" t="s" ph="1">
        <v>639</v>
      </c>
    </row>
    <row r="117" spans="33:52" ph="1">
      <c r="AH117" s="64" ph="1">
        <v>11</v>
      </c>
      <c r="AI117" s="64" t="s" ph="1">
        <v>556</v>
      </c>
      <c r="AJ117" s="64" t="s" ph="1">
        <v>633</v>
      </c>
      <c r="AK117" s="64" t="s" ph="1">
        <v>639</v>
      </c>
      <c r="AY117" s="64" t="s" ph="1">
        <v>260</v>
      </c>
      <c r="AZ117" s="64" t="s" ph="1">
        <v>639</v>
      </c>
    </row>
    <row r="118" spans="33:52" ph="1">
      <c r="AZ118" s="64" t="s" ph="1">
        <v>640</v>
      </c>
    </row>
    <row r="119" spans="33:52" ph="1">
      <c r="AI119" s="64" t="s" ph="1">
        <v>253</v>
      </c>
      <c r="AJ119" s="64" t="s" ph="1">
        <v>254</v>
      </c>
      <c r="AK119" s="64" t="s" ph="1">
        <v>255</v>
      </c>
      <c r="AM119" s="64" t="s" ph="1">
        <v>254</v>
      </c>
      <c r="AN119" s="64" t="s" ph="1">
        <v>255</v>
      </c>
      <c r="AO119" s="64" t="s" ph="1">
        <v>256</v>
      </c>
      <c r="AP119" s="64" t="s" ph="1">
        <v>254</v>
      </c>
      <c r="AQ119" s="64" t="s" ph="1">
        <v>255</v>
      </c>
      <c r="AR119" s="64" t="s" ph="1">
        <v>256</v>
      </c>
      <c r="AS119" s="64" t="s" ph="1">
        <v>254</v>
      </c>
      <c r="AT119" s="64" t="s" ph="1">
        <v>255</v>
      </c>
      <c r="AU119" s="64" t="s" ph="1">
        <v>256</v>
      </c>
      <c r="AV119" s="64" t="s" ph="1">
        <v>254</v>
      </c>
      <c r="AW119" s="64" t="s" ph="1">
        <v>255</v>
      </c>
      <c r="AX119" s="64" t="s" ph="1">
        <v>256</v>
      </c>
      <c r="AY119" s="64" t="s" ph="1">
        <v>255</v>
      </c>
      <c r="AZ119" s="64" t="s" ph="1">
        <v>257</v>
      </c>
    </row>
    <row r="120" spans="33:52" ph="1">
      <c r="AG120" s="64" t="s" ph="1">
        <v>397</v>
      </c>
      <c r="AH120" s="64" ph="1">
        <v>1</v>
      </c>
      <c r="AI120" s="64" t="s" ph="1">
        <v>557</v>
      </c>
      <c r="AJ120" s="64" t="s" ph="1">
        <v>631</v>
      </c>
      <c r="AK120" s="64" t="s" ph="1">
        <v>411</v>
      </c>
      <c r="AY120" s="64" t="s" ph="1">
        <v>260</v>
      </c>
      <c r="AZ120" s="64" t="s" ph="1">
        <v>411</v>
      </c>
    </row>
    <row r="121" spans="33:52" ph="1">
      <c r="AH121" s="64" ph="1">
        <v>2</v>
      </c>
      <c r="AI121" s="64" t="s" ph="1">
        <v>558</v>
      </c>
      <c r="AY121" s="64" t="s" ph="1">
        <v>260</v>
      </c>
      <c r="AZ121" s="64" t="s" ph="1">
        <v>411</v>
      </c>
    </row>
    <row r="122" spans="33:52" ph="1">
      <c r="AH122" s="64" ph="1">
        <v>3</v>
      </c>
      <c r="AI122" s="64" t="s" ph="1">
        <v>559</v>
      </c>
      <c r="AJ122" s="64" t="s" ph="1">
        <v>614</v>
      </c>
      <c r="AK122" s="64" t="s" ph="1">
        <v>626</v>
      </c>
      <c r="AM122" s="64" t="s" ph="1">
        <v>641</v>
      </c>
      <c r="AN122" s="64" t="s" ph="1">
        <v>634</v>
      </c>
      <c r="AO122" s="64" t="s" ph="1">
        <v>109</v>
      </c>
      <c r="AY122" s="64" t="s" ph="1">
        <v>260</v>
      </c>
      <c r="AZ122" s="64" t="s" ph="1">
        <v>623</v>
      </c>
    </row>
    <row r="123" spans="33:52" ph="1">
      <c r="AY123" s="64" t="s" ph="1">
        <v>260</v>
      </c>
      <c r="AZ123" s="64" t="s" ph="1">
        <v>623</v>
      </c>
    </row>
    <row r="124" spans="33:52" ph="1">
      <c r="AG124" s="64" t="s" ph="1">
        <v>400</v>
      </c>
      <c r="AH124" s="64" ph="1">
        <v>4</v>
      </c>
      <c r="AI124" s="64" t="s" ph="1">
        <v>560</v>
      </c>
      <c r="AJ124" s="64" t="s" ph="1">
        <v>561</v>
      </c>
      <c r="AK124" s="64" t="s" ph="1">
        <v>562</v>
      </c>
      <c r="AY124" s="64" t="s" ph="1">
        <v>260</v>
      </c>
      <c r="AZ124" s="64" t="s" ph="1">
        <v>562</v>
      </c>
    </row>
    <row r="125" spans="33:52" ph="1">
      <c r="AH125" s="64" ph="1">
        <v>5</v>
      </c>
      <c r="AI125" s="64" t="s" ph="1">
        <v>563</v>
      </c>
      <c r="AJ125" s="64" t="s" ph="1">
        <v>561</v>
      </c>
      <c r="AK125" s="64" t="s" ph="1">
        <v>562</v>
      </c>
      <c r="AY125" s="64" t="s" ph="1">
        <v>260</v>
      </c>
      <c r="AZ125" s="64" t="s" ph="1">
        <v>562</v>
      </c>
    </row>
    <row r="126" spans="33:52" ph="1">
      <c r="AH126" s="64" ph="1">
        <v>6</v>
      </c>
      <c r="AI126" s="64" t="s" ph="1">
        <v>564</v>
      </c>
      <c r="AJ126" s="64" t="s" ph="1">
        <v>633</v>
      </c>
      <c r="AK126" s="64" t="s" ph="1">
        <v>642</v>
      </c>
      <c r="AY126" s="64" t="s" ph="1">
        <v>260</v>
      </c>
      <c r="AZ126" s="64" t="s" ph="1">
        <v>642</v>
      </c>
    </row>
    <row r="127" spans="33:52" ph="1">
      <c r="AH127" s="64" ph="1">
        <v>7</v>
      </c>
      <c r="AI127" s="64" t="s" ph="1">
        <v>565</v>
      </c>
      <c r="AJ127" s="64" t="s" ph="1">
        <v>633</v>
      </c>
      <c r="AK127" s="64" t="s" ph="1">
        <v>643</v>
      </c>
      <c r="AY127" s="64" t="s" ph="1">
        <v>260</v>
      </c>
      <c r="AZ127" s="64" t="s" ph="1">
        <v>643</v>
      </c>
    </row>
    <row r="128" spans="33:52" ph="1">
      <c r="AH128" s="64" ph="1">
        <v>8</v>
      </c>
      <c r="AI128" s="64" t="s" ph="1">
        <v>566</v>
      </c>
      <c r="AY128" s="64" t="s" ph="1">
        <v>260</v>
      </c>
      <c r="AZ128" s="64" t="s" ph="1">
        <v>411</v>
      </c>
    </row>
    <row r="129" spans="33:52" ph="1">
      <c r="AH129" s="64" ph="1">
        <v>9</v>
      </c>
      <c r="AI129" s="64" t="s" ph="1">
        <v>567</v>
      </c>
      <c r="AY129" s="64" t="s" ph="1">
        <v>260</v>
      </c>
      <c r="AZ129" s="64" t="s" ph="1">
        <v>411</v>
      </c>
    </row>
    <row r="130" spans="33:52" ph="1">
      <c r="AH130" s="64" ph="1">
        <v>10</v>
      </c>
      <c r="AI130" s="64" t="s" ph="1">
        <v>568</v>
      </c>
      <c r="AY130" s="64" t="s" ph="1">
        <v>260</v>
      </c>
      <c r="AZ130" s="64" t="s" ph="1">
        <v>411</v>
      </c>
    </row>
    <row r="131" spans="33:52" ph="1">
      <c r="AH131" s="64" ph="1">
        <v>11</v>
      </c>
      <c r="AI131" s="64" t="s" ph="1">
        <v>569</v>
      </c>
      <c r="AJ131" s="64" t="s" ph="1">
        <v>627</v>
      </c>
      <c r="AK131" s="64" t="s" ph="1">
        <v>623</v>
      </c>
      <c r="AY131" s="64" t="s" ph="1">
        <v>260</v>
      </c>
      <c r="AZ131" s="64" t="s" ph="1">
        <v>623</v>
      </c>
    </row>
    <row r="132" spans="33:52" ph="1">
      <c r="AH132" s="64" ph="1">
        <v>12</v>
      </c>
      <c r="AI132" s="64" t="s" ph="1">
        <v>570</v>
      </c>
      <c r="AJ132" s="64" t="s" ph="1">
        <v>627</v>
      </c>
      <c r="AK132" s="64" t="s" ph="1">
        <v>562</v>
      </c>
      <c r="AY132" s="64" t="s" ph="1">
        <v>260</v>
      </c>
      <c r="AZ132" s="64" t="s" ph="1">
        <v>562</v>
      </c>
    </row>
    <row r="133" spans="33:52" ph="1">
      <c r="AH133" s="64" ph="1">
        <v>13</v>
      </c>
      <c r="AI133" s="64" t="s" ph="1">
        <v>571</v>
      </c>
      <c r="AJ133" s="64" t="s" ph="1">
        <v>627</v>
      </c>
      <c r="AK133" s="64" t="s" ph="1">
        <v>628</v>
      </c>
      <c r="AY133" s="64" t="s" ph="1">
        <v>260</v>
      </c>
      <c r="AZ133" s="64" t="s" ph="1">
        <v>628</v>
      </c>
    </row>
    <row r="134" spans="33:52" ph="1">
      <c r="AH134" s="64" ph="1">
        <v>14</v>
      </c>
      <c r="AI134" s="64" t="s" ph="1">
        <v>572</v>
      </c>
      <c r="AJ134" s="64" t="s" ph="1">
        <v>627</v>
      </c>
      <c r="AK134" s="64" t="s" ph="1">
        <v>629</v>
      </c>
      <c r="AY134" s="64" t="s" ph="1">
        <v>260</v>
      </c>
      <c r="AZ134" s="64" t="s" ph="1">
        <v>629</v>
      </c>
    </row>
    <row r="135" spans="33:52" ph="1">
      <c r="AH135" s="64" ph="1">
        <v>15</v>
      </c>
      <c r="AI135" s="64" t="s" ph="1">
        <v>573</v>
      </c>
      <c r="AJ135" s="64" t="s" ph="1">
        <v>627</v>
      </c>
      <c r="AK135" s="64" t="s" ph="1">
        <v>630</v>
      </c>
      <c r="AY135" s="64" t="s" ph="1">
        <v>260</v>
      </c>
      <c r="AZ135" s="64" t="s" ph="1">
        <v>630</v>
      </c>
    </row>
    <row r="136" spans="33:52" ph="1">
      <c r="AZ136" s="64" t="s" ph="1">
        <v>644</v>
      </c>
    </row>
    <row r="137" spans="33:52" ph="1">
      <c r="AG137" s="64" t="s" ph="1">
        <v>334</v>
      </c>
      <c r="AI137" s="64" t="s" ph="1">
        <v>253</v>
      </c>
      <c r="AJ137" s="64" t="s" ph="1">
        <v>254</v>
      </c>
      <c r="AK137" s="64" t="s" ph="1">
        <v>255</v>
      </c>
      <c r="AM137" s="64" t="s" ph="1">
        <v>254</v>
      </c>
      <c r="AN137" s="64" t="s" ph="1">
        <v>255</v>
      </c>
      <c r="AO137" s="64" t="s" ph="1">
        <v>256</v>
      </c>
      <c r="AP137" s="64" t="s" ph="1">
        <v>254</v>
      </c>
      <c r="AQ137" s="64" t="s" ph="1">
        <v>255</v>
      </c>
      <c r="AR137" s="64" t="s" ph="1">
        <v>256</v>
      </c>
      <c r="AS137" s="64" t="s" ph="1">
        <v>254</v>
      </c>
      <c r="AT137" s="64" t="s" ph="1">
        <v>255</v>
      </c>
      <c r="AU137" s="64" t="s" ph="1">
        <v>256</v>
      </c>
      <c r="AV137" s="64" t="s" ph="1">
        <v>254</v>
      </c>
      <c r="AW137" s="64" t="s" ph="1">
        <v>255</v>
      </c>
      <c r="AX137" s="64" t="s" ph="1">
        <v>256</v>
      </c>
      <c r="AY137" s="64" t="s" ph="1">
        <v>255</v>
      </c>
      <c r="AZ137" s="64" t="s" ph="1">
        <v>257</v>
      </c>
    </row>
    <row r="138" spans="33:52" ph="1">
      <c r="AH138" s="64" ph="1">
        <v>1</v>
      </c>
      <c r="AI138" s="64" t="s" ph="1">
        <v>574</v>
      </c>
      <c r="AJ138" s="64" t="s" ph="1">
        <v>575</v>
      </c>
      <c r="AK138" s="64" t="s" ph="1">
        <v>576</v>
      </c>
      <c r="AY138" s="64" t="s" ph="1">
        <v>260</v>
      </c>
      <c r="AZ138" s="64" t="s" ph="1">
        <v>576</v>
      </c>
    </row>
    <row r="139" spans="33:52" ph="1">
      <c r="AH139" s="64" ph="1">
        <v>2</v>
      </c>
      <c r="AI139" s="64" t="s" ph="1">
        <v>577</v>
      </c>
      <c r="AJ139" s="64" t="s" ph="1">
        <v>633</v>
      </c>
      <c r="AK139" s="64" t="s" ph="1">
        <v>645</v>
      </c>
      <c r="AY139" s="64" t="s" ph="1">
        <v>260</v>
      </c>
      <c r="AZ139" s="64" t="s" ph="1">
        <v>645</v>
      </c>
    </row>
    <row r="140" spans="33:52" ph="1">
      <c r="AH140" s="64" ph="1">
        <v>3</v>
      </c>
      <c r="AI140" s="64" t="s" ph="1">
        <v>578</v>
      </c>
      <c r="AJ140" s="64" t="s" ph="1">
        <v>531</v>
      </c>
      <c r="AK140" s="64" t="s" ph="1">
        <v>343</v>
      </c>
      <c r="AM140" s="64" t="s" ph="1">
        <v>532</v>
      </c>
      <c r="AN140" s="64" t="s" ph="1">
        <v>263</v>
      </c>
      <c r="AO140" s="64" t="s" ph="1">
        <v>579</v>
      </c>
      <c r="AP140" s="64" t="s" ph="1">
        <v>533</v>
      </c>
      <c r="AQ140" s="64" t="s" ph="1">
        <v>280</v>
      </c>
      <c r="AR140" s="64" t="s" ph="1">
        <v>579</v>
      </c>
      <c r="AS140" s="64" t="s" ph="1">
        <v>534</v>
      </c>
      <c r="AT140" s="64" t="s" ph="1">
        <v>273</v>
      </c>
      <c r="AU140" s="64" t="s" ph="1">
        <v>579</v>
      </c>
      <c r="AV140" s="64" t="s" ph="1">
        <v>535</v>
      </c>
      <c r="AW140" s="64" t="s" ph="1">
        <v>266</v>
      </c>
      <c r="AX140" s="64" t="s" ph="1">
        <v>579</v>
      </c>
      <c r="AY140" s="64" t="s" ph="1">
        <v>260</v>
      </c>
      <c r="AZ140" s="64" t="s" ph="1">
        <v>335</v>
      </c>
    </row>
    <row r="141" spans="33:52" ph="1">
      <c r="AJ141" s="64" t="s" ph="1">
        <v>537</v>
      </c>
      <c r="AK141" s="64" t="s" ph="1">
        <v>266</v>
      </c>
      <c r="AM141" s="64" t="s" ph="1">
        <v>538</v>
      </c>
      <c r="AN141" s="64" t="s" ph="1">
        <v>269</v>
      </c>
      <c r="AO141" s="64" t="s" ph="1">
        <v>579</v>
      </c>
      <c r="AP141" s="64" t="s" ph="1">
        <v>550</v>
      </c>
      <c r="AQ141" s="64" t="s" ph="1">
        <v>338</v>
      </c>
      <c r="AR141" s="64" t="s" ph="1">
        <v>579</v>
      </c>
      <c r="AS141" s="64" t="s" ph="1">
        <v>542</v>
      </c>
      <c r="AT141" s="64" t="s" ph="1">
        <v>266</v>
      </c>
      <c r="AU141" s="64" t="s" ph="1">
        <v>579</v>
      </c>
      <c r="AV141" s="64" t="s" ph="1">
        <v>378</v>
      </c>
      <c r="AW141" s="64" t="s" ph="1">
        <v>272</v>
      </c>
      <c r="AX141" s="64" t="s" ph="1">
        <v>579</v>
      </c>
    </row>
    <row r="142" spans="33:52" ph="1">
      <c r="AJ142" s="64" t="s" ph="1">
        <v>580</v>
      </c>
      <c r="AK142" s="64" t="s" ph="1">
        <v>283</v>
      </c>
    </row>
    <row r="143" spans="33:52" ph="1">
      <c r="AH143" s="64" ph="1">
        <v>4</v>
      </c>
      <c r="AI143" s="64" t="s" ph="1">
        <v>581</v>
      </c>
      <c r="AJ143" s="64" t="s" ph="1">
        <v>561</v>
      </c>
      <c r="AK143" s="64" t="s" ph="1">
        <v>582</v>
      </c>
      <c r="AY143" s="64" t="s" ph="1">
        <v>260</v>
      </c>
      <c r="AZ143" s="64" t="s" ph="1">
        <v>582</v>
      </c>
    </row>
    <row r="144" spans="33:52" ph="1">
      <c r="AH144" s="64" ph="1">
        <v>5</v>
      </c>
      <c r="AI144" s="64" t="s" ph="1">
        <v>583</v>
      </c>
      <c r="AY144" s="64" t="s" ph="1">
        <v>260</v>
      </c>
      <c r="AZ144" s="64" t="s" ph="1">
        <v>411</v>
      </c>
    </row>
    <row r="145" spans="33:52" ph="1">
      <c r="AH145" s="64" ph="1">
        <v>6</v>
      </c>
      <c r="AI145" s="64" t="s" ph="1">
        <v>584</v>
      </c>
      <c r="AY145" s="64" t="s" ph="1">
        <v>260</v>
      </c>
      <c r="AZ145" s="64" t="s" ph="1">
        <v>411</v>
      </c>
    </row>
    <row r="146" spans="33:52" ph="1">
      <c r="AH146" s="64" ph="1">
        <v>7</v>
      </c>
      <c r="AI146" s="64" t="s" ph="1">
        <v>585</v>
      </c>
      <c r="AY146" s="64" t="s" ph="1">
        <v>260</v>
      </c>
      <c r="AZ146" s="64" t="s" ph="1">
        <v>411</v>
      </c>
    </row>
    <row r="147" spans="33:52" ph="1">
      <c r="AH147" s="64" ph="1">
        <v>8</v>
      </c>
      <c r="AI147" s="64" t="s" ph="1">
        <v>586</v>
      </c>
      <c r="AY147" s="64" t="s" ph="1">
        <v>260</v>
      </c>
      <c r="AZ147" s="64" t="s" ph="1">
        <v>411</v>
      </c>
    </row>
    <row r="148" spans="33:52" ph="1">
      <c r="AH148" s="64" ph="1">
        <v>9</v>
      </c>
      <c r="AI148" s="64" t="s" ph="1">
        <v>587</v>
      </c>
      <c r="AY148" s="64" t="s" ph="1">
        <v>260</v>
      </c>
      <c r="AZ148" s="64" t="s" ph="1">
        <v>411</v>
      </c>
    </row>
    <row r="149" spans="33:52" ph="1">
      <c r="AH149" s="64" ph="1">
        <v>10</v>
      </c>
      <c r="AI149" s="64" t="s" ph="1">
        <v>588</v>
      </c>
      <c r="AY149" s="64" t="s" ph="1">
        <v>260</v>
      </c>
      <c r="AZ149" s="64" t="s" ph="1">
        <v>411</v>
      </c>
    </row>
    <row r="150" spans="33:52" ph="1">
      <c r="AH150" s="64" ph="1">
        <v>11</v>
      </c>
      <c r="AI150" s="64" t="s" ph="1">
        <v>589</v>
      </c>
      <c r="AY150" s="64" t="s" ph="1">
        <v>260</v>
      </c>
      <c r="AZ150" s="64" t="s" ph="1">
        <v>411</v>
      </c>
    </row>
    <row r="151" spans="33:52" ph="1">
      <c r="AH151" s="64" ph="1">
        <v>12</v>
      </c>
      <c r="AI151" s="64" t="s" ph="1">
        <v>590</v>
      </c>
      <c r="AY151" s="64" t="s" ph="1">
        <v>260</v>
      </c>
      <c r="AZ151" s="64" t="s" ph="1">
        <v>411</v>
      </c>
    </row>
    <row r="152" spans="33:52" ph="1">
      <c r="AH152" s="64" ph="1">
        <v>13</v>
      </c>
      <c r="AI152" s="64" t="s" ph="1">
        <v>591</v>
      </c>
      <c r="AY152" s="64" t="s" ph="1">
        <v>260</v>
      </c>
      <c r="AZ152" s="64" t="s" ph="1">
        <v>411</v>
      </c>
    </row>
    <row r="153" spans="33:52" ph="1">
      <c r="AH153" s="64" ph="1">
        <v>14</v>
      </c>
      <c r="AI153" s="64" t="s" ph="1">
        <v>592</v>
      </c>
      <c r="AY153" s="64" t="s" ph="1">
        <v>260</v>
      </c>
      <c r="AZ153" s="64" t="s" ph="1">
        <v>411</v>
      </c>
    </row>
    <row r="154" spans="33:52" ph="1">
      <c r="AH154" s="64" ph="1">
        <v>15</v>
      </c>
      <c r="AI154" s="64" t="s" ph="1">
        <v>593</v>
      </c>
      <c r="AY154" s="64" t="s" ph="1">
        <v>260</v>
      </c>
      <c r="AZ154" s="64" t="s" ph="1">
        <v>411</v>
      </c>
    </row>
    <row r="155" spans="33:52" ph="1">
      <c r="AH155" s="64" ph="1">
        <v>16</v>
      </c>
      <c r="AI155" s="64" t="s" ph="1">
        <v>594</v>
      </c>
      <c r="AJ155" s="64" t="s" ph="1">
        <v>380</v>
      </c>
      <c r="AK155" s="64" t="s" ph="1">
        <v>275</v>
      </c>
      <c r="AM155" s="64" t="s" ph="1">
        <v>614</v>
      </c>
      <c r="AN155" s="64" t="s" ph="1">
        <v>326</v>
      </c>
      <c r="AO155" s="64" t="s" ph="1">
        <v>579</v>
      </c>
      <c r="AY155" s="64" t="s" ph="1">
        <v>260</v>
      </c>
      <c r="AZ155" s="64" t="s" ph="1">
        <v>267</v>
      </c>
    </row>
    <row r="156" spans="33:52" ph="1">
      <c r="AZ156" s="64" t="s" ph="1">
        <v>646</v>
      </c>
    </row>
    <row r="157" spans="33:52" ph="1">
      <c r="AG157" s="64" t="s" ph="1">
        <v>595</v>
      </c>
      <c r="AI157" s="64" t="s" ph="1">
        <v>253</v>
      </c>
      <c r="AJ157" s="64" t="s" ph="1">
        <v>254</v>
      </c>
      <c r="AK157" s="64" t="s" ph="1">
        <v>255</v>
      </c>
      <c r="AM157" s="64" t="s" ph="1">
        <v>254</v>
      </c>
      <c r="AN157" s="64" t="s" ph="1">
        <v>255</v>
      </c>
      <c r="AO157" s="64" t="s" ph="1">
        <v>256</v>
      </c>
      <c r="AP157" s="64" t="s" ph="1">
        <v>254</v>
      </c>
      <c r="AQ157" s="64" t="s" ph="1">
        <v>255</v>
      </c>
      <c r="AR157" s="64" t="s" ph="1">
        <v>256</v>
      </c>
      <c r="AS157" s="64" t="s" ph="1">
        <v>254</v>
      </c>
      <c r="AT157" s="64" t="s" ph="1">
        <v>255</v>
      </c>
      <c r="AU157" s="64" t="s" ph="1">
        <v>256</v>
      </c>
      <c r="AV157" s="64" t="s" ph="1">
        <v>254</v>
      </c>
      <c r="AW157" s="64" t="s" ph="1">
        <v>255</v>
      </c>
      <c r="AX157" s="64" t="s" ph="1">
        <v>256</v>
      </c>
      <c r="AY157" s="64" t="s" ph="1">
        <v>255</v>
      </c>
      <c r="AZ157" s="64" t="s" ph="1">
        <v>257</v>
      </c>
    </row>
    <row r="158" spans="33:52" ph="1">
      <c r="AH158" s="64" ph="1">
        <v>1</v>
      </c>
      <c r="AI158" s="64" t="s" ph="1">
        <v>596</v>
      </c>
      <c r="AY158" s="64" t="s" ph="1">
        <v>260</v>
      </c>
      <c r="AZ158" s="64" t="s" ph="1">
        <v>411</v>
      </c>
    </row>
    <row r="159" spans="33:52" ph="1">
      <c r="AH159" s="64" ph="1">
        <v>2</v>
      </c>
      <c r="AI159" s="64" t="s" ph="1">
        <v>597</v>
      </c>
      <c r="AY159" s="64" t="s" ph="1">
        <v>260</v>
      </c>
      <c r="AZ159" s="64" t="s" ph="1">
        <v>411</v>
      </c>
    </row>
    <row r="160" spans="33:52" ph="1">
      <c r="AZ160" s="64" t="s" ph="1">
        <v>429</v>
      </c>
    </row>
    <row r="161" spans="33:52" ph="1">
      <c r="AG161" s="64" t="s" ph="1">
        <v>405</v>
      </c>
      <c r="AI161" s="64" t="s" ph="1">
        <v>253</v>
      </c>
      <c r="AJ161" s="64" t="s" ph="1">
        <v>254</v>
      </c>
      <c r="AK161" s="64" t="s" ph="1">
        <v>255</v>
      </c>
      <c r="AM161" s="64" t="s" ph="1">
        <v>254</v>
      </c>
      <c r="AN161" s="64" t="s" ph="1">
        <v>255</v>
      </c>
      <c r="AO161" s="64" t="s" ph="1">
        <v>256</v>
      </c>
      <c r="AP161" s="64" t="s" ph="1">
        <v>254</v>
      </c>
      <c r="AQ161" s="64" t="s" ph="1">
        <v>255</v>
      </c>
      <c r="AR161" s="64" t="s" ph="1">
        <v>256</v>
      </c>
      <c r="AS161" s="64" t="s" ph="1">
        <v>254</v>
      </c>
      <c r="AT161" s="64" t="s" ph="1">
        <v>255</v>
      </c>
      <c r="AU161" s="64" t="s" ph="1">
        <v>256</v>
      </c>
      <c r="AV161" s="64" t="s" ph="1">
        <v>254</v>
      </c>
      <c r="AW161" s="64" t="s" ph="1">
        <v>255</v>
      </c>
      <c r="AX161" s="64" t="s" ph="1">
        <v>256</v>
      </c>
      <c r="AY161" s="64" t="s" ph="1">
        <v>255</v>
      </c>
      <c r="AZ161" s="64" t="s" ph="1">
        <v>257</v>
      </c>
    </row>
    <row r="162" spans="33:52" ph="1">
      <c r="AH162" s="64" ph="1">
        <v>1</v>
      </c>
      <c r="AI162" s="64" t="s" ph="1">
        <v>598</v>
      </c>
      <c r="AJ162" s="64" t="s" ph="1">
        <v>599</v>
      </c>
      <c r="AK162" s="64" t="s" ph="1">
        <v>543</v>
      </c>
      <c r="AM162" s="64" t="s" ph="1">
        <v>600</v>
      </c>
      <c r="AN162" s="64" t="s" ph="1">
        <v>264</v>
      </c>
      <c r="AO162" s="64" t="s" ph="1">
        <v>601</v>
      </c>
      <c r="AY162" s="64" t="s" ph="1">
        <v>260</v>
      </c>
      <c r="AZ162" s="64" t="s" ph="1">
        <v>336</v>
      </c>
    </row>
    <row r="163" spans="33:52" ph="1">
      <c r="AH163" s="64" ph="1">
        <v>2</v>
      </c>
      <c r="AI163" s="64" t="s" ph="1">
        <v>602</v>
      </c>
      <c r="AJ163" s="64" t="s" ph="1">
        <v>599</v>
      </c>
      <c r="AK163" s="64" t="s" ph="1">
        <v>432</v>
      </c>
      <c r="AY163" s="64" t="s" ph="1">
        <v>260</v>
      </c>
      <c r="AZ163" s="64" t="s" ph="1">
        <v>432</v>
      </c>
    </row>
    <row r="164" spans="33:52" ph="1">
      <c r="AH164" s="64" ph="1">
        <v>3</v>
      </c>
      <c r="AI164" s="64" t="s" ph="1">
        <v>603</v>
      </c>
      <c r="AJ164" s="64" t="s" ph="1">
        <v>599</v>
      </c>
      <c r="AK164" s="64" t="s" ph="1">
        <v>336</v>
      </c>
      <c r="AY164" s="64" t="s" ph="1">
        <v>260</v>
      </c>
      <c r="AZ164" s="64" t="s" ph="1">
        <v>336</v>
      </c>
    </row>
    <row r="165" spans="33:52" ph="1">
      <c r="AH165" s="64" ph="1">
        <v>4</v>
      </c>
      <c r="AI165" s="64" t="s" ph="1">
        <v>604</v>
      </c>
      <c r="AY165" s="64" t="s" ph="1">
        <v>260</v>
      </c>
      <c r="AZ165" s="64" t="s" ph="1">
        <v>411</v>
      </c>
    </row>
    <row r="166" spans="33:52" ph="1">
      <c r="AH166" s="64" ph="1">
        <v>5</v>
      </c>
      <c r="AI166" s="64" t="s" ph="1">
        <v>605</v>
      </c>
      <c r="AY166" s="64" t="s" ph="1">
        <v>260</v>
      </c>
      <c r="AZ166" s="64" t="s" ph="1">
        <v>411</v>
      </c>
    </row>
    <row r="167" spans="33:52" ph="1">
      <c r="AZ167" s="64" t="s" ph="1">
        <v>606</v>
      </c>
    </row>
    <row r="168" spans="33:52" ph="1">
      <c r="AG168" s="64" t="s" ph="1">
        <v>349</v>
      </c>
      <c r="AI168" s="64" t="s" ph="1">
        <v>253</v>
      </c>
      <c r="AJ168" s="64" t="s" ph="1">
        <v>254</v>
      </c>
      <c r="AK168" s="64" t="s" ph="1">
        <v>255</v>
      </c>
      <c r="AM168" s="64" t="s" ph="1">
        <v>254</v>
      </c>
      <c r="AN168" s="64" t="s" ph="1">
        <v>255</v>
      </c>
      <c r="AO168" s="64" t="s" ph="1">
        <v>256</v>
      </c>
      <c r="AP168" s="64" t="s" ph="1">
        <v>254</v>
      </c>
      <c r="AQ168" s="64" t="s" ph="1">
        <v>255</v>
      </c>
      <c r="AR168" s="64" t="s" ph="1">
        <v>256</v>
      </c>
      <c r="AS168" s="64" t="s" ph="1">
        <v>254</v>
      </c>
      <c r="AT168" s="64" t="s" ph="1">
        <v>255</v>
      </c>
      <c r="AU168" s="64" t="s" ph="1">
        <v>256</v>
      </c>
      <c r="AV168" s="64" t="s" ph="1">
        <v>254</v>
      </c>
      <c r="AW168" s="64" t="s" ph="1">
        <v>255</v>
      </c>
      <c r="AX168" s="64" t="s" ph="1">
        <v>256</v>
      </c>
      <c r="AY168" s="64" t="s" ph="1">
        <v>255</v>
      </c>
      <c r="AZ168" s="64" t="s" ph="1">
        <v>257</v>
      </c>
    </row>
    <row r="169" spans="33:52" ph="1">
      <c r="AH169" s="64" ph="1">
        <v>1</v>
      </c>
      <c r="AI169" s="64" t="s" ph="1">
        <v>607</v>
      </c>
      <c r="AY169" s="64" t="s" ph="1">
        <v>260</v>
      </c>
      <c r="AZ169" s="64" t="s" ph="1">
        <v>411</v>
      </c>
    </row>
    <row r="170" spans="33:52" ph="1">
      <c r="AH170" s="64" ph="1">
        <v>2</v>
      </c>
      <c r="AI170" s="64" t="s" ph="1">
        <v>608</v>
      </c>
      <c r="AY170" s="64" t="s" ph="1">
        <v>260</v>
      </c>
      <c r="AZ170" s="64" t="s" ph="1">
        <v>411</v>
      </c>
    </row>
    <row r="171" spans="33:52" ph="1">
      <c r="AH171" s="64" ph="1">
        <v>3</v>
      </c>
      <c r="AI171" s="64" t="s" ph="1">
        <v>609</v>
      </c>
      <c r="AY171" s="64" t="s" ph="1">
        <v>260</v>
      </c>
      <c r="AZ171" s="64" t="s" ph="1">
        <v>411</v>
      </c>
    </row>
    <row r="172" spans="33:52" ph="1">
      <c r="AH172" s="64" ph="1">
        <v>4</v>
      </c>
      <c r="AI172" s="64" t="s" ph="1">
        <v>610</v>
      </c>
      <c r="AY172" s="64" t="s" ph="1">
        <v>260</v>
      </c>
      <c r="AZ172" s="64" t="s" ph="1">
        <v>411</v>
      </c>
    </row>
    <row r="173" spans="33:52" ph="1">
      <c r="AH173" s="64" ph="1">
        <v>5</v>
      </c>
      <c r="AI173" s="64" t="s" ph="1">
        <v>611</v>
      </c>
      <c r="AY173" s="64" t="s" ph="1">
        <v>260</v>
      </c>
      <c r="AZ173" s="64" t="s" ph="1">
        <v>411</v>
      </c>
    </row>
    <row r="174" spans="33:52" ph="1">
      <c r="AZ174" s="64" t="s" ph="1">
        <v>429</v>
      </c>
    </row>
    <row r="175" spans="33:52" ph="1">
      <c r="AJ175" s="64" t="s" ph="1">
        <v>350</v>
      </c>
    </row>
    <row r="176" spans="33:52" ph="1">
      <c r="AJ176" s="64" t="s" ph="1">
        <v>351</v>
      </c>
      <c r="AK176" s="64" t="s" ph="1">
        <v>352</v>
      </c>
      <c r="AM176" s="64" t="s" ph="1">
        <v>353</v>
      </c>
      <c r="AO176" s="64" t="s" ph="1">
        <v>354</v>
      </c>
      <c r="AP176" s="64" t="s" ph="1">
        <v>355</v>
      </c>
      <c r="AQ176" s="64" t="s" ph="1">
        <v>345</v>
      </c>
      <c r="AR176" s="64" t="s" ph="1">
        <v>265</v>
      </c>
    </row>
    <row r="177" spans="36:56" ph="1">
      <c r="AJ177" s="64" t="s" ph="1">
        <v>647</v>
      </c>
      <c r="AK177" s="64" t="s" ph="1">
        <v>356</v>
      </c>
      <c r="AO177" s="64" t="s" ph="1">
        <v>356</v>
      </c>
      <c r="AP177" s="64" t="s" ph="1">
        <v>356</v>
      </c>
      <c r="AQ177" s="64" t="s" ph="1">
        <v>357</v>
      </c>
      <c r="AR177" s="64" t="s" ph="1">
        <v>358</v>
      </c>
    </row>
    <row r="179" spans="36:56" ph="1">
      <c r="AJ179" s="64" t="s" ph="1">
        <v>359</v>
      </c>
      <c r="AK179" s="64" t="s" ph="1">
        <v>360</v>
      </c>
      <c r="AM179" s="64" t="s" ph="1">
        <v>361</v>
      </c>
      <c r="AN179" s="64" t="s" ph="1">
        <v>337</v>
      </c>
      <c r="AO179" s="64" t="s" ph="1">
        <v>362</v>
      </c>
      <c r="AP179" s="64" t="s" ph="1">
        <v>341</v>
      </c>
      <c r="AQ179" s="64" t="s" ph="1">
        <v>363</v>
      </c>
      <c r="AR179" s="64" t="s" ph="1">
        <v>364</v>
      </c>
    </row>
    <row r="180" spans="36:56" ph="1">
      <c r="AJ180" s="64" t="s" ph="1">
        <v>356</v>
      </c>
      <c r="AK180" s="64" t="s" ph="1">
        <v>356</v>
      </c>
      <c r="AL180" s="64" ph="1">
        <v>116</v>
      </c>
      <c r="AM180" s="64" t="s" ph="1">
        <v>356</v>
      </c>
      <c r="AN180" s="64" t="s" ph="1">
        <v>365</v>
      </c>
      <c r="AO180" s="64" t="s" ph="1">
        <v>356</v>
      </c>
      <c r="AP180" s="64" t="s" ph="1">
        <v>366</v>
      </c>
      <c r="AQ180" s="64" t="s" ph="1">
        <v>367</v>
      </c>
      <c r="AR180" s="64" t="s" ph="1">
        <v>368</v>
      </c>
    </row>
    <row r="189" spans="36:56" ph="1">
      <c r="BD189" s="64" t="s" ph="1">
        <v>612</v>
      </c>
    </row>
    <row r="223" spans="18:18" ph="1">
      <c r="R223" s="138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609" priority="92">
      <formula>ABS(D$7-D$10)&gt;=1000</formula>
    </cfRule>
  </conditionalFormatting>
  <conditionalFormatting sqref="E4 E6:E11">
    <cfRule type="expression" dxfId="608" priority="91">
      <formula>ABS(E$7-E$10)&gt;=1000</formula>
    </cfRule>
  </conditionalFormatting>
  <conditionalFormatting sqref="F4:F11">
    <cfRule type="expression" dxfId="607" priority="90">
      <formula>ABS(F$7-F$10)&gt;=1000</formula>
    </cfRule>
  </conditionalFormatting>
  <conditionalFormatting sqref="G4:G11">
    <cfRule type="expression" dxfId="606" priority="89">
      <formula>ABS(G$7-G$10)&gt;=1000</formula>
    </cfRule>
  </conditionalFormatting>
  <conditionalFormatting sqref="H4:H11">
    <cfRule type="expression" dxfId="605" priority="88">
      <formula>ABS(H$7-H$10)&gt;=1000</formula>
    </cfRule>
  </conditionalFormatting>
  <conditionalFormatting sqref="I4:I11">
    <cfRule type="expression" dxfId="604" priority="87">
      <formula>ABS(I$7-I$10)&gt;=1000</formula>
    </cfRule>
  </conditionalFormatting>
  <conditionalFormatting sqref="J4:J11">
    <cfRule type="expression" dxfId="603" priority="86">
      <formula>ABS(J$7-J$10)&gt;=1000</formula>
    </cfRule>
  </conditionalFormatting>
  <conditionalFormatting sqref="K4:K11">
    <cfRule type="expression" dxfId="602" priority="85">
      <formula>ABS(K$7-K$10)&gt;=1000</formula>
    </cfRule>
  </conditionalFormatting>
  <conditionalFormatting sqref="L4:L11">
    <cfRule type="expression" dxfId="601" priority="84">
      <formula>ABS(L$7-L$10)&gt;=1000</formula>
    </cfRule>
  </conditionalFormatting>
  <conditionalFormatting sqref="M4:M11">
    <cfRule type="expression" dxfId="600" priority="83">
      <formula>ABS(M$7-M$10)&gt;=1000</formula>
    </cfRule>
  </conditionalFormatting>
  <conditionalFormatting sqref="N4:N11">
    <cfRule type="expression" dxfId="599" priority="82">
      <formula>ABS(N$7-N$10)&gt;=1000</formula>
    </cfRule>
  </conditionalFormatting>
  <conditionalFormatting sqref="O4:O11">
    <cfRule type="expression" dxfId="598" priority="81">
      <formula>ABS(O$7-O$10)&gt;=1000</formula>
    </cfRule>
  </conditionalFormatting>
  <conditionalFormatting sqref="P4:P11">
    <cfRule type="expression" dxfId="597" priority="80">
      <formula>ABS(P$7-P$10)&gt;=1000</formula>
    </cfRule>
  </conditionalFormatting>
  <conditionalFormatting sqref="Q4:Q11">
    <cfRule type="expression" dxfId="596" priority="79">
      <formula>ABS(Q$7-Q$10)&gt;=1000</formula>
    </cfRule>
  </conditionalFormatting>
  <conditionalFormatting sqref="R4:R11">
    <cfRule type="expression" dxfId="595" priority="78">
      <formula>ABS(R$7-R$10)&gt;=1000</formula>
    </cfRule>
  </conditionalFormatting>
  <conditionalFormatting sqref="S4:S11">
    <cfRule type="expression" dxfId="594" priority="77">
      <formula>ABS(S$7-S$10)&gt;=1000</formula>
    </cfRule>
  </conditionalFormatting>
  <conditionalFormatting sqref="T4:T9 T11">
    <cfRule type="expression" dxfId="593" priority="76">
      <formula>ABS(T$7-T$10)&gt;=1000</formula>
    </cfRule>
  </conditionalFormatting>
  <conditionalFormatting sqref="U4:U9 U11">
    <cfRule type="expression" dxfId="592" priority="75">
      <formula>ABS(U$7-U$10)&gt;=1000</formula>
    </cfRule>
  </conditionalFormatting>
  <conditionalFormatting sqref="V4:V9 V11">
    <cfRule type="expression" dxfId="591" priority="74">
      <formula>ABS(V$7-V$10)&gt;=1000</formula>
    </cfRule>
  </conditionalFormatting>
  <conditionalFormatting sqref="W4:W9 W11">
    <cfRule type="expression" dxfId="590" priority="73">
      <formula>ABS(W$7-W$10)&gt;=1000</formula>
    </cfRule>
  </conditionalFormatting>
  <conditionalFormatting sqref="X4:X9 X11">
    <cfRule type="expression" dxfId="589" priority="72">
      <formula>ABS(X$7-X$10)&gt;=1000</formula>
    </cfRule>
  </conditionalFormatting>
  <conditionalFormatting sqref="Y4:Y9 Y11">
    <cfRule type="expression" dxfId="588" priority="71">
      <formula>ABS(Y$7-Y$10)&gt;=1000</formula>
    </cfRule>
  </conditionalFormatting>
  <conditionalFormatting sqref="Z4:Z11">
    <cfRule type="expression" dxfId="587" priority="70">
      <formula>ABS(Z$7-Z$10)&gt;=1000</formula>
    </cfRule>
  </conditionalFormatting>
  <conditionalFormatting sqref="AA4:AA11">
    <cfRule type="expression" dxfId="586" priority="69">
      <formula>ABS(AA$7-AA$10)&gt;=1000</formula>
    </cfRule>
  </conditionalFormatting>
  <conditionalFormatting sqref="AB4:AB11">
    <cfRule type="expression" dxfId="585" priority="68">
      <formula>ABS(AB$7-AB$10)&gt;=1000</formula>
    </cfRule>
  </conditionalFormatting>
  <conditionalFormatting sqref="AC4 AC6:AC11">
    <cfRule type="expression" dxfId="584" priority="67">
      <formula>ABS(AC$7-AC$10)&gt;=1000</formula>
    </cfRule>
  </conditionalFormatting>
  <conditionalFormatting sqref="AD4:AD11">
    <cfRule type="expression" dxfId="583" priority="66">
      <formula>ABS(AD$7-AD$10)&gt;=1000</formula>
    </cfRule>
  </conditionalFormatting>
  <conditionalFormatting sqref="AE4:AE11">
    <cfRule type="expression" dxfId="582" priority="65">
      <formula>ABS(AE$7-AE$10)&gt;=1000</formula>
    </cfRule>
  </conditionalFormatting>
  <conditionalFormatting sqref="D13:D20">
    <cfRule type="expression" dxfId="581" priority="64">
      <formula>ABS(D$16-D$19)&gt;=1000</formula>
    </cfRule>
  </conditionalFormatting>
  <conditionalFormatting sqref="E13:E20">
    <cfRule type="expression" dxfId="580" priority="63">
      <formula>ABS(E$16-E$19)&gt;=1000</formula>
    </cfRule>
  </conditionalFormatting>
  <conditionalFormatting sqref="F13 F15:F20">
    <cfRule type="expression" dxfId="579" priority="62">
      <formula>ABS(F$16-F$19)&gt;=1000</formula>
    </cfRule>
  </conditionalFormatting>
  <conditionalFormatting sqref="G13:G20">
    <cfRule type="expression" dxfId="578" priority="61">
      <formula>ABS(G$16-G$19)&gt;=1000</formula>
    </cfRule>
  </conditionalFormatting>
  <conditionalFormatting sqref="H13:H20">
    <cfRule type="expression" dxfId="577" priority="60">
      <formula>ABS(H$16-H$19)&gt;=1000</formula>
    </cfRule>
  </conditionalFormatting>
  <conditionalFormatting sqref="I13:I20">
    <cfRule type="expression" dxfId="576" priority="59">
      <formula>ABS(I$16-I$19)&gt;=1000</formula>
    </cfRule>
  </conditionalFormatting>
  <conditionalFormatting sqref="J13:J20">
    <cfRule type="expression" dxfId="575" priority="58">
      <formula>ABS(J$16-J$19)&gt;=1000</formula>
    </cfRule>
  </conditionalFormatting>
  <conditionalFormatting sqref="L13:L20">
    <cfRule type="expression" dxfId="574" priority="57">
      <formula>ABS(L$16-L$19)&gt;=1000</formula>
    </cfRule>
  </conditionalFormatting>
  <conditionalFormatting sqref="M13 M15 M17:M18 M20">
    <cfRule type="expression" dxfId="573" priority="56">
      <formula>ABS(M$16-M$19)&gt;=1000</formula>
    </cfRule>
  </conditionalFormatting>
  <conditionalFormatting sqref="N13:N20">
    <cfRule type="expression" dxfId="572" priority="55">
      <formula>ABS(N$16-N$19)&gt;=1000</formula>
    </cfRule>
  </conditionalFormatting>
  <conditionalFormatting sqref="O13:O20">
    <cfRule type="expression" dxfId="571" priority="54">
      <formula>ABS(O$16-O$19)&gt;=1000</formula>
    </cfRule>
  </conditionalFormatting>
  <conditionalFormatting sqref="P13:P20">
    <cfRule type="expression" dxfId="570" priority="53">
      <formula>ABS(P$16-P$19)&gt;=1000</formula>
    </cfRule>
  </conditionalFormatting>
  <conditionalFormatting sqref="Q13 Q15:Q20">
    <cfRule type="expression" dxfId="569" priority="52">
      <formula>ABS(Q$16-Q$19)&gt;=1000</formula>
    </cfRule>
  </conditionalFormatting>
  <conditionalFormatting sqref="R13:R20">
    <cfRule type="expression" dxfId="568" priority="51">
      <formula>ABS(R$16-R$19)&gt;=1000</formula>
    </cfRule>
  </conditionalFormatting>
  <conditionalFormatting sqref="S13:S20">
    <cfRule type="expression" dxfId="567" priority="50">
      <formula>ABS(S$16-S$19)&gt;=1000</formula>
    </cfRule>
  </conditionalFormatting>
  <conditionalFormatting sqref="T13:T20">
    <cfRule type="expression" dxfId="566" priority="49">
      <formula>ABS(T$16-T$19)&gt;=1000</formula>
    </cfRule>
  </conditionalFormatting>
  <conditionalFormatting sqref="U13:U20">
    <cfRule type="expression" dxfId="565" priority="48">
      <formula>ABS(U$16-U$19)&gt;=1000</formula>
    </cfRule>
  </conditionalFormatting>
  <conditionalFormatting sqref="V13:V20">
    <cfRule type="expression" dxfId="564" priority="47">
      <formula>ABS(V$16-V$19)&gt;=1000</formula>
    </cfRule>
  </conditionalFormatting>
  <conditionalFormatting sqref="W13 W15:W18 W20">
    <cfRule type="expression" dxfId="563" priority="46">
      <formula>ABS(W$16-W$19)&gt;=1000</formula>
    </cfRule>
  </conditionalFormatting>
  <conditionalFormatting sqref="X13 X15:X20 Y19">
    <cfRule type="expression" dxfId="562" priority="45">
      <formula>ABS(X$16-X$19)&gt;=1000</formula>
    </cfRule>
  </conditionalFormatting>
  <conditionalFormatting sqref="Y13 Y15:Y18 Y20">
    <cfRule type="expression" dxfId="561" priority="44">
      <formula>ABS(Y$16-Y$19)&gt;=1000</formula>
    </cfRule>
  </conditionalFormatting>
  <conditionalFormatting sqref="Z13:Z20">
    <cfRule type="expression" dxfId="560" priority="43">
      <formula>ABS(Z$16-Z$19)&gt;=1000</formula>
    </cfRule>
  </conditionalFormatting>
  <conditionalFormatting sqref="AA13:AA20">
    <cfRule type="expression" dxfId="559" priority="42">
      <formula>ABS(AA$16-AA$19)&gt;=1000</formula>
    </cfRule>
  </conditionalFormatting>
  <conditionalFormatting sqref="AB13 AB15:AB20">
    <cfRule type="expression" dxfId="558" priority="41">
      <formula>ABS(AB$16-AB$19)&gt;=1000</formula>
    </cfRule>
  </conditionalFormatting>
  <conditionalFormatting sqref="AC13 AC15:AC20">
    <cfRule type="expression" dxfId="557" priority="40">
      <formula>ABS(AC$16-AC$19)&gt;=1000</formula>
    </cfRule>
  </conditionalFormatting>
  <conditionalFormatting sqref="AD13:AD20">
    <cfRule type="expression" dxfId="556" priority="39">
      <formula>ABS(AD$16-AD$19)&gt;=1000</formula>
    </cfRule>
  </conditionalFormatting>
  <conditionalFormatting sqref="AE13:AE20">
    <cfRule type="expression" dxfId="555" priority="38">
      <formula>ABS(AE$16-AE$19)&gt;=1000</formula>
    </cfRule>
  </conditionalFormatting>
  <conditionalFormatting sqref="D22:D29">
    <cfRule type="expression" dxfId="554" priority="37">
      <formula>ABS(D$25-D$28)&gt;=1000</formula>
    </cfRule>
  </conditionalFormatting>
  <conditionalFormatting sqref="E22:E29">
    <cfRule type="expression" dxfId="553" priority="36">
      <formula>ABS(E$25-E$28)&gt;=1000</formula>
    </cfRule>
  </conditionalFormatting>
  <conditionalFormatting sqref="F22:F29">
    <cfRule type="expression" dxfId="552" priority="35">
      <formula>ABS(F$25-F$28)&gt;=1000</formula>
    </cfRule>
  </conditionalFormatting>
  <conditionalFormatting sqref="G22:G29">
    <cfRule type="expression" dxfId="551" priority="34">
      <formula>ABS(G$25-G$28)&gt;=1000</formula>
    </cfRule>
  </conditionalFormatting>
  <conditionalFormatting sqref="H22:H29">
    <cfRule type="expression" dxfId="550" priority="33">
      <formula>ABS(H$25-H$28)&gt;=1000</formula>
    </cfRule>
  </conditionalFormatting>
  <conditionalFormatting sqref="I22 I24:I29">
    <cfRule type="expression" dxfId="549" priority="32">
      <formula>ABS(I$25-I$28)&gt;=1000</formula>
    </cfRule>
  </conditionalFormatting>
  <conditionalFormatting sqref="J22:J29 K22">
    <cfRule type="expression" dxfId="548" priority="31">
      <formula>ABS(J$25-J$28)&gt;=1000</formula>
    </cfRule>
  </conditionalFormatting>
  <conditionalFormatting sqref="K23:K29 L25 L28">
    <cfRule type="expression" dxfId="547" priority="30">
      <formula>ABS(K$25-K$28)&gt;=1000</formula>
    </cfRule>
  </conditionalFormatting>
  <conditionalFormatting sqref="L22:L24 L26:L27 L29">
    <cfRule type="expression" dxfId="546" priority="29">
      <formula>ABS(L$25-L$28)&gt;=1000</formula>
    </cfRule>
  </conditionalFormatting>
  <conditionalFormatting sqref="M22:M29">
    <cfRule type="expression" dxfId="545" priority="28">
      <formula>ABS(M$25-M$28)&gt;=1000</formula>
    </cfRule>
  </conditionalFormatting>
  <conditionalFormatting sqref="N22:N29">
    <cfRule type="expression" dxfId="544" priority="27">
      <formula>ABS(N$25-N$28)&gt;=1000</formula>
    </cfRule>
  </conditionalFormatting>
  <conditionalFormatting sqref="O22:O29">
    <cfRule type="expression" dxfId="543" priority="26">
      <formula>ABS(O$25-O$28)&gt;=1000</formula>
    </cfRule>
  </conditionalFormatting>
  <conditionalFormatting sqref="P22:P29">
    <cfRule type="expression" dxfId="542" priority="25">
      <formula>ABS(P$25-P$28)&gt;=1000</formula>
    </cfRule>
  </conditionalFormatting>
  <conditionalFormatting sqref="Q22:Q29">
    <cfRule type="expression" dxfId="541" priority="24">
      <formula>ABS(Q$25-Q$28)&gt;=1000</formula>
    </cfRule>
  </conditionalFormatting>
  <conditionalFormatting sqref="R22:R29">
    <cfRule type="expression" dxfId="540" priority="23">
      <formula>ABS(R$25-R$28)&gt;=1000</formula>
    </cfRule>
  </conditionalFormatting>
  <conditionalFormatting sqref="S22:S29">
    <cfRule type="expression" dxfId="539" priority="22">
      <formula>ABS(S$25-S$28)&gt;=1000</formula>
    </cfRule>
  </conditionalFormatting>
  <conditionalFormatting sqref="T22:T29">
    <cfRule type="expression" dxfId="538" priority="21">
      <formula>ABS(T$25-T$28)&gt;=1000</formula>
    </cfRule>
  </conditionalFormatting>
  <conditionalFormatting sqref="U22:U29">
    <cfRule type="expression" dxfId="537" priority="20">
      <formula>ABS(U$25-U$28)&gt;=1000</formula>
    </cfRule>
  </conditionalFormatting>
  <conditionalFormatting sqref="V22:V29">
    <cfRule type="expression" dxfId="536" priority="19">
      <formula>ABS(V$25-V$28)&gt;=1000</formula>
    </cfRule>
  </conditionalFormatting>
  <conditionalFormatting sqref="W22:W29">
    <cfRule type="expression" dxfId="535" priority="18">
      <formula>ABS(W$25-W$28)&gt;=1000</formula>
    </cfRule>
  </conditionalFormatting>
  <conditionalFormatting sqref="X22:X29">
    <cfRule type="expression" dxfId="534" priority="17">
      <formula>ABS(X$25-X$28)&gt;=1000</formula>
    </cfRule>
  </conditionalFormatting>
  <conditionalFormatting sqref="Y22:Y29">
    <cfRule type="expression" dxfId="533" priority="16">
      <formula>ABS(Y$25-Y$28)&gt;=1000</formula>
    </cfRule>
  </conditionalFormatting>
  <conditionalFormatting sqref="I23">
    <cfRule type="expression" dxfId="532" priority="15">
      <formula>ABS(I$25-I$28)&gt;=1000</formula>
    </cfRule>
  </conditionalFormatting>
  <conditionalFormatting sqref="F14">
    <cfRule type="expression" dxfId="531" priority="14">
      <formula>ABS(F$16-F$19)&gt;=1000</formula>
    </cfRule>
  </conditionalFormatting>
  <conditionalFormatting sqref="Q14">
    <cfRule type="expression" dxfId="530" priority="13">
      <formula>ABS(Q$16-Q$19)&gt;=1000</formula>
    </cfRule>
  </conditionalFormatting>
  <conditionalFormatting sqref="W14">
    <cfRule type="expression" dxfId="529" priority="12">
      <formula>ABS(W$16-W$19)&gt;=1000</formula>
    </cfRule>
  </conditionalFormatting>
  <conditionalFormatting sqref="Y14">
    <cfRule type="expression" dxfId="528" priority="11">
      <formula>ABS(Y$16-Y$19)&gt;=1000</formula>
    </cfRule>
  </conditionalFormatting>
  <conditionalFormatting sqref="X14">
    <cfRule type="expression" dxfId="527" priority="10">
      <formula>ABS(X$16-X$19)&gt;=1000</formula>
    </cfRule>
  </conditionalFormatting>
  <conditionalFormatting sqref="T10:Y10">
    <cfRule type="expression" dxfId="526" priority="9">
      <formula>ABS(T$7-T$10)&gt;=1000</formula>
    </cfRule>
  </conditionalFormatting>
  <conditionalFormatting sqref="W19">
    <cfRule type="expression" dxfId="525" priority="8">
      <formula>ABS(W$16-W$19)&gt;=1000</formula>
    </cfRule>
  </conditionalFormatting>
  <conditionalFormatting sqref="AC5">
    <cfRule type="expression" dxfId="524" priority="7">
      <formula>ABS(AC$7-AC$10)&gt;=1000</formula>
    </cfRule>
  </conditionalFormatting>
  <conditionalFormatting sqref="M14">
    <cfRule type="expression" dxfId="523" priority="6">
      <formula>ABS(M$16-M$19)&gt;=1000</formula>
    </cfRule>
  </conditionalFormatting>
  <conditionalFormatting sqref="M16">
    <cfRule type="expression" dxfId="522" priority="5">
      <formula>ABS(M$16-M$19)&gt;=1000</formula>
    </cfRule>
  </conditionalFormatting>
  <conditionalFormatting sqref="M19">
    <cfRule type="expression" dxfId="521" priority="4">
      <formula>ABS(M$16-M$19)&gt;=1000</formula>
    </cfRule>
  </conditionalFormatting>
  <conditionalFormatting sqref="K13:K20">
    <cfRule type="expression" dxfId="520" priority="3">
      <formula>ABS(K$16-K$19)&gt;=1000</formula>
    </cfRule>
  </conditionalFormatting>
  <conditionalFormatting sqref="E5">
    <cfRule type="expression" dxfId="519" priority="2">
      <formula>ABS(E$7-E$10)&gt;=1000</formula>
    </cfRule>
  </conditionalFormatting>
  <conditionalFormatting sqref="AB14:AC14">
    <cfRule type="expression" dxfId="518" priority="1">
      <formula>ABS(AB$16-AB$19)&gt;=1000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465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60">
    <pageSetUpPr fitToPage="1"/>
  </sheetPr>
  <dimension ref="A1:CU223"/>
  <sheetViews>
    <sheetView view="pageBreakPreview" topLeftCell="A7" zoomScale="70" zoomScaleNormal="100" zoomScaleSheetLayoutView="70" workbookViewId="0">
      <selection activeCell="O11" sqref="O11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36" t="s" ph="1">
        <v>195</v>
      </c>
      <c r="C1" s="236" ph="1"/>
      <c r="D1" s="236" ph="1"/>
      <c r="E1" s="236" ph="1"/>
      <c r="F1" s="236" ph="1"/>
      <c r="G1" s="236" ph="1"/>
      <c r="H1" s="236" ph="1"/>
      <c r="I1" s="236" ph="1"/>
      <c r="J1" s="236" ph="1"/>
      <c r="K1" s="236" ph="1"/>
      <c r="L1" s="236" ph="1"/>
      <c r="M1" s="236" ph="1"/>
      <c r="N1" s="236" ph="1"/>
      <c r="O1" s="236" ph="1"/>
      <c r="P1" s="236" ph="1"/>
      <c r="Q1" s="236" ph="1"/>
      <c r="R1" s="236" ph="1"/>
      <c r="S1" s="236" ph="1"/>
      <c r="T1" s="236" ph="1"/>
      <c r="U1" s="236" ph="1"/>
      <c r="V1" s="236" ph="1"/>
      <c r="W1" s="236" ph="1"/>
      <c r="X1" s="236" ph="1"/>
      <c r="Y1" s="236" ph="1"/>
      <c r="Z1" s="236" ph="1"/>
      <c r="AA1" s="236" ph="1"/>
      <c r="AB1" s="236" ph="1"/>
      <c r="AC1" s="236" ph="1"/>
      <c r="AD1" s="236" ph="1"/>
      <c r="AE1" s="236" ph="1"/>
    </row>
    <row r="2" spans="1:99" s="66" customFormat="1" ht="24" customHeight="1" ph="1">
      <c r="B2" s="237" t="s" ph="1">
        <v>99</v>
      </c>
      <c r="C2" s="237" ph="1"/>
      <c r="D2" s="237" ph="1"/>
      <c r="E2" s="237" ph="1"/>
      <c r="F2" s="237" ph="1"/>
      <c r="G2" s="237" ph="1"/>
      <c r="H2" s="237" ph="1"/>
      <c r="I2" s="237" ph="1"/>
      <c r="J2" s="237" ph="1"/>
      <c r="K2" s="237" ph="1"/>
      <c r="L2" s="237" ph="1"/>
      <c r="M2" s="237" ph="1"/>
      <c r="N2" s="237" ph="1"/>
      <c r="O2" s="237" ph="1"/>
      <c r="P2" s="237" ph="1"/>
      <c r="Q2" s="237" ph="1"/>
      <c r="R2" s="237" ph="1"/>
      <c r="S2" s="237" ph="1"/>
      <c r="T2" s="237" ph="1"/>
      <c r="U2" s="237" ph="1"/>
      <c r="V2" s="237" ph="1"/>
      <c r="W2" s="237" ph="1"/>
      <c r="X2" s="237" ph="1"/>
      <c r="Y2" s="237" ph="1"/>
      <c r="Z2" s="237" ph="1"/>
      <c r="AA2" s="237" ph="1"/>
      <c r="AB2" s="237" ph="1"/>
      <c r="AC2" s="237" ph="1"/>
      <c r="AD2" s="237" ph="1"/>
      <c r="AE2" s="237" ph="1"/>
    </row>
    <row r="3" spans="1:99" ht="21" customHeight="1" ph="1">
      <c r="B3" s="238" ph="1">
        <v>45678</v>
      </c>
      <c r="C3" s="238"/>
      <c r="D3" s="238"/>
      <c r="E3" s="238"/>
      <c r="F3" s="238"/>
      <c r="G3" s="238"/>
      <c r="H3" s="238"/>
      <c r="I3" s="238"/>
      <c r="J3" s="238"/>
      <c r="K3" s="238"/>
      <c r="L3" s="238"/>
      <c r="M3" s="238"/>
      <c r="N3" s="238"/>
      <c r="O3" s="238"/>
      <c r="P3" s="238"/>
      <c r="Q3" s="238"/>
      <c r="R3" s="238"/>
      <c r="S3" s="238"/>
      <c r="T3" s="238"/>
      <c r="U3" s="238"/>
      <c r="V3" s="238"/>
      <c r="W3" s="238"/>
      <c r="X3" s="238"/>
      <c r="Y3" s="238"/>
      <c r="Z3" s="238"/>
      <c r="AA3" s="238"/>
      <c r="AB3" s="238"/>
      <c r="AC3" s="238"/>
      <c r="AD3" s="238"/>
      <c r="AE3" s="238"/>
    </row>
    <row r="4" spans="1:99" s="69" customFormat="1" ph="1">
      <c r="A4" s="65" ph="1"/>
      <c r="B4" s="217" t="s" ph="1">
        <v>37</v>
      </c>
      <c r="C4" s="67" t="s" ph="1">
        <v>210</v>
      </c>
      <c r="D4" s="68" t="s" ph="1">
        <v>45</v>
      </c>
      <c r="E4" s="68" t="s" ph="1">
        <v>46</v>
      </c>
      <c r="F4" s="68" t="s" ph="1">
        <v>39</v>
      </c>
      <c r="G4" s="68" t="s" ph="1">
        <v>47</v>
      </c>
      <c r="H4" s="68" t="s" ph="1">
        <v>48</v>
      </c>
      <c r="I4" s="68" t="s" ph="1">
        <v>133</v>
      </c>
      <c r="J4" s="68" t="s" ph="1">
        <v>49</v>
      </c>
      <c r="K4" s="68" t="s" ph="1">
        <v>134</v>
      </c>
      <c r="L4" s="68" t="s" ph="1">
        <v>135</v>
      </c>
      <c r="M4" s="68" t="s" ph="1">
        <v>50</v>
      </c>
      <c r="N4" s="68" t="s" ph="1">
        <v>51</v>
      </c>
      <c r="O4" s="68" t="s" ph="1">
        <v>137</v>
      </c>
      <c r="P4" s="68" t="s" ph="1">
        <v>139</v>
      </c>
      <c r="Q4" s="68" t="s" ph="1">
        <v>140</v>
      </c>
      <c r="R4" s="68" t="s" ph="1">
        <v>141</v>
      </c>
      <c r="S4" s="68" t="s" ph="1">
        <v>142</v>
      </c>
      <c r="T4" s="68" t="s" ph="1">
        <v>143</v>
      </c>
      <c r="U4" s="68" t="s" ph="1">
        <v>144</v>
      </c>
      <c r="V4" s="68" t="s" ph="1">
        <v>145</v>
      </c>
      <c r="W4" s="68" t="s" ph="1">
        <v>146</v>
      </c>
      <c r="X4" s="68" t="s" ph="1">
        <v>147</v>
      </c>
      <c r="Y4" s="68" t="s" ph="1">
        <v>148</v>
      </c>
      <c r="Z4" s="68" t="s" ph="1">
        <v>52</v>
      </c>
      <c r="AA4" s="68" t="s" ph="1">
        <v>149</v>
      </c>
      <c r="AB4" s="68" t="s" ph="1">
        <v>150</v>
      </c>
      <c r="AC4" s="68" t="s" ph="1">
        <v>151</v>
      </c>
      <c r="AD4" s="68" t="s" ph="1">
        <v>40</v>
      </c>
      <c r="AE4" s="68" t="s" ph="1">
        <v>152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7" ph="1"/>
      <c r="C5" s="67" t="s" ph="1">
        <v>36</v>
      </c>
      <c r="D5" s="70" t="s" ph="1">
        <v>194</v>
      </c>
      <c r="E5" s="70" t="s" ph="1">
        <v>55</v>
      </c>
      <c r="F5" s="70" t="s" ph="1">
        <v>130</v>
      </c>
      <c r="G5" s="70" t="s" ph="1">
        <v>56</v>
      </c>
      <c r="H5" s="70" t="s" ph="1">
        <v>56</v>
      </c>
      <c r="I5" s="70" t="s" ph="1">
        <v>57</v>
      </c>
      <c r="J5" s="70" t="s" ph="1">
        <v>58</v>
      </c>
      <c r="K5" s="70" t="s" ph="1">
        <v>59</v>
      </c>
      <c r="L5" s="70" t="s" ph="1">
        <v>136</v>
      </c>
      <c r="M5" s="70" t="s" ph="1">
        <v>60</v>
      </c>
      <c r="N5" s="70" t="s" ph="1">
        <v>61</v>
      </c>
      <c r="O5" s="70" t="s" ph="1">
        <v>138</v>
      </c>
      <c r="P5" s="70" t="s" ph="1">
        <v>88</v>
      </c>
      <c r="Q5" s="70" t="s" ph="1">
        <v>96</v>
      </c>
      <c r="R5" s="70" t="s" ph="1">
        <v>96</v>
      </c>
      <c r="S5" s="70" t="s" ph="1">
        <v>96</v>
      </c>
      <c r="T5" s="70" t="s" ph="1">
        <v>96</v>
      </c>
      <c r="U5" s="70" t="s" ph="1">
        <v>96</v>
      </c>
      <c r="V5" s="70" t="s" ph="1">
        <v>96</v>
      </c>
      <c r="W5" s="70" t="s" ph="1">
        <v>96</v>
      </c>
      <c r="X5" s="70" t="s" ph="1">
        <v>96</v>
      </c>
      <c r="Y5" s="70" t="s" ph="1">
        <v>96</v>
      </c>
      <c r="Z5" s="70" t="s" ph="1">
        <v>95</v>
      </c>
      <c r="AA5" s="70" t="s" ph="1">
        <v>62</v>
      </c>
      <c r="AB5" s="70" t="s" ph="1">
        <v>62</v>
      </c>
      <c r="AC5" s="70" t="s" ph="1">
        <v>222</v>
      </c>
      <c r="AD5" s="70" t="s" ph="1">
        <v>83</v>
      </c>
      <c r="AE5" s="70" t="s" ph="1">
        <v>661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5" ph="1">
        <v>0.33333333333333331</v>
      </c>
      <c r="C6" s="151" t="s" ph="1">
        <v>211</v>
      </c>
      <c r="D6" s="71">
        <v>4097</v>
      </c>
      <c r="E6" s="71">
        <v>0</v>
      </c>
      <c r="F6" s="71">
        <v>2584</v>
      </c>
      <c r="G6" s="71">
        <v>8877</v>
      </c>
      <c r="H6" s="71">
        <v>5363</v>
      </c>
      <c r="I6" s="71">
        <v>39.11</v>
      </c>
      <c r="J6" s="71">
        <v>79.98</v>
      </c>
      <c r="K6" s="71">
        <v>81.92</v>
      </c>
      <c r="L6" s="71">
        <v>41.82</v>
      </c>
      <c r="M6" s="71">
        <v>5195</v>
      </c>
      <c r="N6" s="71">
        <v>5457</v>
      </c>
      <c r="O6" s="71">
        <v>5176</v>
      </c>
      <c r="P6" s="71">
        <v>4843</v>
      </c>
      <c r="Q6" s="71">
        <v>6686</v>
      </c>
      <c r="R6" s="71">
        <v>7066</v>
      </c>
      <c r="S6" s="71">
        <v>5282</v>
      </c>
      <c r="T6" s="71">
        <v>5184</v>
      </c>
      <c r="U6" s="71">
        <v>0</v>
      </c>
      <c r="V6" s="71">
        <v>0</v>
      </c>
      <c r="W6" s="71">
        <v>0</v>
      </c>
      <c r="X6" s="71">
        <v>0</v>
      </c>
      <c r="Y6" s="71">
        <v>1000</v>
      </c>
      <c r="Z6" s="71">
        <v>618</v>
      </c>
      <c r="AA6" s="71">
        <v>1716</v>
      </c>
      <c r="AB6" s="71">
        <v>3875</v>
      </c>
      <c r="AC6" s="71">
        <v>7088</v>
      </c>
      <c r="AD6" s="71">
        <v>261</v>
      </c>
      <c r="AE6" s="71">
        <v>2722</v>
      </c>
    </row>
    <row r="7" spans="1:99" s="72" customFormat="1" ht="22.5" ph="1">
      <c r="B7" s="235" ph="1"/>
      <c r="C7" s="68" t="s" ph="1">
        <v>212</v>
      </c>
      <c r="D7" s="73" ph="1">
        <f>D6*33.183*LOOKUP(D8,密度!$A$2:$A$50,密度!$Q$2:$Q$50)</f>
        <v>129770.42985954</v>
      </c>
      <c r="E7" s="73" ph="1">
        <f>E6*51.53*LOOKUP(E8,密度!$A$2:$A$50,密度!$I$2:$I$50)</f>
        <v>0</v>
      </c>
      <c r="F7" s="73" ph="1">
        <f>F6*33.183*LOOKUP(F8,密度!$A$2:$A$50,密度!$C$2:$C$50)</f>
        <v>95674.128177599996</v>
      </c>
      <c r="G7" s="73" ph="1">
        <f xml:space="preserve"> (G6+2)*51.53*LOOKUP(G8,密度!$A$2:$A$50,密度!$B$2:$B$50)</f>
        <v>360537.47756000003</v>
      </c>
      <c r="H7" s="73" ph="1">
        <f>(H6)*51.53*LOOKUP(H8,密度!$A$2:$A$50,密度!$B$2:$B$50)</f>
        <v>219426.17966000002</v>
      </c>
      <c r="I7" s="73" ph="1">
        <f>I6*290.8*1.0267</f>
        <v>11676.8521196</v>
      </c>
      <c r="J7" s="73" ph="1">
        <f>J6*290.8*0.7892</f>
        <v>18355.358812800001</v>
      </c>
      <c r="K7" s="73" ph="1">
        <f>K6*290.8*1.1126</f>
        <v>26504.731033600005</v>
      </c>
      <c r="L7" s="73" ph="1">
        <f>L6*290.8*0.777</f>
        <v>9449.2959120000014</v>
      </c>
      <c r="M7" s="73" ph="1">
        <f>M6*33.183*LOOKUP(M8,密度!$A$2:$A$50,密度!$D$2:$D$50)</f>
        <v>178522.61538600002</v>
      </c>
      <c r="N7" s="73" ph="1">
        <f>N6*33.183*LOOKUP(N8,密度!$A$2:$A$50,密度!$E$2:$E$50)</f>
        <v>143903.98275569998</v>
      </c>
      <c r="O7" s="73" ph="1">
        <f>O6*20.428*LOOKUP(O8,密度!$A$2:$A$50,密度!$C$2:$C$50)</f>
        <v>117567.11120320002</v>
      </c>
      <c r="P7" s="73" ph="1">
        <f>P6*51.53*LOOKUP(P8,密度!$A$2:$A$50,密度!$B$2:$B$50)</f>
        <v>196653.11452</v>
      </c>
      <c r="Q7" s="73" ph="1">
        <f>Q6*1.5*1.5*3.1416*LOOKUP(W8,密度!$A$2:$A$50,密度!$L$2:$L$50)</f>
        <v>44708.583981599993</v>
      </c>
      <c r="R7" s="73" ph="1">
        <f>R6*1.5*1.5*3.1416*LOOKUP(R8,密度!$A$2:$A$50,密度!$L$2:$L$50)</f>
        <v>46999.870671599994</v>
      </c>
      <c r="S7" s="73" ph="1">
        <f>S6*1.5*1.5*3.1416*LOOKUP(S8,密度!$A$2:$A$50,密度!$L$2:$L$50)</f>
        <v>35544.200630399995</v>
      </c>
      <c r="T7" s="73" ph="1">
        <f>T6*1.5*1.5*3.1416*LOOKUP(T8,密度!$A$2:$A$50,密度!$L$2:$L$50)</f>
        <v>34811.441279999999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6701.032799999999</v>
      </c>
      <c r="Z7" s="73" ph="1">
        <f>Z6*33.183*LOOKUP(Z8,密度!$A$2:$A$50,密度!$L$2:$L$50)</f>
        <v>19522.753487999998</v>
      </c>
      <c r="AA7" s="73" ph="1">
        <f>AA6*33.183*LOOKUP(AA8,密度!$A$2:$A$50,密度!$D$2:$D$50)</f>
        <v>58969.164196800004</v>
      </c>
      <c r="AB7" s="73" ph="1">
        <f>AB6*20.428*LOOKUP(AB8,密度!$A$2:$A$50,密度!$D$2:$D$50)</f>
        <v>82681.053249999997</v>
      </c>
      <c r="AC7" s="73" ph="1">
        <f>AC6*51.53*LOOKUP(AC8,密度!$A$2:$A$50,密度!$Q$2:$Q$50)</f>
        <v>348640.61866560002</v>
      </c>
      <c r="AD7" s="73" ph="1">
        <f>AD6*20.428*LOOKUP(AD8,密度!$A$2:$A$50,密度!$V$2:$V$50)</f>
        <v>5139.7665120000001</v>
      </c>
      <c r="AE7" s="73" ph="1">
        <f>AE6*20.428</f>
        <v>55605.016000000003</v>
      </c>
    </row>
    <row r="8" spans="1:99" ph="1">
      <c r="B8" s="235" ph="1"/>
      <c r="C8" s="68" t="s" ph="1">
        <v>213</v>
      </c>
      <c r="D8" s="74">
        <v>15</v>
      </c>
      <c r="E8" s="74">
        <v>14</v>
      </c>
      <c r="F8" s="74">
        <v>15</v>
      </c>
      <c r="G8" s="74">
        <v>15</v>
      </c>
      <c r="H8" s="74">
        <v>8</v>
      </c>
      <c r="I8" s="74">
        <v>25</v>
      </c>
      <c r="J8" s="74">
        <v>25</v>
      </c>
      <c r="K8" s="74">
        <v>25</v>
      </c>
      <c r="L8" s="74">
        <v>25</v>
      </c>
      <c r="M8" s="74">
        <v>15</v>
      </c>
      <c r="N8" s="74">
        <v>15</v>
      </c>
      <c r="O8" s="74">
        <v>21</v>
      </c>
      <c r="P8" s="74">
        <v>15</v>
      </c>
      <c r="Q8" s="74">
        <v>14</v>
      </c>
      <c r="R8" s="74">
        <v>21</v>
      </c>
      <c r="S8" s="74">
        <v>10</v>
      </c>
      <c r="T8" s="74">
        <v>12</v>
      </c>
      <c r="U8" s="74">
        <v>15</v>
      </c>
      <c r="V8" s="74">
        <v>18</v>
      </c>
      <c r="W8" s="74">
        <v>16</v>
      </c>
      <c r="X8" s="74">
        <v>6</v>
      </c>
      <c r="Y8" s="74">
        <v>14</v>
      </c>
      <c r="Z8" s="74">
        <v>10</v>
      </c>
      <c r="AA8" s="74">
        <v>15</v>
      </c>
      <c r="AB8" s="74">
        <v>5</v>
      </c>
      <c r="AC8" s="74">
        <v>13</v>
      </c>
      <c r="AD8" s="74">
        <v>12</v>
      </c>
      <c r="AE8" s="74">
        <v>23</v>
      </c>
    </row>
    <row r="9" spans="1:99" ph="1">
      <c r="B9" s="235" ph="1">
        <v>0.66666666666666663</v>
      </c>
      <c r="C9" s="151" t="s" ph="1">
        <v>214</v>
      </c>
      <c r="D9" s="71">
        <v>4096</v>
      </c>
      <c r="E9" s="71">
        <v>0</v>
      </c>
      <c r="F9" s="71">
        <v>4439</v>
      </c>
      <c r="G9" s="71">
        <v>8879</v>
      </c>
      <c r="H9" s="71">
        <v>5063</v>
      </c>
      <c r="I9" s="71">
        <v>39.119999999999997</v>
      </c>
      <c r="J9" s="71">
        <v>80.13</v>
      </c>
      <c r="K9" s="71">
        <v>82.54</v>
      </c>
      <c r="L9" s="71">
        <v>38.130000000000003</v>
      </c>
      <c r="M9" s="71">
        <v>5196</v>
      </c>
      <c r="N9" s="71">
        <v>5457</v>
      </c>
      <c r="O9" s="71">
        <v>4129</v>
      </c>
      <c r="P9" s="71">
        <v>4792</v>
      </c>
      <c r="Q9" s="71">
        <v>3812</v>
      </c>
      <c r="R9" s="71">
        <v>7071</v>
      </c>
      <c r="S9" s="71">
        <v>7000</v>
      </c>
      <c r="T9" s="71">
        <v>5188</v>
      </c>
      <c r="U9" s="71">
        <v>3109</v>
      </c>
      <c r="V9" s="71">
        <v>0</v>
      </c>
      <c r="W9" s="71">
        <v>0</v>
      </c>
      <c r="X9" s="71">
        <v>0</v>
      </c>
      <c r="Y9" s="71">
        <v>1000</v>
      </c>
      <c r="Z9" s="71">
        <v>1349</v>
      </c>
      <c r="AA9" s="71">
        <v>1711</v>
      </c>
      <c r="AB9" s="71">
        <v>3725</v>
      </c>
      <c r="AC9" s="71">
        <v>7328</v>
      </c>
      <c r="AD9" s="71">
        <v>253</v>
      </c>
      <c r="AE9" s="71">
        <v>2722</v>
      </c>
    </row>
    <row r="10" spans="1:99" s="72" customFormat="1" ht="22.5" ph="1">
      <c r="B10" s="235" ph="1"/>
      <c r="C10" s="151" t="s" ph="1">
        <v>212</v>
      </c>
      <c r="D10" s="73" ph="1">
        <f>D9*33.183*LOOKUP(D11,密度!$A$2:$A$50,密度!$Q$2:$Q$50)</f>
        <v>129502.2587904</v>
      </c>
      <c r="E10" s="73" ph="1">
        <f>E9*51.53*LOOKUP(E11,密度!$A$2:$A$50,密度!$I$2:$I$50)</f>
        <v>0</v>
      </c>
      <c r="F10" s="73" ph="1">
        <f>F9*33.183*LOOKUP(F11,密度!$A$2:$A$50,密度!$C$2:$C$50)</f>
        <v>163973.62194839999</v>
      </c>
      <c r="G10" s="73" ph="1">
        <f xml:space="preserve"> (G9+2)*51.53*LOOKUP(G11,密度!$A$2:$A$50,密度!$B$2:$B$50)</f>
        <v>359886.46815199999</v>
      </c>
      <c r="H10" s="73" ph="1">
        <f>(H9)*51.53*LOOKUP(H11,密度!$A$2:$A$50,密度!$B$2:$B$50)</f>
        <v>206264.68593400001</v>
      </c>
      <c r="I10" s="73" ph="1">
        <f>I9*290.8*1.0267</f>
        <v>11679.837763199999</v>
      </c>
      <c r="J10" s="73" ph="1">
        <f>J9*290.8*0.7892</f>
        <v>18389.783716800001</v>
      </c>
      <c r="K10" s="73" ph="1">
        <f>K9*290.8*1.1126</f>
        <v>26705.328363200002</v>
      </c>
      <c r="L10" s="73" ph="1">
        <f>L9*290.8*0.777</f>
        <v>8615.5345080000006</v>
      </c>
      <c r="M10" s="73" ph="1">
        <f>M9*33.183*LOOKUP(M11,密度!$A$2:$A$50,密度!$D$2:$D$50)</f>
        <v>178125.93253079997</v>
      </c>
      <c r="N10" s="73" ph="1">
        <f>N9*33.183*LOOKUP(N11,密度!$A$2:$A$50,密度!$E$2:$E$50)</f>
        <v>143505.6075675</v>
      </c>
      <c r="O10" s="73" ph="1">
        <f>O9*20.428*LOOKUP(O11,密度!$A$2:$A$50,密度!$C$2:$C$50)</f>
        <v>93659.144204800003</v>
      </c>
      <c r="P10" s="73" ph="1">
        <f>P9*51.53*LOOKUP(P11,密度!$A$2:$A$50,密度!$B$2:$B$50)</f>
        <v>193619.193016</v>
      </c>
      <c r="Q10" s="73" ph="1">
        <f>Q9*1.5*1.5*3.1416*LOOKUP(W11,密度!$A$2:$A$50,密度!$L$2:$L$50)</f>
        <v>25086.263479199999</v>
      </c>
      <c r="R10" s="73" ph="1">
        <f>R9*1.5*1.5*3.1416*LOOKUP(R11,密度!$A$2:$A$50,密度!$L$2:$L$50)</f>
        <v>46883.182222799995</v>
      </c>
      <c r="S10" s="73" ph="1">
        <f>S9*1.5*1.5*3.1416*LOOKUP(S11,密度!$A$2:$A$50,密度!$L$2:$L$50)</f>
        <v>47006.189999999995</v>
      </c>
      <c r="T10" s="73" ph="1">
        <f>T9*1.5*1.5*3.1416*LOOKUP(T11,密度!$A$2:$A$50,密度!$L$2:$L$50)</f>
        <v>34764.9581664</v>
      </c>
      <c r="U10" s="73" ph="1">
        <f>U9*1.5*1.5*3.1416*LOOKUP(U11,密度!$A$2:$A$50,密度!$L$2:$L$50)</f>
        <v>20767.582143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6658.6211999999987</v>
      </c>
      <c r="Z10" s="73" ph="1">
        <f>Z9*33.183*LOOKUP(Z11,密度!$A$2:$A$50,密度!$L$2:$L$50)</f>
        <v>42257.090447999995</v>
      </c>
      <c r="AA10" s="73" ph="1">
        <f>AA9*33.183*LOOKUP(AA11,密度!$A$2:$A$50,密度!$D$2:$D$50)</f>
        <v>58604.303838599997</v>
      </c>
      <c r="AB10" s="73" ph="1">
        <f>AB9*20.428*LOOKUP(AB11,密度!$A$2:$A$50,密度!$D$2:$D$50)</f>
        <v>79343.526610000001</v>
      </c>
      <c r="AC10" s="73" ph="1">
        <f>AC9*51.53*LOOKUP(AC11,密度!$A$2:$A$50,密度!$Q$2:$Q$50)</f>
        <v>359788.56115200004</v>
      </c>
      <c r="AD10" s="73" ph="1">
        <f>AD9*20.428*LOOKUP(AD11,密度!$A$2:$A$50,密度!$V$2:$V$50)</f>
        <v>4982.2257760000002</v>
      </c>
      <c r="AE10" s="73" ph="1">
        <f>AE9*20.428</f>
        <v>55605.016000000003</v>
      </c>
    </row>
    <row r="11" spans="1:99" ph="1">
      <c r="A11" s="64" t="s" ph="1">
        <v>196</v>
      </c>
      <c r="B11" s="235" ph="1"/>
      <c r="C11" s="151" t="s" ph="1">
        <v>213</v>
      </c>
      <c r="D11" s="74">
        <v>17</v>
      </c>
      <c r="E11" s="74">
        <v>18</v>
      </c>
      <c r="F11" s="74">
        <v>19</v>
      </c>
      <c r="G11" s="74">
        <v>17</v>
      </c>
      <c r="H11" s="74">
        <v>12</v>
      </c>
      <c r="I11" s="74">
        <v>25</v>
      </c>
      <c r="J11" s="74">
        <v>25</v>
      </c>
      <c r="K11" s="74">
        <v>25</v>
      </c>
      <c r="L11" s="74">
        <v>25</v>
      </c>
      <c r="M11" s="74">
        <v>18</v>
      </c>
      <c r="N11" s="74">
        <v>17</v>
      </c>
      <c r="O11" s="74">
        <v>23</v>
      </c>
      <c r="P11" s="74">
        <v>20</v>
      </c>
      <c r="Q11" s="74">
        <v>17</v>
      </c>
      <c r="R11" s="74">
        <v>24</v>
      </c>
      <c r="S11" s="74">
        <v>12</v>
      </c>
      <c r="T11" s="74">
        <v>14</v>
      </c>
      <c r="U11" s="74">
        <v>17</v>
      </c>
      <c r="V11" s="74">
        <v>26</v>
      </c>
      <c r="W11" s="74">
        <v>31</v>
      </c>
      <c r="X11" s="74">
        <v>16</v>
      </c>
      <c r="Y11" s="74">
        <v>20</v>
      </c>
      <c r="Z11" s="74">
        <v>18</v>
      </c>
      <c r="AA11" s="74">
        <v>19</v>
      </c>
      <c r="AB11" s="74">
        <v>7</v>
      </c>
      <c r="AC11" s="74">
        <v>17</v>
      </c>
      <c r="AD11" s="74">
        <v>20</v>
      </c>
      <c r="AE11" s="74">
        <v>26</v>
      </c>
    </row>
    <row r="12" spans="1:99" ht="9.9499999999999993" customHeight="1" ph="1"/>
    <row r="13" spans="1:99" s="72" customFormat="1" ht="29.25" customHeight="1" ph="1">
      <c r="B13" s="212" t="s" ph="1">
        <v>37</v>
      </c>
      <c r="C13" s="151" t="s" ph="1">
        <v>210</v>
      </c>
      <c r="D13" s="76" t="s" ph="1">
        <v>53</v>
      </c>
      <c r="E13" s="76" t="s" ph="1">
        <v>54</v>
      </c>
      <c r="F13" s="76" t="s" ph="1">
        <v>66</v>
      </c>
      <c r="G13" s="76" t="s" ph="1">
        <v>67</v>
      </c>
      <c r="H13" s="76" t="s" ph="1">
        <v>154</v>
      </c>
      <c r="I13" s="76" t="s" ph="1">
        <v>68</v>
      </c>
      <c r="J13" s="76" t="s" ph="1">
        <v>155</v>
      </c>
      <c r="K13" s="76" t="s" ph="1">
        <v>63</v>
      </c>
      <c r="L13" s="76" t="s" ph="1">
        <v>69</v>
      </c>
      <c r="M13" s="76" t="s" ph="1">
        <v>70</v>
      </c>
      <c r="N13" s="76" t="s" ph="1">
        <v>156</v>
      </c>
      <c r="O13" s="76" t="s" ph="1">
        <v>64</v>
      </c>
      <c r="P13" s="76" t="s" ph="1">
        <v>71</v>
      </c>
      <c r="Q13" s="76" t="s" ph="1">
        <v>72</v>
      </c>
      <c r="R13" s="76" t="s" ph="1">
        <v>73</v>
      </c>
      <c r="S13" s="76" t="s" ph="1">
        <v>74</v>
      </c>
      <c r="T13" s="76" t="s" ph="1">
        <v>75</v>
      </c>
      <c r="U13" s="76" t="s" ph="1">
        <v>76</v>
      </c>
      <c r="V13" s="76" t="s" ph="1">
        <v>157</v>
      </c>
      <c r="W13" s="76" t="s" ph="1">
        <v>158</v>
      </c>
      <c r="X13" s="76" t="s" ph="1">
        <v>159</v>
      </c>
      <c r="Y13" s="105" t="s" ph="1">
        <v>77</v>
      </c>
      <c r="Z13" s="76" t="s" ph="1">
        <v>86</v>
      </c>
      <c r="AA13" s="76" t="s" ph="1">
        <v>160</v>
      </c>
      <c r="AB13" s="76" t="s" ph="1">
        <v>161</v>
      </c>
      <c r="AC13" s="76" t="s" ph="1">
        <v>162</v>
      </c>
      <c r="AD13" s="76" t="s" ph="1">
        <v>163</v>
      </c>
      <c r="AE13" s="76" t="s" ph="1">
        <v>164</v>
      </c>
      <c r="AG13" s="72" t="s" ph="1">
        <v>369</v>
      </c>
      <c r="AH13" s="72" t="s" ph="1">
        <v>232</v>
      </c>
      <c r="AI13" s="72" t="s" ph="1">
        <v>233</v>
      </c>
      <c r="AJ13" s="72" t="s" ph="1">
        <v>234</v>
      </c>
      <c r="AK13" s="72" t="s" ph="1">
        <v>235</v>
      </c>
      <c r="AL13" s="72" t="s" ph="1">
        <v>236</v>
      </c>
      <c r="AM13" s="72" t="s" ph="1">
        <v>237</v>
      </c>
      <c r="AN13" s="72" t="s" ph="1">
        <v>238</v>
      </c>
      <c r="AO13" s="72" t="s" ph="1">
        <v>239</v>
      </c>
      <c r="AP13" s="72" t="s" ph="1">
        <v>240</v>
      </c>
      <c r="AQ13" s="72" t="s" ph="1">
        <v>241</v>
      </c>
      <c r="AR13" s="72" t="s" ph="1">
        <v>242</v>
      </c>
      <c r="AS13" s="72" t="s" ph="1">
        <v>243</v>
      </c>
      <c r="AT13" s="72" t="s" ph="1">
        <v>244</v>
      </c>
      <c r="AU13" s="72" t="s" ph="1">
        <v>245</v>
      </c>
      <c r="AV13" s="72" t="s" ph="1">
        <v>246</v>
      </c>
      <c r="AW13" s="72" t="s" ph="1">
        <v>247</v>
      </c>
      <c r="AX13" s="72" t="s" ph="1">
        <v>248</v>
      </c>
      <c r="AY13" s="72" t="s" ph="1">
        <v>370</v>
      </c>
      <c r="AZ13" s="72" t="s" ph="1">
        <v>249</v>
      </c>
      <c r="BA13" s="72" t="s" ph="1">
        <v>250</v>
      </c>
      <c r="BB13" s="72" t="s" ph="1">
        <v>635</v>
      </c>
      <c r="BC13" s="72" t="s" ph="1">
        <v>251</v>
      </c>
      <c r="BD13" s="72" t="s" ph="1">
        <v>371</v>
      </c>
      <c r="BE13" s="72" t="s" ph="1">
        <v>372</v>
      </c>
      <c r="BF13" s="72" t="s" ph="1">
        <v>373</v>
      </c>
      <c r="BG13" s="72" t="s" ph="1">
        <v>374</v>
      </c>
      <c r="BH13" s="72" t="s" ph="1">
        <v>375</v>
      </c>
    </row>
    <row r="14" spans="1:99" s="72" customFormat="1" ht="24" ph="1">
      <c r="B14" s="213" ph="1"/>
      <c r="C14" s="67" t="s" ph="1">
        <v>36</v>
      </c>
      <c r="D14" s="77" t="s" ph="1">
        <v>131</v>
      </c>
      <c r="E14" s="77" t="s" ph="1">
        <v>131</v>
      </c>
      <c r="F14" s="153" t="s" ph="1">
        <v>656</v>
      </c>
      <c r="G14" s="77" t="s" ph="1">
        <v>220</v>
      </c>
      <c r="H14" s="77" t="s" ph="1">
        <v>648</v>
      </c>
      <c r="I14" s="77" t="s" ph="1">
        <v>65</v>
      </c>
      <c r="J14" s="77" t="s" ph="1">
        <v>230</v>
      </c>
      <c r="K14" s="77" t="s" ph="1">
        <v>226</v>
      </c>
      <c r="L14" s="77" t="s" ph="1">
        <v>41</v>
      </c>
      <c r="M14" s="104" t="s" ph="1">
        <v>225</v>
      </c>
      <c r="N14" s="104" t="s" ph="1">
        <v>221</v>
      </c>
      <c r="O14" s="104" t="s" ph="1">
        <v>229</v>
      </c>
      <c r="P14" s="77" t="s" ph="1">
        <v>82</v>
      </c>
      <c r="Q14" s="77" t="s" ph="1">
        <v>82</v>
      </c>
      <c r="R14" s="88" t="s" ph="1">
        <v>7</v>
      </c>
      <c r="S14" s="77" t="s" ph="1">
        <v>82</v>
      </c>
      <c r="T14" s="77" t="s" ph="1">
        <v>98</v>
      </c>
      <c r="U14" s="77" t="s" ph="1">
        <v>659</v>
      </c>
      <c r="V14" s="77" t="s" ph="1">
        <v>649</v>
      </c>
      <c r="W14" s="77" t="s" ph="1">
        <v>223</v>
      </c>
      <c r="X14" s="77" t="s" ph="1">
        <v>78</v>
      </c>
      <c r="Y14" s="144" t="s" ph="1">
        <v>0</v>
      </c>
      <c r="Z14" s="77" t="s" ph="1">
        <v>62</v>
      </c>
      <c r="AA14" s="77" t="s" ph="1">
        <v>88</v>
      </c>
      <c r="AB14" s="77" t="s" ph="1">
        <v>653</v>
      </c>
      <c r="AC14" s="77" t="s" ph="1">
        <v>653</v>
      </c>
      <c r="AD14" s="77" t="s" ph="1">
        <v>136</v>
      </c>
      <c r="AE14" s="77" t="s" ph="1">
        <v>136</v>
      </c>
      <c r="AG14" s="72" t="s" ph="1">
        <v>252</v>
      </c>
      <c r="AI14" s="72" t="s" ph="1">
        <v>253</v>
      </c>
      <c r="AJ14" s="72" t="s" ph="1">
        <v>376</v>
      </c>
      <c r="AK14" s="72" t="s" ph="1">
        <v>254</v>
      </c>
      <c r="AM14" s="72" t="s" ph="1">
        <v>256</v>
      </c>
      <c r="AN14" s="72" t="s" ph="1">
        <v>254</v>
      </c>
      <c r="AO14" s="72" t="s" ph="1">
        <v>255</v>
      </c>
      <c r="AP14" s="72" t="s" ph="1">
        <v>256</v>
      </c>
      <c r="AQ14" s="72" t="s" ph="1">
        <v>254</v>
      </c>
      <c r="AR14" s="72" t="s" ph="1">
        <v>255</v>
      </c>
      <c r="AS14" s="72" t="s" ph="1">
        <v>256</v>
      </c>
      <c r="AT14" s="72" t="s" ph="1">
        <v>254</v>
      </c>
      <c r="AU14" s="72" t="s" ph="1">
        <v>255</v>
      </c>
      <c r="AV14" s="72" t="s" ph="1">
        <v>256</v>
      </c>
      <c r="AW14" s="72" t="s" ph="1">
        <v>254</v>
      </c>
      <c r="AX14" s="72" t="s" ph="1">
        <v>255</v>
      </c>
      <c r="AY14" s="72" t="s" ph="1">
        <v>256</v>
      </c>
      <c r="AZ14" s="72" t="s" ph="1">
        <v>255</v>
      </c>
    </row>
    <row r="15" spans="1:99" ph="1">
      <c r="B15" s="214" ph="1">
        <v>0.33333333333333331</v>
      </c>
      <c r="C15" s="151" t="s" ph="1">
        <v>211</v>
      </c>
      <c r="D15" s="78">
        <v>2620</v>
      </c>
      <c r="E15" s="78">
        <v>74</v>
      </c>
      <c r="F15" s="78">
        <v>1695</v>
      </c>
      <c r="G15" s="78">
        <v>2383</v>
      </c>
      <c r="H15" s="78">
        <v>2869</v>
      </c>
      <c r="I15" s="78">
        <v>8</v>
      </c>
      <c r="J15" s="78">
        <v>392</v>
      </c>
      <c r="K15" s="78">
        <v>2644</v>
      </c>
      <c r="L15" s="78">
        <v>5226</v>
      </c>
      <c r="M15" s="78">
        <v>462</v>
      </c>
      <c r="N15" s="78">
        <v>1531</v>
      </c>
      <c r="O15" s="78">
        <v>235</v>
      </c>
      <c r="P15" s="78">
        <v>1101</v>
      </c>
      <c r="Q15" s="78">
        <v>2710</v>
      </c>
      <c r="R15" s="78">
        <v>3490</v>
      </c>
      <c r="S15" s="78">
        <v>5609</v>
      </c>
      <c r="T15" s="78">
        <v>6672</v>
      </c>
      <c r="U15" s="78">
        <v>2610</v>
      </c>
      <c r="V15" s="78">
        <v>-1640</v>
      </c>
      <c r="W15" s="78">
        <v>-594</v>
      </c>
      <c r="X15" s="78">
        <v>944</v>
      </c>
      <c r="Y15" s="106">
        <v>-9901</v>
      </c>
      <c r="Z15" s="78">
        <v>0</v>
      </c>
      <c r="AA15" s="78">
        <v>28</v>
      </c>
      <c r="AB15" s="78" ph="1">
        <v>6274</v>
      </c>
      <c r="AC15" s="78" ph="1">
        <v>6497</v>
      </c>
      <c r="AD15" s="78">
        <v>63.56</v>
      </c>
      <c r="AE15" s="78">
        <v>5.62</v>
      </c>
      <c r="AG15" s="64" t="s" ph="1">
        <v>258</v>
      </c>
      <c r="AH15" s="64" ph="1">
        <v>1</v>
      </c>
      <c r="AI15" s="64" t="s" ph="1">
        <v>377</v>
      </c>
      <c r="AK15" s="64" t="s" ph="1">
        <v>631</v>
      </c>
      <c r="AM15" s="64" t="s" ph="1">
        <v>379</v>
      </c>
      <c r="AZ15" s="64" t="s" ph="1">
        <v>260</v>
      </c>
      <c r="BA15" s="64" ph="1">
        <v>0</v>
      </c>
    </row>
    <row r="16" spans="1:99" s="72" customFormat="1" ht="22.5" ph="1">
      <c r="B16" s="215" ph="1"/>
      <c r="C16" s="151" t="s" ph="1">
        <v>212</v>
      </c>
      <c r="D16" s="73" ph="1">
        <f>D15*7.0686*LOOKUP(D17,密度!$A$2:$A$50,密度!$L$2:$L$50)</f>
        <v>17538.186203999998</v>
      </c>
      <c r="E16" s="73" ph="1">
        <f>E15*7.0686*LOOKUP(E17,密度!$A$2:$A$50,密度!$L$2:$L$50)</f>
        <v>495.35335079999999</v>
      </c>
      <c r="F16" s="73" ph="1">
        <f>F15*9.0746*LOOKUP(F17,密度!$A$2:$A$50,密度!$L$2:$L$50)</f>
        <v>14566.230308999999</v>
      </c>
      <c r="G16" s="73" ph="1">
        <f>G15*9.0746*LOOKUP(G17,密度!$A$2:$A$50,密度!$B$2:$B$50)</f>
        <v>17040.320178400001</v>
      </c>
      <c r="H16" s="73" ph="1">
        <f>H15*9.0746*LOOKUP(H17,密度!$A$2:$A$50,密度!$L$2:$L$50)</f>
        <v>24681.205975199999</v>
      </c>
      <c r="I16" s="73" ph="1">
        <f>I15*9.0746*LOOKUP(I17,密度!$A$2:$A$50,密度!$U$2:$U$50)</f>
        <v>74.629510400000001</v>
      </c>
      <c r="J16" s="73" ph="1">
        <f>J15*9.0746*LOOKUP(J17,密度!$A$2:$A$50,密度!$L$2:$L$50)</f>
        <v>3368.7093103999996</v>
      </c>
      <c r="K16" s="73" ph="1">
        <f>K15*9.0746*LOOKUP(K17,密度!$A$2:$A$50,密度!$C$2:$C$50)</f>
        <v>26790.854463840002</v>
      </c>
      <c r="L16" s="73" ph="1">
        <f>L15*9.0746*LOOKUP(L17,密度!$A$2:$A$50,密度!$E$2:$E$50)</f>
        <v>37687.74122412</v>
      </c>
      <c r="M16" s="73" ph="1">
        <f>M15*9.0746*LOOKUP(M17,密度!$A$2:$A$50,密度!$M$2:$M$50)</f>
        <v>3690.6271155600002</v>
      </c>
      <c r="N16" s="73" ph="1">
        <f>N15*9.0746*LOOKUP(N17,密度!$A$2:$A$50,密度!$M$2:$M$50)</f>
        <v>12230.19505178</v>
      </c>
      <c r="O16" s="73" ph="1">
        <f>O15*9.0746*LOOKUP(O17,密度!$A$2:$A$50,密度!$G$2:$G$50)</f>
        <v>2071.1141072</v>
      </c>
      <c r="P16" s="73" ph="1">
        <f ca="1">P15*9.0746*LOOKUP(P17,密度!$A$2:$A$51,密度!$Q$2:$Q$50)</f>
        <v>9536.9376210840001</v>
      </c>
      <c r="Q16" s="73" ph="1">
        <f>Q15*9.0746*LOOKUP(Q17,密度!$A$2:$A$50,密度!$Q$2:$Q$50)</f>
        <v>23474.206133640004</v>
      </c>
      <c r="R16" s="73" ph="1">
        <f>MAX(R15*9.0746*LOOKUP(R17,密度!$A$2:$A$50,密度!$B$2:$B$50),0)</f>
        <v>24883.397137799999</v>
      </c>
      <c r="S16" s="73" ph="1">
        <f>S15*9.0746*LOOKUP(S17,密度!$A$2:$A$50,密度!$Q$2:$Q$50)</f>
        <v>48585.543248556001</v>
      </c>
      <c r="T16" s="73" ph="1">
        <f>T15*9.0746*LOOKUP(T17,密度!$A$2:$A$50,密度!$O$2:$O$50)</f>
        <v>56549.712940800004</v>
      </c>
      <c r="U16" s="73" ph="1">
        <f>U15*9.0746*LOOKUP(U17,密度!$A$2:$A$50,密度!$H$2:$H$50)</f>
        <v>21924.932344200002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215.4641142240007</v>
      </c>
      <c r="X16" s="73" ph="1">
        <f>MAX(5600*LOOKUP(X17,密度!$A$2:$A$50,密度!$I$2:$I$50)+X15*9.0476*LOOKUP(X17,密度!$A$2:$A$50,密度!$I$2:$I$50),0)</f>
        <v>14580.293231807998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200.45065432000001</v>
      </c>
      <c r="AB16" s="73" ph="1">
        <f>AB15*9.0746*LOOKUP(AB17,密度!$A$2:$A$50,密度!$L$2:$L$50)</f>
        <v>53859.602218399996</v>
      </c>
      <c r="AC16" s="73" ph="1">
        <f>AC15*9.0746*LOOKUP(AC17,密度!$A$2:$A$50,密度!$L$2:$L$50)</f>
        <v>55950.834713799995</v>
      </c>
      <c r="AD16" s="73" ph="1">
        <f>AD15*268.68*LOOKUP(AD17,密度!$A$2:$A$50,密度!B2:B50)+IF(AD15&lt;=0,0,1566*LOOKUP(AD17,密度!$A$2:$A$50,密度!B2:B50))</f>
        <v>14534.31730368</v>
      </c>
      <c r="AE16" s="73" ph="1">
        <f>AE15*268.68*LOOKUP(AE17,密度!$A$2:$A$50,密度!B2:B50)+IF(AE15&lt;=0,0,1566*LOOKUP(AE17,密度!$A$2:$A$50,密度!B2:B50))</f>
        <v>2398.0352553599996</v>
      </c>
      <c r="AH16" s="72" ph="1">
        <v>2</v>
      </c>
      <c r="AI16" s="72" t="s" ph="1">
        <v>381</v>
      </c>
      <c r="AZ16" s="72" t="s" ph="1">
        <v>260</v>
      </c>
      <c r="BA16" s="72" ph="1">
        <v>0</v>
      </c>
    </row>
    <row r="17" spans="1:57" ph="1">
      <c r="A17" s="64" t="s" ph="1">
        <v>85</v>
      </c>
      <c r="B17" s="216" ph="1"/>
      <c r="C17" s="79" t="s" ph="1">
        <v>213</v>
      </c>
      <c r="D17" s="74">
        <v>15</v>
      </c>
      <c r="E17" s="74">
        <v>15</v>
      </c>
      <c r="F17" s="74">
        <v>15</v>
      </c>
      <c r="G17" s="74">
        <v>15</v>
      </c>
      <c r="H17" s="74">
        <v>14</v>
      </c>
      <c r="I17" s="74">
        <v>14</v>
      </c>
      <c r="J17" s="74">
        <v>15</v>
      </c>
      <c r="K17" s="74">
        <v>14</v>
      </c>
      <c r="L17" s="74">
        <v>15</v>
      </c>
      <c r="M17" s="74">
        <v>15</v>
      </c>
      <c r="N17" s="74">
        <v>14</v>
      </c>
      <c r="O17" s="74">
        <v>15</v>
      </c>
      <c r="P17" s="74">
        <v>14</v>
      </c>
      <c r="Q17" s="74">
        <v>15</v>
      </c>
      <c r="R17" s="74">
        <v>18</v>
      </c>
      <c r="S17" s="74">
        <v>15</v>
      </c>
      <c r="T17" s="74">
        <v>14</v>
      </c>
      <c r="U17" s="74">
        <v>14</v>
      </c>
      <c r="V17" s="74">
        <v>15</v>
      </c>
      <c r="W17" s="74">
        <v>15</v>
      </c>
      <c r="X17" s="74">
        <v>35</v>
      </c>
      <c r="Y17" s="108">
        <v>35</v>
      </c>
      <c r="Z17" s="74">
        <v>15</v>
      </c>
      <c r="AA17" s="74">
        <v>14</v>
      </c>
      <c r="AB17" s="74">
        <v>16</v>
      </c>
      <c r="AC17" s="74">
        <v>13</v>
      </c>
      <c r="AD17" s="74">
        <v>25</v>
      </c>
      <c r="AE17" s="74">
        <v>25</v>
      </c>
      <c r="AH17" s="64" ph="1">
        <v>3</v>
      </c>
      <c r="AI17" s="64" t="s" ph="1">
        <v>382</v>
      </c>
      <c r="AK17" s="64" t="s" ph="1">
        <v>614</v>
      </c>
      <c r="AL17" s="64" ph="1">
        <v>80</v>
      </c>
      <c r="AM17" s="64" t="s" ph="1">
        <v>379</v>
      </c>
      <c r="AZ17" s="64" t="s" ph="1">
        <v>260</v>
      </c>
      <c r="BA17" s="64" ph="1">
        <v>80</v>
      </c>
      <c r="BD17" s="64" t="s" ph="1">
        <v>258</v>
      </c>
      <c r="BE17" s="64" ph="1">
        <v>2270</v>
      </c>
    </row>
    <row r="18" spans="1:57" ph="1">
      <c r="B18" s="214" ph="1">
        <v>0.66666666666666663</v>
      </c>
      <c r="C18" s="79" t="s" ph="1">
        <v>214</v>
      </c>
      <c r="D18" s="71">
        <v>1040</v>
      </c>
      <c r="E18" s="71">
        <v>72</v>
      </c>
      <c r="F18" s="71">
        <v>1695</v>
      </c>
      <c r="G18" s="71">
        <v>2336</v>
      </c>
      <c r="H18" s="71">
        <v>2871</v>
      </c>
      <c r="I18" s="71">
        <v>4</v>
      </c>
      <c r="J18" s="71">
        <v>390</v>
      </c>
      <c r="K18" s="71">
        <v>1848</v>
      </c>
      <c r="L18" s="71">
        <v>5236</v>
      </c>
      <c r="M18" s="71">
        <v>463</v>
      </c>
      <c r="N18" s="71">
        <v>1531</v>
      </c>
      <c r="O18" s="71">
        <v>227</v>
      </c>
      <c r="P18" s="71">
        <v>1099</v>
      </c>
      <c r="Q18" s="71">
        <v>2718</v>
      </c>
      <c r="R18" s="71">
        <v>3495</v>
      </c>
      <c r="S18" s="71">
        <v>5614</v>
      </c>
      <c r="T18" s="71">
        <v>5778</v>
      </c>
      <c r="U18" s="71">
        <v>2609</v>
      </c>
      <c r="V18" s="71">
        <v>-1642</v>
      </c>
      <c r="W18" s="71">
        <v>-596</v>
      </c>
      <c r="X18" s="71">
        <v>939</v>
      </c>
      <c r="Y18" s="109">
        <v>-9901</v>
      </c>
      <c r="Z18" s="71">
        <v>0</v>
      </c>
      <c r="AA18" s="71">
        <v>25</v>
      </c>
      <c r="AB18" s="71">
        <v>3510</v>
      </c>
      <c r="AC18" s="71">
        <v>6506</v>
      </c>
      <c r="AD18" s="71">
        <v>84.65</v>
      </c>
      <c r="AE18" s="71">
        <v>10.46</v>
      </c>
      <c r="AH18" s="64" ph="1">
        <v>4</v>
      </c>
      <c r="AI18" s="64" t="s" ph="1">
        <v>384</v>
      </c>
      <c r="AJ18" s="64" t="s" ph="1">
        <v>632</v>
      </c>
      <c r="AK18" s="64" t="s" ph="1">
        <v>631</v>
      </c>
      <c r="AL18" s="64" ph="1">
        <v>740</v>
      </c>
      <c r="AM18" s="64" t="s" ph="1">
        <v>383</v>
      </c>
      <c r="AZ18" s="64" t="s" ph="1">
        <v>260</v>
      </c>
      <c r="BA18" s="64" ph="1">
        <v>740</v>
      </c>
    </row>
    <row r="19" spans="1:57" s="72" customFormat="1" ht="22.5" ph="1">
      <c r="B19" s="215" ph="1"/>
      <c r="C19" s="151" t="s" ph="1">
        <v>212</v>
      </c>
      <c r="D19" s="73" ph="1">
        <f>D18*7.0686*LOOKUP(D20,密度!$A$2:$A$50,密度!$L$2:$L$50)</f>
        <v>6947.0200799999993</v>
      </c>
      <c r="E19" s="73" ph="1">
        <f>E18*7.0686*LOOKUP(E20,密度!$A$2:$A$50,密度!$L$2:$L$50)</f>
        <v>480.94754399999999</v>
      </c>
      <c r="F19" s="73" ph="1">
        <f>F18*9.0746*LOOKUP(F20,密度!$A$2:$A$50,密度!$L$2:$L$50)</f>
        <v>14535.467414999999</v>
      </c>
      <c r="G19" s="73" ph="1">
        <f>G18*9.0746*LOOKUP(G20,密度!$A$2:$A$50,密度!$B$2:$B$50)</f>
        <v>16670.316067839998</v>
      </c>
      <c r="H19" s="73" ph="1">
        <f>H18*9.0746*LOOKUP(H20,密度!$A$2:$A$50,密度!$L$2:$L$50)</f>
        <v>24672.358240199999</v>
      </c>
      <c r="I19" s="73" ph="1">
        <f>I18*9.0746*LOOKUP(I20,密度!$A$2:$A$50,密度!$U$2:$U$50)</f>
        <v>37.3147552</v>
      </c>
      <c r="J19" s="73" ph="1">
        <f>J18*9.0746*LOOKUP(J20,密度!$A$2:$A$50,密度!$L$2:$L$50)</f>
        <v>3333.826548</v>
      </c>
      <c r="K19" s="73" ph="1">
        <f>K18*9.0746*LOOKUP(K20,密度!$A$2:$A$50,密度!$C$2:$C$50)</f>
        <v>18679.947945120002</v>
      </c>
      <c r="L19" s="73" ph="1">
        <f>L18*9.0746*LOOKUP(L20,密度!$A$2:$A$50,密度!$E$2:$E$50)</f>
        <v>37655.324937999998</v>
      </c>
      <c r="M19" s="73" ph="1">
        <f>M18*9.0746*LOOKUP(M20,密度!$A$2:$A$50,密度!$M$2:$M$50)</f>
        <v>3688.9519444000002</v>
      </c>
      <c r="N19" s="73" ph="1">
        <f>N18*9.0746*LOOKUP(N20,密度!$A$2:$A$50,密度!$M$2:$M$50)</f>
        <v>12230.19505178</v>
      </c>
      <c r="O19" s="73" ph="1">
        <f>O18*9.0746*LOOKUP(O20,密度!$A$2:$A$50,密度!$G$2:$G$50)</f>
        <v>1987.6305095800001</v>
      </c>
      <c r="P19" s="73" ph="1">
        <f ca="1">P18*9.0746*LOOKUP(P20,密度!$A$2:$A$51,密度!$Q$2:$Q$50)</f>
        <v>9441.8241975959991</v>
      </c>
      <c r="Q19" s="73" ph="1">
        <f>Q18*9.0746*LOOKUP(Q20,密度!$A$2:$A$50,密度!$Q$2:$Q$50)</f>
        <v>23500.58599584</v>
      </c>
      <c r="R19" s="73" ph="1">
        <f>MAX(R18*9.0746*LOOKUP(R20,密度!$A$2:$A$50,密度!$B$2:$B$50),0)</f>
        <v>24868.301540700002</v>
      </c>
      <c r="S19" s="73" ph="1">
        <f>S18*9.0746*LOOKUP(S20,密度!$A$2:$A$50,密度!$Q$2:$Q$50)</f>
        <v>48540.209632320002</v>
      </c>
      <c r="T19" s="73" ph="1">
        <f>T18*9.0746*LOOKUP(T20,密度!$A$2:$A$50,密度!$O$2:$O$50)</f>
        <v>48972.458239200001</v>
      </c>
      <c r="U19" s="73" ph="1">
        <f>U18*9.0746*LOOKUP(U20,密度!$A$2:$A$50,密度!$H$2:$H$50)</f>
        <v>21869.180724180002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197.32777955200072</v>
      </c>
      <c r="X19" s="73" ph="1">
        <f>MAX(5600*LOOKUP(X20,密度!$A$2:$A$50,密度!$I$2:$I$50)+X18*9.0476*LOOKUP(X20,密度!$A$2:$A$50,密度!$I$2:$I$50),0)</f>
        <v>14564.942133156001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178.40663599999999</v>
      </c>
      <c r="AB19" s="73" ph="1">
        <f>AB18*9.0746*LOOKUP(AB20,密度!$A$2:$A$50,密度!$L$2:$L$50)</f>
        <v>30068.142624</v>
      </c>
      <c r="AC19" s="73" ph="1">
        <f>AC18*9.0746*LOOKUP(AC20,密度!$A$2:$A$50,密度!$L$2:$L$50)</f>
        <v>55792.183482</v>
      </c>
      <c r="AD19" s="73" ph="1">
        <f>AD18*268.68*LOOKUP(AD20,密度!$A$2:$A$50,密度!B5:B53)+IF(AD18&lt;=0,0,1566*LOOKUP(AD20,密度!$A$2:$A$50,密度!B5:B53))</f>
        <v>18888.685074000001</v>
      </c>
      <c r="AE19" s="73" ph="1">
        <f>AE18*268.68*LOOKUP(AE20,密度!$A$2:$A$50,密度!B5:B53)+IF(AE18&lt;=0,0,1566*LOOKUP(AE20,密度!$A$2:$A$50,密度!B5:B53))</f>
        <v>3400.4572055999997</v>
      </c>
      <c r="AH19" s="72" ph="1">
        <v>5</v>
      </c>
      <c r="AI19" s="72" t="s" ph="1">
        <v>385</v>
      </c>
      <c r="AZ19" s="72" t="s" ph="1">
        <v>260</v>
      </c>
      <c r="BA19" s="72" ph="1">
        <v>0</v>
      </c>
      <c r="BD19" s="72" t="s" ph="1">
        <v>386</v>
      </c>
      <c r="BE19" s="72" ph="1">
        <v>1440</v>
      </c>
    </row>
    <row r="20" spans="1:57" ph="1">
      <c r="A20" s="72" ph="1"/>
      <c r="B20" s="215" ph="1"/>
      <c r="C20" s="80" t="s" ph="1">
        <v>213</v>
      </c>
      <c r="D20" s="81">
        <v>17</v>
      </c>
      <c r="E20" s="81">
        <v>17</v>
      </c>
      <c r="F20" s="81">
        <v>17</v>
      </c>
      <c r="G20" s="81">
        <v>17</v>
      </c>
      <c r="H20" s="81">
        <v>15</v>
      </c>
      <c r="I20" s="81">
        <v>18</v>
      </c>
      <c r="J20" s="81">
        <v>20</v>
      </c>
      <c r="K20" s="81">
        <v>18</v>
      </c>
      <c r="L20" s="81">
        <v>17</v>
      </c>
      <c r="M20" s="81">
        <v>22</v>
      </c>
      <c r="N20" s="81">
        <v>18</v>
      </c>
      <c r="O20" s="81">
        <v>21</v>
      </c>
      <c r="P20" s="81">
        <v>25</v>
      </c>
      <c r="Q20" s="81">
        <v>17</v>
      </c>
      <c r="R20" s="81">
        <v>20</v>
      </c>
      <c r="S20" s="81">
        <v>17</v>
      </c>
      <c r="T20" s="81">
        <v>19</v>
      </c>
      <c r="U20" s="81">
        <v>16</v>
      </c>
      <c r="V20" s="81">
        <v>20</v>
      </c>
      <c r="W20" s="81">
        <v>20</v>
      </c>
      <c r="X20" s="81">
        <v>33</v>
      </c>
      <c r="Y20" s="110">
        <v>33</v>
      </c>
      <c r="Z20" s="81">
        <v>28</v>
      </c>
      <c r="AA20" s="81">
        <v>17</v>
      </c>
      <c r="AB20" s="81">
        <v>18</v>
      </c>
      <c r="AC20" s="81">
        <v>17</v>
      </c>
      <c r="AD20" s="81">
        <v>25</v>
      </c>
      <c r="AE20" s="81">
        <v>25</v>
      </c>
      <c r="AH20" s="64" ph="1">
        <v>6</v>
      </c>
      <c r="AI20" s="64" t="s" ph="1">
        <v>387</v>
      </c>
      <c r="AZ20" s="64" t="s" ph="1">
        <v>260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388</v>
      </c>
      <c r="AZ21" s="64" t="s" ph="1">
        <v>260</v>
      </c>
      <c r="BA21" s="64" ph="1">
        <v>0</v>
      </c>
      <c r="BD21" s="64" t="s" ph="1">
        <v>276</v>
      </c>
      <c r="BE21" s="64" ph="1">
        <v>730</v>
      </c>
    </row>
    <row r="22" spans="1:57" ph="1">
      <c r="A22" s="72" ph="1"/>
      <c r="B22" s="213" t="s" ph="1">
        <v>37</v>
      </c>
      <c r="C22" s="85" t="s" ph="1">
        <v>210</v>
      </c>
      <c r="D22" s="86" t="s" ph="1">
        <v>104</v>
      </c>
      <c r="E22" s="86" t="s" ph="1">
        <v>105</v>
      </c>
      <c r="F22" s="86" t="s" ph="1">
        <v>106</v>
      </c>
      <c r="G22" s="86" t="s" ph="1">
        <v>107</v>
      </c>
      <c r="H22" s="86" t="s" ph="1">
        <v>108</v>
      </c>
      <c r="I22" s="86" t="s" ph="1">
        <v>109</v>
      </c>
      <c r="J22" s="86" t="s" ph="1">
        <v>110</v>
      </c>
      <c r="K22" s="86" t="s" ph="1">
        <v>111</v>
      </c>
      <c r="L22" s="86" t="s" ph="1">
        <v>112</v>
      </c>
      <c r="M22" s="86" t="s" ph="1">
        <v>113</v>
      </c>
      <c r="N22" s="86" t="s" ph="1">
        <v>114</v>
      </c>
      <c r="O22" s="86" t="s" ph="1">
        <v>115</v>
      </c>
      <c r="P22" s="86" t="s" ph="1">
        <v>116</v>
      </c>
      <c r="Q22" s="87" t="s" ph="1">
        <v>117</v>
      </c>
      <c r="R22" s="86" t="s" ph="1">
        <v>118</v>
      </c>
      <c r="S22" s="86" t="s" ph="1">
        <v>119</v>
      </c>
      <c r="T22" s="86" t="s" ph="1">
        <v>120</v>
      </c>
      <c r="U22" s="86" t="s" ph="1">
        <v>121</v>
      </c>
      <c r="V22" s="86" t="s" ph="1">
        <v>122</v>
      </c>
      <c r="W22" s="86" t="s" ph="1">
        <v>123</v>
      </c>
      <c r="X22" s="86" t="s" ph="1">
        <v>124</v>
      </c>
      <c r="Y22" s="86" t="s" ph="1">
        <v>126</v>
      </c>
      <c r="Z22" s="223" t="s" ph="1">
        <v>79</v>
      </c>
      <c r="AA22" s="224"/>
      <c r="AB22" s="224"/>
      <c r="AC22" s="224"/>
      <c r="AD22" s="224"/>
      <c r="AE22" s="225"/>
      <c r="AH22" s="64" ph="1">
        <v>8</v>
      </c>
      <c r="AI22" s="64" t="s" ph="1">
        <v>389</v>
      </c>
      <c r="AZ22" s="64" t="s" ph="1">
        <v>260</v>
      </c>
      <c r="BA22" s="64" ph="1">
        <v>0</v>
      </c>
    </row>
    <row r="23" spans="1:57" ph="1">
      <c r="A23" s="72" ph="1"/>
      <c r="B23" s="217" ph="1"/>
      <c r="C23" s="67" t="s" ph="1">
        <v>36</v>
      </c>
      <c r="D23" s="88" t="s" ph="1">
        <v>128</v>
      </c>
      <c r="E23" s="88" t="s" ph="1">
        <v>125</v>
      </c>
      <c r="F23" s="88" t="s" ph="1">
        <v>224</v>
      </c>
      <c r="G23" s="88" t="s" ph="1">
        <v>165</v>
      </c>
      <c r="H23" s="88" t="s" ph="1">
        <v>165</v>
      </c>
      <c r="I23" s="88" t="s" ph="1">
        <v>166</v>
      </c>
      <c r="J23" s="88" t="s" ph="1">
        <v>167</v>
      </c>
      <c r="K23" s="88" t="s" ph="1">
        <v>129</v>
      </c>
      <c r="L23" s="88" t="s" ph="1">
        <v>129</v>
      </c>
      <c r="M23" s="88" t="s" ph="1">
        <v>167</v>
      </c>
      <c r="N23" s="88" t="s" ph="1">
        <v>167</v>
      </c>
      <c r="O23" s="88" t="s" ph="1">
        <v>132</v>
      </c>
      <c r="P23" s="88" t="s" ph="1">
        <v>168</v>
      </c>
      <c r="Q23" s="89" t="s" ph="1">
        <v>168</v>
      </c>
      <c r="R23" s="88" t="s" ph="1">
        <v>169</v>
      </c>
      <c r="S23" s="88" t="s" ph="1">
        <v>170</v>
      </c>
      <c r="T23" s="88" t="s" ph="1">
        <v>651</v>
      </c>
      <c r="U23" s="88" t="s" ph="1">
        <v>660</v>
      </c>
      <c r="V23" s="88" t="s" ph="1">
        <v>172</v>
      </c>
      <c r="W23" s="88" t="s" ph="1">
        <v>170</v>
      </c>
      <c r="X23" s="88" t="s" ph="1">
        <v>231</v>
      </c>
      <c r="Y23" s="88" t="s" ph="1">
        <v>97</v>
      </c>
      <c r="Z23" s="226" t="s" ph="1">
        <v>658</v>
      </c>
      <c r="AA23" s="227"/>
      <c r="AB23" s="227"/>
      <c r="AC23" s="227"/>
      <c r="AD23" s="227"/>
      <c r="AE23" s="228"/>
      <c r="AH23" s="64" ph="1">
        <v>9</v>
      </c>
      <c r="AI23" s="64" t="s" ph="1">
        <v>390</v>
      </c>
      <c r="AZ23" s="64" t="s" ph="1">
        <v>260</v>
      </c>
      <c r="BA23" s="64" ph="1">
        <v>0</v>
      </c>
      <c r="BD23" s="64" t="s" ph="1">
        <v>282</v>
      </c>
      <c r="BE23" s="64" ph="1">
        <v>890</v>
      </c>
    </row>
    <row r="24" spans="1:57" ph="1">
      <c r="A24" s="72" ph="1"/>
      <c r="B24" s="235" ph="1">
        <v>0.33333333333333331</v>
      </c>
      <c r="C24" s="151" t="s" ph="1">
        <v>211</v>
      </c>
      <c r="D24" s="71">
        <v>44.21</v>
      </c>
      <c r="E24" s="71">
        <v>91.12</v>
      </c>
      <c r="F24" s="71">
        <v>2149</v>
      </c>
      <c r="G24" s="71">
        <v>3343</v>
      </c>
      <c r="H24" s="71">
        <v>1096</v>
      </c>
      <c r="I24" s="71">
        <v>2534</v>
      </c>
      <c r="J24" s="71">
        <v>2449</v>
      </c>
      <c r="K24" s="71">
        <v>5607</v>
      </c>
      <c r="L24" s="71">
        <v>5580</v>
      </c>
      <c r="M24" s="71">
        <v>1383</v>
      </c>
      <c r="N24" s="71">
        <v>868</v>
      </c>
      <c r="O24" s="71">
        <v>2058</v>
      </c>
      <c r="P24" s="71">
        <v>2480</v>
      </c>
      <c r="Q24" s="90">
        <v>1362</v>
      </c>
      <c r="R24" s="71">
        <v>3375</v>
      </c>
      <c r="S24" s="71">
        <v>2646</v>
      </c>
      <c r="T24" s="71">
        <v>6386</v>
      </c>
      <c r="U24" s="71">
        <v>5069</v>
      </c>
      <c r="V24" s="71">
        <v>396</v>
      </c>
      <c r="W24" s="71">
        <v>7144</v>
      </c>
      <c r="X24" s="71">
        <v>10701</v>
      </c>
      <c r="Y24" s="71">
        <v>4126</v>
      </c>
      <c r="Z24" s="229"/>
      <c r="AA24" s="230"/>
      <c r="AB24" s="230"/>
      <c r="AC24" s="230"/>
      <c r="AD24" s="230"/>
      <c r="AE24" s="231"/>
      <c r="AH24" s="64" ph="1">
        <v>10</v>
      </c>
      <c r="AI24" s="64" t="s" ph="1">
        <v>391</v>
      </c>
      <c r="AZ24" s="64" t="s" ph="1">
        <v>260</v>
      </c>
      <c r="BA24" s="64" ph="1">
        <v>0</v>
      </c>
    </row>
    <row r="25" spans="1:57" ph="1">
      <c r="A25" s="72" ph="1"/>
      <c r="B25" s="235" ph="1"/>
      <c r="C25" s="68" t="s" ph="1">
        <v>212</v>
      </c>
      <c r="D25" s="91" ph="1">
        <f>D24*268.68*LOOKUP(D26,密度!$A$2:$A$50,密度!$Q$2:$Q$50)+IF(D24&lt;=0,0,1566*LOOKUP(D26,密度!$A$2:$A$50,密度!$Q$2:$Q$50))</f>
        <v>12728.297102472001</v>
      </c>
      <c r="E25" s="91" ph="1">
        <f>E24*268.68*LOOKUP(E26,密度!$A$2:$A$50,密度!$C$2:$C$50)+IF(E24&lt;=0,0,1566*LOOKUP(E26,密度!$A$2:$A$50,密度!$C$2:$C$50))</f>
        <v>28884.762042240003</v>
      </c>
      <c r="F25" s="91" ph="1">
        <f>F24*11.702*LOOKUP(F26,密度!$A$2:$A$50,密度!$Q$2:$Q$50)</f>
        <v>23980.749452799999</v>
      </c>
      <c r="G25" s="91" ph="1">
        <f>G24*18.322*LOOKUP(G26,密度!$A$2:$A$50,密度!$B$2:$B$50)</f>
        <v>48216.351091199998</v>
      </c>
      <c r="H25" s="91" ph="1">
        <f>H24*18.322*LOOKUP(H26,密度!$A$2:$A$50,密度!$B$2:$B$50)</f>
        <v>15823.758656000002</v>
      </c>
      <c r="I25" s="91" ph="1">
        <f>I24*18.322*LOOKUP(I26,密度!$A$2:$A$50,密度!$Q$2:$Q$50)</f>
        <v>44317.333483919996</v>
      </c>
      <c r="J25" s="91" ph="1">
        <f>J24*18.322*LOOKUP(J26,密度!$A$2:$A$50,密度!$Q$2:$Q$50)</f>
        <v>42830.761524120004</v>
      </c>
      <c r="K25" s="91" ph="1">
        <f>K24*18.322*LOOKUP(K26,密度!$A$2:$A$50,密度!$Q$2:$Q$50)</f>
        <v>97964.714534400002</v>
      </c>
      <c r="L25" s="91" ph="1">
        <f>L24*18.322*LOOKUP(L26,密度!$A$2:$A$50,密度!$Q$2:$Q$50)</f>
        <v>97492.974335999999</v>
      </c>
      <c r="M25" s="91" ph="1">
        <f>M24*18.322*LOOKUP(M26,密度!$A$2:$A$50,密度!$Q$2:$Q$50)</f>
        <v>24187.400240039999</v>
      </c>
      <c r="N25" s="91" ph="1">
        <f>N24*18.322*LOOKUP(N26,密度!$A$2:$A$50,密度!$Q$2:$Q$50)</f>
        <v>15180.52307184</v>
      </c>
      <c r="O25" s="91" ph="1">
        <f>O24*18.322*LOOKUP(O26,密度!$A$2:$A$50,密度!$C$2:$C$50)</f>
        <v>42073.109080799994</v>
      </c>
      <c r="P25" s="91" ph="1">
        <f>P24*11.702*LOOKUP(P26,密度!$A$2:$A$50,密度!$B$2:$B$50)</f>
        <v>22868.516480000002</v>
      </c>
      <c r="Q25" s="92" ph="1">
        <f>Q24*18.322*LOOKUP(Q26,密度!$A$2:$A$50,密度!$B$2:$B$50)</f>
        <v>19664.196432000001</v>
      </c>
      <c r="R25" s="91" ph="1">
        <f>R24*35.891*LOOKUP(R26,密度!$A$2:$A$50,密度!$C$2:$C$50)</f>
        <v>135256.130775</v>
      </c>
      <c r="S25" s="91" ph="1">
        <f>S24*35.891*LOOKUP(S26,密度!$A$2:$A$50,密度!$B$2:$B$50)</f>
        <v>74834.457767999993</v>
      </c>
      <c r="T25" s="91" ph="1">
        <f>T24*35.891*LOOKUP(T26,密度!$A$2:$A$50,密度!$Q$2:$Q$50)</f>
        <v>218780.49736404</v>
      </c>
      <c r="U25" s="91" ph="1">
        <f>U24*35.891</f>
        <v>181931.47899999999</v>
      </c>
      <c r="V25" s="91" ph="1">
        <f>V24*47.051*LOOKUP(V26,密度!$A$2:$A$50,密度!$B$2:$B$50)</f>
        <v>14698.939424400001</v>
      </c>
      <c r="W25" s="91" ph="1">
        <f>W24*47.051*LOOKUP(W26,密度!$A$2:$A$50,密度!$B$2:$B$50)</f>
        <v>264603.38119680004</v>
      </c>
      <c r="X25" s="91" ph="1">
        <f>X24*47.051*LOOKUP(X26,密度!$A$2:$A$50,密度!$I$2:$I$50)</f>
        <v>521437.23264563998</v>
      </c>
      <c r="Y25" s="91" ph="1">
        <f>Y24*47.051*LOOKUP(Y26,密度!$A$2:$A$50,密度!$L$2:$L$50)</f>
        <v>183455.14257</v>
      </c>
      <c r="Z25" s="229"/>
      <c r="AA25" s="230"/>
      <c r="AB25" s="230"/>
      <c r="AC25" s="230"/>
      <c r="AD25" s="230"/>
      <c r="AE25" s="231"/>
      <c r="AH25" s="64" ph="1">
        <v>11</v>
      </c>
      <c r="AI25" s="64" t="s" ph="1">
        <v>392</v>
      </c>
      <c r="AZ25" s="64" t="s" ph="1">
        <v>260</v>
      </c>
      <c r="BA25" s="64" ph="1">
        <v>0</v>
      </c>
      <c r="BD25" s="64" t="s" ph="1">
        <v>285</v>
      </c>
      <c r="BE25" s="64" ph="1">
        <v>8920</v>
      </c>
    </row>
    <row r="26" spans="1:57" ph="1">
      <c r="A26" s="72" ph="1"/>
      <c r="B26" s="235" ph="1"/>
      <c r="C26" s="68" t="s" ph="1">
        <v>213</v>
      </c>
      <c r="D26" s="74">
        <v>25</v>
      </c>
      <c r="E26" s="74">
        <v>25</v>
      </c>
      <c r="F26" s="74">
        <v>16</v>
      </c>
      <c r="G26" s="74">
        <v>16</v>
      </c>
      <c r="H26" s="74">
        <v>15</v>
      </c>
      <c r="I26" s="74">
        <v>15</v>
      </c>
      <c r="J26" s="74">
        <v>14</v>
      </c>
      <c r="K26" s="74">
        <v>16</v>
      </c>
      <c r="L26" s="74">
        <v>16</v>
      </c>
      <c r="M26" s="74">
        <v>14</v>
      </c>
      <c r="N26" s="74">
        <v>15</v>
      </c>
      <c r="O26" s="74">
        <v>15</v>
      </c>
      <c r="P26" s="74">
        <v>15</v>
      </c>
      <c r="Q26" s="93">
        <v>15</v>
      </c>
      <c r="R26" s="74">
        <v>14</v>
      </c>
      <c r="S26" s="74">
        <v>15</v>
      </c>
      <c r="T26" s="74">
        <v>13</v>
      </c>
      <c r="U26" s="74">
        <v>15</v>
      </c>
      <c r="V26" s="74">
        <v>14</v>
      </c>
      <c r="W26" s="74">
        <v>16</v>
      </c>
      <c r="X26" s="74">
        <v>56</v>
      </c>
      <c r="Y26" s="74">
        <v>17</v>
      </c>
      <c r="Z26" s="229"/>
      <c r="AA26" s="230"/>
      <c r="AB26" s="230"/>
      <c r="AC26" s="230"/>
      <c r="AD26" s="230"/>
      <c r="AE26" s="231"/>
      <c r="AH26" s="64" ph="1">
        <v>12</v>
      </c>
      <c r="AI26" s="64" t="s" ph="1">
        <v>393</v>
      </c>
      <c r="AZ26" s="64" t="s" ph="1">
        <v>260</v>
      </c>
      <c r="BA26" s="64" ph="1">
        <v>0</v>
      </c>
    </row>
    <row r="27" spans="1:57" ph="1">
      <c r="A27" s="72" ph="1"/>
      <c r="B27" s="235" ph="1">
        <v>0.66666666666666663</v>
      </c>
      <c r="C27" s="151" t="s" ph="1">
        <v>214</v>
      </c>
      <c r="D27" s="71">
        <v>44.23</v>
      </c>
      <c r="E27" s="71">
        <v>91.05</v>
      </c>
      <c r="F27" s="71">
        <v>2150</v>
      </c>
      <c r="G27" s="71">
        <v>2840</v>
      </c>
      <c r="H27" s="71">
        <v>1091</v>
      </c>
      <c r="I27" s="71">
        <v>2531</v>
      </c>
      <c r="J27" s="71">
        <v>2446</v>
      </c>
      <c r="K27" s="71">
        <v>5606</v>
      </c>
      <c r="L27" s="71">
        <v>5576</v>
      </c>
      <c r="M27" s="71">
        <v>2588</v>
      </c>
      <c r="N27" s="71">
        <v>864</v>
      </c>
      <c r="O27" s="71">
        <v>2055</v>
      </c>
      <c r="P27" s="71">
        <v>2482</v>
      </c>
      <c r="Q27" s="90">
        <v>1727</v>
      </c>
      <c r="R27" s="71">
        <v>3372</v>
      </c>
      <c r="S27" s="71">
        <v>2644</v>
      </c>
      <c r="T27" s="71">
        <v>6388</v>
      </c>
      <c r="U27" s="71">
        <v>4751</v>
      </c>
      <c r="V27" s="71">
        <v>390</v>
      </c>
      <c r="W27" s="71">
        <v>6892</v>
      </c>
      <c r="X27" s="71">
        <v>10829</v>
      </c>
      <c r="Y27" s="71">
        <v>3070</v>
      </c>
      <c r="Z27" s="229"/>
      <c r="AA27" s="230"/>
      <c r="AB27" s="230"/>
      <c r="AC27" s="230"/>
      <c r="AD27" s="230"/>
      <c r="AE27" s="231"/>
      <c r="AH27" s="64" ph="1">
        <v>13</v>
      </c>
      <c r="AI27" s="64" t="s" ph="1">
        <v>394</v>
      </c>
      <c r="AZ27" s="64" t="s" ph="1">
        <v>260</v>
      </c>
      <c r="BA27" s="64" ph="1">
        <v>0</v>
      </c>
      <c r="BD27" s="64" t="s" ph="1">
        <v>339</v>
      </c>
      <c r="BE27" s="64" ph="1">
        <v>7100</v>
      </c>
    </row>
    <row r="28" spans="1:57" ph="1">
      <c r="A28" s="72" ph="1"/>
      <c r="B28" s="235" ph="1"/>
      <c r="C28" s="151" t="s" ph="1">
        <v>212</v>
      </c>
      <c r="D28" s="91" ph="1">
        <f>D27*268.68*LOOKUP(D29,密度!$A$2:$A$50,密度!$Q$2:$Q$50)+IF(D27&lt;=0,0,1566*LOOKUP(D29,密度!$A$2:$A$50,密度!$Q$2:$Q$50))</f>
        <v>12733.384504535999</v>
      </c>
      <c r="E28" s="91" ph="1">
        <f>E27*268.68*LOOKUP(E29,密度!$A$2:$A$50,密度!$C$2:$C$50)+IF(E27&lt;=0,0,1566*LOOKUP(E29,密度!$A$2:$A$50,密度!$C$2:$C$50))</f>
        <v>28863.906294599998</v>
      </c>
      <c r="F28" s="91" ph="1">
        <f>F27*11.702*LOOKUP(F29,密度!$A$2:$A$50,密度!$Q$2:$Q$50)</f>
        <v>23951.905192999999</v>
      </c>
      <c r="G28" s="91" ph="1">
        <f>G27*18.322*LOOKUP(G29,密度!$A$2:$A$50,密度!$B$2:$B$50)</f>
        <v>40883.490935999995</v>
      </c>
      <c r="H28" s="91" ph="1">
        <f>H27*18.322*LOOKUP(H29,密度!$A$2:$A$50,密度!$B$2:$B$50)</f>
        <v>15719.5870928</v>
      </c>
      <c r="I28" s="91" ph="1">
        <f>I27*18.322*LOOKUP(I29,密度!$A$2:$A$50,密度!$Q$2:$Q$50)</f>
        <v>44184.177249599998</v>
      </c>
      <c r="J28" s="91" ph="1">
        <f>J27*18.322*LOOKUP(J29,密度!$A$2:$A$50,密度!$Q$2:$Q$50)</f>
        <v>42736.167603200003</v>
      </c>
      <c r="K28" s="91" ph="1">
        <f>K27*18.322*LOOKUP(K29,密度!$A$2:$A$50,密度!$Q$2:$Q$50)</f>
        <v>97783.928795319996</v>
      </c>
      <c r="L28" s="91" ph="1">
        <f>L27*18.322*LOOKUP(L29,密度!$A$2:$A$50,密度!$Q$2:$Q$50)</f>
        <v>97260.646978720004</v>
      </c>
      <c r="M28" s="91" ph="1">
        <f>M27*18.322*LOOKUP(M29,密度!$A$2:$A$50,密度!$Q$2:$Q$50)</f>
        <v>45217.171609599995</v>
      </c>
      <c r="N28" s="91" ph="1">
        <f>N27*18.322*LOOKUP(N29,密度!$A$2:$A$50,密度!$Q$2:$Q$50)</f>
        <v>15083.022182399998</v>
      </c>
      <c r="O28" s="91" ph="1">
        <f>O27*18.322*LOOKUP(O29,密度!$A$2:$A$50,密度!$C$2:$C$50)</f>
        <v>41962.830795000002</v>
      </c>
      <c r="P28" s="91" ph="1">
        <f>P27*11.702*LOOKUP(P29,密度!$A$2:$A$50,密度!$B$2:$B$50)</f>
        <v>22840.487849600002</v>
      </c>
      <c r="Q28" s="92" ph="1">
        <f>Q27*18.322*LOOKUP(Q29,密度!$A$2:$A$50,密度!$B$2:$B$50)</f>
        <v>24861.193255799997</v>
      </c>
      <c r="R28" s="91" ph="1">
        <f>R27*35.891*LOOKUP(R29,密度!$A$2:$A$50,密度!$C$2:$C$50)</f>
        <v>134966.46887039999</v>
      </c>
      <c r="S28" s="91" ph="1">
        <f>S27*35.891*LOOKUP(S29,密度!$A$2:$A$50,密度!$B$2:$B$50)</f>
        <v>74626.060265599997</v>
      </c>
      <c r="T28" s="91" ph="1">
        <f>T27*35.891*LOOKUP(T29,密度!$A$2:$A$50,密度!$Q$2:$Q$50)</f>
        <v>218633.5007488</v>
      </c>
      <c r="U28" s="91" ph="1">
        <f>U27*35.891</f>
        <v>170518.141</v>
      </c>
      <c r="V28" s="91" ph="1">
        <f>V27*47.051*LOOKUP(V29,密度!$A$2:$A$50,密度!$B$2:$B$50)</f>
        <v>14445.033407999999</v>
      </c>
      <c r="W28" s="91" ph="1">
        <f>W27*47.051*LOOKUP(W29,密度!$A$2:$A$50,密度!$B$2:$B$50)</f>
        <v>255010.24690880001</v>
      </c>
      <c r="X28" s="91" ph="1">
        <f>X27*47.051*LOOKUP(X29,密度!$A$2:$A$50,密度!$I$2:$I$50)</f>
        <v>527093.55612550001</v>
      </c>
      <c r="Y28" s="91" ph="1">
        <f>Y27*47.051*LOOKUP(Y29,密度!$A$2:$A$50,密度!$L$2:$L$50)</f>
        <v>136357.56208</v>
      </c>
      <c r="Z28" s="229"/>
      <c r="AA28" s="230"/>
      <c r="AB28" s="230"/>
      <c r="AC28" s="230"/>
      <c r="AD28" s="230"/>
      <c r="AE28" s="231"/>
      <c r="AH28" s="64" ph="1">
        <v>14</v>
      </c>
      <c r="AI28" s="64" t="s" ph="1">
        <v>395</v>
      </c>
      <c r="AZ28" s="64" t="s" ph="1">
        <v>260</v>
      </c>
      <c r="BA28" s="64" ph="1">
        <v>0</v>
      </c>
    </row>
    <row r="29" spans="1:57" ph="1">
      <c r="A29" s="72" ph="1"/>
      <c r="B29" s="235" ph="1"/>
      <c r="C29" s="151" t="s" ph="1">
        <v>213</v>
      </c>
      <c r="D29" s="74">
        <v>25</v>
      </c>
      <c r="E29" s="74">
        <v>25</v>
      </c>
      <c r="F29" s="74">
        <v>18</v>
      </c>
      <c r="G29" s="74">
        <v>18</v>
      </c>
      <c r="H29" s="74">
        <v>17</v>
      </c>
      <c r="I29" s="74">
        <v>17</v>
      </c>
      <c r="J29" s="74">
        <v>16</v>
      </c>
      <c r="K29" s="74">
        <v>18</v>
      </c>
      <c r="L29" s="74">
        <v>18</v>
      </c>
      <c r="M29" s="74">
        <v>16</v>
      </c>
      <c r="N29" s="74">
        <v>17</v>
      </c>
      <c r="O29" s="74">
        <v>17</v>
      </c>
      <c r="P29" s="74">
        <v>17</v>
      </c>
      <c r="Q29" s="93">
        <v>18</v>
      </c>
      <c r="R29" s="74">
        <v>16</v>
      </c>
      <c r="S29" s="74">
        <v>17</v>
      </c>
      <c r="T29" s="74">
        <v>16</v>
      </c>
      <c r="U29" s="74">
        <v>17</v>
      </c>
      <c r="V29" s="74">
        <v>16</v>
      </c>
      <c r="W29" s="74">
        <v>17</v>
      </c>
      <c r="X29" s="74">
        <v>48</v>
      </c>
      <c r="Y29" s="74">
        <v>18</v>
      </c>
      <c r="Z29" s="232"/>
      <c r="AA29" s="233"/>
      <c r="AB29" s="233"/>
      <c r="AC29" s="233"/>
      <c r="AD29" s="233"/>
      <c r="AE29" s="234"/>
      <c r="AH29" s="64" ph="1">
        <v>15</v>
      </c>
      <c r="AI29" s="64" t="s" ph="1">
        <v>396</v>
      </c>
      <c r="AZ29" s="64" t="s" ph="1">
        <v>260</v>
      </c>
      <c r="BA29" s="64" ph="1">
        <v>0</v>
      </c>
      <c r="BD29" s="64" t="s" ph="1">
        <v>397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398</v>
      </c>
      <c r="AZ30" s="64" t="s" ph="1">
        <v>260</v>
      </c>
      <c r="BA30" s="64" ph="1">
        <v>0</v>
      </c>
    </row>
    <row r="31" spans="1:57" ht="28.5" ph="1">
      <c r="A31" s="64"/>
      <c r="B31" s="218" t="s" ph="1">
        <v>35</v>
      </c>
      <c r="C31" s="219" ph="1"/>
      <c r="D31" s="222" t="s" ph="1">
        <v>9</v>
      </c>
      <c r="E31" s="197" ph="1"/>
      <c r="F31" s="198" ph="1"/>
      <c r="G31" s="222" t="s" ph="1">
        <v>18</v>
      </c>
      <c r="H31" s="197" ph="1"/>
      <c r="I31" s="198" ph="1"/>
      <c r="J31" s="196" t="s" ph="1">
        <v>1</v>
      </c>
      <c r="K31" s="197" ph="1"/>
      <c r="L31" s="198" ph="1"/>
      <c r="M31" s="196" t="s" ph="1">
        <v>7</v>
      </c>
      <c r="N31" s="197" ph="1"/>
      <c r="O31" s="198" ph="1"/>
      <c r="P31" s="196" t="s" ph="1">
        <v>42</v>
      </c>
      <c r="Q31" s="197"/>
      <c r="R31" s="198"/>
      <c r="S31" s="196" t="s" ph="1">
        <v>2</v>
      </c>
      <c r="T31" s="197"/>
      <c r="U31" s="198"/>
      <c r="V31" s="196" t="s" ph="1">
        <v>81</v>
      </c>
      <c r="W31" s="197" ph="1"/>
      <c r="X31" s="198" ph="1"/>
      <c r="Y31" s="196" t="s" ph="1">
        <v>3</v>
      </c>
      <c r="Z31" s="197" ph="1"/>
      <c r="AA31" s="198" ph="1"/>
      <c r="AB31" s="199" t="s">
        <v>43</v>
      </c>
      <c r="AC31" s="200"/>
      <c r="AD31" s="200"/>
      <c r="AE31" s="201"/>
      <c r="AH31" s="64" ph="1">
        <v>17</v>
      </c>
      <c r="AI31" s="64" t="s" ph="1">
        <v>399</v>
      </c>
      <c r="AZ31" s="64" t="s" ph="1">
        <v>260</v>
      </c>
      <c r="BA31" s="64" ph="1">
        <v>0</v>
      </c>
      <c r="BD31" s="64" t="s" ph="1">
        <v>400</v>
      </c>
      <c r="BE31" s="64" ph="1">
        <v>9310</v>
      </c>
    </row>
    <row r="32" spans="1:57" ph="1">
      <c r="A32" s="64"/>
      <c r="B32" s="220" ph="1"/>
      <c r="C32" s="221" ph="1"/>
      <c r="D32" s="96" t="s" ph="1">
        <v>4</v>
      </c>
      <c r="E32" s="151" t="s" ph="1">
        <v>5</v>
      </c>
      <c r="F32" s="150" t="s" ph="1">
        <v>44</v>
      </c>
      <c r="G32" s="97" t="s" ph="1">
        <v>4</v>
      </c>
      <c r="H32" s="151" t="s" ph="1">
        <v>5</v>
      </c>
      <c r="I32" s="150" t="s" ph="1">
        <v>44</v>
      </c>
      <c r="J32" s="97" t="s" ph="1">
        <v>4</v>
      </c>
      <c r="K32" s="151" t="s" ph="1">
        <v>5</v>
      </c>
      <c r="L32" s="150" t="s" ph="1">
        <v>44</v>
      </c>
      <c r="M32" s="97" t="s" ph="1">
        <v>4</v>
      </c>
      <c r="N32" s="151" t="s" ph="1">
        <v>5</v>
      </c>
      <c r="O32" s="150" t="s" ph="1">
        <v>44</v>
      </c>
      <c r="P32" s="97" t="s" ph="1">
        <v>4</v>
      </c>
      <c r="Q32" s="98" t="s" ph="1">
        <v>5</v>
      </c>
      <c r="R32" s="99" t="s" ph="1">
        <v>44</v>
      </c>
      <c r="S32" s="97" t="s" ph="1">
        <v>4</v>
      </c>
      <c r="T32" s="151" t="s" ph="1">
        <v>5</v>
      </c>
      <c r="U32" s="99" t="s" ph="1">
        <v>44</v>
      </c>
      <c r="V32" s="97" t="s" ph="1">
        <v>4</v>
      </c>
      <c r="W32" s="151" t="s" ph="1">
        <v>5</v>
      </c>
      <c r="X32" s="99" t="s" ph="1">
        <v>44</v>
      </c>
      <c r="Y32" s="100" t="s" ph="1">
        <v>4</v>
      </c>
      <c r="Z32" s="151" t="s" ph="1">
        <v>5</v>
      </c>
      <c r="AA32" s="150" t="s" ph="1">
        <v>44</v>
      </c>
      <c r="AB32" s="97" t="s" ph="1">
        <v>102</v>
      </c>
      <c r="AC32" s="151" t="s" ph="1">
        <v>101</v>
      </c>
      <c r="AD32" s="202" t="s" ph="1">
        <v>100</v>
      </c>
      <c r="AE32" s="203"/>
      <c r="AH32" s="64" ph="1">
        <v>18</v>
      </c>
      <c r="AI32" s="64" t="s" ph="1">
        <v>401</v>
      </c>
      <c r="AZ32" s="64" t="s" ph="1">
        <v>260</v>
      </c>
      <c r="BA32" s="64" ph="1">
        <v>0</v>
      </c>
    </row>
    <row r="33" spans="1:57" ph="1">
      <c r="A33" s="64"/>
      <c r="B33" s="204" t="s" ph="1">
        <v>215</v>
      </c>
      <c r="C33" s="205" ph="1"/>
      <c r="D33" s="184" ph="1">
        <f>AA10+AB10+Z19</f>
        <v>137947.8304486</v>
      </c>
      <c r="E33" s="184" ph="1">
        <f>M10+I10</f>
        <v>189805.77029399996</v>
      </c>
      <c r="F33" s="208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[[#This Row],[F25]]</f>
        <v>3880</v>
      </c>
      <c r="G33" s="210" ph="1">
        <v>0</v>
      </c>
      <c r="H33" s="184" ph="1">
        <f>N19</f>
        <v>12230.19505178</v>
      </c>
      <c r="I33" s="188" ph="1">
        <v>0</v>
      </c>
      <c r="J33" s="192" ph="1">
        <f>F10+O28</f>
        <v>205936.4527434</v>
      </c>
      <c r="K33" s="184" ph="1">
        <f>O10+K10+E28+R28</f>
        <v>284194.84773299994</v>
      </c>
      <c r="L33" s="194" ph="1">
        <f>BE27</f>
        <v>7100</v>
      </c>
      <c r="M33" s="192" ph="1">
        <f>G10+H10+W28+S28</f>
        <v>895787.46126040001</v>
      </c>
      <c r="N33" s="184" ph="1">
        <f>L10+P10++G28+H28+V28</f>
        <v>273282.83896080003</v>
      </c>
      <c r="O33" s="188" ph="1">
        <f>BE17</f>
        <v>2270</v>
      </c>
      <c r="P33" s="192" ph="1">
        <f>L19</f>
        <v>37655.324937999998</v>
      </c>
      <c r="Q33" s="184" ph="1">
        <f>J10+N10</f>
        <v>161895.39128430001</v>
      </c>
      <c r="R33" s="188" ph="1">
        <f>BE23</f>
        <v>890</v>
      </c>
      <c r="S33" s="192" ph="1">
        <f>E10+X28</f>
        <v>527093.55612550001</v>
      </c>
      <c r="T33" s="184" ph="1">
        <f>X19</f>
        <v>14564.942133156001</v>
      </c>
      <c r="U33" s="173" ph="1">
        <f>BE21</f>
        <v>730</v>
      </c>
      <c r="V33" s="186" ph="1">
        <f ca="1">P19+Q19+S19+M28+N28+J28</f>
        <v>184518.98122095599</v>
      </c>
      <c r="W33" s="186" ph="1">
        <f>D28+F28+V19+T28</f>
        <v>255318.790446336</v>
      </c>
      <c r="X33" s="188" ph="1">
        <f>BE29+BE31</f>
        <v>10200</v>
      </c>
      <c r="Y33" s="190" ph="1">
        <f>+Q10+R10+S10+T10+U10+V10+W10+X10+Y10</f>
        <v>181166.7972114</v>
      </c>
      <c r="Z33" s="171" ph="1">
        <f>D10+T19+U19+Y28+Z10</f>
        <v>378958.55028178002</v>
      </c>
      <c r="AA33" s="173" ph="1">
        <f>BE19</f>
        <v>1440</v>
      </c>
      <c r="AB33" s="175" ph="1">
        <f>I19</f>
        <v>37.3147552</v>
      </c>
      <c r="AC33" s="177" ph="1">
        <f>AD10</f>
        <v>4982.2257760000002</v>
      </c>
      <c r="AD33" s="179" ph="1">
        <v>0</v>
      </c>
      <c r="AE33" s="180"/>
      <c r="AH33" s="64" ph="1">
        <v>19</v>
      </c>
      <c r="AI33" s="64" t="s" ph="1">
        <v>402</v>
      </c>
      <c r="AJ33" s="64" t="s" ph="1">
        <v>636</v>
      </c>
      <c r="AK33" s="64" t="s" ph="1">
        <v>633</v>
      </c>
      <c r="AL33" s="64" ph="1">
        <v>730</v>
      </c>
      <c r="AM33" s="64" t="s" ph="1">
        <v>383</v>
      </c>
      <c r="AZ33" s="64" t="s" ph="1">
        <v>260</v>
      </c>
      <c r="BA33" s="64" ph="1">
        <v>730</v>
      </c>
      <c r="BD33" s="64" t="s" ph="1">
        <v>334</v>
      </c>
      <c r="BE33" s="64" ph="1">
        <v>3880</v>
      </c>
    </row>
    <row r="34" spans="1:57" ph="1">
      <c r="A34" s="64"/>
      <c r="B34" s="206" ph="1"/>
      <c r="C34" s="207" ph="1"/>
      <c r="D34" s="185" ph="1"/>
      <c r="E34" s="185" ph="1"/>
      <c r="F34" s="209" ph="1"/>
      <c r="G34" s="211" ph="1"/>
      <c r="H34" s="185" ph="1"/>
      <c r="I34" s="189" ph="1"/>
      <c r="J34" s="193" ph="1"/>
      <c r="K34" s="185" ph="1"/>
      <c r="L34" s="195" ph="1"/>
      <c r="M34" s="193" ph="1"/>
      <c r="N34" s="185" ph="1"/>
      <c r="O34" s="189" ph="1"/>
      <c r="P34" s="193" ph="1"/>
      <c r="Q34" s="185" ph="1"/>
      <c r="R34" s="189" ph="1"/>
      <c r="S34" s="193" ph="1"/>
      <c r="T34" s="185"/>
      <c r="U34" s="174"/>
      <c r="V34" s="187" ph="1"/>
      <c r="W34" s="187" ph="1"/>
      <c r="X34" s="189" ph="1"/>
      <c r="Y34" s="191" ph="1"/>
      <c r="Z34" s="172" ph="1"/>
      <c r="AA34" s="174" ph="1"/>
      <c r="AB34" s="176"/>
      <c r="AC34" s="178"/>
      <c r="AD34" s="181"/>
      <c r="AE34" s="182"/>
      <c r="AH34" s="64" ph="1">
        <v>20</v>
      </c>
      <c r="AI34" s="64" t="s" ph="1">
        <v>403</v>
      </c>
      <c r="AJ34" s="64" t="s" ph="1">
        <v>637</v>
      </c>
      <c r="AK34" s="64" t="s" ph="1">
        <v>633</v>
      </c>
      <c r="AL34" s="64" ph="1">
        <v>720</v>
      </c>
      <c r="AM34" s="64" t="s" ph="1">
        <v>383</v>
      </c>
      <c r="AZ34" s="64" t="s" ph="1">
        <v>260</v>
      </c>
      <c r="BA34" s="64" ph="1">
        <v>720</v>
      </c>
    </row>
    <row r="35" spans="1:57" ph="1">
      <c r="A35" s="64"/>
      <c r="AC35" s="183" t="s" ph="1">
        <v>84</v>
      </c>
      <c r="AD35" s="183"/>
      <c r="AE35" s="183"/>
      <c r="AH35" s="64" ph="1">
        <v>21</v>
      </c>
      <c r="AI35" s="64" t="s" ph="1">
        <v>404</v>
      </c>
      <c r="AZ35" s="64" t="s" ph="1">
        <v>260</v>
      </c>
      <c r="BA35" s="64" ph="1">
        <v>0</v>
      </c>
      <c r="BD35" s="64" t="s" ph="1">
        <v>405</v>
      </c>
      <c r="BE35" s="64" ph="1">
        <v>2030</v>
      </c>
    </row>
    <row r="36" spans="1:57" ht="28.5" ph="1">
      <c r="A36" s="64"/>
      <c r="B36" s="103" t="s" ph="1">
        <v>216</v>
      </c>
      <c r="I36" s="169" t="s" ph="1">
        <v>217</v>
      </c>
      <c r="J36" s="169" ph="1"/>
      <c r="K36" s="101" ph="1"/>
      <c r="P36" s="101" ph="1"/>
      <c r="R36" s="169" t="s" ph="1">
        <v>218</v>
      </c>
      <c r="S36" s="169" ph="1"/>
      <c r="Y36" s="102" ph="1"/>
      <c r="Z36" s="149" t="s" ph="1">
        <v>219</v>
      </c>
      <c r="AA36" s="149" ph="1"/>
      <c r="AB36" s="170" t="s" ph="1">
        <v>655</v>
      </c>
      <c r="AC36" s="170" ph="1"/>
      <c r="AD36" s="170" ph="1"/>
      <c r="AE36" s="170" ph="1"/>
      <c r="BA36" s="64" ph="1">
        <v>2270</v>
      </c>
    </row>
    <row r="37" spans="1:57" s="14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9" t="s" ph="1">
        <v>386</v>
      </c>
      <c r="AI37" s="149" t="s" ph="1">
        <v>253</v>
      </c>
      <c r="AJ37" s="149" t="s" ph="1">
        <v>254</v>
      </c>
      <c r="AK37" s="149" t="s" ph="1">
        <v>255</v>
      </c>
      <c r="AM37" s="149" t="s" ph="1">
        <v>254</v>
      </c>
      <c r="AN37" s="149" t="s" ph="1">
        <v>255</v>
      </c>
      <c r="AO37" s="149" t="s" ph="1">
        <v>256</v>
      </c>
      <c r="AP37" s="149" t="s" ph="1">
        <v>254</v>
      </c>
      <c r="AQ37" s="149" t="s" ph="1">
        <v>255</v>
      </c>
      <c r="AR37" s="149" t="s" ph="1">
        <v>256</v>
      </c>
      <c r="AS37" s="149" t="s" ph="1">
        <v>254</v>
      </c>
      <c r="AT37" s="149" t="s" ph="1">
        <v>255</v>
      </c>
      <c r="AU37" s="149" t="s" ph="1">
        <v>256</v>
      </c>
      <c r="AV37" s="149" t="s" ph="1">
        <v>254</v>
      </c>
      <c r="AW37" s="149" t="s" ph="1">
        <v>255</v>
      </c>
      <c r="AX37" s="149" t="s" ph="1">
        <v>256</v>
      </c>
      <c r="AY37" s="149" t="s" ph="1">
        <v>255</v>
      </c>
      <c r="AZ37" s="149" t="s" ph="1">
        <v>257</v>
      </c>
      <c r="BD37" s="149" t="s" ph="1">
        <v>349</v>
      </c>
      <c r="BE37" s="149" ph="1">
        <v>0</v>
      </c>
    </row>
    <row r="38" spans="1:57" ph="1">
      <c r="AE38" s="64" ph="1"/>
      <c r="AH38" s="64" ph="1">
        <v>1</v>
      </c>
      <c r="AI38" s="64" t="s" ph="1">
        <v>406</v>
      </c>
      <c r="AY38" s="64" t="s" ph="1">
        <v>260</v>
      </c>
      <c r="AZ38" s="64" t="s" ph="1">
        <v>411</v>
      </c>
    </row>
    <row r="39" spans="1:57" ph="1">
      <c r="AH39" s="64" ph="1">
        <v>2</v>
      </c>
      <c r="AI39" s="64" t="s" ph="1">
        <v>408</v>
      </c>
      <c r="AJ39" s="64" t="s" ph="1">
        <v>380</v>
      </c>
      <c r="AK39" s="64" t="s" ph="1">
        <v>409</v>
      </c>
      <c r="AM39" s="64" t="s" ph="1">
        <v>614</v>
      </c>
      <c r="AN39" s="64" t="s" ph="1">
        <v>272</v>
      </c>
      <c r="AO39" s="64" t="s" ph="1">
        <v>407</v>
      </c>
      <c r="AY39" s="64" t="s" ph="1">
        <v>260</v>
      </c>
      <c r="AZ39" s="64" t="s" ph="1">
        <v>543</v>
      </c>
    </row>
    <row r="40" spans="1:57" ph="1">
      <c r="AH40" s="64" ph="1">
        <v>3</v>
      </c>
      <c r="AI40" s="64" t="s" ph="1">
        <v>410</v>
      </c>
      <c r="AJ40" s="64" t="s" ph="1">
        <v>614</v>
      </c>
      <c r="AK40" s="64" t="s" ph="1">
        <v>615</v>
      </c>
      <c r="AY40" s="64" t="s" ph="1">
        <v>260</v>
      </c>
      <c r="AZ40" s="64" t="s" ph="1">
        <v>615</v>
      </c>
    </row>
    <row r="41" spans="1:57" ph="1">
      <c r="AH41" s="64" ph="1">
        <v>4</v>
      </c>
      <c r="AI41" s="64" t="s" ph="1">
        <v>412</v>
      </c>
      <c r="AJ41" s="64" t="s" ph="1">
        <v>616</v>
      </c>
      <c r="AK41" s="64" t="s" ph="1">
        <v>617</v>
      </c>
      <c r="AM41" s="64" t="s" ph="1">
        <v>618</v>
      </c>
      <c r="AY41" s="64" t="s" ph="1">
        <v>260</v>
      </c>
      <c r="AZ41" s="64" t="s" ph="1">
        <v>617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413</v>
      </c>
      <c r="AY42" s="64" t="s" ph="1">
        <v>260</v>
      </c>
      <c r="AZ42" s="64" t="s" ph="1">
        <v>411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414</v>
      </c>
      <c r="AY43" s="64" t="s" ph="1">
        <v>260</v>
      </c>
      <c r="AZ43" s="64" t="s" ph="1">
        <v>411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415</v>
      </c>
      <c r="AV44" s="64" t="s" ph="1">
        <v>261</v>
      </c>
      <c r="AY44" s="64" t="s" ph="1">
        <v>260</v>
      </c>
      <c r="AZ44" s="64" t="s" ph="1">
        <v>411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416</v>
      </c>
      <c r="AV45" s="64" t="s" ph="1">
        <v>261</v>
      </c>
      <c r="AY45" s="64" t="s" ph="1">
        <v>260</v>
      </c>
      <c r="AZ45" s="64" t="s" ph="1">
        <v>411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417</v>
      </c>
      <c r="AV46" s="64" t="s" ph="1">
        <v>261</v>
      </c>
      <c r="AY46" s="64" t="s" ph="1">
        <v>260</v>
      </c>
      <c r="AZ46" s="64" t="s" ph="1">
        <v>411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418</v>
      </c>
      <c r="AV47" s="64" t="s" ph="1">
        <v>261</v>
      </c>
      <c r="AY47" s="64" t="s" ph="1">
        <v>260</v>
      </c>
      <c r="AZ47" s="64" t="s" ph="1">
        <v>411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619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276</v>
      </c>
      <c r="AI49" s="64" t="s" ph="1">
        <v>253</v>
      </c>
      <c r="AJ49" s="64" t="s" ph="1">
        <v>254</v>
      </c>
      <c r="AK49" s="64" t="s" ph="1">
        <v>255</v>
      </c>
      <c r="AM49" s="64" t="s" ph="1">
        <v>254</v>
      </c>
      <c r="AN49" s="64" t="s" ph="1">
        <v>255</v>
      </c>
      <c r="AO49" s="64" t="s" ph="1">
        <v>256</v>
      </c>
      <c r="AP49" s="64" t="s" ph="1">
        <v>254</v>
      </c>
      <c r="AQ49" s="64" t="s" ph="1">
        <v>255</v>
      </c>
      <c r="AR49" s="64" t="s" ph="1">
        <v>256</v>
      </c>
      <c r="AS49" s="64" t="s" ph="1">
        <v>254</v>
      </c>
      <c r="AT49" s="64" t="s" ph="1">
        <v>255</v>
      </c>
      <c r="AU49" s="64" t="s" ph="1">
        <v>256</v>
      </c>
      <c r="AV49" s="64" t="s" ph="1">
        <v>254</v>
      </c>
      <c r="AW49" s="64" t="s" ph="1">
        <v>255</v>
      </c>
      <c r="AX49" s="64" t="s" ph="1">
        <v>256</v>
      </c>
      <c r="AY49" s="64" t="s" ph="1">
        <v>255</v>
      </c>
      <c r="AZ49" s="64" t="s" ph="1">
        <v>257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419</v>
      </c>
      <c r="AY50" s="64" t="s" ph="1">
        <v>260</v>
      </c>
      <c r="AZ50" s="64" t="s" ph="1">
        <v>411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420</v>
      </c>
      <c r="AY51" s="64" t="s" ph="1">
        <v>260</v>
      </c>
      <c r="AZ51" s="64" t="s" ph="1">
        <v>411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421</v>
      </c>
      <c r="AJ52" s="64" t="s" ph="1">
        <v>378</v>
      </c>
      <c r="AK52" s="64" t="s" ph="1">
        <v>272</v>
      </c>
      <c r="AM52" s="64" t="s" ph="1">
        <v>380</v>
      </c>
      <c r="AN52" s="64" t="s" ph="1">
        <v>344</v>
      </c>
      <c r="AO52" s="64" t="s" ph="1">
        <v>277</v>
      </c>
      <c r="AP52" s="64" t="s" ph="1">
        <v>614</v>
      </c>
      <c r="AQ52" s="64" t="s" ph="1">
        <v>326</v>
      </c>
      <c r="AR52" s="64" t="s" ph="1">
        <v>277</v>
      </c>
      <c r="AY52" s="64" t="s" ph="1">
        <v>260</v>
      </c>
      <c r="AZ52" s="64" t="s" ph="1">
        <v>620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422</v>
      </c>
      <c r="AY53" s="64" t="s" ph="1">
        <v>260</v>
      </c>
      <c r="AZ53" s="64" t="s" ph="1">
        <v>411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423</v>
      </c>
      <c r="AJ54" s="64" t="s" ph="1">
        <v>378</v>
      </c>
      <c r="AK54" s="64" t="s" ph="1">
        <v>263</v>
      </c>
      <c r="AM54" s="64" t="s" ph="1">
        <v>380</v>
      </c>
      <c r="AN54" s="64" t="s" ph="1">
        <v>268</v>
      </c>
      <c r="AO54" s="64" t="s" ph="1">
        <v>277</v>
      </c>
      <c r="AP54" s="64" t="s" ph="1">
        <v>614</v>
      </c>
      <c r="AQ54" s="64" t="s" ph="1">
        <v>284</v>
      </c>
      <c r="AR54" s="64" t="s" ph="1">
        <v>277</v>
      </c>
      <c r="AY54" s="64" t="s" ph="1">
        <v>260</v>
      </c>
      <c r="AZ54" s="64" t="s" ph="1">
        <v>278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424</v>
      </c>
      <c r="AY55" s="64" t="s" ph="1">
        <v>260</v>
      </c>
      <c r="AZ55" s="64" t="s" ph="1">
        <v>411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425</v>
      </c>
      <c r="AY56" s="64" t="s" ph="1">
        <v>260</v>
      </c>
      <c r="AZ56" s="64" t="s" ph="1">
        <v>411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426</v>
      </c>
      <c r="AY57" s="64" t="s" ph="1">
        <v>260</v>
      </c>
      <c r="AZ57" s="64" t="s" ph="1">
        <v>411</v>
      </c>
    </row>
    <row r="58" spans="16:52" ph="1">
      <c r="P58" s="64"/>
      <c r="AN58" s="64" t="s" ph="1">
        <v>261</v>
      </c>
      <c r="AZ58" s="64" t="s" ph="1">
        <v>621</v>
      </c>
    </row>
    <row r="59" spans="16:52" ph="1">
      <c r="V59" s="64"/>
      <c r="AG59" s="64" t="s" ph="1">
        <v>279</v>
      </c>
      <c r="AI59" s="64" t="s" ph="1">
        <v>253</v>
      </c>
      <c r="AJ59" s="64" t="s" ph="1">
        <v>254</v>
      </c>
      <c r="AK59" s="64" t="s" ph="1">
        <v>255</v>
      </c>
      <c r="AM59" s="64" t="s" ph="1">
        <v>254</v>
      </c>
      <c r="AN59" s="64" t="s" ph="1">
        <v>255</v>
      </c>
      <c r="AO59" s="64" t="s" ph="1">
        <v>256</v>
      </c>
      <c r="AP59" s="64" t="s" ph="1">
        <v>254</v>
      </c>
      <c r="AQ59" s="64" t="s" ph="1">
        <v>255</v>
      </c>
      <c r="AR59" s="64" t="s" ph="1">
        <v>256</v>
      </c>
      <c r="AS59" s="64" t="s" ph="1">
        <v>254</v>
      </c>
      <c r="AT59" s="64" t="s" ph="1">
        <v>255</v>
      </c>
      <c r="AU59" s="64" t="s" ph="1">
        <v>256</v>
      </c>
      <c r="AV59" s="64" t="s" ph="1">
        <v>254</v>
      </c>
      <c r="AW59" s="64" t="s" ph="1">
        <v>255</v>
      </c>
      <c r="AX59" s="64" t="s" ph="1">
        <v>256</v>
      </c>
      <c r="AY59" s="64" t="s" ph="1">
        <v>255</v>
      </c>
      <c r="AZ59" s="64" t="s" ph="1">
        <v>257</v>
      </c>
    </row>
    <row r="60" spans="16:52" ph="1">
      <c r="R60" s="64"/>
      <c r="S60" s="64"/>
      <c r="T60" s="64"/>
      <c r="AH60" s="64" ph="1">
        <v>1</v>
      </c>
      <c r="AI60" s="64" t="s" ph="1">
        <v>427</v>
      </c>
      <c r="AY60" s="64" t="s" ph="1">
        <v>260</v>
      </c>
      <c r="AZ60" s="64" t="s" ph="1">
        <v>411</v>
      </c>
    </row>
    <row r="61" spans="16:52" ph="1">
      <c r="AH61" s="64" ph="1">
        <v>2</v>
      </c>
      <c r="AI61" s="64" t="s" ph="1">
        <v>428</v>
      </c>
      <c r="AS61" s="64" t="s" ph="1">
        <v>261</v>
      </c>
      <c r="AY61" s="64" t="s" ph="1">
        <v>260</v>
      </c>
      <c r="AZ61" s="64" t="s" ph="1">
        <v>411</v>
      </c>
    </row>
    <row r="62" spans="16:52" ph="1">
      <c r="AZ62" s="64" t="s" ph="1">
        <v>429</v>
      </c>
    </row>
    <row r="63" spans="16:52" ph="1">
      <c r="AG63" s="64" t="s" ph="1">
        <v>282</v>
      </c>
      <c r="AI63" s="64" t="s" ph="1">
        <v>253</v>
      </c>
      <c r="AJ63" s="64" t="s" ph="1">
        <v>254</v>
      </c>
      <c r="AK63" s="64" t="s" ph="1">
        <v>255</v>
      </c>
      <c r="AM63" s="64" t="s" ph="1">
        <v>254</v>
      </c>
      <c r="AN63" s="64" t="s" ph="1">
        <v>255</v>
      </c>
      <c r="AO63" s="64" t="s" ph="1">
        <v>256</v>
      </c>
      <c r="AP63" s="64" t="s" ph="1">
        <v>254</v>
      </c>
      <c r="AQ63" s="64" t="s" ph="1">
        <v>255</v>
      </c>
      <c r="AR63" s="64" t="s" ph="1">
        <v>256</v>
      </c>
      <c r="AS63" s="64" t="s" ph="1">
        <v>254</v>
      </c>
      <c r="AT63" s="64" t="s" ph="1">
        <v>255</v>
      </c>
      <c r="AU63" s="64" t="s" ph="1">
        <v>256</v>
      </c>
      <c r="AV63" s="64" t="s" ph="1">
        <v>254</v>
      </c>
      <c r="AW63" s="64" t="s" ph="1">
        <v>255</v>
      </c>
      <c r="AX63" s="64" t="s" ph="1">
        <v>256</v>
      </c>
      <c r="AY63" s="64" t="s" ph="1">
        <v>255</v>
      </c>
      <c r="AZ63" s="64" t="s" ph="1">
        <v>257</v>
      </c>
    </row>
    <row r="64" spans="16:52" ph="1">
      <c r="AH64" s="64" ph="1">
        <v>1</v>
      </c>
      <c r="AI64" s="64" t="s" ph="1">
        <v>430</v>
      </c>
      <c r="AJ64" s="64" t="s" ph="1">
        <v>431</v>
      </c>
      <c r="AK64" s="64" t="s" ph="1">
        <v>432</v>
      </c>
      <c r="AY64" s="64" t="s" ph="1">
        <v>260</v>
      </c>
      <c r="AZ64" s="64" t="s" ph="1">
        <v>432</v>
      </c>
    </row>
    <row r="65" spans="33:52" ph="1">
      <c r="AH65" s="64" ph="1">
        <v>2</v>
      </c>
      <c r="AI65" s="64" t="s" ph="1">
        <v>433</v>
      </c>
      <c r="AY65" s="64" t="s" ph="1">
        <v>260</v>
      </c>
      <c r="AZ65" s="64" t="s" ph="1">
        <v>411</v>
      </c>
    </row>
    <row r="66" spans="33:52" ph="1">
      <c r="AH66" s="64" ph="1">
        <v>3</v>
      </c>
      <c r="AI66" s="64" t="s" ph="1">
        <v>434</v>
      </c>
      <c r="AY66" s="64" t="s" ph="1">
        <v>260</v>
      </c>
      <c r="AZ66" s="64" t="s" ph="1">
        <v>411</v>
      </c>
    </row>
    <row r="67" spans="33:52" ph="1">
      <c r="AH67" s="64" ph="1">
        <v>4</v>
      </c>
      <c r="AI67" s="64" t="s" ph="1">
        <v>435</v>
      </c>
      <c r="AY67" s="64" t="s" ph="1">
        <v>260</v>
      </c>
      <c r="AZ67" s="64" t="s" ph="1">
        <v>411</v>
      </c>
    </row>
    <row r="68" spans="33:52" ph="1">
      <c r="AH68" s="64" ph="1">
        <v>5</v>
      </c>
      <c r="AI68" s="64" t="s" ph="1">
        <v>436</v>
      </c>
      <c r="AY68" s="64" t="s" ph="1">
        <v>260</v>
      </c>
      <c r="AZ68" s="64" t="s" ph="1">
        <v>411</v>
      </c>
    </row>
    <row r="69" spans="33:52" ph="1">
      <c r="AH69" s="64" ph="1">
        <v>6</v>
      </c>
      <c r="AI69" s="64" t="s" ph="1">
        <v>437</v>
      </c>
      <c r="AY69" s="64" t="s" ph="1">
        <v>260</v>
      </c>
      <c r="AZ69" s="64" t="s" ph="1">
        <v>411</v>
      </c>
    </row>
    <row r="70" spans="33:52" ph="1">
      <c r="AI70" s="64" t="s" ph="1">
        <v>438</v>
      </c>
      <c r="AY70" s="64" t="s" ph="1">
        <v>260</v>
      </c>
      <c r="AZ70" s="64" t="s" ph="1">
        <v>411</v>
      </c>
    </row>
    <row r="71" spans="33:52" ph="1">
      <c r="AH71" s="64" ph="1">
        <v>7</v>
      </c>
      <c r="AI71" s="64" t="s" ph="1">
        <v>439</v>
      </c>
      <c r="AJ71" s="64" t="s" ph="1">
        <v>378</v>
      </c>
      <c r="AK71" s="64" t="s" ph="1">
        <v>272</v>
      </c>
      <c r="AM71" s="64" t="s" ph="1">
        <v>380</v>
      </c>
      <c r="AN71" s="64" t="s" ph="1">
        <v>272</v>
      </c>
      <c r="AO71" s="64" t="s" ph="1">
        <v>440</v>
      </c>
      <c r="AP71" s="64" t="s" ph="1">
        <v>614</v>
      </c>
      <c r="AQ71" s="64" t="s" ph="1">
        <v>263</v>
      </c>
      <c r="AR71" s="64" t="s" ph="1">
        <v>440</v>
      </c>
      <c r="AY71" s="64" t="s" ph="1">
        <v>260</v>
      </c>
      <c r="AZ71" s="64" t="s" ph="1">
        <v>622</v>
      </c>
    </row>
    <row r="72" spans="33:52" ph="1">
      <c r="AZ72" s="64" t="s" ph="1">
        <v>623</v>
      </c>
    </row>
    <row r="73" spans="33:52" ph="1">
      <c r="AG73" s="64" t="s" ph="1">
        <v>285</v>
      </c>
      <c r="AI73" s="64" t="s" ph="1">
        <v>253</v>
      </c>
      <c r="AJ73" s="64" t="s" ph="1">
        <v>254</v>
      </c>
      <c r="AK73" s="64" t="s" ph="1">
        <v>255</v>
      </c>
      <c r="AM73" s="64" t="s" ph="1">
        <v>254</v>
      </c>
      <c r="AN73" s="64" t="s" ph="1">
        <v>255</v>
      </c>
      <c r="AO73" s="64" t="s" ph="1">
        <v>256</v>
      </c>
      <c r="AP73" s="64" t="s" ph="1">
        <v>254</v>
      </c>
      <c r="AQ73" s="64" t="s" ph="1">
        <v>255</v>
      </c>
      <c r="AR73" s="64" t="s" ph="1">
        <v>256</v>
      </c>
      <c r="AS73" s="64" t="s" ph="1">
        <v>254</v>
      </c>
      <c r="AT73" s="64" t="s" ph="1">
        <v>255</v>
      </c>
      <c r="AU73" s="64" t="s" ph="1">
        <v>256</v>
      </c>
      <c r="AV73" s="64" t="s" ph="1">
        <v>254</v>
      </c>
      <c r="AW73" s="64" t="s" ph="1">
        <v>255</v>
      </c>
      <c r="AX73" s="64" t="s" ph="1">
        <v>256</v>
      </c>
      <c r="AY73" s="64" t="s" ph="1">
        <v>255</v>
      </c>
      <c r="AZ73" s="64" t="s" ph="1">
        <v>257</v>
      </c>
    </row>
    <row r="74" spans="33:52" ph="1">
      <c r="AH74" s="64" ph="1">
        <v>1</v>
      </c>
      <c r="AI74" s="64" t="s" ph="1">
        <v>441</v>
      </c>
      <c r="AJ74" s="64" t="s" ph="1">
        <v>286</v>
      </c>
      <c r="AK74" s="64" t="s" ph="1">
        <v>268</v>
      </c>
      <c r="AM74" s="64" t="s" ph="1">
        <v>288</v>
      </c>
      <c r="AN74" s="64" t="s" ph="1">
        <v>298</v>
      </c>
      <c r="AO74" s="64" t="s" ph="1">
        <v>287</v>
      </c>
      <c r="AP74" s="64" t="s" ph="1">
        <v>289</v>
      </c>
      <c r="AQ74" s="64" t="s" ph="1">
        <v>266</v>
      </c>
      <c r="AR74" s="64" t="s" ph="1">
        <v>287</v>
      </c>
      <c r="AS74" s="64" t="s" ph="1">
        <v>259</v>
      </c>
      <c r="AT74" s="64" t="s" ph="1">
        <v>261</v>
      </c>
      <c r="AV74" s="64" t="s" ph="1">
        <v>442</v>
      </c>
      <c r="AW74" s="64" t="s" ph="1">
        <v>443</v>
      </c>
      <c r="AX74" s="64" t="s" ph="1">
        <v>444</v>
      </c>
      <c r="AY74" s="64" t="s" ph="1">
        <v>260</v>
      </c>
      <c r="AZ74" s="64" t="s" ph="1">
        <v>445</v>
      </c>
    </row>
    <row r="75" spans="33:52" ph="1">
      <c r="AJ75" s="64" t="s" ph="1">
        <v>291</v>
      </c>
      <c r="AK75" s="64" t="s" ph="1">
        <v>344</v>
      </c>
      <c r="AM75" s="64" t="s" ph="1">
        <v>289</v>
      </c>
      <c r="AN75" s="64" t="s" ph="1">
        <v>269</v>
      </c>
      <c r="AO75" s="64" t="s" ph="1">
        <v>287</v>
      </c>
      <c r="AS75" s="64" t="s" ph="1">
        <v>259</v>
      </c>
      <c r="AT75" s="64" t="s" ph="1">
        <v>290</v>
      </c>
    </row>
    <row r="76" spans="33:52" ph="1">
      <c r="AJ76" s="64" t="s" ph="1">
        <v>291</v>
      </c>
      <c r="AK76" s="64" t="s" ph="1">
        <v>284</v>
      </c>
      <c r="AM76" s="64" t="s" ph="1">
        <v>289</v>
      </c>
      <c r="AN76" s="64" t="s" ph="1">
        <v>272</v>
      </c>
      <c r="AO76" s="64" t="s" ph="1">
        <v>287</v>
      </c>
      <c r="AS76" s="64" t="s" ph="1">
        <v>259</v>
      </c>
      <c r="AT76" s="64" t="s" ph="1">
        <v>290</v>
      </c>
    </row>
    <row r="77" spans="33:52" ph="1">
      <c r="AJ77" s="64" t="s" ph="1">
        <v>327</v>
      </c>
      <c r="AK77" s="64" t="s" ph="1">
        <v>284</v>
      </c>
      <c r="AM77" s="64" t="s" ph="1">
        <v>328</v>
      </c>
      <c r="AN77" s="64" t="s" ph="1">
        <v>267</v>
      </c>
      <c r="AO77" s="64" t="s" ph="1">
        <v>287</v>
      </c>
      <c r="AS77" s="64" t="s" ph="1">
        <v>259</v>
      </c>
      <c r="AT77" s="64" t="s" ph="1">
        <v>329</v>
      </c>
    </row>
    <row r="78" spans="33:52" ph="1">
      <c r="AH78" s="64" ph="1">
        <v>2</v>
      </c>
      <c r="AI78" s="64" t="s" ph="1">
        <v>293</v>
      </c>
      <c r="AJ78" s="64" t="s" ph="1">
        <v>294</v>
      </c>
      <c r="AK78" s="64" t="s" ph="1">
        <v>263</v>
      </c>
      <c r="AM78" s="64" t="s" ph="1">
        <v>295</v>
      </c>
      <c r="AN78" s="64" t="s" ph="1">
        <v>298</v>
      </c>
      <c r="AO78" s="64" t="s" ph="1">
        <v>287</v>
      </c>
      <c r="AP78" s="64" t="s" ph="1">
        <v>296</v>
      </c>
      <c r="AQ78" s="64" t="s" ph="1">
        <v>342</v>
      </c>
      <c r="AR78" s="64" t="s" ph="1">
        <v>287</v>
      </c>
      <c r="AS78" s="64" t="s" ph="1">
        <v>297</v>
      </c>
      <c r="AT78" s="64" t="s" ph="1">
        <v>298</v>
      </c>
      <c r="AU78" s="64" t="s" ph="1">
        <v>287</v>
      </c>
      <c r="AV78" s="64" t="s" ph="1">
        <v>299</v>
      </c>
      <c r="AW78" s="64" t="s" ph="1">
        <v>287</v>
      </c>
      <c r="AY78" s="64" t="s" ph="1">
        <v>260</v>
      </c>
      <c r="AZ78" s="64" t="s" ph="1">
        <v>446</v>
      </c>
    </row>
    <row r="79" spans="33:52" ph="1">
      <c r="AJ79" s="64" t="s" ph="1">
        <v>289</v>
      </c>
      <c r="AK79" s="64" t="s" ph="1">
        <v>300</v>
      </c>
      <c r="AM79" s="64" t="s" ph="1">
        <v>301</v>
      </c>
      <c r="AN79" s="64" t="s" ph="1">
        <v>269</v>
      </c>
      <c r="AO79" s="64" t="s" ph="1">
        <v>287</v>
      </c>
      <c r="AP79" s="64" t="s" ph="1">
        <v>302</v>
      </c>
      <c r="AQ79" s="64" t="s" ph="1">
        <v>267</v>
      </c>
      <c r="AR79" s="64" t="s" ph="1">
        <v>303</v>
      </c>
      <c r="AS79" s="64" t="s" ph="1">
        <v>259</v>
      </c>
      <c r="AT79" s="64" t="s" ph="1">
        <v>304</v>
      </c>
      <c r="AV79" s="64" t="s" ph="1">
        <v>447</v>
      </c>
      <c r="AW79" s="64" t="s" ph="1">
        <v>346</v>
      </c>
      <c r="AX79" s="64" t="s" ph="1">
        <v>444</v>
      </c>
    </row>
    <row r="80" spans="33:52" ph="1">
      <c r="AH80" s="64" ph="1">
        <v>3</v>
      </c>
      <c r="AI80" s="64" t="s" ph="1">
        <v>305</v>
      </c>
      <c r="AJ80" s="64" t="s" ph="1">
        <v>306</v>
      </c>
      <c r="AK80" s="64" t="s" ph="1">
        <v>307</v>
      </c>
      <c r="AM80" s="64" t="s" ph="1">
        <v>308</v>
      </c>
      <c r="AN80" s="64" t="s" ph="1">
        <v>298</v>
      </c>
      <c r="AO80" s="64" t="s" ph="1">
        <v>287</v>
      </c>
      <c r="AP80" s="64" t="s" ph="1">
        <v>309</v>
      </c>
      <c r="AQ80" s="64" t="s" ph="1">
        <v>272</v>
      </c>
      <c r="AR80" s="64" t="s" ph="1">
        <v>287</v>
      </c>
      <c r="AS80" s="64" t="s" ph="1">
        <v>310</v>
      </c>
      <c r="AT80" s="64" t="s" ph="1">
        <v>271</v>
      </c>
      <c r="AU80" s="64" t="s" ph="1">
        <v>287</v>
      </c>
      <c r="AV80" s="64" t="s" ph="1">
        <v>311</v>
      </c>
      <c r="AW80" s="64" t="s" ph="1">
        <v>287</v>
      </c>
      <c r="AY80" s="64" t="s" ph="1">
        <v>260</v>
      </c>
      <c r="AZ80" s="64" t="s" ph="1">
        <v>448</v>
      </c>
    </row>
    <row r="81" spans="34:52" ph="1">
      <c r="AJ81" s="64" t="s" ph="1">
        <v>312</v>
      </c>
      <c r="AK81" s="64" t="s" ph="1">
        <v>266</v>
      </c>
      <c r="AM81" s="64" t="s" ph="1">
        <v>313</v>
      </c>
      <c r="AN81" s="64" t="s" ph="1">
        <v>269</v>
      </c>
      <c r="AO81" s="64" t="s" ph="1">
        <v>287</v>
      </c>
      <c r="AP81" s="64" t="s" ph="1">
        <v>314</v>
      </c>
      <c r="AQ81" s="64" t="s" ph="1">
        <v>298</v>
      </c>
      <c r="AR81" s="64" t="s" ph="1">
        <v>287</v>
      </c>
      <c r="AS81" s="64" t="s" ph="1">
        <v>315</v>
      </c>
      <c r="AT81" s="64" t="s" ph="1">
        <v>316</v>
      </c>
      <c r="AU81" s="64" t="s" ph="1">
        <v>287</v>
      </c>
      <c r="AV81" s="64" t="s" ph="1">
        <v>317</v>
      </c>
    </row>
    <row r="82" spans="34:52" ph="1">
      <c r="AJ82" s="64" t="s" ph="1">
        <v>318</v>
      </c>
      <c r="AK82" s="64" t="s" ph="1">
        <v>266</v>
      </c>
      <c r="AM82" s="64" t="s" ph="1">
        <v>319</v>
      </c>
      <c r="AN82" s="64" t="s" ph="1">
        <v>316</v>
      </c>
      <c r="AO82" s="64" t="s" ph="1">
        <v>320</v>
      </c>
      <c r="AP82" s="64" t="s" ph="1">
        <v>321</v>
      </c>
      <c r="AQ82" s="64" t="s" ph="1">
        <v>298</v>
      </c>
      <c r="AR82" s="64" t="s" ph="1">
        <v>287</v>
      </c>
      <c r="AS82" s="64" t="s" ph="1">
        <v>322</v>
      </c>
      <c r="AT82" s="64" t="s" ph="1">
        <v>273</v>
      </c>
      <c r="AU82" s="64" t="s" ph="1">
        <v>287</v>
      </c>
      <c r="AV82" s="64" t="s" ph="1">
        <v>447</v>
      </c>
      <c r="AW82" s="64" t="s" ph="1">
        <v>347</v>
      </c>
      <c r="AX82" s="64" t="s" ph="1">
        <v>444</v>
      </c>
    </row>
    <row r="83" spans="34:52" ph="1">
      <c r="AJ83" s="64" t="s" ph="1">
        <v>323</v>
      </c>
      <c r="AK83" s="64" t="s" ph="1">
        <v>340</v>
      </c>
      <c r="AM83" s="64" t="s" ph="1">
        <v>324</v>
      </c>
      <c r="AN83" s="64" t="s" ph="1">
        <v>272</v>
      </c>
      <c r="AO83" s="64" t="s" ph="1">
        <v>303</v>
      </c>
      <c r="AP83" s="64" t="s" ph="1">
        <v>325</v>
      </c>
      <c r="AQ83" s="64" t="s" ph="1">
        <v>326</v>
      </c>
      <c r="AR83" s="64" t="s" ph="1">
        <v>303</v>
      </c>
      <c r="AS83" s="64" t="s" ph="1">
        <v>449</v>
      </c>
      <c r="AT83" s="64" t="s" ph="1">
        <v>298</v>
      </c>
      <c r="AU83" s="64" t="s" ph="1">
        <v>303</v>
      </c>
      <c r="AV83" s="64" t="s" ph="1">
        <v>450</v>
      </c>
      <c r="AW83" s="64" t="s" ph="1">
        <v>347</v>
      </c>
      <c r="AX83" s="64" t="s" ph="1">
        <v>451</v>
      </c>
    </row>
    <row r="84" spans="34:52" ph="1">
      <c r="AH84" s="64" ph="1">
        <v>4</v>
      </c>
      <c r="AI84" s="64" t="s" ph="1">
        <v>330</v>
      </c>
      <c r="AJ84" s="64" t="s" ph="1">
        <v>270</v>
      </c>
      <c r="AK84" s="64" t="s" ph="1">
        <v>273</v>
      </c>
      <c r="AM84" s="64" t="s" ph="1">
        <v>274</v>
      </c>
      <c r="AN84" s="64" t="s" ph="1">
        <v>267</v>
      </c>
      <c r="AO84" s="64" t="s" ph="1">
        <v>303</v>
      </c>
      <c r="AP84" s="64" t="s" ph="1">
        <v>332</v>
      </c>
      <c r="AQ84" s="64" t="s" ph="1">
        <v>266</v>
      </c>
      <c r="AR84" s="64" t="s" ph="1">
        <v>303</v>
      </c>
      <c r="AS84" s="64" t="s" ph="1">
        <v>332</v>
      </c>
      <c r="AT84" s="64" t="s" ph="1">
        <v>268</v>
      </c>
      <c r="AU84" s="64" t="s" ph="1">
        <v>303</v>
      </c>
      <c r="AY84" s="64" t="s" ph="1">
        <v>260</v>
      </c>
      <c r="AZ84" s="64" t="s" ph="1">
        <v>452</v>
      </c>
    </row>
    <row r="85" spans="34:52" ph="1">
      <c r="AJ85" s="64" t="s" ph="1">
        <v>262</v>
      </c>
      <c r="AK85" s="64" t="s" ph="1">
        <v>266</v>
      </c>
      <c r="AM85" s="64" t="s" ph="1">
        <v>453</v>
      </c>
      <c r="AN85" s="64" t="s" ph="1">
        <v>273</v>
      </c>
      <c r="AO85" s="64" t="s" ph="1">
        <v>303</v>
      </c>
      <c r="AP85" s="64" t="s" ph="1">
        <v>454</v>
      </c>
      <c r="AQ85" s="64" t="s" ph="1">
        <v>269</v>
      </c>
      <c r="AR85" s="64" t="s" ph="1">
        <v>303</v>
      </c>
      <c r="AS85" s="64" t="s" ph="1">
        <v>455</v>
      </c>
      <c r="AT85" s="64" t="s" ph="1">
        <v>269</v>
      </c>
      <c r="AU85" s="64" t="s" ph="1">
        <v>303</v>
      </c>
    </row>
    <row r="86" spans="34:52" ph="1">
      <c r="AJ86" s="64" t="s" ph="1">
        <v>456</v>
      </c>
      <c r="AK86" s="64" t="s" ph="1">
        <v>275</v>
      </c>
      <c r="AM86" s="64" t="s" ph="1">
        <v>457</v>
      </c>
      <c r="AN86" s="64" t="s" ph="1">
        <v>316</v>
      </c>
      <c r="AO86" s="64" t="s" ph="1">
        <v>303</v>
      </c>
      <c r="AP86" s="64" t="s" ph="1">
        <v>458</v>
      </c>
      <c r="AQ86" s="64" t="s" ph="1">
        <v>263</v>
      </c>
      <c r="AR86" s="64" t="s" ph="1">
        <v>303</v>
      </c>
      <c r="AS86" s="64" t="s" ph="1">
        <v>459</v>
      </c>
      <c r="AT86" s="64" t="s" ph="1">
        <v>281</v>
      </c>
      <c r="AU86" s="64" t="s" ph="1">
        <v>303</v>
      </c>
    </row>
    <row r="87" spans="34:52" ph="1">
      <c r="AJ87" s="64" t="s" ph="1">
        <v>460</v>
      </c>
      <c r="AK87" s="64" t="s" ph="1">
        <v>316</v>
      </c>
      <c r="AM87" s="64" t="s" ph="1">
        <v>447</v>
      </c>
      <c r="AN87" s="64" t="s" ph="1">
        <v>461</v>
      </c>
      <c r="AO87" s="64" t="s" ph="1">
        <v>444</v>
      </c>
    </row>
    <row r="88" spans="34:52" ph="1">
      <c r="AH88" s="64" ph="1">
        <v>5</v>
      </c>
      <c r="AI88" s="64" t="s" ph="1">
        <v>333</v>
      </c>
      <c r="AJ88" s="64" t="s" ph="1">
        <v>462</v>
      </c>
      <c r="AK88" s="64" t="s" ph="1">
        <v>316</v>
      </c>
      <c r="AM88" s="64" t="s" ph="1">
        <v>463</v>
      </c>
      <c r="AN88" s="64" t="s" ph="1">
        <v>316</v>
      </c>
      <c r="AO88" s="64" t="s" ph="1">
        <v>303</v>
      </c>
      <c r="AP88" s="64" t="s" ph="1">
        <v>464</v>
      </c>
      <c r="AQ88" s="64" t="s" ph="1">
        <v>266</v>
      </c>
      <c r="AR88" s="64" t="s" ph="1">
        <v>303</v>
      </c>
      <c r="AS88" s="64" t="s" ph="1">
        <v>465</v>
      </c>
      <c r="AT88" s="64" t="s" ph="1">
        <v>316</v>
      </c>
      <c r="AU88" s="64" t="s" ph="1">
        <v>303</v>
      </c>
      <c r="AV88" s="64" t="s" ph="1">
        <v>466</v>
      </c>
      <c r="AW88" s="64" t="s" ph="1">
        <v>271</v>
      </c>
      <c r="AX88" s="64" t="s" ph="1">
        <v>303</v>
      </c>
      <c r="AY88" s="64" t="s" ph="1">
        <v>260</v>
      </c>
      <c r="AZ88" s="64" t="s" ph="1">
        <v>467</v>
      </c>
    </row>
    <row r="89" spans="34:52" ph="1">
      <c r="AJ89" s="64" t="s" ph="1">
        <v>468</v>
      </c>
      <c r="AK89" s="64" t="s" ph="1">
        <v>269</v>
      </c>
      <c r="AM89" s="64" t="s" ph="1">
        <v>469</v>
      </c>
      <c r="AN89" s="64" t="s" ph="1">
        <v>272</v>
      </c>
      <c r="AO89" s="64" t="s" ph="1">
        <v>303</v>
      </c>
      <c r="AP89" s="64" t="s" ph="1">
        <v>470</v>
      </c>
      <c r="AQ89" s="64" t="s" ph="1">
        <v>281</v>
      </c>
      <c r="AR89" s="64" t="s" ph="1">
        <v>303</v>
      </c>
      <c r="AS89" s="64" t="s" ph="1">
        <v>471</v>
      </c>
      <c r="AT89" s="64" t="s" ph="1">
        <v>316</v>
      </c>
      <c r="AU89" s="64" t="s" ph="1">
        <v>303</v>
      </c>
      <c r="AV89" s="64" t="s" ph="1">
        <v>472</v>
      </c>
      <c r="AW89" s="64" t="s" ph="1">
        <v>298</v>
      </c>
      <c r="AX89" s="64" t="s" ph="1">
        <v>331</v>
      </c>
    </row>
    <row r="90" spans="34:52" ph="1">
      <c r="AJ90" s="64" t="s" ph="1">
        <v>473</v>
      </c>
      <c r="AK90" s="64" t="s" ph="1">
        <v>272</v>
      </c>
      <c r="AM90" s="64" t="s" ph="1">
        <v>474</v>
      </c>
      <c r="AN90" s="64" t="s" ph="1">
        <v>269</v>
      </c>
      <c r="AO90" s="64" t="s" ph="1">
        <v>303</v>
      </c>
      <c r="AP90" s="64" t="s" ph="1">
        <v>475</v>
      </c>
      <c r="AQ90" s="64" t="s" ph="1">
        <v>338</v>
      </c>
      <c r="AR90" s="64" t="s" ph="1">
        <v>303</v>
      </c>
      <c r="AS90" s="64" t="s" ph="1">
        <v>476</v>
      </c>
      <c r="AT90" s="64" t="s" ph="1">
        <v>326</v>
      </c>
      <c r="AU90" s="64" t="s" ph="1">
        <v>303</v>
      </c>
      <c r="AV90" s="64" t="s" ph="1">
        <v>477</v>
      </c>
      <c r="AW90" s="64" t="s" ph="1">
        <v>263</v>
      </c>
      <c r="AX90" s="64" t="s" ph="1">
        <v>303</v>
      </c>
    </row>
    <row r="91" spans="34:52" ph="1">
      <c r="AJ91" s="64" t="s" ph="1">
        <v>478</v>
      </c>
      <c r="AK91" s="64" t="s" ph="1">
        <v>316</v>
      </c>
      <c r="AM91" s="64" t="s" ph="1">
        <v>479</v>
      </c>
      <c r="AN91" s="64" t="s" ph="1">
        <v>283</v>
      </c>
      <c r="AO91" s="64" t="s" ph="1">
        <v>303</v>
      </c>
      <c r="AP91" s="64" t="s" ph="1">
        <v>480</v>
      </c>
      <c r="AQ91" s="64" t="s" ph="1">
        <v>263</v>
      </c>
      <c r="AS91" s="64" t="s" ph="1">
        <v>447</v>
      </c>
      <c r="AT91" s="64" t="s" ph="1">
        <v>443</v>
      </c>
      <c r="AU91" s="64" t="s" ph="1">
        <v>444</v>
      </c>
    </row>
    <row r="92" spans="34:52" ph="1">
      <c r="AH92" s="64" ph="1">
        <v>6</v>
      </c>
      <c r="AI92" s="64" t="s" ph="1">
        <v>481</v>
      </c>
      <c r="AJ92" s="64" t="s" ph="1">
        <v>482</v>
      </c>
      <c r="AK92" s="64" t="s" ph="1">
        <v>411</v>
      </c>
      <c r="AM92" s="64" t="s" ph="1">
        <v>483</v>
      </c>
      <c r="AN92" s="64" t="s" ph="1">
        <v>271</v>
      </c>
      <c r="AO92" s="64" t="s" ph="1">
        <v>303</v>
      </c>
      <c r="AP92" s="64" t="s" ph="1">
        <v>484</v>
      </c>
      <c r="AQ92" s="64" t="s" ph="1">
        <v>343</v>
      </c>
      <c r="AR92" s="64" t="s" ph="1">
        <v>303</v>
      </c>
      <c r="AS92" s="64" t="s" ph="1">
        <v>485</v>
      </c>
      <c r="AT92" s="64" t="s" ph="1">
        <v>316</v>
      </c>
      <c r="AU92" s="64" t="s" ph="1">
        <v>303</v>
      </c>
      <c r="AV92" s="64" t="s" ph="1">
        <v>486</v>
      </c>
      <c r="AW92" s="64" t="s" ph="1">
        <v>272</v>
      </c>
      <c r="AX92" s="64" t="s" ph="1">
        <v>303</v>
      </c>
      <c r="AY92" s="64" t="s" ph="1">
        <v>260</v>
      </c>
      <c r="AZ92" s="64" t="s" ph="1">
        <v>467</v>
      </c>
    </row>
    <row r="93" spans="34:52" ph="1">
      <c r="AJ93" s="64" t="s" ph="1">
        <v>487</v>
      </c>
      <c r="AK93" s="64" t="s" ph="1">
        <v>266</v>
      </c>
      <c r="AM93" s="64" t="s" ph="1">
        <v>488</v>
      </c>
      <c r="AN93" s="64" t="s" ph="1">
        <v>271</v>
      </c>
      <c r="AO93" s="64" t="s" ph="1">
        <v>303</v>
      </c>
      <c r="AP93" s="64" t="s" ph="1">
        <v>489</v>
      </c>
      <c r="AQ93" s="64" t="s" ph="1">
        <v>275</v>
      </c>
      <c r="AR93" s="64" t="s" ph="1">
        <v>303</v>
      </c>
      <c r="AS93" s="64" t="s" ph="1">
        <v>490</v>
      </c>
      <c r="AT93" s="64" t="s" ph="1">
        <v>281</v>
      </c>
      <c r="AU93" s="64" t="s" ph="1">
        <v>303</v>
      </c>
      <c r="AV93" s="64" t="s" ph="1">
        <v>491</v>
      </c>
      <c r="AW93" s="64" t="s" ph="1">
        <v>275</v>
      </c>
      <c r="AX93" s="64" t="s" ph="1">
        <v>303</v>
      </c>
    </row>
    <row r="94" spans="34:52" ph="1">
      <c r="AJ94" s="64" t="s" ph="1">
        <v>492</v>
      </c>
      <c r="AK94" s="64" t="s" ph="1">
        <v>338</v>
      </c>
      <c r="AM94" s="64" t="s" ph="1">
        <v>493</v>
      </c>
      <c r="AN94" s="64" t="s" ph="1">
        <v>275</v>
      </c>
      <c r="AO94" s="64" t="s" ph="1">
        <v>303</v>
      </c>
      <c r="AP94" s="64" t="s" ph="1">
        <v>494</v>
      </c>
      <c r="AQ94" s="64" t="s" ph="1">
        <v>283</v>
      </c>
      <c r="AR94" s="64" t="s" ph="1">
        <v>303</v>
      </c>
      <c r="AS94" s="64" t="s" ph="1">
        <v>495</v>
      </c>
      <c r="AT94" s="64" t="s" ph="1">
        <v>269</v>
      </c>
      <c r="AU94" s="64" t="s" ph="1">
        <v>303</v>
      </c>
      <c r="AV94" s="64" t="s" ph="1">
        <v>496</v>
      </c>
      <c r="AW94" s="64" t="s" ph="1">
        <v>269</v>
      </c>
      <c r="AX94" s="64" t="s" ph="1">
        <v>303</v>
      </c>
    </row>
    <row r="95" spans="34:52" ph="1">
      <c r="AJ95" s="64" t="s" ph="1">
        <v>497</v>
      </c>
      <c r="AK95" s="64" t="s" ph="1">
        <v>343</v>
      </c>
    </row>
    <row r="96" spans="34:52" ph="1">
      <c r="AH96" s="64" ph="1">
        <v>7</v>
      </c>
      <c r="AI96" s="64" t="s" ph="1">
        <v>498</v>
      </c>
      <c r="AJ96" s="64" t="s" ph="1">
        <v>497</v>
      </c>
      <c r="AK96" s="64" t="s" ph="1">
        <v>298</v>
      </c>
      <c r="AM96" s="64" t="s" ph="1">
        <v>499</v>
      </c>
      <c r="AN96" s="64" t="s" ph="1">
        <v>272</v>
      </c>
      <c r="AO96" s="64" t="s" ph="1">
        <v>303</v>
      </c>
      <c r="AP96" s="64" t="s" ph="1">
        <v>500</v>
      </c>
      <c r="AQ96" s="64" t="s" ph="1">
        <v>316</v>
      </c>
      <c r="AR96" s="64" t="s" ph="1">
        <v>331</v>
      </c>
      <c r="AS96" s="64" t="s" ph="1">
        <v>501</v>
      </c>
      <c r="AT96" s="64" t="s" ph="1">
        <v>275</v>
      </c>
      <c r="AU96" s="64" t="s" ph="1">
        <v>331</v>
      </c>
      <c r="AV96" s="64" t="s" ph="1">
        <v>502</v>
      </c>
      <c r="AW96" s="64" t="s" ph="1">
        <v>271</v>
      </c>
      <c r="AX96" s="64" t="s" ph="1">
        <v>331</v>
      </c>
      <c r="AY96" s="64" t="s" ph="1">
        <v>260</v>
      </c>
      <c r="AZ96" s="64" t="s" ph="1">
        <v>503</v>
      </c>
    </row>
    <row r="97" spans="33:52" ph="1">
      <c r="AJ97" s="64" t="s" ph="1">
        <v>504</v>
      </c>
      <c r="AK97" s="64" t="s" ph="1">
        <v>326</v>
      </c>
      <c r="AM97" s="64" t="s" ph="1">
        <v>505</v>
      </c>
      <c r="AN97" s="64" t="s" ph="1">
        <v>269</v>
      </c>
      <c r="AO97" s="64" t="s" ph="1">
        <v>303</v>
      </c>
      <c r="AP97" s="64" t="s" ph="1">
        <v>506</v>
      </c>
      <c r="AQ97" s="64" t="s" ph="1">
        <v>263</v>
      </c>
      <c r="AR97" s="64" t="s" ph="1">
        <v>331</v>
      </c>
      <c r="AS97" s="64" t="s" ph="1">
        <v>507</v>
      </c>
      <c r="AT97" s="64" t="s" ph="1">
        <v>266</v>
      </c>
      <c r="AU97" s="64" t="s" ph="1">
        <v>331</v>
      </c>
      <c r="AV97" s="64" t="s" ph="1">
        <v>508</v>
      </c>
      <c r="AW97" s="64" t="s" ph="1">
        <v>272</v>
      </c>
      <c r="AX97" s="64" t="s" ph="1">
        <v>331</v>
      </c>
    </row>
    <row r="98" spans="33:52" ph="1">
      <c r="AJ98" s="64" t="s" ph="1">
        <v>509</v>
      </c>
      <c r="AK98" s="64" t="s" ph="1">
        <v>275</v>
      </c>
      <c r="AM98" s="64" t="s" ph="1">
        <v>510</v>
      </c>
      <c r="AN98" s="64" t="s" ph="1">
        <v>283</v>
      </c>
      <c r="AO98" s="64" t="s" ph="1">
        <v>303</v>
      </c>
      <c r="AP98" s="64" t="s" ph="1">
        <v>511</v>
      </c>
      <c r="AQ98" s="64" t="s" ph="1">
        <v>263</v>
      </c>
      <c r="AR98" s="64" t="s" ph="1">
        <v>331</v>
      </c>
      <c r="AS98" s="64" t="s" ph="1">
        <v>512</v>
      </c>
      <c r="AT98" s="64" t="s" ph="1">
        <v>343</v>
      </c>
      <c r="AU98" s="64" t="s" ph="1">
        <v>331</v>
      </c>
      <c r="AV98" s="64" t="s" ph="1">
        <v>513</v>
      </c>
      <c r="AW98" s="64" t="s" ph="1">
        <v>266</v>
      </c>
      <c r="AX98" s="64" t="s" ph="1">
        <v>331</v>
      </c>
    </row>
    <row r="99" spans="33:52" ph="1">
      <c r="AH99" s="64" ph="1">
        <v>8</v>
      </c>
      <c r="AI99" s="64" t="s" ph="1">
        <v>514</v>
      </c>
      <c r="AJ99" s="64" t="s" ph="1">
        <v>515</v>
      </c>
      <c r="AK99" s="64" t="s" ph="1">
        <v>411</v>
      </c>
      <c r="AM99" s="64" t="s" ph="1">
        <v>516</v>
      </c>
      <c r="AN99" s="64" t="s" ph="1">
        <v>298</v>
      </c>
      <c r="AO99" s="64" t="s" ph="1">
        <v>303</v>
      </c>
      <c r="AP99" s="64" t="s" ph="1">
        <v>517</v>
      </c>
      <c r="AQ99" s="64" t="s" ph="1">
        <v>268</v>
      </c>
      <c r="AR99" s="64" t="s" ph="1">
        <v>331</v>
      </c>
      <c r="AS99" s="64" t="s" ph="1">
        <v>518</v>
      </c>
      <c r="AT99" s="64" t="s" ph="1">
        <v>283</v>
      </c>
      <c r="AU99" s="64" t="s" ph="1">
        <v>331</v>
      </c>
      <c r="AV99" s="64" t="s" ph="1">
        <v>519</v>
      </c>
      <c r="AW99" s="64" t="s" ph="1">
        <v>268</v>
      </c>
      <c r="AX99" s="64" t="s" ph="1">
        <v>331</v>
      </c>
      <c r="AY99" s="64" t="s" ph="1">
        <v>260</v>
      </c>
      <c r="AZ99" s="64" t="s" ph="1">
        <v>520</v>
      </c>
    </row>
    <row r="100" spans="33:52" ph="1">
      <c r="AJ100" s="64" t="s" ph="1">
        <v>521</v>
      </c>
      <c r="AK100" s="64" t="s" ph="1">
        <v>266</v>
      </c>
      <c r="AM100" s="64" t="s" ph="1">
        <v>522</v>
      </c>
      <c r="AN100" s="64" t="s" ph="1">
        <v>338</v>
      </c>
      <c r="AO100" s="64" t="s" ph="1">
        <v>303</v>
      </c>
      <c r="AP100" s="64" t="s" ph="1">
        <v>523</v>
      </c>
      <c r="AQ100" s="64" t="s" ph="1">
        <v>344</v>
      </c>
      <c r="AR100" s="64" t="s" ph="1">
        <v>331</v>
      </c>
      <c r="AS100" s="64" t="s" ph="1">
        <v>524</v>
      </c>
      <c r="AT100" s="64" t="s" ph="1">
        <v>411</v>
      </c>
      <c r="AU100" s="64" t="s" ph="1">
        <v>303</v>
      </c>
      <c r="AV100" s="64" t="s" ph="1">
        <v>525</v>
      </c>
      <c r="AW100" s="64" t="s" ph="1">
        <v>411</v>
      </c>
      <c r="AX100" s="64" t="s" ph="1">
        <v>303</v>
      </c>
    </row>
    <row r="101" spans="33:52" ph="1">
      <c r="AJ101" s="64" t="s" ph="1">
        <v>526</v>
      </c>
      <c r="AK101" s="64" t="s" ph="1">
        <v>411</v>
      </c>
      <c r="AM101" s="64" t="s" ph="1">
        <v>527</v>
      </c>
      <c r="AN101" s="64" t="s" ph="1">
        <v>269</v>
      </c>
      <c r="AO101" s="64" t="s" ph="1">
        <v>303</v>
      </c>
      <c r="AP101" s="64" t="s" ph="1">
        <v>528</v>
      </c>
      <c r="AQ101" s="64" t="s" ph="1">
        <v>281</v>
      </c>
      <c r="AR101" s="64" t="s" ph="1">
        <v>331</v>
      </c>
      <c r="AS101" s="64" t="s" ph="1">
        <v>529</v>
      </c>
      <c r="AT101" s="64" t="s" ph="1">
        <v>338</v>
      </c>
      <c r="AU101" s="64" t="s" ph="1">
        <v>331</v>
      </c>
      <c r="AV101" s="64" t="s" ph="1">
        <v>530</v>
      </c>
      <c r="AW101" s="64" t="s" ph="1">
        <v>269</v>
      </c>
      <c r="AX101" s="64" t="s" ph="1">
        <v>303</v>
      </c>
    </row>
    <row r="102" spans="33:52" ph="1">
      <c r="AJ102" s="64" t="s" ph="1">
        <v>531</v>
      </c>
      <c r="AK102" s="64" t="s" ph="1">
        <v>266</v>
      </c>
      <c r="AM102" s="64" t="s" ph="1">
        <v>532</v>
      </c>
      <c r="AN102" s="64" t="s" ph="1">
        <v>275</v>
      </c>
      <c r="AO102" s="64" t="s" ph="1">
        <v>303</v>
      </c>
      <c r="AP102" s="64" t="s" ph="1">
        <v>533</v>
      </c>
      <c r="AQ102" s="64" t="s" ph="1">
        <v>281</v>
      </c>
      <c r="AR102" s="64" t="s" ph="1">
        <v>303</v>
      </c>
      <c r="AS102" s="64" t="s" ph="1">
        <v>534</v>
      </c>
      <c r="AT102" s="64" t="s" ph="1">
        <v>298</v>
      </c>
      <c r="AU102" s="64" t="s" ph="1">
        <v>303</v>
      </c>
      <c r="AV102" s="64" t="s" ph="1">
        <v>535</v>
      </c>
      <c r="AW102" s="64" t="s" ph="1">
        <v>316</v>
      </c>
      <c r="AX102" s="64" t="s" ph="1">
        <v>303</v>
      </c>
    </row>
    <row r="103" spans="33:52" ph="1">
      <c r="AH103" s="64" ph="1">
        <v>9</v>
      </c>
      <c r="AI103" s="64" t="s" ph="1">
        <v>536</v>
      </c>
      <c r="AJ103" s="64" t="s" ph="1">
        <v>537</v>
      </c>
      <c r="AK103" s="64" t="s" ph="1">
        <v>411</v>
      </c>
      <c r="AM103" s="64" t="s" ph="1">
        <v>538</v>
      </c>
      <c r="AN103" s="64" t="s" ph="1">
        <v>326</v>
      </c>
      <c r="AO103" s="64" t="s" ph="1">
        <v>303</v>
      </c>
      <c r="AP103" s="64" t="s" ph="1">
        <v>380</v>
      </c>
      <c r="AQ103" s="64" t="s" ph="1">
        <v>269</v>
      </c>
      <c r="AR103" s="64" t="s" ph="1">
        <v>303</v>
      </c>
      <c r="AS103" s="64" t="s" ph="1">
        <v>614</v>
      </c>
      <c r="AT103" s="64" t="s" ph="1">
        <v>411</v>
      </c>
      <c r="AU103" s="64" t="s" ph="1">
        <v>303</v>
      </c>
      <c r="AY103" s="64" t="s" ph="1">
        <v>260</v>
      </c>
      <c r="AZ103" s="64" t="s" ph="1">
        <v>268</v>
      </c>
    </row>
    <row r="104" spans="33:52" ph="1">
      <c r="AZ104" s="64" t="s" ph="1">
        <v>539</v>
      </c>
    </row>
    <row r="105" spans="33:52" ph="1">
      <c r="AG105" s="64" t="s" ph="1">
        <v>339</v>
      </c>
      <c r="AI105" s="64" t="s" ph="1">
        <v>253</v>
      </c>
      <c r="AJ105" s="64" t="s" ph="1">
        <v>254</v>
      </c>
      <c r="AK105" s="64" t="s" ph="1">
        <v>255</v>
      </c>
      <c r="AM105" s="64" t="s" ph="1">
        <v>254</v>
      </c>
      <c r="AN105" s="64" t="s" ph="1">
        <v>255</v>
      </c>
      <c r="AO105" s="64" t="s" ph="1">
        <v>256</v>
      </c>
      <c r="AP105" s="64" t="s" ph="1">
        <v>254</v>
      </c>
      <c r="AQ105" s="64" t="s" ph="1">
        <v>255</v>
      </c>
      <c r="AR105" s="64" t="s" ph="1">
        <v>256</v>
      </c>
      <c r="AS105" s="64" t="s" ph="1">
        <v>254</v>
      </c>
      <c r="AT105" s="64" t="s" ph="1">
        <v>255</v>
      </c>
      <c r="AU105" s="64" t="s" ph="1">
        <v>256</v>
      </c>
      <c r="AV105" s="64" t="s" ph="1">
        <v>254</v>
      </c>
      <c r="AW105" s="64" t="s" ph="1">
        <v>255</v>
      </c>
      <c r="AX105" s="64" t="s" ph="1">
        <v>256</v>
      </c>
      <c r="AZ105" s="64" t="s" ph="1">
        <v>257</v>
      </c>
    </row>
    <row r="106" spans="33:52" ph="1">
      <c r="AH106" s="64" ph="1">
        <v>1</v>
      </c>
      <c r="AI106" s="64" t="s" ph="1">
        <v>540</v>
      </c>
      <c r="AJ106" s="64" t="s" ph="1">
        <v>614</v>
      </c>
      <c r="AK106" s="64" t="s" ph="1">
        <v>275</v>
      </c>
      <c r="AZ106" s="64" t="s" ph="1">
        <v>275</v>
      </c>
    </row>
    <row r="107" spans="33:52" ph="1">
      <c r="AH107" s="64" ph="1">
        <v>2</v>
      </c>
      <c r="AI107" s="64" t="s" ph="1">
        <v>541</v>
      </c>
      <c r="AJ107" s="64" t="s" ph="1">
        <v>542</v>
      </c>
      <c r="AK107" s="64" t="s" ph="1">
        <v>272</v>
      </c>
      <c r="AM107" s="64" t="s" ph="1">
        <v>378</v>
      </c>
      <c r="AN107" s="64" t="s" ph="1">
        <v>543</v>
      </c>
      <c r="AO107" s="64" t="s" ph="1">
        <v>544</v>
      </c>
      <c r="AP107" s="64" t="s" ph="1">
        <v>380</v>
      </c>
      <c r="AQ107" s="64" t="s" ph="1">
        <v>348</v>
      </c>
      <c r="AR107" s="64" t="s" ph="1">
        <v>544</v>
      </c>
      <c r="AS107" s="64" t="s" ph="1">
        <v>614</v>
      </c>
      <c r="AT107" s="64" t="s" ph="1">
        <v>543</v>
      </c>
      <c r="AU107" s="64" t="s" ph="1">
        <v>544</v>
      </c>
      <c r="AY107" s="64" t="s" ph="1">
        <v>260</v>
      </c>
      <c r="AZ107" s="64" t="s" ph="1">
        <v>624</v>
      </c>
    </row>
    <row r="108" spans="33:52" ph="1">
      <c r="AH108" s="64" ph="1">
        <v>3</v>
      </c>
      <c r="AI108" s="64" t="s" ph="1">
        <v>545</v>
      </c>
      <c r="AY108" s="64" t="s" ph="1">
        <v>260</v>
      </c>
      <c r="AZ108" s="64" t="s" ph="1">
        <v>411</v>
      </c>
    </row>
    <row r="109" spans="33:52" ph="1">
      <c r="AH109" s="64" ph="1">
        <v>4</v>
      </c>
      <c r="AI109" s="64" t="s" ph="1">
        <v>546</v>
      </c>
      <c r="AY109" s="64" t="s" ph="1">
        <v>260</v>
      </c>
      <c r="AZ109" s="64" t="s" ph="1">
        <v>411</v>
      </c>
    </row>
    <row r="110" spans="33:52" ph="1">
      <c r="AH110" s="64" ph="1">
        <v>5</v>
      </c>
      <c r="AI110" s="64" t="s" ph="1">
        <v>547</v>
      </c>
      <c r="AY110" s="64" t="s" ph="1">
        <v>260</v>
      </c>
      <c r="AZ110" s="64" t="s" ph="1">
        <v>411</v>
      </c>
    </row>
    <row r="111" spans="33:52" ph="1">
      <c r="AH111" s="64" ph="1">
        <v>6</v>
      </c>
      <c r="AI111" s="64" t="s" ph="1">
        <v>625</v>
      </c>
      <c r="AJ111" s="64" t="s" ph="1">
        <v>530</v>
      </c>
      <c r="AK111" s="64" t="s" ph="1">
        <v>269</v>
      </c>
      <c r="AM111" s="64" t="s" ph="1">
        <v>531</v>
      </c>
      <c r="AN111" s="64" t="s" ph="1">
        <v>263</v>
      </c>
      <c r="AO111" s="64" t="s" ph="1">
        <v>544</v>
      </c>
      <c r="AP111" s="64" t="s" ph="1">
        <v>532</v>
      </c>
      <c r="AQ111" s="64" t="s" ph="1">
        <v>272</v>
      </c>
      <c r="AR111" s="64" t="s" ph="1">
        <v>544</v>
      </c>
      <c r="AS111" s="64" t="s" ph="1">
        <v>533</v>
      </c>
      <c r="AT111" s="64" t="s" ph="1">
        <v>281</v>
      </c>
      <c r="AU111" s="64" t="s" ph="1">
        <v>544</v>
      </c>
      <c r="AV111" s="64" t="s" ph="1">
        <v>534</v>
      </c>
      <c r="AW111" s="64" t="s" ph="1">
        <v>271</v>
      </c>
      <c r="AX111" s="64" t="s" ph="1">
        <v>544</v>
      </c>
      <c r="AY111" s="64" t="s" ph="1">
        <v>260</v>
      </c>
      <c r="AZ111" s="64" t="s" ph="1">
        <v>548</v>
      </c>
    </row>
    <row r="112" spans="33:52" ph="1">
      <c r="AJ112" s="64" t="s" ph="1">
        <v>535</v>
      </c>
      <c r="AK112" s="64" t="s" ph="1">
        <v>316</v>
      </c>
      <c r="AM112" s="64" t="s" ph="1">
        <v>537</v>
      </c>
      <c r="AN112" s="64" t="s" ph="1">
        <v>340</v>
      </c>
      <c r="AO112" s="64" t="s" ph="1">
        <v>544</v>
      </c>
      <c r="AP112" s="64" t="s" ph="1">
        <v>538</v>
      </c>
      <c r="AQ112" s="64" t="s" ph="1">
        <v>549</v>
      </c>
      <c r="AR112" s="64" t="s" ph="1">
        <v>544</v>
      </c>
      <c r="AS112" s="64" t="s" ph="1">
        <v>550</v>
      </c>
      <c r="AT112" s="64" t="s" ph="1">
        <v>292</v>
      </c>
      <c r="AU112" s="64" t="s" ph="1">
        <v>544</v>
      </c>
      <c r="AV112" s="64" t="s" ph="1">
        <v>551</v>
      </c>
      <c r="AW112" s="64" t="s" ph="1">
        <v>338</v>
      </c>
      <c r="AX112" s="64" t="s" ph="1">
        <v>544</v>
      </c>
    </row>
    <row r="113" spans="33:52" ph="1">
      <c r="AH113" s="64" ph="1">
        <v>7</v>
      </c>
      <c r="AI113" s="64" t="s" ph="1">
        <v>552</v>
      </c>
      <c r="AJ113" s="64" t="s" ph="1">
        <v>633</v>
      </c>
      <c r="AK113" s="64" t="s" ph="1">
        <v>638</v>
      </c>
      <c r="AY113" s="64" t="s" ph="1">
        <v>260</v>
      </c>
      <c r="AZ113" s="64" t="s" ph="1">
        <v>638</v>
      </c>
    </row>
    <row r="114" spans="33:52" ph="1">
      <c r="AH114" s="64" ph="1">
        <v>8</v>
      </c>
      <c r="AI114" s="64" t="s" ph="1">
        <v>553</v>
      </c>
      <c r="AJ114" s="64" t="s" ph="1">
        <v>633</v>
      </c>
      <c r="AK114" s="64" t="s" ph="1">
        <v>639</v>
      </c>
      <c r="AY114" s="64" t="s" ph="1">
        <v>260</v>
      </c>
      <c r="AZ114" s="64" t="s" ph="1">
        <v>639</v>
      </c>
    </row>
    <row r="115" spans="33:52" ph="1">
      <c r="AH115" s="64" ph="1">
        <v>9</v>
      </c>
      <c r="AI115" s="64" t="s" ph="1">
        <v>554</v>
      </c>
      <c r="AJ115" s="64" t="s" ph="1">
        <v>633</v>
      </c>
      <c r="AK115" s="64" t="s" ph="1">
        <v>639</v>
      </c>
      <c r="AY115" s="64" t="s" ph="1">
        <v>260</v>
      </c>
      <c r="AZ115" s="64" t="s" ph="1">
        <v>639</v>
      </c>
    </row>
    <row r="116" spans="33:52" ph="1">
      <c r="AH116" s="64" ph="1">
        <v>10</v>
      </c>
      <c r="AI116" s="64" t="s" ph="1">
        <v>555</v>
      </c>
      <c r="AJ116" s="64" t="s" ph="1">
        <v>633</v>
      </c>
      <c r="AK116" s="64" t="s" ph="1">
        <v>639</v>
      </c>
      <c r="AY116" s="64" t="s" ph="1">
        <v>260</v>
      </c>
      <c r="AZ116" s="64" t="s" ph="1">
        <v>639</v>
      </c>
    </row>
    <row r="117" spans="33:52" ph="1">
      <c r="AH117" s="64" ph="1">
        <v>11</v>
      </c>
      <c r="AI117" s="64" t="s" ph="1">
        <v>556</v>
      </c>
      <c r="AJ117" s="64" t="s" ph="1">
        <v>633</v>
      </c>
      <c r="AK117" s="64" t="s" ph="1">
        <v>639</v>
      </c>
      <c r="AY117" s="64" t="s" ph="1">
        <v>260</v>
      </c>
      <c r="AZ117" s="64" t="s" ph="1">
        <v>639</v>
      </c>
    </row>
    <row r="118" spans="33:52" ph="1">
      <c r="AZ118" s="64" t="s" ph="1">
        <v>640</v>
      </c>
    </row>
    <row r="119" spans="33:52" ph="1">
      <c r="AI119" s="64" t="s" ph="1">
        <v>253</v>
      </c>
      <c r="AJ119" s="64" t="s" ph="1">
        <v>254</v>
      </c>
      <c r="AK119" s="64" t="s" ph="1">
        <v>255</v>
      </c>
      <c r="AM119" s="64" t="s" ph="1">
        <v>254</v>
      </c>
      <c r="AN119" s="64" t="s" ph="1">
        <v>255</v>
      </c>
      <c r="AO119" s="64" t="s" ph="1">
        <v>256</v>
      </c>
      <c r="AP119" s="64" t="s" ph="1">
        <v>254</v>
      </c>
      <c r="AQ119" s="64" t="s" ph="1">
        <v>255</v>
      </c>
      <c r="AR119" s="64" t="s" ph="1">
        <v>256</v>
      </c>
      <c r="AS119" s="64" t="s" ph="1">
        <v>254</v>
      </c>
      <c r="AT119" s="64" t="s" ph="1">
        <v>255</v>
      </c>
      <c r="AU119" s="64" t="s" ph="1">
        <v>256</v>
      </c>
      <c r="AV119" s="64" t="s" ph="1">
        <v>254</v>
      </c>
      <c r="AW119" s="64" t="s" ph="1">
        <v>255</v>
      </c>
      <c r="AX119" s="64" t="s" ph="1">
        <v>256</v>
      </c>
      <c r="AY119" s="64" t="s" ph="1">
        <v>255</v>
      </c>
      <c r="AZ119" s="64" t="s" ph="1">
        <v>257</v>
      </c>
    </row>
    <row r="120" spans="33:52" ph="1">
      <c r="AG120" s="64" t="s" ph="1">
        <v>397</v>
      </c>
      <c r="AH120" s="64" ph="1">
        <v>1</v>
      </c>
      <c r="AI120" s="64" t="s" ph="1">
        <v>557</v>
      </c>
      <c r="AJ120" s="64" t="s" ph="1">
        <v>631</v>
      </c>
      <c r="AK120" s="64" t="s" ph="1">
        <v>411</v>
      </c>
      <c r="AY120" s="64" t="s" ph="1">
        <v>260</v>
      </c>
      <c r="AZ120" s="64" t="s" ph="1">
        <v>411</v>
      </c>
    </row>
    <row r="121" spans="33:52" ph="1">
      <c r="AH121" s="64" ph="1">
        <v>2</v>
      </c>
      <c r="AI121" s="64" t="s" ph="1">
        <v>558</v>
      </c>
      <c r="AY121" s="64" t="s" ph="1">
        <v>260</v>
      </c>
      <c r="AZ121" s="64" t="s" ph="1">
        <v>411</v>
      </c>
    </row>
    <row r="122" spans="33:52" ph="1">
      <c r="AH122" s="64" ph="1">
        <v>3</v>
      </c>
      <c r="AI122" s="64" t="s" ph="1">
        <v>559</v>
      </c>
      <c r="AJ122" s="64" t="s" ph="1">
        <v>614</v>
      </c>
      <c r="AK122" s="64" t="s" ph="1">
        <v>626</v>
      </c>
      <c r="AM122" s="64" t="s" ph="1">
        <v>641</v>
      </c>
      <c r="AN122" s="64" t="s" ph="1">
        <v>634</v>
      </c>
      <c r="AO122" s="64" t="s" ph="1">
        <v>109</v>
      </c>
      <c r="AY122" s="64" t="s" ph="1">
        <v>260</v>
      </c>
      <c r="AZ122" s="64" t="s" ph="1">
        <v>623</v>
      </c>
    </row>
    <row r="123" spans="33:52" ph="1">
      <c r="AY123" s="64" t="s" ph="1">
        <v>260</v>
      </c>
      <c r="AZ123" s="64" t="s" ph="1">
        <v>623</v>
      </c>
    </row>
    <row r="124" spans="33:52" ph="1">
      <c r="AG124" s="64" t="s" ph="1">
        <v>400</v>
      </c>
      <c r="AH124" s="64" ph="1">
        <v>4</v>
      </c>
      <c r="AI124" s="64" t="s" ph="1">
        <v>560</v>
      </c>
      <c r="AJ124" s="64" t="s" ph="1">
        <v>561</v>
      </c>
      <c r="AK124" s="64" t="s" ph="1">
        <v>562</v>
      </c>
      <c r="AY124" s="64" t="s" ph="1">
        <v>260</v>
      </c>
      <c r="AZ124" s="64" t="s" ph="1">
        <v>562</v>
      </c>
    </row>
    <row r="125" spans="33:52" ph="1">
      <c r="AH125" s="64" ph="1">
        <v>5</v>
      </c>
      <c r="AI125" s="64" t="s" ph="1">
        <v>563</v>
      </c>
      <c r="AJ125" s="64" t="s" ph="1">
        <v>561</v>
      </c>
      <c r="AK125" s="64" t="s" ph="1">
        <v>562</v>
      </c>
      <c r="AY125" s="64" t="s" ph="1">
        <v>260</v>
      </c>
      <c r="AZ125" s="64" t="s" ph="1">
        <v>562</v>
      </c>
    </row>
    <row r="126" spans="33:52" ph="1">
      <c r="AH126" s="64" ph="1">
        <v>6</v>
      </c>
      <c r="AI126" s="64" t="s" ph="1">
        <v>564</v>
      </c>
      <c r="AJ126" s="64" t="s" ph="1">
        <v>633</v>
      </c>
      <c r="AK126" s="64" t="s" ph="1">
        <v>642</v>
      </c>
      <c r="AY126" s="64" t="s" ph="1">
        <v>260</v>
      </c>
      <c r="AZ126" s="64" t="s" ph="1">
        <v>642</v>
      </c>
    </row>
    <row r="127" spans="33:52" ph="1">
      <c r="AH127" s="64" ph="1">
        <v>7</v>
      </c>
      <c r="AI127" s="64" t="s" ph="1">
        <v>565</v>
      </c>
      <c r="AJ127" s="64" t="s" ph="1">
        <v>633</v>
      </c>
      <c r="AK127" s="64" t="s" ph="1">
        <v>643</v>
      </c>
      <c r="AY127" s="64" t="s" ph="1">
        <v>260</v>
      </c>
      <c r="AZ127" s="64" t="s" ph="1">
        <v>643</v>
      </c>
    </row>
    <row r="128" spans="33:52" ph="1">
      <c r="AH128" s="64" ph="1">
        <v>8</v>
      </c>
      <c r="AI128" s="64" t="s" ph="1">
        <v>566</v>
      </c>
      <c r="AY128" s="64" t="s" ph="1">
        <v>260</v>
      </c>
      <c r="AZ128" s="64" t="s" ph="1">
        <v>411</v>
      </c>
    </row>
    <row r="129" spans="33:52" ph="1">
      <c r="AH129" s="64" ph="1">
        <v>9</v>
      </c>
      <c r="AI129" s="64" t="s" ph="1">
        <v>567</v>
      </c>
      <c r="AY129" s="64" t="s" ph="1">
        <v>260</v>
      </c>
      <c r="AZ129" s="64" t="s" ph="1">
        <v>411</v>
      </c>
    </row>
    <row r="130" spans="33:52" ph="1">
      <c r="AH130" s="64" ph="1">
        <v>10</v>
      </c>
      <c r="AI130" s="64" t="s" ph="1">
        <v>568</v>
      </c>
      <c r="AY130" s="64" t="s" ph="1">
        <v>260</v>
      </c>
      <c r="AZ130" s="64" t="s" ph="1">
        <v>411</v>
      </c>
    </row>
    <row r="131" spans="33:52" ph="1">
      <c r="AH131" s="64" ph="1">
        <v>11</v>
      </c>
      <c r="AI131" s="64" t="s" ph="1">
        <v>569</v>
      </c>
      <c r="AJ131" s="64" t="s" ph="1">
        <v>627</v>
      </c>
      <c r="AK131" s="64" t="s" ph="1">
        <v>623</v>
      </c>
      <c r="AY131" s="64" t="s" ph="1">
        <v>260</v>
      </c>
      <c r="AZ131" s="64" t="s" ph="1">
        <v>623</v>
      </c>
    </row>
    <row r="132" spans="33:52" ph="1">
      <c r="AH132" s="64" ph="1">
        <v>12</v>
      </c>
      <c r="AI132" s="64" t="s" ph="1">
        <v>570</v>
      </c>
      <c r="AJ132" s="64" t="s" ph="1">
        <v>627</v>
      </c>
      <c r="AK132" s="64" t="s" ph="1">
        <v>562</v>
      </c>
      <c r="AY132" s="64" t="s" ph="1">
        <v>260</v>
      </c>
      <c r="AZ132" s="64" t="s" ph="1">
        <v>562</v>
      </c>
    </row>
    <row r="133" spans="33:52" ph="1">
      <c r="AH133" s="64" ph="1">
        <v>13</v>
      </c>
      <c r="AI133" s="64" t="s" ph="1">
        <v>571</v>
      </c>
      <c r="AJ133" s="64" t="s" ph="1">
        <v>627</v>
      </c>
      <c r="AK133" s="64" t="s" ph="1">
        <v>628</v>
      </c>
      <c r="AY133" s="64" t="s" ph="1">
        <v>260</v>
      </c>
      <c r="AZ133" s="64" t="s" ph="1">
        <v>628</v>
      </c>
    </row>
    <row r="134" spans="33:52" ph="1">
      <c r="AH134" s="64" ph="1">
        <v>14</v>
      </c>
      <c r="AI134" s="64" t="s" ph="1">
        <v>572</v>
      </c>
      <c r="AJ134" s="64" t="s" ph="1">
        <v>627</v>
      </c>
      <c r="AK134" s="64" t="s" ph="1">
        <v>629</v>
      </c>
      <c r="AY134" s="64" t="s" ph="1">
        <v>260</v>
      </c>
      <c r="AZ134" s="64" t="s" ph="1">
        <v>629</v>
      </c>
    </row>
    <row r="135" spans="33:52" ph="1">
      <c r="AH135" s="64" ph="1">
        <v>15</v>
      </c>
      <c r="AI135" s="64" t="s" ph="1">
        <v>573</v>
      </c>
      <c r="AJ135" s="64" t="s" ph="1">
        <v>627</v>
      </c>
      <c r="AK135" s="64" t="s" ph="1">
        <v>630</v>
      </c>
      <c r="AY135" s="64" t="s" ph="1">
        <v>260</v>
      </c>
      <c r="AZ135" s="64" t="s" ph="1">
        <v>630</v>
      </c>
    </row>
    <row r="136" spans="33:52" ph="1">
      <c r="AZ136" s="64" t="s" ph="1">
        <v>644</v>
      </c>
    </row>
    <row r="137" spans="33:52" ph="1">
      <c r="AG137" s="64" t="s" ph="1">
        <v>334</v>
      </c>
      <c r="AI137" s="64" t="s" ph="1">
        <v>253</v>
      </c>
      <c r="AJ137" s="64" t="s" ph="1">
        <v>254</v>
      </c>
      <c r="AK137" s="64" t="s" ph="1">
        <v>255</v>
      </c>
      <c r="AM137" s="64" t="s" ph="1">
        <v>254</v>
      </c>
      <c r="AN137" s="64" t="s" ph="1">
        <v>255</v>
      </c>
      <c r="AO137" s="64" t="s" ph="1">
        <v>256</v>
      </c>
      <c r="AP137" s="64" t="s" ph="1">
        <v>254</v>
      </c>
      <c r="AQ137" s="64" t="s" ph="1">
        <v>255</v>
      </c>
      <c r="AR137" s="64" t="s" ph="1">
        <v>256</v>
      </c>
      <c r="AS137" s="64" t="s" ph="1">
        <v>254</v>
      </c>
      <c r="AT137" s="64" t="s" ph="1">
        <v>255</v>
      </c>
      <c r="AU137" s="64" t="s" ph="1">
        <v>256</v>
      </c>
      <c r="AV137" s="64" t="s" ph="1">
        <v>254</v>
      </c>
      <c r="AW137" s="64" t="s" ph="1">
        <v>255</v>
      </c>
      <c r="AX137" s="64" t="s" ph="1">
        <v>256</v>
      </c>
      <c r="AY137" s="64" t="s" ph="1">
        <v>255</v>
      </c>
      <c r="AZ137" s="64" t="s" ph="1">
        <v>257</v>
      </c>
    </row>
    <row r="138" spans="33:52" ph="1">
      <c r="AH138" s="64" ph="1">
        <v>1</v>
      </c>
      <c r="AI138" s="64" t="s" ph="1">
        <v>574</v>
      </c>
      <c r="AJ138" s="64" t="s" ph="1">
        <v>575</v>
      </c>
      <c r="AK138" s="64" t="s" ph="1">
        <v>576</v>
      </c>
      <c r="AY138" s="64" t="s" ph="1">
        <v>260</v>
      </c>
      <c r="AZ138" s="64" t="s" ph="1">
        <v>576</v>
      </c>
    </row>
    <row r="139" spans="33:52" ph="1">
      <c r="AH139" s="64" ph="1">
        <v>2</v>
      </c>
      <c r="AI139" s="64" t="s" ph="1">
        <v>577</v>
      </c>
      <c r="AJ139" s="64" t="s" ph="1">
        <v>633</v>
      </c>
      <c r="AK139" s="64" t="s" ph="1">
        <v>645</v>
      </c>
      <c r="AY139" s="64" t="s" ph="1">
        <v>260</v>
      </c>
      <c r="AZ139" s="64" t="s" ph="1">
        <v>645</v>
      </c>
    </row>
    <row r="140" spans="33:52" ph="1">
      <c r="AH140" s="64" ph="1">
        <v>3</v>
      </c>
      <c r="AI140" s="64" t="s" ph="1">
        <v>578</v>
      </c>
      <c r="AJ140" s="64" t="s" ph="1">
        <v>531</v>
      </c>
      <c r="AK140" s="64" t="s" ph="1">
        <v>343</v>
      </c>
      <c r="AM140" s="64" t="s" ph="1">
        <v>532</v>
      </c>
      <c r="AN140" s="64" t="s" ph="1">
        <v>263</v>
      </c>
      <c r="AO140" s="64" t="s" ph="1">
        <v>579</v>
      </c>
      <c r="AP140" s="64" t="s" ph="1">
        <v>533</v>
      </c>
      <c r="AQ140" s="64" t="s" ph="1">
        <v>280</v>
      </c>
      <c r="AR140" s="64" t="s" ph="1">
        <v>579</v>
      </c>
      <c r="AS140" s="64" t="s" ph="1">
        <v>534</v>
      </c>
      <c r="AT140" s="64" t="s" ph="1">
        <v>273</v>
      </c>
      <c r="AU140" s="64" t="s" ph="1">
        <v>579</v>
      </c>
      <c r="AV140" s="64" t="s" ph="1">
        <v>535</v>
      </c>
      <c r="AW140" s="64" t="s" ph="1">
        <v>266</v>
      </c>
      <c r="AX140" s="64" t="s" ph="1">
        <v>579</v>
      </c>
      <c r="AY140" s="64" t="s" ph="1">
        <v>260</v>
      </c>
      <c r="AZ140" s="64" t="s" ph="1">
        <v>335</v>
      </c>
    </row>
    <row r="141" spans="33:52" ph="1">
      <c r="AJ141" s="64" t="s" ph="1">
        <v>537</v>
      </c>
      <c r="AK141" s="64" t="s" ph="1">
        <v>266</v>
      </c>
      <c r="AM141" s="64" t="s" ph="1">
        <v>538</v>
      </c>
      <c r="AN141" s="64" t="s" ph="1">
        <v>269</v>
      </c>
      <c r="AO141" s="64" t="s" ph="1">
        <v>579</v>
      </c>
      <c r="AP141" s="64" t="s" ph="1">
        <v>550</v>
      </c>
      <c r="AQ141" s="64" t="s" ph="1">
        <v>338</v>
      </c>
      <c r="AR141" s="64" t="s" ph="1">
        <v>579</v>
      </c>
      <c r="AS141" s="64" t="s" ph="1">
        <v>542</v>
      </c>
      <c r="AT141" s="64" t="s" ph="1">
        <v>266</v>
      </c>
      <c r="AU141" s="64" t="s" ph="1">
        <v>579</v>
      </c>
      <c r="AV141" s="64" t="s" ph="1">
        <v>378</v>
      </c>
      <c r="AW141" s="64" t="s" ph="1">
        <v>272</v>
      </c>
      <c r="AX141" s="64" t="s" ph="1">
        <v>579</v>
      </c>
    </row>
    <row r="142" spans="33:52" ph="1">
      <c r="AJ142" s="64" t="s" ph="1">
        <v>580</v>
      </c>
      <c r="AK142" s="64" t="s" ph="1">
        <v>283</v>
      </c>
    </row>
    <row r="143" spans="33:52" ph="1">
      <c r="AH143" s="64" ph="1">
        <v>4</v>
      </c>
      <c r="AI143" s="64" t="s" ph="1">
        <v>581</v>
      </c>
      <c r="AJ143" s="64" t="s" ph="1">
        <v>561</v>
      </c>
      <c r="AK143" s="64" t="s" ph="1">
        <v>582</v>
      </c>
      <c r="AY143" s="64" t="s" ph="1">
        <v>260</v>
      </c>
      <c r="AZ143" s="64" t="s" ph="1">
        <v>582</v>
      </c>
    </row>
    <row r="144" spans="33:52" ph="1">
      <c r="AH144" s="64" ph="1">
        <v>5</v>
      </c>
      <c r="AI144" s="64" t="s" ph="1">
        <v>583</v>
      </c>
      <c r="AY144" s="64" t="s" ph="1">
        <v>260</v>
      </c>
      <c r="AZ144" s="64" t="s" ph="1">
        <v>411</v>
      </c>
    </row>
    <row r="145" spans="33:52" ph="1">
      <c r="AH145" s="64" ph="1">
        <v>6</v>
      </c>
      <c r="AI145" s="64" t="s" ph="1">
        <v>584</v>
      </c>
      <c r="AY145" s="64" t="s" ph="1">
        <v>260</v>
      </c>
      <c r="AZ145" s="64" t="s" ph="1">
        <v>411</v>
      </c>
    </row>
    <row r="146" spans="33:52" ph="1">
      <c r="AH146" s="64" ph="1">
        <v>7</v>
      </c>
      <c r="AI146" s="64" t="s" ph="1">
        <v>585</v>
      </c>
      <c r="AY146" s="64" t="s" ph="1">
        <v>260</v>
      </c>
      <c r="AZ146" s="64" t="s" ph="1">
        <v>411</v>
      </c>
    </row>
    <row r="147" spans="33:52" ph="1">
      <c r="AH147" s="64" ph="1">
        <v>8</v>
      </c>
      <c r="AI147" s="64" t="s" ph="1">
        <v>586</v>
      </c>
      <c r="AY147" s="64" t="s" ph="1">
        <v>260</v>
      </c>
      <c r="AZ147" s="64" t="s" ph="1">
        <v>411</v>
      </c>
    </row>
    <row r="148" spans="33:52" ph="1">
      <c r="AH148" s="64" ph="1">
        <v>9</v>
      </c>
      <c r="AI148" s="64" t="s" ph="1">
        <v>587</v>
      </c>
      <c r="AY148" s="64" t="s" ph="1">
        <v>260</v>
      </c>
      <c r="AZ148" s="64" t="s" ph="1">
        <v>411</v>
      </c>
    </row>
    <row r="149" spans="33:52" ph="1">
      <c r="AH149" s="64" ph="1">
        <v>10</v>
      </c>
      <c r="AI149" s="64" t="s" ph="1">
        <v>588</v>
      </c>
      <c r="AY149" s="64" t="s" ph="1">
        <v>260</v>
      </c>
      <c r="AZ149" s="64" t="s" ph="1">
        <v>411</v>
      </c>
    </row>
    <row r="150" spans="33:52" ph="1">
      <c r="AH150" s="64" ph="1">
        <v>11</v>
      </c>
      <c r="AI150" s="64" t="s" ph="1">
        <v>589</v>
      </c>
      <c r="AY150" s="64" t="s" ph="1">
        <v>260</v>
      </c>
      <c r="AZ150" s="64" t="s" ph="1">
        <v>411</v>
      </c>
    </row>
    <row r="151" spans="33:52" ph="1">
      <c r="AH151" s="64" ph="1">
        <v>12</v>
      </c>
      <c r="AI151" s="64" t="s" ph="1">
        <v>590</v>
      </c>
      <c r="AY151" s="64" t="s" ph="1">
        <v>260</v>
      </c>
      <c r="AZ151" s="64" t="s" ph="1">
        <v>411</v>
      </c>
    </row>
    <row r="152" spans="33:52" ph="1">
      <c r="AH152" s="64" ph="1">
        <v>13</v>
      </c>
      <c r="AI152" s="64" t="s" ph="1">
        <v>591</v>
      </c>
      <c r="AY152" s="64" t="s" ph="1">
        <v>260</v>
      </c>
      <c r="AZ152" s="64" t="s" ph="1">
        <v>411</v>
      </c>
    </row>
    <row r="153" spans="33:52" ph="1">
      <c r="AH153" s="64" ph="1">
        <v>14</v>
      </c>
      <c r="AI153" s="64" t="s" ph="1">
        <v>592</v>
      </c>
      <c r="AY153" s="64" t="s" ph="1">
        <v>260</v>
      </c>
      <c r="AZ153" s="64" t="s" ph="1">
        <v>411</v>
      </c>
    </row>
    <row r="154" spans="33:52" ph="1">
      <c r="AH154" s="64" ph="1">
        <v>15</v>
      </c>
      <c r="AI154" s="64" t="s" ph="1">
        <v>593</v>
      </c>
      <c r="AY154" s="64" t="s" ph="1">
        <v>260</v>
      </c>
      <c r="AZ154" s="64" t="s" ph="1">
        <v>411</v>
      </c>
    </row>
    <row r="155" spans="33:52" ph="1">
      <c r="AH155" s="64" ph="1">
        <v>16</v>
      </c>
      <c r="AI155" s="64" t="s" ph="1">
        <v>594</v>
      </c>
      <c r="AJ155" s="64" t="s" ph="1">
        <v>380</v>
      </c>
      <c r="AK155" s="64" t="s" ph="1">
        <v>275</v>
      </c>
      <c r="AM155" s="64" t="s" ph="1">
        <v>614</v>
      </c>
      <c r="AN155" s="64" t="s" ph="1">
        <v>326</v>
      </c>
      <c r="AO155" s="64" t="s" ph="1">
        <v>579</v>
      </c>
      <c r="AY155" s="64" t="s" ph="1">
        <v>260</v>
      </c>
      <c r="AZ155" s="64" t="s" ph="1">
        <v>267</v>
      </c>
    </row>
    <row r="156" spans="33:52" ph="1">
      <c r="AZ156" s="64" t="s" ph="1">
        <v>646</v>
      </c>
    </row>
    <row r="157" spans="33:52" ph="1">
      <c r="AG157" s="64" t="s" ph="1">
        <v>595</v>
      </c>
      <c r="AI157" s="64" t="s" ph="1">
        <v>253</v>
      </c>
      <c r="AJ157" s="64" t="s" ph="1">
        <v>254</v>
      </c>
      <c r="AK157" s="64" t="s" ph="1">
        <v>255</v>
      </c>
      <c r="AM157" s="64" t="s" ph="1">
        <v>254</v>
      </c>
      <c r="AN157" s="64" t="s" ph="1">
        <v>255</v>
      </c>
      <c r="AO157" s="64" t="s" ph="1">
        <v>256</v>
      </c>
      <c r="AP157" s="64" t="s" ph="1">
        <v>254</v>
      </c>
      <c r="AQ157" s="64" t="s" ph="1">
        <v>255</v>
      </c>
      <c r="AR157" s="64" t="s" ph="1">
        <v>256</v>
      </c>
      <c r="AS157" s="64" t="s" ph="1">
        <v>254</v>
      </c>
      <c r="AT157" s="64" t="s" ph="1">
        <v>255</v>
      </c>
      <c r="AU157" s="64" t="s" ph="1">
        <v>256</v>
      </c>
      <c r="AV157" s="64" t="s" ph="1">
        <v>254</v>
      </c>
      <c r="AW157" s="64" t="s" ph="1">
        <v>255</v>
      </c>
      <c r="AX157" s="64" t="s" ph="1">
        <v>256</v>
      </c>
      <c r="AY157" s="64" t="s" ph="1">
        <v>255</v>
      </c>
      <c r="AZ157" s="64" t="s" ph="1">
        <v>257</v>
      </c>
    </row>
    <row r="158" spans="33:52" ph="1">
      <c r="AH158" s="64" ph="1">
        <v>1</v>
      </c>
      <c r="AI158" s="64" t="s" ph="1">
        <v>596</v>
      </c>
      <c r="AY158" s="64" t="s" ph="1">
        <v>260</v>
      </c>
      <c r="AZ158" s="64" t="s" ph="1">
        <v>411</v>
      </c>
    </row>
    <row r="159" spans="33:52" ph="1">
      <c r="AH159" s="64" ph="1">
        <v>2</v>
      </c>
      <c r="AI159" s="64" t="s" ph="1">
        <v>597</v>
      </c>
      <c r="AY159" s="64" t="s" ph="1">
        <v>260</v>
      </c>
      <c r="AZ159" s="64" t="s" ph="1">
        <v>411</v>
      </c>
    </row>
    <row r="160" spans="33:52" ph="1">
      <c r="AZ160" s="64" t="s" ph="1">
        <v>429</v>
      </c>
    </row>
    <row r="161" spans="33:52" ph="1">
      <c r="AG161" s="64" t="s" ph="1">
        <v>405</v>
      </c>
      <c r="AI161" s="64" t="s" ph="1">
        <v>253</v>
      </c>
      <c r="AJ161" s="64" t="s" ph="1">
        <v>254</v>
      </c>
      <c r="AK161" s="64" t="s" ph="1">
        <v>255</v>
      </c>
      <c r="AM161" s="64" t="s" ph="1">
        <v>254</v>
      </c>
      <c r="AN161" s="64" t="s" ph="1">
        <v>255</v>
      </c>
      <c r="AO161" s="64" t="s" ph="1">
        <v>256</v>
      </c>
      <c r="AP161" s="64" t="s" ph="1">
        <v>254</v>
      </c>
      <c r="AQ161" s="64" t="s" ph="1">
        <v>255</v>
      </c>
      <c r="AR161" s="64" t="s" ph="1">
        <v>256</v>
      </c>
      <c r="AS161" s="64" t="s" ph="1">
        <v>254</v>
      </c>
      <c r="AT161" s="64" t="s" ph="1">
        <v>255</v>
      </c>
      <c r="AU161" s="64" t="s" ph="1">
        <v>256</v>
      </c>
      <c r="AV161" s="64" t="s" ph="1">
        <v>254</v>
      </c>
      <c r="AW161" s="64" t="s" ph="1">
        <v>255</v>
      </c>
      <c r="AX161" s="64" t="s" ph="1">
        <v>256</v>
      </c>
      <c r="AY161" s="64" t="s" ph="1">
        <v>255</v>
      </c>
      <c r="AZ161" s="64" t="s" ph="1">
        <v>257</v>
      </c>
    </row>
    <row r="162" spans="33:52" ph="1">
      <c r="AH162" s="64" ph="1">
        <v>1</v>
      </c>
      <c r="AI162" s="64" t="s" ph="1">
        <v>598</v>
      </c>
      <c r="AJ162" s="64" t="s" ph="1">
        <v>599</v>
      </c>
      <c r="AK162" s="64" t="s" ph="1">
        <v>543</v>
      </c>
      <c r="AM162" s="64" t="s" ph="1">
        <v>600</v>
      </c>
      <c r="AN162" s="64" t="s" ph="1">
        <v>264</v>
      </c>
      <c r="AO162" s="64" t="s" ph="1">
        <v>601</v>
      </c>
      <c r="AY162" s="64" t="s" ph="1">
        <v>260</v>
      </c>
      <c r="AZ162" s="64" t="s" ph="1">
        <v>336</v>
      </c>
    </row>
    <row r="163" spans="33:52" ph="1">
      <c r="AH163" s="64" ph="1">
        <v>2</v>
      </c>
      <c r="AI163" s="64" t="s" ph="1">
        <v>602</v>
      </c>
      <c r="AJ163" s="64" t="s" ph="1">
        <v>599</v>
      </c>
      <c r="AK163" s="64" t="s" ph="1">
        <v>432</v>
      </c>
      <c r="AY163" s="64" t="s" ph="1">
        <v>260</v>
      </c>
      <c r="AZ163" s="64" t="s" ph="1">
        <v>432</v>
      </c>
    </row>
    <row r="164" spans="33:52" ph="1">
      <c r="AH164" s="64" ph="1">
        <v>3</v>
      </c>
      <c r="AI164" s="64" t="s" ph="1">
        <v>603</v>
      </c>
      <c r="AJ164" s="64" t="s" ph="1">
        <v>599</v>
      </c>
      <c r="AK164" s="64" t="s" ph="1">
        <v>336</v>
      </c>
      <c r="AY164" s="64" t="s" ph="1">
        <v>260</v>
      </c>
      <c r="AZ164" s="64" t="s" ph="1">
        <v>336</v>
      </c>
    </row>
    <row r="165" spans="33:52" ph="1">
      <c r="AH165" s="64" ph="1">
        <v>4</v>
      </c>
      <c r="AI165" s="64" t="s" ph="1">
        <v>604</v>
      </c>
      <c r="AY165" s="64" t="s" ph="1">
        <v>260</v>
      </c>
      <c r="AZ165" s="64" t="s" ph="1">
        <v>411</v>
      </c>
    </row>
    <row r="166" spans="33:52" ph="1">
      <c r="AH166" s="64" ph="1">
        <v>5</v>
      </c>
      <c r="AI166" s="64" t="s" ph="1">
        <v>605</v>
      </c>
      <c r="AY166" s="64" t="s" ph="1">
        <v>260</v>
      </c>
      <c r="AZ166" s="64" t="s" ph="1">
        <v>411</v>
      </c>
    </row>
    <row r="167" spans="33:52" ph="1">
      <c r="AZ167" s="64" t="s" ph="1">
        <v>606</v>
      </c>
    </row>
    <row r="168" spans="33:52" ph="1">
      <c r="AG168" s="64" t="s" ph="1">
        <v>349</v>
      </c>
      <c r="AI168" s="64" t="s" ph="1">
        <v>253</v>
      </c>
      <c r="AJ168" s="64" t="s" ph="1">
        <v>254</v>
      </c>
      <c r="AK168" s="64" t="s" ph="1">
        <v>255</v>
      </c>
      <c r="AM168" s="64" t="s" ph="1">
        <v>254</v>
      </c>
      <c r="AN168" s="64" t="s" ph="1">
        <v>255</v>
      </c>
      <c r="AO168" s="64" t="s" ph="1">
        <v>256</v>
      </c>
      <c r="AP168" s="64" t="s" ph="1">
        <v>254</v>
      </c>
      <c r="AQ168" s="64" t="s" ph="1">
        <v>255</v>
      </c>
      <c r="AR168" s="64" t="s" ph="1">
        <v>256</v>
      </c>
      <c r="AS168" s="64" t="s" ph="1">
        <v>254</v>
      </c>
      <c r="AT168" s="64" t="s" ph="1">
        <v>255</v>
      </c>
      <c r="AU168" s="64" t="s" ph="1">
        <v>256</v>
      </c>
      <c r="AV168" s="64" t="s" ph="1">
        <v>254</v>
      </c>
      <c r="AW168" s="64" t="s" ph="1">
        <v>255</v>
      </c>
      <c r="AX168" s="64" t="s" ph="1">
        <v>256</v>
      </c>
      <c r="AY168" s="64" t="s" ph="1">
        <v>255</v>
      </c>
      <c r="AZ168" s="64" t="s" ph="1">
        <v>257</v>
      </c>
    </row>
    <row r="169" spans="33:52" ph="1">
      <c r="AH169" s="64" ph="1">
        <v>1</v>
      </c>
      <c r="AI169" s="64" t="s" ph="1">
        <v>607</v>
      </c>
      <c r="AY169" s="64" t="s" ph="1">
        <v>260</v>
      </c>
      <c r="AZ169" s="64" t="s" ph="1">
        <v>411</v>
      </c>
    </row>
    <row r="170" spans="33:52" ph="1">
      <c r="AH170" s="64" ph="1">
        <v>2</v>
      </c>
      <c r="AI170" s="64" t="s" ph="1">
        <v>608</v>
      </c>
      <c r="AY170" s="64" t="s" ph="1">
        <v>260</v>
      </c>
      <c r="AZ170" s="64" t="s" ph="1">
        <v>411</v>
      </c>
    </row>
    <row r="171" spans="33:52" ph="1">
      <c r="AH171" s="64" ph="1">
        <v>3</v>
      </c>
      <c r="AI171" s="64" t="s" ph="1">
        <v>609</v>
      </c>
      <c r="AY171" s="64" t="s" ph="1">
        <v>260</v>
      </c>
      <c r="AZ171" s="64" t="s" ph="1">
        <v>411</v>
      </c>
    </row>
    <row r="172" spans="33:52" ph="1">
      <c r="AH172" s="64" ph="1">
        <v>4</v>
      </c>
      <c r="AI172" s="64" t="s" ph="1">
        <v>610</v>
      </c>
      <c r="AY172" s="64" t="s" ph="1">
        <v>260</v>
      </c>
      <c r="AZ172" s="64" t="s" ph="1">
        <v>411</v>
      </c>
    </row>
    <row r="173" spans="33:52" ph="1">
      <c r="AH173" s="64" ph="1">
        <v>5</v>
      </c>
      <c r="AI173" s="64" t="s" ph="1">
        <v>611</v>
      </c>
      <c r="AY173" s="64" t="s" ph="1">
        <v>260</v>
      </c>
      <c r="AZ173" s="64" t="s" ph="1">
        <v>411</v>
      </c>
    </row>
    <row r="174" spans="33:52" ph="1">
      <c r="AZ174" s="64" t="s" ph="1">
        <v>429</v>
      </c>
    </row>
    <row r="175" spans="33:52" ph="1">
      <c r="AJ175" s="64" t="s" ph="1">
        <v>350</v>
      </c>
    </row>
    <row r="176" spans="33:52" ph="1">
      <c r="AJ176" s="64" t="s" ph="1">
        <v>351</v>
      </c>
      <c r="AK176" s="64" t="s" ph="1">
        <v>352</v>
      </c>
      <c r="AM176" s="64" t="s" ph="1">
        <v>353</v>
      </c>
      <c r="AO176" s="64" t="s" ph="1">
        <v>354</v>
      </c>
      <c r="AP176" s="64" t="s" ph="1">
        <v>355</v>
      </c>
      <c r="AQ176" s="64" t="s" ph="1">
        <v>345</v>
      </c>
      <c r="AR176" s="64" t="s" ph="1">
        <v>265</v>
      </c>
    </row>
    <row r="177" spans="36:56" ph="1">
      <c r="AJ177" s="64" t="s" ph="1">
        <v>647</v>
      </c>
      <c r="AK177" s="64" t="s" ph="1">
        <v>356</v>
      </c>
      <c r="AO177" s="64" t="s" ph="1">
        <v>356</v>
      </c>
      <c r="AP177" s="64" t="s" ph="1">
        <v>356</v>
      </c>
      <c r="AQ177" s="64" t="s" ph="1">
        <v>357</v>
      </c>
      <c r="AR177" s="64" t="s" ph="1">
        <v>358</v>
      </c>
    </row>
    <row r="179" spans="36:56" ph="1">
      <c r="AJ179" s="64" t="s" ph="1">
        <v>359</v>
      </c>
      <c r="AK179" s="64" t="s" ph="1">
        <v>360</v>
      </c>
      <c r="AM179" s="64" t="s" ph="1">
        <v>361</v>
      </c>
      <c r="AN179" s="64" t="s" ph="1">
        <v>337</v>
      </c>
      <c r="AO179" s="64" t="s" ph="1">
        <v>362</v>
      </c>
      <c r="AP179" s="64" t="s" ph="1">
        <v>341</v>
      </c>
      <c r="AQ179" s="64" t="s" ph="1">
        <v>363</v>
      </c>
      <c r="AR179" s="64" t="s" ph="1">
        <v>364</v>
      </c>
    </row>
    <row r="180" spans="36:56" ph="1">
      <c r="AJ180" s="64" t="s" ph="1">
        <v>356</v>
      </c>
      <c r="AK180" s="64" t="s" ph="1">
        <v>356</v>
      </c>
      <c r="AL180" s="64" ph="1">
        <v>116</v>
      </c>
      <c r="AM180" s="64" t="s" ph="1">
        <v>356</v>
      </c>
      <c r="AN180" s="64" t="s" ph="1">
        <v>365</v>
      </c>
      <c r="AO180" s="64" t="s" ph="1">
        <v>356</v>
      </c>
      <c r="AP180" s="64" t="s" ph="1">
        <v>366</v>
      </c>
      <c r="AQ180" s="64" t="s" ph="1">
        <v>367</v>
      </c>
      <c r="AR180" s="64" t="s" ph="1">
        <v>368</v>
      </c>
    </row>
    <row r="189" spans="36:56" ph="1">
      <c r="BD189" s="64" t="s" ph="1">
        <v>612</v>
      </c>
    </row>
    <row r="223" spans="18:18" ph="1">
      <c r="R223" s="138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487" priority="92">
      <formula>ABS(D$7-D$10)&gt;=1000</formula>
    </cfRule>
  </conditionalFormatting>
  <conditionalFormatting sqref="E4 E6:E11">
    <cfRule type="expression" dxfId="486" priority="91">
      <formula>ABS(E$7-E$10)&gt;=1000</formula>
    </cfRule>
  </conditionalFormatting>
  <conditionalFormatting sqref="F4:F11">
    <cfRule type="expression" dxfId="485" priority="90">
      <formula>ABS(F$7-F$10)&gt;=1000</formula>
    </cfRule>
  </conditionalFormatting>
  <conditionalFormatting sqref="G4:G11">
    <cfRule type="expression" dxfId="484" priority="89">
      <formula>ABS(G$7-G$10)&gt;=1000</formula>
    </cfRule>
  </conditionalFormatting>
  <conditionalFormatting sqref="H4:H11">
    <cfRule type="expression" dxfId="483" priority="88">
      <formula>ABS(H$7-H$10)&gt;=1000</formula>
    </cfRule>
  </conditionalFormatting>
  <conditionalFormatting sqref="I4:I11">
    <cfRule type="expression" dxfId="482" priority="87">
      <formula>ABS(I$7-I$10)&gt;=1000</formula>
    </cfRule>
  </conditionalFormatting>
  <conditionalFormatting sqref="J4:J11">
    <cfRule type="expression" dxfId="481" priority="86">
      <formula>ABS(J$7-J$10)&gt;=1000</formula>
    </cfRule>
  </conditionalFormatting>
  <conditionalFormatting sqref="K4:K11">
    <cfRule type="expression" dxfId="480" priority="85">
      <formula>ABS(K$7-K$10)&gt;=1000</formula>
    </cfRule>
  </conditionalFormatting>
  <conditionalFormatting sqref="L4:L11">
    <cfRule type="expression" dxfId="479" priority="84">
      <formula>ABS(L$7-L$10)&gt;=1000</formula>
    </cfRule>
  </conditionalFormatting>
  <conditionalFormatting sqref="M4:M11">
    <cfRule type="expression" dxfId="478" priority="83">
      <formula>ABS(M$7-M$10)&gt;=1000</formula>
    </cfRule>
  </conditionalFormatting>
  <conditionalFormatting sqref="N4:N11">
    <cfRule type="expression" dxfId="477" priority="82">
      <formula>ABS(N$7-N$10)&gt;=1000</formula>
    </cfRule>
  </conditionalFormatting>
  <conditionalFormatting sqref="O4:O11">
    <cfRule type="expression" dxfId="476" priority="81">
      <formula>ABS(O$7-O$10)&gt;=1000</formula>
    </cfRule>
  </conditionalFormatting>
  <conditionalFormatting sqref="P4:P11">
    <cfRule type="expression" dxfId="475" priority="80">
      <formula>ABS(P$7-P$10)&gt;=1000</formula>
    </cfRule>
  </conditionalFormatting>
  <conditionalFormatting sqref="Q4:Q11">
    <cfRule type="expression" dxfId="474" priority="79">
      <formula>ABS(Q$7-Q$10)&gt;=1000</formula>
    </cfRule>
  </conditionalFormatting>
  <conditionalFormatting sqref="R4:R11">
    <cfRule type="expression" dxfId="473" priority="78">
      <formula>ABS(R$7-R$10)&gt;=1000</formula>
    </cfRule>
  </conditionalFormatting>
  <conditionalFormatting sqref="S4:S11">
    <cfRule type="expression" dxfId="472" priority="77">
      <formula>ABS(S$7-S$10)&gt;=1000</formula>
    </cfRule>
  </conditionalFormatting>
  <conditionalFormatting sqref="T4:T9 T11">
    <cfRule type="expression" dxfId="471" priority="76">
      <formula>ABS(T$7-T$10)&gt;=1000</formula>
    </cfRule>
  </conditionalFormatting>
  <conditionalFormatting sqref="U4:U9 U11">
    <cfRule type="expression" dxfId="470" priority="75">
      <formula>ABS(U$7-U$10)&gt;=1000</formula>
    </cfRule>
  </conditionalFormatting>
  <conditionalFormatting sqref="V4:V9 V11">
    <cfRule type="expression" dxfId="469" priority="74">
      <formula>ABS(V$7-V$10)&gt;=1000</formula>
    </cfRule>
  </conditionalFormatting>
  <conditionalFormatting sqref="W4:W9 W11">
    <cfRule type="expression" dxfId="468" priority="73">
      <formula>ABS(W$7-W$10)&gt;=1000</formula>
    </cfRule>
  </conditionalFormatting>
  <conditionalFormatting sqref="X4:X9 X11">
    <cfRule type="expression" dxfId="467" priority="72">
      <formula>ABS(X$7-X$10)&gt;=1000</formula>
    </cfRule>
  </conditionalFormatting>
  <conditionalFormatting sqref="Y4:Y9 Y11">
    <cfRule type="expression" dxfId="466" priority="71">
      <formula>ABS(Y$7-Y$10)&gt;=1000</formula>
    </cfRule>
  </conditionalFormatting>
  <conditionalFormatting sqref="Z4:Z11">
    <cfRule type="expression" dxfId="465" priority="70">
      <formula>ABS(Z$7-Z$10)&gt;=1000</formula>
    </cfRule>
  </conditionalFormatting>
  <conditionalFormatting sqref="AA4:AA11">
    <cfRule type="expression" dxfId="464" priority="69">
      <formula>ABS(AA$7-AA$10)&gt;=1000</formula>
    </cfRule>
  </conditionalFormatting>
  <conditionalFormatting sqref="AB4:AB11">
    <cfRule type="expression" dxfId="463" priority="68">
      <formula>ABS(AB$7-AB$10)&gt;=1000</formula>
    </cfRule>
  </conditionalFormatting>
  <conditionalFormatting sqref="AC4 AC6:AC11">
    <cfRule type="expression" dxfId="462" priority="67">
      <formula>ABS(AC$7-AC$10)&gt;=1000</formula>
    </cfRule>
  </conditionalFormatting>
  <conditionalFormatting sqref="AD4:AD11">
    <cfRule type="expression" dxfId="461" priority="66">
      <formula>ABS(AD$7-AD$10)&gt;=1000</formula>
    </cfRule>
  </conditionalFormatting>
  <conditionalFormatting sqref="AE4:AE11">
    <cfRule type="expression" dxfId="460" priority="65">
      <formula>ABS(AE$7-AE$10)&gt;=1000</formula>
    </cfRule>
  </conditionalFormatting>
  <conditionalFormatting sqref="D13:D20">
    <cfRule type="expression" dxfId="459" priority="64">
      <formula>ABS(D$16-D$19)&gt;=1000</formula>
    </cfRule>
  </conditionalFormatting>
  <conditionalFormatting sqref="E13:E20">
    <cfRule type="expression" dxfId="458" priority="63">
      <formula>ABS(E$16-E$19)&gt;=1000</formula>
    </cfRule>
  </conditionalFormatting>
  <conditionalFormatting sqref="F13 F15:F20">
    <cfRule type="expression" dxfId="457" priority="62">
      <formula>ABS(F$16-F$19)&gt;=1000</formula>
    </cfRule>
  </conditionalFormatting>
  <conditionalFormatting sqref="G13:G20">
    <cfRule type="expression" dxfId="456" priority="61">
      <formula>ABS(G$16-G$19)&gt;=1000</formula>
    </cfRule>
  </conditionalFormatting>
  <conditionalFormatting sqref="H13:H20">
    <cfRule type="expression" dxfId="455" priority="60">
      <formula>ABS(H$16-H$19)&gt;=1000</formula>
    </cfRule>
  </conditionalFormatting>
  <conditionalFormatting sqref="I13:I20">
    <cfRule type="expression" dxfId="454" priority="59">
      <formula>ABS(I$16-I$19)&gt;=1000</formula>
    </cfRule>
  </conditionalFormatting>
  <conditionalFormatting sqref="J13:J20">
    <cfRule type="expression" dxfId="453" priority="58">
      <formula>ABS(J$16-J$19)&gt;=1000</formula>
    </cfRule>
  </conditionalFormatting>
  <conditionalFormatting sqref="L13:L20">
    <cfRule type="expression" dxfId="452" priority="57">
      <formula>ABS(L$16-L$19)&gt;=1000</formula>
    </cfRule>
  </conditionalFormatting>
  <conditionalFormatting sqref="M13 M15 M17:M18 M20">
    <cfRule type="expression" dxfId="451" priority="56">
      <formula>ABS(M$16-M$19)&gt;=1000</formula>
    </cfRule>
  </conditionalFormatting>
  <conditionalFormatting sqref="N13:N20">
    <cfRule type="expression" dxfId="450" priority="55">
      <formula>ABS(N$16-N$19)&gt;=1000</formula>
    </cfRule>
  </conditionalFormatting>
  <conditionalFormatting sqref="O13:O20">
    <cfRule type="expression" dxfId="449" priority="54">
      <formula>ABS(O$16-O$19)&gt;=1000</formula>
    </cfRule>
  </conditionalFormatting>
  <conditionalFormatting sqref="P13:P20">
    <cfRule type="expression" dxfId="448" priority="53">
      <formula>ABS(P$16-P$19)&gt;=1000</formula>
    </cfRule>
  </conditionalFormatting>
  <conditionalFormatting sqref="Q13 Q15:Q20">
    <cfRule type="expression" dxfId="447" priority="52">
      <formula>ABS(Q$16-Q$19)&gt;=1000</formula>
    </cfRule>
  </conditionalFormatting>
  <conditionalFormatting sqref="R13:R20">
    <cfRule type="expression" dxfId="446" priority="51">
      <formula>ABS(R$16-R$19)&gt;=1000</formula>
    </cfRule>
  </conditionalFormatting>
  <conditionalFormatting sqref="S13:S20">
    <cfRule type="expression" dxfId="445" priority="50">
      <formula>ABS(S$16-S$19)&gt;=1000</formula>
    </cfRule>
  </conditionalFormatting>
  <conditionalFormatting sqref="T13:T20">
    <cfRule type="expression" dxfId="444" priority="49">
      <formula>ABS(T$16-T$19)&gt;=1000</formula>
    </cfRule>
  </conditionalFormatting>
  <conditionalFormatting sqref="U13:U20">
    <cfRule type="expression" dxfId="443" priority="48">
      <formula>ABS(U$16-U$19)&gt;=1000</formula>
    </cfRule>
  </conditionalFormatting>
  <conditionalFormatting sqref="V13:V20">
    <cfRule type="expression" dxfId="442" priority="47">
      <formula>ABS(V$16-V$19)&gt;=1000</formula>
    </cfRule>
  </conditionalFormatting>
  <conditionalFormatting sqref="W13 W15:W18 W20">
    <cfRule type="expression" dxfId="441" priority="46">
      <formula>ABS(W$16-W$19)&gt;=1000</formula>
    </cfRule>
  </conditionalFormatting>
  <conditionalFormatting sqref="X13 X15:X20 Y19">
    <cfRule type="expression" dxfId="440" priority="45">
      <formula>ABS(X$16-X$19)&gt;=1000</formula>
    </cfRule>
  </conditionalFormatting>
  <conditionalFormatting sqref="Y13 Y15:Y18 Y20">
    <cfRule type="expression" dxfId="439" priority="44">
      <formula>ABS(Y$16-Y$19)&gt;=1000</formula>
    </cfRule>
  </conditionalFormatting>
  <conditionalFormatting sqref="Z13:Z20">
    <cfRule type="expression" dxfId="438" priority="43">
      <formula>ABS(Z$16-Z$19)&gt;=1000</formula>
    </cfRule>
  </conditionalFormatting>
  <conditionalFormatting sqref="AA13:AA20">
    <cfRule type="expression" dxfId="437" priority="42">
      <formula>ABS(AA$16-AA$19)&gt;=1000</formula>
    </cfRule>
  </conditionalFormatting>
  <conditionalFormatting sqref="AB13 AB15:AB20">
    <cfRule type="expression" dxfId="436" priority="41">
      <formula>ABS(AB$16-AB$19)&gt;=1000</formula>
    </cfRule>
  </conditionalFormatting>
  <conditionalFormatting sqref="AC13 AC15:AC20">
    <cfRule type="expression" dxfId="435" priority="40">
      <formula>ABS(AC$16-AC$19)&gt;=1000</formula>
    </cfRule>
  </conditionalFormatting>
  <conditionalFormatting sqref="AD13:AD20">
    <cfRule type="expression" dxfId="434" priority="39">
      <formula>ABS(AD$16-AD$19)&gt;=1000</formula>
    </cfRule>
  </conditionalFormatting>
  <conditionalFormatting sqref="AE13:AE20">
    <cfRule type="expression" dxfId="433" priority="38">
      <formula>ABS(AE$16-AE$19)&gt;=1000</formula>
    </cfRule>
  </conditionalFormatting>
  <conditionalFormatting sqref="D22:D29">
    <cfRule type="expression" dxfId="432" priority="37">
      <formula>ABS(D$25-D$28)&gt;=1000</formula>
    </cfRule>
  </conditionalFormatting>
  <conditionalFormatting sqref="E22:E29">
    <cfRule type="expression" dxfId="431" priority="36">
      <formula>ABS(E$25-E$28)&gt;=1000</formula>
    </cfRule>
  </conditionalFormatting>
  <conditionalFormatting sqref="F22:F29">
    <cfRule type="expression" dxfId="430" priority="35">
      <formula>ABS(F$25-F$28)&gt;=1000</formula>
    </cfRule>
  </conditionalFormatting>
  <conditionalFormatting sqref="G22:G29">
    <cfRule type="expression" dxfId="429" priority="34">
      <formula>ABS(G$25-G$28)&gt;=1000</formula>
    </cfRule>
  </conditionalFormatting>
  <conditionalFormatting sqref="H22:H29">
    <cfRule type="expression" dxfId="428" priority="33">
      <formula>ABS(H$25-H$28)&gt;=1000</formula>
    </cfRule>
  </conditionalFormatting>
  <conditionalFormatting sqref="I22 I24:I29">
    <cfRule type="expression" dxfId="427" priority="32">
      <formula>ABS(I$25-I$28)&gt;=1000</formula>
    </cfRule>
  </conditionalFormatting>
  <conditionalFormatting sqref="J22:J29 K22">
    <cfRule type="expression" dxfId="426" priority="31">
      <formula>ABS(J$25-J$28)&gt;=1000</formula>
    </cfRule>
  </conditionalFormatting>
  <conditionalFormatting sqref="K23:K29 L25 L28">
    <cfRule type="expression" dxfId="425" priority="30">
      <formula>ABS(K$25-K$28)&gt;=1000</formula>
    </cfRule>
  </conditionalFormatting>
  <conditionalFormatting sqref="L22:L24 L26:L27 L29">
    <cfRule type="expression" dxfId="424" priority="29">
      <formula>ABS(L$25-L$28)&gt;=1000</formula>
    </cfRule>
  </conditionalFormatting>
  <conditionalFormatting sqref="M22:M29">
    <cfRule type="expression" dxfId="423" priority="28">
      <formula>ABS(M$25-M$28)&gt;=1000</formula>
    </cfRule>
  </conditionalFormatting>
  <conditionalFormatting sqref="N22:N29">
    <cfRule type="expression" dxfId="422" priority="27">
      <formula>ABS(N$25-N$28)&gt;=1000</formula>
    </cfRule>
  </conditionalFormatting>
  <conditionalFormatting sqref="O22:O29">
    <cfRule type="expression" dxfId="421" priority="26">
      <formula>ABS(O$25-O$28)&gt;=1000</formula>
    </cfRule>
  </conditionalFormatting>
  <conditionalFormatting sqref="P22:P29">
    <cfRule type="expression" dxfId="420" priority="25">
      <formula>ABS(P$25-P$28)&gt;=1000</formula>
    </cfRule>
  </conditionalFormatting>
  <conditionalFormatting sqref="Q22:Q29">
    <cfRule type="expression" dxfId="419" priority="24">
      <formula>ABS(Q$25-Q$28)&gt;=1000</formula>
    </cfRule>
  </conditionalFormatting>
  <conditionalFormatting sqref="R22:R29">
    <cfRule type="expression" dxfId="418" priority="23">
      <formula>ABS(R$25-R$28)&gt;=1000</formula>
    </cfRule>
  </conditionalFormatting>
  <conditionalFormatting sqref="S22:S29">
    <cfRule type="expression" dxfId="417" priority="22">
      <formula>ABS(S$25-S$28)&gt;=1000</formula>
    </cfRule>
  </conditionalFormatting>
  <conditionalFormatting sqref="T22:T29">
    <cfRule type="expression" dxfId="416" priority="21">
      <formula>ABS(T$25-T$28)&gt;=1000</formula>
    </cfRule>
  </conditionalFormatting>
  <conditionalFormatting sqref="U22:U29">
    <cfRule type="expression" dxfId="415" priority="20">
      <formula>ABS(U$25-U$28)&gt;=1000</formula>
    </cfRule>
  </conditionalFormatting>
  <conditionalFormatting sqref="V22:V29">
    <cfRule type="expression" dxfId="414" priority="19">
      <formula>ABS(V$25-V$28)&gt;=1000</formula>
    </cfRule>
  </conditionalFormatting>
  <conditionalFormatting sqref="W22:W29">
    <cfRule type="expression" dxfId="413" priority="18">
      <formula>ABS(W$25-W$28)&gt;=1000</formula>
    </cfRule>
  </conditionalFormatting>
  <conditionalFormatting sqref="X22:X29">
    <cfRule type="expression" dxfId="412" priority="17">
      <formula>ABS(X$25-X$28)&gt;=1000</formula>
    </cfRule>
  </conditionalFormatting>
  <conditionalFormatting sqref="Y22:Y29">
    <cfRule type="expression" dxfId="411" priority="16">
      <formula>ABS(Y$25-Y$28)&gt;=1000</formula>
    </cfRule>
  </conditionalFormatting>
  <conditionalFormatting sqref="I23">
    <cfRule type="expression" dxfId="410" priority="15">
      <formula>ABS(I$25-I$28)&gt;=1000</formula>
    </cfRule>
  </conditionalFormatting>
  <conditionalFormatting sqref="F14">
    <cfRule type="expression" dxfId="409" priority="14">
      <formula>ABS(F$16-F$19)&gt;=1000</formula>
    </cfRule>
  </conditionalFormatting>
  <conditionalFormatting sqref="Q14">
    <cfRule type="expression" dxfId="408" priority="13">
      <formula>ABS(Q$16-Q$19)&gt;=1000</formula>
    </cfRule>
  </conditionalFormatting>
  <conditionalFormatting sqref="W14">
    <cfRule type="expression" dxfId="407" priority="12">
      <formula>ABS(W$16-W$19)&gt;=1000</formula>
    </cfRule>
  </conditionalFormatting>
  <conditionalFormatting sqref="Y14">
    <cfRule type="expression" dxfId="406" priority="11">
      <formula>ABS(Y$16-Y$19)&gt;=1000</formula>
    </cfRule>
  </conditionalFormatting>
  <conditionalFormatting sqref="X14">
    <cfRule type="expression" dxfId="405" priority="10">
      <formula>ABS(X$16-X$19)&gt;=1000</formula>
    </cfRule>
  </conditionalFormatting>
  <conditionalFormatting sqref="T10:Y10">
    <cfRule type="expression" dxfId="404" priority="9">
      <formula>ABS(T$7-T$10)&gt;=1000</formula>
    </cfRule>
  </conditionalFormatting>
  <conditionalFormatting sqref="W19">
    <cfRule type="expression" dxfId="403" priority="8">
      <formula>ABS(W$16-W$19)&gt;=1000</formula>
    </cfRule>
  </conditionalFormatting>
  <conditionalFormatting sqref="AC5">
    <cfRule type="expression" dxfId="402" priority="7">
      <formula>ABS(AC$7-AC$10)&gt;=1000</formula>
    </cfRule>
  </conditionalFormatting>
  <conditionalFormatting sqref="M14">
    <cfRule type="expression" dxfId="401" priority="6">
      <formula>ABS(M$16-M$19)&gt;=1000</formula>
    </cfRule>
  </conditionalFormatting>
  <conditionalFormatting sqref="M16">
    <cfRule type="expression" dxfId="400" priority="5">
      <formula>ABS(M$16-M$19)&gt;=1000</formula>
    </cfRule>
  </conditionalFormatting>
  <conditionalFormatting sqref="M19">
    <cfRule type="expression" dxfId="399" priority="4">
      <formula>ABS(M$16-M$19)&gt;=1000</formula>
    </cfRule>
  </conditionalFormatting>
  <conditionalFormatting sqref="K13:K20">
    <cfRule type="expression" dxfId="398" priority="3">
      <formula>ABS(K$16-K$19)&gt;=1000</formula>
    </cfRule>
  </conditionalFormatting>
  <conditionalFormatting sqref="E5">
    <cfRule type="expression" dxfId="397" priority="2">
      <formula>ABS(E$7-E$10)&gt;=1000</formula>
    </cfRule>
  </conditionalFormatting>
  <conditionalFormatting sqref="AB14:AC14">
    <cfRule type="expression" dxfId="396" priority="1">
      <formula>ABS(AB$16-AB$19)&gt;=1000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68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61">
    <pageSetUpPr fitToPage="1"/>
  </sheetPr>
  <dimension ref="A1:CU223"/>
  <sheetViews>
    <sheetView view="pageBreakPreview" zoomScale="70" zoomScaleNormal="100" zoomScaleSheetLayoutView="70" workbookViewId="0">
      <selection activeCell="N19" sqref="N19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36" t="s" ph="1">
        <v>195</v>
      </c>
      <c r="C1" s="236" ph="1"/>
      <c r="D1" s="236" ph="1"/>
      <c r="E1" s="236" ph="1"/>
      <c r="F1" s="236" ph="1"/>
      <c r="G1" s="236" ph="1"/>
      <c r="H1" s="236" ph="1"/>
      <c r="I1" s="236" ph="1"/>
      <c r="J1" s="236" ph="1"/>
      <c r="K1" s="236" ph="1"/>
      <c r="L1" s="236" ph="1"/>
      <c r="M1" s="236" ph="1"/>
      <c r="N1" s="236" ph="1"/>
      <c r="O1" s="236" ph="1"/>
      <c r="P1" s="236" ph="1"/>
      <c r="Q1" s="236" ph="1"/>
      <c r="R1" s="236" ph="1"/>
      <c r="S1" s="236" ph="1"/>
      <c r="T1" s="236" ph="1"/>
      <c r="U1" s="236" ph="1"/>
      <c r="V1" s="236" ph="1"/>
      <c r="W1" s="236" ph="1"/>
      <c r="X1" s="236" ph="1"/>
      <c r="Y1" s="236" ph="1"/>
      <c r="Z1" s="236" ph="1"/>
      <c r="AA1" s="236" ph="1"/>
      <c r="AB1" s="236" ph="1"/>
      <c r="AC1" s="236" ph="1"/>
      <c r="AD1" s="236" ph="1"/>
      <c r="AE1" s="236" ph="1"/>
    </row>
    <row r="2" spans="1:99" s="66" customFormat="1" ht="24" customHeight="1" ph="1">
      <c r="B2" s="237" t="s" ph="1">
        <v>99</v>
      </c>
      <c r="C2" s="237" ph="1"/>
      <c r="D2" s="237" ph="1"/>
      <c r="E2" s="237" ph="1"/>
      <c r="F2" s="237" ph="1"/>
      <c r="G2" s="237" ph="1"/>
      <c r="H2" s="237" ph="1"/>
      <c r="I2" s="237" ph="1"/>
      <c r="J2" s="237" ph="1"/>
      <c r="K2" s="237" ph="1"/>
      <c r="L2" s="237" ph="1"/>
      <c r="M2" s="237" ph="1"/>
      <c r="N2" s="237" ph="1"/>
      <c r="O2" s="237" ph="1"/>
      <c r="P2" s="237" ph="1"/>
      <c r="Q2" s="237" ph="1"/>
      <c r="R2" s="237" ph="1"/>
      <c r="S2" s="237" ph="1"/>
      <c r="T2" s="237" ph="1"/>
      <c r="U2" s="237" ph="1"/>
      <c r="V2" s="237" ph="1"/>
      <c r="W2" s="237" ph="1"/>
      <c r="X2" s="237" ph="1"/>
      <c r="Y2" s="237" ph="1"/>
      <c r="Z2" s="237" ph="1"/>
      <c r="AA2" s="237" ph="1"/>
      <c r="AB2" s="237" ph="1"/>
      <c r="AC2" s="237" ph="1"/>
      <c r="AD2" s="237" ph="1"/>
      <c r="AE2" s="237" ph="1"/>
    </row>
    <row r="3" spans="1:99" ht="21" customHeight="1" ph="1">
      <c r="B3" s="238" ph="1">
        <v>45679</v>
      </c>
      <c r="C3" s="238"/>
      <c r="D3" s="238"/>
      <c r="E3" s="238"/>
      <c r="F3" s="238"/>
      <c r="G3" s="238"/>
      <c r="H3" s="238"/>
      <c r="I3" s="238"/>
      <c r="J3" s="238"/>
      <c r="K3" s="238"/>
      <c r="L3" s="238"/>
      <c r="M3" s="238"/>
      <c r="N3" s="238"/>
      <c r="O3" s="238"/>
      <c r="P3" s="238"/>
      <c r="Q3" s="238"/>
      <c r="R3" s="238"/>
      <c r="S3" s="238"/>
      <c r="T3" s="238"/>
      <c r="U3" s="238"/>
      <c r="V3" s="238"/>
      <c r="W3" s="238"/>
      <c r="X3" s="238"/>
      <c r="Y3" s="238"/>
      <c r="Z3" s="238"/>
      <c r="AA3" s="238"/>
      <c r="AB3" s="238"/>
      <c r="AC3" s="238"/>
      <c r="AD3" s="238"/>
      <c r="AE3" s="238"/>
    </row>
    <row r="4" spans="1:99" s="69" customFormat="1" ph="1">
      <c r="A4" s="65" ph="1"/>
      <c r="B4" s="217" t="s" ph="1">
        <v>37</v>
      </c>
      <c r="C4" s="67" t="s" ph="1">
        <v>210</v>
      </c>
      <c r="D4" s="68" t="s" ph="1">
        <v>45</v>
      </c>
      <c r="E4" s="68" t="s" ph="1">
        <v>46</v>
      </c>
      <c r="F4" s="68" t="s" ph="1">
        <v>39</v>
      </c>
      <c r="G4" s="68" t="s" ph="1">
        <v>47</v>
      </c>
      <c r="H4" s="68" t="s" ph="1">
        <v>48</v>
      </c>
      <c r="I4" s="68" t="s" ph="1">
        <v>133</v>
      </c>
      <c r="J4" s="68" t="s" ph="1">
        <v>49</v>
      </c>
      <c r="K4" s="68" t="s" ph="1">
        <v>134</v>
      </c>
      <c r="L4" s="68" t="s" ph="1">
        <v>135</v>
      </c>
      <c r="M4" s="68" t="s" ph="1">
        <v>50</v>
      </c>
      <c r="N4" s="68" t="s" ph="1">
        <v>51</v>
      </c>
      <c r="O4" s="68" t="s" ph="1">
        <v>137</v>
      </c>
      <c r="P4" s="68" t="s" ph="1">
        <v>139</v>
      </c>
      <c r="Q4" s="68" t="s" ph="1">
        <v>140</v>
      </c>
      <c r="R4" s="68" t="s" ph="1">
        <v>141</v>
      </c>
      <c r="S4" s="68" t="s" ph="1">
        <v>142</v>
      </c>
      <c r="T4" s="68" t="s" ph="1">
        <v>143</v>
      </c>
      <c r="U4" s="68" t="s" ph="1">
        <v>144</v>
      </c>
      <c r="V4" s="68" t="s" ph="1">
        <v>145</v>
      </c>
      <c r="W4" s="68" t="s" ph="1">
        <v>146</v>
      </c>
      <c r="X4" s="68" t="s" ph="1">
        <v>147</v>
      </c>
      <c r="Y4" s="68" t="s" ph="1">
        <v>148</v>
      </c>
      <c r="Z4" s="68" t="s" ph="1">
        <v>52</v>
      </c>
      <c r="AA4" s="68" t="s" ph="1">
        <v>149</v>
      </c>
      <c r="AB4" s="68" t="s" ph="1">
        <v>150</v>
      </c>
      <c r="AC4" s="68" t="s" ph="1">
        <v>151</v>
      </c>
      <c r="AD4" s="68" t="s" ph="1">
        <v>40</v>
      </c>
      <c r="AE4" s="68" t="s" ph="1">
        <v>152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7" ph="1"/>
      <c r="C5" s="67" t="s" ph="1">
        <v>36</v>
      </c>
      <c r="D5" s="70" t="s" ph="1">
        <v>194</v>
      </c>
      <c r="E5" s="70" t="s" ph="1">
        <v>55</v>
      </c>
      <c r="F5" s="70" t="s" ph="1">
        <v>130</v>
      </c>
      <c r="G5" s="70" t="s" ph="1">
        <v>56</v>
      </c>
      <c r="H5" s="70" t="s" ph="1">
        <v>56</v>
      </c>
      <c r="I5" s="70" t="s" ph="1">
        <v>57</v>
      </c>
      <c r="J5" s="70" t="s" ph="1">
        <v>58</v>
      </c>
      <c r="K5" s="70" t="s" ph="1">
        <v>59</v>
      </c>
      <c r="L5" s="70" t="s" ph="1">
        <v>136</v>
      </c>
      <c r="M5" s="70" t="s" ph="1">
        <v>60</v>
      </c>
      <c r="N5" s="70" t="s" ph="1">
        <v>61</v>
      </c>
      <c r="O5" s="70" t="s" ph="1">
        <v>138</v>
      </c>
      <c r="P5" s="70" t="s" ph="1">
        <v>88</v>
      </c>
      <c r="Q5" s="70" t="s" ph="1">
        <v>96</v>
      </c>
      <c r="R5" s="70" t="s" ph="1">
        <v>96</v>
      </c>
      <c r="S5" s="70" t="s" ph="1">
        <v>96</v>
      </c>
      <c r="T5" s="70" t="s" ph="1">
        <v>96</v>
      </c>
      <c r="U5" s="70" t="s" ph="1">
        <v>96</v>
      </c>
      <c r="V5" s="70" t="s" ph="1">
        <v>96</v>
      </c>
      <c r="W5" s="70" t="s" ph="1">
        <v>96</v>
      </c>
      <c r="X5" s="70" t="s" ph="1">
        <v>96</v>
      </c>
      <c r="Y5" s="70" t="s" ph="1">
        <v>96</v>
      </c>
      <c r="Z5" s="70" t="s" ph="1">
        <v>95</v>
      </c>
      <c r="AA5" s="70" t="s" ph="1">
        <v>62</v>
      </c>
      <c r="AB5" s="70" t="s" ph="1">
        <v>62</v>
      </c>
      <c r="AC5" s="70" t="s" ph="1">
        <v>222</v>
      </c>
      <c r="AD5" s="70" t="s" ph="1">
        <v>83</v>
      </c>
      <c r="AE5" s="70" t="s" ph="1">
        <v>661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5" ph="1">
        <v>0.33333333333333331</v>
      </c>
      <c r="C6" s="154" t="s" ph="1">
        <v>211</v>
      </c>
      <c r="D6" s="71">
        <v>4099</v>
      </c>
      <c r="E6" s="71">
        <v>0</v>
      </c>
      <c r="F6" s="71">
        <v>4743</v>
      </c>
      <c r="G6" s="71">
        <v>8882</v>
      </c>
      <c r="H6" s="71">
        <v>5004</v>
      </c>
      <c r="I6" s="71">
        <v>39.119999999999997</v>
      </c>
      <c r="J6" s="71">
        <v>80.02</v>
      </c>
      <c r="K6" s="71">
        <v>81.650000000000006</v>
      </c>
      <c r="L6" s="71">
        <v>46.65</v>
      </c>
      <c r="M6" s="71">
        <v>5197</v>
      </c>
      <c r="N6" s="71">
        <v>5456</v>
      </c>
      <c r="O6" s="71">
        <v>4128</v>
      </c>
      <c r="P6" s="71">
        <v>5574</v>
      </c>
      <c r="Q6" s="71">
        <v>0</v>
      </c>
      <c r="R6" s="71">
        <v>5656</v>
      </c>
      <c r="S6" s="71">
        <v>7000</v>
      </c>
      <c r="T6" s="71">
        <v>5188</v>
      </c>
      <c r="U6" s="71">
        <v>3110</v>
      </c>
      <c r="V6" s="71">
        <v>0</v>
      </c>
      <c r="W6" s="71">
        <v>0</v>
      </c>
      <c r="X6" s="71">
        <v>0</v>
      </c>
      <c r="Y6" s="71">
        <v>1000</v>
      </c>
      <c r="Z6" s="71">
        <v>2508</v>
      </c>
      <c r="AA6" s="71">
        <v>1715</v>
      </c>
      <c r="AB6" s="71">
        <v>3728</v>
      </c>
      <c r="AC6" s="71">
        <v>7332</v>
      </c>
      <c r="AD6" s="71">
        <v>244</v>
      </c>
      <c r="AE6" s="71">
        <v>2808</v>
      </c>
    </row>
    <row r="7" spans="1:99" s="72" customFormat="1" ht="22.5" ph="1">
      <c r="B7" s="235" ph="1"/>
      <c r="C7" s="68" t="s" ph="1">
        <v>212</v>
      </c>
      <c r="D7" s="73" ph="1">
        <f>D6*33.183*LOOKUP(D8,密度!$A$2:$A$50,密度!$Q$2:$Q$50)</f>
        <v>129705.9227712</v>
      </c>
      <c r="E7" s="73" ph="1">
        <f>E6*51.53*LOOKUP(E8,密度!$A$2:$A$50,密度!$I$2:$I$50)</f>
        <v>0</v>
      </c>
      <c r="F7" s="73" ph="1">
        <f>F6*33.183*LOOKUP(F8,密度!$A$2:$A$50,密度!$C$2:$C$50)</f>
        <v>175203.17389080001</v>
      </c>
      <c r="G7" s="73" ph="1">
        <f xml:space="preserve"> (G6+2)*51.53*LOOKUP(G8,密度!$A$2:$A$50,密度!$B$2:$B$50)</f>
        <v>360374.27174400003</v>
      </c>
      <c r="H7" s="73" ph="1">
        <f>(H6)*51.53*LOOKUP(H8,密度!$A$2:$A$50,密度!$B$2:$B$50)</f>
        <v>204299.403876</v>
      </c>
      <c r="I7" s="73" ph="1">
        <f>I6*290.8*1.0267</f>
        <v>11679.837763199999</v>
      </c>
      <c r="J7" s="73" ph="1">
        <f>J6*290.8*0.7892</f>
        <v>18364.538787199999</v>
      </c>
      <c r="K7" s="73" ph="1">
        <f>K6*290.8*1.1126</f>
        <v>26417.374132000004</v>
      </c>
      <c r="L7" s="73" ph="1">
        <f>L6*290.8*0.777</f>
        <v>10540.64214</v>
      </c>
      <c r="M7" s="73" ph="1">
        <f>M6*33.183*LOOKUP(M8,密度!$A$2:$A$50,密度!$D$2:$D$50)</f>
        <v>178453.38237479998</v>
      </c>
      <c r="N7" s="73" ph="1">
        <f>N6*33.183*LOOKUP(N8,密度!$A$2:$A$50,密度!$E$2:$E$50)</f>
        <v>143479.31004000001</v>
      </c>
      <c r="O7" s="73" ph="1">
        <f>O6*20.428*LOOKUP(O8,密度!$A$2:$A$50,密度!$C$2:$C$50)</f>
        <v>93695.489702399995</v>
      </c>
      <c r="P7" s="73" ph="1">
        <f>P6*51.53*LOOKUP(P8,密度!$A$2:$A$50,密度!$B$2:$B$50)</f>
        <v>225876.27220800001</v>
      </c>
      <c r="Q7" s="73" ph="1">
        <f>Q6*1.5*1.5*3.1416*LOOKUP(W8,密度!$A$2:$A$50,密度!$L$2:$L$50)</f>
        <v>0</v>
      </c>
      <c r="R7" s="73" ph="1">
        <f>R6*1.5*1.5*3.1416*LOOKUP(R8,密度!$A$2:$A$50,密度!$L$2:$L$50)</f>
        <v>37541.221502399996</v>
      </c>
      <c r="S7" s="73" ph="1">
        <f>S6*1.5*1.5*3.1416*LOOKUP(S8,密度!$A$2:$A$50,密度!$L$2:$L$50)</f>
        <v>47055.670199999993</v>
      </c>
      <c r="T7" s="73" ph="1">
        <f>T6*1.5*1.5*3.1416*LOOKUP(T8,密度!$A$2:$A$50,密度!$L$2:$L$50)</f>
        <v>34801.630063199998</v>
      </c>
      <c r="U7" s="73" ph="1">
        <f>U6*1.5*1.5*3.1416*LOOKUP(U8,密度!$A$2:$A$50,密度!$L$2:$L$50)</f>
        <v>20796.245316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6686.8955999999989</v>
      </c>
      <c r="Z7" s="73" ph="1">
        <f>Z6*33.183*LOOKUP(Z8,密度!$A$2:$A$50,密度!$L$2:$L$50)</f>
        <v>78396.032087999993</v>
      </c>
      <c r="AA7" s="73" ph="1">
        <f>AA6*33.183*LOOKUP(AA8,密度!$A$2:$A$50,密度!$D$2:$D$50)</f>
        <v>58889.272806000001</v>
      </c>
      <c r="AB7" s="73" ph="1">
        <f>AB6*20.428*LOOKUP(AB8,密度!$A$2:$A$50,密度!$D$2:$D$50)</f>
        <v>79475.967462400004</v>
      </c>
      <c r="AC7" s="73" ph="1">
        <f>AC6*51.53*LOOKUP(AC8,密度!$A$2:$A$50,密度!$Q$2:$Q$50)</f>
        <v>360642.35553840006</v>
      </c>
      <c r="AD7" s="73" ph="1">
        <f>AD6*20.428*LOOKUP(AD8,密度!$A$2:$A$50,密度!$V$2:$V$50)</f>
        <v>4804.992448</v>
      </c>
      <c r="AE7" s="73" ph="1">
        <f>AE6*20.428</f>
        <v>57361.824000000001</v>
      </c>
    </row>
    <row r="8" spans="1:99" ph="1">
      <c r="B8" s="235" ph="1"/>
      <c r="C8" s="68" t="s" ph="1">
        <v>213</v>
      </c>
      <c r="D8" s="74">
        <v>16</v>
      </c>
      <c r="E8" s="74">
        <v>15</v>
      </c>
      <c r="F8" s="74">
        <v>19</v>
      </c>
      <c r="G8" s="74">
        <v>16</v>
      </c>
      <c r="H8" s="74">
        <v>10</v>
      </c>
      <c r="I8" s="74">
        <v>25</v>
      </c>
      <c r="J8" s="74">
        <v>25</v>
      </c>
      <c r="K8" s="74">
        <v>25</v>
      </c>
      <c r="L8" s="74">
        <v>25</v>
      </c>
      <c r="M8" s="74">
        <v>16</v>
      </c>
      <c r="N8" s="74">
        <v>17</v>
      </c>
      <c r="O8" s="74">
        <v>22</v>
      </c>
      <c r="P8" s="74">
        <v>17</v>
      </c>
      <c r="Q8" s="74">
        <v>15</v>
      </c>
      <c r="R8" s="74">
        <v>23</v>
      </c>
      <c r="S8" s="74">
        <v>11</v>
      </c>
      <c r="T8" s="74">
        <v>13</v>
      </c>
      <c r="U8" s="74">
        <v>16</v>
      </c>
      <c r="V8" s="74">
        <v>21</v>
      </c>
      <c r="W8" s="74">
        <v>16</v>
      </c>
      <c r="X8" s="74">
        <v>7</v>
      </c>
      <c r="Y8" s="74">
        <v>16</v>
      </c>
      <c r="Z8" s="74">
        <v>20</v>
      </c>
      <c r="AA8" s="74">
        <v>16</v>
      </c>
      <c r="AB8" s="74">
        <v>6</v>
      </c>
      <c r="AC8" s="74">
        <v>14</v>
      </c>
      <c r="AD8" s="74">
        <v>14</v>
      </c>
      <c r="AE8" s="74">
        <v>22</v>
      </c>
    </row>
    <row r="9" spans="1:99" ph="1">
      <c r="B9" s="235" ph="1">
        <v>0.66666666666666663</v>
      </c>
      <c r="C9" s="154" t="s" ph="1">
        <v>214</v>
      </c>
      <c r="D9" s="71">
        <v>4099</v>
      </c>
      <c r="E9" s="71">
        <v>0</v>
      </c>
      <c r="F9" s="71">
        <v>5548</v>
      </c>
      <c r="G9" s="71">
        <v>8884</v>
      </c>
      <c r="H9" s="71">
        <v>5004</v>
      </c>
      <c r="I9" s="71">
        <v>39.119999999999997</v>
      </c>
      <c r="J9" s="71">
        <v>80.13</v>
      </c>
      <c r="K9" s="71">
        <v>81.760000000000005</v>
      </c>
      <c r="L9" s="71">
        <v>40.83</v>
      </c>
      <c r="M9" s="71">
        <v>5198</v>
      </c>
      <c r="N9" s="71">
        <v>5458</v>
      </c>
      <c r="O9" s="71">
        <v>4128</v>
      </c>
      <c r="P9" s="71">
        <v>5485</v>
      </c>
      <c r="Q9" s="71">
        <v>0</v>
      </c>
      <c r="R9" s="71">
        <v>1073</v>
      </c>
      <c r="S9" s="71">
        <v>7000</v>
      </c>
      <c r="T9" s="71">
        <v>5189</v>
      </c>
      <c r="U9" s="71">
        <v>6299</v>
      </c>
      <c r="V9" s="71">
        <v>2615</v>
      </c>
      <c r="W9" s="71">
        <v>0</v>
      </c>
      <c r="X9" s="71">
        <v>0</v>
      </c>
      <c r="Y9" s="71">
        <v>1000</v>
      </c>
      <c r="Z9" s="71">
        <v>3523</v>
      </c>
      <c r="AA9" s="71">
        <v>1714</v>
      </c>
      <c r="AB9" s="71">
        <v>3577</v>
      </c>
      <c r="AC9" s="71">
        <v>7330</v>
      </c>
      <c r="AD9" s="71">
        <v>243</v>
      </c>
      <c r="AE9" s="71">
        <v>2839</v>
      </c>
    </row>
    <row r="10" spans="1:99" s="72" customFormat="1" ht="22.5" ph="1">
      <c r="B10" s="235" ph="1"/>
      <c r="C10" s="154" t="s" ph="1">
        <v>212</v>
      </c>
      <c r="D10" s="73" ph="1">
        <f>D9*33.183*LOOKUP(D11,密度!$A$2:$A$50,密度!$Q$2:$Q$50)</f>
        <v>129705.9227712</v>
      </c>
      <c r="E10" s="73" ph="1">
        <f>E9*51.53*LOOKUP(E11,密度!$A$2:$A$50,密度!$I$2:$I$50)</f>
        <v>0</v>
      </c>
      <c r="F10" s="73" ph="1">
        <f>F9*33.183*LOOKUP(F11,密度!$A$2:$A$50,密度!$C$2:$C$50)</f>
        <v>204939.32294879996</v>
      </c>
      <c r="G10" s="73" ph="1">
        <f xml:space="preserve"> (G9+2)*51.53*LOOKUP(G11,密度!$A$2:$A$50,密度!$B$2:$B$50)</f>
        <v>360455.40057600004</v>
      </c>
      <c r="H10" s="73" ph="1">
        <f>(H9)*51.53*LOOKUP(H11,密度!$A$2:$A$50,密度!$B$2:$B$50)</f>
        <v>203861.04847199999</v>
      </c>
      <c r="I10" s="73" ph="1">
        <f>I9*290.8*1.0267</f>
        <v>11679.837763199999</v>
      </c>
      <c r="J10" s="73" ph="1">
        <f>J9*290.8*0.7892</f>
        <v>18389.783716800001</v>
      </c>
      <c r="K10" s="73" ph="1">
        <f>K9*290.8*1.1126</f>
        <v>26452.963980800003</v>
      </c>
      <c r="L10" s="73" ph="1">
        <f>L9*290.8*0.777</f>
        <v>9225.6038279999993</v>
      </c>
      <c r="M10" s="73" ph="1">
        <f>M9*33.183*LOOKUP(M11,密度!$A$2:$A$50,密度!$D$2:$D$50)</f>
        <v>178487.72014319999</v>
      </c>
      <c r="N10" s="73" ph="1">
        <f>N9*33.183*LOOKUP(N11,密度!$A$2:$A$50,密度!$E$2:$E$50)</f>
        <v>143531.90509499999</v>
      </c>
      <c r="O10" s="73" ph="1">
        <f>O9*20.428*LOOKUP(O11,密度!$A$2:$A$50,密度!$C$2:$C$50)</f>
        <v>93636.460953600006</v>
      </c>
      <c r="P10" s="73" ph="1">
        <f>P9*51.53*LOOKUP(P11,密度!$A$2:$A$50,密度!$B$2:$B$50)</f>
        <v>222071.85868499998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7114.3621163999996</v>
      </c>
      <c r="S10" s="73" ph="1">
        <f>S9*1.5*1.5*3.1416*LOOKUP(S11,密度!$A$2:$A$50,密度!$L$2:$L$50)</f>
        <v>47006.189999999995</v>
      </c>
      <c r="T10" s="73" ph="1">
        <f>T9*1.5*1.5*3.1416*LOOKUP(T11,密度!$A$2:$A$50,密度!$L$2:$L$50)</f>
        <v>34808.338164599998</v>
      </c>
      <c r="U10" s="73" ph="1">
        <f>U9*1.5*1.5*3.1416*LOOKUP(U11,密度!$A$2:$A$50,密度!$L$2:$L$50)</f>
        <v>42076.230273000001</v>
      </c>
      <c r="V10" s="73" ph="1">
        <f>V9*1.5*1.5*3.1416*LOOKUP(V11,密度!$A$2:$A$50,密度!$L$2:$L$50)</f>
        <v>17338.356882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6679.8269999999993</v>
      </c>
      <c r="Z10" s="73" ph="1">
        <f>Z9*33.183*LOOKUP(Z11,密度!$A$2:$A$50,密度!$L$2:$L$50)</f>
        <v>110123.293878</v>
      </c>
      <c r="AA10" s="73" ph="1">
        <f>AA9*33.183*LOOKUP(AA11,密度!$A$2:$A$50,密度!$D$2:$D$50)</f>
        <v>58758.246412199995</v>
      </c>
      <c r="AB10" s="73" ph="1">
        <f>AB9*20.428*LOOKUP(AB11,密度!$A$2:$A$50,密度!$D$2:$D$50)</f>
        <v>76191.085821200002</v>
      </c>
      <c r="AC10" s="73" ph="1">
        <f>AC9*51.53*LOOKUP(AC11,密度!$A$2:$A$50,密度!$Q$2:$Q$50)</f>
        <v>360188.92864</v>
      </c>
      <c r="AD10" s="73" ph="1">
        <f>AD9*20.428*LOOKUP(AD11,密度!$A$2:$A$50,密度!$V$2:$V$50)</f>
        <v>4785.2998559999996</v>
      </c>
      <c r="AE10" s="73" ph="1">
        <f>AE9*20.428</f>
        <v>57995.092000000004</v>
      </c>
    </row>
    <row r="11" spans="1:99" ph="1">
      <c r="A11" s="64" t="s" ph="1">
        <v>196</v>
      </c>
      <c r="B11" s="235" ph="1"/>
      <c r="C11" s="154" t="s" ph="1">
        <v>213</v>
      </c>
      <c r="D11" s="74">
        <v>16</v>
      </c>
      <c r="E11" s="74">
        <v>17</v>
      </c>
      <c r="F11" s="74">
        <v>19</v>
      </c>
      <c r="G11" s="74">
        <v>16</v>
      </c>
      <c r="H11" s="74">
        <v>12</v>
      </c>
      <c r="I11" s="74">
        <v>25</v>
      </c>
      <c r="J11" s="74">
        <v>25</v>
      </c>
      <c r="K11" s="74">
        <v>25</v>
      </c>
      <c r="L11" s="74">
        <v>25</v>
      </c>
      <c r="M11" s="74">
        <v>16</v>
      </c>
      <c r="N11" s="74">
        <v>17</v>
      </c>
      <c r="O11" s="74">
        <v>23</v>
      </c>
      <c r="P11" s="74">
        <v>18</v>
      </c>
      <c r="Q11" s="74">
        <v>17</v>
      </c>
      <c r="R11" s="74">
        <v>24</v>
      </c>
      <c r="S11" s="74">
        <v>12</v>
      </c>
      <c r="T11" s="74">
        <v>13</v>
      </c>
      <c r="U11" s="74">
        <v>17</v>
      </c>
      <c r="V11" s="74">
        <v>24</v>
      </c>
      <c r="W11" s="74">
        <v>20</v>
      </c>
      <c r="X11" s="74">
        <v>11</v>
      </c>
      <c r="Y11" s="74">
        <v>17</v>
      </c>
      <c r="Z11" s="74">
        <v>20</v>
      </c>
      <c r="AA11" s="74">
        <v>18</v>
      </c>
      <c r="AB11" s="74">
        <v>7</v>
      </c>
      <c r="AC11" s="74">
        <v>16</v>
      </c>
      <c r="AD11" s="74">
        <v>17</v>
      </c>
      <c r="AE11" s="74">
        <v>22</v>
      </c>
    </row>
    <row r="12" spans="1:99" ht="9.9499999999999993" customHeight="1" ph="1"/>
    <row r="13" spans="1:99" s="72" customFormat="1" ht="29.25" customHeight="1" ph="1">
      <c r="B13" s="212" t="s" ph="1">
        <v>37</v>
      </c>
      <c r="C13" s="154" t="s" ph="1">
        <v>210</v>
      </c>
      <c r="D13" s="76" t="s" ph="1">
        <v>53</v>
      </c>
      <c r="E13" s="76" t="s" ph="1">
        <v>54</v>
      </c>
      <c r="F13" s="76" t="s" ph="1">
        <v>66</v>
      </c>
      <c r="G13" s="76" t="s" ph="1">
        <v>67</v>
      </c>
      <c r="H13" s="76" t="s" ph="1">
        <v>154</v>
      </c>
      <c r="I13" s="76" t="s" ph="1">
        <v>68</v>
      </c>
      <c r="J13" s="76" t="s" ph="1">
        <v>155</v>
      </c>
      <c r="K13" s="76" t="s" ph="1">
        <v>63</v>
      </c>
      <c r="L13" s="76" t="s" ph="1">
        <v>69</v>
      </c>
      <c r="M13" s="76" t="s" ph="1">
        <v>70</v>
      </c>
      <c r="N13" s="76" t="s" ph="1">
        <v>156</v>
      </c>
      <c r="O13" s="76" t="s" ph="1">
        <v>64</v>
      </c>
      <c r="P13" s="76" t="s" ph="1">
        <v>71</v>
      </c>
      <c r="Q13" s="76" t="s" ph="1">
        <v>72</v>
      </c>
      <c r="R13" s="76" t="s" ph="1">
        <v>73</v>
      </c>
      <c r="S13" s="76" t="s" ph="1">
        <v>74</v>
      </c>
      <c r="T13" s="76" t="s" ph="1">
        <v>75</v>
      </c>
      <c r="U13" s="76" t="s" ph="1">
        <v>76</v>
      </c>
      <c r="V13" s="76" t="s" ph="1">
        <v>157</v>
      </c>
      <c r="W13" s="76" t="s" ph="1">
        <v>158</v>
      </c>
      <c r="X13" s="76" t="s" ph="1">
        <v>159</v>
      </c>
      <c r="Y13" s="105" t="s" ph="1">
        <v>77</v>
      </c>
      <c r="Z13" s="76" t="s" ph="1">
        <v>86</v>
      </c>
      <c r="AA13" s="76" t="s" ph="1">
        <v>160</v>
      </c>
      <c r="AB13" s="76" t="s" ph="1">
        <v>161</v>
      </c>
      <c r="AC13" s="76" t="s" ph="1">
        <v>162</v>
      </c>
      <c r="AD13" s="76" t="s" ph="1">
        <v>163</v>
      </c>
      <c r="AE13" s="76" t="s" ph="1">
        <v>164</v>
      </c>
      <c r="AG13" s="72" t="s" ph="1">
        <v>369</v>
      </c>
      <c r="AH13" s="72" t="s" ph="1">
        <v>232</v>
      </c>
      <c r="AI13" s="72" t="s" ph="1">
        <v>233</v>
      </c>
      <c r="AJ13" s="72" t="s" ph="1">
        <v>234</v>
      </c>
      <c r="AK13" s="72" t="s" ph="1">
        <v>235</v>
      </c>
      <c r="AL13" s="72" t="s" ph="1">
        <v>236</v>
      </c>
      <c r="AM13" s="72" t="s" ph="1">
        <v>237</v>
      </c>
      <c r="AN13" s="72" t="s" ph="1">
        <v>238</v>
      </c>
      <c r="AO13" s="72" t="s" ph="1">
        <v>239</v>
      </c>
      <c r="AP13" s="72" t="s" ph="1">
        <v>240</v>
      </c>
      <c r="AQ13" s="72" t="s" ph="1">
        <v>241</v>
      </c>
      <c r="AR13" s="72" t="s" ph="1">
        <v>242</v>
      </c>
      <c r="AS13" s="72" t="s" ph="1">
        <v>243</v>
      </c>
      <c r="AT13" s="72" t="s" ph="1">
        <v>244</v>
      </c>
      <c r="AU13" s="72" t="s" ph="1">
        <v>245</v>
      </c>
      <c r="AV13" s="72" t="s" ph="1">
        <v>246</v>
      </c>
      <c r="AW13" s="72" t="s" ph="1">
        <v>247</v>
      </c>
      <c r="AX13" s="72" t="s" ph="1">
        <v>248</v>
      </c>
      <c r="AY13" s="72" t="s" ph="1">
        <v>370</v>
      </c>
      <c r="AZ13" s="72" t="s" ph="1">
        <v>249</v>
      </c>
      <c r="BA13" s="72" t="s" ph="1">
        <v>250</v>
      </c>
      <c r="BB13" s="72" t="s" ph="1">
        <v>635</v>
      </c>
      <c r="BC13" s="72" t="s" ph="1">
        <v>251</v>
      </c>
      <c r="BD13" s="72" t="s" ph="1">
        <v>371</v>
      </c>
      <c r="BE13" s="72" t="s" ph="1">
        <v>372</v>
      </c>
      <c r="BF13" s="72" t="s" ph="1">
        <v>373</v>
      </c>
      <c r="BG13" s="72" t="s" ph="1">
        <v>374</v>
      </c>
      <c r="BH13" s="72" t="s" ph="1">
        <v>375</v>
      </c>
    </row>
    <row r="14" spans="1:99" s="72" customFormat="1" ht="24" ph="1">
      <c r="B14" s="213" ph="1"/>
      <c r="C14" s="67" t="s" ph="1">
        <v>36</v>
      </c>
      <c r="D14" s="77" t="s" ph="1">
        <v>131</v>
      </c>
      <c r="E14" s="77" t="s" ph="1">
        <v>131</v>
      </c>
      <c r="F14" s="153" t="s" ph="1">
        <v>656</v>
      </c>
      <c r="G14" s="77" t="s" ph="1">
        <v>220</v>
      </c>
      <c r="H14" s="77" t="s" ph="1">
        <v>648</v>
      </c>
      <c r="I14" s="77" t="s" ph="1">
        <v>65</v>
      </c>
      <c r="J14" s="77" t="s" ph="1">
        <v>230</v>
      </c>
      <c r="K14" s="77" t="s" ph="1">
        <v>226</v>
      </c>
      <c r="L14" s="77" t="s" ph="1">
        <v>41</v>
      </c>
      <c r="M14" s="104" t="s" ph="1">
        <v>225</v>
      </c>
      <c r="N14" s="104" t="s" ph="1">
        <v>221</v>
      </c>
      <c r="O14" s="104" t="s" ph="1">
        <v>229</v>
      </c>
      <c r="P14" s="77" t="s" ph="1">
        <v>82</v>
      </c>
      <c r="Q14" s="77" t="s" ph="1">
        <v>82</v>
      </c>
      <c r="R14" s="88" t="s" ph="1">
        <v>7</v>
      </c>
      <c r="S14" s="77" t="s" ph="1">
        <v>82</v>
      </c>
      <c r="T14" s="77" t="s" ph="1">
        <v>98</v>
      </c>
      <c r="U14" s="77" t="s" ph="1">
        <v>659</v>
      </c>
      <c r="V14" s="77" t="s" ph="1">
        <v>649</v>
      </c>
      <c r="W14" s="77" t="s" ph="1">
        <v>223</v>
      </c>
      <c r="X14" s="77" t="s" ph="1">
        <v>78</v>
      </c>
      <c r="Y14" s="144" t="s" ph="1">
        <v>0</v>
      </c>
      <c r="Z14" s="77" t="s" ph="1">
        <v>62</v>
      </c>
      <c r="AA14" s="77" t="s" ph="1">
        <v>88</v>
      </c>
      <c r="AB14" s="77" t="s" ph="1">
        <v>653</v>
      </c>
      <c r="AC14" s="77" t="s" ph="1">
        <v>653</v>
      </c>
      <c r="AD14" s="77" t="s" ph="1">
        <v>136</v>
      </c>
      <c r="AE14" s="77" t="s" ph="1">
        <v>136</v>
      </c>
      <c r="AG14" s="72" t="s" ph="1">
        <v>252</v>
      </c>
      <c r="AI14" s="72" t="s" ph="1">
        <v>253</v>
      </c>
      <c r="AJ14" s="72" t="s" ph="1">
        <v>376</v>
      </c>
      <c r="AK14" s="72" t="s" ph="1">
        <v>254</v>
      </c>
      <c r="AM14" s="72" t="s" ph="1">
        <v>256</v>
      </c>
      <c r="AN14" s="72" t="s" ph="1">
        <v>254</v>
      </c>
      <c r="AO14" s="72" t="s" ph="1">
        <v>255</v>
      </c>
      <c r="AP14" s="72" t="s" ph="1">
        <v>256</v>
      </c>
      <c r="AQ14" s="72" t="s" ph="1">
        <v>254</v>
      </c>
      <c r="AR14" s="72" t="s" ph="1">
        <v>255</v>
      </c>
      <c r="AS14" s="72" t="s" ph="1">
        <v>256</v>
      </c>
      <c r="AT14" s="72" t="s" ph="1">
        <v>254</v>
      </c>
      <c r="AU14" s="72" t="s" ph="1">
        <v>255</v>
      </c>
      <c r="AV14" s="72" t="s" ph="1">
        <v>256</v>
      </c>
      <c r="AW14" s="72" t="s" ph="1">
        <v>254</v>
      </c>
      <c r="AX14" s="72" t="s" ph="1">
        <v>255</v>
      </c>
      <c r="AY14" s="72" t="s" ph="1">
        <v>256</v>
      </c>
      <c r="AZ14" s="72" t="s" ph="1">
        <v>255</v>
      </c>
    </row>
    <row r="15" spans="1:99" ph="1">
      <c r="B15" s="214" ph="1">
        <v>0.33333333333333331</v>
      </c>
      <c r="C15" s="154" t="s" ph="1">
        <v>211</v>
      </c>
      <c r="D15" s="78">
        <v>1030</v>
      </c>
      <c r="E15" s="78">
        <v>73</v>
      </c>
      <c r="F15" s="78">
        <v>1770</v>
      </c>
      <c r="G15" s="78">
        <v>2384</v>
      </c>
      <c r="H15" s="78">
        <v>2871</v>
      </c>
      <c r="I15" s="78">
        <v>6</v>
      </c>
      <c r="J15" s="78">
        <v>392</v>
      </c>
      <c r="K15" s="78">
        <v>1239</v>
      </c>
      <c r="L15" s="78">
        <v>5231</v>
      </c>
      <c r="M15" s="78">
        <v>464</v>
      </c>
      <c r="N15" s="78">
        <v>1534</v>
      </c>
      <c r="O15" s="78">
        <v>233</v>
      </c>
      <c r="P15" s="78">
        <v>1100</v>
      </c>
      <c r="Q15" s="78">
        <v>2713</v>
      </c>
      <c r="R15" s="78">
        <v>3495</v>
      </c>
      <c r="S15" s="78">
        <v>5614</v>
      </c>
      <c r="T15" s="78">
        <v>4752</v>
      </c>
      <c r="U15" s="78">
        <v>2610</v>
      </c>
      <c r="V15" s="78">
        <v>-1641</v>
      </c>
      <c r="W15" s="78">
        <v>-594</v>
      </c>
      <c r="X15" s="78">
        <v>942</v>
      </c>
      <c r="Y15" s="106">
        <v>-9901</v>
      </c>
      <c r="Z15" s="78">
        <v>0</v>
      </c>
      <c r="AA15" s="78">
        <v>25</v>
      </c>
      <c r="AB15" s="78" ph="1">
        <v>3511</v>
      </c>
      <c r="AC15" s="78" ph="1">
        <v>6504</v>
      </c>
      <c r="AD15" s="78">
        <v>14.34</v>
      </c>
      <c r="AE15" s="78">
        <v>43.62</v>
      </c>
      <c r="AG15" s="64" t="s" ph="1">
        <v>258</v>
      </c>
      <c r="AH15" s="64" ph="1">
        <v>1</v>
      </c>
      <c r="AI15" s="64" t="s" ph="1">
        <v>377</v>
      </c>
      <c r="AK15" s="64" t="s" ph="1">
        <v>631</v>
      </c>
      <c r="AM15" s="64" t="s" ph="1">
        <v>379</v>
      </c>
      <c r="AZ15" s="64" t="s" ph="1">
        <v>260</v>
      </c>
      <c r="BA15" s="64" ph="1">
        <v>0</v>
      </c>
    </row>
    <row r="16" spans="1:99" s="72" customFormat="1" ht="22.5" ph="1">
      <c r="B16" s="215" ph="1"/>
      <c r="C16" s="154" t="s" ph="1">
        <v>212</v>
      </c>
      <c r="D16" s="73" ph="1">
        <f>D15*7.0686*LOOKUP(D17,密度!$A$2:$A$50,密度!$L$2:$L$50)</f>
        <v>6887.5024679999997</v>
      </c>
      <c r="E16" s="73" ph="1">
        <f>E15*7.0686*LOOKUP(E17,密度!$A$2:$A$50,密度!$L$2:$L$50)</f>
        <v>488.14337879999994</v>
      </c>
      <c r="F16" s="73" ph="1">
        <f>F15*9.0746*LOOKUP(F17,密度!$A$2:$A$50,密度!$L$2:$L$50)</f>
        <v>15178.62969</v>
      </c>
      <c r="G16" s="73" ph="1">
        <f>G15*9.0746*LOOKUP(G17,密度!$A$2:$A$50,密度!$B$2:$B$50)</f>
        <v>17047.470963200001</v>
      </c>
      <c r="H16" s="73" ph="1">
        <f>H15*9.0746*LOOKUP(H17,密度!$A$2:$A$50,密度!$L$2:$L$50)</f>
        <v>24698.411416799998</v>
      </c>
      <c r="I16" s="73" ph="1">
        <f>I15*9.0746*LOOKUP(I17,密度!$A$2:$A$50,密度!$U$2:$U$50)</f>
        <v>55.972132800000004</v>
      </c>
      <c r="J16" s="73" ph="1">
        <f>J15*9.0746*LOOKUP(J17,密度!$A$2:$A$50,密度!$L$2:$L$50)</f>
        <v>3365.1520671999997</v>
      </c>
      <c r="K16" s="73" ph="1">
        <f>K15*9.0746*LOOKUP(K17,密度!$A$2:$A$50,密度!$C$2:$C$50)</f>
        <v>12524.05600866</v>
      </c>
      <c r="L16" s="73" ph="1">
        <f>L15*9.0746*LOOKUP(L17,密度!$A$2:$A$50,密度!$E$2:$E$50)</f>
        <v>37671.582991360003</v>
      </c>
      <c r="M16" s="73" ph="1">
        <f>M15*9.0746*LOOKUP(M17,密度!$A$2:$A$50,密度!$M$2:$M$50)</f>
        <v>3706.6038563200004</v>
      </c>
      <c r="N16" s="73" ph="1">
        <f>N15*9.0746*LOOKUP(N17,密度!$A$2:$A$50,密度!$M$2:$M$50)</f>
        <v>12254.160162919999</v>
      </c>
      <c r="O16" s="73" ph="1">
        <f>O15*9.0746*LOOKUP(O17,密度!$A$2:$A$50,密度!$G$2:$G$50)</f>
        <v>2048.8359642</v>
      </c>
      <c r="P16" s="73" ph="1">
        <f ca="1">P15*9.0746*LOOKUP(P17,密度!$A$2:$A$51,密度!$Q$2:$Q$50)</f>
        <v>9510.9067679999989</v>
      </c>
      <c r="Q16" s="73" ph="1">
        <f>Q15*9.0746*LOOKUP(Q17,密度!$A$2:$A$50,密度!$Q$2:$Q$50)</f>
        <v>23477.050113280002</v>
      </c>
      <c r="R16" s="73" ph="1">
        <f>MAX(R15*9.0746*LOOKUP(R17,密度!$A$2:$A$50,密度!$B$2:$B$50),0)</f>
        <v>24919.0467039</v>
      </c>
      <c r="S16" s="73" ph="1">
        <f>S15*9.0746*LOOKUP(S17,密度!$A$2:$A$50,密度!$Q$2:$Q$50)</f>
        <v>48628.853591976003</v>
      </c>
      <c r="T16" s="73" ph="1">
        <f>T15*9.0746*LOOKUP(T17,密度!$A$2:$A$50,密度!$O$2:$O$50)</f>
        <v>40276.414252800001</v>
      </c>
      <c r="U16" s="73" ph="1">
        <f>U15*9.0746*LOOKUP(U17,密度!$A$2:$A$50,密度!$H$2:$H$50)</f>
        <v>21877.562932200002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215.4641142240007</v>
      </c>
      <c r="X16" s="73" ph="1">
        <f>MAX(5600*LOOKUP(X17,密度!$A$2:$A$50,密度!$I$2:$I$50)+X15*9.0476*LOOKUP(X17,密度!$A$2:$A$50,密度!$I$2:$I$50),0)</f>
        <v>14545.959462431998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178.97379850000002</v>
      </c>
      <c r="AB16" s="73" ph="1">
        <f>AB15*9.0746*LOOKUP(AB17,密度!$A$2:$A$50,密度!$L$2:$L$50)</f>
        <v>30076.709046399999</v>
      </c>
      <c r="AC16" s="73" ph="1">
        <f>AC15*9.0746*LOOKUP(AC17,密度!$A$2:$A$50,密度!$L$2:$L$50)</f>
        <v>55952.096083199998</v>
      </c>
      <c r="AD16" s="73" ph="1">
        <f>AD15*268.68*LOOKUP(AD17,密度!$A$2:$A$50,密度!B2:B50)+IF(AD15&lt;=0,0,1566*LOOKUP(AD17,密度!$A$2:$A$50,密度!B2:B50))</f>
        <v>4224.5519875199998</v>
      </c>
      <c r="AE16" s="73" ph="1">
        <f>AE15*268.68*LOOKUP(AE17,密度!$A$2:$A$50,密度!B2:B50)+IF(AE15&lt;=0,0,1566*LOOKUP(AE17,密度!$A$2:$A$50,密度!B2:B50))</f>
        <v>10357.626519359999</v>
      </c>
      <c r="AH16" s="72" ph="1">
        <v>2</v>
      </c>
      <c r="AI16" s="72" t="s" ph="1">
        <v>381</v>
      </c>
      <c r="AZ16" s="72" t="s" ph="1">
        <v>260</v>
      </c>
      <c r="BA16" s="72" ph="1">
        <v>0</v>
      </c>
    </row>
    <row r="17" spans="1:57" ph="1">
      <c r="A17" s="64" t="s" ph="1">
        <v>85</v>
      </c>
      <c r="B17" s="216" ph="1"/>
      <c r="C17" s="79" t="s" ph="1">
        <v>213</v>
      </c>
      <c r="D17" s="74">
        <v>16</v>
      </c>
      <c r="E17" s="74">
        <v>16</v>
      </c>
      <c r="F17" s="74">
        <v>17</v>
      </c>
      <c r="G17" s="74">
        <v>15</v>
      </c>
      <c r="H17" s="74">
        <v>14</v>
      </c>
      <c r="I17" s="74">
        <v>15</v>
      </c>
      <c r="J17" s="74">
        <v>16</v>
      </c>
      <c r="K17" s="74">
        <v>18</v>
      </c>
      <c r="L17" s="74">
        <v>16</v>
      </c>
      <c r="M17" s="74">
        <v>16</v>
      </c>
      <c r="N17" s="74">
        <v>16</v>
      </c>
      <c r="O17" s="74">
        <v>17</v>
      </c>
      <c r="P17" s="74">
        <v>17</v>
      </c>
      <c r="Q17" s="74">
        <v>16</v>
      </c>
      <c r="R17" s="74">
        <v>18</v>
      </c>
      <c r="S17" s="74">
        <v>15</v>
      </c>
      <c r="T17" s="74">
        <v>16</v>
      </c>
      <c r="U17" s="74">
        <v>16</v>
      </c>
      <c r="V17" s="74">
        <v>16</v>
      </c>
      <c r="W17" s="74">
        <v>15</v>
      </c>
      <c r="X17" s="74">
        <v>36</v>
      </c>
      <c r="Y17" s="108">
        <v>36</v>
      </c>
      <c r="Z17" s="74">
        <v>17</v>
      </c>
      <c r="AA17" s="74">
        <v>14</v>
      </c>
      <c r="AB17" s="74">
        <v>18</v>
      </c>
      <c r="AC17" s="74">
        <v>14</v>
      </c>
      <c r="AD17" s="74">
        <v>25</v>
      </c>
      <c r="AE17" s="74">
        <v>25</v>
      </c>
      <c r="AH17" s="64" ph="1">
        <v>3</v>
      </c>
      <c r="AI17" s="64" t="s" ph="1">
        <v>382</v>
      </c>
      <c r="AK17" s="64" t="s" ph="1">
        <v>614</v>
      </c>
      <c r="AL17" s="64" ph="1">
        <v>80</v>
      </c>
      <c r="AM17" s="64" t="s" ph="1">
        <v>379</v>
      </c>
      <c r="AZ17" s="64" t="s" ph="1">
        <v>260</v>
      </c>
      <c r="BA17" s="64" ph="1">
        <v>80</v>
      </c>
      <c r="BD17" s="64" t="s" ph="1">
        <v>258</v>
      </c>
      <c r="BE17" s="64" ph="1">
        <v>2270</v>
      </c>
    </row>
    <row r="18" spans="1:57" ph="1">
      <c r="B18" s="214" ph="1">
        <v>0.66666666666666663</v>
      </c>
      <c r="C18" s="79" t="s" ph="1">
        <v>214</v>
      </c>
      <c r="D18" s="71">
        <v>1970</v>
      </c>
      <c r="E18" s="71">
        <v>73</v>
      </c>
      <c r="F18" s="71">
        <v>1770</v>
      </c>
      <c r="G18" s="71">
        <v>2425</v>
      </c>
      <c r="H18" s="71">
        <v>2871</v>
      </c>
      <c r="I18" s="71">
        <v>7</v>
      </c>
      <c r="J18" s="71">
        <v>391</v>
      </c>
      <c r="K18" s="71">
        <v>1415</v>
      </c>
      <c r="L18" s="71">
        <v>3326</v>
      </c>
      <c r="M18" s="71">
        <v>2586</v>
      </c>
      <c r="N18" s="71">
        <v>622</v>
      </c>
      <c r="O18" s="71">
        <v>233</v>
      </c>
      <c r="P18" s="71">
        <v>1100</v>
      </c>
      <c r="Q18" s="71">
        <v>2717</v>
      </c>
      <c r="R18" s="71">
        <v>3496</v>
      </c>
      <c r="S18" s="71">
        <v>5618</v>
      </c>
      <c r="T18" s="71">
        <v>4754</v>
      </c>
      <c r="U18" s="71">
        <v>4395</v>
      </c>
      <c r="V18" s="71">
        <v>-1642</v>
      </c>
      <c r="W18" s="71">
        <v>-594</v>
      </c>
      <c r="X18" s="71">
        <v>941</v>
      </c>
      <c r="Y18" s="109">
        <v>-9901</v>
      </c>
      <c r="Z18" s="71">
        <v>0</v>
      </c>
      <c r="AA18" s="71">
        <v>28</v>
      </c>
      <c r="AB18" s="71">
        <v>746</v>
      </c>
      <c r="AC18" s="71">
        <v>6508</v>
      </c>
      <c r="AD18" s="71">
        <v>39.520000000000003</v>
      </c>
      <c r="AE18" s="71">
        <v>43.32</v>
      </c>
      <c r="AH18" s="64" ph="1">
        <v>4</v>
      </c>
      <c r="AI18" s="64" t="s" ph="1">
        <v>384</v>
      </c>
      <c r="AJ18" s="64" t="s" ph="1">
        <v>632</v>
      </c>
      <c r="AK18" s="64" t="s" ph="1">
        <v>631</v>
      </c>
      <c r="AL18" s="64" ph="1">
        <v>740</v>
      </c>
      <c r="AM18" s="64" t="s" ph="1">
        <v>383</v>
      </c>
      <c r="AZ18" s="64" t="s" ph="1">
        <v>260</v>
      </c>
      <c r="BA18" s="64" ph="1">
        <v>740</v>
      </c>
    </row>
    <row r="19" spans="1:57" s="72" customFormat="1" ht="22.5" ph="1">
      <c r="B19" s="215" ph="1"/>
      <c r="C19" s="154" t="s" ph="1">
        <v>212</v>
      </c>
      <c r="D19" s="73" ph="1">
        <f>D18*7.0686*LOOKUP(D20,密度!$A$2:$A$50,密度!$L$2:$L$50)</f>
        <v>13159.259189999999</v>
      </c>
      <c r="E19" s="73" ph="1">
        <f>E18*7.0686*LOOKUP(E20,密度!$A$2:$A$50,密度!$L$2:$L$50)</f>
        <v>487.62737099999993</v>
      </c>
      <c r="F19" s="73" ph="1">
        <f>F18*9.0746*LOOKUP(F20,密度!$A$2:$A$50,密度!$L$2:$L$50)</f>
        <v>15162.567648</v>
      </c>
      <c r="G19" s="73" ph="1">
        <f>G18*9.0746*LOOKUP(G20,密度!$A$2:$A$50,密度!$B$2:$B$50)</f>
        <v>17305.443691999997</v>
      </c>
      <c r="H19" s="73" ph="1">
        <f>H18*9.0746*LOOKUP(H20,密度!$A$2:$A$50,密度!$L$2:$L$50)</f>
        <v>24672.358240199999</v>
      </c>
      <c r="I19" s="73" ph="1">
        <f>I18*9.0746*LOOKUP(I20,密度!$A$2:$A$50,密度!$U$2:$U$50)</f>
        <v>65.300821600000006</v>
      </c>
      <c r="J19" s="73" ph="1">
        <f>J18*9.0746*LOOKUP(J20,密度!$A$2:$A$50,密度!$L$2:$L$50)</f>
        <v>3342.3748211999996</v>
      </c>
      <c r="K19" s="73" ph="1">
        <f>K18*9.0746*LOOKUP(K20,密度!$A$2:$A$50,密度!$C$2:$C$50)</f>
        <v>14258.156713600001</v>
      </c>
      <c r="L19" s="73" ph="1">
        <f>L18*9.0746*LOOKUP(L20,密度!$A$2:$A$50,密度!$E$2:$E$50)</f>
        <v>23919.329783000001</v>
      </c>
      <c r="M19" s="73" ph="1">
        <f>M18*9.0746*LOOKUP(M20,密度!$A$2:$A$50,密度!$M$2:$M$50)</f>
        <v>20657.925802679998</v>
      </c>
      <c r="N19" s="73" ph="1">
        <f>N18*9.0746*LOOKUP(N20,密度!$A$2:$A$50,密度!$M$2:$M$50)</f>
        <v>4968.7663763600003</v>
      </c>
      <c r="O19" s="73" ph="1">
        <f>O18*9.0746*LOOKUP(O20,密度!$A$2:$A$50,密度!$G$2:$G$50)</f>
        <v>2042.2813806200002</v>
      </c>
      <c r="P19" s="73" ph="1">
        <f ca="1">P18*9.0746*LOOKUP(P20,密度!$A$2:$A$51,密度!$Q$2:$Q$50)</f>
        <v>9495.2349338000004</v>
      </c>
      <c r="Q19" s="73" ph="1">
        <f>Q18*9.0746*LOOKUP(Q20,密度!$A$2:$A$50,密度!$Q$2:$Q$50)</f>
        <v>23491.939716960002</v>
      </c>
      <c r="R19" s="73" ph="1">
        <f>MAX(R18*9.0746*LOOKUP(R20,密度!$A$2:$A$50,密度!$B$2:$B$50),0)</f>
        <v>24900.796775840005</v>
      </c>
      <c r="S19" s="73" ph="1">
        <f>S18*9.0746*LOOKUP(S20,密度!$A$2:$A$50,密度!$Q$2:$Q$50)</f>
        <v>48574.794747840002</v>
      </c>
      <c r="T19" s="73" ph="1">
        <f>T18*9.0746*LOOKUP(T20,密度!$A$2:$A$50,密度!$O$2:$O$50)</f>
        <v>40293.365605600004</v>
      </c>
      <c r="U19" s="73" ph="1">
        <f>U18*9.0746*LOOKUP(U20,密度!$A$2:$A$50,密度!$H$2:$H$50)</f>
        <v>36839.8042479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215.07135168000059</v>
      </c>
      <c r="X19" s="73" ph="1">
        <f>MAX(5600*LOOKUP(X20,密度!$A$2:$A$50,密度!$I$2:$I$50)+X18*9.0476*LOOKUP(X20,密度!$A$2:$A$50,密度!$I$2:$I$50),0)</f>
        <v>14599.30603104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200.01870335999999</v>
      </c>
      <c r="AB19" s="73" ph="1">
        <f>AB18*9.0746*LOOKUP(AB20,密度!$A$2:$A$50,密度!$L$2:$L$50)</f>
        <v>6390.5511103999997</v>
      </c>
      <c r="AC19" s="73" ph="1">
        <f>AC18*9.0746*LOOKUP(AC20,密度!$A$2:$A$50,密度!$L$2:$L$50)</f>
        <v>55868.391972799996</v>
      </c>
      <c r="AD19" s="73" ph="1">
        <f>AD18*268.68*LOOKUP(AD20,密度!$A$2:$A$50,密度!B5:B53)+IF(AD18&lt;=0,0,1566*LOOKUP(AD20,密度!$A$2:$A$50,密度!B5:B53))</f>
        <v>9467.1495071999998</v>
      </c>
      <c r="AE19" s="73" ph="1">
        <f>AE18*268.68*LOOKUP(AE20,密度!$A$2:$A$50,密度!B5:B53)+IF(AE18&lt;=0,0,1566*LOOKUP(AE20,密度!$A$2:$A$50,密度!B5:B53))</f>
        <v>10260.454075199999</v>
      </c>
      <c r="AH19" s="72" ph="1">
        <v>5</v>
      </c>
      <c r="AI19" s="72" t="s" ph="1">
        <v>385</v>
      </c>
      <c r="AZ19" s="72" t="s" ph="1">
        <v>260</v>
      </c>
      <c r="BA19" s="72" ph="1">
        <v>0</v>
      </c>
      <c r="BD19" s="72" t="s" ph="1">
        <v>386</v>
      </c>
      <c r="BE19" s="72" ph="1">
        <v>1440</v>
      </c>
    </row>
    <row r="20" spans="1:57" ph="1">
      <c r="A20" s="72" ph="1"/>
      <c r="B20" s="215" ph="1"/>
      <c r="C20" s="80" t="s" ph="1">
        <v>213</v>
      </c>
      <c r="D20" s="81">
        <v>17</v>
      </c>
      <c r="E20" s="81">
        <v>17</v>
      </c>
      <c r="F20" s="81">
        <v>18</v>
      </c>
      <c r="G20" s="81">
        <v>17</v>
      </c>
      <c r="H20" s="81">
        <v>15</v>
      </c>
      <c r="I20" s="81">
        <v>19</v>
      </c>
      <c r="J20" s="81">
        <v>20</v>
      </c>
      <c r="K20" s="81">
        <v>23</v>
      </c>
      <c r="L20" s="81">
        <v>17</v>
      </c>
      <c r="M20" s="81">
        <v>20</v>
      </c>
      <c r="N20" s="81">
        <v>17</v>
      </c>
      <c r="O20" s="81">
        <v>20</v>
      </c>
      <c r="P20" s="81">
        <v>19</v>
      </c>
      <c r="Q20" s="81">
        <v>17</v>
      </c>
      <c r="R20" s="81">
        <v>19</v>
      </c>
      <c r="S20" s="81">
        <v>17</v>
      </c>
      <c r="T20" s="81">
        <v>17</v>
      </c>
      <c r="U20" s="81">
        <v>16</v>
      </c>
      <c r="V20" s="81">
        <v>17</v>
      </c>
      <c r="W20" s="81">
        <v>17</v>
      </c>
      <c r="X20" s="81">
        <v>32</v>
      </c>
      <c r="Y20" s="110">
        <v>32</v>
      </c>
      <c r="Z20" s="81">
        <v>19</v>
      </c>
      <c r="AA20" s="81">
        <v>16</v>
      </c>
      <c r="AB20" s="81">
        <v>18</v>
      </c>
      <c r="AC20" s="81">
        <v>16</v>
      </c>
      <c r="AD20" s="81">
        <v>25</v>
      </c>
      <c r="AE20" s="81">
        <v>25</v>
      </c>
      <c r="AH20" s="64" ph="1">
        <v>6</v>
      </c>
      <c r="AI20" s="64" t="s" ph="1">
        <v>387</v>
      </c>
      <c r="AZ20" s="64" t="s" ph="1">
        <v>260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388</v>
      </c>
      <c r="AZ21" s="64" t="s" ph="1">
        <v>260</v>
      </c>
      <c r="BA21" s="64" ph="1">
        <v>0</v>
      </c>
      <c r="BD21" s="64" t="s" ph="1">
        <v>276</v>
      </c>
      <c r="BE21" s="64" ph="1">
        <v>730</v>
      </c>
    </row>
    <row r="22" spans="1:57" ph="1">
      <c r="A22" s="72" ph="1"/>
      <c r="B22" s="213" t="s" ph="1">
        <v>37</v>
      </c>
      <c r="C22" s="85" t="s" ph="1">
        <v>210</v>
      </c>
      <c r="D22" s="86" t="s" ph="1">
        <v>104</v>
      </c>
      <c r="E22" s="86" t="s" ph="1">
        <v>105</v>
      </c>
      <c r="F22" s="86" t="s" ph="1">
        <v>106</v>
      </c>
      <c r="G22" s="86" t="s" ph="1">
        <v>107</v>
      </c>
      <c r="H22" s="86" t="s" ph="1">
        <v>108</v>
      </c>
      <c r="I22" s="86" t="s" ph="1">
        <v>109</v>
      </c>
      <c r="J22" s="86" t="s" ph="1">
        <v>110</v>
      </c>
      <c r="K22" s="86" t="s" ph="1">
        <v>111</v>
      </c>
      <c r="L22" s="86" t="s" ph="1">
        <v>112</v>
      </c>
      <c r="M22" s="86" t="s" ph="1">
        <v>113</v>
      </c>
      <c r="N22" s="86" t="s" ph="1">
        <v>114</v>
      </c>
      <c r="O22" s="86" t="s" ph="1">
        <v>115</v>
      </c>
      <c r="P22" s="86" t="s" ph="1">
        <v>116</v>
      </c>
      <c r="Q22" s="87" t="s" ph="1">
        <v>117</v>
      </c>
      <c r="R22" s="86" t="s" ph="1">
        <v>118</v>
      </c>
      <c r="S22" s="86" t="s" ph="1">
        <v>119</v>
      </c>
      <c r="T22" s="86" t="s" ph="1">
        <v>120</v>
      </c>
      <c r="U22" s="86" t="s" ph="1">
        <v>121</v>
      </c>
      <c r="V22" s="86" t="s" ph="1">
        <v>122</v>
      </c>
      <c r="W22" s="86" t="s" ph="1">
        <v>123</v>
      </c>
      <c r="X22" s="86" t="s" ph="1">
        <v>124</v>
      </c>
      <c r="Y22" s="86" t="s" ph="1">
        <v>126</v>
      </c>
      <c r="Z22" s="223" t="s" ph="1">
        <v>79</v>
      </c>
      <c r="AA22" s="224"/>
      <c r="AB22" s="224"/>
      <c r="AC22" s="224"/>
      <c r="AD22" s="224"/>
      <c r="AE22" s="225"/>
      <c r="AH22" s="64" ph="1">
        <v>8</v>
      </c>
      <c r="AI22" s="64" t="s" ph="1">
        <v>389</v>
      </c>
      <c r="AZ22" s="64" t="s" ph="1">
        <v>260</v>
      </c>
      <c r="BA22" s="64" ph="1">
        <v>0</v>
      </c>
    </row>
    <row r="23" spans="1:57" ph="1">
      <c r="A23" s="72" ph="1"/>
      <c r="B23" s="217" ph="1"/>
      <c r="C23" s="67" t="s" ph="1">
        <v>36</v>
      </c>
      <c r="D23" s="88" t="s" ph="1">
        <v>128</v>
      </c>
      <c r="E23" s="88" t="s" ph="1">
        <v>125</v>
      </c>
      <c r="F23" s="88" t="s" ph="1">
        <v>224</v>
      </c>
      <c r="G23" s="88" t="s" ph="1">
        <v>165</v>
      </c>
      <c r="H23" s="88" t="s" ph="1">
        <v>165</v>
      </c>
      <c r="I23" s="88" t="s" ph="1">
        <v>166</v>
      </c>
      <c r="J23" s="88" t="s" ph="1">
        <v>167</v>
      </c>
      <c r="K23" s="88" t="s" ph="1">
        <v>129</v>
      </c>
      <c r="L23" s="88" t="s" ph="1">
        <v>129</v>
      </c>
      <c r="M23" s="88" t="s" ph="1">
        <v>167</v>
      </c>
      <c r="N23" s="88" t="s" ph="1">
        <v>167</v>
      </c>
      <c r="O23" s="88" t="s" ph="1">
        <v>132</v>
      </c>
      <c r="P23" s="88" t="s" ph="1">
        <v>168</v>
      </c>
      <c r="Q23" s="89" t="s" ph="1">
        <v>168</v>
      </c>
      <c r="R23" s="88" t="s" ph="1">
        <v>169</v>
      </c>
      <c r="S23" s="88" t="s" ph="1">
        <v>170</v>
      </c>
      <c r="T23" s="88" t="s" ph="1">
        <v>651</v>
      </c>
      <c r="U23" s="88" t="s" ph="1">
        <v>660</v>
      </c>
      <c r="V23" s="88" t="s" ph="1">
        <v>172</v>
      </c>
      <c r="W23" s="88" t="s" ph="1">
        <v>170</v>
      </c>
      <c r="X23" s="88" t="s" ph="1">
        <v>231</v>
      </c>
      <c r="Y23" s="88" t="s" ph="1">
        <v>97</v>
      </c>
      <c r="Z23" s="226" t="s" ph="1">
        <v>662</v>
      </c>
      <c r="AA23" s="227"/>
      <c r="AB23" s="227"/>
      <c r="AC23" s="227"/>
      <c r="AD23" s="227"/>
      <c r="AE23" s="228"/>
      <c r="AH23" s="64" ph="1">
        <v>9</v>
      </c>
      <c r="AI23" s="64" t="s" ph="1">
        <v>390</v>
      </c>
      <c r="AZ23" s="64" t="s" ph="1">
        <v>260</v>
      </c>
      <c r="BA23" s="64" ph="1">
        <v>0</v>
      </c>
      <c r="BD23" s="64" t="s" ph="1">
        <v>282</v>
      </c>
      <c r="BE23" s="64" ph="1">
        <v>890</v>
      </c>
    </row>
    <row r="24" spans="1:57" ph="1">
      <c r="A24" s="72" ph="1"/>
      <c r="B24" s="235" ph="1">
        <v>0.33333333333333331</v>
      </c>
      <c r="C24" s="154" t="s" ph="1">
        <v>211</v>
      </c>
      <c r="D24" s="71">
        <v>44.23</v>
      </c>
      <c r="E24" s="71">
        <v>91.05</v>
      </c>
      <c r="F24" s="71">
        <v>2150</v>
      </c>
      <c r="G24" s="71">
        <v>2201</v>
      </c>
      <c r="H24" s="71">
        <v>921</v>
      </c>
      <c r="I24" s="71">
        <v>2534</v>
      </c>
      <c r="J24" s="71">
        <v>2449</v>
      </c>
      <c r="K24" s="71">
        <v>5610</v>
      </c>
      <c r="L24" s="71">
        <v>5582</v>
      </c>
      <c r="M24" s="71">
        <v>3803</v>
      </c>
      <c r="N24" s="71">
        <v>867</v>
      </c>
      <c r="O24" s="71">
        <v>2061</v>
      </c>
      <c r="P24" s="71">
        <v>2021</v>
      </c>
      <c r="Q24" s="90">
        <v>2141</v>
      </c>
      <c r="R24" s="71">
        <v>3375</v>
      </c>
      <c r="S24" s="71">
        <v>2646</v>
      </c>
      <c r="T24" s="71">
        <v>6389</v>
      </c>
      <c r="U24" s="71">
        <v>4614</v>
      </c>
      <c r="V24" s="71">
        <v>395</v>
      </c>
      <c r="W24" s="71">
        <v>6322</v>
      </c>
      <c r="X24" s="71">
        <v>10824</v>
      </c>
      <c r="Y24" s="71">
        <v>3073</v>
      </c>
      <c r="Z24" s="229"/>
      <c r="AA24" s="230"/>
      <c r="AB24" s="230"/>
      <c r="AC24" s="230"/>
      <c r="AD24" s="230"/>
      <c r="AE24" s="231"/>
      <c r="AH24" s="64" ph="1">
        <v>10</v>
      </c>
      <c r="AI24" s="64" t="s" ph="1">
        <v>391</v>
      </c>
      <c r="AZ24" s="64" t="s" ph="1">
        <v>260</v>
      </c>
      <c r="BA24" s="64" ph="1">
        <v>0</v>
      </c>
    </row>
    <row r="25" spans="1:57" ph="1">
      <c r="A25" s="72" ph="1"/>
      <c r="B25" s="235" ph="1"/>
      <c r="C25" s="68" t="s" ph="1">
        <v>212</v>
      </c>
      <c r="D25" s="91" ph="1">
        <f>D24*268.68*LOOKUP(D26,密度!$A$2:$A$50,密度!$Q$2:$Q$50)+IF(D24&lt;=0,0,1566*LOOKUP(D26,密度!$A$2:$A$50,密度!$Q$2:$Q$50))</f>
        <v>12733.384504535999</v>
      </c>
      <c r="E25" s="91" ph="1">
        <f>E24*268.68*LOOKUP(E26,密度!$A$2:$A$50,密度!$C$2:$C$50)+IF(E24&lt;=0,0,1566*LOOKUP(E26,密度!$A$2:$A$50,密度!$C$2:$C$50))</f>
        <v>28863.906294599998</v>
      </c>
      <c r="F25" s="91" ph="1">
        <f>F24*11.702*LOOKUP(F26,密度!$A$2:$A$50,密度!$Q$2:$Q$50)</f>
        <v>23991.908479999998</v>
      </c>
      <c r="G25" s="91" ph="1">
        <f>G24*18.322*LOOKUP(G26,密度!$A$2:$A$50,密度!$B$2:$B$50)</f>
        <v>31745.195558400002</v>
      </c>
      <c r="H25" s="91" ph="1">
        <f>H24*18.322*LOOKUP(H26,密度!$A$2:$A$50,密度!$B$2:$B$50)</f>
        <v>13297.154855999999</v>
      </c>
      <c r="I25" s="91" ph="1">
        <f>I24*18.322*LOOKUP(I26,密度!$A$2:$A$50,密度!$Q$2:$Q$50)</f>
        <v>44317.333483919996</v>
      </c>
      <c r="J25" s="91" ph="1">
        <f>J24*18.322*LOOKUP(J26,密度!$A$2:$A$50,密度!$Q$2:$Q$50)</f>
        <v>42830.761524120004</v>
      </c>
      <c r="K25" s="91" ph="1">
        <f>K24*18.322*LOOKUP(K26,密度!$A$2:$A$50,密度!$Q$2:$Q$50)</f>
        <v>98017.130111999999</v>
      </c>
      <c r="L25" s="91" ph="1">
        <f>L24*18.322*LOOKUP(L26,密度!$A$2:$A$50,密度!$Q$2:$Q$50)</f>
        <v>97527.918054399997</v>
      </c>
      <c r="M25" s="91" ph="1">
        <f>M24*18.322*LOOKUP(M26,密度!$A$2:$A$50,密度!$Q$2:$Q$50)</f>
        <v>66510.978389639989</v>
      </c>
      <c r="N25" s="91" ph="1">
        <f>N24*18.322*LOOKUP(N26,密度!$A$2:$A$50,密度!$Q$2:$Q$50)</f>
        <v>15163.03398996</v>
      </c>
      <c r="O25" s="91" ph="1">
        <f>O24*18.322*LOOKUP(O26,密度!$A$2:$A$50,密度!$C$2:$C$50)</f>
        <v>42134.440143599997</v>
      </c>
      <c r="P25" s="91" ph="1">
        <f>P24*11.702*LOOKUP(P26,密度!$A$2:$A$50,密度!$B$2:$B$50)</f>
        <v>18635.996695999998</v>
      </c>
      <c r="Q25" s="92" ph="1">
        <f>Q24*18.322*LOOKUP(Q26,密度!$A$2:$A$50,密度!$B$2:$B$50)</f>
        <v>30911.192776000004</v>
      </c>
      <c r="R25" s="91" ph="1">
        <f>R24*35.891*LOOKUP(R26,密度!$A$2:$A$50,密度!$C$2:$C$50)</f>
        <v>135256.130775</v>
      </c>
      <c r="S25" s="91" ph="1">
        <f>S24*35.891*LOOKUP(S26,密度!$A$2:$A$50,密度!$B$2:$B$50)</f>
        <v>74834.457767999993</v>
      </c>
      <c r="T25" s="91" ph="1">
        <f>T24*35.891*LOOKUP(T26,密度!$A$2:$A$50,密度!$Q$2:$Q$50)</f>
        <v>218883.27554946</v>
      </c>
      <c r="U25" s="91" ph="1">
        <f>U24*35.891</f>
        <v>165601.07399999999</v>
      </c>
      <c r="V25" s="91" ph="1">
        <f>V24*47.051*LOOKUP(V26,密度!$A$2:$A$50,密度!$B$2:$B$50)</f>
        <v>14661.820890500001</v>
      </c>
      <c r="W25" s="91" ph="1">
        <f>W24*47.051*LOOKUP(W26,密度!$A$2:$A$50,密度!$B$2:$B$50)</f>
        <v>234157.69539840001</v>
      </c>
      <c r="X25" s="91" ph="1">
        <f>X24*47.051*LOOKUP(X26,密度!$A$2:$A$50,密度!$I$2:$I$50)</f>
        <v>527430.76405535999</v>
      </c>
      <c r="Y25" s="91" ph="1">
        <f>Y24*47.051*LOOKUP(Y26,密度!$A$2:$A$50,密度!$L$2:$L$50)</f>
        <v>136635.398235</v>
      </c>
      <c r="Z25" s="229"/>
      <c r="AA25" s="230"/>
      <c r="AB25" s="230"/>
      <c r="AC25" s="230"/>
      <c r="AD25" s="230"/>
      <c r="AE25" s="231"/>
      <c r="AH25" s="64" ph="1">
        <v>11</v>
      </c>
      <c r="AI25" s="64" t="s" ph="1">
        <v>392</v>
      </c>
      <c r="AZ25" s="64" t="s" ph="1">
        <v>260</v>
      </c>
      <c r="BA25" s="64" ph="1">
        <v>0</v>
      </c>
      <c r="BD25" s="64" t="s" ph="1">
        <v>285</v>
      </c>
      <c r="BE25" s="64" ph="1">
        <v>8920</v>
      </c>
    </row>
    <row r="26" spans="1:57" ph="1">
      <c r="A26" s="72" ph="1"/>
      <c r="B26" s="235" ph="1"/>
      <c r="C26" s="68" t="s" ph="1">
        <v>213</v>
      </c>
      <c r="D26" s="74">
        <v>25</v>
      </c>
      <c r="E26" s="74">
        <v>25</v>
      </c>
      <c r="F26" s="74">
        <v>16</v>
      </c>
      <c r="G26" s="74">
        <v>16</v>
      </c>
      <c r="H26" s="74">
        <v>15</v>
      </c>
      <c r="I26" s="74">
        <v>15</v>
      </c>
      <c r="J26" s="74">
        <v>14</v>
      </c>
      <c r="K26" s="74">
        <v>16</v>
      </c>
      <c r="L26" s="74">
        <v>16</v>
      </c>
      <c r="M26" s="74">
        <v>14</v>
      </c>
      <c r="N26" s="74">
        <v>15</v>
      </c>
      <c r="O26" s="74">
        <v>15</v>
      </c>
      <c r="P26" s="74">
        <v>15</v>
      </c>
      <c r="Q26" s="93">
        <v>15</v>
      </c>
      <c r="R26" s="74">
        <v>14</v>
      </c>
      <c r="S26" s="74">
        <v>15</v>
      </c>
      <c r="T26" s="74">
        <v>13</v>
      </c>
      <c r="U26" s="74">
        <v>15</v>
      </c>
      <c r="V26" s="74">
        <v>14</v>
      </c>
      <c r="W26" s="74">
        <v>16</v>
      </c>
      <c r="X26" s="74">
        <v>56</v>
      </c>
      <c r="Y26" s="74">
        <v>17</v>
      </c>
      <c r="Z26" s="229"/>
      <c r="AA26" s="230"/>
      <c r="AB26" s="230"/>
      <c r="AC26" s="230"/>
      <c r="AD26" s="230"/>
      <c r="AE26" s="231"/>
      <c r="AH26" s="64" ph="1">
        <v>12</v>
      </c>
      <c r="AI26" s="64" t="s" ph="1">
        <v>393</v>
      </c>
      <c r="AZ26" s="64" t="s" ph="1">
        <v>260</v>
      </c>
      <c r="BA26" s="64" ph="1">
        <v>0</v>
      </c>
    </row>
    <row r="27" spans="1:57" ph="1">
      <c r="A27" s="72" ph="1"/>
      <c r="B27" s="235" ph="1">
        <v>0.66666666666666663</v>
      </c>
      <c r="C27" s="154" t="s" ph="1">
        <v>214</v>
      </c>
      <c r="D27" s="71">
        <v>44.25</v>
      </c>
      <c r="E27" s="71">
        <v>91.05</v>
      </c>
      <c r="F27" s="71">
        <v>2150</v>
      </c>
      <c r="G27" s="71">
        <v>1664</v>
      </c>
      <c r="H27" s="71">
        <v>608</v>
      </c>
      <c r="I27" s="71">
        <v>2535</v>
      </c>
      <c r="J27" s="71">
        <v>2449</v>
      </c>
      <c r="K27" s="71">
        <v>5611</v>
      </c>
      <c r="L27" s="71">
        <v>5582</v>
      </c>
      <c r="M27" s="71">
        <v>4810</v>
      </c>
      <c r="N27" s="71">
        <v>2798</v>
      </c>
      <c r="O27" s="71">
        <v>2060</v>
      </c>
      <c r="P27" s="71">
        <v>634</v>
      </c>
      <c r="Q27" s="90">
        <v>2491</v>
      </c>
      <c r="R27" s="71">
        <v>3374</v>
      </c>
      <c r="S27" s="71">
        <v>2645</v>
      </c>
      <c r="T27" s="71">
        <v>6390</v>
      </c>
      <c r="U27" s="71">
        <v>4675</v>
      </c>
      <c r="V27" s="71">
        <v>394</v>
      </c>
      <c r="W27" s="71">
        <v>6051</v>
      </c>
      <c r="X27" s="71">
        <v>9957</v>
      </c>
      <c r="Y27" s="71">
        <v>1773</v>
      </c>
      <c r="Z27" s="229"/>
      <c r="AA27" s="230"/>
      <c r="AB27" s="230"/>
      <c r="AC27" s="230"/>
      <c r="AD27" s="230"/>
      <c r="AE27" s="231"/>
      <c r="AH27" s="64" ph="1">
        <v>13</v>
      </c>
      <c r="AI27" s="64" t="s" ph="1">
        <v>394</v>
      </c>
      <c r="AZ27" s="64" t="s" ph="1">
        <v>260</v>
      </c>
      <c r="BA27" s="64" ph="1">
        <v>0</v>
      </c>
      <c r="BD27" s="64" t="s" ph="1">
        <v>339</v>
      </c>
      <c r="BE27" s="64" ph="1">
        <v>7100</v>
      </c>
    </row>
    <row r="28" spans="1:57" ph="1">
      <c r="A28" s="72" ph="1"/>
      <c r="B28" s="235" ph="1"/>
      <c r="C28" s="154" t="s" ph="1">
        <v>212</v>
      </c>
      <c r="D28" s="91" ph="1">
        <f>D27*268.68*LOOKUP(D29,密度!$A$2:$A$50,密度!$Q$2:$Q$50)+IF(D27&lt;=0,0,1566*LOOKUP(D29,密度!$A$2:$A$50,密度!$Q$2:$Q$50))</f>
        <v>12738.4719066</v>
      </c>
      <c r="E28" s="91" ph="1">
        <f>E27*268.68*LOOKUP(E29,密度!$A$2:$A$50,密度!$C$2:$C$50)+IF(E27&lt;=0,0,1566*LOOKUP(E29,密度!$A$2:$A$50,密度!$C$2:$C$50))</f>
        <v>28863.906294599998</v>
      </c>
      <c r="F28" s="91" ph="1">
        <f>F27*11.702*LOOKUP(F29,密度!$A$2:$A$50,密度!$Q$2:$Q$50)</f>
        <v>23951.905192999999</v>
      </c>
      <c r="G28" s="91" ph="1">
        <f>G27*18.322*LOOKUP(G29,密度!$A$2:$A$50,密度!$B$2:$B$50)</f>
        <v>23954.270745599995</v>
      </c>
      <c r="H28" s="91" ph="1">
        <f>H27*18.322*LOOKUP(H29,密度!$A$2:$A$50,密度!$B$2:$B$50)</f>
        <v>8769.2316671999997</v>
      </c>
      <c r="I28" s="91" ph="1">
        <f>I27*18.322*LOOKUP(I29,密度!$A$2:$A$50,密度!$Q$2:$Q$50)</f>
        <v>44254.006055999998</v>
      </c>
      <c r="J28" s="91" ph="1">
        <f>J27*18.322*LOOKUP(J29,密度!$A$2:$A$50,密度!$Q$2:$Q$50)</f>
        <v>42788.5831808</v>
      </c>
      <c r="K28" s="91" ph="1">
        <f>K27*18.322*LOOKUP(K29,密度!$A$2:$A$50,密度!$Q$2:$Q$50)</f>
        <v>97952.358177599992</v>
      </c>
      <c r="L28" s="91" ph="1">
        <f>L27*18.322*LOOKUP(L29,密度!$A$2:$A$50,密度!$Q$2:$Q$50)</f>
        <v>97446.099331199992</v>
      </c>
      <c r="M28" s="91" ph="1">
        <f>M27*18.322*LOOKUP(M29,密度!$A$2:$A$50,密度!$Q$2:$Q$50)</f>
        <v>84039.642752</v>
      </c>
      <c r="N28" s="91" ph="1">
        <f>N27*18.322*LOOKUP(N29,密度!$A$2:$A$50,密度!$Q$2:$Q$50)</f>
        <v>48886.262041599999</v>
      </c>
      <c r="O28" s="91" ph="1">
        <f>O27*18.322*LOOKUP(O29,密度!$A$2:$A$50,密度!$C$2:$C$50)</f>
        <v>42091.350463999996</v>
      </c>
      <c r="P28" s="91" ph="1">
        <f>P27*11.702*LOOKUP(P29,密度!$A$2:$A$50,密度!$B$2:$B$50)</f>
        <v>5834.3550752000001</v>
      </c>
      <c r="Q28" s="92" ph="1">
        <f>Q27*18.322*LOOKUP(Q29,密度!$A$2:$A$50,密度!$B$2:$B$50)</f>
        <v>35891.376212800002</v>
      </c>
      <c r="R28" s="91" ph="1">
        <f>R27*35.891*LOOKUP(R29,密度!$A$2:$A$50,密度!$C$2:$C$50)</f>
        <v>135046.52015679999</v>
      </c>
      <c r="S28" s="91" ph="1">
        <f>S27*35.891*LOOKUP(S29,密度!$A$2:$A$50,密度!$B$2:$B$50)</f>
        <v>74730.230303999997</v>
      </c>
      <c r="T28" s="91" ph="1">
        <f>T27*35.891*LOOKUP(T29,密度!$A$2:$A$50,密度!$Q$2:$Q$50)</f>
        <v>218917.53494460002</v>
      </c>
      <c r="U28" s="91" ph="1">
        <f>U27*35.891</f>
        <v>167790.42499999999</v>
      </c>
      <c r="V28" s="91" ph="1">
        <f>V27*47.051*LOOKUP(V29,密度!$A$2:$A$50,密度!$B$2:$B$50)</f>
        <v>14593.1875968</v>
      </c>
      <c r="W28" s="91" ph="1">
        <f>W27*47.051*LOOKUP(W29,密度!$A$2:$A$50,密度!$B$2:$B$50)</f>
        <v>223892.48462640002</v>
      </c>
      <c r="X28" s="91" ph="1">
        <f>X27*47.051*LOOKUP(X29,密度!$A$2:$A$50,密度!$I$2:$I$50)</f>
        <v>485183.67680148</v>
      </c>
      <c r="Y28" s="91" ph="1">
        <f>Y27*47.051*LOOKUP(Y29,密度!$A$2:$A$50,密度!$L$2:$L$50)</f>
        <v>78749.823312000008</v>
      </c>
      <c r="Z28" s="229"/>
      <c r="AA28" s="230"/>
      <c r="AB28" s="230"/>
      <c r="AC28" s="230"/>
      <c r="AD28" s="230"/>
      <c r="AE28" s="231"/>
      <c r="AH28" s="64" ph="1">
        <v>14</v>
      </c>
      <c r="AI28" s="64" t="s" ph="1">
        <v>395</v>
      </c>
      <c r="AZ28" s="64" t="s" ph="1">
        <v>260</v>
      </c>
      <c r="BA28" s="64" ph="1">
        <v>0</v>
      </c>
    </row>
    <row r="29" spans="1:57" ph="1">
      <c r="A29" s="72" ph="1"/>
      <c r="B29" s="235" ph="1"/>
      <c r="C29" s="154" t="s" ph="1">
        <v>213</v>
      </c>
      <c r="D29" s="74">
        <v>25</v>
      </c>
      <c r="E29" s="74">
        <v>25</v>
      </c>
      <c r="F29" s="74">
        <v>18</v>
      </c>
      <c r="G29" s="74">
        <v>18</v>
      </c>
      <c r="H29" s="74">
        <v>16</v>
      </c>
      <c r="I29" s="74">
        <v>17</v>
      </c>
      <c r="J29" s="74">
        <v>16</v>
      </c>
      <c r="K29" s="74">
        <v>17</v>
      </c>
      <c r="L29" s="74">
        <v>17</v>
      </c>
      <c r="M29" s="74">
        <v>16</v>
      </c>
      <c r="N29" s="74">
        <v>16</v>
      </c>
      <c r="O29" s="74">
        <v>16</v>
      </c>
      <c r="P29" s="74">
        <v>17</v>
      </c>
      <c r="Q29" s="93">
        <v>17</v>
      </c>
      <c r="R29" s="74">
        <v>16</v>
      </c>
      <c r="S29" s="74">
        <v>16</v>
      </c>
      <c r="T29" s="74">
        <v>15</v>
      </c>
      <c r="U29" s="74">
        <v>17</v>
      </c>
      <c r="V29" s="74">
        <v>16</v>
      </c>
      <c r="W29" s="74">
        <v>17</v>
      </c>
      <c r="X29" s="74">
        <v>55</v>
      </c>
      <c r="Y29" s="74">
        <v>18</v>
      </c>
      <c r="Z29" s="232"/>
      <c r="AA29" s="233"/>
      <c r="AB29" s="233"/>
      <c r="AC29" s="233"/>
      <c r="AD29" s="233"/>
      <c r="AE29" s="234"/>
      <c r="AH29" s="64" ph="1">
        <v>15</v>
      </c>
      <c r="AI29" s="64" t="s" ph="1">
        <v>396</v>
      </c>
      <c r="AZ29" s="64" t="s" ph="1">
        <v>260</v>
      </c>
      <c r="BA29" s="64" ph="1">
        <v>0</v>
      </c>
      <c r="BD29" s="64" t="s" ph="1">
        <v>397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398</v>
      </c>
      <c r="AZ30" s="64" t="s" ph="1">
        <v>260</v>
      </c>
      <c r="BA30" s="64" ph="1">
        <v>0</v>
      </c>
    </row>
    <row r="31" spans="1:57" ht="28.5" ph="1">
      <c r="A31" s="64"/>
      <c r="B31" s="218" t="s" ph="1">
        <v>35</v>
      </c>
      <c r="C31" s="219" ph="1"/>
      <c r="D31" s="222" t="s" ph="1">
        <v>9</v>
      </c>
      <c r="E31" s="197" ph="1"/>
      <c r="F31" s="198" ph="1"/>
      <c r="G31" s="222" t="s" ph="1">
        <v>18</v>
      </c>
      <c r="H31" s="197" ph="1"/>
      <c r="I31" s="198" ph="1"/>
      <c r="J31" s="196" t="s" ph="1">
        <v>1</v>
      </c>
      <c r="K31" s="197" ph="1"/>
      <c r="L31" s="198" ph="1"/>
      <c r="M31" s="196" t="s" ph="1">
        <v>7</v>
      </c>
      <c r="N31" s="197" ph="1"/>
      <c r="O31" s="198" ph="1"/>
      <c r="P31" s="196" t="s" ph="1">
        <v>42</v>
      </c>
      <c r="Q31" s="197"/>
      <c r="R31" s="198"/>
      <c r="S31" s="196" t="s" ph="1">
        <v>2</v>
      </c>
      <c r="T31" s="197"/>
      <c r="U31" s="198"/>
      <c r="V31" s="196" t="s" ph="1">
        <v>81</v>
      </c>
      <c r="W31" s="197" ph="1"/>
      <c r="X31" s="198" ph="1"/>
      <c r="Y31" s="196" t="s" ph="1">
        <v>3</v>
      </c>
      <c r="Z31" s="197" ph="1"/>
      <c r="AA31" s="198" ph="1"/>
      <c r="AB31" s="199" t="s">
        <v>43</v>
      </c>
      <c r="AC31" s="200"/>
      <c r="AD31" s="200"/>
      <c r="AE31" s="201"/>
      <c r="AH31" s="64" ph="1">
        <v>17</v>
      </c>
      <c r="AI31" s="64" t="s" ph="1">
        <v>399</v>
      </c>
      <c r="AZ31" s="64" t="s" ph="1">
        <v>260</v>
      </c>
      <c r="BA31" s="64" ph="1">
        <v>0</v>
      </c>
      <c r="BD31" s="64" t="s" ph="1">
        <v>400</v>
      </c>
      <c r="BE31" s="64" ph="1">
        <v>9310</v>
      </c>
    </row>
    <row r="32" spans="1:57" ph="1">
      <c r="A32" s="64"/>
      <c r="B32" s="220" ph="1"/>
      <c r="C32" s="221" ph="1"/>
      <c r="D32" s="96" t="s" ph="1">
        <v>4</v>
      </c>
      <c r="E32" s="154" t="s" ph="1">
        <v>5</v>
      </c>
      <c r="F32" s="155" t="s" ph="1">
        <v>44</v>
      </c>
      <c r="G32" s="97" t="s" ph="1">
        <v>4</v>
      </c>
      <c r="H32" s="154" t="s" ph="1">
        <v>5</v>
      </c>
      <c r="I32" s="155" t="s" ph="1">
        <v>44</v>
      </c>
      <c r="J32" s="97" t="s" ph="1">
        <v>4</v>
      </c>
      <c r="K32" s="154" t="s" ph="1">
        <v>5</v>
      </c>
      <c r="L32" s="155" t="s" ph="1">
        <v>44</v>
      </c>
      <c r="M32" s="97" t="s" ph="1">
        <v>4</v>
      </c>
      <c r="N32" s="154" t="s" ph="1">
        <v>5</v>
      </c>
      <c r="O32" s="155" t="s" ph="1">
        <v>44</v>
      </c>
      <c r="P32" s="97" t="s" ph="1">
        <v>4</v>
      </c>
      <c r="Q32" s="98" t="s" ph="1">
        <v>5</v>
      </c>
      <c r="R32" s="99" t="s" ph="1">
        <v>44</v>
      </c>
      <c r="S32" s="97" t="s" ph="1">
        <v>4</v>
      </c>
      <c r="T32" s="154" t="s" ph="1">
        <v>5</v>
      </c>
      <c r="U32" s="99" t="s" ph="1">
        <v>44</v>
      </c>
      <c r="V32" s="97" t="s" ph="1">
        <v>4</v>
      </c>
      <c r="W32" s="154" t="s" ph="1">
        <v>5</v>
      </c>
      <c r="X32" s="99" t="s" ph="1">
        <v>44</v>
      </c>
      <c r="Y32" s="100" t="s" ph="1">
        <v>4</v>
      </c>
      <c r="Z32" s="154" t="s" ph="1">
        <v>5</v>
      </c>
      <c r="AA32" s="155" t="s" ph="1">
        <v>44</v>
      </c>
      <c r="AB32" s="97" t="s" ph="1">
        <v>102</v>
      </c>
      <c r="AC32" s="154" t="s" ph="1">
        <v>101</v>
      </c>
      <c r="AD32" s="202" t="s" ph="1">
        <v>100</v>
      </c>
      <c r="AE32" s="203"/>
      <c r="AH32" s="64" ph="1">
        <v>18</v>
      </c>
      <c r="AI32" s="64" t="s" ph="1">
        <v>401</v>
      </c>
      <c r="AZ32" s="64" t="s" ph="1">
        <v>260</v>
      </c>
      <c r="BA32" s="64" ph="1">
        <v>0</v>
      </c>
    </row>
    <row r="33" spans="1:57" ph="1">
      <c r="A33" s="64"/>
      <c r="B33" s="204" t="s" ph="1">
        <v>215</v>
      </c>
      <c r="C33" s="205" ph="1"/>
      <c r="D33" s="184" ph="1">
        <f>AA10+AB10+Z19</f>
        <v>134949.3322334</v>
      </c>
      <c r="E33" s="184" ph="1">
        <f>M10+I10</f>
        <v>190167.55790639998</v>
      </c>
      <c r="F33" s="208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[[#This Row],[F25]]</f>
        <v>3880</v>
      </c>
      <c r="G33" s="210" ph="1">
        <v>0</v>
      </c>
      <c r="H33" s="184" ph="1">
        <f>N19</f>
        <v>4968.7663763600003</v>
      </c>
      <c r="I33" s="188" ph="1">
        <v>0</v>
      </c>
      <c r="J33" s="192" ph="1">
        <f>F10+O28</f>
        <v>247030.67341279995</v>
      </c>
      <c r="K33" s="184" ph="1">
        <f>O10+K10+E28+R28</f>
        <v>283999.85138579999</v>
      </c>
      <c r="L33" s="194" ph="1">
        <f>BE27</f>
        <v>7100</v>
      </c>
      <c r="M33" s="192" ph="1">
        <f>G10+H10+W28+S28</f>
        <v>862939.16397840006</v>
      </c>
      <c r="N33" s="184" ph="1">
        <f>L10+P10++G28+H28+V28</f>
        <v>278614.15252259996</v>
      </c>
      <c r="O33" s="188" ph="1">
        <f>BE17</f>
        <v>2270</v>
      </c>
      <c r="P33" s="192" ph="1">
        <f>L19</f>
        <v>23919.329783000001</v>
      </c>
      <c r="Q33" s="184" ph="1">
        <f>J10+N10</f>
        <v>161921.68881180001</v>
      </c>
      <c r="R33" s="188" ph="1">
        <f>BE23</f>
        <v>890</v>
      </c>
      <c r="S33" s="192" ph="1">
        <f>E10+X28</f>
        <v>485183.67680148</v>
      </c>
      <c r="T33" s="184" ph="1">
        <f>X19</f>
        <v>14599.30603104</v>
      </c>
      <c r="U33" s="173" ph="1">
        <f>BE21</f>
        <v>730</v>
      </c>
      <c r="V33" s="186" ph="1">
        <f ca="1">P19+Q19+S19+M28+N28+J28</f>
        <v>257276.45737300001</v>
      </c>
      <c r="W33" s="186" ph="1">
        <f>D28+F28+V19+T28</f>
        <v>255607.9120442</v>
      </c>
      <c r="X33" s="188" ph="1">
        <f>BE29+BE31</f>
        <v>10200</v>
      </c>
      <c r="Y33" s="190" ph="1">
        <f>+Q10+R10+S10+T10+U10+V10+W10+X10+Y10</f>
        <v>155023.30443599998</v>
      </c>
      <c r="Z33" s="171" ph="1">
        <f>D10+T19+U19+Y28+Z10</f>
        <v>395712.20981470001</v>
      </c>
      <c r="AA33" s="173" ph="1">
        <f>BE19</f>
        <v>1440</v>
      </c>
      <c r="AB33" s="175" ph="1">
        <f>I19</f>
        <v>65.300821600000006</v>
      </c>
      <c r="AC33" s="177" ph="1">
        <f>AD10</f>
        <v>4785.2998559999996</v>
      </c>
      <c r="AD33" s="179" ph="1">
        <v>0</v>
      </c>
      <c r="AE33" s="180"/>
      <c r="AH33" s="64" ph="1">
        <v>19</v>
      </c>
      <c r="AI33" s="64" t="s" ph="1">
        <v>402</v>
      </c>
      <c r="AJ33" s="64" t="s" ph="1">
        <v>636</v>
      </c>
      <c r="AK33" s="64" t="s" ph="1">
        <v>633</v>
      </c>
      <c r="AL33" s="64" ph="1">
        <v>730</v>
      </c>
      <c r="AM33" s="64" t="s" ph="1">
        <v>383</v>
      </c>
      <c r="AZ33" s="64" t="s" ph="1">
        <v>260</v>
      </c>
      <c r="BA33" s="64" ph="1">
        <v>730</v>
      </c>
      <c r="BD33" s="64" t="s" ph="1">
        <v>334</v>
      </c>
      <c r="BE33" s="64" ph="1">
        <v>3880</v>
      </c>
    </row>
    <row r="34" spans="1:57" ph="1">
      <c r="A34" s="64"/>
      <c r="B34" s="206" ph="1"/>
      <c r="C34" s="207" ph="1"/>
      <c r="D34" s="185" ph="1"/>
      <c r="E34" s="185" ph="1"/>
      <c r="F34" s="209" ph="1"/>
      <c r="G34" s="211" ph="1"/>
      <c r="H34" s="185" ph="1"/>
      <c r="I34" s="189" ph="1"/>
      <c r="J34" s="193" ph="1"/>
      <c r="K34" s="185" ph="1"/>
      <c r="L34" s="195" ph="1"/>
      <c r="M34" s="193" ph="1"/>
      <c r="N34" s="185" ph="1"/>
      <c r="O34" s="189" ph="1"/>
      <c r="P34" s="193" ph="1"/>
      <c r="Q34" s="185" ph="1"/>
      <c r="R34" s="189" ph="1"/>
      <c r="S34" s="193" ph="1"/>
      <c r="T34" s="185"/>
      <c r="U34" s="174"/>
      <c r="V34" s="187" ph="1"/>
      <c r="W34" s="187" ph="1"/>
      <c r="X34" s="189" ph="1"/>
      <c r="Y34" s="191" ph="1"/>
      <c r="Z34" s="172" ph="1"/>
      <c r="AA34" s="174" ph="1"/>
      <c r="AB34" s="176"/>
      <c r="AC34" s="178"/>
      <c r="AD34" s="181"/>
      <c r="AE34" s="182"/>
      <c r="AH34" s="64" ph="1">
        <v>20</v>
      </c>
      <c r="AI34" s="64" t="s" ph="1">
        <v>403</v>
      </c>
      <c r="AJ34" s="64" t="s" ph="1">
        <v>637</v>
      </c>
      <c r="AK34" s="64" t="s" ph="1">
        <v>633</v>
      </c>
      <c r="AL34" s="64" ph="1">
        <v>720</v>
      </c>
      <c r="AM34" s="64" t="s" ph="1">
        <v>383</v>
      </c>
      <c r="AZ34" s="64" t="s" ph="1">
        <v>260</v>
      </c>
      <c r="BA34" s="64" ph="1">
        <v>720</v>
      </c>
    </row>
    <row r="35" spans="1:57" ph="1">
      <c r="A35" s="64"/>
      <c r="AC35" s="183" t="s" ph="1">
        <v>84</v>
      </c>
      <c r="AD35" s="183"/>
      <c r="AE35" s="183"/>
      <c r="AH35" s="64" ph="1">
        <v>21</v>
      </c>
      <c r="AI35" s="64" t="s" ph="1">
        <v>404</v>
      </c>
      <c r="AZ35" s="64" t="s" ph="1">
        <v>260</v>
      </c>
      <c r="BA35" s="64" ph="1">
        <v>0</v>
      </c>
      <c r="BD35" s="64" t="s" ph="1">
        <v>405</v>
      </c>
      <c r="BE35" s="64" ph="1">
        <v>2030</v>
      </c>
    </row>
    <row r="36" spans="1:57" ht="28.5" ph="1">
      <c r="A36" s="64"/>
      <c r="B36" s="103" t="s" ph="1">
        <v>216</v>
      </c>
      <c r="I36" s="169" t="s" ph="1">
        <v>217</v>
      </c>
      <c r="J36" s="169" ph="1"/>
      <c r="K36" s="101" ph="1"/>
      <c r="P36" s="101" ph="1"/>
      <c r="R36" s="169" t="s" ph="1">
        <v>218</v>
      </c>
      <c r="S36" s="169" ph="1"/>
      <c r="Y36" s="102" ph="1"/>
      <c r="Z36" s="156" t="s" ph="1">
        <v>219</v>
      </c>
      <c r="AA36" s="156" ph="1"/>
      <c r="AB36" s="170" t="s" ph="1">
        <v>655</v>
      </c>
      <c r="AC36" s="170" ph="1"/>
      <c r="AD36" s="170" ph="1"/>
      <c r="AE36" s="170" ph="1"/>
      <c r="BA36" s="64" ph="1">
        <v>2270</v>
      </c>
    </row>
    <row r="37" spans="1:57" s="156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6" t="s" ph="1">
        <v>386</v>
      </c>
      <c r="AI37" s="156" t="s" ph="1">
        <v>253</v>
      </c>
      <c r="AJ37" s="156" t="s" ph="1">
        <v>254</v>
      </c>
      <c r="AK37" s="156" t="s" ph="1">
        <v>255</v>
      </c>
      <c r="AM37" s="156" t="s" ph="1">
        <v>254</v>
      </c>
      <c r="AN37" s="156" t="s" ph="1">
        <v>255</v>
      </c>
      <c r="AO37" s="156" t="s" ph="1">
        <v>256</v>
      </c>
      <c r="AP37" s="156" t="s" ph="1">
        <v>254</v>
      </c>
      <c r="AQ37" s="156" t="s" ph="1">
        <v>255</v>
      </c>
      <c r="AR37" s="156" t="s" ph="1">
        <v>256</v>
      </c>
      <c r="AS37" s="156" t="s" ph="1">
        <v>254</v>
      </c>
      <c r="AT37" s="156" t="s" ph="1">
        <v>255</v>
      </c>
      <c r="AU37" s="156" t="s" ph="1">
        <v>256</v>
      </c>
      <c r="AV37" s="156" t="s" ph="1">
        <v>254</v>
      </c>
      <c r="AW37" s="156" t="s" ph="1">
        <v>255</v>
      </c>
      <c r="AX37" s="156" t="s" ph="1">
        <v>256</v>
      </c>
      <c r="AY37" s="156" t="s" ph="1">
        <v>255</v>
      </c>
      <c r="AZ37" s="156" t="s" ph="1">
        <v>257</v>
      </c>
      <c r="BD37" s="156" t="s" ph="1">
        <v>349</v>
      </c>
      <c r="BE37" s="156" ph="1">
        <v>0</v>
      </c>
    </row>
    <row r="38" spans="1:57" ph="1">
      <c r="AE38" s="64" ph="1"/>
      <c r="AH38" s="64" ph="1">
        <v>1</v>
      </c>
      <c r="AI38" s="64" t="s" ph="1">
        <v>406</v>
      </c>
      <c r="AY38" s="64" t="s" ph="1">
        <v>260</v>
      </c>
      <c r="AZ38" s="64" t="s" ph="1">
        <v>411</v>
      </c>
    </row>
    <row r="39" spans="1:57" ph="1">
      <c r="AH39" s="64" ph="1">
        <v>2</v>
      </c>
      <c r="AI39" s="64" t="s" ph="1">
        <v>408</v>
      </c>
      <c r="AJ39" s="64" t="s" ph="1">
        <v>380</v>
      </c>
      <c r="AK39" s="64" t="s" ph="1">
        <v>409</v>
      </c>
      <c r="AM39" s="64" t="s" ph="1">
        <v>614</v>
      </c>
      <c r="AN39" s="64" t="s" ph="1">
        <v>272</v>
      </c>
      <c r="AO39" s="64" t="s" ph="1">
        <v>407</v>
      </c>
      <c r="AY39" s="64" t="s" ph="1">
        <v>260</v>
      </c>
      <c r="AZ39" s="64" t="s" ph="1">
        <v>543</v>
      </c>
    </row>
    <row r="40" spans="1:57" ph="1">
      <c r="AH40" s="64" ph="1">
        <v>3</v>
      </c>
      <c r="AI40" s="64" t="s" ph="1">
        <v>410</v>
      </c>
      <c r="AJ40" s="64" t="s" ph="1">
        <v>614</v>
      </c>
      <c r="AK40" s="64" t="s" ph="1">
        <v>615</v>
      </c>
      <c r="AY40" s="64" t="s" ph="1">
        <v>260</v>
      </c>
      <c r="AZ40" s="64" t="s" ph="1">
        <v>615</v>
      </c>
    </row>
    <row r="41" spans="1:57" ph="1">
      <c r="AH41" s="64" ph="1">
        <v>4</v>
      </c>
      <c r="AI41" s="64" t="s" ph="1">
        <v>412</v>
      </c>
      <c r="AJ41" s="64" t="s" ph="1">
        <v>616</v>
      </c>
      <c r="AK41" s="64" t="s" ph="1">
        <v>617</v>
      </c>
      <c r="AM41" s="64" t="s" ph="1">
        <v>618</v>
      </c>
      <c r="AY41" s="64" t="s" ph="1">
        <v>260</v>
      </c>
      <c r="AZ41" s="64" t="s" ph="1">
        <v>617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413</v>
      </c>
      <c r="AY42" s="64" t="s" ph="1">
        <v>260</v>
      </c>
      <c r="AZ42" s="64" t="s" ph="1">
        <v>411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414</v>
      </c>
      <c r="AY43" s="64" t="s" ph="1">
        <v>260</v>
      </c>
      <c r="AZ43" s="64" t="s" ph="1">
        <v>411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415</v>
      </c>
      <c r="AV44" s="64" t="s" ph="1">
        <v>261</v>
      </c>
      <c r="AY44" s="64" t="s" ph="1">
        <v>260</v>
      </c>
      <c r="AZ44" s="64" t="s" ph="1">
        <v>411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416</v>
      </c>
      <c r="AV45" s="64" t="s" ph="1">
        <v>261</v>
      </c>
      <c r="AY45" s="64" t="s" ph="1">
        <v>260</v>
      </c>
      <c r="AZ45" s="64" t="s" ph="1">
        <v>411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417</v>
      </c>
      <c r="AV46" s="64" t="s" ph="1">
        <v>261</v>
      </c>
      <c r="AY46" s="64" t="s" ph="1">
        <v>260</v>
      </c>
      <c r="AZ46" s="64" t="s" ph="1">
        <v>411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418</v>
      </c>
      <c r="AV47" s="64" t="s" ph="1">
        <v>261</v>
      </c>
      <c r="AY47" s="64" t="s" ph="1">
        <v>260</v>
      </c>
      <c r="AZ47" s="64" t="s" ph="1">
        <v>411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619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276</v>
      </c>
      <c r="AI49" s="64" t="s" ph="1">
        <v>253</v>
      </c>
      <c r="AJ49" s="64" t="s" ph="1">
        <v>254</v>
      </c>
      <c r="AK49" s="64" t="s" ph="1">
        <v>255</v>
      </c>
      <c r="AM49" s="64" t="s" ph="1">
        <v>254</v>
      </c>
      <c r="AN49" s="64" t="s" ph="1">
        <v>255</v>
      </c>
      <c r="AO49" s="64" t="s" ph="1">
        <v>256</v>
      </c>
      <c r="AP49" s="64" t="s" ph="1">
        <v>254</v>
      </c>
      <c r="AQ49" s="64" t="s" ph="1">
        <v>255</v>
      </c>
      <c r="AR49" s="64" t="s" ph="1">
        <v>256</v>
      </c>
      <c r="AS49" s="64" t="s" ph="1">
        <v>254</v>
      </c>
      <c r="AT49" s="64" t="s" ph="1">
        <v>255</v>
      </c>
      <c r="AU49" s="64" t="s" ph="1">
        <v>256</v>
      </c>
      <c r="AV49" s="64" t="s" ph="1">
        <v>254</v>
      </c>
      <c r="AW49" s="64" t="s" ph="1">
        <v>255</v>
      </c>
      <c r="AX49" s="64" t="s" ph="1">
        <v>256</v>
      </c>
      <c r="AY49" s="64" t="s" ph="1">
        <v>255</v>
      </c>
      <c r="AZ49" s="64" t="s" ph="1">
        <v>257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419</v>
      </c>
      <c r="AY50" s="64" t="s" ph="1">
        <v>260</v>
      </c>
      <c r="AZ50" s="64" t="s" ph="1">
        <v>411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420</v>
      </c>
      <c r="AY51" s="64" t="s" ph="1">
        <v>260</v>
      </c>
      <c r="AZ51" s="64" t="s" ph="1">
        <v>411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421</v>
      </c>
      <c r="AJ52" s="64" t="s" ph="1">
        <v>378</v>
      </c>
      <c r="AK52" s="64" t="s" ph="1">
        <v>272</v>
      </c>
      <c r="AM52" s="64" t="s" ph="1">
        <v>380</v>
      </c>
      <c r="AN52" s="64" t="s" ph="1">
        <v>344</v>
      </c>
      <c r="AO52" s="64" t="s" ph="1">
        <v>277</v>
      </c>
      <c r="AP52" s="64" t="s" ph="1">
        <v>614</v>
      </c>
      <c r="AQ52" s="64" t="s" ph="1">
        <v>326</v>
      </c>
      <c r="AR52" s="64" t="s" ph="1">
        <v>277</v>
      </c>
      <c r="AY52" s="64" t="s" ph="1">
        <v>260</v>
      </c>
      <c r="AZ52" s="64" t="s" ph="1">
        <v>620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422</v>
      </c>
      <c r="AY53" s="64" t="s" ph="1">
        <v>260</v>
      </c>
      <c r="AZ53" s="64" t="s" ph="1">
        <v>411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423</v>
      </c>
      <c r="AJ54" s="64" t="s" ph="1">
        <v>378</v>
      </c>
      <c r="AK54" s="64" t="s" ph="1">
        <v>263</v>
      </c>
      <c r="AM54" s="64" t="s" ph="1">
        <v>380</v>
      </c>
      <c r="AN54" s="64" t="s" ph="1">
        <v>268</v>
      </c>
      <c r="AO54" s="64" t="s" ph="1">
        <v>277</v>
      </c>
      <c r="AP54" s="64" t="s" ph="1">
        <v>614</v>
      </c>
      <c r="AQ54" s="64" t="s" ph="1">
        <v>284</v>
      </c>
      <c r="AR54" s="64" t="s" ph="1">
        <v>277</v>
      </c>
      <c r="AY54" s="64" t="s" ph="1">
        <v>260</v>
      </c>
      <c r="AZ54" s="64" t="s" ph="1">
        <v>278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424</v>
      </c>
      <c r="AY55" s="64" t="s" ph="1">
        <v>260</v>
      </c>
      <c r="AZ55" s="64" t="s" ph="1">
        <v>411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425</v>
      </c>
      <c r="AY56" s="64" t="s" ph="1">
        <v>260</v>
      </c>
      <c r="AZ56" s="64" t="s" ph="1">
        <v>411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426</v>
      </c>
      <c r="AY57" s="64" t="s" ph="1">
        <v>260</v>
      </c>
      <c r="AZ57" s="64" t="s" ph="1">
        <v>411</v>
      </c>
    </row>
    <row r="58" spans="16:52" ph="1">
      <c r="P58" s="64"/>
      <c r="AN58" s="64" t="s" ph="1">
        <v>261</v>
      </c>
      <c r="AZ58" s="64" t="s" ph="1">
        <v>621</v>
      </c>
    </row>
    <row r="59" spans="16:52" ph="1">
      <c r="V59" s="64"/>
      <c r="AG59" s="64" t="s" ph="1">
        <v>279</v>
      </c>
      <c r="AI59" s="64" t="s" ph="1">
        <v>253</v>
      </c>
      <c r="AJ59" s="64" t="s" ph="1">
        <v>254</v>
      </c>
      <c r="AK59" s="64" t="s" ph="1">
        <v>255</v>
      </c>
      <c r="AM59" s="64" t="s" ph="1">
        <v>254</v>
      </c>
      <c r="AN59" s="64" t="s" ph="1">
        <v>255</v>
      </c>
      <c r="AO59" s="64" t="s" ph="1">
        <v>256</v>
      </c>
      <c r="AP59" s="64" t="s" ph="1">
        <v>254</v>
      </c>
      <c r="AQ59" s="64" t="s" ph="1">
        <v>255</v>
      </c>
      <c r="AR59" s="64" t="s" ph="1">
        <v>256</v>
      </c>
      <c r="AS59" s="64" t="s" ph="1">
        <v>254</v>
      </c>
      <c r="AT59" s="64" t="s" ph="1">
        <v>255</v>
      </c>
      <c r="AU59" s="64" t="s" ph="1">
        <v>256</v>
      </c>
      <c r="AV59" s="64" t="s" ph="1">
        <v>254</v>
      </c>
      <c r="AW59" s="64" t="s" ph="1">
        <v>255</v>
      </c>
      <c r="AX59" s="64" t="s" ph="1">
        <v>256</v>
      </c>
      <c r="AY59" s="64" t="s" ph="1">
        <v>255</v>
      </c>
      <c r="AZ59" s="64" t="s" ph="1">
        <v>257</v>
      </c>
    </row>
    <row r="60" spans="16:52" ph="1">
      <c r="R60" s="64"/>
      <c r="S60" s="64"/>
      <c r="T60" s="64"/>
      <c r="AH60" s="64" ph="1">
        <v>1</v>
      </c>
      <c r="AI60" s="64" t="s" ph="1">
        <v>427</v>
      </c>
      <c r="AY60" s="64" t="s" ph="1">
        <v>260</v>
      </c>
      <c r="AZ60" s="64" t="s" ph="1">
        <v>411</v>
      </c>
    </row>
    <row r="61" spans="16:52" ph="1">
      <c r="AH61" s="64" ph="1">
        <v>2</v>
      </c>
      <c r="AI61" s="64" t="s" ph="1">
        <v>428</v>
      </c>
      <c r="AS61" s="64" t="s" ph="1">
        <v>261</v>
      </c>
      <c r="AY61" s="64" t="s" ph="1">
        <v>260</v>
      </c>
      <c r="AZ61" s="64" t="s" ph="1">
        <v>411</v>
      </c>
    </row>
    <row r="62" spans="16:52" ph="1">
      <c r="AZ62" s="64" t="s" ph="1">
        <v>429</v>
      </c>
    </row>
    <row r="63" spans="16:52" ph="1">
      <c r="AG63" s="64" t="s" ph="1">
        <v>282</v>
      </c>
      <c r="AI63" s="64" t="s" ph="1">
        <v>253</v>
      </c>
      <c r="AJ63" s="64" t="s" ph="1">
        <v>254</v>
      </c>
      <c r="AK63" s="64" t="s" ph="1">
        <v>255</v>
      </c>
      <c r="AM63" s="64" t="s" ph="1">
        <v>254</v>
      </c>
      <c r="AN63" s="64" t="s" ph="1">
        <v>255</v>
      </c>
      <c r="AO63" s="64" t="s" ph="1">
        <v>256</v>
      </c>
      <c r="AP63" s="64" t="s" ph="1">
        <v>254</v>
      </c>
      <c r="AQ63" s="64" t="s" ph="1">
        <v>255</v>
      </c>
      <c r="AR63" s="64" t="s" ph="1">
        <v>256</v>
      </c>
      <c r="AS63" s="64" t="s" ph="1">
        <v>254</v>
      </c>
      <c r="AT63" s="64" t="s" ph="1">
        <v>255</v>
      </c>
      <c r="AU63" s="64" t="s" ph="1">
        <v>256</v>
      </c>
      <c r="AV63" s="64" t="s" ph="1">
        <v>254</v>
      </c>
      <c r="AW63" s="64" t="s" ph="1">
        <v>255</v>
      </c>
      <c r="AX63" s="64" t="s" ph="1">
        <v>256</v>
      </c>
      <c r="AY63" s="64" t="s" ph="1">
        <v>255</v>
      </c>
      <c r="AZ63" s="64" t="s" ph="1">
        <v>257</v>
      </c>
    </row>
    <row r="64" spans="16:52" ph="1">
      <c r="AH64" s="64" ph="1">
        <v>1</v>
      </c>
      <c r="AI64" s="64" t="s" ph="1">
        <v>430</v>
      </c>
      <c r="AJ64" s="64" t="s" ph="1">
        <v>431</v>
      </c>
      <c r="AK64" s="64" t="s" ph="1">
        <v>432</v>
      </c>
      <c r="AY64" s="64" t="s" ph="1">
        <v>260</v>
      </c>
      <c r="AZ64" s="64" t="s" ph="1">
        <v>432</v>
      </c>
    </row>
    <row r="65" spans="33:52" ph="1">
      <c r="AH65" s="64" ph="1">
        <v>2</v>
      </c>
      <c r="AI65" s="64" t="s" ph="1">
        <v>433</v>
      </c>
      <c r="AY65" s="64" t="s" ph="1">
        <v>260</v>
      </c>
      <c r="AZ65" s="64" t="s" ph="1">
        <v>411</v>
      </c>
    </row>
    <row r="66" spans="33:52" ph="1">
      <c r="AH66" s="64" ph="1">
        <v>3</v>
      </c>
      <c r="AI66" s="64" t="s" ph="1">
        <v>434</v>
      </c>
      <c r="AY66" s="64" t="s" ph="1">
        <v>260</v>
      </c>
      <c r="AZ66" s="64" t="s" ph="1">
        <v>411</v>
      </c>
    </row>
    <row r="67" spans="33:52" ph="1">
      <c r="AH67" s="64" ph="1">
        <v>4</v>
      </c>
      <c r="AI67" s="64" t="s" ph="1">
        <v>435</v>
      </c>
      <c r="AY67" s="64" t="s" ph="1">
        <v>260</v>
      </c>
      <c r="AZ67" s="64" t="s" ph="1">
        <v>411</v>
      </c>
    </row>
    <row r="68" spans="33:52" ph="1">
      <c r="AH68" s="64" ph="1">
        <v>5</v>
      </c>
      <c r="AI68" s="64" t="s" ph="1">
        <v>436</v>
      </c>
      <c r="AY68" s="64" t="s" ph="1">
        <v>260</v>
      </c>
      <c r="AZ68" s="64" t="s" ph="1">
        <v>411</v>
      </c>
    </row>
    <row r="69" spans="33:52" ph="1">
      <c r="AH69" s="64" ph="1">
        <v>6</v>
      </c>
      <c r="AI69" s="64" t="s" ph="1">
        <v>437</v>
      </c>
      <c r="AY69" s="64" t="s" ph="1">
        <v>260</v>
      </c>
      <c r="AZ69" s="64" t="s" ph="1">
        <v>411</v>
      </c>
    </row>
    <row r="70" spans="33:52" ph="1">
      <c r="AI70" s="64" t="s" ph="1">
        <v>438</v>
      </c>
      <c r="AY70" s="64" t="s" ph="1">
        <v>260</v>
      </c>
      <c r="AZ70" s="64" t="s" ph="1">
        <v>411</v>
      </c>
    </row>
    <row r="71" spans="33:52" ph="1">
      <c r="AH71" s="64" ph="1">
        <v>7</v>
      </c>
      <c r="AI71" s="64" t="s" ph="1">
        <v>439</v>
      </c>
      <c r="AJ71" s="64" t="s" ph="1">
        <v>378</v>
      </c>
      <c r="AK71" s="64" t="s" ph="1">
        <v>272</v>
      </c>
      <c r="AM71" s="64" t="s" ph="1">
        <v>380</v>
      </c>
      <c r="AN71" s="64" t="s" ph="1">
        <v>272</v>
      </c>
      <c r="AO71" s="64" t="s" ph="1">
        <v>440</v>
      </c>
      <c r="AP71" s="64" t="s" ph="1">
        <v>614</v>
      </c>
      <c r="AQ71" s="64" t="s" ph="1">
        <v>263</v>
      </c>
      <c r="AR71" s="64" t="s" ph="1">
        <v>440</v>
      </c>
      <c r="AY71" s="64" t="s" ph="1">
        <v>260</v>
      </c>
      <c r="AZ71" s="64" t="s" ph="1">
        <v>622</v>
      </c>
    </row>
    <row r="72" spans="33:52" ph="1">
      <c r="AZ72" s="64" t="s" ph="1">
        <v>623</v>
      </c>
    </row>
    <row r="73" spans="33:52" ph="1">
      <c r="AG73" s="64" t="s" ph="1">
        <v>285</v>
      </c>
      <c r="AI73" s="64" t="s" ph="1">
        <v>253</v>
      </c>
      <c r="AJ73" s="64" t="s" ph="1">
        <v>254</v>
      </c>
      <c r="AK73" s="64" t="s" ph="1">
        <v>255</v>
      </c>
      <c r="AM73" s="64" t="s" ph="1">
        <v>254</v>
      </c>
      <c r="AN73" s="64" t="s" ph="1">
        <v>255</v>
      </c>
      <c r="AO73" s="64" t="s" ph="1">
        <v>256</v>
      </c>
      <c r="AP73" s="64" t="s" ph="1">
        <v>254</v>
      </c>
      <c r="AQ73" s="64" t="s" ph="1">
        <v>255</v>
      </c>
      <c r="AR73" s="64" t="s" ph="1">
        <v>256</v>
      </c>
      <c r="AS73" s="64" t="s" ph="1">
        <v>254</v>
      </c>
      <c r="AT73" s="64" t="s" ph="1">
        <v>255</v>
      </c>
      <c r="AU73" s="64" t="s" ph="1">
        <v>256</v>
      </c>
      <c r="AV73" s="64" t="s" ph="1">
        <v>254</v>
      </c>
      <c r="AW73" s="64" t="s" ph="1">
        <v>255</v>
      </c>
      <c r="AX73" s="64" t="s" ph="1">
        <v>256</v>
      </c>
      <c r="AY73" s="64" t="s" ph="1">
        <v>255</v>
      </c>
      <c r="AZ73" s="64" t="s" ph="1">
        <v>257</v>
      </c>
    </row>
    <row r="74" spans="33:52" ph="1">
      <c r="AH74" s="64" ph="1">
        <v>1</v>
      </c>
      <c r="AI74" s="64" t="s" ph="1">
        <v>441</v>
      </c>
      <c r="AJ74" s="64" t="s" ph="1">
        <v>286</v>
      </c>
      <c r="AK74" s="64" t="s" ph="1">
        <v>268</v>
      </c>
      <c r="AM74" s="64" t="s" ph="1">
        <v>288</v>
      </c>
      <c r="AN74" s="64" t="s" ph="1">
        <v>298</v>
      </c>
      <c r="AO74" s="64" t="s" ph="1">
        <v>287</v>
      </c>
      <c r="AP74" s="64" t="s" ph="1">
        <v>289</v>
      </c>
      <c r="AQ74" s="64" t="s" ph="1">
        <v>266</v>
      </c>
      <c r="AR74" s="64" t="s" ph="1">
        <v>287</v>
      </c>
      <c r="AS74" s="64" t="s" ph="1">
        <v>259</v>
      </c>
      <c r="AT74" s="64" t="s" ph="1">
        <v>261</v>
      </c>
      <c r="AV74" s="64" t="s" ph="1">
        <v>442</v>
      </c>
      <c r="AW74" s="64" t="s" ph="1">
        <v>443</v>
      </c>
      <c r="AX74" s="64" t="s" ph="1">
        <v>444</v>
      </c>
      <c r="AY74" s="64" t="s" ph="1">
        <v>260</v>
      </c>
      <c r="AZ74" s="64" t="s" ph="1">
        <v>445</v>
      </c>
    </row>
    <row r="75" spans="33:52" ph="1">
      <c r="AJ75" s="64" t="s" ph="1">
        <v>291</v>
      </c>
      <c r="AK75" s="64" t="s" ph="1">
        <v>344</v>
      </c>
      <c r="AM75" s="64" t="s" ph="1">
        <v>289</v>
      </c>
      <c r="AN75" s="64" t="s" ph="1">
        <v>269</v>
      </c>
      <c r="AO75" s="64" t="s" ph="1">
        <v>287</v>
      </c>
      <c r="AS75" s="64" t="s" ph="1">
        <v>259</v>
      </c>
      <c r="AT75" s="64" t="s" ph="1">
        <v>290</v>
      </c>
    </row>
    <row r="76" spans="33:52" ph="1">
      <c r="AJ76" s="64" t="s" ph="1">
        <v>291</v>
      </c>
      <c r="AK76" s="64" t="s" ph="1">
        <v>284</v>
      </c>
      <c r="AM76" s="64" t="s" ph="1">
        <v>289</v>
      </c>
      <c r="AN76" s="64" t="s" ph="1">
        <v>272</v>
      </c>
      <c r="AO76" s="64" t="s" ph="1">
        <v>287</v>
      </c>
      <c r="AS76" s="64" t="s" ph="1">
        <v>259</v>
      </c>
      <c r="AT76" s="64" t="s" ph="1">
        <v>290</v>
      </c>
    </row>
    <row r="77" spans="33:52" ph="1">
      <c r="AJ77" s="64" t="s" ph="1">
        <v>327</v>
      </c>
      <c r="AK77" s="64" t="s" ph="1">
        <v>284</v>
      </c>
      <c r="AM77" s="64" t="s" ph="1">
        <v>328</v>
      </c>
      <c r="AN77" s="64" t="s" ph="1">
        <v>267</v>
      </c>
      <c r="AO77" s="64" t="s" ph="1">
        <v>287</v>
      </c>
      <c r="AS77" s="64" t="s" ph="1">
        <v>259</v>
      </c>
      <c r="AT77" s="64" t="s" ph="1">
        <v>329</v>
      </c>
    </row>
    <row r="78" spans="33:52" ph="1">
      <c r="AH78" s="64" ph="1">
        <v>2</v>
      </c>
      <c r="AI78" s="64" t="s" ph="1">
        <v>293</v>
      </c>
      <c r="AJ78" s="64" t="s" ph="1">
        <v>294</v>
      </c>
      <c r="AK78" s="64" t="s" ph="1">
        <v>263</v>
      </c>
      <c r="AM78" s="64" t="s" ph="1">
        <v>295</v>
      </c>
      <c r="AN78" s="64" t="s" ph="1">
        <v>298</v>
      </c>
      <c r="AO78" s="64" t="s" ph="1">
        <v>287</v>
      </c>
      <c r="AP78" s="64" t="s" ph="1">
        <v>296</v>
      </c>
      <c r="AQ78" s="64" t="s" ph="1">
        <v>342</v>
      </c>
      <c r="AR78" s="64" t="s" ph="1">
        <v>287</v>
      </c>
      <c r="AS78" s="64" t="s" ph="1">
        <v>297</v>
      </c>
      <c r="AT78" s="64" t="s" ph="1">
        <v>298</v>
      </c>
      <c r="AU78" s="64" t="s" ph="1">
        <v>287</v>
      </c>
      <c r="AV78" s="64" t="s" ph="1">
        <v>299</v>
      </c>
      <c r="AW78" s="64" t="s" ph="1">
        <v>287</v>
      </c>
      <c r="AY78" s="64" t="s" ph="1">
        <v>260</v>
      </c>
      <c r="AZ78" s="64" t="s" ph="1">
        <v>446</v>
      </c>
    </row>
    <row r="79" spans="33:52" ph="1">
      <c r="AJ79" s="64" t="s" ph="1">
        <v>289</v>
      </c>
      <c r="AK79" s="64" t="s" ph="1">
        <v>300</v>
      </c>
      <c r="AM79" s="64" t="s" ph="1">
        <v>301</v>
      </c>
      <c r="AN79" s="64" t="s" ph="1">
        <v>269</v>
      </c>
      <c r="AO79" s="64" t="s" ph="1">
        <v>287</v>
      </c>
      <c r="AP79" s="64" t="s" ph="1">
        <v>302</v>
      </c>
      <c r="AQ79" s="64" t="s" ph="1">
        <v>267</v>
      </c>
      <c r="AR79" s="64" t="s" ph="1">
        <v>303</v>
      </c>
      <c r="AS79" s="64" t="s" ph="1">
        <v>259</v>
      </c>
      <c r="AT79" s="64" t="s" ph="1">
        <v>304</v>
      </c>
      <c r="AV79" s="64" t="s" ph="1">
        <v>447</v>
      </c>
      <c r="AW79" s="64" t="s" ph="1">
        <v>346</v>
      </c>
      <c r="AX79" s="64" t="s" ph="1">
        <v>444</v>
      </c>
    </row>
    <row r="80" spans="33:52" ph="1">
      <c r="AH80" s="64" ph="1">
        <v>3</v>
      </c>
      <c r="AI80" s="64" t="s" ph="1">
        <v>305</v>
      </c>
      <c r="AJ80" s="64" t="s" ph="1">
        <v>306</v>
      </c>
      <c r="AK80" s="64" t="s" ph="1">
        <v>307</v>
      </c>
      <c r="AM80" s="64" t="s" ph="1">
        <v>308</v>
      </c>
      <c r="AN80" s="64" t="s" ph="1">
        <v>298</v>
      </c>
      <c r="AO80" s="64" t="s" ph="1">
        <v>287</v>
      </c>
      <c r="AP80" s="64" t="s" ph="1">
        <v>309</v>
      </c>
      <c r="AQ80" s="64" t="s" ph="1">
        <v>272</v>
      </c>
      <c r="AR80" s="64" t="s" ph="1">
        <v>287</v>
      </c>
      <c r="AS80" s="64" t="s" ph="1">
        <v>310</v>
      </c>
      <c r="AT80" s="64" t="s" ph="1">
        <v>271</v>
      </c>
      <c r="AU80" s="64" t="s" ph="1">
        <v>287</v>
      </c>
      <c r="AV80" s="64" t="s" ph="1">
        <v>311</v>
      </c>
      <c r="AW80" s="64" t="s" ph="1">
        <v>287</v>
      </c>
      <c r="AY80" s="64" t="s" ph="1">
        <v>260</v>
      </c>
      <c r="AZ80" s="64" t="s" ph="1">
        <v>448</v>
      </c>
    </row>
    <row r="81" spans="34:52" ph="1">
      <c r="AJ81" s="64" t="s" ph="1">
        <v>312</v>
      </c>
      <c r="AK81" s="64" t="s" ph="1">
        <v>266</v>
      </c>
      <c r="AM81" s="64" t="s" ph="1">
        <v>313</v>
      </c>
      <c r="AN81" s="64" t="s" ph="1">
        <v>269</v>
      </c>
      <c r="AO81" s="64" t="s" ph="1">
        <v>287</v>
      </c>
      <c r="AP81" s="64" t="s" ph="1">
        <v>314</v>
      </c>
      <c r="AQ81" s="64" t="s" ph="1">
        <v>298</v>
      </c>
      <c r="AR81" s="64" t="s" ph="1">
        <v>287</v>
      </c>
      <c r="AS81" s="64" t="s" ph="1">
        <v>315</v>
      </c>
      <c r="AT81" s="64" t="s" ph="1">
        <v>316</v>
      </c>
      <c r="AU81" s="64" t="s" ph="1">
        <v>287</v>
      </c>
      <c r="AV81" s="64" t="s" ph="1">
        <v>317</v>
      </c>
    </row>
    <row r="82" spans="34:52" ph="1">
      <c r="AJ82" s="64" t="s" ph="1">
        <v>318</v>
      </c>
      <c r="AK82" s="64" t="s" ph="1">
        <v>266</v>
      </c>
      <c r="AM82" s="64" t="s" ph="1">
        <v>319</v>
      </c>
      <c r="AN82" s="64" t="s" ph="1">
        <v>316</v>
      </c>
      <c r="AO82" s="64" t="s" ph="1">
        <v>320</v>
      </c>
      <c r="AP82" s="64" t="s" ph="1">
        <v>321</v>
      </c>
      <c r="AQ82" s="64" t="s" ph="1">
        <v>298</v>
      </c>
      <c r="AR82" s="64" t="s" ph="1">
        <v>287</v>
      </c>
      <c r="AS82" s="64" t="s" ph="1">
        <v>322</v>
      </c>
      <c r="AT82" s="64" t="s" ph="1">
        <v>273</v>
      </c>
      <c r="AU82" s="64" t="s" ph="1">
        <v>287</v>
      </c>
      <c r="AV82" s="64" t="s" ph="1">
        <v>447</v>
      </c>
      <c r="AW82" s="64" t="s" ph="1">
        <v>347</v>
      </c>
      <c r="AX82" s="64" t="s" ph="1">
        <v>444</v>
      </c>
    </row>
    <row r="83" spans="34:52" ph="1">
      <c r="AJ83" s="64" t="s" ph="1">
        <v>323</v>
      </c>
      <c r="AK83" s="64" t="s" ph="1">
        <v>340</v>
      </c>
      <c r="AM83" s="64" t="s" ph="1">
        <v>324</v>
      </c>
      <c r="AN83" s="64" t="s" ph="1">
        <v>272</v>
      </c>
      <c r="AO83" s="64" t="s" ph="1">
        <v>303</v>
      </c>
      <c r="AP83" s="64" t="s" ph="1">
        <v>325</v>
      </c>
      <c r="AQ83" s="64" t="s" ph="1">
        <v>326</v>
      </c>
      <c r="AR83" s="64" t="s" ph="1">
        <v>303</v>
      </c>
      <c r="AS83" s="64" t="s" ph="1">
        <v>449</v>
      </c>
      <c r="AT83" s="64" t="s" ph="1">
        <v>298</v>
      </c>
      <c r="AU83" s="64" t="s" ph="1">
        <v>303</v>
      </c>
      <c r="AV83" s="64" t="s" ph="1">
        <v>450</v>
      </c>
      <c r="AW83" s="64" t="s" ph="1">
        <v>347</v>
      </c>
      <c r="AX83" s="64" t="s" ph="1">
        <v>451</v>
      </c>
    </row>
    <row r="84" spans="34:52" ph="1">
      <c r="AH84" s="64" ph="1">
        <v>4</v>
      </c>
      <c r="AI84" s="64" t="s" ph="1">
        <v>330</v>
      </c>
      <c r="AJ84" s="64" t="s" ph="1">
        <v>270</v>
      </c>
      <c r="AK84" s="64" t="s" ph="1">
        <v>273</v>
      </c>
      <c r="AM84" s="64" t="s" ph="1">
        <v>274</v>
      </c>
      <c r="AN84" s="64" t="s" ph="1">
        <v>267</v>
      </c>
      <c r="AO84" s="64" t="s" ph="1">
        <v>303</v>
      </c>
      <c r="AP84" s="64" t="s" ph="1">
        <v>332</v>
      </c>
      <c r="AQ84" s="64" t="s" ph="1">
        <v>266</v>
      </c>
      <c r="AR84" s="64" t="s" ph="1">
        <v>303</v>
      </c>
      <c r="AS84" s="64" t="s" ph="1">
        <v>332</v>
      </c>
      <c r="AT84" s="64" t="s" ph="1">
        <v>268</v>
      </c>
      <c r="AU84" s="64" t="s" ph="1">
        <v>303</v>
      </c>
      <c r="AY84" s="64" t="s" ph="1">
        <v>260</v>
      </c>
      <c r="AZ84" s="64" t="s" ph="1">
        <v>452</v>
      </c>
    </row>
    <row r="85" spans="34:52" ph="1">
      <c r="AJ85" s="64" t="s" ph="1">
        <v>262</v>
      </c>
      <c r="AK85" s="64" t="s" ph="1">
        <v>266</v>
      </c>
      <c r="AM85" s="64" t="s" ph="1">
        <v>453</v>
      </c>
      <c r="AN85" s="64" t="s" ph="1">
        <v>273</v>
      </c>
      <c r="AO85" s="64" t="s" ph="1">
        <v>303</v>
      </c>
      <c r="AP85" s="64" t="s" ph="1">
        <v>454</v>
      </c>
      <c r="AQ85" s="64" t="s" ph="1">
        <v>269</v>
      </c>
      <c r="AR85" s="64" t="s" ph="1">
        <v>303</v>
      </c>
      <c r="AS85" s="64" t="s" ph="1">
        <v>455</v>
      </c>
      <c r="AT85" s="64" t="s" ph="1">
        <v>269</v>
      </c>
      <c r="AU85" s="64" t="s" ph="1">
        <v>303</v>
      </c>
    </row>
    <row r="86" spans="34:52" ph="1">
      <c r="AJ86" s="64" t="s" ph="1">
        <v>456</v>
      </c>
      <c r="AK86" s="64" t="s" ph="1">
        <v>275</v>
      </c>
      <c r="AM86" s="64" t="s" ph="1">
        <v>457</v>
      </c>
      <c r="AN86" s="64" t="s" ph="1">
        <v>316</v>
      </c>
      <c r="AO86" s="64" t="s" ph="1">
        <v>303</v>
      </c>
      <c r="AP86" s="64" t="s" ph="1">
        <v>458</v>
      </c>
      <c r="AQ86" s="64" t="s" ph="1">
        <v>263</v>
      </c>
      <c r="AR86" s="64" t="s" ph="1">
        <v>303</v>
      </c>
      <c r="AS86" s="64" t="s" ph="1">
        <v>459</v>
      </c>
      <c r="AT86" s="64" t="s" ph="1">
        <v>281</v>
      </c>
      <c r="AU86" s="64" t="s" ph="1">
        <v>303</v>
      </c>
    </row>
    <row r="87" spans="34:52" ph="1">
      <c r="AJ87" s="64" t="s" ph="1">
        <v>460</v>
      </c>
      <c r="AK87" s="64" t="s" ph="1">
        <v>316</v>
      </c>
      <c r="AM87" s="64" t="s" ph="1">
        <v>447</v>
      </c>
      <c r="AN87" s="64" t="s" ph="1">
        <v>461</v>
      </c>
      <c r="AO87" s="64" t="s" ph="1">
        <v>444</v>
      </c>
    </row>
    <row r="88" spans="34:52" ph="1">
      <c r="AH88" s="64" ph="1">
        <v>5</v>
      </c>
      <c r="AI88" s="64" t="s" ph="1">
        <v>333</v>
      </c>
      <c r="AJ88" s="64" t="s" ph="1">
        <v>462</v>
      </c>
      <c r="AK88" s="64" t="s" ph="1">
        <v>316</v>
      </c>
      <c r="AM88" s="64" t="s" ph="1">
        <v>463</v>
      </c>
      <c r="AN88" s="64" t="s" ph="1">
        <v>316</v>
      </c>
      <c r="AO88" s="64" t="s" ph="1">
        <v>303</v>
      </c>
      <c r="AP88" s="64" t="s" ph="1">
        <v>464</v>
      </c>
      <c r="AQ88" s="64" t="s" ph="1">
        <v>266</v>
      </c>
      <c r="AR88" s="64" t="s" ph="1">
        <v>303</v>
      </c>
      <c r="AS88" s="64" t="s" ph="1">
        <v>465</v>
      </c>
      <c r="AT88" s="64" t="s" ph="1">
        <v>316</v>
      </c>
      <c r="AU88" s="64" t="s" ph="1">
        <v>303</v>
      </c>
      <c r="AV88" s="64" t="s" ph="1">
        <v>466</v>
      </c>
      <c r="AW88" s="64" t="s" ph="1">
        <v>271</v>
      </c>
      <c r="AX88" s="64" t="s" ph="1">
        <v>303</v>
      </c>
      <c r="AY88" s="64" t="s" ph="1">
        <v>260</v>
      </c>
      <c r="AZ88" s="64" t="s" ph="1">
        <v>467</v>
      </c>
    </row>
    <row r="89" spans="34:52" ph="1">
      <c r="AJ89" s="64" t="s" ph="1">
        <v>468</v>
      </c>
      <c r="AK89" s="64" t="s" ph="1">
        <v>269</v>
      </c>
      <c r="AM89" s="64" t="s" ph="1">
        <v>469</v>
      </c>
      <c r="AN89" s="64" t="s" ph="1">
        <v>272</v>
      </c>
      <c r="AO89" s="64" t="s" ph="1">
        <v>303</v>
      </c>
      <c r="AP89" s="64" t="s" ph="1">
        <v>470</v>
      </c>
      <c r="AQ89" s="64" t="s" ph="1">
        <v>281</v>
      </c>
      <c r="AR89" s="64" t="s" ph="1">
        <v>303</v>
      </c>
      <c r="AS89" s="64" t="s" ph="1">
        <v>471</v>
      </c>
      <c r="AT89" s="64" t="s" ph="1">
        <v>316</v>
      </c>
      <c r="AU89" s="64" t="s" ph="1">
        <v>303</v>
      </c>
      <c r="AV89" s="64" t="s" ph="1">
        <v>472</v>
      </c>
      <c r="AW89" s="64" t="s" ph="1">
        <v>298</v>
      </c>
      <c r="AX89" s="64" t="s" ph="1">
        <v>331</v>
      </c>
    </row>
    <row r="90" spans="34:52" ph="1">
      <c r="AJ90" s="64" t="s" ph="1">
        <v>473</v>
      </c>
      <c r="AK90" s="64" t="s" ph="1">
        <v>272</v>
      </c>
      <c r="AM90" s="64" t="s" ph="1">
        <v>474</v>
      </c>
      <c r="AN90" s="64" t="s" ph="1">
        <v>269</v>
      </c>
      <c r="AO90" s="64" t="s" ph="1">
        <v>303</v>
      </c>
      <c r="AP90" s="64" t="s" ph="1">
        <v>475</v>
      </c>
      <c r="AQ90" s="64" t="s" ph="1">
        <v>338</v>
      </c>
      <c r="AR90" s="64" t="s" ph="1">
        <v>303</v>
      </c>
      <c r="AS90" s="64" t="s" ph="1">
        <v>476</v>
      </c>
      <c r="AT90" s="64" t="s" ph="1">
        <v>326</v>
      </c>
      <c r="AU90" s="64" t="s" ph="1">
        <v>303</v>
      </c>
      <c r="AV90" s="64" t="s" ph="1">
        <v>477</v>
      </c>
      <c r="AW90" s="64" t="s" ph="1">
        <v>263</v>
      </c>
      <c r="AX90" s="64" t="s" ph="1">
        <v>303</v>
      </c>
    </row>
    <row r="91" spans="34:52" ph="1">
      <c r="AJ91" s="64" t="s" ph="1">
        <v>478</v>
      </c>
      <c r="AK91" s="64" t="s" ph="1">
        <v>316</v>
      </c>
      <c r="AM91" s="64" t="s" ph="1">
        <v>479</v>
      </c>
      <c r="AN91" s="64" t="s" ph="1">
        <v>283</v>
      </c>
      <c r="AO91" s="64" t="s" ph="1">
        <v>303</v>
      </c>
      <c r="AP91" s="64" t="s" ph="1">
        <v>480</v>
      </c>
      <c r="AQ91" s="64" t="s" ph="1">
        <v>263</v>
      </c>
      <c r="AS91" s="64" t="s" ph="1">
        <v>447</v>
      </c>
      <c r="AT91" s="64" t="s" ph="1">
        <v>443</v>
      </c>
      <c r="AU91" s="64" t="s" ph="1">
        <v>444</v>
      </c>
    </row>
    <row r="92" spans="34:52" ph="1">
      <c r="AH92" s="64" ph="1">
        <v>6</v>
      </c>
      <c r="AI92" s="64" t="s" ph="1">
        <v>481</v>
      </c>
      <c r="AJ92" s="64" t="s" ph="1">
        <v>482</v>
      </c>
      <c r="AK92" s="64" t="s" ph="1">
        <v>411</v>
      </c>
      <c r="AM92" s="64" t="s" ph="1">
        <v>483</v>
      </c>
      <c r="AN92" s="64" t="s" ph="1">
        <v>271</v>
      </c>
      <c r="AO92" s="64" t="s" ph="1">
        <v>303</v>
      </c>
      <c r="AP92" s="64" t="s" ph="1">
        <v>484</v>
      </c>
      <c r="AQ92" s="64" t="s" ph="1">
        <v>343</v>
      </c>
      <c r="AR92" s="64" t="s" ph="1">
        <v>303</v>
      </c>
      <c r="AS92" s="64" t="s" ph="1">
        <v>485</v>
      </c>
      <c r="AT92" s="64" t="s" ph="1">
        <v>316</v>
      </c>
      <c r="AU92" s="64" t="s" ph="1">
        <v>303</v>
      </c>
      <c r="AV92" s="64" t="s" ph="1">
        <v>486</v>
      </c>
      <c r="AW92" s="64" t="s" ph="1">
        <v>272</v>
      </c>
      <c r="AX92" s="64" t="s" ph="1">
        <v>303</v>
      </c>
      <c r="AY92" s="64" t="s" ph="1">
        <v>260</v>
      </c>
      <c r="AZ92" s="64" t="s" ph="1">
        <v>467</v>
      </c>
    </row>
    <row r="93" spans="34:52" ph="1">
      <c r="AJ93" s="64" t="s" ph="1">
        <v>487</v>
      </c>
      <c r="AK93" s="64" t="s" ph="1">
        <v>266</v>
      </c>
      <c r="AM93" s="64" t="s" ph="1">
        <v>488</v>
      </c>
      <c r="AN93" s="64" t="s" ph="1">
        <v>271</v>
      </c>
      <c r="AO93" s="64" t="s" ph="1">
        <v>303</v>
      </c>
      <c r="AP93" s="64" t="s" ph="1">
        <v>489</v>
      </c>
      <c r="AQ93" s="64" t="s" ph="1">
        <v>275</v>
      </c>
      <c r="AR93" s="64" t="s" ph="1">
        <v>303</v>
      </c>
      <c r="AS93" s="64" t="s" ph="1">
        <v>490</v>
      </c>
      <c r="AT93" s="64" t="s" ph="1">
        <v>281</v>
      </c>
      <c r="AU93" s="64" t="s" ph="1">
        <v>303</v>
      </c>
      <c r="AV93" s="64" t="s" ph="1">
        <v>491</v>
      </c>
      <c r="AW93" s="64" t="s" ph="1">
        <v>275</v>
      </c>
      <c r="AX93" s="64" t="s" ph="1">
        <v>303</v>
      </c>
    </row>
    <row r="94" spans="34:52" ph="1">
      <c r="AJ94" s="64" t="s" ph="1">
        <v>492</v>
      </c>
      <c r="AK94" s="64" t="s" ph="1">
        <v>338</v>
      </c>
      <c r="AM94" s="64" t="s" ph="1">
        <v>493</v>
      </c>
      <c r="AN94" s="64" t="s" ph="1">
        <v>275</v>
      </c>
      <c r="AO94" s="64" t="s" ph="1">
        <v>303</v>
      </c>
      <c r="AP94" s="64" t="s" ph="1">
        <v>494</v>
      </c>
      <c r="AQ94" s="64" t="s" ph="1">
        <v>283</v>
      </c>
      <c r="AR94" s="64" t="s" ph="1">
        <v>303</v>
      </c>
      <c r="AS94" s="64" t="s" ph="1">
        <v>495</v>
      </c>
      <c r="AT94" s="64" t="s" ph="1">
        <v>269</v>
      </c>
      <c r="AU94" s="64" t="s" ph="1">
        <v>303</v>
      </c>
      <c r="AV94" s="64" t="s" ph="1">
        <v>496</v>
      </c>
      <c r="AW94" s="64" t="s" ph="1">
        <v>269</v>
      </c>
      <c r="AX94" s="64" t="s" ph="1">
        <v>303</v>
      </c>
    </row>
    <row r="95" spans="34:52" ph="1">
      <c r="AJ95" s="64" t="s" ph="1">
        <v>497</v>
      </c>
      <c r="AK95" s="64" t="s" ph="1">
        <v>343</v>
      </c>
    </row>
    <row r="96" spans="34:52" ph="1">
      <c r="AH96" s="64" ph="1">
        <v>7</v>
      </c>
      <c r="AI96" s="64" t="s" ph="1">
        <v>498</v>
      </c>
      <c r="AJ96" s="64" t="s" ph="1">
        <v>497</v>
      </c>
      <c r="AK96" s="64" t="s" ph="1">
        <v>298</v>
      </c>
      <c r="AM96" s="64" t="s" ph="1">
        <v>499</v>
      </c>
      <c r="AN96" s="64" t="s" ph="1">
        <v>272</v>
      </c>
      <c r="AO96" s="64" t="s" ph="1">
        <v>303</v>
      </c>
      <c r="AP96" s="64" t="s" ph="1">
        <v>500</v>
      </c>
      <c r="AQ96" s="64" t="s" ph="1">
        <v>316</v>
      </c>
      <c r="AR96" s="64" t="s" ph="1">
        <v>331</v>
      </c>
      <c r="AS96" s="64" t="s" ph="1">
        <v>501</v>
      </c>
      <c r="AT96" s="64" t="s" ph="1">
        <v>275</v>
      </c>
      <c r="AU96" s="64" t="s" ph="1">
        <v>331</v>
      </c>
      <c r="AV96" s="64" t="s" ph="1">
        <v>502</v>
      </c>
      <c r="AW96" s="64" t="s" ph="1">
        <v>271</v>
      </c>
      <c r="AX96" s="64" t="s" ph="1">
        <v>331</v>
      </c>
      <c r="AY96" s="64" t="s" ph="1">
        <v>260</v>
      </c>
      <c r="AZ96" s="64" t="s" ph="1">
        <v>503</v>
      </c>
    </row>
    <row r="97" spans="33:52" ph="1">
      <c r="AJ97" s="64" t="s" ph="1">
        <v>504</v>
      </c>
      <c r="AK97" s="64" t="s" ph="1">
        <v>326</v>
      </c>
      <c r="AM97" s="64" t="s" ph="1">
        <v>505</v>
      </c>
      <c r="AN97" s="64" t="s" ph="1">
        <v>269</v>
      </c>
      <c r="AO97" s="64" t="s" ph="1">
        <v>303</v>
      </c>
      <c r="AP97" s="64" t="s" ph="1">
        <v>506</v>
      </c>
      <c r="AQ97" s="64" t="s" ph="1">
        <v>263</v>
      </c>
      <c r="AR97" s="64" t="s" ph="1">
        <v>331</v>
      </c>
      <c r="AS97" s="64" t="s" ph="1">
        <v>507</v>
      </c>
      <c r="AT97" s="64" t="s" ph="1">
        <v>266</v>
      </c>
      <c r="AU97" s="64" t="s" ph="1">
        <v>331</v>
      </c>
      <c r="AV97" s="64" t="s" ph="1">
        <v>508</v>
      </c>
      <c r="AW97" s="64" t="s" ph="1">
        <v>272</v>
      </c>
      <c r="AX97" s="64" t="s" ph="1">
        <v>331</v>
      </c>
    </row>
    <row r="98" spans="33:52" ph="1">
      <c r="AJ98" s="64" t="s" ph="1">
        <v>509</v>
      </c>
      <c r="AK98" s="64" t="s" ph="1">
        <v>275</v>
      </c>
      <c r="AM98" s="64" t="s" ph="1">
        <v>510</v>
      </c>
      <c r="AN98" s="64" t="s" ph="1">
        <v>283</v>
      </c>
      <c r="AO98" s="64" t="s" ph="1">
        <v>303</v>
      </c>
      <c r="AP98" s="64" t="s" ph="1">
        <v>511</v>
      </c>
      <c r="AQ98" s="64" t="s" ph="1">
        <v>263</v>
      </c>
      <c r="AR98" s="64" t="s" ph="1">
        <v>331</v>
      </c>
      <c r="AS98" s="64" t="s" ph="1">
        <v>512</v>
      </c>
      <c r="AT98" s="64" t="s" ph="1">
        <v>343</v>
      </c>
      <c r="AU98" s="64" t="s" ph="1">
        <v>331</v>
      </c>
      <c r="AV98" s="64" t="s" ph="1">
        <v>513</v>
      </c>
      <c r="AW98" s="64" t="s" ph="1">
        <v>266</v>
      </c>
      <c r="AX98" s="64" t="s" ph="1">
        <v>331</v>
      </c>
    </row>
    <row r="99" spans="33:52" ph="1">
      <c r="AH99" s="64" ph="1">
        <v>8</v>
      </c>
      <c r="AI99" s="64" t="s" ph="1">
        <v>514</v>
      </c>
      <c r="AJ99" s="64" t="s" ph="1">
        <v>515</v>
      </c>
      <c r="AK99" s="64" t="s" ph="1">
        <v>411</v>
      </c>
      <c r="AM99" s="64" t="s" ph="1">
        <v>516</v>
      </c>
      <c r="AN99" s="64" t="s" ph="1">
        <v>298</v>
      </c>
      <c r="AO99" s="64" t="s" ph="1">
        <v>303</v>
      </c>
      <c r="AP99" s="64" t="s" ph="1">
        <v>517</v>
      </c>
      <c r="AQ99" s="64" t="s" ph="1">
        <v>268</v>
      </c>
      <c r="AR99" s="64" t="s" ph="1">
        <v>331</v>
      </c>
      <c r="AS99" s="64" t="s" ph="1">
        <v>518</v>
      </c>
      <c r="AT99" s="64" t="s" ph="1">
        <v>283</v>
      </c>
      <c r="AU99" s="64" t="s" ph="1">
        <v>331</v>
      </c>
      <c r="AV99" s="64" t="s" ph="1">
        <v>519</v>
      </c>
      <c r="AW99" s="64" t="s" ph="1">
        <v>268</v>
      </c>
      <c r="AX99" s="64" t="s" ph="1">
        <v>331</v>
      </c>
      <c r="AY99" s="64" t="s" ph="1">
        <v>260</v>
      </c>
      <c r="AZ99" s="64" t="s" ph="1">
        <v>520</v>
      </c>
    </row>
    <row r="100" spans="33:52" ph="1">
      <c r="AJ100" s="64" t="s" ph="1">
        <v>521</v>
      </c>
      <c r="AK100" s="64" t="s" ph="1">
        <v>266</v>
      </c>
      <c r="AM100" s="64" t="s" ph="1">
        <v>522</v>
      </c>
      <c r="AN100" s="64" t="s" ph="1">
        <v>338</v>
      </c>
      <c r="AO100" s="64" t="s" ph="1">
        <v>303</v>
      </c>
      <c r="AP100" s="64" t="s" ph="1">
        <v>523</v>
      </c>
      <c r="AQ100" s="64" t="s" ph="1">
        <v>344</v>
      </c>
      <c r="AR100" s="64" t="s" ph="1">
        <v>331</v>
      </c>
      <c r="AS100" s="64" t="s" ph="1">
        <v>524</v>
      </c>
      <c r="AT100" s="64" t="s" ph="1">
        <v>411</v>
      </c>
      <c r="AU100" s="64" t="s" ph="1">
        <v>303</v>
      </c>
      <c r="AV100" s="64" t="s" ph="1">
        <v>525</v>
      </c>
      <c r="AW100" s="64" t="s" ph="1">
        <v>411</v>
      </c>
      <c r="AX100" s="64" t="s" ph="1">
        <v>303</v>
      </c>
    </row>
    <row r="101" spans="33:52" ph="1">
      <c r="AJ101" s="64" t="s" ph="1">
        <v>526</v>
      </c>
      <c r="AK101" s="64" t="s" ph="1">
        <v>411</v>
      </c>
      <c r="AM101" s="64" t="s" ph="1">
        <v>527</v>
      </c>
      <c r="AN101" s="64" t="s" ph="1">
        <v>269</v>
      </c>
      <c r="AO101" s="64" t="s" ph="1">
        <v>303</v>
      </c>
      <c r="AP101" s="64" t="s" ph="1">
        <v>528</v>
      </c>
      <c r="AQ101" s="64" t="s" ph="1">
        <v>281</v>
      </c>
      <c r="AR101" s="64" t="s" ph="1">
        <v>331</v>
      </c>
      <c r="AS101" s="64" t="s" ph="1">
        <v>529</v>
      </c>
      <c r="AT101" s="64" t="s" ph="1">
        <v>338</v>
      </c>
      <c r="AU101" s="64" t="s" ph="1">
        <v>331</v>
      </c>
      <c r="AV101" s="64" t="s" ph="1">
        <v>530</v>
      </c>
      <c r="AW101" s="64" t="s" ph="1">
        <v>269</v>
      </c>
      <c r="AX101" s="64" t="s" ph="1">
        <v>303</v>
      </c>
    </row>
    <row r="102" spans="33:52" ph="1">
      <c r="AJ102" s="64" t="s" ph="1">
        <v>531</v>
      </c>
      <c r="AK102" s="64" t="s" ph="1">
        <v>266</v>
      </c>
      <c r="AM102" s="64" t="s" ph="1">
        <v>532</v>
      </c>
      <c r="AN102" s="64" t="s" ph="1">
        <v>275</v>
      </c>
      <c r="AO102" s="64" t="s" ph="1">
        <v>303</v>
      </c>
      <c r="AP102" s="64" t="s" ph="1">
        <v>533</v>
      </c>
      <c r="AQ102" s="64" t="s" ph="1">
        <v>281</v>
      </c>
      <c r="AR102" s="64" t="s" ph="1">
        <v>303</v>
      </c>
      <c r="AS102" s="64" t="s" ph="1">
        <v>534</v>
      </c>
      <c r="AT102" s="64" t="s" ph="1">
        <v>298</v>
      </c>
      <c r="AU102" s="64" t="s" ph="1">
        <v>303</v>
      </c>
      <c r="AV102" s="64" t="s" ph="1">
        <v>535</v>
      </c>
      <c r="AW102" s="64" t="s" ph="1">
        <v>316</v>
      </c>
      <c r="AX102" s="64" t="s" ph="1">
        <v>303</v>
      </c>
    </row>
    <row r="103" spans="33:52" ph="1">
      <c r="AH103" s="64" ph="1">
        <v>9</v>
      </c>
      <c r="AI103" s="64" t="s" ph="1">
        <v>536</v>
      </c>
      <c r="AJ103" s="64" t="s" ph="1">
        <v>537</v>
      </c>
      <c r="AK103" s="64" t="s" ph="1">
        <v>411</v>
      </c>
      <c r="AM103" s="64" t="s" ph="1">
        <v>538</v>
      </c>
      <c r="AN103" s="64" t="s" ph="1">
        <v>326</v>
      </c>
      <c r="AO103" s="64" t="s" ph="1">
        <v>303</v>
      </c>
      <c r="AP103" s="64" t="s" ph="1">
        <v>380</v>
      </c>
      <c r="AQ103" s="64" t="s" ph="1">
        <v>269</v>
      </c>
      <c r="AR103" s="64" t="s" ph="1">
        <v>303</v>
      </c>
      <c r="AS103" s="64" t="s" ph="1">
        <v>614</v>
      </c>
      <c r="AT103" s="64" t="s" ph="1">
        <v>411</v>
      </c>
      <c r="AU103" s="64" t="s" ph="1">
        <v>303</v>
      </c>
      <c r="AY103" s="64" t="s" ph="1">
        <v>260</v>
      </c>
      <c r="AZ103" s="64" t="s" ph="1">
        <v>268</v>
      </c>
    </row>
    <row r="104" spans="33:52" ph="1">
      <c r="AZ104" s="64" t="s" ph="1">
        <v>539</v>
      </c>
    </row>
    <row r="105" spans="33:52" ph="1">
      <c r="AG105" s="64" t="s" ph="1">
        <v>339</v>
      </c>
      <c r="AI105" s="64" t="s" ph="1">
        <v>253</v>
      </c>
      <c r="AJ105" s="64" t="s" ph="1">
        <v>254</v>
      </c>
      <c r="AK105" s="64" t="s" ph="1">
        <v>255</v>
      </c>
      <c r="AM105" s="64" t="s" ph="1">
        <v>254</v>
      </c>
      <c r="AN105" s="64" t="s" ph="1">
        <v>255</v>
      </c>
      <c r="AO105" s="64" t="s" ph="1">
        <v>256</v>
      </c>
      <c r="AP105" s="64" t="s" ph="1">
        <v>254</v>
      </c>
      <c r="AQ105" s="64" t="s" ph="1">
        <v>255</v>
      </c>
      <c r="AR105" s="64" t="s" ph="1">
        <v>256</v>
      </c>
      <c r="AS105" s="64" t="s" ph="1">
        <v>254</v>
      </c>
      <c r="AT105" s="64" t="s" ph="1">
        <v>255</v>
      </c>
      <c r="AU105" s="64" t="s" ph="1">
        <v>256</v>
      </c>
      <c r="AV105" s="64" t="s" ph="1">
        <v>254</v>
      </c>
      <c r="AW105" s="64" t="s" ph="1">
        <v>255</v>
      </c>
      <c r="AX105" s="64" t="s" ph="1">
        <v>256</v>
      </c>
      <c r="AZ105" s="64" t="s" ph="1">
        <v>257</v>
      </c>
    </row>
    <row r="106" spans="33:52" ph="1">
      <c r="AH106" s="64" ph="1">
        <v>1</v>
      </c>
      <c r="AI106" s="64" t="s" ph="1">
        <v>540</v>
      </c>
      <c r="AJ106" s="64" t="s" ph="1">
        <v>614</v>
      </c>
      <c r="AK106" s="64" t="s" ph="1">
        <v>275</v>
      </c>
      <c r="AZ106" s="64" t="s" ph="1">
        <v>275</v>
      </c>
    </row>
    <row r="107" spans="33:52" ph="1">
      <c r="AH107" s="64" ph="1">
        <v>2</v>
      </c>
      <c r="AI107" s="64" t="s" ph="1">
        <v>541</v>
      </c>
      <c r="AJ107" s="64" t="s" ph="1">
        <v>542</v>
      </c>
      <c r="AK107" s="64" t="s" ph="1">
        <v>272</v>
      </c>
      <c r="AM107" s="64" t="s" ph="1">
        <v>378</v>
      </c>
      <c r="AN107" s="64" t="s" ph="1">
        <v>543</v>
      </c>
      <c r="AO107" s="64" t="s" ph="1">
        <v>544</v>
      </c>
      <c r="AP107" s="64" t="s" ph="1">
        <v>380</v>
      </c>
      <c r="AQ107" s="64" t="s" ph="1">
        <v>348</v>
      </c>
      <c r="AR107" s="64" t="s" ph="1">
        <v>544</v>
      </c>
      <c r="AS107" s="64" t="s" ph="1">
        <v>614</v>
      </c>
      <c r="AT107" s="64" t="s" ph="1">
        <v>543</v>
      </c>
      <c r="AU107" s="64" t="s" ph="1">
        <v>544</v>
      </c>
      <c r="AY107" s="64" t="s" ph="1">
        <v>260</v>
      </c>
      <c r="AZ107" s="64" t="s" ph="1">
        <v>624</v>
      </c>
    </row>
    <row r="108" spans="33:52" ph="1">
      <c r="AH108" s="64" ph="1">
        <v>3</v>
      </c>
      <c r="AI108" s="64" t="s" ph="1">
        <v>545</v>
      </c>
      <c r="AY108" s="64" t="s" ph="1">
        <v>260</v>
      </c>
      <c r="AZ108" s="64" t="s" ph="1">
        <v>411</v>
      </c>
    </row>
    <row r="109" spans="33:52" ph="1">
      <c r="AH109" s="64" ph="1">
        <v>4</v>
      </c>
      <c r="AI109" s="64" t="s" ph="1">
        <v>546</v>
      </c>
      <c r="AY109" s="64" t="s" ph="1">
        <v>260</v>
      </c>
      <c r="AZ109" s="64" t="s" ph="1">
        <v>411</v>
      </c>
    </row>
    <row r="110" spans="33:52" ph="1">
      <c r="AH110" s="64" ph="1">
        <v>5</v>
      </c>
      <c r="AI110" s="64" t="s" ph="1">
        <v>547</v>
      </c>
      <c r="AY110" s="64" t="s" ph="1">
        <v>260</v>
      </c>
      <c r="AZ110" s="64" t="s" ph="1">
        <v>411</v>
      </c>
    </row>
    <row r="111" spans="33:52" ph="1">
      <c r="AH111" s="64" ph="1">
        <v>6</v>
      </c>
      <c r="AI111" s="64" t="s" ph="1">
        <v>625</v>
      </c>
      <c r="AJ111" s="64" t="s" ph="1">
        <v>530</v>
      </c>
      <c r="AK111" s="64" t="s" ph="1">
        <v>269</v>
      </c>
      <c r="AM111" s="64" t="s" ph="1">
        <v>531</v>
      </c>
      <c r="AN111" s="64" t="s" ph="1">
        <v>263</v>
      </c>
      <c r="AO111" s="64" t="s" ph="1">
        <v>544</v>
      </c>
      <c r="AP111" s="64" t="s" ph="1">
        <v>532</v>
      </c>
      <c r="AQ111" s="64" t="s" ph="1">
        <v>272</v>
      </c>
      <c r="AR111" s="64" t="s" ph="1">
        <v>544</v>
      </c>
      <c r="AS111" s="64" t="s" ph="1">
        <v>533</v>
      </c>
      <c r="AT111" s="64" t="s" ph="1">
        <v>281</v>
      </c>
      <c r="AU111" s="64" t="s" ph="1">
        <v>544</v>
      </c>
      <c r="AV111" s="64" t="s" ph="1">
        <v>534</v>
      </c>
      <c r="AW111" s="64" t="s" ph="1">
        <v>271</v>
      </c>
      <c r="AX111" s="64" t="s" ph="1">
        <v>544</v>
      </c>
      <c r="AY111" s="64" t="s" ph="1">
        <v>260</v>
      </c>
      <c r="AZ111" s="64" t="s" ph="1">
        <v>548</v>
      </c>
    </row>
    <row r="112" spans="33:52" ph="1">
      <c r="AJ112" s="64" t="s" ph="1">
        <v>535</v>
      </c>
      <c r="AK112" s="64" t="s" ph="1">
        <v>316</v>
      </c>
      <c r="AM112" s="64" t="s" ph="1">
        <v>537</v>
      </c>
      <c r="AN112" s="64" t="s" ph="1">
        <v>340</v>
      </c>
      <c r="AO112" s="64" t="s" ph="1">
        <v>544</v>
      </c>
      <c r="AP112" s="64" t="s" ph="1">
        <v>538</v>
      </c>
      <c r="AQ112" s="64" t="s" ph="1">
        <v>549</v>
      </c>
      <c r="AR112" s="64" t="s" ph="1">
        <v>544</v>
      </c>
      <c r="AS112" s="64" t="s" ph="1">
        <v>550</v>
      </c>
      <c r="AT112" s="64" t="s" ph="1">
        <v>292</v>
      </c>
      <c r="AU112" s="64" t="s" ph="1">
        <v>544</v>
      </c>
      <c r="AV112" s="64" t="s" ph="1">
        <v>551</v>
      </c>
      <c r="AW112" s="64" t="s" ph="1">
        <v>338</v>
      </c>
      <c r="AX112" s="64" t="s" ph="1">
        <v>544</v>
      </c>
    </row>
    <row r="113" spans="33:52" ph="1">
      <c r="AH113" s="64" ph="1">
        <v>7</v>
      </c>
      <c r="AI113" s="64" t="s" ph="1">
        <v>552</v>
      </c>
      <c r="AJ113" s="64" t="s" ph="1">
        <v>633</v>
      </c>
      <c r="AK113" s="64" t="s" ph="1">
        <v>638</v>
      </c>
      <c r="AY113" s="64" t="s" ph="1">
        <v>260</v>
      </c>
      <c r="AZ113" s="64" t="s" ph="1">
        <v>638</v>
      </c>
    </row>
    <row r="114" spans="33:52" ph="1">
      <c r="AH114" s="64" ph="1">
        <v>8</v>
      </c>
      <c r="AI114" s="64" t="s" ph="1">
        <v>553</v>
      </c>
      <c r="AJ114" s="64" t="s" ph="1">
        <v>633</v>
      </c>
      <c r="AK114" s="64" t="s" ph="1">
        <v>639</v>
      </c>
      <c r="AY114" s="64" t="s" ph="1">
        <v>260</v>
      </c>
      <c r="AZ114" s="64" t="s" ph="1">
        <v>639</v>
      </c>
    </row>
    <row r="115" spans="33:52" ph="1">
      <c r="AH115" s="64" ph="1">
        <v>9</v>
      </c>
      <c r="AI115" s="64" t="s" ph="1">
        <v>554</v>
      </c>
      <c r="AJ115" s="64" t="s" ph="1">
        <v>633</v>
      </c>
      <c r="AK115" s="64" t="s" ph="1">
        <v>639</v>
      </c>
      <c r="AY115" s="64" t="s" ph="1">
        <v>260</v>
      </c>
      <c r="AZ115" s="64" t="s" ph="1">
        <v>639</v>
      </c>
    </row>
    <row r="116" spans="33:52" ph="1">
      <c r="AH116" s="64" ph="1">
        <v>10</v>
      </c>
      <c r="AI116" s="64" t="s" ph="1">
        <v>555</v>
      </c>
      <c r="AJ116" s="64" t="s" ph="1">
        <v>633</v>
      </c>
      <c r="AK116" s="64" t="s" ph="1">
        <v>639</v>
      </c>
      <c r="AY116" s="64" t="s" ph="1">
        <v>260</v>
      </c>
      <c r="AZ116" s="64" t="s" ph="1">
        <v>639</v>
      </c>
    </row>
    <row r="117" spans="33:52" ph="1">
      <c r="AH117" s="64" ph="1">
        <v>11</v>
      </c>
      <c r="AI117" s="64" t="s" ph="1">
        <v>556</v>
      </c>
      <c r="AJ117" s="64" t="s" ph="1">
        <v>633</v>
      </c>
      <c r="AK117" s="64" t="s" ph="1">
        <v>639</v>
      </c>
      <c r="AY117" s="64" t="s" ph="1">
        <v>260</v>
      </c>
      <c r="AZ117" s="64" t="s" ph="1">
        <v>639</v>
      </c>
    </row>
    <row r="118" spans="33:52" ph="1">
      <c r="AZ118" s="64" t="s" ph="1">
        <v>640</v>
      </c>
    </row>
    <row r="119" spans="33:52" ph="1">
      <c r="AI119" s="64" t="s" ph="1">
        <v>253</v>
      </c>
      <c r="AJ119" s="64" t="s" ph="1">
        <v>254</v>
      </c>
      <c r="AK119" s="64" t="s" ph="1">
        <v>255</v>
      </c>
      <c r="AM119" s="64" t="s" ph="1">
        <v>254</v>
      </c>
      <c r="AN119" s="64" t="s" ph="1">
        <v>255</v>
      </c>
      <c r="AO119" s="64" t="s" ph="1">
        <v>256</v>
      </c>
      <c r="AP119" s="64" t="s" ph="1">
        <v>254</v>
      </c>
      <c r="AQ119" s="64" t="s" ph="1">
        <v>255</v>
      </c>
      <c r="AR119" s="64" t="s" ph="1">
        <v>256</v>
      </c>
      <c r="AS119" s="64" t="s" ph="1">
        <v>254</v>
      </c>
      <c r="AT119" s="64" t="s" ph="1">
        <v>255</v>
      </c>
      <c r="AU119" s="64" t="s" ph="1">
        <v>256</v>
      </c>
      <c r="AV119" s="64" t="s" ph="1">
        <v>254</v>
      </c>
      <c r="AW119" s="64" t="s" ph="1">
        <v>255</v>
      </c>
      <c r="AX119" s="64" t="s" ph="1">
        <v>256</v>
      </c>
      <c r="AY119" s="64" t="s" ph="1">
        <v>255</v>
      </c>
      <c r="AZ119" s="64" t="s" ph="1">
        <v>257</v>
      </c>
    </row>
    <row r="120" spans="33:52" ph="1">
      <c r="AG120" s="64" t="s" ph="1">
        <v>397</v>
      </c>
      <c r="AH120" s="64" ph="1">
        <v>1</v>
      </c>
      <c r="AI120" s="64" t="s" ph="1">
        <v>557</v>
      </c>
      <c r="AJ120" s="64" t="s" ph="1">
        <v>631</v>
      </c>
      <c r="AK120" s="64" t="s" ph="1">
        <v>411</v>
      </c>
      <c r="AY120" s="64" t="s" ph="1">
        <v>260</v>
      </c>
      <c r="AZ120" s="64" t="s" ph="1">
        <v>411</v>
      </c>
    </row>
    <row r="121" spans="33:52" ph="1">
      <c r="AH121" s="64" ph="1">
        <v>2</v>
      </c>
      <c r="AI121" s="64" t="s" ph="1">
        <v>558</v>
      </c>
      <c r="AY121" s="64" t="s" ph="1">
        <v>260</v>
      </c>
      <c r="AZ121" s="64" t="s" ph="1">
        <v>411</v>
      </c>
    </row>
    <row r="122" spans="33:52" ph="1">
      <c r="AH122" s="64" ph="1">
        <v>3</v>
      </c>
      <c r="AI122" s="64" t="s" ph="1">
        <v>559</v>
      </c>
      <c r="AJ122" s="64" t="s" ph="1">
        <v>614</v>
      </c>
      <c r="AK122" s="64" t="s" ph="1">
        <v>626</v>
      </c>
      <c r="AM122" s="64" t="s" ph="1">
        <v>641</v>
      </c>
      <c r="AN122" s="64" t="s" ph="1">
        <v>634</v>
      </c>
      <c r="AO122" s="64" t="s" ph="1">
        <v>109</v>
      </c>
      <c r="AY122" s="64" t="s" ph="1">
        <v>260</v>
      </c>
      <c r="AZ122" s="64" t="s" ph="1">
        <v>623</v>
      </c>
    </row>
    <row r="123" spans="33:52" ph="1">
      <c r="AY123" s="64" t="s" ph="1">
        <v>260</v>
      </c>
      <c r="AZ123" s="64" t="s" ph="1">
        <v>623</v>
      </c>
    </row>
    <row r="124" spans="33:52" ph="1">
      <c r="AG124" s="64" t="s" ph="1">
        <v>400</v>
      </c>
      <c r="AH124" s="64" ph="1">
        <v>4</v>
      </c>
      <c r="AI124" s="64" t="s" ph="1">
        <v>560</v>
      </c>
      <c r="AJ124" s="64" t="s" ph="1">
        <v>561</v>
      </c>
      <c r="AK124" s="64" t="s" ph="1">
        <v>562</v>
      </c>
      <c r="AY124" s="64" t="s" ph="1">
        <v>260</v>
      </c>
      <c r="AZ124" s="64" t="s" ph="1">
        <v>562</v>
      </c>
    </row>
    <row r="125" spans="33:52" ph="1">
      <c r="AH125" s="64" ph="1">
        <v>5</v>
      </c>
      <c r="AI125" s="64" t="s" ph="1">
        <v>563</v>
      </c>
      <c r="AJ125" s="64" t="s" ph="1">
        <v>561</v>
      </c>
      <c r="AK125" s="64" t="s" ph="1">
        <v>562</v>
      </c>
      <c r="AY125" s="64" t="s" ph="1">
        <v>260</v>
      </c>
      <c r="AZ125" s="64" t="s" ph="1">
        <v>562</v>
      </c>
    </row>
    <row r="126" spans="33:52" ph="1">
      <c r="AH126" s="64" ph="1">
        <v>6</v>
      </c>
      <c r="AI126" s="64" t="s" ph="1">
        <v>564</v>
      </c>
      <c r="AJ126" s="64" t="s" ph="1">
        <v>633</v>
      </c>
      <c r="AK126" s="64" t="s" ph="1">
        <v>642</v>
      </c>
      <c r="AY126" s="64" t="s" ph="1">
        <v>260</v>
      </c>
      <c r="AZ126" s="64" t="s" ph="1">
        <v>642</v>
      </c>
    </row>
    <row r="127" spans="33:52" ph="1">
      <c r="AH127" s="64" ph="1">
        <v>7</v>
      </c>
      <c r="AI127" s="64" t="s" ph="1">
        <v>565</v>
      </c>
      <c r="AJ127" s="64" t="s" ph="1">
        <v>633</v>
      </c>
      <c r="AK127" s="64" t="s" ph="1">
        <v>643</v>
      </c>
      <c r="AY127" s="64" t="s" ph="1">
        <v>260</v>
      </c>
      <c r="AZ127" s="64" t="s" ph="1">
        <v>643</v>
      </c>
    </row>
    <row r="128" spans="33:52" ph="1">
      <c r="AH128" s="64" ph="1">
        <v>8</v>
      </c>
      <c r="AI128" s="64" t="s" ph="1">
        <v>566</v>
      </c>
      <c r="AY128" s="64" t="s" ph="1">
        <v>260</v>
      </c>
      <c r="AZ128" s="64" t="s" ph="1">
        <v>411</v>
      </c>
    </row>
    <row r="129" spans="33:52" ph="1">
      <c r="AH129" s="64" ph="1">
        <v>9</v>
      </c>
      <c r="AI129" s="64" t="s" ph="1">
        <v>567</v>
      </c>
      <c r="AY129" s="64" t="s" ph="1">
        <v>260</v>
      </c>
      <c r="AZ129" s="64" t="s" ph="1">
        <v>411</v>
      </c>
    </row>
    <row r="130" spans="33:52" ph="1">
      <c r="AH130" s="64" ph="1">
        <v>10</v>
      </c>
      <c r="AI130" s="64" t="s" ph="1">
        <v>568</v>
      </c>
      <c r="AY130" s="64" t="s" ph="1">
        <v>260</v>
      </c>
      <c r="AZ130" s="64" t="s" ph="1">
        <v>411</v>
      </c>
    </row>
    <row r="131" spans="33:52" ph="1">
      <c r="AH131" s="64" ph="1">
        <v>11</v>
      </c>
      <c r="AI131" s="64" t="s" ph="1">
        <v>569</v>
      </c>
      <c r="AJ131" s="64" t="s" ph="1">
        <v>627</v>
      </c>
      <c r="AK131" s="64" t="s" ph="1">
        <v>623</v>
      </c>
      <c r="AY131" s="64" t="s" ph="1">
        <v>260</v>
      </c>
      <c r="AZ131" s="64" t="s" ph="1">
        <v>623</v>
      </c>
    </row>
    <row r="132" spans="33:52" ph="1">
      <c r="AH132" s="64" ph="1">
        <v>12</v>
      </c>
      <c r="AI132" s="64" t="s" ph="1">
        <v>570</v>
      </c>
      <c r="AJ132" s="64" t="s" ph="1">
        <v>627</v>
      </c>
      <c r="AK132" s="64" t="s" ph="1">
        <v>562</v>
      </c>
      <c r="AY132" s="64" t="s" ph="1">
        <v>260</v>
      </c>
      <c r="AZ132" s="64" t="s" ph="1">
        <v>562</v>
      </c>
    </row>
    <row r="133" spans="33:52" ph="1">
      <c r="AH133" s="64" ph="1">
        <v>13</v>
      </c>
      <c r="AI133" s="64" t="s" ph="1">
        <v>571</v>
      </c>
      <c r="AJ133" s="64" t="s" ph="1">
        <v>627</v>
      </c>
      <c r="AK133" s="64" t="s" ph="1">
        <v>628</v>
      </c>
      <c r="AY133" s="64" t="s" ph="1">
        <v>260</v>
      </c>
      <c r="AZ133" s="64" t="s" ph="1">
        <v>628</v>
      </c>
    </row>
    <row r="134" spans="33:52" ph="1">
      <c r="AH134" s="64" ph="1">
        <v>14</v>
      </c>
      <c r="AI134" s="64" t="s" ph="1">
        <v>572</v>
      </c>
      <c r="AJ134" s="64" t="s" ph="1">
        <v>627</v>
      </c>
      <c r="AK134" s="64" t="s" ph="1">
        <v>629</v>
      </c>
      <c r="AY134" s="64" t="s" ph="1">
        <v>260</v>
      </c>
      <c r="AZ134" s="64" t="s" ph="1">
        <v>629</v>
      </c>
    </row>
    <row r="135" spans="33:52" ph="1">
      <c r="AH135" s="64" ph="1">
        <v>15</v>
      </c>
      <c r="AI135" s="64" t="s" ph="1">
        <v>573</v>
      </c>
      <c r="AJ135" s="64" t="s" ph="1">
        <v>627</v>
      </c>
      <c r="AK135" s="64" t="s" ph="1">
        <v>630</v>
      </c>
      <c r="AY135" s="64" t="s" ph="1">
        <v>260</v>
      </c>
      <c r="AZ135" s="64" t="s" ph="1">
        <v>630</v>
      </c>
    </row>
    <row r="136" spans="33:52" ph="1">
      <c r="AZ136" s="64" t="s" ph="1">
        <v>644</v>
      </c>
    </row>
    <row r="137" spans="33:52" ph="1">
      <c r="AG137" s="64" t="s" ph="1">
        <v>334</v>
      </c>
      <c r="AI137" s="64" t="s" ph="1">
        <v>253</v>
      </c>
      <c r="AJ137" s="64" t="s" ph="1">
        <v>254</v>
      </c>
      <c r="AK137" s="64" t="s" ph="1">
        <v>255</v>
      </c>
      <c r="AM137" s="64" t="s" ph="1">
        <v>254</v>
      </c>
      <c r="AN137" s="64" t="s" ph="1">
        <v>255</v>
      </c>
      <c r="AO137" s="64" t="s" ph="1">
        <v>256</v>
      </c>
      <c r="AP137" s="64" t="s" ph="1">
        <v>254</v>
      </c>
      <c r="AQ137" s="64" t="s" ph="1">
        <v>255</v>
      </c>
      <c r="AR137" s="64" t="s" ph="1">
        <v>256</v>
      </c>
      <c r="AS137" s="64" t="s" ph="1">
        <v>254</v>
      </c>
      <c r="AT137" s="64" t="s" ph="1">
        <v>255</v>
      </c>
      <c r="AU137" s="64" t="s" ph="1">
        <v>256</v>
      </c>
      <c r="AV137" s="64" t="s" ph="1">
        <v>254</v>
      </c>
      <c r="AW137" s="64" t="s" ph="1">
        <v>255</v>
      </c>
      <c r="AX137" s="64" t="s" ph="1">
        <v>256</v>
      </c>
      <c r="AY137" s="64" t="s" ph="1">
        <v>255</v>
      </c>
      <c r="AZ137" s="64" t="s" ph="1">
        <v>257</v>
      </c>
    </row>
    <row r="138" spans="33:52" ph="1">
      <c r="AH138" s="64" ph="1">
        <v>1</v>
      </c>
      <c r="AI138" s="64" t="s" ph="1">
        <v>574</v>
      </c>
      <c r="AJ138" s="64" t="s" ph="1">
        <v>575</v>
      </c>
      <c r="AK138" s="64" t="s" ph="1">
        <v>576</v>
      </c>
      <c r="AY138" s="64" t="s" ph="1">
        <v>260</v>
      </c>
      <c r="AZ138" s="64" t="s" ph="1">
        <v>576</v>
      </c>
    </row>
    <row r="139" spans="33:52" ph="1">
      <c r="AH139" s="64" ph="1">
        <v>2</v>
      </c>
      <c r="AI139" s="64" t="s" ph="1">
        <v>577</v>
      </c>
      <c r="AJ139" s="64" t="s" ph="1">
        <v>633</v>
      </c>
      <c r="AK139" s="64" t="s" ph="1">
        <v>645</v>
      </c>
      <c r="AY139" s="64" t="s" ph="1">
        <v>260</v>
      </c>
      <c r="AZ139" s="64" t="s" ph="1">
        <v>645</v>
      </c>
    </row>
    <row r="140" spans="33:52" ph="1">
      <c r="AH140" s="64" ph="1">
        <v>3</v>
      </c>
      <c r="AI140" s="64" t="s" ph="1">
        <v>578</v>
      </c>
      <c r="AJ140" s="64" t="s" ph="1">
        <v>531</v>
      </c>
      <c r="AK140" s="64" t="s" ph="1">
        <v>343</v>
      </c>
      <c r="AM140" s="64" t="s" ph="1">
        <v>532</v>
      </c>
      <c r="AN140" s="64" t="s" ph="1">
        <v>263</v>
      </c>
      <c r="AO140" s="64" t="s" ph="1">
        <v>579</v>
      </c>
      <c r="AP140" s="64" t="s" ph="1">
        <v>533</v>
      </c>
      <c r="AQ140" s="64" t="s" ph="1">
        <v>280</v>
      </c>
      <c r="AR140" s="64" t="s" ph="1">
        <v>579</v>
      </c>
      <c r="AS140" s="64" t="s" ph="1">
        <v>534</v>
      </c>
      <c r="AT140" s="64" t="s" ph="1">
        <v>273</v>
      </c>
      <c r="AU140" s="64" t="s" ph="1">
        <v>579</v>
      </c>
      <c r="AV140" s="64" t="s" ph="1">
        <v>535</v>
      </c>
      <c r="AW140" s="64" t="s" ph="1">
        <v>266</v>
      </c>
      <c r="AX140" s="64" t="s" ph="1">
        <v>579</v>
      </c>
      <c r="AY140" s="64" t="s" ph="1">
        <v>260</v>
      </c>
      <c r="AZ140" s="64" t="s" ph="1">
        <v>335</v>
      </c>
    </row>
    <row r="141" spans="33:52" ph="1">
      <c r="AJ141" s="64" t="s" ph="1">
        <v>537</v>
      </c>
      <c r="AK141" s="64" t="s" ph="1">
        <v>266</v>
      </c>
      <c r="AM141" s="64" t="s" ph="1">
        <v>538</v>
      </c>
      <c r="AN141" s="64" t="s" ph="1">
        <v>269</v>
      </c>
      <c r="AO141" s="64" t="s" ph="1">
        <v>579</v>
      </c>
      <c r="AP141" s="64" t="s" ph="1">
        <v>550</v>
      </c>
      <c r="AQ141" s="64" t="s" ph="1">
        <v>338</v>
      </c>
      <c r="AR141" s="64" t="s" ph="1">
        <v>579</v>
      </c>
      <c r="AS141" s="64" t="s" ph="1">
        <v>542</v>
      </c>
      <c r="AT141" s="64" t="s" ph="1">
        <v>266</v>
      </c>
      <c r="AU141" s="64" t="s" ph="1">
        <v>579</v>
      </c>
      <c r="AV141" s="64" t="s" ph="1">
        <v>378</v>
      </c>
      <c r="AW141" s="64" t="s" ph="1">
        <v>272</v>
      </c>
      <c r="AX141" s="64" t="s" ph="1">
        <v>579</v>
      </c>
    </row>
    <row r="142" spans="33:52" ph="1">
      <c r="AJ142" s="64" t="s" ph="1">
        <v>580</v>
      </c>
      <c r="AK142" s="64" t="s" ph="1">
        <v>283</v>
      </c>
    </row>
    <row r="143" spans="33:52" ph="1">
      <c r="AH143" s="64" ph="1">
        <v>4</v>
      </c>
      <c r="AI143" s="64" t="s" ph="1">
        <v>581</v>
      </c>
      <c r="AJ143" s="64" t="s" ph="1">
        <v>561</v>
      </c>
      <c r="AK143" s="64" t="s" ph="1">
        <v>582</v>
      </c>
      <c r="AY143" s="64" t="s" ph="1">
        <v>260</v>
      </c>
      <c r="AZ143" s="64" t="s" ph="1">
        <v>582</v>
      </c>
    </row>
    <row r="144" spans="33:52" ph="1">
      <c r="AH144" s="64" ph="1">
        <v>5</v>
      </c>
      <c r="AI144" s="64" t="s" ph="1">
        <v>583</v>
      </c>
      <c r="AY144" s="64" t="s" ph="1">
        <v>260</v>
      </c>
      <c r="AZ144" s="64" t="s" ph="1">
        <v>411</v>
      </c>
    </row>
    <row r="145" spans="33:52" ph="1">
      <c r="AH145" s="64" ph="1">
        <v>6</v>
      </c>
      <c r="AI145" s="64" t="s" ph="1">
        <v>584</v>
      </c>
      <c r="AY145" s="64" t="s" ph="1">
        <v>260</v>
      </c>
      <c r="AZ145" s="64" t="s" ph="1">
        <v>411</v>
      </c>
    </row>
    <row r="146" spans="33:52" ph="1">
      <c r="AH146" s="64" ph="1">
        <v>7</v>
      </c>
      <c r="AI146" s="64" t="s" ph="1">
        <v>585</v>
      </c>
      <c r="AY146" s="64" t="s" ph="1">
        <v>260</v>
      </c>
      <c r="AZ146" s="64" t="s" ph="1">
        <v>411</v>
      </c>
    </row>
    <row r="147" spans="33:52" ph="1">
      <c r="AH147" s="64" ph="1">
        <v>8</v>
      </c>
      <c r="AI147" s="64" t="s" ph="1">
        <v>586</v>
      </c>
      <c r="AY147" s="64" t="s" ph="1">
        <v>260</v>
      </c>
      <c r="AZ147" s="64" t="s" ph="1">
        <v>411</v>
      </c>
    </row>
    <row r="148" spans="33:52" ph="1">
      <c r="AH148" s="64" ph="1">
        <v>9</v>
      </c>
      <c r="AI148" s="64" t="s" ph="1">
        <v>587</v>
      </c>
      <c r="AY148" s="64" t="s" ph="1">
        <v>260</v>
      </c>
      <c r="AZ148" s="64" t="s" ph="1">
        <v>411</v>
      </c>
    </row>
    <row r="149" spans="33:52" ph="1">
      <c r="AH149" s="64" ph="1">
        <v>10</v>
      </c>
      <c r="AI149" s="64" t="s" ph="1">
        <v>588</v>
      </c>
      <c r="AY149" s="64" t="s" ph="1">
        <v>260</v>
      </c>
      <c r="AZ149" s="64" t="s" ph="1">
        <v>411</v>
      </c>
    </row>
    <row r="150" spans="33:52" ph="1">
      <c r="AH150" s="64" ph="1">
        <v>11</v>
      </c>
      <c r="AI150" s="64" t="s" ph="1">
        <v>589</v>
      </c>
      <c r="AY150" s="64" t="s" ph="1">
        <v>260</v>
      </c>
      <c r="AZ150" s="64" t="s" ph="1">
        <v>411</v>
      </c>
    </row>
    <row r="151" spans="33:52" ph="1">
      <c r="AH151" s="64" ph="1">
        <v>12</v>
      </c>
      <c r="AI151" s="64" t="s" ph="1">
        <v>590</v>
      </c>
      <c r="AY151" s="64" t="s" ph="1">
        <v>260</v>
      </c>
      <c r="AZ151" s="64" t="s" ph="1">
        <v>411</v>
      </c>
    </row>
    <row r="152" spans="33:52" ph="1">
      <c r="AH152" s="64" ph="1">
        <v>13</v>
      </c>
      <c r="AI152" s="64" t="s" ph="1">
        <v>591</v>
      </c>
      <c r="AY152" s="64" t="s" ph="1">
        <v>260</v>
      </c>
      <c r="AZ152" s="64" t="s" ph="1">
        <v>411</v>
      </c>
    </row>
    <row r="153" spans="33:52" ph="1">
      <c r="AH153" s="64" ph="1">
        <v>14</v>
      </c>
      <c r="AI153" s="64" t="s" ph="1">
        <v>592</v>
      </c>
      <c r="AY153" s="64" t="s" ph="1">
        <v>260</v>
      </c>
      <c r="AZ153" s="64" t="s" ph="1">
        <v>411</v>
      </c>
    </row>
    <row r="154" spans="33:52" ph="1">
      <c r="AH154" s="64" ph="1">
        <v>15</v>
      </c>
      <c r="AI154" s="64" t="s" ph="1">
        <v>593</v>
      </c>
      <c r="AY154" s="64" t="s" ph="1">
        <v>260</v>
      </c>
      <c r="AZ154" s="64" t="s" ph="1">
        <v>411</v>
      </c>
    </row>
    <row r="155" spans="33:52" ph="1">
      <c r="AH155" s="64" ph="1">
        <v>16</v>
      </c>
      <c r="AI155" s="64" t="s" ph="1">
        <v>594</v>
      </c>
      <c r="AJ155" s="64" t="s" ph="1">
        <v>380</v>
      </c>
      <c r="AK155" s="64" t="s" ph="1">
        <v>275</v>
      </c>
      <c r="AM155" s="64" t="s" ph="1">
        <v>614</v>
      </c>
      <c r="AN155" s="64" t="s" ph="1">
        <v>326</v>
      </c>
      <c r="AO155" s="64" t="s" ph="1">
        <v>579</v>
      </c>
      <c r="AY155" s="64" t="s" ph="1">
        <v>260</v>
      </c>
      <c r="AZ155" s="64" t="s" ph="1">
        <v>267</v>
      </c>
    </row>
    <row r="156" spans="33:52" ph="1">
      <c r="AZ156" s="64" t="s" ph="1">
        <v>646</v>
      </c>
    </row>
    <row r="157" spans="33:52" ph="1">
      <c r="AG157" s="64" t="s" ph="1">
        <v>595</v>
      </c>
      <c r="AI157" s="64" t="s" ph="1">
        <v>253</v>
      </c>
      <c r="AJ157" s="64" t="s" ph="1">
        <v>254</v>
      </c>
      <c r="AK157" s="64" t="s" ph="1">
        <v>255</v>
      </c>
      <c r="AM157" s="64" t="s" ph="1">
        <v>254</v>
      </c>
      <c r="AN157" s="64" t="s" ph="1">
        <v>255</v>
      </c>
      <c r="AO157" s="64" t="s" ph="1">
        <v>256</v>
      </c>
      <c r="AP157" s="64" t="s" ph="1">
        <v>254</v>
      </c>
      <c r="AQ157" s="64" t="s" ph="1">
        <v>255</v>
      </c>
      <c r="AR157" s="64" t="s" ph="1">
        <v>256</v>
      </c>
      <c r="AS157" s="64" t="s" ph="1">
        <v>254</v>
      </c>
      <c r="AT157" s="64" t="s" ph="1">
        <v>255</v>
      </c>
      <c r="AU157" s="64" t="s" ph="1">
        <v>256</v>
      </c>
      <c r="AV157" s="64" t="s" ph="1">
        <v>254</v>
      </c>
      <c r="AW157" s="64" t="s" ph="1">
        <v>255</v>
      </c>
      <c r="AX157" s="64" t="s" ph="1">
        <v>256</v>
      </c>
      <c r="AY157" s="64" t="s" ph="1">
        <v>255</v>
      </c>
      <c r="AZ157" s="64" t="s" ph="1">
        <v>257</v>
      </c>
    </row>
    <row r="158" spans="33:52" ph="1">
      <c r="AH158" s="64" ph="1">
        <v>1</v>
      </c>
      <c r="AI158" s="64" t="s" ph="1">
        <v>596</v>
      </c>
      <c r="AY158" s="64" t="s" ph="1">
        <v>260</v>
      </c>
      <c r="AZ158" s="64" t="s" ph="1">
        <v>411</v>
      </c>
    </row>
    <row r="159" spans="33:52" ph="1">
      <c r="AH159" s="64" ph="1">
        <v>2</v>
      </c>
      <c r="AI159" s="64" t="s" ph="1">
        <v>597</v>
      </c>
      <c r="AY159" s="64" t="s" ph="1">
        <v>260</v>
      </c>
      <c r="AZ159" s="64" t="s" ph="1">
        <v>411</v>
      </c>
    </row>
    <row r="160" spans="33:52" ph="1">
      <c r="AZ160" s="64" t="s" ph="1">
        <v>429</v>
      </c>
    </row>
    <row r="161" spans="33:52" ph="1">
      <c r="AG161" s="64" t="s" ph="1">
        <v>405</v>
      </c>
      <c r="AI161" s="64" t="s" ph="1">
        <v>253</v>
      </c>
      <c r="AJ161" s="64" t="s" ph="1">
        <v>254</v>
      </c>
      <c r="AK161" s="64" t="s" ph="1">
        <v>255</v>
      </c>
      <c r="AM161" s="64" t="s" ph="1">
        <v>254</v>
      </c>
      <c r="AN161" s="64" t="s" ph="1">
        <v>255</v>
      </c>
      <c r="AO161" s="64" t="s" ph="1">
        <v>256</v>
      </c>
      <c r="AP161" s="64" t="s" ph="1">
        <v>254</v>
      </c>
      <c r="AQ161" s="64" t="s" ph="1">
        <v>255</v>
      </c>
      <c r="AR161" s="64" t="s" ph="1">
        <v>256</v>
      </c>
      <c r="AS161" s="64" t="s" ph="1">
        <v>254</v>
      </c>
      <c r="AT161" s="64" t="s" ph="1">
        <v>255</v>
      </c>
      <c r="AU161" s="64" t="s" ph="1">
        <v>256</v>
      </c>
      <c r="AV161" s="64" t="s" ph="1">
        <v>254</v>
      </c>
      <c r="AW161" s="64" t="s" ph="1">
        <v>255</v>
      </c>
      <c r="AX161" s="64" t="s" ph="1">
        <v>256</v>
      </c>
      <c r="AY161" s="64" t="s" ph="1">
        <v>255</v>
      </c>
      <c r="AZ161" s="64" t="s" ph="1">
        <v>257</v>
      </c>
    </row>
    <row r="162" spans="33:52" ph="1">
      <c r="AH162" s="64" ph="1">
        <v>1</v>
      </c>
      <c r="AI162" s="64" t="s" ph="1">
        <v>598</v>
      </c>
      <c r="AJ162" s="64" t="s" ph="1">
        <v>599</v>
      </c>
      <c r="AK162" s="64" t="s" ph="1">
        <v>543</v>
      </c>
      <c r="AM162" s="64" t="s" ph="1">
        <v>600</v>
      </c>
      <c r="AN162" s="64" t="s" ph="1">
        <v>264</v>
      </c>
      <c r="AO162" s="64" t="s" ph="1">
        <v>601</v>
      </c>
      <c r="AY162" s="64" t="s" ph="1">
        <v>260</v>
      </c>
      <c r="AZ162" s="64" t="s" ph="1">
        <v>336</v>
      </c>
    </row>
    <row r="163" spans="33:52" ph="1">
      <c r="AH163" s="64" ph="1">
        <v>2</v>
      </c>
      <c r="AI163" s="64" t="s" ph="1">
        <v>602</v>
      </c>
      <c r="AJ163" s="64" t="s" ph="1">
        <v>599</v>
      </c>
      <c r="AK163" s="64" t="s" ph="1">
        <v>432</v>
      </c>
      <c r="AY163" s="64" t="s" ph="1">
        <v>260</v>
      </c>
      <c r="AZ163" s="64" t="s" ph="1">
        <v>432</v>
      </c>
    </row>
    <row r="164" spans="33:52" ph="1">
      <c r="AH164" s="64" ph="1">
        <v>3</v>
      </c>
      <c r="AI164" s="64" t="s" ph="1">
        <v>603</v>
      </c>
      <c r="AJ164" s="64" t="s" ph="1">
        <v>599</v>
      </c>
      <c r="AK164" s="64" t="s" ph="1">
        <v>336</v>
      </c>
      <c r="AY164" s="64" t="s" ph="1">
        <v>260</v>
      </c>
      <c r="AZ164" s="64" t="s" ph="1">
        <v>336</v>
      </c>
    </row>
    <row r="165" spans="33:52" ph="1">
      <c r="AH165" s="64" ph="1">
        <v>4</v>
      </c>
      <c r="AI165" s="64" t="s" ph="1">
        <v>604</v>
      </c>
      <c r="AY165" s="64" t="s" ph="1">
        <v>260</v>
      </c>
      <c r="AZ165" s="64" t="s" ph="1">
        <v>411</v>
      </c>
    </row>
    <row r="166" spans="33:52" ph="1">
      <c r="AH166" s="64" ph="1">
        <v>5</v>
      </c>
      <c r="AI166" s="64" t="s" ph="1">
        <v>605</v>
      </c>
      <c r="AY166" s="64" t="s" ph="1">
        <v>260</v>
      </c>
      <c r="AZ166" s="64" t="s" ph="1">
        <v>411</v>
      </c>
    </row>
    <row r="167" spans="33:52" ph="1">
      <c r="AZ167" s="64" t="s" ph="1">
        <v>606</v>
      </c>
    </row>
    <row r="168" spans="33:52" ph="1">
      <c r="AG168" s="64" t="s" ph="1">
        <v>349</v>
      </c>
      <c r="AI168" s="64" t="s" ph="1">
        <v>253</v>
      </c>
      <c r="AJ168" s="64" t="s" ph="1">
        <v>254</v>
      </c>
      <c r="AK168" s="64" t="s" ph="1">
        <v>255</v>
      </c>
      <c r="AM168" s="64" t="s" ph="1">
        <v>254</v>
      </c>
      <c r="AN168" s="64" t="s" ph="1">
        <v>255</v>
      </c>
      <c r="AO168" s="64" t="s" ph="1">
        <v>256</v>
      </c>
      <c r="AP168" s="64" t="s" ph="1">
        <v>254</v>
      </c>
      <c r="AQ168" s="64" t="s" ph="1">
        <v>255</v>
      </c>
      <c r="AR168" s="64" t="s" ph="1">
        <v>256</v>
      </c>
      <c r="AS168" s="64" t="s" ph="1">
        <v>254</v>
      </c>
      <c r="AT168" s="64" t="s" ph="1">
        <v>255</v>
      </c>
      <c r="AU168" s="64" t="s" ph="1">
        <v>256</v>
      </c>
      <c r="AV168" s="64" t="s" ph="1">
        <v>254</v>
      </c>
      <c r="AW168" s="64" t="s" ph="1">
        <v>255</v>
      </c>
      <c r="AX168" s="64" t="s" ph="1">
        <v>256</v>
      </c>
      <c r="AY168" s="64" t="s" ph="1">
        <v>255</v>
      </c>
      <c r="AZ168" s="64" t="s" ph="1">
        <v>257</v>
      </c>
    </row>
    <row r="169" spans="33:52" ph="1">
      <c r="AH169" s="64" ph="1">
        <v>1</v>
      </c>
      <c r="AI169" s="64" t="s" ph="1">
        <v>607</v>
      </c>
      <c r="AY169" s="64" t="s" ph="1">
        <v>260</v>
      </c>
      <c r="AZ169" s="64" t="s" ph="1">
        <v>411</v>
      </c>
    </row>
    <row r="170" spans="33:52" ph="1">
      <c r="AH170" s="64" ph="1">
        <v>2</v>
      </c>
      <c r="AI170" s="64" t="s" ph="1">
        <v>608</v>
      </c>
      <c r="AY170" s="64" t="s" ph="1">
        <v>260</v>
      </c>
      <c r="AZ170" s="64" t="s" ph="1">
        <v>411</v>
      </c>
    </row>
    <row r="171" spans="33:52" ph="1">
      <c r="AH171" s="64" ph="1">
        <v>3</v>
      </c>
      <c r="AI171" s="64" t="s" ph="1">
        <v>609</v>
      </c>
      <c r="AY171" s="64" t="s" ph="1">
        <v>260</v>
      </c>
      <c r="AZ171" s="64" t="s" ph="1">
        <v>411</v>
      </c>
    </row>
    <row r="172" spans="33:52" ph="1">
      <c r="AH172" s="64" ph="1">
        <v>4</v>
      </c>
      <c r="AI172" s="64" t="s" ph="1">
        <v>610</v>
      </c>
      <c r="AY172" s="64" t="s" ph="1">
        <v>260</v>
      </c>
      <c r="AZ172" s="64" t="s" ph="1">
        <v>411</v>
      </c>
    </row>
    <row r="173" spans="33:52" ph="1">
      <c r="AH173" s="64" ph="1">
        <v>5</v>
      </c>
      <c r="AI173" s="64" t="s" ph="1">
        <v>611</v>
      </c>
      <c r="AY173" s="64" t="s" ph="1">
        <v>260</v>
      </c>
      <c r="AZ173" s="64" t="s" ph="1">
        <v>411</v>
      </c>
    </row>
    <row r="174" spans="33:52" ph="1">
      <c r="AZ174" s="64" t="s" ph="1">
        <v>429</v>
      </c>
    </row>
    <row r="175" spans="33:52" ph="1">
      <c r="AJ175" s="64" t="s" ph="1">
        <v>350</v>
      </c>
    </row>
    <row r="176" spans="33:52" ph="1">
      <c r="AJ176" s="64" t="s" ph="1">
        <v>351</v>
      </c>
      <c r="AK176" s="64" t="s" ph="1">
        <v>352</v>
      </c>
      <c r="AM176" s="64" t="s" ph="1">
        <v>353</v>
      </c>
      <c r="AO176" s="64" t="s" ph="1">
        <v>354</v>
      </c>
      <c r="AP176" s="64" t="s" ph="1">
        <v>355</v>
      </c>
      <c r="AQ176" s="64" t="s" ph="1">
        <v>345</v>
      </c>
      <c r="AR176" s="64" t="s" ph="1">
        <v>265</v>
      </c>
    </row>
    <row r="177" spans="36:56" ph="1">
      <c r="AJ177" s="64" t="s" ph="1">
        <v>647</v>
      </c>
      <c r="AK177" s="64" t="s" ph="1">
        <v>356</v>
      </c>
      <c r="AO177" s="64" t="s" ph="1">
        <v>356</v>
      </c>
      <c r="AP177" s="64" t="s" ph="1">
        <v>356</v>
      </c>
      <c r="AQ177" s="64" t="s" ph="1">
        <v>357</v>
      </c>
      <c r="AR177" s="64" t="s" ph="1">
        <v>358</v>
      </c>
    </row>
    <row r="179" spans="36:56" ph="1">
      <c r="AJ179" s="64" t="s" ph="1">
        <v>359</v>
      </c>
      <c r="AK179" s="64" t="s" ph="1">
        <v>360</v>
      </c>
      <c r="AM179" s="64" t="s" ph="1">
        <v>361</v>
      </c>
      <c r="AN179" s="64" t="s" ph="1">
        <v>337</v>
      </c>
      <c r="AO179" s="64" t="s" ph="1">
        <v>362</v>
      </c>
      <c r="AP179" s="64" t="s" ph="1">
        <v>341</v>
      </c>
      <c r="AQ179" s="64" t="s" ph="1">
        <v>363</v>
      </c>
      <c r="AR179" s="64" t="s" ph="1">
        <v>364</v>
      </c>
    </row>
    <row r="180" spans="36:56" ph="1">
      <c r="AJ180" s="64" t="s" ph="1">
        <v>356</v>
      </c>
      <c r="AK180" s="64" t="s" ph="1">
        <v>356</v>
      </c>
      <c r="AL180" s="64" ph="1">
        <v>116</v>
      </c>
      <c r="AM180" s="64" t="s" ph="1">
        <v>356</v>
      </c>
      <c r="AN180" s="64" t="s" ph="1">
        <v>365</v>
      </c>
      <c r="AO180" s="64" t="s" ph="1">
        <v>356</v>
      </c>
      <c r="AP180" s="64" t="s" ph="1">
        <v>366</v>
      </c>
      <c r="AQ180" s="64" t="s" ph="1">
        <v>367</v>
      </c>
      <c r="AR180" s="64" t="s" ph="1">
        <v>368</v>
      </c>
    </row>
    <row r="189" spans="36:56" ph="1">
      <c r="BD189" s="64" t="s" ph="1">
        <v>612</v>
      </c>
    </row>
    <row r="223" spans="18:18" ph="1">
      <c r="R223" s="138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365" priority="92">
      <formula>ABS(D$7-D$10)&gt;=1000</formula>
    </cfRule>
  </conditionalFormatting>
  <conditionalFormatting sqref="E4 E6:E11">
    <cfRule type="expression" dxfId="364" priority="91">
      <formula>ABS(E$7-E$10)&gt;=1000</formula>
    </cfRule>
  </conditionalFormatting>
  <conditionalFormatting sqref="F4:F11">
    <cfRule type="expression" dxfId="363" priority="90">
      <formula>ABS(F$7-F$10)&gt;=1000</formula>
    </cfRule>
  </conditionalFormatting>
  <conditionalFormatting sqref="G4:G11">
    <cfRule type="expression" dxfId="362" priority="89">
      <formula>ABS(G$7-G$10)&gt;=1000</formula>
    </cfRule>
  </conditionalFormatting>
  <conditionalFormatting sqref="H4:H11">
    <cfRule type="expression" dxfId="361" priority="88">
      <formula>ABS(H$7-H$10)&gt;=1000</formula>
    </cfRule>
  </conditionalFormatting>
  <conditionalFormatting sqref="I4:I11">
    <cfRule type="expression" dxfId="360" priority="87">
      <formula>ABS(I$7-I$10)&gt;=1000</formula>
    </cfRule>
  </conditionalFormatting>
  <conditionalFormatting sqref="J4:J11">
    <cfRule type="expression" dxfId="359" priority="86">
      <formula>ABS(J$7-J$10)&gt;=1000</formula>
    </cfRule>
  </conditionalFormatting>
  <conditionalFormatting sqref="K4:K11">
    <cfRule type="expression" dxfId="358" priority="85">
      <formula>ABS(K$7-K$10)&gt;=1000</formula>
    </cfRule>
  </conditionalFormatting>
  <conditionalFormatting sqref="L4:L11">
    <cfRule type="expression" dxfId="357" priority="84">
      <formula>ABS(L$7-L$10)&gt;=1000</formula>
    </cfRule>
  </conditionalFormatting>
  <conditionalFormatting sqref="M4:M11">
    <cfRule type="expression" dxfId="356" priority="83">
      <formula>ABS(M$7-M$10)&gt;=1000</formula>
    </cfRule>
  </conditionalFormatting>
  <conditionalFormatting sqref="N4:N11">
    <cfRule type="expression" dxfId="355" priority="82">
      <formula>ABS(N$7-N$10)&gt;=1000</formula>
    </cfRule>
  </conditionalFormatting>
  <conditionalFormatting sqref="O4:O11">
    <cfRule type="expression" dxfId="354" priority="81">
      <formula>ABS(O$7-O$10)&gt;=1000</formula>
    </cfRule>
  </conditionalFormatting>
  <conditionalFormatting sqref="P4:P11">
    <cfRule type="expression" dxfId="353" priority="80">
      <formula>ABS(P$7-P$10)&gt;=1000</formula>
    </cfRule>
  </conditionalFormatting>
  <conditionalFormatting sqref="Q4:Q11">
    <cfRule type="expression" dxfId="352" priority="79">
      <formula>ABS(Q$7-Q$10)&gt;=1000</formula>
    </cfRule>
  </conditionalFormatting>
  <conditionalFormatting sqref="R4:R11">
    <cfRule type="expression" dxfId="351" priority="78">
      <formula>ABS(R$7-R$10)&gt;=1000</formula>
    </cfRule>
  </conditionalFormatting>
  <conditionalFormatting sqref="S4:S11">
    <cfRule type="expression" dxfId="350" priority="77">
      <formula>ABS(S$7-S$10)&gt;=1000</formula>
    </cfRule>
  </conditionalFormatting>
  <conditionalFormatting sqref="T4:T9 T11">
    <cfRule type="expression" dxfId="349" priority="76">
      <formula>ABS(T$7-T$10)&gt;=1000</formula>
    </cfRule>
  </conditionalFormatting>
  <conditionalFormatting sqref="U4:U9 U11">
    <cfRule type="expression" dxfId="348" priority="75">
      <formula>ABS(U$7-U$10)&gt;=1000</formula>
    </cfRule>
  </conditionalFormatting>
  <conditionalFormatting sqref="V4:V9 V11">
    <cfRule type="expression" dxfId="347" priority="74">
      <formula>ABS(V$7-V$10)&gt;=1000</formula>
    </cfRule>
  </conditionalFormatting>
  <conditionalFormatting sqref="W4:W9 W11">
    <cfRule type="expression" dxfId="346" priority="73">
      <formula>ABS(W$7-W$10)&gt;=1000</formula>
    </cfRule>
  </conditionalFormatting>
  <conditionalFormatting sqref="X4:X9 X11">
    <cfRule type="expression" dxfId="345" priority="72">
      <formula>ABS(X$7-X$10)&gt;=1000</formula>
    </cfRule>
  </conditionalFormatting>
  <conditionalFormatting sqref="Y4:Y9 Y11">
    <cfRule type="expression" dxfId="344" priority="71">
      <formula>ABS(Y$7-Y$10)&gt;=1000</formula>
    </cfRule>
  </conditionalFormatting>
  <conditionalFormatting sqref="Z4:Z11">
    <cfRule type="expression" dxfId="343" priority="70">
      <formula>ABS(Z$7-Z$10)&gt;=1000</formula>
    </cfRule>
  </conditionalFormatting>
  <conditionalFormatting sqref="AA4:AA11">
    <cfRule type="expression" dxfId="342" priority="69">
      <formula>ABS(AA$7-AA$10)&gt;=1000</formula>
    </cfRule>
  </conditionalFormatting>
  <conditionalFormatting sqref="AB4:AB11">
    <cfRule type="expression" dxfId="341" priority="68">
      <formula>ABS(AB$7-AB$10)&gt;=1000</formula>
    </cfRule>
  </conditionalFormatting>
  <conditionalFormatting sqref="AC4 AC6:AC11">
    <cfRule type="expression" dxfId="340" priority="67">
      <formula>ABS(AC$7-AC$10)&gt;=1000</formula>
    </cfRule>
  </conditionalFormatting>
  <conditionalFormatting sqref="AD4:AD11">
    <cfRule type="expression" dxfId="339" priority="66">
      <formula>ABS(AD$7-AD$10)&gt;=1000</formula>
    </cfRule>
  </conditionalFormatting>
  <conditionalFormatting sqref="AE4:AE11">
    <cfRule type="expression" dxfId="338" priority="65">
      <formula>ABS(AE$7-AE$10)&gt;=1000</formula>
    </cfRule>
  </conditionalFormatting>
  <conditionalFormatting sqref="D13:D20">
    <cfRule type="expression" dxfId="337" priority="64">
      <formula>ABS(D$16-D$19)&gt;=1000</formula>
    </cfRule>
  </conditionalFormatting>
  <conditionalFormatting sqref="E13:E20">
    <cfRule type="expression" dxfId="336" priority="63">
      <formula>ABS(E$16-E$19)&gt;=1000</formula>
    </cfRule>
  </conditionalFormatting>
  <conditionalFormatting sqref="F13 F15:F20">
    <cfRule type="expression" dxfId="335" priority="62">
      <formula>ABS(F$16-F$19)&gt;=1000</formula>
    </cfRule>
  </conditionalFormatting>
  <conditionalFormatting sqref="G13:G20">
    <cfRule type="expression" dxfId="334" priority="61">
      <formula>ABS(G$16-G$19)&gt;=1000</formula>
    </cfRule>
  </conditionalFormatting>
  <conditionalFormatting sqref="H13:H20">
    <cfRule type="expression" dxfId="333" priority="60">
      <formula>ABS(H$16-H$19)&gt;=1000</formula>
    </cfRule>
  </conditionalFormatting>
  <conditionalFormatting sqref="I13:I20">
    <cfRule type="expression" dxfId="332" priority="59">
      <formula>ABS(I$16-I$19)&gt;=1000</formula>
    </cfRule>
  </conditionalFormatting>
  <conditionalFormatting sqref="J13:J20">
    <cfRule type="expression" dxfId="331" priority="58">
      <formula>ABS(J$16-J$19)&gt;=1000</formula>
    </cfRule>
  </conditionalFormatting>
  <conditionalFormatting sqref="L13:L20">
    <cfRule type="expression" dxfId="330" priority="57">
      <formula>ABS(L$16-L$19)&gt;=1000</formula>
    </cfRule>
  </conditionalFormatting>
  <conditionalFormatting sqref="M13 M15 M17:M18 M20">
    <cfRule type="expression" dxfId="329" priority="56">
      <formula>ABS(M$16-M$19)&gt;=1000</formula>
    </cfRule>
  </conditionalFormatting>
  <conditionalFormatting sqref="N13:N20">
    <cfRule type="expression" dxfId="328" priority="55">
      <formula>ABS(N$16-N$19)&gt;=1000</formula>
    </cfRule>
  </conditionalFormatting>
  <conditionalFormatting sqref="O13:O20">
    <cfRule type="expression" dxfId="327" priority="54">
      <formula>ABS(O$16-O$19)&gt;=1000</formula>
    </cfRule>
  </conditionalFormatting>
  <conditionalFormatting sqref="P13:P20">
    <cfRule type="expression" dxfId="326" priority="53">
      <formula>ABS(P$16-P$19)&gt;=1000</formula>
    </cfRule>
  </conditionalFormatting>
  <conditionalFormatting sqref="Q13 Q15:Q20">
    <cfRule type="expression" dxfId="325" priority="52">
      <formula>ABS(Q$16-Q$19)&gt;=1000</formula>
    </cfRule>
  </conditionalFormatting>
  <conditionalFormatting sqref="R13:R20">
    <cfRule type="expression" dxfId="324" priority="51">
      <formula>ABS(R$16-R$19)&gt;=1000</formula>
    </cfRule>
  </conditionalFormatting>
  <conditionalFormatting sqref="S13:S20">
    <cfRule type="expression" dxfId="323" priority="50">
      <formula>ABS(S$16-S$19)&gt;=1000</formula>
    </cfRule>
  </conditionalFormatting>
  <conditionalFormatting sqref="T13:T20">
    <cfRule type="expression" dxfId="322" priority="49">
      <formula>ABS(T$16-T$19)&gt;=1000</formula>
    </cfRule>
  </conditionalFormatting>
  <conditionalFormatting sqref="U13:U20">
    <cfRule type="expression" dxfId="321" priority="48">
      <formula>ABS(U$16-U$19)&gt;=1000</formula>
    </cfRule>
  </conditionalFormatting>
  <conditionalFormatting sqref="V13:V20">
    <cfRule type="expression" dxfId="320" priority="47">
      <formula>ABS(V$16-V$19)&gt;=1000</formula>
    </cfRule>
  </conditionalFormatting>
  <conditionalFormatting sqref="W13 W15:W18 W20">
    <cfRule type="expression" dxfId="319" priority="46">
      <formula>ABS(W$16-W$19)&gt;=1000</formula>
    </cfRule>
  </conditionalFormatting>
  <conditionalFormatting sqref="X13 X15:X20 Y19">
    <cfRule type="expression" dxfId="318" priority="45">
      <formula>ABS(X$16-X$19)&gt;=1000</formula>
    </cfRule>
  </conditionalFormatting>
  <conditionalFormatting sqref="Y13 Y15:Y18 Y20">
    <cfRule type="expression" dxfId="317" priority="44">
      <formula>ABS(Y$16-Y$19)&gt;=1000</formula>
    </cfRule>
  </conditionalFormatting>
  <conditionalFormatting sqref="Z13:Z20">
    <cfRule type="expression" dxfId="316" priority="43">
      <formula>ABS(Z$16-Z$19)&gt;=1000</formula>
    </cfRule>
  </conditionalFormatting>
  <conditionalFormatting sqref="AA13:AA20">
    <cfRule type="expression" dxfId="315" priority="42">
      <formula>ABS(AA$16-AA$19)&gt;=1000</formula>
    </cfRule>
  </conditionalFormatting>
  <conditionalFormatting sqref="AB13 AB15:AB20">
    <cfRule type="expression" dxfId="314" priority="41">
      <formula>ABS(AB$16-AB$19)&gt;=1000</formula>
    </cfRule>
  </conditionalFormatting>
  <conditionalFormatting sqref="AC13 AC15:AC20">
    <cfRule type="expression" dxfId="313" priority="40">
      <formula>ABS(AC$16-AC$19)&gt;=1000</formula>
    </cfRule>
  </conditionalFormatting>
  <conditionalFormatting sqref="AD13:AD20">
    <cfRule type="expression" dxfId="312" priority="39">
      <formula>ABS(AD$16-AD$19)&gt;=1000</formula>
    </cfRule>
  </conditionalFormatting>
  <conditionalFormatting sqref="AE13:AE20">
    <cfRule type="expression" dxfId="311" priority="38">
      <formula>ABS(AE$16-AE$19)&gt;=1000</formula>
    </cfRule>
  </conditionalFormatting>
  <conditionalFormatting sqref="D22:D29">
    <cfRule type="expression" dxfId="310" priority="37">
      <formula>ABS(D$25-D$28)&gt;=1000</formula>
    </cfRule>
  </conditionalFormatting>
  <conditionalFormatting sqref="E22:E29">
    <cfRule type="expression" dxfId="309" priority="36">
      <formula>ABS(E$25-E$28)&gt;=1000</formula>
    </cfRule>
  </conditionalFormatting>
  <conditionalFormatting sqref="F22:F29">
    <cfRule type="expression" dxfId="308" priority="35">
      <formula>ABS(F$25-F$28)&gt;=1000</formula>
    </cfRule>
  </conditionalFormatting>
  <conditionalFormatting sqref="G22:G29">
    <cfRule type="expression" dxfId="307" priority="34">
      <formula>ABS(G$25-G$28)&gt;=1000</formula>
    </cfRule>
  </conditionalFormatting>
  <conditionalFormatting sqref="H22:H29">
    <cfRule type="expression" dxfId="306" priority="33">
      <formula>ABS(H$25-H$28)&gt;=1000</formula>
    </cfRule>
  </conditionalFormatting>
  <conditionalFormatting sqref="I22 I24:I29">
    <cfRule type="expression" dxfId="305" priority="32">
      <formula>ABS(I$25-I$28)&gt;=1000</formula>
    </cfRule>
  </conditionalFormatting>
  <conditionalFormatting sqref="J22:J29 K22">
    <cfRule type="expression" dxfId="304" priority="31">
      <formula>ABS(J$25-J$28)&gt;=1000</formula>
    </cfRule>
  </conditionalFormatting>
  <conditionalFormatting sqref="K23:K29 L25 L28">
    <cfRule type="expression" dxfId="303" priority="30">
      <formula>ABS(K$25-K$28)&gt;=1000</formula>
    </cfRule>
  </conditionalFormatting>
  <conditionalFormatting sqref="L22:L24 L26:L27 L29">
    <cfRule type="expression" dxfId="302" priority="29">
      <formula>ABS(L$25-L$28)&gt;=1000</formula>
    </cfRule>
  </conditionalFormatting>
  <conditionalFormatting sqref="M22:M29">
    <cfRule type="expression" dxfId="301" priority="28">
      <formula>ABS(M$25-M$28)&gt;=1000</formula>
    </cfRule>
  </conditionalFormatting>
  <conditionalFormatting sqref="N22:N29">
    <cfRule type="expression" dxfId="300" priority="27">
      <formula>ABS(N$25-N$28)&gt;=1000</formula>
    </cfRule>
  </conditionalFormatting>
  <conditionalFormatting sqref="O22:O29">
    <cfRule type="expression" dxfId="299" priority="26">
      <formula>ABS(O$25-O$28)&gt;=1000</formula>
    </cfRule>
  </conditionalFormatting>
  <conditionalFormatting sqref="P22:P29">
    <cfRule type="expression" dxfId="298" priority="25">
      <formula>ABS(P$25-P$28)&gt;=1000</formula>
    </cfRule>
  </conditionalFormatting>
  <conditionalFormatting sqref="Q22:Q29">
    <cfRule type="expression" dxfId="297" priority="24">
      <formula>ABS(Q$25-Q$28)&gt;=1000</formula>
    </cfRule>
  </conditionalFormatting>
  <conditionalFormatting sqref="R22:R29">
    <cfRule type="expression" dxfId="296" priority="23">
      <formula>ABS(R$25-R$28)&gt;=1000</formula>
    </cfRule>
  </conditionalFormatting>
  <conditionalFormatting sqref="S22:S29">
    <cfRule type="expression" dxfId="295" priority="22">
      <formula>ABS(S$25-S$28)&gt;=1000</formula>
    </cfRule>
  </conditionalFormatting>
  <conditionalFormatting sqref="T22:T29">
    <cfRule type="expression" dxfId="294" priority="21">
      <formula>ABS(T$25-T$28)&gt;=1000</formula>
    </cfRule>
  </conditionalFormatting>
  <conditionalFormatting sqref="U22:U29">
    <cfRule type="expression" dxfId="293" priority="20">
      <formula>ABS(U$25-U$28)&gt;=1000</formula>
    </cfRule>
  </conditionalFormatting>
  <conditionalFormatting sqref="V22:V29">
    <cfRule type="expression" dxfId="292" priority="19">
      <formula>ABS(V$25-V$28)&gt;=1000</formula>
    </cfRule>
  </conditionalFormatting>
  <conditionalFormatting sqref="W22:W29">
    <cfRule type="expression" dxfId="291" priority="18">
      <formula>ABS(W$25-W$28)&gt;=1000</formula>
    </cfRule>
  </conditionalFormatting>
  <conditionalFormatting sqref="X22:X29">
    <cfRule type="expression" dxfId="290" priority="17">
      <formula>ABS(X$25-X$28)&gt;=1000</formula>
    </cfRule>
  </conditionalFormatting>
  <conditionalFormatting sqref="Y22:Y29">
    <cfRule type="expression" dxfId="289" priority="16">
      <formula>ABS(Y$25-Y$28)&gt;=1000</formula>
    </cfRule>
  </conditionalFormatting>
  <conditionalFormatting sqref="I23">
    <cfRule type="expression" dxfId="288" priority="15">
      <formula>ABS(I$25-I$28)&gt;=1000</formula>
    </cfRule>
  </conditionalFormatting>
  <conditionalFormatting sqref="F14">
    <cfRule type="expression" dxfId="287" priority="14">
      <formula>ABS(F$16-F$19)&gt;=1000</formula>
    </cfRule>
  </conditionalFormatting>
  <conditionalFormatting sqref="Q14">
    <cfRule type="expression" dxfId="286" priority="13">
      <formula>ABS(Q$16-Q$19)&gt;=1000</formula>
    </cfRule>
  </conditionalFormatting>
  <conditionalFormatting sqref="W14">
    <cfRule type="expression" dxfId="285" priority="12">
      <formula>ABS(W$16-W$19)&gt;=1000</formula>
    </cfRule>
  </conditionalFormatting>
  <conditionalFormatting sqref="Y14">
    <cfRule type="expression" dxfId="284" priority="11">
      <formula>ABS(Y$16-Y$19)&gt;=1000</formula>
    </cfRule>
  </conditionalFormatting>
  <conditionalFormatting sqref="X14">
    <cfRule type="expression" dxfId="283" priority="10">
      <formula>ABS(X$16-X$19)&gt;=1000</formula>
    </cfRule>
  </conditionalFormatting>
  <conditionalFormatting sqref="T10:Y10">
    <cfRule type="expression" dxfId="282" priority="9">
      <formula>ABS(T$7-T$10)&gt;=1000</formula>
    </cfRule>
  </conditionalFormatting>
  <conditionalFormatting sqref="W19">
    <cfRule type="expression" dxfId="281" priority="8">
      <formula>ABS(W$16-W$19)&gt;=1000</formula>
    </cfRule>
  </conditionalFormatting>
  <conditionalFormatting sqref="AC5">
    <cfRule type="expression" dxfId="280" priority="7">
      <formula>ABS(AC$7-AC$10)&gt;=1000</formula>
    </cfRule>
  </conditionalFormatting>
  <conditionalFormatting sqref="M14">
    <cfRule type="expression" dxfId="279" priority="6">
      <formula>ABS(M$16-M$19)&gt;=1000</formula>
    </cfRule>
  </conditionalFormatting>
  <conditionalFormatting sqref="M16">
    <cfRule type="expression" dxfId="278" priority="5">
      <formula>ABS(M$16-M$19)&gt;=1000</formula>
    </cfRule>
  </conditionalFormatting>
  <conditionalFormatting sqref="M19">
    <cfRule type="expression" dxfId="277" priority="4">
      <formula>ABS(M$16-M$19)&gt;=1000</formula>
    </cfRule>
  </conditionalFormatting>
  <conditionalFormatting sqref="K13:K20">
    <cfRule type="expression" dxfId="276" priority="3">
      <formula>ABS(K$16-K$19)&gt;=1000</formula>
    </cfRule>
  </conditionalFormatting>
  <conditionalFormatting sqref="E5">
    <cfRule type="expression" dxfId="275" priority="2">
      <formula>ABS(E$7-E$10)&gt;=1000</formula>
    </cfRule>
  </conditionalFormatting>
  <conditionalFormatting sqref="AB14:AC14">
    <cfRule type="expression" dxfId="274" priority="1">
      <formula>ABS(AB$16-AB$19)&gt;=1000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772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62">
    <pageSetUpPr fitToPage="1"/>
  </sheetPr>
  <dimension ref="A1:CU223"/>
  <sheetViews>
    <sheetView view="pageBreakPreview" topLeftCell="A13" zoomScale="70" zoomScaleNormal="100" zoomScaleSheetLayoutView="70" workbookViewId="0">
      <selection activeCell="Z23" sqref="Z23:AE29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36" t="s" ph="1">
        <v>195</v>
      </c>
      <c r="C1" s="236" ph="1"/>
      <c r="D1" s="236" ph="1"/>
      <c r="E1" s="236" ph="1"/>
      <c r="F1" s="236" ph="1"/>
      <c r="G1" s="236" ph="1"/>
      <c r="H1" s="236" ph="1"/>
      <c r="I1" s="236" ph="1"/>
      <c r="J1" s="236" ph="1"/>
      <c r="K1" s="236" ph="1"/>
      <c r="L1" s="236" ph="1"/>
      <c r="M1" s="236" ph="1"/>
      <c r="N1" s="236" ph="1"/>
      <c r="O1" s="236" ph="1"/>
      <c r="P1" s="236" ph="1"/>
      <c r="Q1" s="236" ph="1"/>
      <c r="R1" s="236" ph="1"/>
      <c r="S1" s="236" ph="1"/>
      <c r="T1" s="236" ph="1"/>
      <c r="U1" s="236" ph="1"/>
      <c r="V1" s="236" ph="1"/>
      <c r="W1" s="236" ph="1"/>
      <c r="X1" s="236" ph="1"/>
      <c r="Y1" s="236" ph="1"/>
      <c r="Z1" s="236" ph="1"/>
      <c r="AA1" s="236" ph="1"/>
      <c r="AB1" s="236" ph="1"/>
      <c r="AC1" s="236" ph="1"/>
      <c r="AD1" s="236" ph="1"/>
      <c r="AE1" s="236" ph="1"/>
    </row>
    <row r="2" spans="1:99" s="66" customFormat="1" ht="24" customHeight="1" ph="1">
      <c r="B2" s="237" t="s" ph="1">
        <v>99</v>
      </c>
      <c r="C2" s="237" ph="1"/>
      <c r="D2" s="237" ph="1"/>
      <c r="E2" s="237" ph="1"/>
      <c r="F2" s="237" ph="1"/>
      <c r="G2" s="237" ph="1"/>
      <c r="H2" s="237" ph="1"/>
      <c r="I2" s="237" ph="1"/>
      <c r="J2" s="237" ph="1"/>
      <c r="K2" s="237" ph="1"/>
      <c r="L2" s="237" ph="1"/>
      <c r="M2" s="237" ph="1"/>
      <c r="N2" s="237" ph="1"/>
      <c r="O2" s="237" ph="1"/>
      <c r="P2" s="237" ph="1"/>
      <c r="Q2" s="237" ph="1"/>
      <c r="R2" s="237" ph="1"/>
      <c r="S2" s="237" ph="1"/>
      <c r="T2" s="237" ph="1"/>
      <c r="U2" s="237" ph="1"/>
      <c r="V2" s="237" ph="1"/>
      <c r="W2" s="237" ph="1"/>
      <c r="X2" s="237" ph="1"/>
      <c r="Y2" s="237" ph="1"/>
      <c r="Z2" s="237" ph="1"/>
      <c r="AA2" s="237" ph="1"/>
      <c r="AB2" s="237" ph="1"/>
      <c r="AC2" s="237" ph="1"/>
      <c r="AD2" s="237" ph="1"/>
      <c r="AE2" s="237" ph="1"/>
    </row>
    <row r="3" spans="1:99" ht="21" customHeight="1" ph="1">
      <c r="B3" s="238" ph="1">
        <v>45680</v>
      </c>
      <c r="C3" s="238"/>
      <c r="D3" s="238"/>
      <c r="E3" s="238"/>
      <c r="F3" s="238"/>
      <c r="G3" s="238"/>
      <c r="H3" s="238"/>
      <c r="I3" s="238"/>
      <c r="J3" s="238"/>
      <c r="K3" s="238"/>
      <c r="L3" s="238"/>
      <c r="M3" s="238"/>
      <c r="N3" s="238"/>
      <c r="O3" s="238"/>
      <c r="P3" s="238"/>
      <c r="Q3" s="238"/>
      <c r="R3" s="238"/>
      <c r="S3" s="238"/>
      <c r="T3" s="238"/>
      <c r="U3" s="238"/>
      <c r="V3" s="238"/>
      <c r="W3" s="238"/>
      <c r="X3" s="238"/>
      <c r="Y3" s="238"/>
      <c r="Z3" s="238"/>
      <c r="AA3" s="238"/>
      <c r="AB3" s="238"/>
      <c r="AC3" s="238"/>
      <c r="AD3" s="238"/>
      <c r="AE3" s="238"/>
    </row>
    <row r="4" spans="1:99" s="69" customFormat="1" ph="1">
      <c r="A4" s="65" ph="1"/>
      <c r="B4" s="217" t="s" ph="1">
        <v>37</v>
      </c>
      <c r="C4" s="67" t="s" ph="1">
        <v>210</v>
      </c>
      <c r="D4" s="68" t="s" ph="1">
        <v>45</v>
      </c>
      <c r="E4" s="68" t="s" ph="1">
        <v>46</v>
      </c>
      <c r="F4" s="68" t="s" ph="1">
        <v>39</v>
      </c>
      <c r="G4" s="68" t="s" ph="1">
        <v>47</v>
      </c>
      <c r="H4" s="68" t="s" ph="1">
        <v>48</v>
      </c>
      <c r="I4" s="68" t="s" ph="1">
        <v>133</v>
      </c>
      <c r="J4" s="68" t="s" ph="1">
        <v>49</v>
      </c>
      <c r="K4" s="68" t="s" ph="1">
        <v>134</v>
      </c>
      <c r="L4" s="68" t="s" ph="1">
        <v>135</v>
      </c>
      <c r="M4" s="68" t="s" ph="1">
        <v>50</v>
      </c>
      <c r="N4" s="68" t="s" ph="1">
        <v>51</v>
      </c>
      <c r="O4" s="68" t="s" ph="1">
        <v>137</v>
      </c>
      <c r="P4" s="68" t="s" ph="1">
        <v>139</v>
      </c>
      <c r="Q4" s="68" t="s" ph="1">
        <v>140</v>
      </c>
      <c r="R4" s="68" t="s" ph="1">
        <v>141</v>
      </c>
      <c r="S4" s="68" t="s" ph="1">
        <v>142</v>
      </c>
      <c r="T4" s="68" t="s" ph="1">
        <v>143</v>
      </c>
      <c r="U4" s="68" t="s" ph="1">
        <v>144</v>
      </c>
      <c r="V4" s="68" t="s" ph="1">
        <v>145</v>
      </c>
      <c r="W4" s="68" t="s" ph="1">
        <v>146</v>
      </c>
      <c r="X4" s="68" t="s" ph="1">
        <v>147</v>
      </c>
      <c r="Y4" s="68" t="s" ph="1">
        <v>148</v>
      </c>
      <c r="Z4" s="68" t="s" ph="1">
        <v>52</v>
      </c>
      <c r="AA4" s="68" t="s" ph="1">
        <v>149</v>
      </c>
      <c r="AB4" s="68" t="s" ph="1">
        <v>150</v>
      </c>
      <c r="AC4" s="68" t="s" ph="1">
        <v>151</v>
      </c>
      <c r="AD4" s="68" t="s" ph="1">
        <v>40</v>
      </c>
      <c r="AE4" s="68" t="s" ph="1">
        <v>152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7" ph="1"/>
      <c r="C5" s="67" t="s" ph="1">
        <v>36</v>
      </c>
      <c r="D5" s="70" t="s" ph="1">
        <v>194</v>
      </c>
      <c r="E5" s="70" t="s" ph="1">
        <v>55</v>
      </c>
      <c r="F5" s="70" t="s" ph="1">
        <v>130</v>
      </c>
      <c r="G5" s="70" t="s" ph="1">
        <v>56</v>
      </c>
      <c r="H5" s="70" t="s" ph="1">
        <v>56</v>
      </c>
      <c r="I5" s="70" t="s" ph="1">
        <v>57</v>
      </c>
      <c r="J5" s="70" t="s" ph="1">
        <v>58</v>
      </c>
      <c r="K5" s="70" t="s" ph="1">
        <v>59</v>
      </c>
      <c r="L5" s="70" t="s" ph="1">
        <v>136</v>
      </c>
      <c r="M5" s="70" t="s" ph="1">
        <v>60</v>
      </c>
      <c r="N5" s="70" t="s" ph="1">
        <v>61</v>
      </c>
      <c r="O5" s="70" t="s" ph="1">
        <v>138</v>
      </c>
      <c r="P5" s="70" t="s" ph="1">
        <v>88</v>
      </c>
      <c r="Q5" s="70" t="s" ph="1">
        <v>96</v>
      </c>
      <c r="R5" s="70" t="s" ph="1">
        <v>96</v>
      </c>
      <c r="S5" s="70" t="s" ph="1">
        <v>96</v>
      </c>
      <c r="T5" s="70" t="s" ph="1">
        <v>96</v>
      </c>
      <c r="U5" s="70" t="s" ph="1">
        <v>96</v>
      </c>
      <c r="V5" s="70" t="s" ph="1">
        <v>96</v>
      </c>
      <c r="W5" s="70" t="s" ph="1">
        <v>96</v>
      </c>
      <c r="X5" s="70" t="s" ph="1">
        <v>96</v>
      </c>
      <c r="Y5" s="70" t="s" ph="1">
        <v>96</v>
      </c>
      <c r="Z5" s="70" t="s" ph="1">
        <v>95</v>
      </c>
      <c r="AA5" s="70" t="s" ph="1">
        <v>62</v>
      </c>
      <c r="AB5" s="70" t="s" ph="1">
        <v>62</v>
      </c>
      <c r="AC5" s="70" t="s" ph="1">
        <v>222</v>
      </c>
      <c r="AD5" s="70" t="s" ph="1">
        <v>83</v>
      </c>
      <c r="AE5" s="70" t="s" ph="1">
        <v>661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5" ph="1">
        <v>0.33333333333333331</v>
      </c>
      <c r="C6" s="157" t="s" ph="1">
        <v>211</v>
      </c>
      <c r="D6" s="71">
        <v>4099</v>
      </c>
      <c r="E6" s="71">
        <v>0</v>
      </c>
      <c r="F6" s="71">
        <v>5546</v>
      </c>
      <c r="G6" s="71">
        <v>8884</v>
      </c>
      <c r="H6" s="71">
        <v>4433</v>
      </c>
      <c r="I6" s="71">
        <v>39.119999999999997</v>
      </c>
      <c r="J6" s="71">
        <v>79.98</v>
      </c>
      <c r="K6" s="71">
        <v>82.02</v>
      </c>
      <c r="L6" s="71">
        <v>43.46</v>
      </c>
      <c r="M6" s="71">
        <v>5197</v>
      </c>
      <c r="N6" s="71">
        <v>5235</v>
      </c>
      <c r="O6" s="71">
        <v>4126</v>
      </c>
      <c r="P6" s="71">
        <v>6089</v>
      </c>
      <c r="Q6" s="71">
        <v>0</v>
      </c>
      <c r="R6" s="71">
        <v>0</v>
      </c>
      <c r="S6" s="71">
        <v>2553</v>
      </c>
      <c r="T6" s="71">
        <v>5187</v>
      </c>
      <c r="U6" s="71">
        <v>6298</v>
      </c>
      <c r="V6" s="71">
        <v>2611</v>
      </c>
      <c r="W6" s="71">
        <v>0</v>
      </c>
      <c r="X6" s="71">
        <v>0</v>
      </c>
      <c r="Y6" s="71">
        <v>1000</v>
      </c>
      <c r="Z6" s="71">
        <v>4701</v>
      </c>
      <c r="AA6" s="71">
        <v>1716</v>
      </c>
      <c r="AB6" s="71">
        <v>3577</v>
      </c>
      <c r="AC6" s="71">
        <v>7332</v>
      </c>
      <c r="AD6" s="71">
        <v>211</v>
      </c>
      <c r="AE6" s="71">
        <v>3024</v>
      </c>
    </row>
    <row r="7" spans="1:99" s="72" customFormat="1" ht="22.5" ph="1">
      <c r="B7" s="235" ph="1"/>
      <c r="C7" s="68" t="s" ph="1">
        <v>212</v>
      </c>
      <c r="D7" s="73" ph="1">
        <f>D6*33.183*LOOKUP(D8,密度!$A$2:$A$50,密度!$Q$2:$Q$50)</f>
        <v>129705.9227712</v>
      </c>
      <c r="E7" s="73" ph="1">
        <f>E6*51.53*LOOKUP(E8,密度!$A$2:$A$50,密度!$I$2:$I$50)</f>
        <v>0</v>
      </c>
      <c r="F7" s="73" ph="1">
        <f>F6*33.183*LOOKUP(F8,密度!$A$2:$A$50,密度!$C$2:$C$50)</f>
        <v>204994.2673602</v>
      </c>
      <c r="G7" s="73" ph="1">
        <f xml:space="preserve"> (G6+2)*51.53*LOOKUP(G8,密度!$A$2:$A$50,密度!$B$2:$B$50)</f>
        <v>360455.40057600004</v>
      </c>
      <c r="H7" s="73" ph="1">
        <f>(H6)*51.53*LOOKUP(H8,密度!$A$2:$A$50,密度!$B$2:$B$50)</f>
        <v>180987.061827</v>
      </c>
      <c r="I7" s="73" ph="1">
        <f>I6*290.8*1.0267</f>
        <v>11679.837763199999</v>
      </c>
      <c r="J7" s="73" ph="1">
        <f>J6*290.8*0.7892</f>
        <v>18355.358812800001</v>
      </c>
      <c r="K7" s="73" ph="1">
        <f>K6*290.8*1.1126</f>
        <v>26537.0854416</v>
      </c>
      <c r="L7" s="73" ph="1">
        <f>L6*290.8*0.777</f>
        <v>9819.8565360000011</v>
      </c>
      <c r="M7" s="73" ph="1">
        <f>M6*33.183*LOOKUP(M8,密度!$A$2:$A$50,密度!$D$2:$D$50)</f>
        <v>178591.34401560001</v>
      </c>
      <c r="N7" s="73" ph="1">
        <f>N6*33.183*LOOKUP(N8,密度!$A$2:$A$50,密度!$E$2:$E$50)</f>
        <v>137858.64076800001</v>
      </c>
      <c r="O7" s="73" ph="1">
        <f>O6*20.428*LOOKUP(O8,密度!$A$2:$A$50,密度!$C$2:$C$50)</f>
        <v>93650.094600800003</v>
      </c>
      <c r="P7" s="73" ph="1">
        <f>P6*51.53*LOOKUP(P8,密度!$A$2:$A$50,密度!$B$2:$B$50)</f>
        <v>246996.729024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17179.9212816</v>
      </c>
      <c r="T7" s="73" ph="1">
        <f>T6*1.5*1.5*3.1416*LOOKUP(T8,密度!$A$2:$A$50,密度!$L$2:$L$50)</f>
        <v>34831.586789999994</v>
      </c>
      <c r="U7" s="73" ph="1">
        <f>U6*1.5*1.5*3.1416*LOOKUP(U8,密度!$A$2:$A$50,密度!$L$2:$L$50)</f>
        <v>42069.550446000001</v>
      </c>
      <c r="V7" s="73" ph="1">
        <f>V6*1.5*1.5*3.1416*LOOKUP(V8,密度!$A$2:$A$50,密度!$L$2:$L$50)</f>
        <v>17330.291609399999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6693.9641999999994</v>
      </c>
      <c r="Z7" s="73" ph="1">
        <f>Z6*33.183*LOOKUP(Z8,密度!$A$2:$A$50,密度!$L$2:$L$50)</f>
        <v>147257.65915199998</v>
      </c>
      <c r="AA7" s="73" ph="1">
        <f>AA6*33.183*LOOKUP(AA8,密度!$A$2:$A$50,密度!$D$2:$D$50)</f>
        <v>58923.610574399994</v>
      </c>
      <c r="AB7" s="73" ph="1">
        <f>AB6*20.428*LOOKUP(AB8,密度!$A$2:$A$50,密度!$D$2:$D$50)</f>
        <v>76256.849681600012</v>
      </c>
      <c r="AC7" s="73" ph="1">
        <f>AC6*51.53*LOOKUP(AC8,密度!$A$2:$A$50,密度!$Q$2:$Q$50)</f>
        <v>360642.35553840006</v>
      </c>
      <c r="AD7" s="73" ph="1">
        <f>AD6*20.428*LOOKUP(AD8,密度!$A$2:$A$50,密度!$V$2:$V$50)</f>
        <v>4155.1369119999999</v>
      </c>
      <c r="AE7" s="73" ph="1">
        <f>AE6*20.428</f>
        <v>61774.272000000004</v>
      </c>
    </row>
    <row r="8" spans="1:99" ph="1">
      <c r="B8" s="235" ph="1"/>
      <c r="C8" s="68" t="s" ph="1">
        <v>213</v>
      </c>
      <c r="D8" s="74">
        <v>16</v>
      </c>
      <c r="E8" s="74">
        <v>15</v>
      </c>
      <c r="F8" s="74">
        <v>18</v>
      </c>
      <c r="G8" s="74">
        <v>16</v>
      </c>
      <c r="H8" s="74">
        <v>10</v>
      </c>
      <c r="I8" s="74">
        <v>25</v>
      </c>
      <c r="J8" s="74">
        <v>25</v>
      </c>
      <c r="K8" s="74">
        <v>25</v>
      </c>
      <c r="L8" s="74">
        <v>25</v>
      </c>
      <c r="M8" s="74">
        <v>15</v>
      </c>
      <c r="N8" s="74">
        <v>16</v>
      </c>
      <c r="O8" s="74">
        <v>22</v>
      </c>
      <c r="P8" s="74">
        <v>16</v>
      </c>
      <c r="Q8" s="74">
        <v>14</v>
      </c>
      <c r="R8" s="74">
        <v>22</v>
      </c>
      <c r="S8" s="74">
        <v>10</v>
      </c>
      <c r="T8" s="74">
        <v>12</v>
      </c>
      <c r="U8" s="74">
        <v>17</v>
      </c>
      <c r="V8" s="74">
        <v>23</v>
      </c>
      <c r="W8" s="74">
        <v>16</v>
      </c>
      <c r="X8" s="74">
        <v>7</v>
      </c>
      <c r="Y8" s="74">
        <v>15</v>
      </c>
      <c r="Z8" s="74">
        <v>18</v>
      </c>
      <c r="AA8" s="74">
        <v>16</v>
      </c>
      <c r="AB8" s="74">
        <v>6</v>
      </c>
      <c r="AC8" s="74">
        <v>13</v>
      </c>
      <c r="AD8" s="74">
        <v>14</v>
      </c>
      <c r="AE8" s="74">
        <v>24</v>
      </c>
    </row>
    <row r="9" spans="1:99" ph="1">
      <c r="B9" s="235" ph="1">
        <v>0.66666666666666663</v>
      </c>
      <c r="C9" s="157" t="s" ph="1">
        <v>214</v>
      </c>
      <c r="D9" s="71">
        <v>4099</v>
      </c>
      <c r="E9" s="71">
        <v>0</v>
      </c>
      <c r="F9" s="71">
        <v>6364</v>
      </c>
      <c r="G9" s="71">
        <v>8884</v>
      </c>
      <c r="H9" s="71">
        <v>4140</v>
      </c>
      <c r="I9" s="71">
        <v>39.119999999999997</v>
      </c>
      <c r="J9" s="71">
        <v>80.13</v>
      </c>
      <c r="K9" s="71">
        <v>82.15</v>
      </c>
      <c r="L9" s="71">
        <v>33.81</v>
      </c>
      <c r="M9" s="71">
        <v>4993</v>
      </c>
      <c r="N9" s="71">
        <v>5238</v>
      </c>
      <c r="O9" s="71">
        <v>4126</v>
      </c>
      <c r="P9" s="71">
        <v>5969</v>
      </c>
      <c r="Q9" s="71">
        <v>0</v>
      </c>
      <c r="R9" s="71">
        <v>0</v>
      </c>
      <c r="S9" s="71">
        <v>0</v>
      </c>
      <c r="T9" s="71">
        <v>4229</v>
      </c>
      <c r="U9" s="71">
        <v>6298</v>
      </c>
      <c r="V9" s="71">
        <v>5700</v>
      </c>
      <c r="W9" s="71">
        <v>0</v>
      </c>
      <c r="X9" s="71">
        <v>0</v>
      </c>
      <c r="Y9" s="71">
        <v>1000</v>
      </c>
      <c r="Z9" s="71">
        <v>4494</v>
      </c>
      <c r="AA9" s="71">
        <v>1713</v>
      </c>
      <c r="AB9" s="71">
        <v>3536</v>
      </c>
      <c r="AC9" s="71">
        <v>7330</v>
      </c>
      <c r="AD9" s="71">
        <v>254</v>
      </c>
      <c r="AE9" s="71">
        <v>3173</v>
      </c>
    </row>
    <row r="10" spans="1:99" s="72" customFormat="1" ht="22.5" ph="1">
      <c r="B10" s="235" ph="1"/>
      <c r="C10" s="157" t="s" ph="1">
        <v>212</v>
      </c>
      <c r="D10" s="73" ph="1">
        <f>D9*33.183*LOOKUP(D11,密度!$A$2:$A$50,密度!$Q$2:$Q$50)</f>
        <v>129597.10907759999</v>
      </c>
      <c r="E10" s="73" ph="1">
        <f>E9*51.53*LOOKUP(E11,密度!$A$2:$A$50,密度!$I$2:$I$50)</f>
        <v>0</v>
      </c>
      <c r="F10" s="73" ph="1">
        <f>F9*33.183*LOOKUP(F11,密度!$A$2:$A$50,密度!$C$2:$C$50)</f>
        <v>235081.80447839998</v>
      </c>
      <c r="G10" s="73" ph="1">
        <f xml:space="preserve"> (G9+2)*51.53*LOOKUP(G11,密度!$A$2:$A$50,密度!$B$2:$B$50)</f>
        <v>360089.08411200001</v>
      </c>
      <c r="H10" s="73" ph="1">
        <f>(H9)*51.53*LOOKUP(H11,密度!$A$2:$A$50,密度!$B$2:$B$50)</f>
        <v>168470.01774000001</v>
      </c>
      <c r="I10" s="73" ph="1">
        <f>I9*290.8*1.0267</f>
        <v>11679.837763199999</v>
      </c>
      <c r="J10" s="73" ph="1">
        <f>J9*290.8*0.7892</f>
        <v>18389.783716800001</v>
      </c>
      <c r="K10" s="73" ph="1">
        <f>K9*290.8*1.1126</f>
        <v>26579.146172000001</v>
      </c>
      <c r="L10" s="73" ph="1">
        <f>L9*290.8*0.777</f>
        <v>7639.4235960000005</v>
      </c>
      <c r="M10" s="73" ph="1">
        <f>M9*33.183*LOOKUP(M11,密度!$A$2:$A$50,密度!$D$2:$D$50)</f>
        <v>171166.8169989</v>
      </c>
      <c r="N10" s="73" ph="1">
        <f>N9*33.183*LOOKUP(N11,密度!$A$2:$A$50,密度!$E$2:$E$50)</f>
        <v>137746.44904499999</v>
      </c>
      <c r="O10" s="73" ph="1">
        <f>O9*20.428*LOOKUP(O11,密度!$A$2:$A$50,密度!$C$2:$C$50)</f>
        <v>93591.094451199999</v>
      </c>
      <c r="P10" s="73" ph="1">
        <f>P9*51.53*LOOKUP(P11,密度!$A$2:$A$50,密度!$B$2:$B$50)</f>
        <v>241175.49313700001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28338.6677112</v>
      </c>
      <c r="U10" s="73" ph="1">
        <f>U9*1.5*1.5*3.1416*LOOKUP(U11,密度!$A$2:$A$50,密度!$L$2:$L$50)</f>
        <v>42069.550446000001</v>
      </c>
      <c r="V10" s="73" ph="1">
        <f>V9*1.5*1.5*3.1416*LOOKUP(V11,密度!$A$2:$A$50,密度!$L$2:$L$50)</f>
        <v>37792.976759999998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6665.6897999999992</v>
      </c>
      <c r="Z10" s="73" ph="1">
        <f>Z9*33.183*LOOKUP(Z11,密度!$A$2:$A$50,密度!$L$2:$L$50)</f>
        <v>140624.311086</v>
      </c>
      <c r="AA10" s="73" ph="1">
        <f>AA9*33.183*LOOKUP(AA11,密度!$A$2:$A$50,密度!$D$2:$D$50)</f>
        <v>58672.806823799998</v>
      </c>
      <c r="AB10" s="73" ph="1">
        <f>AB9*20.428*LOOKUP(AB11,密度!$A$2:$A$50,密度!$D$2:$D$50)</f>
        <v>75317.774521599989</v>
      </c>
      <c r="AC10" s="73" ph="1">
        <f>AC9*51.53*LOOKUP(AC11,密度!$A$2:$A$50,密度!$Q$2:$Q$50)</f>
        <v>360188.92864</v>
      </c>
      <c r="AD10" s="73" ph="1">
        <f>AD9*20.428*LOOKUP(AD11,密度!$A$2:$A$50,密度!$V$2:$V$50)</f>
        <v>5001.9183680000006</v>
      </c>
      <c r="AE10" s="73" ph="1">
        <f>AE9*20.428</f>
        <v>64818.044000000002</v>
      </c>
    </row>
    <row r="11" spans="1:99" ph="1">
      <c r="A11" s="64" t="s" ph="1">
        <v>196</v>
      </c>
      <c r="B11" s="235" ph="1"/>
      <c r="C11" s="157" t="s" ph="1">
        <v>213</v>
      </c>
      <c r="D11" s="74">
        <v>17</v>
      </c>
      <c r="E11" s="74">
        <v>17</v>
      </c>
      <c r="F11" s="74">
        <v>19</v>
      </c>
      <c r="G11" s="74">
        <v>17</v>
      </c>
      <c r="H11" s="74">
        <v>13</v>
      </c>
      <c r="I11" s="74">
        <v>25</v>
      </c>
      <c r="J11" s="74">
        <v>25</v>
      </c>
      <c r="K11" s="74">
        <v>25</v>
      </c>
      <c r="L11" s="74">
        <v>25</v>
      </c>
      <c r="M11" s="74">
        <v>18</v>
      </c>
      <c r="N11" s="74">
        <v>17</v>
      </c>
      <c r="O11" s="74">
        <v>23</v>
      </c>
      <c r="P11" s="74">
        <v>20</v>
      </c>
      <c r="Q11" s="74">
        <v>25</v>
      </c>
      <c r="R11" s="74">
        <v>25</v>
      </c>
      <c r="S11" s="74">
        <v>13</v>
      </c>
      <c r="T11" s="74">
        <v>14</v>
      </c>
      <c r="U11" s="74">
        <v>17</v>
      </c>
      <c r="V11" s="74">
        <v>24</v>
      </c>
      <c r="W11" s="74">
        <v>30</v>
      </c>
      <c r="X11" s="74">
        <v>16</v>
      </c>
      <c r="Y11" s="74">
        <v>19</v>
      </c>
      <c r="Z11" s="74">
        <v>19</v>
      </c>
      <c r="AA11" s="74">
        <v>19</v>
      </c>
      <c r="AB11" s="74">
        <v>7</v>
      </c>
      <c r="AC11" s="74">
        <v>16</v>
      </c>
      <c r="AD11" s="74">
        <v>18</v>
      </c>
      <c r="AE11" s="74">
        <v>28</v>
      </c>
    </row>
    <row r="12" spans="1:99" ht="9.9499999999999993" customHeight="1" ph="1"/>
    <row r="13" spans="1:99" s="72" customFormat="1" ht="29.25" customHeight="1" ph="1">
      <c r="B13" s="212" t="s" ph="1">
        <v>37</v>
      </c>
      <c r="C13" s="157" t="s" ph="1">
        <v>210</v>
      </c>
      <c r="D13" s="76" t="s" ph="1">
        <v>53</v>
      </c>
      <c r="E13" s="76" t="s" ph="1">
        <v>54</v>
      </c>
      <c r="F13" s="76" t="s" ph="1">
        <v>66</v>
      </c>
      <c r="G13" s="76" t="s" ph="1">
        <v>67</v>
      </c>
      <c r="H13" s="76" t="s" ph="1">
        <v>154</v>
      </c>
      <c r="I13" s="76" t="s" ph="1">
        <v>68</v>
      </c>
      <c r="J13" s="76" t="s" ph="1">
        <v>155</v>
      </c>
      <c r="K13" s="76" t="s" ph="1">
        <v>63</v>
      </c>
      <c r="L13" s="76" t="s" ph="1">
        <v>69</v>
      </c>
      <c r="M13" s="76" t="s" ph="1">
        <v>70</v>
      </c>
      <c r="N13" s="76" t="s" ph="1">
        <v>156</v>
      </c>
      <c r="O13" s="76" t="s" ph="1">
        <v>64</v>
      </c>
      <c r="P13" s="76" t="s" ph="1">
        <v>71</v>
      </c>
      <c r="Q13" s="76" t="s" ph="1">
        <v>72</v>
      </c>
      <c r="R13" s="76" t="s" ph="1">
        <v>73</v>
      </c>
      <c r="S13" s="76" t="s" ph="1">
        <v>74</v>
      </c>
      <c r="T13" s="76" t="s" ph="1">
        <v>75</v>
      </c>
      <c r="U13" s="76" t="s" ph="1">
        <v>76</v>
      </c>
      <c r="V13" s="76" t="s" ph="1">
        <v>157</v>
      </c>
      <c r="W13" s="76" t="s" ph="1">
        <v>158</v>
      </c>
      <c r="X13" s="76" t="s" ph="1">
        <v>159</v>
      </c>
      <c r="Y13" s="105" t="s" ph="1">
        <v>77</v>
      </c>
      <c r="Z13" s="76" t="s" ph="1">
        <v>86</v>
      </c>
      <c r="AA13" s="76" t="s" ph="1">
        <v>160</v>
      </c>
      <c r="AB13" s="76" t="s" ph="1">
        <v>161</v>
      </c>
      <c r="AC13" s="76" t="s" ph="1">
        <v>162</v>
      </c>
      <c r="AD13" s="76" t="s" ph="1">
        <v>163</v>
      </c>
      <c r="AE13" s="76" t="s" ph="1">
        <v>164</v>
      </c>
      <c r="AG13" s="72" t="s" ph="1">
        <v>369</v>
      </c>
      <c r="AH13" s="72" t="s" ph="1">
        <v>232</v>
      </c>
      <c r="AI13" s="72" t="s" ph="1">
        <v>233</v>
      </c>
      <c r="AJ13" s="72" t="s" ph="1">
        <v>234</v>
      </c>
      <c r="AK13" s="72" t="s" ph="1">
        <v>235</v>
      </c>
      <c r="AL13" s="72" t="s" ph="1">
        <v>236</v>
      </c>
      <c r="AM13" s="72" t="s" ph="1">
        <v>237</v>
      </c>
      <c r="AN13" s="72" t="s" ph="1">
        <v>238</v>
      </c>
      <c r="AO13" s="72" t="s" ph="1">
        <v>239</v>
      </c>
      <c r="AP13" s="72" t="s" ph="1">
        <v>240</v>
      </c>
      <c r="AQ13" s="72" t="s" ph="1">
        <v>241</v>
      </c>
      <c r="AR13" s="72" t="s" ph="1">
        <v>242</v>
      </c>
      <c r="AS13" s="72" t="s" ph="1">
        <v>243</v>
      </c>
      <c r="AT13" s="72" t="s" ph="1">
        <v>244</v>
      </c>
      <c r="AU13" s="72" t="s" ph="1">
        <v>245</v>
      </c>
      <c r="AV13" s="72" t="s" ph="1">
        <v>246</v>
      </c>
      <c r="AW13" s="72" t="s" ph="1">
        <v>247</v>
      </c>
      <c r="AX13" s="72" t="s" ph="1">
        <v>248</v>
      </c>
      <c r="AY13" s="72" t="s" ph="1">
        <v>370</v>
      </c>
      <c r="AZ13" s="72" t="s" ph="1">
        <v>249</v>
      </c>
      <c r="BA13" s="72" t="s" ph="1">
        <v>250</v>
      </c>
      <c r="BB13" s="72" t="s" ph="1">
        <v>635</v>
      </c>
      <c r="BC13" s="72" t="s" ph="1">
        <v>251</v>
      </c>
      <c r="BD13" s="72" t="s" ph="1">
        <v>371</v>
      </c>
      <c r="BE13" s="72" t="s" ph="1">
        <v>372</v>
      </c>
      <c r="BF13" s="72" t="s" ph="1">
        <v>373</v>
      </c>
      <c r="BG13" s="72" t="s" ph="1">
        <v>374</v>
      </c>
      <c r="BH13" s="72" t="s" ph="1">
        <v>375</v>
      </c>
    </row>
    <row r="14" spans="1:99" s="72" customFormat="1" ht="24" ph="1">
      <c r="B14" s="213" ph="1"/>
      <c r="C14" s="67" t="s" ph="1">
        <v>36</v>
      </c>
      <c r="D14" s="77" t="s" ph="1">
        <v>131</v>
      </c>
      <c r="E14" s="77" t="s" ph="1">
        <v>131</v>
      </c>
      <c r="F14" s="153" t="s" ph="1">
        <v>656</v>
      </c>
      <c r="G14" s="77" t="s" ph="1">
        <v>220</v>
      </c>
      <c r="H14" s="77" t="s" ph="1">
        <v>648</v>
      </c>
      <c r="I14" s="77" t="s" ph="1">
        <v>65</v>
      </c>
      <c r="J14" s="77" t="s" ph="1">
        <v>230</v>
      </c>
      <c r="K14" s="77" t="s" ph="1">
        <v>226</v>
      </c>
      <c r="L14" s="77" t="s" ph="1">
        <v>41</v>
      </c>
      <c r="M14" s="104" t="s" ph="1">
        <v>225</v>
      </c>
      <c r="N14" s="104" t="s" ph="1">
        <v>221</v>
      </c>
      <c r="O14" s="104" t="s" ph="1">
        <v>229</v>
      </c>
      <c r="P14" s="77" t="s" ph="1">
        <v>82</v>
      </c>
      <c r="Q14" s="77" t="s" ph="1">
        <v>82</v>
      </c>
      <c r="R14" s="88" t="s" ph="1">
        <v>7</v>
      </c>
      <c r="S14" s="77" t="s" ph="1">
        <v>82</v>
      </c>
      <c r="T14" s="77" t="s" ph="1">
        <v>98</v>
      </c>
      <c r="U14" s="77" t="s" ph="1">
        <v>659</v>
      </c>
      <c r="V14" s="77" t="s" ph="1">
        <v>649</v>
      </c>
      <c r="W14" s="77" t="s" ph="1">
        <v>223</v>
      </c>
      <c r="X14" s="77" t="s" ph="1">
        <v>78</v>
      </c>
      <c r="Y14" s="144" t="s" ph="1">
        <v>0</v>
      </c>
      <c r="Z14" s="77" t="s" ph="1">
        <v>62</v>
      </c>
      <c r="AA14" s="77" t="s" ph="1">
        <v>88</v>
      </c>
      <c r="AB14" s="77" t="s" ph="1">
        <v>653</v>
      </c>
      <c r="AC14" s="77" t="s" ph="1">
        <v>653</v>
      </c>
      <c r="AD14" s="77" t="s" ph="1">
        <v>136</v>
      </c>
      <c r="AE14" s="77" t="s" ph="1">
        <v>136</v>
      </c>
      <c r="AG14" s="72" t="s" ph="1">
        <v>252</v>
      </c>
      <c r="AI14" s="72" t="s" ph="1">
        <v>253</v>
      </c>
      <c r="AJ14" s="72" t="s" ph="1">
        <v>376</v>
      </c>
      <c r="AK14" s="72" t="s" ph="1">
        <v>254</v>
      </c>
      <c r="AM14" s="72" t="s" ph="1">
        <v>256</v>
      </c>
      <c r="AN14" s="72" t="s" ph="1">
        <v>254</v>
      </c>
      <c r="AO14" s="72" t="s" ph="1">
        <v>255</v>
      </c>
      <c r="AP14" s="72" t="s" ph="1">
        <v>256</v>
      </c>
      <c r="AQ14" s="72" t="s" ph="1">
        <v>254</v>
      </c>
      <c r="AR14" s="72" t="s" ph="1">
        <v>255</v>
      </c>
      <c r="AS14" s="72" t="s" ph="1">
        <v>256</v>
      </c>
      <c r="AT14" s="72" t="s" ph="1">
        <v>254</v>
      </c>
      <c r="AU14" s="72" t="s" ph="1">
        <v>255</v>
      </c>
      <c r="AV14" s="72" t="s" ph="1">
        <v>256</v>
      </c>
      <c r="AW14" s="72" t="s" ph="1">
        <v>254</v>
      </c>
      <c r="AX14" s="72" t="s" ph="1">
        <v>255</v>
      </c>
      <c r="AY14" s="72" t="s" ph="1">
        <v>256</v>
      </c>
      <c r="AZ14" s="72" t="s" ph="1">
        <v>255</v>
      </c>
    </row>
    <row r="15" spans="1:99" ph="1">
      <c r="B15" s="214" ph="1">
        <v>0.33333333333333331</v>
      </c>
      <c r="C15" s="157" t="s" ph="1">
        <v>211</v>
      </c>
      <c r="D15" s="78">
        <v>1970</v>
      </c>
      <c r="E15" s="78">
        <v>73</v>
      </c>
      <c r="F15" s="78">
        <v>1770</v>
      </c>
      <c r="G15" s="78">
        <v>2481</v>
      </c>
      <c r="H15" s="78">
        <v>2870</v>
      </c>
      <c r="I15" s="78">
        <v>6</v>
      </c>
      <c r="J15" s="78">
        <v>392</v>
      </c>
      <c r="K15" s="78">
        <v>1412</v>
      </c>
      <c r="L15" s="78">
        <v>3319</v>
      </c>
      <c r="M15" s="78">
        <v>3145</v>
      </c>
      <c r="N15" s="78">
        <v>12</v>
      </c>
      <c r="O15" s="78">
        <v>233</v>
      </c>
      <c r="P15" s="78">
        <v>1100</v>
      </c>
      <c r="Q15" s="78">
        <v>2713</v>
      </c>
      <c r="R15" s="78">
        <v>3493</v>
      </c>
      <c r="S15" s="78">
        <v>5614</v>
      </c>
      <c r="T15" s="78">
        <v>4751</v>
      </c>
      <c r="U15" s="78">
        <v>4392</v>
      </c>
      <c r="V15" s="78">
        <v>-1640</v>
      </c>
      <c r="W15" s="78">
        <v>-594</v>
      </c>
      <c r="X15" s="78">
        <v>940</v>
      </c>
      <c r="Y15" s="106">
        <v>-9901</v>
      </c>
      <c r="Z15" s="78">
        <v>0</v>
      </c>
      <c r="AA15" s="78">
        <v>25</v>
      </c>
      <c r="AB15" s="78" ph="1">
        <v>747</v>
      </c>
      <c r="AC15" s="78" ph="1">
        <v>6508</v>
      </c>
      <c r="AD15" s="78">
        <v>85.46</v>
      </c>
      <c r="AE15" s="78">
        <v>55.76</v>
      </c>
      <c r="AG15" s="64" t="s" ph="1">
        <v>258</v>
      </c>
      <c r="AH15" s="64" ph="1">
        <v>1</v>
      </c>
      <c r="AI15" s="64" t="s" ph="1">
        <v>377</v>
      </c>
      <c r="AK15" s="64" t="s" ph="1">
        <v>631</v>
      </c>
      <c r="AM15" s="64" t="s" ph="1">
        <v>379</v>
      </c>
      <c r="AZ15" s="64" t="s" ph="1">
        <v>260</v>
      </c>
      <c r="BA15" s="64" ph="1">
        <v>0</v>
      </c>
    </row>
    <row r="16" spans="1:99" s="72" customFormat="1" ht="22.5" ph="1">
      <c r="B16" s="215" ph="1"/>
      <c r="C16" s="157" t="s" ph="1">
        <v>212</v>
      </c>
      <c r="D16" s="73" ph="1">
        <f>D15*7.0686*LOOKUP(D17,密度!$A$2:$A$50,密度!$L$2:$L$50)</f>
        <v>13173.184331999999</v>
      </c>
      <c r="E16" s="73" ph="1">
        <f>E15*7.0686*LOOKUP(E17,密度!$A$2:$A$50,密度!$L$2:$L$50)</f>
        <v>488.14337879999994</v>
      </c>
      <c r="F16" s="73" ph="1">
        <f>F15*9.0746*LOOKUP(F17,密度!$A$2:$A$50,密度!$L$2:$L$50)</f>
        <v>15194.691732000001</v>
      </c>
      <c r="G16" s="73" ph="1">
        <f>G15*9.0746*LOOKUP(G17,密度!$A$2:$A$50,密度!$B$2:$B$50)</f>
        <v>17741.097088800001</v>
      </c>
      <c r="H16" s="73" ph="1">
        <f>H15*9.0746*LOOKUP(H17,密度!$A$2:$A$50,密度!$L$2:$L$50)</f>
        <v>24715.852797999996</v>
      </c>
      <c r="I16" s="73" ph="1">
        <f>I15*9.0746*LOOKUP(I17,密度!$A$2:$A$50,密度!$U$2:$U$50)</f>
        <v>55.972132800000004</v>
      </c>
      <c r="J16" s="73" ph="1">
        <f>J15*9.0746*LOOKUP(J17,密度!$A$2:$A$50,密度!$L$2:$L$50)</f>
        <v>3365.1520671999997</v>
      </c>
      <c r="K16" s="73" ph="1">
        <f>K15*9.0746*LOOKUP(K17,密度!$A$2:$A$50,密度!$C$2:$C$50)</f>
        <v>14297.119416159998</v>
      </c>
      <c r="L16" s="73" ph="1">
        <f>L15*9.0746*LOOKUP(L17,密度!$A$2:$A$50,密度!$E$2:$E$50)</f>
        <v>23902.11889664</v>
      </c>
      <c r="M16" s="73" ph="1">
        <f>M15*9.0746*LOOKUP(M17,密度!$A$2:$A$50,密度!$M$2:$M$50)</f>
        <v>25123.424845100002</v>
      </c>
      <c r="N16" s="73" ph="1">
        <f>N15*9.0746*LOOKUP(N17,密度!$A$2:$A$50,密度!$M$2:$M$50)</f>
        <v>95.860444560000005</v>
      </c>
      <c r="O16" s="73" ph="1">
        <f>O15*9.0746*LOOKUP(O17,密度!$A$2:$A$50,密度!$G$2:$G$50)</f>
        <v>2053.48760416</v>
      </c>
      <c r="P16" s="73" ph="1">
        <f ca="1">P15*9.0746*LOOKUP(P17,密度!$A$2:$A$51,密度!$Q$2:$Q$50)</f>
        <v>9518.8924159999988</v>
      </c>
      <c r="Q16" s="73" ph="1">
        <f>Q15*9.0746*LOOKUP(Q17,密度!$A$2:$A$50,密度!$Q$2:$Q$50)</f>
        <v>23477.050113280002</v>
      </c>
      <c r="R16" s="73" ph="1">
        <f>MAX(R15*9.0746*LOOKUP(R17,密度!$A$2:$A$50,密度!$B$2:$B$50),0)</f>
        <v>24904.786877459999</v>
      </c>
      <c r="S16" s="73" ph="1">
        <f>S15*9.0746*LOOKUP(S17,密度!$A$2:$A$50,密度!$Q$2:$Q$50)</f>
        <v>48628.853591976003</v>
      </c>
      <c r="T16" s="73" ph="1">
        <f>T15*9.0746*LOOKUP(T17,密度!$A$2:$A$50,密度!$O$2:$O$50)</f>
        <v>40267.938576400004</v>
      </c>
      <c r="U16" s="73" ph="1">
        <f>U15*9.0746*LOOKUP(U17,密度!$A$2:$A$50,密度!$H$2:$H$50)</f>
        <v>36854.513267039998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215.4641142240007</v>
      </c>
      <c r="X16" s="73" ph="1">
        <f>MAX(5600*LOOKUP(X17,密度!$A$2:$A$50,密度!$I$2:$I$50)+X15*9.0476*LOOKUP(X17,密度!$A$2:$A$50,密度!$I$2:$I$50),0)</f>
        <v>14542.978396079998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178.97379850000002</v>
      </c>
      <c r="AB16" s="73" ph="1">
        <f>AB15*9.0746*LOOKUP(AB17,密度!$A$2:$A$50,密度!$L$2:$L$50)</f>
        <v>6412.6749851999994</v>
      </c>
      <c r="AC16" s="73" ph="1">
        <f>AC15*9.0746*LOOKUP(AC17,密度!$A$2:$A$50,密度!$L$2:$L$50)</f>
        <v>55986.506966399997</v>
      </c>
      <c r="AD16" s="73" ph="1">
        <f>AD15*268.68*LOOKUP(AD17,密度!$A$2:$A$50,密度!B2:B50)+IF(AD15&lt;=0,0,1566*LOOKUP(AD17,密度!$A$2:$A$50,密度!B2:B50))</f>
        <v>19121.555426879997</v>
      </c>
      <c r="AE16" s="73" ph="1">
        <f>AE15*268.68*LOOKUP(AE17,密度!$A$2:$A$50,密度!B2:B50)+IF(AE15&lt;=0,0,1566*LOOKUP(AE17,密度!$A$2:$A$50,密度!B2:B50))</f>
        <v>12900.506465279999</v>
      </c>
      <c r="AH16" s="72" ph="1">
        <v>2</v>
      </c>
      <c r="AI16" s="72" t="s" ph="1">
        <v>381</v>
      </c>
      <c r="AZ16" s="72" t="s" ph="1">
        <v>260</v>
      </c>
      <c r="BA16" s="72" ph="1">
        <v>0</v>
      </c>
    </row>
    <row r="17" spans="1:57" ph="1">
      <c r="A17" s="64" t="s" ph="1">
        <v>85</v>
      </c>
      <c r="B17" s="216" ph="1"/>
      <c r="C17" s="79" t="s" ph="1">
        <v>213</v>
      </c>
      <c r="D17" s="74">
        <v>16</v>
      </c>
      <c r="E17" s="74">
        <v>16</v>
      </c>
      <c r="F17" s="74">
        <v>16</v>
      </c>
      <c r="G17" s="74">
        <v>15</v>
      </c>
      <c r="H17" s="74">
        <v>13</v>
      </c>
      <c r="I17" s="74">
        <v>14</v>
      </c>
      <c r="J17" s="74">
        <v>16</v>
      </c>
      <c r="K17" s="74">
        <v>15</v>
      </c>
      <c r="L17" s="74">
        <v>16</v>
      </c>
      <c r="M17" s="74">
        <v>18</v>
      </c>
      <c r="N17" s="74">
        <v>15</v>
      </c>
      <c r="O17" s="74">
        <v>15</v>
      </c>
      <c r="P17" s="74">
        <v>16</v>
      </c>
      <c r="Q17" s="74">
        <v>16</v>
      </c>
      <c r="R17" s="74">
        <v>18</v>
      </c>
      <c r="S17" s="74">
        <v>15</v>
      </c>
      <c r="T17" s="74">
        <v>16</v>
      </c>
      <c r="U17" s="74">
        <v>15</v>
      </c>
      <c r="V17" s="74">
        <v>15</v>
      </c>
      <c r="W17" s="74">
        <v>15</v>
      </c>
      <c r="X17" s="74">
        <v>35</v>
      </c>
      <c r="Y17" s="108">
        <v>35</v>
      </c>
      <c r="Z17" s="74">
        <v>16</v>
      </c>
      <c r="AA17" s="74">
        <v>14</v>
      </c>
      <c r="AB17" s="74">
        <v>16</v>
      </c>
      <c r="AC17" s="74">
        <v>14</v>
      </c>
      <c r="AD17" s="74">
        <v>25</v>
      </c>
      <c r="AE17" s="74">
        <v>25</v>
      </c>
      <c r="AH17" s="64" ph="1">
        <v>3</v>
      </c>
      <c r="AI17" s="64" t="s" ph="1">
        <v>382</v>
      </c>
      <c r="AK17" s="64" t="s" ph="1">
        <v>614</v>
      </c>
      <c r="AL17" s="64" ph="1">
        <v>80</v>
      </c>
      <c r="AM17" s="64" t="s" ph="1">
        <v>379</v>
      </c>
      <c r="AZ17" s="64" t="s" ph="1">
        <v>260</v>
      </c>
      <c r="BA17" s="64" ph="1">
        <v>80</v>
      </c>
      <c r="BD17" s="64" t="s" ph="1">
        <v>258</v>
      </c>
      <c r="BE17" s="64" ph="1">
        <v>2270</v>
      </c>
    </row>
    <row r="18" spans="1:57" ph="1">
      <c r="B18" s="214" ph="1">
        <v>0.66666666666666663</v>
      </c>
      <c r="C18" s="79" t="s" ph="1">
        <v>214</v>
      </c>
      <c r="D18" s="71">
        <v>1970</v>
      </c>
      <c r="E18" s="71">
        <v>72</v>
      </c>
      <c r="F18" s="71">
        <v>1770</v>
      </c>
      <c r="G18" s="71">
        <v>2512</v>
      </c>
      <c r="H18" s="71">
        <v>2871</v>
      </c>
      <c r="I18" s="71">
        <v>11</v>
      </c>
      <c r="J18" s="71">
        <v>390</v>
      </c>
      <c r="K18" s="71">
        <v>1410</v>
      </c>
      <c r="L18" s="71">
        <v>6537</v>
      </c>
      <c r="M18" s="71">
        <v>3150</v>
      </c>
      <c r="N18" s="71">
        <v>1574</v>
      </c>
      <c r="O18" s="71">
        <v>229</v>
      </c>
      <c r="P18" s="71">
        <v>1100</v>
      </c>
      <c r="Q18" s="71">
        <v>2719</v>
      </c>
      <c r="R18" s="71">
        <v>3495</v>
      </c>
      <c r="S18" s="71">
        <v>5618</v>
      </c>
      <c r="T18" s="71">
        <v>4072</v>
      </c>
      <c r="U18" s="71">
        <v>4391</v>
      </c>
      <c r="V18" s="71">
        <v>-1641</v>
      </c>
      <c r="W18" s="71">
        <v>-596</v>
      </c>
      <c r="X18" s="71">
        <v>938</v>
      </c>
      <c r="Y18" s="109">
        <v>-9901</v>
      </c>
      <c r="Z18" s="71">
        <v>0</v>
      </c>
      <c r="AA18" s="71">
        <v>25</v>
      </c>
      <c r="AB18" s="71">
        <v>744</v>
      </c>
      <c r="AC18" s="71">
        <v>6509</v>
      </c>
      <c r="AD18" s="71">
        <v>4.6100000000000003</v>
      </c>
      <c r="AE18" s="71">
        <v>84.45</v>
      </c>
      <c r="AH18" s="64" ph="1">
        <v>4</v>
      </c>
      <c r="AI18" s="64" t="s" ph="1">
        <v>384</v>
      </c>
      <c r="AJ18" s="64" t="s" ph="1">
        <v>632</v>
      </c>
      <c r="AK18" s="64" t="s" ph="1">
        <v>631</v>
      </c>
      <c r="AL18" s="64" ph="1">
        <v>740</v>
      </c>
      <c r="AM18" s="64" t="s" ph="1">
        <v>383</v>
      </c>
      <c r="AZ18" s="64" t="s" ph="1">
        <v>260</v>
      </c>
      <c r="BA18" s="64" ph="1">
        <v>740</v>
      </c>
    </row>
    <row r="19" spans="1:57" s="72" customFormat="1" ht="22.5" ph="1">
      <c r="B19" s="215" ph="1"/>
      <c r="C19" s="157" t="s" ph="1">
        <v>212</v>
      </c>
      <c r="D19" s="73" ph="1">
        <f>D18*7.0686*LOOKUP(D20,密度!$A$2:$A$50,密度!$L$2:$L$50)</f>
        <v>13159.259189999999</v>
      </c>
      <c r="E19" s="73" ph="1">
        <f>E18*7.0686*LOOKUP(E20,密度!$A$2:$A$50,密度!$L$2:$L$50)</f>
        <v>480.94754399999999</v>
      </c>
      <c r="F19" s="73" ph="1">
        <f>F18*9.0746*LOOKUP(F20,密度!$A$2:$A$50,密度!$L$2:$L$50)</f>
        <v>15162.567648</v>
      </c>
      <c r="G19" s="73" ph="1">
        <f>G18*9.0746*LOOKUP(G20,密度!$A$2:$A$50,密度!$B$2:$B$50)</f>
        <v>17926.29878528</v>
      </c>
      <c r="H19" s="73" ph="1">
        <f>H18*9.0746*LOOKUP(H20,密度!$A$2:$A$50,密度!$L$2:$L$50)</f>
        <v>24672.358240199999</v>
      </c>
      <c r="I19" s="73" ph="1">
        <f>I18*9.0746*LOOKUP(I20,密度!$A$2:$A$50,密度!$U$2:$U$50)</f>
        <v>102.6155768</v>
      </c>
      <c r="J19" s="73" ph="1">
        <f>J18*9.0746*LOOKUP(J20,密度!$A$2:$A$50,密度!$L$2:$L$50)</f>
        <v>3337.3656419999998</v>
      </c>
      <c r="K19" s="73" ph="1">
        <f>K18*9.0746*LOOKUP(K20,密度!$A$2:$A$50,密度!$C$2:$C$50)</f>
        <v>14235.923943600001</v>
      </c>
      <c r="L19" s="73" ph="1">
        <f>L18*9.0746*LOOKUP(L20,密度!$A$2:$A$50,密度!$E$2:$E$50)</f>
        <v>46946.370482279999</v>
      </c>
      <c r="M19" s="73" ph="1">
        <f>M18*9.0746*LOOKUP(M20,密度!$A$2:$A$50,密度!$M$2:$M$50)</f>
        <v>25163.366697000001</v>
      </c>
      <c r="N19" s="73" ph="1">
        <f>N18*9.0746*LOOKUP(N20,密度!$A$2:$A$50,密度!$M$2:$M$50)</f>
        <v>12573.69497812</v>
      </c>
      <c r="O19" s="73" ph="1">
        <f>O18*9.0746*LOOKUP(O20,密度!$A$2:$A$50,密度!$G$2:$G$50)</f>
        <v>2007.22075606</v>
      </c>
      <c r="P19" s="73" ph="1">
        <f ca="1">P18*9.0746*LOOKUP(P20,密度!$A$2:$A$51,密度!$Q$2:$Q$50)</f>
        <v>9450.4154844000004</v>
      </c>
      <c r="Q19" s="73" ph="1">
        <f>Q18*9.0746*LOOKUP(Q20,密度!$A$2:$A$50,密度!$Q$2:$Q$50)</f>
        <v>23509.232274720001</v>
      </c>
      <c r="R19" s="73" ph="1">
        <f>MAX(R18*9.0746*LOOKUP(R20,密度!$A$2:$A$50,密度!$B$2:$B$50),0)</f>
        <v>24839.757386400001</v>
      </c>
      <c r="S19" s="73" ph="1">
        <f>S18*9.0746*LOOKUP(S20,密度!$A$2:$A$50,密度!$Q$2:$Q$50)</f>
        <v>48534.519676627999</v>
      </c>
      <c r="T19" s="73" ph="1">
        <f>T18*9.0746*LOOKUP(T20,密度!$A$2:$A$50,密度!$O$2:$O$50)</f>
        <v>34365.147216000005</v>
      </c>
      <c r="U19" s="73" ph="1">
        <f>U18*9.0746*LOOKUP(U20,密度!$A$2:$A$50,密度!$H$2:$H$50)</f>
        <v>36766.428847219999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197.66621710400068</v>
      </c>
      <c r="X19" s="73" ph="1">
        <f>MAX(5600*LOOKUP(X20,密度!$A$2:$A$50,密度!$I$2:$I$50)+X18*9.0476*LOOKUP(X20,密度!$A$2:$A$50,密度!$I$2:$I$50),0)</f>
        <v>14571.22951872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178.58812800000001</v>
      </c>
      <c r="AB19" s="73" ph="1">
        <f>AB18*9.0746*LOOKUP(AB20,密度!$A$2:$A$50,密度!$L$2:$L$50)</f>
        <v>6339.6607536000001</v>
      </c>
      <c r="AC19" s="73" ph="1">
        <f>AC18*9.0746*LOOKUP(AC20,密度!$A$2:$A$50,密度!$L$2:$L$50)</f>
        <v>55876.9765444</v>
      </c>
      <c r="AD19" s="73" ph="1">
        <f>AD18*268.68*LOOKUP(AD20,密度!$A$2:$A$50,密度!B5:B53)+IF(AD18&lt;=0,0,1566*LOOKUP(AD20,密度!$A$2:$A$50,密度!B5:B53))</f>
        <v>2179.1856996000001</v>
      </c>
      <c r="AE19" s="73" ph="1">
        <f>AE18*268.68*LOOKUP(AE20,密度!$A$2:$A$50,密度!B5:B53)+IF(AE18&lt;=0,0,1566*LOOKUP(AE20,密度!$A$2:$A$50,密度!B5:B53))</f>
        <v>18846.932202</v>
      </c>
      <c r="AH19" s="72" ph="1">
        <v>5</v>
      </c>
      <c r="AI19" s="72" t="s" ph="1">
        <v>385</v>
      </c>
      <c r="AZ19" s="72" t="s" ph="1">
        <v>260</v>
      </c>
      <c r="BA19" s="72" ph="1">
        <v>0</v>
      </c>
      <c r="BD19" s="72" t="s" ph="1">
        <v>386</v>
      </c>
      <c r="BE19" s="72" ph="1">
        <v>1440</v>
      </c>
    </row>
    <row r="20" spans="1:57" ph="1">
      <c r="A20" s="72" ph="1"/>
      <c r="B20" s="215" ph="1"/>
      <c r="C20" s="80" t="s" ph="1">
        <v>213</v>
      </c>
      <c r="D20" s="81">
        <v>17</v>
      </c>
      <c r="E20" s="81">
        <v>17</v>
      </c>
      <c r="F20" s="81">
        <v>18</v>
      </c>
      <c r="G20" s="81">
        <v>17</v>
      </c>
      <c r="H20" s="81">
        <v>15</v>
      </c>
      <c r="I20" s="81">
        <v>18</v>
      </c>
      <c r="J20" s="81">
        <v>19</v>
      </c>
      <c r="K20" s="81">
        <v>20</v>
      </c>
      <c r="L20" s="81">
        <v>18</v>
      </c>
      <c r="M20" s="81">
        <v>20</v>
      </c>
      <c r="N20" s="81">
        <v>18</v>
      </c>
      <c r="O20" s="81">
        <v>20</v>
      </c>
      <c r="P20" s="81">
        <v>25</v>
      </c>
      <c r="Q20" s="81">
        <v>17</v>
      </c>
      <c r="R20" s="81">
        <v>21</v>
      </c>
      <c r="S20" s="81">
        <v>18</v>
      </c>
      <c r="T20" s="81">
        <v>20</v>
      </c>
      <c r="U20" s="81">
        <v>17</v>
      </c>
      <c r="V20" s="81">
        <v>18</v>
      </c>
      <c r="W20" s="81">
        <v>18</v>
      </c>
      <c r="X20" s="81">
        <v>32</v>
      </c>
      <c r="Y20" s="110">
        <v>32</v>
      </c>
      <c r="Z20" s="81">
        <v>26</v>
      </c>
      <c r="AA20" s="81">
        <v>16</v>
      </c>
      <c r="AB20" s="81">
        <v>23</v>
      </c>
      <c r="AC20" s="81">
        <v>16</v>
      </c>
      <c r="AD20" s="81">
        <v>25</v>
      </c>
      <c r="AE20" s="81">
        <v>25</v>
      </c>
      <c r="AH20" s="64" ph="1">
        <v>6</v>
      </c>
      <c r="AI20" s="64" t="s" ph="1">
        <v>387</v>
      </c>
      <c r="AZ20" s="64" t="s" ph="1">
        <v>260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388</v>
      </c>
      <c r="AZ21" s="64" t="s" ph="1">
        <v>260</v>
      </c>
      <c r="BA21" s="64" ph="1">
        <v>0</v>
      </c>
      <c r="BD21" s="64" t="s" ph="1">
        <v>276</v>
      </c>
      <c r="BE21" s="64" ph="1">
        <v>730</v>
      </c>
    </row>
    <row r="22" spans="1:57" ph="1">
      <c r="A22" s="72" ph="1"/>
      <c r="B22" s="213" t="s" ph="1">
        <v>37</v>
      </c>
      <c r="C22" s="85" t="s" ph="1">
        <v>210</v>
      </c>
      <c r="D22" s="86" t="s" ph="1">
        <v>104</v>
      </c>
      <c r="E22" s="86" t="s" ph="1">
        <v>105</v>
      </c>
      <c r="F22" s="86" t="s" ph="1">
        <v>106</v>
      </c>
      <c r="G22" s="86" t="s" ph="1">
        <v>107</v>
      </c>
      <c r="H22" s="86" t="s" ph="1">
        <v>108</v>
      </c>
      <c r="I22" s="86" t="s" ph="1">
        <v>109</v>
      </c>
      <c r="J22" s="86" t="s" ph="1">
        <v>110</v>
      </c>
      <c r="K22" s="86" t="s" ph="1">
        <v>111</v>
      </c>
      <c r="L22" s="86" t="s" ph="1">
        <v>112</v>
      </c>
      <c r="M22" s="86" t="s" ph="1">
        <v>113</v>
      </c>
      <c r="N22" s="86" t="s" ph="1">
        <v>114</v>
      </c>
      <c r="O22" s="86" t="s" ph="1">
        <v>115</v>
      </c>
      <c r="P22" s="86" t="s" ph="1">
        <v>116</v>
      </c>
      <c r="Q22" s="87" t="s" ph="1">
        <v>117</v>
      </c>
      <c r="R22" s="86" t="s" ph="1">
        <v>118</v>
      </c>
      <c r="S22" s="86" t="s" ph="1">
        <v>119</v>
      </c>
      <c r="T22" s="86" t="s" ph="1">
        <v>120</v>
      </c>
      <c r="U22" s="86" t="s" ph="1">
        <v>121</v>
      </c>
      <c r="V22" s="86" t="s" ph="1">
        <v>122</v>
      </c>
      <c r="W22" s="86" t="s" ph="1">
        <v>123</v>
      </c>
      <c r="X22" s="86" t="s" ph="1">
        <v>124</v>
      </c>
      <c r="Y22" s="86" t="s" ph="1">
        <v>126</v>
      </c>
      <c r="Z22" s="223" t="s" ph="1">
        <v>79</v>
      </c>
      <c r="AA22" s="224"/>
      <c r="AB22" s="224"/>
      <c r="AC22" s="224"/>
      <c r="AD22" s="224"/>
      <c r="AE22" s="225"/>
      <c r="AH22" s="64" ph="1">
        <v>8</v>
      </c>
      <c r="AI22" s="64" t="s" ph="1">
        <v>389</v>
      </c>
      <c r="AZ22" s="64" t="s" ph="1">
        <v>260</v>
      </c>
      <c r="BA22" s="64" ph="1">
        <v>0</v>
      </c>
    </row>
    <row r="23" spans="1:57" ph="1">
      <c r="A23" s="72" ph="1"/>
      <c r="B23" s="217" ph="1"/>
      <c r="C23" s="67" t="s" ph="1">
        <v>36</v>
      </c>
      <c r="D23" s="88" t="s" ph="1">
        <v>128</v>
      </c>
      <c r="E23" s="88" t="s" ph="1">
        <v>125</v>
      </c>
      <c r="F23" s="88" t="s" ph="1">
        <v>224</v>
      </c>
      <c r="G23" s="88" t="s" ph="1">
        <v>165</v>
      </c>
      <c r="H23" s="88" t="s" ph="1">
        <v>165</v>
      </c>
      <c r="I23" s="88" t="s" ph="1">
        <v>166</v>
      </c>
      <c r="J23" s="88" t="s" ph="1">
        <v>167</v>
      </c>
      <c r="K23" s="88" t="s" ph="1">
        <v>129</v>
      </c>
      <c r="L23" s="88" t="s" ph="1">
        <v>129</v>
      </c>
      <c r="M23" s="88" t="s" ph="1">
        <v>167</v>
      </c>
      <c r="N23" s="88" t="s" ph="1">
        <v>167</v>
      </c>
      <c r="O23" s="88" t="s" ph="1">
        <v>132</v>
      </c>
      <c r="P23" s="88" t="s" ph="1">
        <v>168</v>
      </c>
      <c r="Q23" s="89" t="s" ph="1">
        <v>168</v>
      </c>
      <c r="R23" s="88" t="s" ph="1">
        <v>169</v>
      </c>
      <c r="S23" s="88" t="s" ph="1">
        <v>170</v>
      </c>
      <c r="T23" s="88" t="s" ph="1">
        <v>651</v>
      </c>
      <c r="U23" s="88" t="s" ph="1">
        <v>660</v>
      </c>
      <c r="V23" s="88" t="s" ph="1">
        <v>172</v>
      </c>
      <c r="W23" s="88" t="s" ph="1">
        <v>170</v>
      </c>
      <c r="X23" s="88" t="s" ph="1">
        <v>231</v>
      </c>
      <c r="Y23" s="88" t="s" ph="1">
        <v>97</v>
      </c>
      <c r="Z23" s="226" t="s" ph="1">
        <v>662</v>
      </c>
      <c r="AA23" s="227"/>
      <c r="AB23" s="227"/>
      <c r="AC23" s="227"/>
      <c r="AD23" s="227"/>
      <c r="AE23" s="228"/>
      <c r="AH23" s="64" ph="1">
        <v>9</v>
      </c>
      <c r="AI23" s="64" t="s" ph="1">
        <v>390</v>
      </c>
      <c r="AZ23" s="64" t="s" ph="1">
        <v>260</v>
      </c>
      <c r="BA23" s="64" ph="1">
        <v>0</v>
      </c>
      <c r="BD23" s="64" t="s" ph="1">
        <v>282</v>
      </c>
      <c r="BE23" s="64" ph="1">
        <v>890</v>
      </c>
    </row>
    <row r="24" spans="1:57" ph="1">
      <c r="A24" s="72" ph="1"/>
      <c r="B24" s="235" ph="1">
        <v>0.33333333333333331</v>
      </c>
      <c r="C24" s="157" t="s" ph="1">
        <v>211</v>
      </c>
      <c r="D24" s="71">
        <v>44.23</v>
      </c>
      <c r="E24" s="71">
        <v>90.92</v>
      </c>
      <c r="F24" s="71">
        <v>2150</v>
      </c>
      <c r="G24" s="71">
        <v>1664</v>
      </c>
      <c r="H24" s="71">
        <v>608</v>
      </c>
      <c r="I24" s="71">
        <v>2535</v>
      </c>
      <c r="J24" s="71">
        <v>2450</v>
      </c>
      <c r="K24" s="71">
        <v>5610</v>
      </c>
      <c r="L24" s="71">
        <v>5583</v>
      </c>
      <c r="M24" s="71">
        <v>4806</v>
      </c>
      <c r="N24" s="71">
        <v>3170</v>
      </c>
      <c r="O24" s="71">
        <v>2061</v>
      </c>
      <c r="P24" s="71">
        <v>443</v>
      </c>
      <c r="Q24" s="90">
        <v>2492</v>
      </c>
      <c r="R24" s="71">
        <v>3375</v>
      </c>
      <c r="S24" s="71">
        <v>2646</v>
      </c>
      <c r="T24" s="71">
        <v>6390</v>
      </c>
      <c r="U24" s="71">
        <v>4811</v>
      </c>
      <c r="V24" s="71">
        <v>397</v>
      </c>
      <c r="W24" s="71">
        <v>5494</v>
      </c>
      <c r="X24" s="71">
        <v>9950</v>
      </c>
      <c r="Y24" s="71">
        <v>1490</v>
      </c>
      <c r="Z24" s="229"/>
      <c r="AA24" s="230"/>
      <c r="AB24" s="230"/>
      <c r="AC24" s="230"/>
      <c r="AD24" s="230"/>
      <c r="AE24" s="231"/>
      <c r="AH24" s="64" ph="1">
        <v>10</v>
      </c>
      <c r="AI24" s="64" t="s" ph="1">
        <v>391</v>
      </c>
      <c r="AZ24" s="64" t="s" ph="1">
        <v>260</v>
      </c>
      <c r="BA24" s="64" ph="1">
        <v>0</v>
      </c>
    </row>
    <row r="25" spans="1:57" ph="1">
      <c r="A25" s="72" ph="1"/>
      <c r="B25" s="235" ph="1"/>
      <c r="C25" s="68" t="s" ph="1">
        <v>212</v>
      </c>
      <c r="D25" s="91" ph="1">
        <f>D24*268.68*LOOKUP(D26,密度!$A$2:$A$50,密度!$Q$2:$Q$50)+IF(D24&lt;=0,0,1566*LOOKUP(D26,密度!$A$2:$A$50,密度!$Q$2:$Q$50))</f>
        <v>12733.384504535999</v>
      </c>
      <c r="E25" s="91" ph="1">
        <f>E24*268.68*LOOKUP(E26,密度!$A$2:$A$50,密度!$C$2:$C$50)+IF(E24&lt;=0,0,1566*LOOKUP(E26,密度!$A$2:$A$50,密度!$C$2:$C$50))</f>
        <v>28825.174191840004</v>
      </c>
      <c r="F25" s="91" ph="1">
        <f>F24*11.702*LOOKUP(F26,密度!$A$2:$A$50,密度!$Q$2:$Q$50)</f>
        <v>24015.558222</v>
      </c>
      <c r="G25" s="91" ph="1">
        <f>G24*18.322*LOOKUP(G26,密度!$A$2:$A$50,密度!$B$2:$B$50)</f>
        <v>24051.8317312</v>
      </c>
      <c r="H25" s="91" ph="1">
        <f>H24*18.322*LOOKUP(H26,密度!$A$2:$A$50,密度!$B$2:$B$50)</f>
        <v>8778.1434879999997</v>
      </c>
      <c r="I25" s="91" ph="1">
        <f>I24*18.322*LOOKUP(I26,密度!$A$2:$A$50,密度!$Q$2:$Q$50)</f>
        <v>44334.822565800001</v>
      </c>
      <c r="J25" s="91" ph="1">
        <f>J24*18.322*LOOKUP(J26,密度!$A$2:$A$50,密度!$Q$2:$Q$50)</f>
        <v>42848.250606000001</v>
      </c>
      <c r="K25" s="91" ph="1">
        <f>K24*18.322*LOOKUP(K26,密度!$A$2:$A$50,密度!$Q$2:$Q$50)</f>
        <v>98113.749346800003</v>
      </c>
      <c r="L25" s="91" ph="1">
        <f>L24*18.322*LOOKUP(L26,密度!$A$2:$A$50,密度!$Q$2:$Q$50)</f>
        <v>97641.54413604</v>
      </c>
      <c r="M25" s="91" ph="1">
        <f>M24*18.322*LOOKUP(M26,密度!$A$2:$A$50,密度!$Q$2:$Q$50)</f>
        <v>84052.527515280002</v>
      </c>
      <c r="N25" s="91" ph="1">
        <f>N24*18.322*LOOKUP(N26,密度!$A$2:$A$50,密度!$Q$2:$Q$50)</f>
        <v>55440.3895596</v>
      </c>
      <c r="O25" s="91" ph="1">
        <f>O24*18.322*LOOKUP(O26,密度!$A$2:$A$50,密度!$C$2:$C$50)</f>
        <v>42134.440143599997</v>
      </c>
      <c r="P25" s="91" ph="1">
        <f>P24*11.702*LOOKUP(P26,密度!$A$2:$A$50,密度!$B$2:$B$50)</f>
        <v>4084.9809680000003</v>
      </c>
      <c r="Q25" s="92" ph="1">
        <f>Q24*18.322*LOOKUP(Q26,密度!$A$2:$A$50,密度!$B$2:$B$50)</f>
        <v>35978.838111999998</v>
      </c>
      <c r="R25" s="91" ph="1">
        <f>R24*35.891*LOOKUP(R26,密度!$A$2:$A$50,密度!$C$2:$C$50)</f>
        <v>135159.22507499999</v>
      </c>
      <c r="S25" s="91" ph="1">
        <f>S24*35.891*LOOKUP(S26,密度!$A$2:$A$50,密度!$B$2:$B$50)</f>
        <v>74758.483699199991</v>
      </c>
      <c r="T25" s="91" ph="1">
        <f>T24*35.891*LOOKUP(T26,密度!$A$2:$A$50,密度!$Q$2:$Q$50)</f>
        <v>218917.53494460002</v>
      </c>
      <c r="U25" s="91" ph="1">
        <f>U24*35.891</f>
        <v>172671.601</v>
      </c>
      <c r="V25" s="91" ph="1">
        <f>V24*47.051*LOOKUP(V26,密度!$A$2:$A$50,密度!$B$2:$B$50)</f>
        <v>14704.3032384</v>
      </c>
      <c r="W25" s="91" ph="1">
        <f>W24*47.051*LOOKUP(W26,密度!$A$2:$A$50,密度!$B$2:$B$50)</f>
        <v>203696.57687200003</v>
      </c>
      <c r="X25" s="91" ph="1">
        <f>X24*47.051*LOOKUP(X26,密度!$A$2:$A$50,密度!$I$2:$I$50)</f>
        <v>484842.58151799993</v>
      </c>
      <c r="Y25" s="91" ph="1">
        <f>Y24*47.051*LOOKUP(Y26,密度!$A$2:$A$50,密度!$L$2:$L$50)</f>
        <v>66390.372530000008</v>
      </c>
      <c r="Z25" s="229"/>
      <c r="AA25" s="230"/>
      <c r="AB25" s="230"/>
      <c r="AC25" s="230"/>
      <c r="AD25" s="230"/>
      <c r="AE25" s="231"/>
      <c r="AH25" s="64" ph="1">
        <v>11</v>
      </c>
      <c r="AI25" s="64" t="s" ph="1">
        <v>392</v>
      </c>
      <c r="AZ25" s="64" t="s" ph="1">
        <v>260</v>
      </c>
      <c r="BA25" s="64" ph="1">
        <v>0</v>
      </c>
      <c r="BD25" s="64" t="s" ph="1">
        <v>285</v>
      </c>
      <c r="BE25" s="64" ph="1">
        <v>8920</v>
      </c>
    </row>
    <row r="26" spans="1:57" ph="1">
      <c r="A26" s="72" ph="1"/>
      <c r="B26" s="235" ph="1"/>
      <c r="C26" s="68" t="s" ph="1">
        <v>213</v>
      </c>
      <c r="D26" s="74">
        <v>25</v>
      </c>
      <c r="E26" s="74">
        <v>25</v>
      </c>
      <c r="F26" s="74">
        <v>15</v>
      </c>
      <c r="G26" s="74">
        <v>14</v>
      </c>
      <c r="H26" s="74">
        <v>15</v>
      </c>
      <c r="I26" s="74">
        <v>15</v>
      </c>
      <c r="J26" s="74">
        <v>14</v>
      </c>
      <c r="K26" s="74">
        <v>13</v>
      </c>
      <c r="L26" s="74">
        <v>14</v>
      </c>
      <c r="M26" s="74">
        <v>14</v>
      </c>
      <c r="N26" s="74">
        <v>15</v>
      </c>
      <c r="O26" s="74">
        <v>15</v>
      </c>
      <c r="P26" s="74">
        <v>15</v>
      </c>
      <c r="Q26" s="93">
        <v>15</v>
      </c>
      <c r="R26" s="74">
        <v>15</v>
      </c>
      <c r="S26" s="74">
        <v>16</v>
      </c>
      <c r="T26" s="74">
        <v>15</v>
      </c>
      <c r="U26" s="74">
        <v>16</v>
      </c>
      <c r="V26" s="74">
        <v>16</v>
      </c>
      <c r="W26" s="74">
        <v>15</v>
      </c>
      <c r="X26" s="74">
        <v>53</v>
      </c>
      <c r="Y26" s="74">
        <v>15</v>
      </c>
      <c r="Z26" s="229"/>
      <c r="AA26" s="230"/>
      <c r="AB26" s="230"/>
      <c r="AC26" s="230"/>
      <c r="AD26" s="230"/>
      <c r="AE26" s="231"/>
      <c r="AH26" s="64" ph="1">
        <v>12</v>
      </c>
      <c r="AI26" s="64" t="s" ph="1">
        <v>393</v>
      </c>
      <c r="AZ26" s="64" t="s" ph="1">
        <v>260</v>
      </c>
      <c r="BA26" s="64" ph="1">
        <v>0</v>
      </c>
    </row>
    <row r="27" spans="1:57" ph="1">
      <c r="A27" s="72" ph="1"/>
      <c r="B27" s="235" ph="1">
        <v>0.66666666666666663</v>
      </c>
      <c r="C27" s="157" t="s" ph="1">
        <v>214</v>
      </c>
      <c r="D27" s="71">
        <v>44.23</v>
      </c>
      <c r="E27" s="71">
        <v>90.92</v>
      </c>
      <c r="F27" s="71">
        <v>2150</v>
      </c>
      <c r="G27" s="71">
        <v>1185</v>
      </c>
      <c r="H27" s="71">
        <v>1674</v>
      </c>
      <c r="I27" s="71">
        <v>1729</v>
      </c>
      <c r="J27" s="71">
        <v>2448</v>
      </c>
      <c r="K27" s="71">
        <v>5611</v>
      </c>
      <c r="L27" s="71">
        <v>5580</v>
      </c>
      <c r="M27" s="71">
        <v>4805</v>
      </c>
      <c r="N27" s="71">
        <v>5268</v>
      </c>
      <c r="O27" s="71">
        <v>2058</v>
      </c>
      <c r="P27" s="71">
        <v>438</v>
      </c>
      <c r="Q27" s="90">
        <v>2754</v>
      </c>
      <c r="R27" s="71">
        <v>3373</v>
      </c>
      <c r="S27" s="71">
        <v>2644</v>
      </c>
      <c r="T27" s="71">
        <v>6390</v>
      </c>
      <c r="U27" s="71">
        <v>4895</v>
      </c>
      <c r="V27" s="71">
        <v>390</v>
      </c>
      <c r="W27" s="71">
        <v>5245</v>
      </c>
      <c r="X27" s="71">
        <v>9948</v>
      </c>
      <c r="Y27" s="71">
        <v>433</v>
      </c>
      <c r="Z27" s="229"/>
      <c r="AA27" s="230"/>
      <c r="AB27" s="230"/>
      <c r="AC27" s="230"/>
      <c r="AD27" s="230"/>
      <c r="AE27" s="231"/>
      <c r="AH27" s="64" ph="1">
        <v>13</v>
      </c>
      <c r="AI27" s="64" t="s" ph="1">
        <v>394</v>
      </c>
      <c r="AZ27" s="64" t="s" ph="1">
        <v>260</v>
      </c>
      <c r="BA27" s="64" ph="1">
        <v>0</v>
      </c>
      <c r="BD27" s="64" t="s" ph="1">
        <v>339</v>
      </c>
      <c r="BE27" s="64" ph="1">
        <v>7100</v>
      </c>
    </row>
    <row r="28" spans="1:57" ph="1">
      <c r="A28" s="72" ph="1"/>
      <c r="B28" s="235" ph="1"/>
      <c r="C28" s="157" t="s" ph="1">
        <v>212</v>
      </c>
      <c r="D28" s="91" ph="1">
        <f>D27*268.68*LOOKUP(D29,密度!$A$2:$A$50,密度!$Q$2:$Q$50)+IF(D27&lt;=0,0,1566*LOOKUP(D29,密度!$A$2:$A$50,密度!$Q$2:$Q$50))</f>
        <v>12733.384504535999</v>
      </c>
      <c r="E28" s="91" ph="1">
        <f>E27*268.68*LOOKUP(E29,密度!$A$2:$A$50,密度!$C$2:$C$50)+IF(E27&lt;=0,0,1566*LOOKUP(E29,密度!$A$2:$A$50,密度!$C$2:$C$50))</f>
        <v>28825.174191840004</v>
      </c>
      <c r="F28" s="91" ph="1">
        <f>F27*11.702*LOOKUP(F29,密度!$A$2:$A$50,密度!$Q$2:$Q$50)</f>
        <v>23951.905192999999</v>
      </c>
      <c r="G28" s="91" ph="1">
        <f>G27*18.322*LOOKUP(G29,密度!$A$2:$A$50,密度!$B$2:$B$50)</f>
        <v>17058.780548999999</v>
      </c>
      <c r="H28" s="91" ph="1">
        <f>H27*18.322*LOOKUP(H29,密度!$A$2:$A$50,密度!$B$2:$B$50)</f>
        <v>24144.233241599999</v>
      </c>
      <c r="I28" s="91" ph="1">
        <f>I27*18.322*LOOKUP(I29,密度!$A$2:$A$50,密度!$Q$2:$Q$50)</f>
        <v>30183.501566399998</v>
      </c>
      <c r="J28" s="91" ph="1">
        <f>J27*18.322*LOOKUP(J29,密度!$A$2:$A$50,密度!$Q$2:$Q$50)</f>
        <v>42771.111321600001</v>
      </c>
      <c r="K28" s="91" ph="1">
        <f>K27*18.322*LOOKUP(K29,密度!$A$2:$A$50,密度!$Q$2:$Q$50)</f>
        <v>97952.358177599992</v>
      </c>
      <c r="L28" s="91" ph="1">
        <f>L27*18.322*LOOKUP(L29,密度!$A$2:$A$50,密度!$Q$2:$Q$50)</f>
        <v>97411.184927999988</v>
      </c>
      <c r="M28" s="91" ph="1">
        <f>M27*18.322*LOOKUP(M29,密度!$A$2:$A$50,密度!$Q$2:$Q$50)</f>
        <v>83952.28345599999</v>
      </c>
      <c r="N28" s="91" ph="1">
        <f>N27*18.322*LOOKUP(N29,密度!$A$2:$A$50,密度!$Q$2:$Q$50)</f>
        <v>92041.754265600001</v>
      </c>
      <c r="O28" s="91" ph="1">
        <f>O27*18.322*LOOKUP(O29,密度!$A$2:$A$50,密度!$C$2:$C$50)</f>
        <v>42050.485075199998</v>
      </c>
      <c r="P28" s="91" ph="1">
        <f>P27*11.702*LOOKUP(P29,密度!$A$2:$A$50,密度!$B$2:$B$50)</f>
        <v>4009.6598747999997</v>
      </c>
      <c r="Q28" s="92" ph="1">
        <f>Q27*18.322*LOOKUP(Q29,密度!$A$2:$A$50,密度!$B$2:$B$50)</f>
        <v>39645.469731599995</v>
      </c>
      <c r="R28" s="91" ph="1">
        <f>R27*35.891*LOOKUP(R29,密度!$A$2:$A$50,密度!$C$2:$C$50)</f>
        <v>134849.11606769997</v>
      </c>
      <c r="S28" s="91" ph="1">
        <f>S27*35.891*LOOKUP(S29,密度!$A$2:$A$50,密度!$B$2:$B$50)</f>
        <v>74626.060265599997</v>
      </c>
      <c r="T28" s="91" ph="1">
        <f>T27*35.891*LOOKUP(T29,密度!$A$2:$A$50,密度!$Q$2:$Q$50)</f>
        <v>218518.47727199999</v>
      </c>
      <c r="U28" s="91" ph="1">
        <f>U27*35.891</f>
        <v>175686.44499999998</v>
      </c>
      <c r="V28" s="91" ph="1">
        <f>V27*47.051*LOOKUP(V29,密度!$A$2:$A$50,密度!$B$2:$B$50)</f>
        <v>14417.508572999999</v>
      </c>
      <c r="W28" s="91" ph="1">
        <f>W27*47.051*LOOKUP(W29,密度!$A$2:$A$50,密度!$B$2:$B$50)</f>
        <v>193897.0063215</v>
      </c>
      <c r="X28" s="91" ph="1">
        <f>X27*47.051*LOOKUP(X29,密度!$A$2:$A$50,密度!$I$2:$I$50)</f>
        <v>484745.12572271994</v>
      </c>
      <c r="Y28" s="91" ph="1">
        <f>Y27*47.051*LOOKUP(Y29,密度!$A$2:$A$50,密度!$L$2:$L$50)</f>
        <v>19191.444186000001</v>
      </c>
      <c r="Z28" s="229"/>
      <c r="AA28" s="230"/>
      <c r="AB28" s="230"/>
      <c r="AC28" s="230"/>
      <c r="AD28" s="230"/>
      <c r="AE28" s="231"/>
      <c r="AH28" s="64" ph="1">
        <v>14</v>
      </c>
      <c r="AI28" s="64" t="s" ph="1">
        <v>395</v>
      </c>
      <c r="AZ28" s="64" t="s" ph="1">
        <v>260</v>
      </c>
      <c r="BA28" s="64" ph="1">
        <v>0</v>
      </c>
    </row>
    <row r="29" spans="1:57" ph="1">
      <c r="A29" s="72" ph="1"/>
      <c r="B29" s="235" ph="1"/>
      <c r="C29" s="157" t="s" ph="1">
        <v>213</v>
      </c>
      <c r="D29" s="74">
        <v>25</v>
      </c>
      <c r="E29" s="74">
        <v>25</v>
      </c>
      <c r="F29" s="74">
        <v>18</v>
      </c>
      <c r="G29" s="74">
        <v>18</v>
      </c>
      <c r="H29" s="74">
        <v>16</v>
      </c>
      <c r="I29" s="74">
        <v>17</v>
      </c>
      <c r="J29" s="74">
        <v>16</v>
      </c>
      <c r="K29" s="74">
        <v>17</v>
      </c>
      <c r="L29" s="74">
        <v>17</v>
      </c>
      <c r="M29" s="74">
        <v>16</v>
      </c>
      <c r="N29" s="74">
        <v>16</v>
      </c>
      <c r="O29" s="74">
        <v>16</v>
      </c>
      <c r="P29" s="74">
        <v>22</v>
      </c>
      <c r="Q29" s="93">
        <v>18</v>
      </c>
      <c r="R29" s="74">
        <v>18</v>
      </c>
      <c r="S29" s="74">
        <v>17</v>
      </c>
      <c r="T29" s="74">
        <v>17</v>
      </c>
      <c r="U29" s="74">
        <v>17</v>
      </c>
      <c r="V29" s="74">
        <v>18</v>
      </c>
      <c r="W29" s="74">
        <v>18</v>
      </c>
      <c r="X29" s="74">
        <v>53</v>
      </c>
      <c r="Y29" s="74">
        <v>20</v>
      </c>
      <c r="Z29" s="232"/>
      <c r="AA29" s="233"/>
      <c r="AB29" s="233"/>
      <c r="AC29" s="233"/>
      <c r="AD29" s="233"/>
      <c r="AE29" s="234"/>
      <c r="AH29" s="64" ph="1">
        <v>15</v>
      </c>
      <c r="AI29" s="64" t="s" ph="1">
        <v>396</v>
      </c>
      <c r="AZ29" s="64" t="s" ph="1">
        <v>260</v>
      </c>
      <c r="BA29" s="64" ph="1">
        <v>0</v>
      </c>
      <c r="BD29" s="64" t="s" ph="1">
        <v>397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398</v>
      </c>
      <c r="AZ30" s="64" t="s" ph="1">
        <v>260</v>
      </c>
      <c r="BA30" s="64" ph="1">
        <v>0</v>
      </c>
    </row>
    <row r="31" spans="1:57" ht="28.5" ph="1">
      <c r="A31" s="64"/>
      <c r="B31" s="218" t="s" ph="1">
        <v>35</v>
      </c>
      <c r="C31" s="219" ph="1"/>
      <c r="D31" s="222" t="s" ph="1">
        <v>9</v>
      </c>
      <c r="E31" s="197" ph="1"/>
      <c r="F31" s="198" ph="1"/>
      <c r="G31" s="222" t="s" ph="1">
        <v>18</v>
      </c>
      <c r="H31" s="197" ph="1"/>
      <c r="I31" s="198" ph="1"/>
      <c r="J31" s="196" t="s" ph="1">
        <v>1</v>
      </c>
      <c r="K31" s="197" ph="1"/>
      <c r="L31" s="198" ph="1"/>
      <c r="M31" s="196" t="s" ph="1">
        <v>7</v>
      </c>
      <c r="N31" s="197" ph="1"/>
      <c r="O31" s="198" ph="1"/>
      <c r="P31" s="196" t="s" ph="1">
        <v>42</v>
      </c>
      <c r="Q31" s="197"/>
      <c r="R31" s="198"/>
      <c r="S31" s="196" t="s" ph="1">
        <v>2</v>
      </c>
      <c r="T31" s="197"/>
      <c r="U31" s="198"/>
      <c r="V31" s="196" t="s" ph="1">
        <v>81</v>
      </c>
      <c r="W31" s="197" ph="1"/>
      <c r="X31" s="198" ph="1"/>
      <c r="Y31" s="196" t="s" ph="1">
        <v>3</v>
      </c>
      <c r="Z31" s="197" ph="1"/>
      <c r="AA31" s="198" ph="1"/>
      <c r="AB31" s="199" t="s">
        <v>43</v>
      </c>
      <c r="AC31" s="200"/>
      <c r="AD31" s="200"/>
      <c r="AE31" s="201"/>
      <c r="AH31" s="64" ph="1">
        <v>17</v>
      </c>
      <c r="AI31" s="64" t="s" ph="1">
        <v>399</v>
      </c>
      <c r="AZ31" s="64" t="s" ph="1">
        <v>260</v>
      </c>
      <c r="BA31" s="64" ph="1">
        <v>0</v>
      </c>
      <c r="BD31" s="64" t="s" ph="1">
        <v>400</v>
      </c>
      <c r="BE31" s="64" ph="1">
        <v>9310</v>
      </c>
    </row>
    <row r="32" spans="1:57" ph="1">
      <c r="A32" s="64"/>
      <c r="B32" s="220" ph="1"/>
      <c r="C32" s="221" ph="1"/>
      <c r="D32" s="96" t="s" ph="1">
        <v>4</v>
      </c>
      <c r="E32" s="157" t="s" ph="1">
        <v>5</v>
      </c>
      <c r="F32" s="158" t="s" ph="1">
        <v>44</v>
      </c>
      <c r="G32" s="97" t="s" ph="1">
        <v>4</v>
      </c>
      <c r="H32" s="157" t="s" ph="1">
        <v>5</v>
      </c>
      <c r="I32" s="158" t="s" ph="1">
        <v>44</v>
      </c>
      <c r="J32" s="97" t="s" ph="1">
        <v>4</v>
      </c>
      <c r="K32" s="157" t="s" ph="1">
        <v>5</v>
      </c>
      <c r="L32" s="158" t="s" ph="1">
        <v>44</v>
      </c>
      <c r="M32" s="97" t="s" ph="1">
        <v>4</v>
      </c>
      <c r="N32" s="157" t="s" ph="1">
        <v>5</v>
      </c>
      <c r="O32" s="158" t="s" ph="1">
        <v>44</v>
      </c>
      <c r="P32" s="97" t="s" ph="1">
        <v>4</v>
      </c>
      <c r="Q32" s="98" t="s" ph="1">
        <v>5</v>
      </c>
      <c r="R32" s="99" t="s" ph="1">
        <v>44</v>
      </c>
      <c r="S32" s="97" t="s" ph="1">
        <v>4</v>
      </c>
      <c r="T32" s="157" t="s" ph="1">
        <v>5</v>
      </c>
      <c r="U32" s="99" t="s" ph="1">
        <v>44</v>
      </c>
      <c r="V32" s="97" t="s" ph="1">
        <v>4</v>
      </c>
      <c r="W32" s="157" t="s" ph="1">
        <v>5</v>
      </c>
      <c r="X32" s="99" t="s" ph="1">
        <v>44</v>
      </c>
      <c r="Y32" s="100" t="s" ph="1">
        <v>4</v>
      </c>
      <c r="Z32" s="157" t="s" ph="1">
        <v>5</v>
      </c>
      <c r="AA32" s="158" t="s" ph="1">
        <v>44</v>
      </c>
      <c r="AB32" s="97" t="s" ph="1">
        <v>102</v>
      </c>
      <c r="AC32" s="157" t="s" ph="1">
        <v>101</v>
      </c>
      <c r="AD32" s="202" t="s" ph="1">
        <v>100</v>
      </c>
      <c r="AE32" s="203"/>
      <c r="AH32" s="64" ph="1">
        <v>18</v>
      </c>
      <c r="AI32" s="64" t="s" ph="1">
        <v>401</v>
      </c>
      <c r="AZ32" s="64" t="s" ph="1">
        <v>260</v>
      </c>
      <c r="BA32" s="64" ph="1">
        <v>0</v>
      </c>
    </row>
    <row r="33" spans="1:57" ph="1">
      <c r="A33" s="64"/>
      <c r="B33" s="204" t="s" ph="1">
        <v>215</v>
      </c>
      <c r="C33" s="205" ph="1"/>
      <c r="D33" s="184" ph="1">
        <f>AA10+AB10+Z19</f>
        <v>133990.58134539999</v>
      </c>
      <c r="E33" s="184" ph="1">
        <f>M10+I10</f>
        <v>182846.65476209999</v>
      </c>
      <c r="F33" s="208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[[#This Row],[F25]]</f>
        <v>3880</v>
      </c>
      <c r="G33" s="210" ph="1">
        <v>0</v>
      </c>
      <c r="H33" s="184" ph="1">
        <f>N19</f>
        <v>12573.69497812</v>
      </c>
      <c r="I33" s="188" ph="1">
        <v>0</v>
      </c>
      <c r="J33" s="192" ph="1">
        <f>F10+O28</f>
        <v>277132.28955359996</v>
      </c>
      <c r="K33" s="184" ph="1">
        <f>O10+K10+E28+R28</f>
        <v>283844.53088273993</v>
      </c>
      <c r="L33" s="194" ph="1">
        <f>BE27</f>
        <v>7100</v>
      </c>
      <c r="M33" s="192" ph="1">
        <f>G10+H10+W28+S28</f>
        <v>797082.16843910003</v>
      </c>
      <c r="N33" s="184" ph="1">
        <f>L10+P10++G28+H28+V28</f>
        <v>304435.43909660005</v>
      </c>
      <c r="O33" s="188" ph="1">
        <f>BE17</f>
        <v>2270</v>
      </c>
      <c r="P33" s="192" ph="1">
        <f>L19</f>
        <v>46946.370482279999</v>
      </c>
      <c r="Q33" s="184" ph="1">
        <f>J10+N10</f>
        <v>156136.2327618</v>
      </c>
      <c r="R33" s="188" ph="1">
        <f>BE23</f>
        <v>890</v>
      </c>
      <c r="S33" s="192" ph="1">
        <f>E10+X28</f>
        <v>484745.12572271994</v>
      </c>
      <c r="T33" s="184" ph="1">
        <f>X19</f>
        <v>14571.22951872</v>
      </c>
      <c r="U33" s="173" ph="1">
        <f>BE21</f>
        <v>730</v>
      </c>
      <c r="V33" s="186" ph="1">
        <f ca="1">P19+Q19+S19+M28+N28+J28</f>
        <v>300259.31647894799</v>
      </c>
      <c r="W33" s="186" ph="1">
        <f>D28+F28+V19+T28</f>
        <v>255203.76696953599</v>
      </c>
      <c r="X33" s="188" ph="1">
        <f>BE29+BE31</f>
        <v>10200</v>
      </c>
      <c r="Y33" s="190" ph="1">
        <f>+Q10+R10+S10+T10+U10+V10+W10+X10+Y10</f>
        <v>114866.88471719998</v>
      </c>
      <c r="Z33" s="171" ph="1">
        <f>D10+T19+U19+Y28+Z10</f>
        <v>360544.44041281997</v>
      </c>
      <c r="AA33" s="173" ph="1">
        <f>BE19</f>
        <v>1440</v>
      </c>
      <c r="AB33" s="175" ph="1">
        <f>I19</f>
        <v>102.6155768</v>
      </c>
      <c r="AC33" s="177" ph="1">
        <f>AD10</f>
        <v>5001.9183680000006</v>
      </c>
      <c r="AD33" s="179" ph="1">
        <v>0</v>
      </c>
      <c r="AE33" s="180"/>
      <c r="AH33" s="64" ph="1">
        <v>19</v>
      </c>
      <c r="AI33" s="64" t="s" ph="1">
        <v>402</v>
      </c>
      <c r="AJ33" s="64" t="s" ph="1">
        <v>636</v>
      </c>
      <c r="AK33" s="64" t="s" ph="1">
        <v>633</v>
      </c>
      <c r="AL33" s="64" ph="1">
        <v>730</v>
      </c>
      <c r="AM33" s="64" t="s" ph="1">
        <v>383</v>
      </c>
      <c r="AZ33" s="64" t="s" ph="1">
        <v>260</v>
      </c>
      <c r="BA33" s="64" ph="1">
        <v>730</v>
      </c>
      <c r="BD33" s="64" t="s" ph="1">
        <v>334</v>
      </c>
      <c r="BE33" s="64" ph="1">
        <v>3880</v>
      </c>
    </row>
    <row r="34" spans="1:57" ph="1">
      <c r="A34" s="64"/>
      <c r="B34" s="206" ph="1"/>
      <c r="C34" s="207" ph="1"/>
      <c r="D34" s="185" ph="1"/>
      <c r="E34" s="185" ph="1"/>
      <c r="F34" s="209" ph="1"/>
      <c r="G34" s="211" ph="1"/>
      <c r="H34" s="185" ph="1"/>
      <c r="I34" s="189" ph="1"/>
      <c r="J34" s="193" ph="1"/>
      <c r="K34" s="185" ph="1"/>
      <c r="L34" s="195" ph="1"/>
      <c r="M34" s="193" ph="1"/>
      <c r="N34" s="185" ph="1"/>
      <c r="O34" s="189" ph="1"/>
      <c r="P34" s="193" ph="1"/>
      <c r="Q34" s="185" ph="1"/>
      <c r="R34" s="189" ph="1"/>
      <c r="S34" s="193" ph="1"/>
      <c r="T34" s="185"/>
      <c r="U34" s="174"/>
      <c r="V34" s="187" ph="1"/>
      <c r="W34" s="187" ph="1"/>
      <c r="X34" s="189" ph="1"/>
      <c r="Y34" s="191" ph="1"/>
      <c r="Z34" s="172" ph="1"/>
      <c r="AA34" s="174" ph="1"/>
      <c r="AB34" s="176"/>
      <c r="AC34" s="178"/>
      <c r="AD34" s="181"/>
      <c r="AE34" s="182"/>
      <c r="AH34" s="64" ph="1">
        <v>20</v>
      </c>
      <c r="AI34" s="64" t="s" ph="1">
        <v>403</v>
      </c>
      <c r="AJ34" s="64" t="s" ph="1">
        <v>637</v>
      </c>
      <c r="AK34" s="64" t="s" ph="1">
        <v>633</v>
      </c>
      <c r="AL34" s="64" ph="1">
        <v>720</v>
      </c>
      <c r="AM34" s="64" t="s" ph="1">
        <v>383</v>
      </c>
      <c r="AZ34" s="64" t="s" ph="1">
        <v>260</v>
      </c>
      <c r="BA34" s="64" ph="1">
        <v>720</v>
      </c>
    </row>
    <row r="35" spans="1:57" ph="1">
      <c r="A35" s="64"/>
      <c r="AC35" s="183" t="s" ph="1">
        <v>84</v>
      </c>
      <c r="AD35" s="183"/>
      <c r="AE35" s="183"/>
      <c r="AH35" s="64" ph="1">
        <v>21</v>
      </c>
      <c r="AI35" s="64" t="s" ph="1">
        <v>404</v>
      </c>
      <c r="AZ35" s="64" t="s" ph="1">
        <v>260</v>
      </c>
      <c r="BA35" s="64" ph="1">
        <v>0</v>
      </c>
      <c r="BD35" s="64" t="s" ph="1">
        <v>405</v>
      </c>
      <c r="BE35" s="64" ph="1">
        <v>2030</v>
      </c>
    </row>
    <row r="36" spans="1:57" ht="28.5" ph="1">
      <c r="A36" s="64"/>
      <c r="B36" s="103" t="s" ph="1">
        <v>216</v>
      </c>
      <c r="I36" s="169" t="s" ph="1">
        <v>217</v>
      </c>
      <c r="J36" s="169" ph="1"/>
      <c r="K36" s="101" ph="1"/>
      <c r="P36" s="101" ph="1"/>
      <c r="R36" s="169" t="s" ph="1">
        <v>218</v>
      </c>
      <c r="S36" s="169" ph="1"/>
      <c r="Y36" s="102" ph="1"/>
      <c r="Z36" s="159" t="s" ph="1">
        <v>219</v>
      </c>
      <c r="AA36" s="159" ph="1"/>
      <c r="AB36" s="170" t="s" ph="1">
        <v>655</v>
      </c>
      <c r="AC36" s="170" ph="1"/>
      <c r="AD36" s="170" ph="1"/>
      <c r="AE36" s="170" ph="1"/>
      <c r="BA36" s="64" ph="1">
        <v>2270</v>
      </c>
    </row>
    <row r="37" spans="1:57" s="15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9" t="s" ph="1">
        <v>386</v>
      </c>
      <c r="AI37" s="159" t="s" ph="1">
        <v>253</v>
      </c>
      <c r="AJ37" s="159" t="s" ph="1">
        <v>254</v>
      </c>
      <c r="AK37" s="159" t="s" ph="1">
        <v>255</v>
      </c>
      <c r="AM37" s="159" t="s" ph="1">
        <v>254</v>
      </c>
      <c r="AN37" s="159" t="s" ph="1">
        <v>255</v>
      </c>
      <c r="AO37" s="159" t="s" ph="1">
        <v>256</v>
      </c>
      <c r="AP37" s="159" t="s" ph="1">
        <v>254</v>
      </c>
      <c r="AQ37" s="159" t="s" ph="1">
        <v>255</v>
      </c>
      <c r="AR37" s="159" t="s" ph="1">
        <v>256</v>
      </c>
      <c r="AS37" s="159" t="s" ph="1">
        <v>254</v>
      </c>
      <c r="AT37" s="159" t="s" ph="1">
        <v>255</v>
      </c>
      <c r="AU37" s="159" t="s" ph="1">
        <v>256</v>
      </c>
      <c r="AV37" s="159" t="s" ph="1">
        <v>254</v>
      </c>
      <c r="AW37" s="159" t="s" ph="1">
        <v>255</v>
      </c>
      <c r="AX37" s="159" t="s" ph="1">
        <v>256</v>
      </c>
      <c r="AY37" s="159" t="s" ph="1">
        <v>255</v>
      </c>
      <c r="AZ37" s="159" t="s" ph="1">
        <v>257</v>
      </c>
      <c r="BD37" s="159" t="s" ph="1">
        <v>349</v>
      </c>
      <c r="BE37" s="159" ph="1">
        <v>0</v>
      </c>
    </row>
    <row r="38" spans="1:57" ph="1">
      <c r="AE38" s="64" ph="1"/>
      <c r="AH38" s="64" ph="1">
        <v>1</v>
      </c>
      <c r="AI38" s="64" t="s" ph="1">
        <v>406</v>
      </c>
      <c r="AY38" s="64" t="s" ph="1">
        <v>260</v>
      </c>
      <c r="AZ38" s="64" t="s" ph="1">
        <v>411</v>
      </c>
    </row>
    <row r="39" spans="1:57" ph="1">
      <c r="AH39" s="64" ph="1">
        <v>2</v>
      </c>
      <c r="AI39" s="64" t="s" ph="1">
        <v>408</v>
      </c>
      <c r="AJ39" s="64" t="s" ph="1">
        <v>380</v>
      </c>
      <c r="AK39" s="64" t="s" ph="1">
        <v>409</v>
      </c>
      <c r="AM39" s="64" t="s" ph="1">
        <v>614</v>
      </c>
      <c r="AN39" s="64" t="s" ph="1">
        <v>272</v>
      </c>
      <c r="AO39" s="64" t="s" ph="1">
        <v>407</v>
      </c>
      <c r="AY39" s="64" t="s" ph="1">
        <v>260</v>
      </c>
      <c r="AZ39" s="64" t="s" ph="1">
        <v>543</v>
      </c>
    </row>
    <row r="40" spans="1:57" ph="1">
      <c r="AH40" s="64" ph="1">
        <v>3</v>
      </c>
      <c r="AI40" s="64" t="s" ph="1">
        <v>410</v>
      </c>
      <c r="AJ40" s="64" t="s" ph="1">
        <v>614</v>
      </c>
      <c r="AK40" s="64" t="s" ph="1">
        <v>615</v>
      </c>
      <c r="AY40" s="64" t="s" ph="1">
        <v>260</v>
      </c>
      <c r="AZ40" s="64" t="s" ph="1">
        <v>615</v>
      </c>
    </row>
    <row r="41" spans="1:57" ph="1">
      <c r="AH41" s="64" ph="1">
        <v>4</v>
      </c>
      <c r="AI41" s="64" t="s" ph="1">
        <v>412</v>
      </c>
      <c r="AJ41" s="64" t="s" ph="1">
        <v>616</v>
      </c>
      <c r="AK41" s="64" t="s" ph="1">
        <v>617</v>
      </c>
      <c r="AM41" s="64" t="s" ph="1">
        <v>618</v>
      </c>
      <c r="AY41" s="64" t="s" ph="1">
        <v>260</v>
      </c>
      <c r="AZ41" s="64" t="s" ph="1">
        <v>617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413</v>
      </c>
      <c r="AY42" s="64" t="s" ph="1">
        <v>260</v>
      </c>
      <c r="AZ42" s="64" t="s" ph="1">
        <v>411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414</v>
      </c>
      <c r="AY43" s="64" t="s" ph="1">
        <v>260</v>
      </c>
      <c r="AZ43" s="64" t="s" ph="1">
        <v>411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415</v>
      </c>
      <c r="AV44" s="64" t="s" ph="1">
        <v>261</v>
      </c>
      <c r="AY44" s="64" t="s" ph="1">
        <v>260</v>
      </c>
      <c r="AZ44" s="64" t="s" ph="1">
        <v>411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416</v>
      </c>
      <c r="AV45" s="64" t="s" ph="1">
        <v>261</v>
      </c>
      <c r="AY45" s="64" t="s" ph="1">
        <v>260</v>
      </c>
      <c r="AZ45" s="64" t="s" ph="1">
        <v>411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417</v>
      </c>
      <c r="AV46" s="64" t="s" ph="1">
        <v>261</v>
      </c>
      <c r="AY46" s="64" t="s" ph="1">
        <v>260</v>
      </c>
      <c r="AZ46" s="64" t="s" ph="1">
        <v>411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418</v>
      </c>
      <c r="AV47" s="64" t="s" ph="1">
        <v>261</v>
      </c>
      <c r="AY47" s="64" t="s" ph="1">
        <v>260</v>
      </c>
      <c r="AZ47" s="64" t="s" ph="1">
        <v>411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619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276</v>
      </c>
      <c r="AI49" s="64" t="s" ph="1">
        <v>253</v>
      </c>
      <c r="AJ49" s="64" t="s" ph="1">
        <v>254</v>
      </c>
      <c r="AK49" s="64" t="s" ph="1">
        <v>255</v>
      </c>
      <c r="AM49" s="64" t="s" ph="1">
        <v>254</v>
      </c>
      <c r="AN49" s="64" t="s" ph="1">
        <v>255</v>
      </c>
      <c r="AO49" s="64" t="s" ph="1">
        <v>256</v>
      </c>
      <c r="AP49" s="64" t="s" ph="1">
        <v>254</v>
      </c>
      <c r="AQ49" s="64" t="s" ph="1">
        <v>255</v>
      </c>
      <c r="AR49" s="64" t="s" ph="1">
        <v>256</v>
      </c>
      <c r="AS49" s="64" t="s" ph="1">
        <v>254</v>
      </c>
      <c r="AT49" s="64" t="s" ph="1">
        <v>255</v>
      </c>
      <c r="AU49" s="64" t="s" ph="1">
        <v>256</v>
      </c>
      <c r="AV49" s="64" t="s" ph="1">
        <v>254</v>
      </c>
      <c r="AW49" s="64" t="s" ph="1">
        <v>255</v>
      </c>
      <c r="AX49" s="64" t="s" ph="1">
        <v>256</v>
      </c>
      <c r="AY49" s="64" t="s" ph="1">
        <v>255</v>
      </c>
      <c r="AZ49" s="64" t="s" ph="1">
        <v>257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419</v>
      </c>
      <c r="AY50" s="64" t="s" ph="1">
        <v>260</v>
      </c>
      <c r="AZ50" s="64" t="s" ph="1">
        <v>411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420</v>
      </c>
      <c r="AY51" s="64" t="s" ph="1">
        <v>260</v>
      </c>
      <c r="AZ51" s="64" t="s" ph="1">
        <v>411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421</v>
      </c>
      <c r="AJ52" s="64" t="s" ph="1">
        <v>378</v>
      </c>
      <c r="AK52" s="64" t="s" ph="1">
        <v>272</v>
      </c>
      <c r="AM52" s="64" t="s" ph="1">
        <v>380</v>
      </c>
      <c r="AN52" s="64" t="s" ph="1">
        <v>344</v>
      </c>
      <c r="AO52" s="64" t="s" ph="1">
        <v>277</v>
      </c>
      <c r="AP52" s="64" t="s" ph="1">
        <v>614</v>
      </c>
      <c r="AQ52" s="64" t="s" ph="1">
        <v>326</v>
      </c>
      <c r="AR52" s="64" t="s" ph="1">
        <v>277</v>
      </c>
      <c r="AY52" s="64" t="s" ph="1">
        <v>260</v>
      </c>
      <c r="AZ52" s="64" t="s" ph="1">
        <v>620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422</v>
      </c>
      <c r="AY53" s="64" t="s" ph="1">
        <v>260</v>
      </c>
      <c r="AZ53" s="64" t="s" ph="1">
        <v>411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423</v>
      </c>
      <c r="AJ54" s="64" t="s" ph="1">
        <v>378</v>
      </c>
      <c r="AK54" s="64" t="s" ph="1">
        <v>263</v>
      </c>
      <c r="AM54" s="64" t="s" ph="1">
        <v>380</v>
      </c>
      <c r="AN54" s="64" t="s" ph="1">
        <v>268</v>
      </c>
      <c r="AO54" s="64" t="s" ph="1">
        <v>277</v>
      </c>
      <c r="AP54" s="64" t="s" ph="1">
        <v>614</v>
      </c>
      <c r="AQ54" s="64" t="s" ph="1">
        <v>284</v>
      </c>
      <c r="AR54" s="64" t="s" ph="1">
        <v>277</v>
      </c>
      <c r="AY54" s="64" t="s" ph="1">
        <v>260</v>
      </c>
      <c r="AZ54" s="64" t="s" ph="1">
        <v>278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424</v>
      </c>
      <c r="AY55" s="64" t="s" ph="1">
        <v>260</v>
      </c>
      <c r="AZ55" s="64" t="s" ph="1">
        <v>411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425</v>
      </c>
      <c r="AY56" s="64" t="s" ph="1">
        <v>260</v>
      </c>
      <c r="AZ56" s="64" t="s" ph="1">
        <v>411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426</v>
      </c>
      <c r="AY57" s="64" t="s" ph="1">
        <v>260</v>
      </c>
      <c r="AZ57" s="64" t="s" ph="1">
        <v>411</v>
      </c>
    </row>
    <row r="58" spans="16:52" ph="1">
      <c r="P58" s="64"/>
      <c r="AN58" s="64" t="s" ph="1">
        <v>261</v>
      </c>
      <c r="AZ58" s="64" t="s" ph="1">
        <v>621</v>
      </c>
    </row>
    <row r="59" spans="16:52" ph="1">
      <c r="V59" s="64"/>
      <c r="AG59" s="64" t="s" ph="1">
        <v>279</v>
      </c>
      <c r="AI59" s="64" t="s" ph="1">
        <v>253</v>
      </c>
      <c r="AJ59" s="64" t="s" ph="1">
        <v>254</v>
      </c>
      <c r="AK59" s="64" t="s" ph="1">
        <v>255</v>
      </c>
      <c r="AM59" s="64" t="s" ph="1">
        <v>254</v>
      </c>
      <c r="AN59" s="64" t="s" ph="1">
        <v>255</v>
      </c>
      <c r="AO59" s="64" t="s" ph="1">
        <v>256</v>
      </c>
      <c r="AP59" s="64" t="s" ph="1">
        <v>254</v>
      </c>
      <c r="AQ59" s="64" t="s" ph="1">
        <v>255</v>
      </c>
      <c r="AR59" s="64" t="s" ph="1">
        <v>256</v>
      </c>
      <c r="AS59" s="64" t="s" ph="1">
        <v>254</v>
      </c>
      <c r="AT59" s="64" t="s" ph="1">
        <v>255</v>
      </c>
      <c r="AU59" s="64" t="s" ph="1">
        <v>256</v>
      </c>
      <c r="AV59" s="64" t="s" ph="1">
        <v>254</v>
      </c>
      <c r="AW59" s="64" t="s" ph="1">
        <v>255</v>
      </c>
      <c r="AX59" s="64" t="s" ph="1">
        <v>256</v>
      </c>
      <c r="AY59" s="64" t="s" ph="1">
        <v>255</v>
      </c>
      <c r="AZ59" s="64" t="s" ph="1">
        <v>257</v>
      </c>
    </row>
    <row r="60" spans="16:52" ph="1">
      <c r="R60" s="64"/>
      <c r="S60" s="64"/>
      <c r="T60" s="64"/>
      <c r="AH60" s="64" ph="1">
        <v>1</v>
      </c>
      <c r="AI60" s="64" t="s" ph="1">
        <v>427</v>
      </c>
      <c r="AY60" s="64" t="s" ph="1">
        <v>260</v>
      </c>
      <c r="AZ60" s="64" t="s" ph="1">
        <v>411</v>
      </c>
    </row>
    <row r="61" spans="16:52" ph="1">
      <c r="AH61" s="64" ph="1">
        <v>2</v>
      </c>
      <c r="AI61" s="64" t="s" ph="1">
        <v>428</v>
      </c>
      <c r="AS61" s="64" t="s" ph="1">
        <v>261</v>
      </c>
      <c r="AY61" s="64" t="s" ph="1">
        <v>260</v>
      </c>
      <c r="AZ61" s="64" t="s" ph="1">
        <v>411</v>
      </c>
    </row>
    <row r="62" spans="16:52" ph="1">
      <c r="AZ62" s="64" t="s" ph="1">
        <v>429</v>
      </c>
    </row>
    <row r="63" spans="16:52" ph="1">
      <c r="AG63" s="64" t="s" ph="1">
        <v>282</v>
      </c>
      <c r="AI63" s="64" t="s" ph="1">
        <v>253</v>
      </c>
      <c r="AJ63" s="64" t="s" ph="1">
        <v>254</v>
      </c>
      <c r="AK63" s="64" t="s" ph="1">
        <v>255</v>
      </c>
      <c r="AM63" s="64" t="s" ph="1">
        <v>254</v>
      </c>
      <c r="AN63" s="64" t="s" ph="1">
        <v>255</v>
      </c>
      <c r="AO63" s="64" t="s" ph="1">
        <v>256</v>
      </c>
      <c r="AP63" s="64" t="s" ph="1">
        <v>254</v>
      </c>
      <c r="AQ63" s="64" t="s" ph="1">
        <v>255</v>
      </c>
      <c r="AR63" s="64" t="s" ph="1">
        <v>256</v>
      </c>
      <c r="AS63" s="64" t="s" ph="1">
        <v>254</v>
      </c>
      <c r="AT63" s="64" t="s" ph="1">
        <v>255</v>
      </c>
      <c r="AU63" s="64" t="s" ph="1">
        <v>256</v>
      </c>
      <c r="AV63" s="64" t="s" ph="1">
        <v>254</v>
      </c>
      <c r="AW63" s="64" t="s" ph="1">
        <v>255</v>
      </c>
      <c r="AX63" s="64" t="s" ph="1">
        <v>256</v>
      </c>
      <c r="AY63" s="64" t="s" ph="1">
        <v>255</v>
      </c>
      <c r="AZ63" s="64" t="s" ph="1">
        <v>257</v>
      </c>
    </row>
    <row r="64" spans="16:52" ph="1">
      <c r="AH64" s="64" ph="1">
        <v>1</v>
      </c>
      <c r="AI64" s="64" t="s" ph="1">
        <v>430</v>
      </c>
      <c r="AJ64" s="64" t="s" ph="1">
        <v>431</v>
      </c>
      <c r="AK64" s="64" t="s" ph="1">
        <v>432</v>
      </c>
      <c r="AY64" s="64" t="s" ph="1">
        <v>260</v>
      </c>
      <c r="AZ64" s="64" t="s" ph="1">
        <v>432</v>
      </c>
    </row>
    <row r="65" spans="33:52" ph="1">
      <c r="AH65" s="64" ph="1">
        <v>2</v>
      </c>
      <c r="AI65" s="64" t="s" ph="1">
        <v>433</v>
      </c>
      <c r="AY65" s="64" t="s" ph="1">
        <v>260</v>
      </c>
      <c r="AZ65" s="64" t="s" ph="1">
        <v>411</v>
      </c>
    </row>
    <row r="66" spans="33:52" ph="1">
      <c r="AH66" s="64" ph="1">
        <v>3</v>
      </c>
      <c r="AI66" s="64" t="s" ph="1">
        <v>434</v>
      </c>
      <c r="AY66" s="64" t="s" ph="1">
        <v>260</v>
      </c>
      <c r="AZ66" s="64" t="s" ph="1">
        <v>411</v>
      </c>
    </row>
    <row r="67" spans="33:52" ph="1">
      <c r="AH67" s="64" ph="1">
        <v>4</v>
      </c>
      <c r="AI67" s="64" t="s" ph="1">
        <v>435</v>
      </c>
      <c r="AY67" s="64" t="s" ph="1">
        <v>260</v>
      </c>
      <c r="AZ67" s="64" t="s" ph="1">
        <v>411</v>
      </c>
    </row>
    <row r="68" spans="33:52" ph="1">
      <c r="AH68" s="64" ph="1">
        <v>5</v>
      </c>
      <c r="AI68" s="64" t="s" ph="1">
        <v>436</v>
      </c>
      <c r="AY68" s="64" t="s" ph="1">
        <v>260</v>
      </c>
      <c r="AZ68" s="64" t="s" ph="1">
        <v>411</v>
      </c>
    </row>
    <row r="69" spans="33:52" ph="1">
      <c r="AH69" s="64" ph="1">
        <v>6</v>
      </c>
      <c r="AI69" s="64" t="s" ph="1">
        <v>437</v>
      </c>
      <c r="AY69" s="64" t="s" ph="1">
        <v>260</v>
      </c>
      <c r="AZ69" s="64" t="s" ph="1">
        <v>411</v>
      </c>
    </row>
    <row r="70" spans="33:52" ph="1">
      <c r="AI70" s="64" t="s" ph="1">
        <v>438</v>
      </c>
      <c r="AY70" s="64" t="s" ph="1">
        <v>260</v>
      </c>
      <c r="AZ70" s="64" t="s" ph="1">
        <v>411</v>
      </c>
    </row>
    <row r="71" spans="33:52" ph="1">
      <c r="AH71" s="64" ph="1">
        <v>7</v>
      </c>
      <c r="AI71" s="64" t="s" ph="1">
        <v>439</v>
      </c>
      <c r="AJ71" s="64" t="s" ph="1">
        <v>378</v>
      </c>
      <c r="AK71" s="64" t="s" ph="1">
        <v>272</v>
      </c>
      <c r="AM71" s="64" t="s" ph="1">
        <v>380</v>
      </c>
      <c r="AN71" s="64" t="s" ph="1">
        <v>272</v>
      </c>
      <c r="AO71" s="64" t="s" ph="1">
        <v>440</v>
      </c>
      <c r="AP71" s="64" t="s" ph="1">
        <v>614</v>
      </c>
      <c r="AQ71" s="64" t="s" ph="1">
        <v>263</v>
      </c>
      <c r="AR71" s="64" t="s" ph="1">
        <v>440</v>
      </c>
      <c r="AY71" s="64" t="s" ph="1">
        <v>260</v>
      </c>
      <c r="AZ71" s="64" t="s" ph="1">
        <v>622</v>
      </c>
    </row>
    <row r="72" spans="33:52" ph="1">
      <c r="AZ72" s="64" t="s" ph="1">
        <v>623</v>
      </c>
    </row>
    <row r="73" spans="33:52" ph="1">
      <c r="AG73" s="64" t="s" ph="1">
        <v>285</v>
      </c>
      <c r="AI73" s="64" t="s" ph="1">
        <v>253</v>
      </c>
      <c r="AJ73" s="64" t="s" ph="1">
        <v>254</v>
      </c>
      <c r="AK73" s="64" t="s" ph="1">
        <v>255</v>
      </c>
      <c r="AM73" s="64" t="s" ph="1">
        <v>254</v>
      </c>
      <c r="AN73" s="64" t="s" ph="1">
        <v>255</v>
      </c>
      <c r="AO73" s="64" t="s" ph="1">
        <v>256</v>
      </c>
      <c r="AP73" s="64" t="s" ph="1">
        <v>254</v>
      </c>
      <c r="AQ73" s="64" t="s" ph="1">
        <v>255</v>
      </c>
      <c r="AR73" s="64" t="s" ph="1">
        <v>256</v>
      </c>
      <c r="AS73" s="64" t="s" ph="1">
        <v>254</v>
      </c>
      <c r="AT73" s="64" t="s" ph="1">
        <v>255</v>
      </c>
      <c r="AU73" s="64" t="s" ph="1">
        <v>256</v>
      </c>
      <c r="AV73" s="64" t="s" ph="1">
        <v>254</v>
      </c>
      <c r="AW73" s="64" t="s" ph="1">
        <v>255</v>
      </c>
      <c r="AX73" s="64" t="s" ph="1">
        <v>256</v>
      </c>
      <c r="AY73" s="64" t="s" ph="1">
        <v>255</v>
      </c>
      <c r="AZ73" s="64" t="s" ph="1">
        <v>257</v>
      </c>
    </row>
    <row r="74" spans="33:52" ph="1">
      <c r="AH74" s="64" ph="1">
        <v>1</v>
      </c>
      <c r="AI74" s="64" t="s" ph="1">
        <v>441</v>
      </c>
      <c r="AJ74" s="64" t="s" ph="1">
        <v>286</v>
      </c>
      <c r="AK74" s="64" t="s" ph="1">
        <v>268</v>
      </c>
      <c r="AM74" s="64" t="s" ph="1">
        <v>288</v>
      </c>
      <c r="AN74" s="64" t="s" ph="1">
        <v>298</v>
      </c>
      <c r="AO74" s="64" t="s" ph="1">
        <v>287</v>
      </c>
      <c r="AP74" s="64" t="s" ph="1">
        <v>289</v>
      </c>
      <c r="AQ74" s="64" t="s" ph="1">
        <v>266</v>
      </c>
      <c r="AR74" s="64" t="s" ph="1">
        <v>287</v>
      </c>
      <c r="AS74" s="64" t="s" ph="1">
        <v>259</v>
      </c>
      <c r="AT74" s="64" t="s" ph="1">
        <v>261</v>
      </c>
      <c r="AV74" s="64" t="s" ph="1">
        <v>442</v>
      </c>
      <c r="AW74" s="64" t="s" ph="1">
        <v>443</v>
      </c>
      <c r="AX74" s="64" t="s" ph="1">
        <v>444</v>
      </c>
      <c r="AY74" s="64" t="s" ph="1">
        <v>260</v>
      </c>
      <c r="AZ74" s="64" t="s" ph="1">
        <v>445</v>
      </c>
    </row>
    <row r="75" spans="33:52" ph="1">
      <c r="AJ75" s="64" t="s" ph="1">
        <v>291</v>
      </c>
      <c r="AK75" s="64" t="s" ph="1">
        <v>344</v>
      </c>
      <c r="AM75" s="64" t="s" ph="1">
        <v>289</v>
      </c>
      <c r="AN75" s="64" t="s" ph="1">
        <v>269</v>
      </c>
      <c r="AO75" s="64" t="s" ph="1">
        <v>287</v>
      </c>
      <c r="AS75" s="64" t="s" ph="1">
        <v>259</v>
      </c>
      <c r="AT75" s="64" t="s" ph="1">
        <v>290</v>
      </c>
    </row>
    <row r="76" spans="33:52" ph="1">
      <c r="AJ76" s="64" t="s" ph="1">
        <v>291</v>
      </c>
      <c r="AK76" s="64" t="s" ph="1">
        <v>284</v>
      </c>
      <c r="AM76" s="64" t="s" ph="1">
        <v>289</v>
      </c>
      <c r="AN76" s="64" t="s" ph="1">
        <v>272</v>
      </c>
      <c r="AO76" s="64" t="s" ph="1">
        <v>287</v>
      </c>
      <c r="AS76" s="64" t="s" ph="1">
        <v>259</v>
      </c>
      <c r="AT76" s="64" t="s" ph="1">
        <v>290</v>
      </c>
    </row>
    <row r="77" spans="33:52" ph="1">
      <c r="AJ77" s="64" t="s" ph="1">
        <v>327</v>
      </c>
      <c r="AK77" s="64" t="s" ph="1">
        <v>284</v>
      </c>
      <c r="AM77" s="64" t="s" ph="1">
        <v>328</v>
      </c>
      <c r="AN77" s="64" t="s" ph="1">
        <v>267</v>
      </c>
      <c r="AO77" s="64" t="s" ph="1">
        <v>287</v>
      </c>
      <c r="AS77" s="64" t="s" ph="1">
        <v>259</v>
      </c>
      <c r="AT77" s="64" t="s" ph="1">
        <v>329</v>
      </c>
    </row>
    <row r="78" spans="33:52" ph="1">
      <c r="AH78" s="64" ph="1">
        <v>2</v>
      </c>
      <c r="AI78" s="64" t="s" ph="1">
        <v>293</v>
      </c>
      <c r="AJ78" s="64" t="s" ph="1">
        <v>294</v>
      </c>
      <c r="AK78" s="64" t="s" ph="1">
        <v>263</v>
      </c>
      <c r="AM78" s="64" t="s" ph="1">
        <v>295</v>
      </c>
      <c r="AN78" s="64" t="s" ph="1">
        <v>298</v>
      </c>
      <c r="AO78" s="64" t="s" ph="1">
        <v>287</v>
      </c>
      <c r="AP78" s="64" t="s" ph="1">
        <v>296</v>
      </c>
      <c r="AQ78" s="64" t="s" ph="1">
        <v>342</v>
      </c>
      <c r="AR78" s="64" t="s" ph="1">
        <v>287</v>
      </c>
      <c r="AS78" s="64" t="s" ph="1">
        <v>297</v>
      </c>
      <c r="AT78" s="64" t="s" ph="1">
        <v>298</v>
      </c>
      <c r="AU78" s="64" t="s" ph="1">
        <v>287</v>
      </c>
      <c r="AV78" s="64" t="s" ph="1">
        <v>299</v>
      </c>
      <c r="AW78" s="64" t="s" ph="1">
        <v>287</v>
      </c>
      <c r="AY78" s="64" t="s" ph="1">
        <v>260</v>
      </c>
      <c r="AZ78" s="64" t="s" ph="1">
        <v>446</v>
      </c>
    </row>
    <row r="79" spans="33:52" ph="1">
      <c r="AJ79" s="64" t="s" ph="1">
        <v>289</v>
      </c>
      <c r="AK79" s="64" t="s" ph="1">
        <v>300</v>
      </c>
      <c r="AM79" s="64" t="s" ph="1">
        <v>301</v>
      </c>
      <c r="AN79" s="64" t="s" ph="1">
        <v>269</v>
      </c>
      <c r="AO79" s="64" t="s" ph="1">
        <v>287</v>
      </c>
      <c r="AP79" s="64" t="s" ph="1">
        <v>302</v>
      </c>
      <c r="AQ79" s="64" t="s" ph="1">
        <v>267</v>
      </c>
      <c r="AR79" s="64" t="s" ph="1">
        <v>303</v>
      </c>
      <c r="AS79" s="64" t="s" ph="1">
        <v>259</v>
      </c>
      <c r="AT79" s="64" t="s" ph="1">
        <v>304</v>
      </c>
      <c r="AV79" s="64" t="s" ph="1">
        <v>447</v>
      </c>
      <c r="AW79" s="64" t="s" ph="1">
        <v>346</v>
      </c>
      <c r="AX79" s="64" t="s" ph="1">
        <v>444</v>
      </c>
    </row>
    <row r="80" spans="33:52" ph="1">
      <c r="AH80" s="64" ph="1">
        <v>3</v>
      </c>
      <c r="AI80" s="64" t="s" ph="1">
        <v>305</v>
      </c>
      <c r="AJ80" s="64" t="s" ph="1">
        <v>306</v>
      </c>
      <c r="AK80" s="64" t="s" ph="1">
        <v>307</v>
      </c>
      <c r="AM80" s="64" t="s" ph="1">
        <v>308</v>
      </c>
      <c r="AN80" s="64" t="s" ph="1">
        <v>298</v>
      </c>
      <c r="AO80" s="64" t="s" ph="1">
        <v>287</v>
      </c>
      <c r="AP80" s="64" t="s" ph="1">
        <v>309</v>
      </c>
      <c r="AQ80" s="64" t="s" ph="1">
        <v>272</v>
      </c>
      <c r="AR80" s="64" t="s" ph="1">
        <v>287</v>
      </c>
      <c r="AS80" s="64" t="s" ph="1">
        <v>310</v>
      </c>
      <c r="AT80" s="64" t="s" ph="1">
        <v>271</v>
      </c>
      <c r="AU80" s="64" t="s" ph="1">
        <v>287</v>
      </c>
      <c r="AV80" s="64" t="s" ph="1">
        <v>311</v>
      </c>
      <c r="AW80" s="64" t="s" ph="1">
        <v>287</v>
      </c>
      <c r="AY80" s="64" t="s" ph="1">
        <v>260</v>
      </c>
      <c r="AZ80" s="64" t="s" ph="1">
        <v>448</v>
      </c>
    </row>
    <row r="81" spans="34:52" ph="1">
      <c r="AJ81" s="64" t="s" ph="1">
        <v>312</v>
      </c>
      <c r="AK81" s="64" t="s" ph="1">
        <v>266</v>
      </c>
      <c r="AM81" s="64" t="s" ph="1">
        <v>313</v>
      </c>
      <c r="AN81" s="64" t="s" ph="1">
        <v>269</v>
      </c>
      <c r="AO81" s="64" t="s" ph="1">
        <v>287</v>
      </c>
      <c r="AP81" s="64" t="s" ph="1">
        <v>314</v>
      </c>
      <c r="AQ81" s="64" t="s" ph="1">
        <v>298</v>
      </c>
      <c r="AR81" s="64" t="s" ph="1">
        <v>287</v>
      </c>
      <c r="AS81" s="64" t="s" ph="1">
        <v>315</v>
      </c>
      <c r="AT81" s="64" t="s" ph="1">
        <v>316</v>
      </c>
      <c r="AU81" s="64" t="s" ph="1">
        <v>287</v>
      </c>
      <c r="AV81" s="64" t="s" ph="1">
        <v>317</v>
      </c>
    </row>
    <row r="82" spans="34:52" ph="1">
      <c r="AJ82" s="64" t="s" ph="1">
        <v>318</v>
      </c>
      <c r="AK82" s="64" t="s" ph="1">
        <v>266</v>
      </c>
      <c r="AM82" s="64" t="s" ph="1">
        <v>319</v>
      </c>
      <c r="AN82" s="64" t="s" ph="1">
        <v>316</v>
      </c>
      <c r="AO82" s="64" t="s" ph="1">
        <v>320</v>
      </c>
      <c r="AP82" s="64" t="s" ph="1">
        <v>321</v>
      </c>
      <c r="AQ82" s="64" t="s" ph="1">
        <v>298</v>
      </c>
      <c r="AR82" s="64" t="s" ph="1">
        <v>287</v>
      </c>
      <c r="AS82" s="64" t="s" ph="1">
        <v>322</v>
      </c>
      <c r="AT82" s="64" t="s" ph="1">
        <v>273</v>
      </c>
      <c r="AU82" s="64" t="s" ph="1">
        <v>287</v>
      </c>
      <c r="AV82" s="64" t="s" ph="1">
        <v>447</v>
      </c>
      <c r="AW82" s="64" t="s" ph="1">
        <v>347</v>
      </c>
      <c r="AX82" s="64" t="s" ph="1">
        <v>444</v>
      </c>
    </row>
    <row r="83" spans="34:52" ph="1">
      <c r="AJ83" s="64" t="s" ph="1">
        <v>323</v>
      </c>
      <c r="AK83" s="64" t="s" ph="1">
        <v>340</v>
      </c>
      <c r="AM83" s="64" t="s" ph="1">
        <v>324</v>
      </c>
      <c r="AN83" s="64" t="s" ph="1">
        <v>272</v>
      </c>
      <c r="AO83" s="64" t="s" ph="1">
        <v>303</v>
      </c>
      <c r="AP83" s="64" t="s" ph="1">
        <v>325</v>
      </c>
      <c r="AQ83" s="64" t="s" ph="1">
        <v>326</v>
      </c>
      <c r="AR83" s="64" t="s" ph="1">
        <v>303</v>
      </c>
      <c r="AS83" s="64" t="s" ph="1">
        <v>449</v>
      </c>
      <c r="AT83" s="64" t="s" ph="1">
        <v>298</v>
      </c>
      <c r="AU83" s="64" t="s" ph="1">
        <v>303</v>
      </c>
      <c r="AV83" s="64" t="s" ph="1">
        <v>450</v>
      </c>
      <c r="AW83" s="64" t="s" ph="1">
        <v>347</v>
      </c>
      <c r="AX83" s="64" t="s" ph="1">
        <v>451</v>
      </c>
    </row>
    <row r="84" spans="34:52" ph="1">
      <c r="AH84" s="64" ph="1">
        <v>4</v>
      </c>
      <c r="AI84" s="64" t="s" ph="1">
        <v>330</v>
      </c>
      <c r="AJ84" s="64" t="s" ph="1">
        <v>270</v>
      </c>
      <c r="AK84" s="64" t="s" ph="1">
        <v>273</v>
      </c>
      <c r="AM84" s="64" t="s" ph="1">
        <v>274</v>
      </c>
      <c r="AN84" s="64" t="s" ph="1">
        <v>267</v>
      </c>
      <c r="AO84" s="64" t="s" ph="1">
        <v>303</v>
      </c>
      <c r="AP84" s="64" t="s" ph="1">
        <v>332</v>
      </c>
      <c r="AQ84" s="64" t="s" ph="1">
        <v>266</v>
      </c>
      <c r="AR84" s="64" t="s" ph="1">
        <v>303</v>
      </c>
      <c r="AS84" s="64" t="s" ph="1">
        <v>332</v>
      </c>
      <c r="AT84" s="64" t="s" ph="1">
        <v>268</v>
      </c>
      <c r="AU84" s="64" t="s" ph="1">
        <v>303</v>
      </c>
      <c r="AY84" s="64" t="s" ph="1">
        <v>260</v>
      </c>
      <c r="AZ84" s="64" t="s" ph="1">
        <v>452</v>
      </c>
    </row>
    <row r="85" spans="34:52" ph="1">
      <c r="AJ85" s="64" t="s" ph="1">
        <v>262</v>
      </c>
      <c r="AK85" s="64" t="s" ph="1">
        <v>266</v>
      </c>
      <c r="AM85" s="64" t="s" ph="1">
        <v>453</v>
      </c>
      <c r="AN85" s="64" t="s" ph="1">
        <v>273</v>
      </c>
      <c r="AO85" s="64" t="s" ph="1">
        <v>303</v>
      </c>
      <c r="AP85" s="64" t="s" ph="1">
        <v>454</v>
      </c>
      <c r="AQ85" s="64" t="s" ph="1">
        <v>269</v>
      </c>
      <c r="AR85" s="64" t="s" ph="1">
        <v>303</v>
      </c>
      <c r="AS85" s="64" t="s" ph="1">
        <v>455</v>
      </c>
      <c r="AT85" s="64" t="s" ph="1">
        <v>269</v>
      </c>
      <c r="AU85" s="64" t="s" ph="1">
        <v>303</v>
      </c>
    </row>
    <row r="86" spans="34:52" ph="1">
      <c r="AJ86" s="64" t="s" ph="1">
        <v>456</v>
      </c>
      <c r="AK86" s="64" t="s" ph="1">
        <v>275</v>
      </c>
      <c r="AM86" s="64" t="s" ph="1">
        <v>457</v>
      </c>
      <c r="AN86" s="64" t="s" ph="1">
        <v>316</v>
      </c>
      <c r="AO86" s="64" t="s" ph="1">
        <v>303</v>
      </c>
      <c r="AP86" s="64" t="s" ph="1">
        <v>458</v>
      </c>
      <c r="AQ86" s="64" t="s" ph="1">
        <v>263</v>
      </c>
      <c r="AR86" s="64" t="s" ph="1">
        <v>303</v>
      </c>
      <c r="AS86" s="64" t="s" ph="1">
        <v>459</v>
      </c>
      <c r="AT86" s="64" t="s" ph="1">
        <v>281</v>
      </c>
      <c r="AU86" s="64" t="s" ph="1">
        <v>303</v>
      </c>
    </row>
    <row r="87" spans="34:52" ph="1">
      <c r="AJ87" s="64" t="s" ph="1">
        <v>460</v>
      </c>
      <c r="AK87" s="64" t="s" ph="1">
        <v>316</v>
      </c>
      <c r="AM87" s="64" t="s" ph="1">
        <v>447</v>
      </c>
      <c r="AN87" s="64" t="s" ph="1">
        <v>461</v>
      </c>
      <c r="AO87" s="64" t="s" ph="1">
        <v>444</v>
      </c>
    </row>
    <row r="88" spans="34:52" ph="1">
      <c r="AH88" s="64" ph="1">
        <v>5</v>
      </c>
      <c r="AI88" s="64" t="s" ph="1">
        <v>333</v>
      </c>
      <c r="AJ88" s="64" t="s" ph="1">
        <v>462</v>
      </c>
      <c r="AK88" s="64" t="s" ph="1">
        <v>316</v>
      </c>
      <c r="AM88" s="64" t="s" ph="1">
        <v>463</v>
      </c>
      <c r="AN88" s="64" t="s" ph="1">
        <v>316</v>
      </c>
      <c r="AO88" s="64" t="s" ph="1">
        <v>303</v>
      </c>
      <c r="AP88" s="64" t="s" ph="1">
        <v>464</v>
      </c>
      <c r="AQ88" s="64" t="s" ph="1">
        <v>266</v>
      </c>
      <c r="AR88" s="64" t="s" ph="1">
        <v>303</v>
      </c>
      <c r="AS88" s="64" t="s" ph="1">
        <v>465</v>
      </c>
      <c r="AT88" s="64" t="s" ph="1">
        <v>316</v>
      </c>
      <c r="AU88" s="64" t="s" ph="1">
        <v>303</v>
      </c>
      <c r="AV88" s="64" t="s" ph="1">
        <v>466</v>
      </c>
      <c r="AW88" s="64" t="s" ph="1">
        <v>271</v>
      </c>
      <c r="AX88" s="64" t="s" ph="1">
        <v>303</v>
      </c>
      <c r="AY88" s="64" t="s" ph="1">
        <v>260</v>
      </c>
      <c r="AZ88" s="64" t="s" ph="1">
        <v>467</v>
      </c>
    </row>
    <row r="89" spans="34:52" ph="1">
      <c r="AJ89" s="64" t="s" ph="1">
        <v>468</v>
      </c>
      <c r="AK89" s="64" t="s" ph="1">
        <v>269</v>
      </c>
      <c r="AM89" s="64" t="s" ph="1">
        <v>469</v>
      </c>
      <c r="AN89" s="64" t="s" ph="1">
        <v>272</v>
      </c>
      <c r="AO89" s="64" t="s" ph="1">
        <v>303</v>
      </c>
      <c r="AP89" s="64" t="s" ph="1">
        <v>470</v>
      </c>
      <c r="AQ89" s="64" t="s" ph="1">
        <v>281</v>
      </c>
      <c r="AR89" s="64" t="s" ph="1">
        <v>303</v>
      </c>
      <c r="AS89" s="64" t="s" ph="1">
        <v>471</v>
      </c>
      <c r="AT89" s="64" t="s" ph="1">
        <v>316</v>
      </c>
      <c r="AU89" s="64" t="s" ph="1">
        <v>303</v>
      </c>
      <c r="AV89" s="64" t="s" ph="1">
        <v>472</v>
      </c>
      <c r="AW89" s="64" t="s" ph="1">
        <v>298</v>
      </c>
      <c r="AX89" s="64" t="s" ph="1">
        <v>331</v>
      </c>
    </row>
    <row r="90" spans="34:52" ph="1">
      <c r="AJ90" s="64" t="s" ph="1">
        <v>473</v>
      </c>
      <c r="AK90" s="64" t="s" ph="1">
        <v>272</v>
      </c>
      <c r="AM90" s="64" t="s" ph="1">
        <v>474</v>
      </c>
      <c r="AN90" s="64" t="s" ph="1">
        <v>269</v>
      </c>
      <c r="AO90" s="64" t="s" ph="1">
        <v>303</v>
      </c>
      <c r="AP90" s="64" t="s" ph="1">
        <v>475</v>
      </c>
      <c r="AQ90" s="64" t="s" ph="1">
        <v>338</v>
      </c>
      <c r="AR90" s="64" t="s" ph="1">
        <v>303</v>
      </c>
      <c r="AS90" s="64" t="s" ph="1">
        <v>476</v>
      </c>
      <c r="AT90" s="64" t="s" ph="1">
        <v>326</v>
      </c>
      <c r="AU90" s="64" t="s" ph="1">
        <v>303</v>
      </c>
      <c r="AV90" s="64" t="s" ph="1">
        <v>477</v>
      </c>
      <c r="AW90" s="64" t="s" ph="1">
        <v>263</v>
      </c>
      <c r="AX90" s="64" t="s" ph="1">
        <v>303</v>
      </c>
    </row>
    <row r="91" spans="34:52" ph="1">
      <c r="AJ91" s="64" t="s" ph="1">
        <v>478</v>
      </c>
      <c r="AK91" s="64" t="s" ph="1">
        <v>316</v>
      </c>
      <c r="AM91" s="64" t="s" ph="1">
        <v>479</v>
      </c>
      <c r="AN91" s="64" t="s" ph="1">
        <v>283</v>
      </c>
      <c r="AO91" s="64" t="s" ph="1">
        <v>303</v>
      </c>
      <c r="AP91" s="64" t="s" ph="1">
        <v>480</v>
      </c>
      <c r="AQ91" s="64" t="s" ph="1">
        <v>263</v>
      </c>
      <c r="AS91" s="64" t="s" ph="1">
        <v>447</v>
      </c>
      <c r="AT91" s="64" t="s" ph="1">
        <v>443</v>
      </c>
      <c r="AU91" s="64" t="s" ph="1">
        <v>444</v>
      </c>
    </row>
    <row r="92" spans="34:52" ph="1">
      <c r="AH92" s="64" ph="1">
        <v>6</v>
      </c>
      <c r="AI92" s="64" t="s" ph="1">
        <v>481</v>
      </c>
      <c r="AJ92" s="64" t="s" ph="1">
        <v>482</v>
      </c>
      <c r="AK92" s="64" t="s" ph="1">
        <v>411</v>
      </c>
      <c r="AM92" s="64" t="s" ph="1">
        <v>483</v>
      </c>
      <c r="AN92" s="64" t="s" ph="1">
        <v>271</v>
      </c>
      <c r="AO92" s="64" t="s" ph="1">
        <v>303</v>
      </c>
      <c r="AP92" s="64" t="s" ph="1">
        <v>484</v>
      </c>
      <c r="AQ92" s="64" t="s" ph="1">
        <v>343</v>
      </c>
      <c r="AR92" s="64" t="s" ph="1">
        <v>303</v>
      </c>
      <c r="AS92" s="64" t="s" ph="1">
        <v>485</v>
      </c>
      <c r="AT92" s="64" t="s" ph="1">
        <v>316</v>
      </c>
      <c r="AU92" s="64" t="s" ph="1">
        <v>303</v>
      </c>
      <c r="AV92" s="64" t="s" ph="1">
        <v>486</v>
      </c>
      <c r="AW92" s="64" t="s" ph="1">
        <v>272</v>
      </c>
      <c r="AX92" s="64" t="s" ph="1">
        <v>303</v>
      </c>
      <c r="AY92" s="64" t="s" ph="1">
        <v>260</v>
      </c>
      <c r="AZ92" s="64" t="s" ph="1">
        <v>467</v>
      </c>
    </row>
    <row r="93" spans="34:52" ph="1">
      <c r="AJ93" s="64" t="s" ph="1">
        <v>487</v>
      </c>
      <c r="AK93" s="64" t="s" ph="1">
        <v>266</v>
      </c>
      <c r="AM93" s="64" t="s" ph="1">
        <v>488</v>
      </c>
      <c r="AN93" s="64" t="s" ph="1">
        <v>271</v>
      </c>
      <c r="AO93" s="64" t="s" ph="1">
        <v>303</v>
      </c>
      <c r="AP93" s="64" t="s" ph="1">
        <v>489</v>
      </c>
      <c r="AQ93" s="64" t="s" ph="1">
        <v>275</v>
      </c>
      <c r="AR93" s="64" t="s" ph="1">
        <v>303</v>
      </c>
      <c r="AS93" s="64" t="s" ph="1">
        <v>490</v>
      </c>
      <c r="AT93" s="64" t="s" ph="1">
        <v>281</v>
      </c>
      <c r="AU93" s="64" t="s" ph="1">
        <v>303</v>
      </c>
      <c r="AV93" s="64" t="s" ph="1">
        <v>491</v>
      </c>
      <c r="AW93" s="64" t="s" ph="1">
        <v>275</v>
      </c>
      <c r="AX93" s="64" t="s" ph="1">
        <v>303</v>
      </c>
    </row>
    <row r="94" spans="34:52" ph="1">
      <c r="AJ94" s="64" t="s" ph="1">
        <v>492</v>
      </c>
      <c r="AK94" s="64" t="s" ph="1">
        <v>338</v>
      </c>
      <c r="AM94" s="64" t="s" ph="1">
        <v>493</v>
      </c>
      <c r="AN94" s="64" t="s" ph="1">
        <v>275</v>
      </c>
      <c r="AO94" s="64" t="s" ph="1">
        <v>303</v>
      </c>
      <c r="AP94" s="64" t="s" ph="1">
        <v>494</v>
      </c>
      <c r="AQ94" s="64" t="s" ph="1">
        <v>283</v>
      </c>
      <c r="AR94" s="64" t="s" ph="1">
        <v>303</v>
      </c>
      <c r="AS94" s="64" t="s" ph="1">
        <v>495</v>
      </c>
      <c r="AT94" s="64" t="s" ph="1">
        <v>269</v>
      </c>
      <c r="AU94" s="64" t="s" ph="1">
        <v>303</v>
      </c>
      <c r="AV94" s="64" t="s" ph="1">
        <v>496</v>
      </c>
      <c r="AW94" s="64" t="s" ph="1">
        <v>269</v>
      </c>
      <c r="AX94" s="64" t="s" ph="1">
        <v>303</v>
      </c>
    </row>
    <row r="95" spans="34:52" ph="1">
      <c r="AJ95" s="64" t="s" ph="1">
        <v>497</v>
      </c>
      <c r="AK95" s="64" t="s" ph="1">
        <v>343</v>
      </c>
    </row>
    <row r="96" spans="34:52" ph="1">
      <c r="AH96" s="64" ph="1">
        <v>7</v>
      </c>
      <c r="AI96" s="64" t="s" ph="1">
        <v>498</v>
      </c>
      <c r="AJ96" s="64" t="s" ph="1">
        <v>497</v>
      </c>
      <c r="AK96" s="64" t="s" ph="1">
        <v>298</v>
      </c>
      <c r="AM96" s="64" t="s" ph="1">
        <v>499</v>
      </c>
      <c r="AN96" s="64" t="s" ph="1">
        <v>272</v>
      </c>
      <c r="AO96" s="64" t="s" ph="1">
        <v>303</v>
      </c>
      <c r="AP96" s="64" t="s" ph="1">
        <v>500</v>
      </c>
      <c r="AQ96" s="64" t="s" ph="1">
        <v>316</v>
      </c>
      <c r="AR96" s="64" t="s" ph="1">
        <v>331</v>
      </c>
      <c r="AS96" s="64" t="s" ph="1">
        <v>501</v>
      </c>
      <c r="AT96" s="64" t="s" ph="1">
        <v>275</v>
      </c>
      <c r="AU96" s="64" t="s" ph="1">
        <v>331</v>
      </c>
      <c r="AV96" s="64" t="s" ph="1">
        <v>502</v>
      </c>
      <c r="AW96" s="64" t="s" ph="1">
        <v>271</v>
      </c>
      <c r="AX96" s="64" t="s" ph="1">
        <v>331</v>
      </c>
      <c r="AY96" s="64" t="s" ph="1">
        <v>260</v>
      </c>
      <c r="AZ96" s="64" t="s" ph="1">
        <v>503</v>
      </c>
    </row>
    <row r="97" spans="33:52" ph="1">
      <c r="AJ97" s="64" t="s" ph="1">
        <v>504</v>
      </c>
      <c r="AK97" s="64" t="s" ph="1">
        <v>326</v>
      </c>
      <c r="AM97" s="64" t="s" ph="1">
        <v>505</v>
      </c>
      <c r="AN97" s="64" t="s" ph="1">
        <v>269</v>
      </c>
      <c r="AO97" s="64" t="s" ph="1">
        <v>303</v>
      </c>
      <c r="AP97" s="64" t="s" ph="1">
        <v>506</v>
      </c>
      <c r="AQ97" s="64" t="s" ph="1">
        <v>263</v>
      </c>
      <c r="AR97" s="64" t="s" ph="1">
        <v>331</v>
      </c>
      <c r="AS97" s="64" t="s" ph="1">
        <v>507</v>
      </c>
      <c r="AT97" s="64" t="s" ph="1">
        <v>266</v>
      </c>
      <c r="AU97" s="64" t="s" ph="1">
        <v>331</v>
      </c>
      <c r="AV97" s="64" t="s" ph="1">
        <v>508</v>
      </c>
      <c r="AW97" s="64" t="s" ph="1">
        <v>272</v>
      </c>
      <c r="AX97" s="64" t="s" ph="1">
        <v>331</v>
      </c>
    </row>
    <row r="98" spans="33:52" ph="1">
      <c r="AJ98" s="64" t="s" ph="1">
        <v>509</v>
      </c>
      <c r="AK98" s="64" t="s" ph="1">
        <v>275</v>
      </c>
      <c r="AM98" s="64" t="s" ph="1">
        <v>510</v>
      </c>
      <c r="AN98" s="64" t="s" ph="1">
        <v>283</v>
      </c>
      <c r="AO98" s="64" t="s" ph="1">
        <v>303</v>
      </c>
      <c r="AP98" s="64" t="s" ph="1">
        <v>511</v>
      </c>
      <c r="AQ98" s="64" t="s" ph="1">
        <v>263</v>
      </c>
      <c r="AR98" s="64" t="s" ph="1">
        <v>331</v>
      </c>
      <c r="AS98" s="64" t="s" ph="1">
        <v>512</v>
      </c>
      <c r="AT98" s="64" t="s" ph="1">
        <v>343</v>
      </c>
      <c r="AU98" s="64" t="s" ph="1">
        <v>331</v>
      </c>
      <c r="AV98" s="64" t="s" ph="1">
        <v>513</v>
      </c>
      <c r="AW98" s="64" t="s" ph="1">
        <v>266</v>
      </c>
      <c r="AX98" s="64" t="s" ph="1">
        <v>331</v>
      </c>
    </row>
    <row r="99" spans="33:52" ph="1">
      <c r="AH99" s="64" ph="1">
        <v>8</v>
      </c>
      <c r="AI99" s="64" t="s" ph="1">
        <v>514</v>
      </c>
      <c r="AJ99" s="64" t="s" ph="1">
        <v>515</v>
      </c>
      <c r="AK99" s="64" t="s" ph="1">
        <v>411</v>
      </c>
      <c r="AM99" s="64" t="s" ph="1">
        <v>516</v>
      </c>
      <c r="AN99" s="64" t="s" ph="1">
        <v>298</v>
      </c>
      <c r="AO99" s="64" t="s" ph="1">
        <v>303</v>
      </c>
      <c r="AP99" s="64" t="s" ph="1">
        <v>517</v>
      </c>
      <c r="AQ99" s="64" t="s" ph="1">
        <v>268</v>
      </c>
      <c r="AR99" s="64" t="s" ph="1">
        <v>331</v>
      </c>
      <c r="AS99" s="64" t="s" ph="1">
        <v>518</v>
      </c>
      <c r="AT99" s="64" t="s" ph="1">
        <v>283</v>
      </c>
      <c r="AU99" s="64" t="s" ph="1">
        <v>331</v>
      </c>
      <c r="AV99" s="64" t="s" ph="1">
        <v>519</v>
      </c>
      <c r="AW99" s="64" t="s" ph="1">
        <v>268</v>
      </c>
      <c r="AX99" s="64" t="s" ph="1">
        <v>331</v>
      </c>
      <c r="AY99" s="64" t="s" ph="1">
        <v>260</v>
      </c>
      <c r="AZ99" s="64" t="s" ph="1">
        <v>520</v>
      </c>
    </row>
    <row r="100" spans="33:52" ph="1">
      <c r="AJ100" s="64" t="s" ph="1">
        <v>521</v>
      </c>
      <c r="AK100" s="64" t="s" ph="1">
        <v>266</v>
      </c>
      <c r="AM100" s="64" t="s" ph="1">
        <v>522</v>
      </c>
      <c r="AN100" s="64" t="s" ph="1">
        <v>338</v>
      </c>
      <c r="AO100" s="64" t="s" ph="1">
        <v>303</v>
      </c>
      <c r="AP100" s="64" t="s" ph="1">
        <v>523</v>
      </c>
      <c r="AQ100" s="64" t="s" ph="1">
        <v>344</v>
      </c>
      <c r="AR100" s="64" t="s" ph="1">
        <v>331</v>
      </c>
      <c r="AS100" s="64" t="s" ph="1">
        <v>524</v>
      </c>
      <c r="AT100" s="64" t="s" ph="1">
        <v>411</v>
      </c>
      <c r="AU100" s="64" t="s" ph="1">
        <v>303</v>
      </c>
      <c r="AV100" s="64" t="s" ph="1">
        <v>525</v>
      </c>
      <c r="AW100" s="64" t="s" ph="1">
        <v>411</v>
      </c>
      <c r="AX100" s="64" t="s" ph="1">
        <v>303</v>
      </c>
    </row>
    <row r="101" spans="33:52" ph="1">
      <c r="AJ101" s="64" t="s" ph="1">
        <v>526</v>
      </c>
      <c r="AK101" s="64" t="s" ph="1">
        <v>411</v>
      </c>
      <c r="AM101" s="64" t="s" ph="1">
        <v>527</v>
      </c>
      <c r="AN101" s="64" t="s" ph="1">
        <v>269</v>
      </c>
      <c r="AO101" s="64" t="s" ph="1">
        <v>303</v>
      </c>
      <c r="AP101" s="64" t="s" ph="1">
        <v>528</v>
      </c>
      <c r="AQ101" s="64" t="s" ph="1">
        <v>281</v>
      </c>
      <c r="AR101" s="64" t="s" ph="1">
        <v>331</v>
      </c>
      <c r="AS101" s="64" t="s" ph="1">
        <v>529</v>
      </c>
      <c r="AT101" s="64" t="s" ph="1">
        <v>338</v>
      </c>
      <c r="AU101" s="64" t="s" ph="1">
        <v>331</v>
      </c>
      <c r="AV101" s="64" t="s" ph="1">
        <v>530</v>
      </c>
      <c r="AW101" s="64" t="s" ph="1">
        <v>269</v>
      </c>
      <c r="AX101" s="64" t="s" ph="1">
        <v>303</v>
      </c>
    </row>
    <row r="102" spans="33:52" ph="1">
      <c r="AJ102" s="64" t="s" ph="1">
        <v>531</v>
      </c>
      <c r="AK102" s="64" t="s" ph="1">
        <v>266</v>
      </c>
      <c r="AM102" s="64" t="s" ph="1">
        <v>532</v>
      </c>
      <c r="AN102" s="64" t="s" ph="1">
        <v>275</v>
      </c>
      <c r="AO102" s="64" t="s" ph="1">
        <v>303</v>
      </c>
      <c r="AP102" s="64" t="s" ph="1">
        <v>533</v>
      </c>
      <c r="AQ102" s="64" t="s" ph="1">
        <v>281</v>
      </c>
      <c r="AR102" s="64" t="s" ph="1">
        <v>303</v>
      </c>
      <c r="AS102" s="64" t="s" ph="1">
        <v>534</v>
      </c>
      <c r="AT102" s="64" t="s" ph="1">
        <v>298</v>
      </c>
      <c r="AU102" s="64" t="s" ph="1">
        <v>303</v>
      </c>
      <c r="AV102" s="64" t="s" ph="1">
        <v>535</v>
      </c>
      <c r="AW102" s="64" t="s" ph="1">
        <v>316</v>
      </c>
      <c r="AX102" s="64" t="s" ph="1">
        <v>303</v>
      </c>
    </row>
    <row r="103" spans="33:52" ph="1">
      <c r="AH103" s="64" ph="1">
        <v>9</v>
      </c>
      <c r="AI103" s="64" t="s" ph="1">
        <v>536</v>
      </c>
      <c r="AJ103" s="64" t="s" ph="1">
        <v>537</v>
      </c>
      <c r="AK103" s="64" t="s" ph="1">
        <v>411</v>
      </c>
      <c r="AM103" s="64" t="s" ph="1">
        <v>538</v>
      </c>
      <c r="AN103" s="64" t="s" ph="1">
        <v>326</v>
      </c>
      <c r="AO103" s="64" t="s" ph="1">
        <v>303</v>
      </c>
      <c r="AP103" s="64" t="s" ph="1">
        <v>380</v>
      </c>
      <c r="AQ103" s="64" t="s" ph="1">
        <v>269</v>
      </c>
      <c r="AR103" s="64" t="s" ph="1">
        <v>303</v>
      </c>
      <c r="AS103" s="64" t="s" ph="1">
        <v>614</v>
      </c>
      <c r="AT103" s="64" t="s" ph="1">
        <v>411</v>
      </c>
      <c r="AU103" s="64" t="s" ph="1">
        <v>303</v>
      </c>
      <c r="AY103" s="64" t="s" ph="1">
        <v>260</v>
      </c>
      <c r="AZ103" s="64" t="s" ph="1">
        <v>268</v>
      </c>
    </row>
    <row r="104" spans="33:52" ph="1">
      <c r="AZ104" s="64" t="s" ph="1">
        <v>539</v>
      </c>
    </row>
    <row r="105" spans="33:52" ph="1">
      <c r="AG105" s="64" t="s" ph="1">
        <v>339</v>
      </c>
      <c r="AI105" s="64" t="s" ph="1">
        <v>253</v>
      </c>
      <c r="AJ105" s="64" t="s" ph="1">
        <v>254</v>
      </c>
      <c r="AK105" s="64" t="s" ph="1">
        <v>255</v>
      </c>
      <c r="AM105" s="64" t="s" ph="1">
        <v>254</v>
      </c>
      <c r="AN105" s="64" t="s" ph="1">
        <v>255</v>
      </c>
      <c r="AO105" s="64" t="s" ph="1">
        <v>256</v>
      </c>
      <c r="AP105" s="64" t="s" ph="1">
        <v>254</v>
      </c>
      <c r="AQ105" s="64" t="s" ph="1">
        <v>255</v>
      </c>
      <c r="AR105" s="64" t="s" ph="1">
        <v>256</v>
      </c>
      <c r="AS105" s="64" t="s" ph="1">
        <v>254</v>
      </c>
      <c r="AT105" s="64" t="s" ph="1">
        <v>255</v>
      </c>
      <c r="AU105" s="64" t="s" ph="1">
        <v>256</v>
      </c>
      <c r="AV105" s="64" t="s" ph="1">
        <v>254</v>
      </c>
      <c r="AW105" s="64" t="s" ph="1">
        <v>255</v>
      </c>
      <c r="AX105" s="64" t="s" ph="1">
        <v>256</v>
      </c>
      <c r="AZ105" s="64" t="s" ph="1">
        <v>257</v>
      </c>
    </row>
    <row r="106" spans="33:52" ph="1">
      <c r="AH106" s="64" ph="1">
        <v>1</v>
      </c>
      <c r="AI106" s="64" t="s" ph="1">
        <v>540</v>
      </c>
      <c r="AJ106" s="64" t="s" ph="1">
        <v>614</v>
      </c>
      <c r="AK106" s="64" t="s" ph="1">
        <v>275</v>
      </c>
      <c r="AZ106" s="64" t="s" ph="1">
        <v>275</v>
      </c>
    </row>
    <row r="107" spans="33:52" ph="1">
      <c r="AH107" s="64" ph="1">
        <v>2</v>
      </c>
      <c r="AI107" s="64" t="s" ph="1">
        <v>541</v>
      </c>
      <c r="AJ107" s="64" t="s" ph="1">
        <v>542</v>
      </c>
      <c r="AK107" s="64" t="s" ph="1">
        <v>272</v>
      </c>
      <c r="AM107" s="64" t="s" ph="1">
        <v>378</v>
      </c>
      <c r="AN107" s="64" t="s" ph="1">
        <v>543</v>
      </c>
      <c r="AO107" s="64" t="s" ph="1">
        <v>544</v>
      </c>
      <c r="AP107" s="64" t="s" ph="1">
        <v>380</v>
      </c>
      <c r="AQ107" s="64" t="s" ph="1">
        <v>348</v>
      </c>
      <c r="AR107" s="64" t="s" ph="1">
        <v>544</v>
      </c>
      <c r="AS107" s="64" t="s" ph="1">
        <v>614</v>
      </c>
      <c r="AT107" s="64" t="s" ph="1">
        <v>543</v>
      </c>
      <c r="AU107" s="64" t="s" ph="1">
        <v>544</v>
      </c>
      <c r="AY107" s="64" t="s" ph="1">
        <v>260</v>
      </c>
      <c r="AZ107" s="64" t="s" ph="1">
        <v>624</v>
      </c>
    </row>
    <row r="108" spans="33:52" ph="1">
      <c r="AH108" s="64" ph="1">
        <v>3</v>
      </c>
      <c r="AI108" s="64" t="s" ph="1">
        <v>545</v>
      </c>
      <c r="AY108" s="64" t="s" ph="1">
        <v>260</v>
      </c>
      <c r="AZ108" s="64" t="s" ph="1">
        <v>411</v>
      </c>
    </row>
    <row r="109" spans="33:52" ph="1">
      <c r="AH109" s="64" ph="1">
        <v>4</v>
      </c>
      <c r="AI109" s="64" t="s" ph="1">
        <v>546</v>
      </c>
      <c r="AY109" s="64" t="s" ph="1">
        <v>260</v>
      </c>
      <c r="AZ109" s="64" t="s" ph="1">
        <v>411</v>
      </c>
    </row>
    <row r="110" spans="33:52" ph="1">
      <c r="AH110" s="64" ph="1">
        <v>5</v>
      </c>
      <c r="AI110" s="64" t="s" ph="1">
        <v>547</v>
      </c>
      <c r="AY110" s="64" t="s" ph="1">
        <v>260</v>
      </c>
      <c r="AZ110" s="64" t="s" ph="1">
        <v>411</v>
      </c>
    </row>
    <row r="111" spans="33:52" ph="1">
      <c r="AH111" s="64" ph="1">
        <v>6</v>
      </c>
      <c r="AI111" s="64" t="s" ph="1">
        <v>625</v>
      </c>
      <c r="AJ111" s="64" t="s" ph="1">
        <v>530</v>
      </c>
      <c r="AK111" s="64" t="s" ph="1">
        <v>269</v>
      </c>
      <c r="AM111" s="64" t="s" ph="1">
        <v>531</v>
      </c>
      <c r="AN111" s="64" t="s" ph="1">
        <v>263</v>
      </c>
      <c r="AO111" s="64" t="s" ph="1">
        <v>544</v>
      </c>
      <c r="AP111" s="64" t="s" ph="1">
        <v>532</v>
      </c>
      <c r="AQ111" s="64" t="s" ph="1">
        <v>272</v>
      </c>
      <c r="AR111" s="64" t="s" ph="1">
        <v>544</v>
      </c>
      <c r="AS111" s="64" t="s" ph="1">
        <v>533</v>
      </c>
      <c r="AT111" s="64" t="s" ph="1">
        <v>281</v>
      </c>
      <c r="AU111" s="64" t="s" ph="1">
        <v>544</v>
      </c>
      <c r="AV111" s="64" t="s" ph="1">
        <v>534</v>
      </c>
      <c r="AW111" s="64" t="s" ph="1">
        <v>271</v>
      </c>
      <c r="AX111" s="64" t="s" ph="1">
        <v>544</v>
      </c>
      <c r="AY111" s="64" t="s" ph="1">
        <v>260</v>
      </c>
      <c r="AZ111" s="64" t="s" ph="1">
        <v>548</v>
      </c>
    </row>
    <row r="112" spans="33:52" ph="1">
      <c r="AJ112" s="64" t="s" ph="1">
        <v>535</v>
      </c>
      <c r="AK112" s="64" t="s" ph="1">
        <v>316</v>
      </c>
      <c r="AM112" s="64" t="s" ph="1">
        <v>537</v>
      </c>
      <c r="AN112" s="64" t="s" ph="1">
        <v>340</v>
      </c>
      <c r="AO112" s="64" t="s" ph="1">
        <v>544</v>
      </c>
      <c r="AP112" s="64" t="s" ph="1">
        <v>538</v>
      </c>
      <c r="AQ112" s="64" t="s" ph="1">
        <v>549</v>
      </c>
      <c r="AR112" s="64" t="s" ph="1">
        <v>544</v>
      </c>
      <c r="AS112" s="64" t="s" ph="1">
        <v>550</v>
      </c>
      <c r="AT112" s="64" t="s" ph="1">
        <v>292</v>
      </c>
      <c r="AU112" s="64" t="s" ph="1">
        <v>544</v>
      </c>
      <c r="AV112" s="64" t="s" ph="1">
        <v>551</v>
      </c>
      <c r="AW112" s="64" t="s" ph="1">
        <v>338</v>
      </c>
      <c r="AX112" s="64" t="s" ph="1">
        <v>544</v>
      </c>
    </row>
    <row r="113" spans="33:52" ph="1">
      <c r="AH113" s="64" ph="1">
        <v>7</v>
      </c>
      <c r="AI113" s="64" t="s" ph="1">
        <v>552</v>
      </c>
      <c r="AJ113" s="64" t="s" ph="1">
        <v>633</v>
      </c>
      <c r="AK113" s="64" t="s" ph="1">
        <v>638</v>
      </c>
      <c r="AY113" s="64" t="s" ph="1">
        <v>260</v>
      </c>
      <c r="AZ113" s="64" t="s" ph="1">
        <v>638</v>
      </c>
    </row>
    <row r="114" spans="33:52" ph="1">
      <c r="AH114" s="64" ph="1">
        <v>8</v>
      </c>
      <c r="AI114" s="64" t="s" ph="1">
        <v>553</v>
      </c>
      <c r="AJ114" s="64" t="s" ph="1">
        <v>633</v>
      </c>
      <c r="AK114" s="64" t="s" ph="1">
        <v>639</v>
      </c>
      <c r="AY114" s="64" t="s" ph="1">
        <v>260</v>
      </c>
      <c r="AZ114" s="64" t="s" ph="1">
        <v>639</v>
      </c>
    </row>
    <row r="115" spans="33:52" ph="1">
      <c r="AH115" s="64" ph="1">
        <v>9</v>
      </c>
      <c r="AI115" s="64" t="s" ph="1">
        <v>554</v>
      </c>
      <c r="AJ115" s="64" t="s" ph="1">
        <v>633</v>
      </c>
      <c r="AK115" s="64" t="s" ph="1">
        <v>639</v>
      </c>
      <c r="AY115" s="64" t="s" ph="1">
        <v>260</v>
      </c>
      <c r="AZ115" s="64" t="s" ph="1">
        <v>639</v>
      </c>
    </row>
    <row r="116" spans="33:52" ph="1">
      <c r="AH116" s="64" ph="1">
        <v>10</v>
      </c>
      <c r="AI116" s="64" t="s" ph="1">
        <v>555</v>
      </c>
      <c r="AJ116" s="64" t="s" ph="1">
        <v>633</v>
      </c>
      <c r="AK116" s="64" t="s" ph="1">
        <v>639</v>
      </c>
      <c r="AY116" s="64" t="s" ph="1">
        <v>260</v>
      </c>
      <c r="AZ116" s="64" t="s" ph="1">
        <v>639</v>
      </c>
    </row>
    <row r="117" spans="33:52" ph="1">
      <c r="AH117" s="64" ph="1">
        <v>11</v>
      </c>
      <c r="AI117" s="64" t="s" ph="1">
        <v>556</v>
      </c>
      <c r="AJ117" s="64" t="s" ph="1">
        <v>633</v>
      </c>
      <c r="AK117" s="64" t="s" ph="1">
        <v>639</v>
      </c>
      <c r="AY117" s="64" t="s" ph="1">
        <v>260</v>
      </c>
      <c r="AZ117" s="64" t="s" ph="1">
        <v>639</v>
      </c>
    </row>
    <row r="118" spans="33:52" ph="1">
      <c r="AZ118" s="64" t="s" ph="1">
        <v>640</v>
      </c>
    </row>
    <row r="119" spans="33:52" ph="1">
      <c r="AI119" s="64" t="s" ph="1">
        <v>253</v>
      </c>
      <c r="AJ119" s="64" t="s" ph="1">
        <v>254</v>
      </c>
      <c r="AK119" s="64" t="s" ph="1">
        <v>255</v>
      </c>
      <c r="AM119" s="64" t="s" ph="1">
        <v>254</v>
      </c>
      <c r="AN119" s="64" t="s" ph="1">
        <v>255</v>
      </c>
      <c r="AO119" s="64" t="s" ph="1">
        <v>256</v>
      </c>
      <c r="AP119" s="64" t="s" ph="1">
        <v>254</v>
      </c>
      <c r="AQ119" s="64" t="s" ph="1">
        <v>255</v>
      </c>
      <c r="AR119" s="64" t="s" ph="1">
        <v>256</v>
      </c>
      <c r="AS119" s="64" t="s" ph="1">
        <v>254</v>
      </c>
      <c r="AT119" s="64" t="s" ph="1">
        <v>255</v>
      </c>
      <c r="AU119" s="64" t="s" ph="1">
        <v>256</v>
      </c>
      <c r="AV119" s="64" t="s" ph="1">
        <v>254</v>
      </c>
      <c r="AW119" s="64" t="s" ph="1">
        <v>255</v>
      </c>
      <c r="AX119" s="64" t="s" ph="1">
        <v>256</v>
      </c>
      <c r="AY119" s="64" t="s" ph="1">
        <v>255</v>
      </c>
      <c r="AZ119" s="64" t="s" ph="1">
        <v>257</v>
      </c>
    </row>
    <row r="120" spans="33:52" ph="1">
      <c r="AG120" s="64" t="s" ph="1">
        <v>397</v>
      </c>
      <c r="AH120" s="64" ph="1">
        <v>1</v>
      </c>
      <c r="AI120" s="64" t="s" ph="1">
        <v>557</v>
      </c>
      <c r="AJ120" s="64" t="s" ph="1">
        <v>631</v>
      </c>
      <c r="AK120" s="64" t="s" ph="1">
        <v>411</v>
      </c>
      <c r="AY120" s="64" t="s" ph="1">
        <v>260</v>
      </c>
      <c r="AZ120" s="64" t="s" ph="1">
        <v>411</v>
      </c>
    </row>
    <row r="121" spans="33:52" ph="1">
      <c r="AH121" s="64" ph="1">
        <v>2</v>
      </c>
      <c r="AI121" s="64" t="s" ph="1">
        <v>558</v>
      </c>
      <c r="AY121" s="64" t="s" ph="1">
        <v>260</v>
      </c>
      <c r="AZ121" s="64" t="s" ph="1">
        <v>411</v>
      </c>
    </row>
    <row r="122" spans="33:52" ph="1">
      <c r="AH122" s="64" ph="1">
        <v>3</v>
      </c>
      <c r="AI122" s="64" t="s" ph="1">
        <v>559</v>
      </c>
      <c r="AJ122" s="64" t="s" ph="1">
        <v>614</v>
      </c>
      <c r="AK122" s="64" t="s" ph="1">
        <v>626</v>
      </c>
      <c r="AM122" s="64" t="s" ph="1">
        <v>641</v>
      </c>
      <c r="AN122" s="64" t="s" ph="1">
        <v>634</v>
      </c>
      <c r="AO122" s="64" t="s" ph="1">
        <v>109</v>
      </c>
      <c r="AY122" s="64" t="s" ph="1">
        <v>260</v>
      </c>
      <c r="AZ122" s="64" t="s" ph="1">
        <v>623</v>
      </c>
    </row>
    <row r="123" spans="33:52" ph="1">
      <c r="AY123" s="64" t="s" ph="1">
        <v>260</v>
      </c>
      <c r="AZ123" s="64" t="s" ph="1">
        <v>623</v>
      </c>
    </row>
    <row r="124" spans="33:52" ph="1">
      <c r="AG124" s="64" t="s" ph="1">
        <v>400</v>
      </c>
      <c r="AH124" s="64" ph="1">
        <v>4</v>
      </c>
      <c r="AI124" s="64" t="s" ph="1">
        <v>560</v>
      </c>
      <c r="AJ124" s="64" t="s" ph="1">
        <v>561</v>
      </c>
      <c r="AK124" s="64" t="s" ph="1">
        <v>562</v>
      </c>
      <c r="AY124" s="64" t="s" ph="1">
        <v>260</v>
      </c>
      <c r="AZ124" s="64" t="s" ph="1">
        <v>562</v>
      </c>
    </row>
    <row r="125" spans="33:52" ph="1">
      <c r="AH125" s="64" ph="1">
        <v>5</v>
      </c>
      <c r="AI125" s="64" t="s" ph="1">
        <v>563</v>
      </c>
      <c r="AJ125" s="64" t="s" ph="1">
        <v>561</v>
      </c>
      <c r="AK125" s="64" t="s" ph="1">
        <v>562</v>
      </c>
      <c r="AY125" s="64" t="s" ph="1">
        <v>260</v>
      </c>
      <c r="AZ125" s="64" t="s" ph="1">
        <v>562</v>
      </c>
    </row>
    <row r="126" spans="33:52" ph="1">
      <c r="AH126" s="64" ph="1">
        <v>6</v>
      </c>
      <c r="AI126" s="64" t="s" ph="1">
        <v>564</v>
      </c>
      <c r="AJ126" s="64" t="s" ph="1">
        <v>633</v>
      </c>
      <c r="AK126" s="64" t="s" ph="1">
        <v>642</v>
      </c>
      <c r="AY126" s="64" t="s" ph="1">
        <v>260</v>
      </c>
      <c r="AZ126" s="64" t="s" ph="1">
        <v>642</v>
      </c>
    </row>
    <row r="127" spans="33:52" ph="1">
      <c r="AH127" s="64" ph="1">
        <v>7</v>
      </c>
      <c r="AI127" s="64" t="s" ph="1">
        <v>565</v>
      </c>
      <c r="AJ127" s="64" t="s" ph="1">
        <v>633</v>
      </c>
      <c r="AK127" s="64" t="s" ph="1">
        <v>643</v>
      </c>
      <c r="AY127" s="64" t="s" ph="1">
        <v>260</v>
      </c>
      <c r="AZ127" s="64" t="s" ph="1">
        <v>643</v>
      </c>
    </row>
    <row r="128" spans="33:52" ph="1">
      <c r="AH128" s="64" ph="1">
        <v>8</v>
      </c>
      <c r="AI128" s="64" t="s" ph="1">
        <v>566</v>
      </c>
      <c r="AY128" s="64" t="s" ph="1">
        <v>260</v>
      </c>
      <c r="AZ128" s="64" t="s" ph="1">
        <v>411</v>
      </c>
    </row>
    <row r="129" spans="33:52" ph="1">
      <c r="AH129" s="64" ph="1">
        <v>9</v>
      </c>
      <c r="AI129" s="64" t="s" ph="1">
        <v>567</v>
      </c>
      <c r="AY129" s="64" t="s" ph="1">
        <v>260</v>
      </c>
      <c r="AZ129" s="64" t="s" ph="1">
        <v>411</v>
      </c>
    </row>
    <row r="130" spans="33:52" ph="1">
      <c r="AH130" s="64" ph="1">
        <v>10</v>
      </c>
      <c r="AI130" s="64" t="s" ph="1">
        <v>568</v>
      </c>
      <c r="AY130" s="64" t="s" ph="1">
        <v>260</v>
      </c>
      <c r="AZ130" s="64" t="s" ph="1">
        <v>411</v>
      </c>
    </row>
    <row r="131" spans="33:52" ph="1">
      <c r="AH131" s="64" ph="1">
        <v>11</v>
      </c>
      <c r="AI131" s="64" t="s" ph="1">
        <v>569</v>
      </c>
      <c r="AJ131" s="64" t="s" ph="1">
        <v>627</v>
      </c>
      <c r="AK131" s="64" t="s" ph="1">
        <v>623</v>
      </c>
      <c r="AY131" s="64" t="s" ph="1">
        <v>260</v>
      </c>
      <c r="AZ131" s="64" t="s" ph="1">
        <v>623</v>
      </c>
    </row>
    <row r="132" spans="33:52" ph="1">
      <c r="AH132" s="64" ph="1">
        <v>12</v>
      </c>
      <c r="AI132" s="64" t="s" ph="1">
        <v>570</v>
      </c>
      <c r="AJ132" s="64" t="s" ph="1">
        <v>627</v>
      </c>
      <c r="AK132" s="64" t="s" ph="1">
        <v>562</v>
      </c>
      <c r="AY132" s="64" t="s" ph="1">
        <v>260</v>
      </c>
      <c r="AZ132" s="64" t="s" ph="1">
        <v>562</v>
      </c>
    </row>
    <row r="133" spans="33:52" ph="1">
      <c r="AH133" s="64" ph="1">
        <v>13</v>
      </c>
      <c r="AI133" s="64" t="s" ph="1">
        <v>571</v>
      </c>
      <c r="AJ133" s="64" t="s" ph="1">
        <v>627</v>
      </c>
      <c r="AK133" s="64" t="s" ph="1">
        <v>628</v>
      </c>
      <c r="AY133" s="64" t="s" ph="1">
        <v>260</v>
      </c>
      <c r="AZ133" s="64" t="s" ph="1">
        <v>628</v>
      </c>
    </row>
    <row r="134" spans="33:52" ph="1">
      <c r="AH134" s="64" ph="1">
        <v>14</v>
      </c>
      <c r="AI134" s="64" t="s" ph="1">
        <v>572</v>
      </c>
      <c r="AJ134" s="64" t="s" ph="1">
        <v>627</v>
      </c>
      <c r="AK134" s="64" t="s" ph="1">
        <v>629</v>
      </c>
      <c r="AY134" s="64" t="s" ph="1">
        <v>260</v>
      </c>
      <c r="AZ134" s="64" t="s" ph="1">
        <v>629</v>
      </c>
    </row>
    <row r="135" spans="33:52" ph="1">
      <c r="AH135" s="64" ph="1">
        <v>15</v>
      </c>
      <c r="AI135" s="64" t="s" ph="1">
        <v>573</v>
      </c>
      <c r="AJ135" s="64" t="s" ph="1">
        <v>627</v>
      </c>
      <c r="AK135" s="64" t="s" ph="1">
        <v>630</v>
      </c>
      <c r="AY135" s="64" t="s" ph="1">
        <v>260</v>
      </c>
      <c r="AZ135" s="64" t="s" ph="1">
        <v>630</v>
      </c>
    </row>
    <row r="136" spans="33:52" ph="1">
      <c r="AZ136" s="64" t="s" ph="1">
        <v>644</v>
      </c>
    </row>
    <row r="137" spans="33:52" ph="1">
      <c r="AG137" s="64" t="s" ph="1">
        <v>334</v>
      </c>
      <c r="AI137" s="64" t="s" ph="1">
        <v>253</v>
      </c>
      <c r="AJ137" s="64" t="s" ph="1">
        <v>254</v>
      </c>
      <c r="AK137" s="64" t="s" ph="1">
        <v>255</v>
      </c>
      <c r="AM137" s="64" t="s" ph="1">
        <v>254</v>
      </c>
      <c r="AN137" s="64" t="s" ph="1">
        <v>255</v>
      </c>
      <c r="AO137" s="64" t="s" ph="1">
        <v>256</v>
      </c>
      <c r="AP137" s="64" t="s" ph="1">
        <v>254</v>
      </c>
      <c r="AQ137" s="64" t="s" ph="1">
        <v>255</v>
      </c>
      <c r="AR137" s="64" t="s" ph="1">
        <v>256</v>
      </c>
      <c r="AS137" s="64" t="s" ph="1">
        <v>254</v>
      </c>
      <c r="AT137" s="64" t="s" ph="1">
        <v>255</v>
      </c>
      <c r="AU137" s="64" t="s" ph="1">
        <v>256</v>
      </c>
      <c r="AV137" s="64" t="s" ph="1">
        <v>254</v>
      </c>
      <c r="AW137" s="64" t="s" ph="1">
        <v>255</v>
      </c>
      <c r="AX137" s="64" t="s" ph="1">
        <v>256</v>
      </c>
      <c r="AY137" s="64" t="s" ph="1">
        <v>255</v>
      </c>
      <c r="AZ137" s="64" t="s" ph="1">
        <v>257</v>
      </c>
    </row>
    <row r="138" spans="33:52" ph="1">
      <c r="AH138" s="64" ph="1">
        <v>1</v>
      </c>
      <c r="AI138" s="64" t="s" ph="1">
        <v>574</v>
      </c>
      <c r="AJ138" s="64" t="s" ph="1">
        <v>575</v>
      </c>
      <c r="AK138" s="64" t="s" ph="1">
        <v>576</v>
      </c>
      <c r="AY138" s="64" t="s" ph="1">
        <v>260</v>
      </c>
      <c r="AZ138" s="64" t="s" ph="1">
        <v>576</v>
      </c>
    </row>
    <row r="139" spans="33:52" ph="1">
      <c r="AH139" s="64" ph="1">
        <v>2</v>
      </c>
      <c r="AI139" s="64" t="s" ph="1">
        <v>577</v>
      </c>
      <c r="AJ139" s="64" t="s" ph="1">
        <v>633</v>
      </c>
      <c r="AK139" s="64" t="s" ph="1">
        <v>645</v>
      </c>
      <c r="AY139" s="64" t="s" ph="1">
        <v>260</v>
      </c>
      <c r="AZ139" s="64" t="s" ph="1">
        <v>645</v>
      </c>
    </row>
    <row r="140" spans="33:52" ph="1">
      <c r="AH140" s="64" ph="1">
        <v>3</v>
      </c>
      <c r="AI140" s="64" t="s" ph="1">
        <v>578</v>
      </c>
      <c r="AJ140" s="64" t="s" ph="1">
        <v>531</v>
      </c>
      <c r="AK140" s="64" t="s" ph="1">
        <v>343</v>
      </c>
      <c r="AM140" s="64" t="s" ph="1">
        <v>532</v>
      </c>
      <c r="AN140" s="64" t="s" ph="1">
        <v>263</v>
      </c>
      <c r="AO140" s="64" t="s" ph="1">
        <v>579</v>
      </c>
      <c r="AP140" s="64" t="s" ph="1">
        <v>533</v>
      </c>
      <c r="AQ140" s="64" t="s" ph="1">
        <v>280</v>
      </c>
      <c r="AR140" s="64" t="s" ph="1">
        <v>579</v>
      </c>
      <c r="AS140" s="64" t="s" ph="1">
        <v>534</v>
      </c>
      <c r="AT140" s="64" t="s" ph="1">
        <v>273</v>
      </c>
      <c r="AU140" s="64" t="s" ph="1">
        <v>579</v>
      </c>
      <c r="AV140" s="64" t="s" ph="1">
        <v>535</v>
      </c>
      <c r="AW140" s="64" t="s" ph="1">
        <v>266</v>
      </c>
      <c r="AX140" s="64" t="s" ph="1">
        <v>579</v>
      </c>
      <c r="AY140" s="64" t="s" ph="1">
        <v>260</v>
      </c>
      <c r="AZ140" s="64" t="s" ph="1">
        <v>335</v>
      </c>
    </row>
    <row r="141" spans="33:52" ph="1">
      <c r="AJ141" s="64" t="s" ph="1">
        <v>537</v>
      </c>
      <c r="AK141" s="64" t="s" ph="1">
        <v>266</v>
      </c>
      <c r="AM141" s="64" t="s" ph="1">
        <v>538</v>
      </c>
      <c r="AN141" s="64" t="s" ph="1">
        <v>269</v>
      </c>
      <c r="AO141" s="64" t="s" ph="1">
        <v>579</v>
      </c>
      <c r="AP141" s="64" t="s" ph="1">
        <v>550</v>
      </c>
      <c r="AQ141" s="64" t="s" ph="1">
        <v>338</v>
      </c>
      <c r="AR141" s="64" t="s" ph="1">
        <v>579</v>
      </c>
      <c r="AS141" s="64" t="s" ph="1">
        <v>542</v>
      </c>
      <c r="AT141" s="64" t="s" ph="1">
        <v>266</v>
      </c>
      <c r="AU141" s="64" t="s" ph="1">
        <v>579</v>
      </c>
      <c r="AV141" s="64" t="s" ph="1">
        <v>378</v>
      </c>
      <c r="AW141" s="64" t="s" ph="1">
        <v>272</v>
      </c>
      <c r="AX141" s="64" t="s" ph="1">
        <v>579</v>
      </c>
    </row>
    <row r="142" spans="33:52" ph="1">
      <c r="AJ142" s="64" t="s" ph="1">
        <v>580</v>
      </c>
      <c r="AK142" s="64" t="s" ph="1">
        <v>283</v>
      </c>
    </row>
    <row r="143" spans="33:52" ph="1">
      <c r="AH143" s="64" ph="1">
        <v>4</v>
      </c>
      <c r="AI143" s="64" t="s" ph="1">
        <v>581</v>
      </c>
      <c r="AJ143" s="64" t="s" ph="1">
        <v>561</v>
      </c>
      <c r="AK143" s="64" t="s" ph="1">
        <v>582</v>
      </c>
      <c r="AY143" s="64" t="s" ph="1">
        <v>260</v>
      </c>
      <c r="AZ143" s="64" t="s" ph="1">
        <v>582</v>
      </c>
    </row>
    <row r="144" spans="33:52" ph="1">
      <c r="AH144" s="64" ph="1">
        <v>5</v>
      </c>
      <c r="AI144" s="64" t="s" ph="1">
        <v>583</v>
      </c>
      <c r="AY144" s="64" t="s" ph="1">
        <v>260</v>
      </c>
      <c r="AZ144" s="64" t="s" ph="1">
        <v>411</v>
      </c>
    </row>
    <row r="145" spans="33:52" ph="1">
      <c r="AH145" s="64" ph="1">
        <v>6</v>
      </c>
      <c r="AI145" s="64" t="s" ph="1">
        <v>584</v>
      </c>
      <c r="AY145" s="64" t="s" ph="1">
        <v>260</v>
      </c>
      <c r="AZ145" s="64" t="s" ph="1">
        <v>411</v>
      </c>
    </row>
    <row r="146" spans="33:52" ph="1">
      <c r="AH146" s="64" ph="1">
        <v>7</v>
      </c>
      <c r="AI146" s="64" t="s" ph="1">
        <v>585</v>
      </c>
      <c r="AY146" s="64" t="s" ph="1">
        <v>260</v>
      </c>
      <c r="AZ146" s="64" t="s" ph="1">
        <v>411</v>
      </c>
    </row>
    <row r="147" spans="33:52" ph="1">
      <c r="AH147" s="64" ph="1">
        <v>8</v>
      </c>
      <c r="AI147" s="64" t="s" ph="1">
        <v>586</v>
      </c>
      <c r="AY147" s="64" t="s" ph="1">
        <v>260</v>
      </c>
      <c r="AZ147" s="64" t="s" ph="1">
        <v>411</v>
      </c>
    </row>
    <row r="148" spans="33:52" ph="1">
      <c r="AH148" s="64" ph="1">
        <v>9</v>
      </c>
      <c r="AI148" s="64" t="s" ph="1">
        <v>587</v>
      </c>
      <c r="AY148" s="64" t="s" ph="1">
        <v>260</v>
      </c>
      <c r="AZ148" s="64" t="s" ph="1">
        <v>411</v>
      </c>
    </row>
    <row r="149" spans="33:52" ph="1">
      <c r="AH149" s="64" ph="1">
        <v>10</v>
      </c>
      <c r="AI149" s="64" t="s" ph="1">
        <v>588</v>
      </c>
      <c r="AY149" s="64" t="s" ph="1">
        <v>260</v>
      </c>
      <c r="AZ149" s="64" t="s" ph="1">
        <v>411</v>
      </c>
    </row>
    <row r="150" spans="33:52" ph="1">
      <c r="AH150" s="64" ph="1">
        <v>11</v>
      </c>
      <c r="AI150" s="64" t="s" ph="1">
        <v>589</v>
      </c>
      <c r="AY150" s="64" t="s" ph="1">
        <v>260</v>
      </c>
      <c r="AZ150" s="64" t="s" ph="1">
        <v>411</v>
      </c>
    </row>
    <row r="151" spans="33:52" ph="1">
      <c r="AH151" s="64" ph="1">
        <v>12</v>
      </c>
      <c r="AI151" s="64" t="s" ph="1">
        <v>590</v>
      </c>
      <c r="AY151" s="64" t="s" ph="1">
        <v>260</v>
      </c>
      <c r="AZ151" s="64" t="s" ph="1">
        <v>411</v>
      </c>
    </row>
    <row r="152" spans="33:52" ph="1">
      <c r="AH152" s="64" ph="1">
        <v>13</v>
      </c>
      <c r="AI152" s="64" t="s" ph="1">
        <v>591</v>
      </c>
      <c r="AY152" s="64" t="s" ph="1">
        <v>260</v>
      </c>
      <c r="AZ152" s="64" t="s" ph="1">
        <v>411</v>
      </c>
    </row>
    <row r="153" spans="33:52" ph="1">
      <c r="AH153" s="64" ph="1">
        <v>14</v>
      </c>
      <c r="AI153" s="64" t="s" ph="1">
        <v>592</v>
      </c>
      <c r="AY153" s="64" t="s" ph="1">
        <v>260</v>
      </c>
      <c r="AZ153" s="64" t="s" ph="1">
        <v>411</v>
      </c>
    </row>
    <row r="154" spans="33:52" ph="1">
      <c r="AH154" s="64" ph="1">
        <v>15</v>
      </c>
      <c r="AI154" s="64" t="s" ph="1">
        <v>593</v>
      </c>
      <c r="AY154" s="64" t="s" ph="1">
        <v>260</v>
      </c>
      <c r="AZ154" s="64" t="s" ph="1">
        <v>411</v>
      </c>
    </row>
    <row r="155" spans="33:52" ph="1">
      <c r="AH155" s="64" ph="1">
        <v>16</v>
      </c>
      <c r="AI155" s="64" t="s" ph="1">
        <v>594</v>
      </c>
      <c r="AJ155" s="64" t="s" ph="1">
        <v>380</v>
      </c>
      <c r="AK155" s="64" t="s" ph="1">
        <v>275</v>
      </c>
      <c r="AM155" s="64" t="s" ph="1">
        <v>614</v>
      </c>
      <c r="AN155" s="64" t="s" ph="1">
        <v>326</v>
      </c>
      <c r="AO155" s="64" t="s" ph="1">
        <v>579</v>
      </c>
      <c r="AY155" s="64" t="s" ph="1">
        <v>260</v>
      </c>
      <c r="AZ155" s="64" t="s" ph="1">
        <v>267</v>
      </c>
    </row>
    <row r="156" spans="33:52" ph="1">
      <c r="AZ156" s="64" t="s" ph="1">
        <v>646</v>
      </c>
    </row>
    <row r="157" spans="33:52" ph="1">
      <c r="AG157" s="64" t="s" ph="1">
        <v>595</v>
      </c>
      <c r="AI157" s="64" t="s" ph="1">
        <v>253</v>
      </c>
      <c r="AJ157" s="64" t="s" ph="1">
        <v>254</v>
      </c>
      <c r="AK157" s="64" t="s" ph="1">
        <v>255</v>
      </c>
      <c r="AM157" s="64" t="s" ph="1">
        <v>254</v>
      </c>
      <c r="AN157" s="64" t="s" ph="1">
        <v>255</v>
      </c>
      <c r="AO157" s="64" t="s" ph="1">
        <v>256</v>
      </c>
      <c r="AP157" s="64" t="s" ph="1">
        <v>254</v>
      </c>
      <c r="AQ157" s="64" t="s" ph="1">
        <v>255</v>
      </c>
      <c r="AR157" s="64" t="s" ph="1">
        <v>256</v>
      </c>
      <c r="AS157" s="64" t="s" ph="1">
        <v>254</v>
      </c>
      <c r="AT157" s="64" t="s" ph="1">
        <v>255</v>
      </c>
      <c r="AU157" s="64" t="s" ph="1">
        <v>256</v>
      </c>
      <c r="AV157" s="64" t="s" ph="1">
        <v>254</v>
      </c>
      <c r="AW157" s="64" t="s" ph="1">
        <v>255</v>
      </c>
      <c r="AX157" s="64" t="s" ph="1">
        <v>256</v>
      </c>
      <c r="AY157" s="64" t="s" ph="1">
        <v>255</v>
      </c>
      <c r="AZ157" s="64" t="s" ph="1">
        <v>257</v>
      </c>
    </row>
    <row r="158" spans="33:52" ph="1">
      <c r="AH158" s="64" ph="1">
        <v>1</v>
      </c>
      <c r="AI158" s="64" t="s" ph="1">
        <v>596</v>
      </c>
      <c r="AY158" s="64" t="s" ph="1">
        <v>260</v>
      </c>
      <c r="AZ158" s="64" t="s" ph="1">
        <v>411</v>
      </c>
    </row>
    <row r="159" spans="33:52" ph="1">
      <c r="AH159" s="64" ph="1">
        <v>2</v>
      </c>
      <c r="AI159" s="64" t="s" ph="1">
        <v>597</v>
      </c>
      <c r="AY159" s="64" t="s" ph="1">
        <v>260</v>
      </c>
      <c r="AZ159" s="64" t="s" ph="1">
        <v>411</v>
      </c>
    </row>
    <row r="160" spans="33:52" ph="1">
      <c r="AZ160" s="64" t="s" ph="1">
        <v>429</v>
      </c>
    </row>
    <row r="161" spans="33:52" ph="1">
      <c r="AG161" s="64" t="s" ph="1">
        <v>405</v>
      </c>
      <c r="AI161" s="64" t="s" ph="1">
        <v>253</v>
      </c>
      <c r="AJ161" s="64" t="s" ph="1">
        <v>254</v>
      </c>
      <c r="AK161" s="64" t="s" ph="1">
        <v>255</v>
      </c>
      <c r="AM161" s="64" t="s" ph="1">
        <v>254</v>
      </c>
      <c r="AN161" s="64" t="s" ph="1">
        <v>255</v>
      </c>
      <c r="AO161" s="64" t="s" ph="1">
        <v>256</v>
      </c>
      <c r="AP161" s="64" t="s" ph="1">
        <v>254</v>
      </c>
      <c r="AQ161" s="64" t="s" ph="1">
        <v>255</v>
      </c>
      <c r="AR161" s="64" t="s" ph="1">
        <v>256</v>
      </c>
      <c r="AS161" s="64" t="s" ph="1">
        <v>254</v>
      </c>
      <c r="AT161" s="64" t="s" ph="1">
        <v>255</v>
      </c>
      <c r="AU161" s="64" t="s" ph="1">
        <v>256</v>
      </c>
      <c r="AV161" s="64" t="s" ph="1">
        <v>254</v>
      </c>
      <c r="AW161" s="64" t="s" ph="1">
        <v>255</v>
      </c>
      <c r="AX161" s="64" t="s" ph="1">
        <v>256</v>
      </c>
      <c r="AY161" s="64" t="s" ph="1">
        <v>255</v>
      </c>
      <c r="AZ161" s="64" t="s" ph="1">
        <v>257</v>
      </c>
    </row>
    <row r="162" spans="33:52" ph="1">
      <c r="AH162" s="64" ph="1">
        <v>1</v>
      </c>
      <c r="AI162" s="64" t="s" ph="1">
        <v>598</v>
      </c>
      <c r="AJ162" s="64" t="s" ph="1">
        <v>599</v>
      </c>
      <c r="AK162" s="64" t="s" ph="1">
        <v>543</v>
      </c>
      <c r="AM162" s="64" t="s" ph="1">
        <v>600</v>
      </c>
      <c r="AN162" s="64" t="s" ph="1">
        <v>264</v>
      </c>
      <c r="AO162" s="64" t="s" ph="1">
        <v>601</v>
      </c>
      <c r="AY162" s="64" t="s" ph="1">
        <v>260</v>
      </c>
      <c r="AZ162" s="64" t="s" ph="1">
        <v>336</v>
      </c>
    </row>
    <row r="163" spans="33:52" ph="1">
      <c r="AH163" s="64" ph="1">
        <v>2</v>
      </c>
      <c r="AI163" s="64" t="s" ph="1">
        <v>602</v>
      </c>
      <c r="AJ163" s="64" t="s" ph="1">
        <v>599</v>
      </c>
      <c r="AK163" s="64" t="s" ph="1">
        <v>432</v>
      </c>
      <c r="AY163" s="64" t="s" ph="1">
        <v>260</v>
      </c>
      <c r="AZ163" s="64" t="s" ph="1">
        <v>432</v>
      </c>
    </row>
    <row r="164" spans="33:52" ph="1">
      <c r="AH164" s="64" ph="1">
        <v>3</v>
      </c>
      <c r="AI164" s="64" t="s" ph="1">
        <v>603</v>
      </c>
      <c r="AJ164" s="64" t="s" ph="1">
        <v>599</v>
      </c>
      <c r="AK164" s="64" t="s" ph="1">
        <v>336</v>
      </c>
      <c r="AY164" s="64" t="s" ph="1">
        <v>260</v>
      </c>
      <c r="AZ164" s="64" t="s" ph="1">
        <v>336</v>
      </c>
    </row>
    <row r="165" spans="33:52" ph="1">
      <c r="AH165" s="64" ph="1">
        <v>4</v>
      </c>
      <c r="AI165" s="64" t="s" ph="1">
        <v>604</v>
      </c>
      <c r="AY165" s="64" t="s" ph="1">
        <v>260</v>
      </c>
      <c r="AZ165" s="64" t="s" ph="1">
        <v>411</v>
      </c>
    </row>
    <row r="166" spans="33:52" ph="1">
      <c r="AH166" s="64" ph="1">
        <v>5</v>
      </c>
      <c r="AI166" s="64" t="s" ph="1">
        <v>605</v>
      </c>
      <c r="AY166" s="64" t="s" ph="1">
        <v>260</v>
      </c>
      <c r="AZ166" s="64" t="s" ph="1">
        <v>411</v>
      </c>
    </row>
    <row r="167" spans="33:52" ph="1">
      <c r="AZ167" s="64" t="s" ph="1">
        <v>606</v>
      </c>
    </row>
    <row r="168" spans="33:52" ph="1">
      <c r="AG168" s="64" t="s" ph="1">
        <v>349</v>
      </c>
      <c r="AI168" s="64" t="s" ph="1">
        <v>253</v>
      </c>
      <c r="AJ168" s="64" t="s" ph="1">
        <v>254</v>
      </c>
      <c r="AK168" s="64" t="s" ph="1">
        <v>255</v>
      </c>
      <c r="AM168" s="64" t="s" ph="1">
        <v>254</v>
      </c>
      <c r="AN168" s="64" t="s" ph="1">
        <v>255</v>
      </c>
      <c r="AO168" s="64" t="s" ph="1">
        <v>256</v>
      </c>
      <c r="AP168" s="64" t="s" ph="1">
        <v>254</v>
      </c>
      <c r="AQ168" s="64" t="s" ph="1">
        <v>255</v>
      </c>
      <c r="AR168" s="64" t="s" ph="1">
        <v>256</v>
      </c>
      <c r="AS168" s="64" t="s" ph="1">
        <v>254</v>
      </c>
      <c r="AT168" s="64" t="s" ph="1">
        <v>255</v>
      </c>
      <c r="AU168" s="64" t="s" ph="1">
        <v>256</v>
      </c>
      <c r="AV168" s="64" t="s" ph="1">
        <v>254</v>
      </c>
      <c r="AW168" s="64" t="s" ph="1">
        <v>255</v>
      </c>
      <c r="AX168" s="64" t="s" ph="1">
        <v>256</v>
      </c>
      <c r="AY168" s="64" t="s" ph="1">
        <v>255</v>
      </c>
      <c r="AZ168" s="64" t="s" ph="1">
        <v>257</v>
      </c>
    </row>
    <row r="169" spans="33:52" ph="1">
      <c r="AH169" s="64" ph="1">
        <v>1</v>
      </c>
      <c r="AI169" s="64" t="s" ph="1">
        <v>607</v>
      </c>
      <c r="AY169" s="64" t="s" ph="1">
        <v>260</v>
      </c>
      <c r="AZ169" s="64" t="s" ph="1">
        <v>411</v>
      </c>
    </row>
    <row r="170" spans="33:52" ph="1">
      <c r="AH170" s="64" ph="1">
        <v>2</v>
      </c>
      <c r="AI170" s="64" t="s" ph="1">
        <v>608</v>
      </c>
      <c r="AY170" s="64" t="s" ph="1">
        <v>260</v>
      </c>
      <c r="AZ170" s="64" t="s" ph="1">
        <v>411</v>
      </c>
    </row>
    <row r="171" spans="33:52" ph="1">
      <c r="AH171" s="64" ph="1">
        <v>3</v>
      </c>
      <c r="AI171" s="64" t="s" ph="1">
        <v>609</v>
      </c>
      <c r="AY171" s="64" t="s" ph="1">
        <v>260</v>
      </c>
      <c r="AZ171" s="64" t="s" ph="1">
        <v>411</v>
      </c>
    </row>
    <row r="172" spans="33:52" ph="1">
      <c r="AH172" s="64" ph="1">
        <v>4</v>
      </c>
      <c r="AI172" s="64" t="s" ph="1">
        <v>610</v>
      </c>
      <c r="AY172" s="64" t="s" ph="1">
        <v>260</v>
      </c>
      <c r="AZ172" s="64" t="s" ph="1">
        <v>411</v>
      </c>
    </row>
    <row r="173" spans="33:52" ph="1">
      <c r="AH173" s="64" ph="1">
        <v>5</v>
      </c>
      <c r="AI173" s="64" t="s" ph="1">
        <v>611</v>
      </c>
      <c r="AY173" s="64" t="s" ph="1">
        <v>260</v>
      </c>
      <c r="AZ173" s="64" t="s" ph="1">
        <v>411</v>
      </c>
    </row>
    <row r="174" spans="33:52" ph="1">
      <c r="AZ174" s="64" t="s" ph="1">
        <v>429</v>
      </c>
    </row>
    <row r="175" spans="33:52" ph="1">
      <c r="AJ175" s="64" t="s" ph="1">
        <v>350</v>
      </c>
    </row>
    <row r="176" spans="33:52" ph="1">
      <c r="AJ176" s="64" t="s" ph="1">
        <v>351</v>
      </c>
      <c r="AK176" s="64" t="s" ph="1">
        <v>352</v>
      </c>
      <c r="AM176" s="64" t="s" ph="1">
        <v>353</v>
      </c>
      <c r="AO176" s="64" t="s" ph="1">
        <v>354</v>
      </c>
      <c r="AP176" s="64" t="s" ph="1">
        <v>355</v>
      </c>
      <c r="AQ176" s="64" t="s" ph="1">
        <v>345</v>
      </c>
      <c r="AR176" s="64" t="s" ph="1">
        <v>265</v>
      </c>
    </row>
    <row r="177" spans="36:56" ph="1">
      <c r="AJ177" s="64" t="s" ph="1">
        <v>647</v>
      </c>
      <c r="AK177" s="64" t="s" ph="1">
        <v>356</v>
      </c>
      <c r="AO177" s="64" t="s" ph="1">
        <v>356</v>
      </c>
      <c r="AP177" s="64" t="s" ph="1">
        <v>356</v>
      </c>
      <c r="AQ177" s="64" t="s" ph="1">
        <v>357</v>
      </c>
      <c r="AR177" s="64" t="s" ph="1">
        <v>358</v>
      </c>
    </row>
    <row r="179" spans="36:56" ph="1">
      <c r="AJ179" s="64" t="s" ph="1">
        <v>359</v>
      </c>
      <c r="AK179" s="64" t="s" ph="1">
        <v>360</v>
      </c>
      <c r="AM179" s="64" t="s" ph="1">
        <v>361</v>
      </c>
      <c r="AN179" s="64" t="s" ph="1">
        <v>337</v>
      </c>
      <c r="AO179" s="64" t="s" ph="1">
        <v>362</v>
      </c>
      <c r="AP179" s="64" t="s" ph="1">
        <v>341</v>
      </c>
      <c r="AQ179" s="64" t="s" ph="1">
        <v>363</v>
      </c>
      <c r="AR179" s="64" t="s" ph="1">
        <v>364</v>
      </c>
    </row>
    <row r="180" spans="36:56" ph="1">
      <c r="AJ180" s="64" t="s" ph="1">
        <v>356</v>
      </c>
      <c r="AK180" s="64" t="s" ph="1">
        <v>356</v>
      </c>
      <c r="AL180" s="64" ph="1">
        <v>116</v>
      </c>
      <c r="AM180" s="64" t="s" ph="1">
        <v>356</v>
      </c>
      <c r="AN180" s="64" t="s" ph="1">
        <v>365</v>
      </c>
      <c r="AO180" s="64" t="s" ph="1">
        <v>356</v>
      </c>
      <c r="AP180" s="64" t="s" ph="1">
        <v>366</v>
      </c>
      <c r="AQ180" s="64" t="s" ph="1">
        <v>367</v>
      </c>
      <c r="AR180" s="64" t="s" ph="1">
        <v>368</v>
      </c>
    </row>
    <row r="189" spans="36:56" ph="1">
      <c r="BD189" s="64" t="s" ph="1">
        <v>612</v>
      </c>
    </row>
    <row r="223" spans="18:18" ph="1">
      <c r="R223" s="138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43" priority="92">
      <formula>ABS(D$7-D$10)&gt;=1000</formula>
    </cfRule>
  </conditionalFormatting>
  <conditionalFormatting sqref="E4 E6:E11">
    <cfRule type="expression" dxfId="242" priority="91">
      <formula>ABS(E$7-E$10)&gt;=1000</formula>
    </cfRule>
  </conditionalFormatting>
  <conditionalFormatting sqref="F4:F11">
    <cfRule type="expression" dxfId="241" priority="90">
      <formula>ABS(F$7-F$10)&gt;=1000</formula>
    </cfRule>
  </conditionalFormatting>
  <conditionalFormatting sqref="G4:G11">
    <cfRule type="expression" dxfId="240" priority="89">
      <formula>ABS(G$7-G$10)&gt;=1000</formula>
    </cfRule>
  </conditionalFormatting>
  <conditionalFormatting sqref="H4:H11">
    <cfRule type="expression" dxfId="239" priority="88">
      <formula>ABS(H$7-H$10)&gt;=1000</formula>
    </cfRule>
  </conditionalFormatting>
  <conditionalFormatting sqref="I4:I11">
    <cfRule type="expression" dxfId="238" priority="87">
      <formula>ABS(I$7-I$10)&gt;=1000</formula>
    </cfRule>
  </conditionalFormatting>
  <conditionalFormatting sqref="J4:J11">
    <cfRule type="expression" dxfId="237" priority="86">
      <formula>ABS(J$7-J$10)&gt;=1000</formula>
    </cfRule>
  </conditionalFormatting>
  <conditionalFormatting sqref="K4:K11">
    <cfRule type="expression" dxfId="236" priority="85">
      <formula>ABS(K$7-K$10)&gt;=1000</formula>
    </cfRule>
  </conditionalFormatting>
  <conditionalFormatting sqref="L4:L11">
    <cfRule type="expression" dxfId="235" priority="84">
      <formula>ABS(L$7-L$10)&gt;=1000</formula>
    </cfRule>
  </conditionalFormatting>
  <conditionalFormatting sqref="M4:M11">
    <cfRule type="expression" dxfId="234" priority="83">
      <formula>ABS(M$7-M$10)&gt;=1000</formula>
    </cfRule>
  </conditionalFormatting>
  <conditionalFormatting sqref="N4:N11">
    <cfRule type="expression" dxfId="233" priority="82">
      <formula>ABS(N$7-N$10)&gt;=1000</formula>
    </cfRule>
  </conditionalFormatting>
  <conditionalFormatting sqref="O4:O11">
    <cfRule type="expression" dxfId="232" priority="81">
      <formula>ABS(O$7-O$10)&gt;=1000</formula>
    </cfRule>
  </conditionalFormatting>
  <conditionalFormatting sqref="P4:P11">
    <cfRule type="expression" dxfId="231" priority="80">
      <formula>ABS(P$7-P$10)&gt;=1000</formula>
    </cfRule>
  </conditionalFormatting>
  <conditionalFormatting sqref="Q4:Q11">
    <cfRule type="expression" dxfId="230" priority="79">
      <formula>ABS(Q$7-Q$10)&gt;=1000</formula>
    </cfRule>
  </conditionalFormatting>
  <conditionalFormatting sqref="R4:R11">
    <cfRule type="expression" dxfId="229" priority="78">
      <formula>ABS(R$7-R$10)&gt;=1000</formula>
    </cfRule>
  </conditionalFormatting>
  <conditionalFormatting sqref="S4:S11">
    <cfRule type="expression" dxfId="228" priority="77">
      <formula>ABS(S$7-S$10)&gt;=1000</formula>
    </cfRule>
  </conditionalFormatting>
  <conditionalFormatting sqref="T4:T9 T11">
    <cfRule type="expression" dxfId="227" priority="76">
      <formula>ABS(T$7-T$10)&gt;=1000</formula>
    </cfRule>
  </conditionalFormatting>
  <conditionalFormatting sqref="U4:U9 U11">
    <cfRule type="expression" dxfId="226" priority="75">
      <formula>ABS(U$7-U$10)&gt;=1000</formula>
    </cfRule>
  </conditionalFormatting>
  <conditionalFormatting sqref="V4:V9 V11">
    <cfRule type="expression" dxfId="225" priority="74">
      <formula>ABS(V$7-V$10)&gt;=1000</formula>
    </cfRule>
  </conditionalFormatting>
  <conditionalFormatting sqref="W4:W9 W11">
    <cfRule type="expression" dxfId="224" priority="73">
      <formula>ABS(W$7-W$10)&gt;=1000</formula>
    </cfRule>
  </conditionalFormatting>
  <conditionalFormatting sqref="X4:X9 X11">
    <cfRule type="expression" dxfId="223" priority="72">
      <formula>ABS(X$7-X$10)&gt;=1000</formula>
    </cfRule>
  </conditionalFormatting>
  <conditionalFormatting sqref="Y4:Y9 Y11">
    <cfRule type="expression" dxfId="222" priority="71">
      <formula>ABS(Y$7-Y$10)&gt;=1000</formula>
    </cfRule>
  </conditionalFormatting>
  <conditionalFormatting sqref="Z4:Z11">
    <cfRule type="expression" dxfId="221" priority="70">
      <formula>ABS(Z$7-Z$10)&gt;=1000</formula>
    </cfRule>
  </conditionalFormatting>
  <conditionalFormatting sqref="AA4:AA11">
    <cfRule type="expression" dxfId="220" priority="69">
      <formula>ABS(AA$7-AA$10)&gt;=1000</formula>
    </cfRule>
  </conditionalFormatting>
  <conditionalFormatting sqref="AB4:AB11">
    <cfRule type="expression" dxfId="219" priority="68">
      <formula>ABS(AB$7-AB$10)&gt;=1000</formula>
    </cfRule>
  </conditionalFormatting>
  <conditionalFormatting sqref="AC4 AC6:AC11">
    <cfRule type="expression" dxfId="218" priority="67">
      <formula>ABS(AC$7-AC$10)&gt;=1000</formula>
    </cfRule>
  </conditionalFormatting>
  <conditionalFormatting sqref="AD4:AD11">
    <cfRule type="expression" dxfId="217" priority="66">
      <formula>ABS(AD$7-AD$10)&gt;=1000</formula>
    </cfRule>
  </conditionalFormatting>
  <conditionalFormatting sqref="AE4:AE11">
    <cfRule type="expression" dxfId="216" priority="65">
      <formula>ABS(AE$7-AE$10)&gt;=1000</formula>
    </cfRule>
  </conditionalFormatting>
  <conditionalFormatting sqref="D13:D20">
    <cfRule type="expression" dxfId="215" priority="64">
      <formula>ABS(D$16-D$19)&gt;=1000</formula>
    </cfRule>
  </conditionalFormatting>
  <conditionalFormatting sqref="E13:E20">
    <cfRule type="expression" dxfId="214" priority="63">
      <formula>ABS(E$16-E$19)&gt;=1000</formula>
    </cfRule>
  </conditionalFormatting>
  <conditionalFormatting sqref="F13 F15:F20">
    <cfRule type="expression" dxfId="213" priority="62">
      <formula>ABS(F$16-F$19)&gt;=1000</formula>
    </cfRule>
  </conditionalFormatting>
  <conditionalFormatting sqref="G13:G20">
    <cfRule type="expression" dxfId="212" priority="61">
      <formula>ABS(G$16-G$19)&gt;=1000</formula>
    </cfRule>
  </conditionalFormatting>
  <conditionalFormatting sqref="H13:H20">
    <cfRule type="expression" dxfId="211" priority="60">
      <formula>ABS(H$16-H$19)&gt;=1000</formula>
    </cfRule>
  </conditionalFormatting>
  <conditionalFormatting sqref="I13:I20">
    <cfRule type="expression" dxfId="210" priority="59">
      <formula>ABS(I$16-I$19)&gt;=1000</formula>
    </cfRule>
  </conditionalFormatting>
  <conditionalFormatting sqref="J13:J20">
    <cfRule type="expression" dxfId="209" priority="58">
      <formula>ABS(J$16-J$19)&gt;=1000</formula>
    </cfRule>
  </conditionalFormatting>
  <conditionalFormatting sqref="L13:L20">
    <cfRule type="expression" dxfId="208" priority="57">
      <formula>ABS(L$16-L$19)&gt;=1000</formula>
    </cfRule>
  </conditionalFormatting>
  <conditionalFormatting sqref="M13 M15 M17:M18 M20">
    <cfRule type="expression" dxfId="207" priority="56">
      <formula>ABS(M$16-M$19)&gt;=1000</formula>
    </cfRule>
  </conditionalFormatting>
  <conditionalFormatting sqref="N13:N20">
    <cfRule type="expression" dxfId="206" priority="55">
      <formula>ABS(N$16-N$19)&gt;=1000</formula>
    </cfRule>
  </conditionalFormatting>
  <conditionalFormatting sqref="O13:O20">
    <cfRule type="expression" dxfId="205" priority="54">
      <formula>ABS(O$16-O$19)&gt;=1000</formula>
    </cfRule>
  </conditionalFormatting>
  <conditionalFormatting sqref="P13:P20">
    <cfRule type="expression" dxfId="204" priority="53">
      <formula>ABS(P$16-P$19)&gt;=1000</formula>
    </cfRule>
  </conditionalFormatting>
  <conditionalFormatting sqref="Q13 Q15:Q20">
    <cfRule type="expression" dxfId="203" priority="52">
      <formula>ABS(Q$16-Q$19)&gt;=1000</formula>
    </cfRule>
  </conditionalFormatting>
  <conditionalFormatting sqref="R13:R20">
    <cfRule type="expression" dxfId="202" priority="51">
      <formula>ABS(R$16-R$19)&gt;=1000</formula>
    </cfRule>
  </conditionalFormatting>
  <conditionalFormatting sqref="S13:S20">
    <cfRule type="expression" dxfId="201" priority="50">
      <formula>ABS(S$16-S$19)&gt;=1000</formula>
    </cfRule>
  </conditionalFormatting>
  <conditionalFormatting sqref="T13:T20">
    <cfRule type="expression" dxfId="200" priority="49">
      <formula>ABS(T$16-T$19)&gt;=1000</formula>
    </cfRule>
  </conditionalFormatting>
  <conditionalFormatting sqref="U13:U20">
    <cfRule type="expression" dxfId="199" priority="48">
      <formula>ABS(U$16-U$19)&gt;=1000</formula>
    </cfRule>
  </conditionalFormatting>
  <conditionalFormatting sqref="V13:V20">
    <cfRule type="expression" dxfId="198" priority="47">
      <formula>ABS(V$16-V$19)&gt;=1000</formula>
    </cfRule>
  </conditionalFormatting>
  <conditionalFormatting sqref="W13 W15:W18 W20">
    <cfRule type="expression" dxfId="197" priority="46">
      <formula>ABS(W$16-W$19)&gt;=1000</formula>
    </cfRule>
  </conditionalFormatting>
  <conditionalFormatting sqref="X13 X15:X20 Y19">
    <cfRule type="expression" dxfId="196" priority="45">
      <formula>ABS(X$16-X$19)&gt;=1000</formula>
    </cfRule>
  </conditionalFormatting>
  <conditionalFormatting sqref="Y13 Y15:Y18 Y20">
    <cfRule type="expression" dxfId="195" priority="44">
      <formula>ABS(Y$16-Y$19)&gt;=1000</formula>
    </cfRule>
  </conditionalFormatting>
  <conditionalFormatting sqref="Z13:Z20">
    <cfRule type="expression" dxfId="194" priority="43">
      <formula>ABS(Z$16-Z$19)&gt;=1000</formula>
    </cfRule>
  </conditionalFormatting>
  <conditionalFormatting sqref="AA13:AA20">
    <cfRule type="expression" dxfId="193" priority="42">
      <formula>ABS(AA$16-AA$19)&gt;=1000</formula>
    </cfRule>
  </conditionalFormatting>
  <conditionalFormatting sqref="AB13 AB15:AB20">
    <cfRule type="expression" dxfId="192" priority="41">
      <formula>ABS(AB$16-AB$19)&gt;=1000</formula>
    </cfRule>
  </conditionalFormatting>
  <conditionalFormatting sqref="AC13 AC15:AC20">
    <cfRule type="expression" dxfId="191" priority="40">
      <formula>ABS(AC$16-AC$19)&gt;=1000</formula>
    </cfRule>
  </conditionalFormatting>
  <conditionalFormatting sqref="AD13:AD20">
    <cfRule type="expression" dxfId="190" priority="39">
      <formula>ABS(AD$16-AD$19)&gt;=1000</formula>
    </cfRule>
  </conditionalFormatting>
  <conditionalFormatting sqref="AE13:AE20">
    <cfRule type="expression" dxfId="189" priority="38">
      <formula>ABS(AE$16-AE$19)&gt;=1000</formula>
    </cfRule>
  </conditionalFormatting>
  <conditionalFormatting sqref="D22:D29">
    <cfRule type="expression" dxfId="188" priority="37">
      <formula>ABS(D$25-D$28)&gt;=1000</formula>
    </cfRule>
  </conditionalFormatting>
  <conditionalFormatting sqref="E22:E29">
    <cfRule type="expression" dxfId="187" priority="36">
      <formula>ABS(E$25-E$28)&gt;=1000</formula>
    </cfRule>
  </conditionalFormatting>
  <conditionalFormatting sqref="F22:F29">
    <cfRule type="expression" dxfId="186" priority="35">
      <formula>ABS(F$25-F$28)&gt;=1000</formula>
    </cfRule>
  </conditionalFormatting>
  <conditionalFormatting sqref="G22:G29">
    <cfRule type="expression" dxfId="185" priority="34">
      <formula>ABS(G$25-G$28)&gt;=1000</formula>
    </cfRule>
  </conditionalFormatting>
  <conditionalFormatting sqref="H22:H29">
    <cfRule type="expression" dxfId="184" priority="33">
      <formula>ABS(H$25-H$28)&gt;=1000</formula>
    </cfRule>
  </conditionalFormatting>
  <conditionalFormatting sqref="I22 I24:I29">
    <cfRule type="expression" dxfId="183" priority="32">
      <formula>ABS(I$25-I$28)&gt;=1000</formula>
    </cfRule>
  </conditionalFormatting>
  <conditionalFormatting sqref="J22:J29 K22">
    <cfRule type="expression" dxfId="182" priority="31">
      <formula>ABS(J$25-J$28)&gt;=1000</formula>
    </cfRule>
  </conditionalFormatting>
  <conditionalFormatting sqref="K23:K29 L25 L28">
    <cfRule type="expression" dxfId="181" priority="30">
      <formula>ABS(K$25-K$28)&gt;=1000</formula>
    </cfRule>
  </conditionalFormatting>
  <conditionalFormatting sqref="L22:L24 L26:L27 L29">
    <cfRule type="expression" dxfId="180" priority="29">
      <formula>ABS(L$25-L$28)&gt;=1000</formula>
    </cfRule>
  </conditionalFormatting>
  <conditionalFormatting sqref="M22:M29">
    <cfRule type="expression" dxfId="179" priority="28">
      <formula>ABS(M$25-M$28)&gt;=1000</formula>
    </cfRule>
  </conditionalFormatting>
  <conditionalFormatting sqref="N22:N29">
    <cfRule type="expression" dxfId="178" priority="27">
      <formula>ABS(N$25-N$28)&gt;=1000</formula>
    </cfRule>
  </conditionalFormatting>
  <conditionalFormatting sqref="O22:O29">
    <cfRule type="expression" dxfId="177" priority="26">
      <formula>ABS(O$25-O$28)&gt;=1000</formula>
    </cfRule>
  </conditionalFormatting>
  <conditionalFormatting sqref="P22:P29">
    <cfRule type="expression" dxfId="176" priority="25">
      <formula>ABS(P$25-P$28)&gt;=1000</formula>
    </cfRule>
  </conditionalFormatting>
  <conditionalFormatting sqref="Q22:Q29">
    <cfRule type="expression" dxfId="175" priority="24">
      <formula>ABS(Q$25-Q$28)&gt;=1000</formula>
    </cfRule>
  </conditionalFormatting>
  <conditionalFormatting sqref="R22:R29">
    <cfRule type="expression" dxfId="174" priority="23">
      <formula>ABS(R$25-R$28)&gt;=1000</formula>
    </cfRule>
  </conditionalFormatting>
  <conditionalFormatting sqref="S22:S29">
    <cfRule type="expression" dxfId="173" priority="22">
      <formula>ABS(S$25-S$28)&gt;=1000</formula>
    </cfRule>
  </conditionalFormatting>
  <conditionalFormatting sqref="T22:T29">
    <cfRule type="expression" dxfId="172" priority="21">
      <formula>ABS(T$25-T$28)&gt;=1000</formula>
    </cfRule>
  </conditionalFormatting>
  <conditionalFormatting sqref="U22:U29">
    <cfRule type="expression" dxfId="171" priority="20">
      <formula>ABS(U$25-U$28)&gt;=1000</formula>
    </cfRule>
  </conditionalFormatting>
  <conditionalFormatting sqref="V22:V29">
    <cfRule type="expression" dxfId="170" priority="19">
      <formula>ABS(V$25-V$28)&gt;=1000</formula>
    </cfRule>
  </conditionalFormatting>
  <conditionalFormatting sqref="W22:W29">
    <cfRule type="expression" dxfId="169" priority="18">
      <formula>ABS(W$25-W$28)&gt;=1000</formula>
    </cfRule>
  </conditionalFormatting>
  <conditionalFormatting sqref="X22:X29">
    <cfRule type="expression" dxfId="168" priority="17">
      <formula>ABS(X$25-X$28)&gt;=1000</formula>
    </cfRule>
  </conditionalFormatting>
  <conditionalFormatting sqref="Y22:Y29">
    <cfRule type="expression" dxfId="167" priority="16">
      <formula>ABS(Y$25-Y$28)&gt;=1000</formula>
    </cfRule>
  </conditionalFormatting>
  <conditionalFormatting sqref="I23">
    <cfRule type="expression" dxfId="166" priority="15">
      <formula>ABS(I$25-I$28)&gt;=1000</formula>
    </cfRule>
  </conditionalFormatting>
  <conditionalFormatting sqref="F14">
    <cfRule type="expression" dxfId="165" priority="14">
      <formula>ABS(F$16-F$19)&gt;=1000</formula>
    </cfRule>
  </conditionalFormatting>
  <conditionalFormatting sqref="Q14">
    <cfRule type="expression" dxfId="164" priority="13">
      <formula>ABS(Q$16-Q$19)&gt;=1000</formula>
    </cfRule>
  </conditionalFormatting>
  <conditionalFormatting sqref="W14">
    <cfRule type="expression" dxfId="163" priority="12">
      <formula>ABS(W$16-W$19)&gt;=1000</formula>
    </cfRule>
  </conditionalFormatting>
  <conditionalFormatting sqref="Y14">
    <cfRule type="expression" dxfId="162" priority="11">
      <formula>ABS(Y$16-Y$19)&gt;=1000</formula>
    </cfRule>
  </conditionalFormatting>
  <conditionalFormatting sqref="X14">
    <cfRule type="expression" dxfId="161" priority="10">
      <formula>ABS(X$16-X$19)&gt;=1000</formula>
    </cfRule>
  </conditionalFormatting>
  <conditionalFormatting sqref="T10:Y10">
    <cfRule type="expression" dxfId="160" priority="9">
      <formula>ABS(T$7-T$10)&gt;=1000</formula>
    </cfRule>
  </conditionalFormatting>
  <conditionalFormatting sqref="W19">
    <cfRule type="expression" dxfId="159" priority="8">
      <formula>ABS(W$16-W$19)&gt;=1000</formula>
    </cfRule>
  </conditionalFormatting>
  <conditionalFormatting sqref="AC5">
    <cfRule type="expression" dxfId="158" priority="7">
      <formula>ABS(AC$7-AC$10)&gt;=1000</formula>
    </cfRule>
  </conditionalFormatting>
  <conditionalFormatting sqref="M14">
    <cfRule type="expression" dxfId="157" priority="6">
      <formula>ABS(M$16-M$19)&gt;=1000</formula>
    </cfRule>
  </conditionalFormatting>
  <conditionalFormatting sqref="M16">
    <cfRule type="expression" dxfId="156" priority="5">
      <formula>ABS(M$16-M$19)&gt;=1000</formula>
    </cfRule>
  </conditionalFormatting>
  <conditionalFormatting sqref="M19">
    <cfRule type="expression" dxfId="155" priority="4">
      <formula>ABS(M$16-M$19)&gt;=1000</formula>
    </cfRule>
  </conditionalFormatting>
  <conditionalFormatting sqref="K13:K20">
    <cfRule type="expression" dxfId="154" priority="3">
      <formula>ABS(K$16-K$19)&gt;=1000</formula>
    </cfRule>
  </conditionalFormatting>
  <conditionalFormatting sqref="E5">
    <cfRule type="expression" dxfId="153" priority="2">
      <formula>ABS(E$7-E$10)&gt;=1000</formula>
    </cfRule>
  </conditionalFormatting>
  <conditionalFormatting sqref="AB14:AC14">
    <cfRule type="expression" dxfId="152" priority="1">
      <formula>ABS(AB$16-AB$19)&gt;=1000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977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63">
    <pageSetUpPr fitToPage="1"/>
  </sheetPr>
  <dimension ref="A1:CU223"/>
  <sheetViews>
    <sheetView tabSelected="1" view="pageBreakPreview" topLeftCell="A10" zoomScale="70" zoomScaleNormal="100" zoomScaleSheetLayoutView="70" workbookViewId="0">
      <selection activeCell="Q22" sqref="Q22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36" t="s" ph="1">
        <v>195</v>
      </c>
      <c r="C1" s="236" ph="1"/>
      <c r="D1" s="236" ph="1"/>
      <c r="E1" s="236" ph="1"/>
      <c r="F1" s="236" ph="1"/>
      <c r="G1" s="236" ph="1"/>
      <c r="H1" s="236" ph="1"/>
      <c r="I1" s="236" ph="1"/>
      <c r="J1" s="236" ph="1"/>
      <c r="K1" s="236" ph="1"/>
      <c r="L1" s="236" ph="1"/>
      <c r="M1" s="236" ph="1"/>
      <c r="N1" s="236" ph="1"/>
      <c r="O1" s="236" ph="1"/>
      <c r="P1" s="236" ph="1"/>
      <c r="Q1" s="236" ph="1"/>
      <c r="R1" s="236" ph="1"/>
      <c r="S1" s="236" ph="1"/>
      <c r="T1" s="236" ph="1"/>
      <c r="U1" s="236" ph="1"/>
      <c r="V1" s="236" ph="1"/>
      <c r="W1" s="236" ph="1"/>
      <c r="X1" s="236" ph="1"/>
      <c r="Y1" s="236" ph="1"/>
      <c r="Z1" s="236" ph="1"/>
      <c r="AA1" s="236" ph="1"/>
      <c r="AB1" s="236" ph="1"/>
      <c r="AC1" s="236" ph="1"/>
      <c r="AD1" s="236" ph="1"/>
      <c r="AE1" s="236" ph="1"/>
    </row>
    <row r="2" spans="1:99" s="66" customFormat="1" ht="24" customHeight="1" ph="1">
      <c r="B2" s="237" t="s" ph="1">
        <v>99</v>
      </c>
      <c r="C2" s="237" ph="1"/>
      <c r="D2" s="237" ph="1"/>
      <c r="E2" s="237" ph="1"/>
      <c r="F2" s="237" ph="1"/>
      <c r="G2" s="237" ph="1"/>
      <c r="H2" s="237" ph="1"/>
      <c r="I2" s="237" ph="1"/>
      <c r="J2" s="237" ph="1"/>
      <c r="K2" s="237" ph="1"/>
      <c r="L2" s="237" ph="1"/>
      <c r="M2" s="237" ph="1"/>
      <c r="N2" s="237" ph="1"/>
      <c r="O2" s="237" ph="1"/>
      <c r="P2" s="237" ph="1"/>
      <c r="Q2" s="237" ph="1"/>
      <c r="R2" s="237" ph="1"/>
      <c r="S2" s="237" ph="1"/>
      <c r="T2" s="237" ph="1"/>
      <c r="U2" s="237" ph="1"/>
      <c r="V2" s="237" ph="1"/>
      <c r="W2" s="237" ph="1"/>
      <c r="X2" s="237" ph="1"/>
      <c r="Y2" s="237" ph="1"/>
      <c r="Z2" s="237" ph="1"/>
      <c r="AA2" s="237" ph="1"/>
      <c r="AB2" s="237" ph="1"/>
      <c r="AC2" s="237" ph="1"/>
      <c r="AD2" s="237" ph="1"/>
      <c r="AE2" s="237" ph="1"/>
    </row>
    <row r="3" spans="1:99" ht="21" customHeight="1" ph="1">
      <c r="B3" s="238" ph="1">
        <v>45681</v>
      </c>
      <c r="C3" s="238"/>
      <c r="D3" s="238"/>
      <c r="E3" s="238"/>
      <c r="F3" s="238"/>
      <c r="G3" s="238"/>
      <c r="H3" s="238"/>
      <c r="I3" s="238"/>
      <c r="J3" s="238"/>
      <c r="K3" s="238"/>
      <c r="L3" s="238"/>
      <c r="M3" s="238"/>
      <c r="N3" s="238"/>
      <c r="O3" s="238"/>
      <c r="P3" s="238"/>
      <c r="Q3" s="238"/>
      <c r="R3" s="238"/>
      <c r="S3" s="238"/>
      <c r="T3" s="238"/>
      <c r="U3" s="238"/>
      <c r="V3" s="238"/>
      <c r="W3" s="238"/>
      <c r="X3" s="238"/>
      <c r="Y3" s="238"/>
      <c r="Z3" s="238"/>
      <c r="AA3" s="238"/>
      <c r="AB3" s="238"/>
      <c r="AC3" s="238"/>
      <c r="AD3" s="238"/>
      <c r="AE3" s="238"/>
    </row>
    <row r="4" spans="1:99" s="69" customFormat="1" ph="1">
      <c r="A4" s="65" ph="1"/>
      <c r="B4" s="217" t="s" ph="1">
        <v>37</v>
      </c>
      <c r="C4" s="67" t="s" ph="1">
        <v>210</v>
      </c>
      <c r="D4" s="68" t="s" ph="1">
        <v>45</v>
      </c>
      <c r="E4" s="68" t="s" ph="1">
        <v>46</v>
      </c>
      <c r="F4" s="68" t="s" ph="1">
        <v>39</v>
      </c>
      <c r="G4" s="68" t="s" ph="1">
        <v>47</v>
      </c>
      <c r="H4" s="68" t="s" ph="1">
        <v>48</v>
      </c>
      <c r="I4" s="68" t="s" ph="1">
        <v>133</v>
      </c>
      <c r="J4" s="68" t="s" ph="1">
        <v>49</v>
      </c>
      <c r="K4" s="68" t="s" ph="1">
        <v>134</v>
      </c>
      <c r="L4" s="68" t="s" ph="1">
        <v>135</v>
      </c>
      <c r="M4" s="68" t="s" ph="1">
        <v>50</v>
      </c>
      <c r="N4" s="68" t="s" ph="1">
        <v>51</v>
      </c>
      <c r="O4" s="68" t="s" ph="1">
        <v>137</v>
      </c>
      <c r="P4" s="68" t="s" ph="1">
        <v>139</v>
      </c>
      <c r="Q4" s="68" t="s" ph="1">
        <v>140</v>
      </c>
      <c r="R4" s="68" t="s" ph="1">
        <v>141</v>
      </c>
      <c r="S4" s="68" t="s" ph="1">
        <v>142</v>
      </c>
      <c r="T4" s="68" t="s" ph="1">
        <v>143</v>
      </c>
      <c r="U4" s="68" t="s" ph="1">
        <v>144</v>
      </c>
      <c r="V4" s="68" t="s" ph="1">
        <v>145</v>
      </c>
      <c r="W4" s="68" t="s" ph="1">
        <v>146</v>
      </c>
      <c r="X4" s="68" t="s" ph="1">
        <v>147</v>
      </c>
      <c r="Y4" s="68" t="s" ph="1">
        <v>148</v>
      </c>
      <c r="Z4" s="68" t="s" ph="1">
        <v>52</v>
      </c>
      <c r="AA4" s="68" t="s" ph="1">
        <v>149</v>
      </c>
      <c r="AB4" s="68" t="s" ph="1">
        <v>150</v>
      </c>
      <c r="AC4" s="68" t="s" ph="1">
        <v>151</v>
      </c>
      <c r="AD4" s="68" t="s" ph="1">
        <v>40</v>
      </c>
      <c r="AE4" s="68" t="s" ph="1">
        <v>152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7" ph="1"/>
      <c r="C5" s="67" t="s" ph="1">
        <v>36</v>
      </c>
      <c r="D5" s="70" t="s" ph="1">
        <v>194</v>
      </c>
      <c r="E5" s="70" t="s" ph="1">
        <v>55</v>
      </c>
      <c r="F5" s="70" t="s" ph="1">
        <v>130</v>
      </c>
      <c r="G5" s="70" t="s" ph="1">
        <v>56</v>
      </c>
      <c r="H5" s="70" t="s" ph="1">
        <v>56</v>
      </c>
      <c r="I5" s="70" t="s" ph="1">
        <v>57</v>
      </c>
      <c r="J5" s="70" t="s" ph="1">
        <v>58</v>
      </c>
      <c r="K5" s="70" t="s" ph="1">
        <v>59</v>
      </c>
      <c r="L5" s="70" t="s" ph="1">
        <v>136</v>
      </c>
      <c r="M5" s="70" t="s" ph="1">
        <v>60</v>
      </c>
      <c r="N5" s="70" t="s" ph="1">
        <v>61</v>
      </c>
      <c r="O5" s="70" t="s" ph="1">
        <v>138</v>
      </c>
      <c r="P5" s="70" t="s" ph="1">
        <v>88</v>
      </c>
      <c r="Q5" s="70" t="s" ph="1">
        <v>96</v>
      </c>
      <c r="R5" s="70" t="s" ph="1">
        <v>96</v>
      </c>
      <c r="S5" s="70" t="s" ph="1">
        <v>96</v>
      </c>
      <c r="T5" s="70" t="s" ph="1">
        <v>96</v>
      </c>
      <c r="U5" s="70" t="s" ph="1">
        <v>96</v>
      </c>
      <c r="V5" s="70" t="s" ph="1">
        <v>96</v>
      </c>
      <c r="W5" s="70" t="s" ph="1">
        <v>96</v>
      </c>
      <c r="X5" s="70" t="s" ph="1">
        <v>96</v>
      </c>
      <c r="Y5" s="70" t="s" ph="1">
        <v>96</v>
      </c>
      <c r="Z5" s="70" t="s" ph="1">
        <v>95</v>
      </c>
      <c r="AA5" s="70" t="s" ph="1">
        <v>62</v>
      </c>
      <c r="AB5" s="70" t="s" ph="1">
        <v>62</v>
      </c>
      <c r="AC5" s="70" t="s" ph="1">
        <v>222</v>
      </c>
      <c r="AD5" s="70" t="s" ph="1">
        <v>83</v>
      </c>
      <c r="AE5" s="70" t="s" ph="1">
        <v>661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5" ph="1">
        <v>0.33333333333333331</v>
      </c>
      <c r="C6" s="157" t="s" ph="1">
        <v>211</v>
      </c>
      <c r="D6" s="71">
        <v>4100</v>
      </c>
      <c r="E6" s="71">
        <v>0</v>
      </c>
      <c r="F6" s="71">
        <v>6361</v>
      </c>
      <c r="G6" s="71">
        <v>8886</v>
      </c>
      <c r="H6" s="71">
        <v>3503</v>
      </c>
      <c r="I6" s="71">
        <v>39.11</v>
      </c>
      <c r="J6" s="71">
        <v>80.02</v>
      </c>
      <c r="K6" s="71">
        <v>82.15</v>
      </c>
      <c r="L6" s="71">
        <v>45.01</v>
      </c>
      <c r="M6" s="71">
        <v>4992</v>
      </c>
      <c r="N6" s="71">
        <v>5236</v>
      </c>
      <c r="O6" s="71">
        <v>4119</v>
      </c>
      <c r="P6" s="71">
        <v>6591</v>
      </c>
      <c r="Q6" s="71">
        <v>0</v>
      </c>
      <c r="R6" s="71">
        <v>0</v>
      </c>
      <c r="S6" s="71">
        <v>0</v>
      </c>
      <c r="T6" s="71">
        <v>0</v>
      </c>
      <c r="U6" s="71">
        <v>6263</v>
      </c>
      <c r="V6" s="71">
        <v>3251</v>
      </c>
      <c r="W6" s="71">
        <v>0</v>
      </c>
      <c r="X6" s="71">
        <v>0</v>
      </c>
      <c r="Y6" s="71">
        <v>1000</v>
      </c>
      <c r="Z6" s="71">
        <v>5811</v>
      </c>
      <c r="AA6" s="71">
        <v>1716</v>
      </c>
      <c r="AB6" s="71">
        <v>3538</v>
      </c>
      <c r="AC6" s="71">
        <v>7332</v>
      </c>
      <c r="AD6" s="71">
        <v>255</v>
      </c>
      <c r="AE6" s="71">
        <v>3523</v>
      </c>
    </row>
    <row r="7" spans="1:99" s="72" customFormat="1" ht="22.5" ph="1">
      <c r="B7" s="235" ph="1"/>
      <c r="C7" s="68" t="s" ph="1">
        <v>212</v>
      </c>
      <c r="D7" s="73" ph="1">
        <f>D6*33.183*LOOKUP(D8,密度!$A$2:$A$50,密度!$Q$2:$Q$50)</f>
        <v>129737.56607999999</v>
      </c>
      <c r="E7" s="73" ph="1">
        <f>E6*51.53*LOOKUP(E8,密度!$A$2:$A$50,密度!$I$2:$I$50)</f>
        <v>0</v>
      </c>
      <c r="F7" s="73" ph="1">
        <f>F6*33.183*LOOKUP(F8,密度!$A$2:$A$50,密度!$C$2:$C$50)</f>
        <v>235118.74047569997</v>
      </c>
      <c r="G7" s="73" ph="1">
        <f xml:space="preserve"> (G6+2)*51.53*LOOKUP(G8,密度!$A$2:$A$50,密度!$B$2:$B$50)</f>
        <v>360536.529408</v>
      </c>
      <c r="H7" s="73" ph="1">
        <f>(H6)*51.53*LOOKUP(H8,密度!$A$2:$A$50,密度!$B$2:$B$50)</f>
        <v>142855.28952600001</v>
      </c>
      <c r="I7" s="73" ph="1">
        <f>I6*290.8*1.0267</f>
        <v>11676.8521196</v>
      </c>
      <c r="J7" s="73" ph="1">
        <f>J6*290.8*0.7892</f>
        <v>18364.538787199999</v>
      </c>
      <c r="K7" s="73" ph="1">
        <f>K6*290.8*1.1126</f>
        <v>26579.146172000001</v>
      </c>
      <c r="L7" s="73" ph="1">
        <f>L6*290.8*0.777</f>
        <v>10170.081516</v>
      </c>
      <c r="M7" s="73" ph="1">
        <f>M6*33.183*LOOKUP(M8,密度!$A$2:$A$50,密度!$D$2:$D$50)</f>
        <v>171414.13985279997</v>
      </c>
      <c r="N7" s="73" ph="1">
        <f>N6*33.183*LOOKUP(N8,密度!$A$2:$A$50,密度!$E$2:$E$50)</f>
        <v>137693.85399</v>
      </c>
      <c r="O7" s="73" ph="1">
        <f>O6*20.428*LOOKUP(O8,密度!$A$2:$A$50,密度!$C$2:$C$50)</f>
        <v>93491.211745199995</v>
      </c>
      <c r="P7" s="73" ph="1">
        <f>P6*51.53*LOOKUP(P8,密度!$A$2:$A$50,密度!$B$2:$B$50)</f>
        <v>267360.065856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41880.027142799998</v>
      </c>
      <c r="V7" s="73" ph="1">
        <f>V6*1.5*1.5*3.1416*LOOKUP(V8,密度!$A$2:$A$50,密度!$L$2:$L$50)</f>
        <v>21624.1975026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6686.8955999999989</v>
      </c>
      <c r="Z7" s="73" ph="1">
        <f>Z6*33.183*LOOKUP(Z8,密度!$A$2:$A$50,密度!$L$2:$L$50)</f>
        <v>182220.96028499998</v>
      </c>
      <c r="AA7" s="73" ph="1">
        <f>AA6*33.183*LOOKUP(AA8,密度!$A$2:$A$50,密度!$D$2:$D$50)</f>
        <v>58923.610574399994</v>
      </c>
      <c r="AB7" s="73" ph="1">
        <f>AB6*20.428*LOOKUP(AB8,密度!$A$2:$A$50,密度!$D$2:$D$50)</f>
        <v>75360.375072800001</v>
      </c>
      <c r="AC7" s="73" ph="1">
        <f>AC6*51.53*LOOKUP(AC8,密度!$A$2:$A$50,密度!$Q$2:$Q$50)</f>
        <v>360642.35553840006</v>
      </c>
      <c r="AD7" s="73" ph="1">
        <f>AD6*20.428*LOOKUP(AD8,密度!$A$2:$A$50,密度!$V$2:$V$50)</f>
        <v>5021.61096</v>
      </c>
      <c r="AE7" s="73" ph="1">
        <f>AE6*20.428</f>
        <v>71967.843999999997</v>
      </c>
    </row>
    <row r="8" spans="1:99" ph="1">
      <c r="B8" s="235" ph="1"/>
      <c r="C8" s="68" t="s" ph="1">
        <v>213</v>
      </c>
      <c r="D8" s="74">
        <v>16</v>
      </c>
      <c r="E8" s="74">
        <v>15</v>
      </c>
      <c r="F8" s="74">
        <v>18</v>
      </c>
      <c r="G8" s="74">
        <v>16</v>
      </c>
      <c r="H8" s="74">
        <v>11</v>
      </c>
      <c r="I8" s="74">
        <v>25</v>
      </c>
      <c r="J8" s="74">
        <v>25</v>
      </c>
      <c r="K8" s="74">
        <v>25</v>
      </c>
      <c r="L8" s="74">
        <v>25</v>
      </c>
      <c r="M8" s="74">
        <v>16</v>
      </c>
      <c r="N8" s="74">
        <v>17</v>
      </c>
      <c r="O8" s="74">
        <v>22</v>
      </c>
      <c r="P8" s="74">
        <v>16</v>
      </c>
      <c r="Q8" s="74">
        <v>15</v>
      </c>
      <c r="R8" s="74">
        <v>23</v>
      </c>
      <c r="S8" s="74">
        <v>10</v>
      </c>
      <c r="T8" s="74">
        <v>13</v>
      </c>
      <c r="U8" s="74">
        <v>16</v>
      </c>
      <c r="V8" s="74">
        <v>21</v>
      </c>
      <c r="W8" s="74">
        <v>17</v>
      </c>
      <c r="X8" s="74">
        <v>8</v>
      </c>
      <c r="Y8" s="74">
        <v>16</v>
      </c>
      <c r="Z8" s="74">
        <v>17</v>
      </c>
      <c r="AA8" s="74">
        <v>16</v>
      </c>
      <c r="AB8" s="74">
        <v>7</v>
      </c>
      <c r="AC8" s="74">
        <v>14</v>
      </c>
      <c r="AD8" s="74">
        <v>14</v>
      </c>
      <c r="AE8" s="74">
        <v>21</v>
      </c>
    </row>
    <row r="9" spans="1:99" ph="1">
      <c r="B9" s="235" ph="1">
        <v>0.66666666666666663</v>
      </c>
      <c r="C9" s="157" t="s" ph="1">
        <v>214</v>
      </c>
      <c r="D9" s="71">
        <v>4100</v>
      </c>
      <c r="E9" s="71">
        <v>0</v>
      </c>
      <c r="F9" s="71">
        <v>7138</v>
      </c>
      <c r="G9" s="71">
        <v>8886</v>
      </c>
      <c r="H9" s="71">
        <v>3220</v>
      </c>
      <c r="I9" s="71">
        <v>39.119999999999997</v>
      </c>
      <c r="J9" s="71">
        <v>80.12</v>
      </c>
      <c r="K9" s="71">
        <v>82.13</v>
      </c>
      <c r="L9" s="71">
        <v>33.11</v>
      </c>
      <c r="M9" s="71">
        <v>4993</v>
      </c>
      <c r="N9" s="71">
        <v>5238</v>
      </c>
      <c r="O9" s="71">
        <v>3231</v>
      </c>
      <c r="P9" s="71">
        <v>6440</v>
      </c>
      <c r="Q9" s="71">
        <v>0</v>
      </c>
      <c r="R9" s="71">
        <v>0</v>
      </c>
      <c r="S9" s="71">
        <v>0</v>
      </c>
      <c r="T9" s="71">
        <v>0</v>
      </c>
      <c r="U9" s="71">
        <v>5524</v>
      </c>
      <c r="V9" s="71">
        <v>0</v>
      </c>
      <c r="W9" s="71">
        <v>6650</v>
      </c>
      <c r="X9" s="71">
        <v>0</v>
      </c>
      <c r="Y9" s="71">
        <v>1000</v>
      </c>
      <c r="Z9" s="71">
        <v>4804</v>
      </c>
      <c r="AA9" s="71">
        <v>1714</v>
      </c>
      <c r="AB9" s="71">
        <v>3212</v>
      </c>
      <c r="AC9" s="71">
        <v>7330</v>
      </c>
      <c r="AD9" s="71">
        <v>241</v>
      </c>
      <c r="AE9" s="71">
        <v>3807</v>
      </c>
    </row>
    <row r="10" spans="1:99" s="72" customFormat="1" ht="22.5" ph="1">
      <c r="B10" s="235" ph="1"/>
      <c r="C10" s="157" t="s" ph="1">
        <v>212</v>
      </c>
      <c r="D10" s="73" ph="1">
        <f>D9*33.183*LOOKUP(D11,密度!$A$2:$A$50,密度!$Q$2:$Q$50)</f>
        <v>129628.72583999998</v>
      </c>
      <c r="E10" s="73" ph="1">
        <f>E9*51.53*LOOKUP(E11,密度!$A$2:$A$50,密度!$I$2:$I$50)</f>
        <v>0</v>
      </c>
      <c r="F10" s="73" ph="1">
        <f>F9*33.183*LOOKUP(F11,密度!$A$2:$A$50,密度!$C$2:$C$50)</f>
        <v>263672.8347528</v>
      </c>
      <c r="G10" s="73" ph="1">
        <f xml:space="preserve"> (G9+2)*51.53*LOOKUP(G11,密度!$A$2:$A$50,密度!$B$2:$B$50)</f>
        <v>360170.130496</v>
      </c>
      <c r="H10" s="73" ph="1">
        <f>(H9)*51.53*LOOKUP(H11,密度!$A$2:$A$50,密度!$B$2:$B$50)</f>
        <v>131032.23602</v>
      </c>
      <c r="I10" s="73" ph="1">
        <f>I9*290.8*1.0267</f>
        <v>11679.837763199999</v>
      </c>
      <c r="J10" s="73" ph="1">
        <f>J9*290.8*0.7892</f>
        <v>18387.4887232</v>
      </c>
      <c r="K10" s="73" ph="1">
        <f>K9*290.8*1.1126</f>
        <v>26572.675290399999</v>
      </c>
      <c r="L10" s="73" ph="1">
        <f>L9*290.8*0.777</f>
        <v>7481.2574760000007</v>
      </c>
      <c r="M10" s="73" ph="1">
        <f>M9*33.183*LOOKUP(M11,密度!$A$2:$A$50,密度!$D$2:$D$50)</f>
        <v>171166.8169989</v>
      </c>
      <c r="N10" s="73" ph="1">
        <f>N9*33.183*LOOKUP(N11,密度!$A$2:$A$50,密度!$E$2:$E$50)</f>
        <v>137555.25523559999</v>
      </c>
      <c r="O10" s="73" ph="1">
        <f>O9*20.428*LOOKUP(O11,密度!$A$2:$A$50,密度!$C$2:$C$50)</f>
        <v>73289.584627200005</v>
      </c>
      <c r="P10" s="73" ph="1">
        <f>P9*51.53*LOOKUP(P11,密度!$A$2:$A$50,密度!$B$2:$B$50)</f>
        <v>260471.57668000003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36899.364347999996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44373.843359999999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6665.6897999999992</v>
      </c>
      <c r="Z10" s="73" ph="1">
        <f>Z9*33.183*LOOKUP(Z11,密度!$A$2:$A$50,密度!$L$2:$L$50)</f>
        <v>150484.10860800001</v>
      </c>
      <c r="AA10" s="73" ph="1">
        <f>AA9*33.183*LOOKUP(AA11,密度!$A$2:$A$50,密度!$D$2:$D$50)</f>
        <v>58758.246412199995</v>
      </c>
      <c r="AB10" s="73" ph="1">
        <f>AB9*20.428*LOOKUP(AB11,密度!$A$2:$A$50,密度!$D$2:$D$50)</f>
        <v>68357.431964800009</v>
      </c>
      <c r="AC10" s="73" ph="1">
        <f>AC9*51.53*LOOKUP(AC11,密度!$A$2:$A$50,密度!$Q$2:$Q$50)</f>
        <v>360188.92864</v>
      </c>
      <c r="AD10" s="73" ph="1">
        <f>AD9*20.428*LOOKUP(AD11,密度!$A$2:$A$50,密度!$V$2:$V$50)</f>
        <v>4745.9146719999999</v>
      </c>
      <c r="AE10" s="73" ph="1">
        <f>AE9*20.428</f>
        <v>77769.396000000008</v>
      </c>
    </row>
    <row r="11" spans="1:99" ph="1">
      <c r="A11" s="64" t="s" ph="1">
        <v>196</v>
      </c>
      <c r="B11" s="235" ph="1"/>
      <c r="C11" s="157" t="s" ph="1">
        <v>213</v>
      </c>
      <c r="D11" s="74">
        <v>17</v>
      </c>
      <c r="E11" s="74">
        <v>18</v>
      </c>
      <c r="F11" s="74">
        <v>19</v>
      </c>
      <c r="G11" s="74">
        <v>17</v>
      </c>
      <c r="H11" s="74">
        <v>13</v>
      </c>
      <c r="I11" s="74">
        <v>25</v>
      </c>
      <c r="J11" s="74">
        <v>25</v>
      </c>
      <c r="K11" s="74">
        <v>25</v>
      </c>
      <c r="L11" s="74">
        <v>25</v>
      </c>
      <c r="M11" s="74">
        <v>18</v>
      </c>
      <c r="N11" s="74">
        <v>18</v>
      </c>
      <c r="O11" s="74">
        <v>23</v>
      </c>
      <c r="P11" s="74">
        <v>19</v>
      </c>
      <c r="Q11" s="74">
        <v>21</v>
      </c>
      <c r="R11" s="74">
        <v>25</v>
      </c>
      <c r="S11" s="74">
        <v>13</v>
      </c>
      <c r="T11" s="74">
        <v>20</v>
      </c>
      <c r="U11" s="74">
        <v>17</v>
      </c>
      <c r="V11" s="74">
        <v>24</v>
      </c>
      <c r="W11" s="74">
        <v>18</v>
      </c>
      <c r="X11" s="74">
        <v>15</v>
      </c>
      <c r="Y11" s="74">
        <v>19</v>
      </c>
      <c r="Z11" s="74">
        <v>18</v>
      </c>
      <c r="AA11" s="74">
        <v>18</v>
      </c>
      <c r="AB11" s="74">
        <v>8</v>
      </c>
      <c r="AC11" s="74">
        <v>16</v>
      </c>
      <c r="AD11" s="74">
        <v>20</v>
      </c>
      <c r="AE11" s="74">
        <v>28</v>
      </c>
    </row>
    <row r="12" spans="1:99" ht="9.9499999999999993" customHeight="1" ph="1"/>
    <row r="13" spans="1:99" s="72" customFormat="1" ht="29.25" customHeight="1" ph="1">
      <c r="B13" s="212" t="s" ph="1">
        <v>37</v>
      </c>
      <c r="C13" s="157" t="s" ph="1">
        <v>210</v>
      </c>
      <c r="D13" s="76" t="s" ph="1">
        <v>53</v>
      </c>
      <c r="E13" s="76" t="s" ph="1">
        <v>54</v>
      </c>
      <c r="F13" s="76" t="s" ph="1">
        <v>66</v>
      </c>
      <c r="G13" s="76" t="s" ph="1">
        <v>67</v>
      </c>
      <c r="H13" s="76" t="s" ph="1">
        <v>154</v>
      </c>
      <c r="I13" s="76" t="s" ph="1">
        <v>68</v>
      </c>
      <c r="J13" s="76" t="s" ph="1">
        <v>155</v>
      </c>
      <c r="K13" s="76" t="s" ph="1">
        <v>63</v>
      </c>
      <c r="L13" s="76" t="s" ph="1">
        <v>69</v>
      </c>
      <c r="M13" s="76" t="s" ph="1">
        <v>70</v>
      </c>
      <c r="N13" s="76" t="s" ph="1">
        <v>156</v>
      </c>
      <c r="O13" s="76" t="s" ph="1">
        <v>64</v>
      </c>
      <c r="P13" s="76" t="s" ph="1">
        <v>71</v>
      </c>
      <c r="Q13" s="76" t="s" ph="1">
        <v>72</v>
      </c>
      <c r="R13" s="76" t="s" ph="1">
        <v>73</v>
      </c>
      <c r="S13" s="76" t="s" ph="1">
        <v>74</v>
      </c>
      <c r="T13" s="76" t="s" ph="1">
        <v>75</v>
      </c>
      <c r="U13" s="76" t="s" ph="1">
        <v>76</v>
      </c>
      <c r="V13" s="76" t="s" ph="1">
        <v>157</v>
      </c>
      <c r="W13" s="76" t="s" ph="1">
        <v>158</v>
      </c>
      <c r="X13" s="76" t="s" ph="1">
        <v>159</v>
      </c>
      <c r="Y13" s="105" t="s" ph="1">
        <v>77</v>
      </c>
      <c r="Z13" s="76" t="s" ph="1">
        <v>86</v>
      </c>
      <c r="AA13" s="76" t="s" ph="1">
        <v>160</v>
      </c>
      <c r="AB13" s="76" t="s" ph="1">
        <v>161</v>
      </c>
      <c r="AC13" s="76" t="s" ph="1">
        <v>162</v>
      </c>
      <c r="AD13" s="76" t="s" ph="1">
        <v>163</v>
      </c>
      <c r="AE13" s="76" t="s" ph="1">
        <v>164</v>
      </c>
      <c r="AG13" s="72" t="s" ph="1">
        <v>369</v>
      </c>
      <c r="AH13" s="72" t="s" ph="1">
        <v>232</v>
      </c>
      <c r="AI13" s="72" t="s" ph="1">
        <v>233</v>
      </c>
      <c r="AJ13" s="72" t="s" ph="1">
        <v>234</v>
      </c>
      <c r="AK13" s="72" t="s" ph="1">
        <v>235</v>
      </c>
      <c r="AL13" s="72" t="s" ph="1">
        <v>236</v>
      </c>
      <c r="AM13" s="72" t="s" ph="1">
        <v>237</v>
      </c>
      <c r="AN13" s="72" t="s" ph="1">
        <v>238</v>
      </c>
      <c r="AO13" s="72" t="s" ph="1">
        <v>239</v>
      </c>
      <c r="AP13" s="72" t="s" ph="1">
        <v>240</v>
      </c>
      <c r="AQ13" s="72" t="s" ph="1">
        <v>241</v>
      </c>
      <c r="AR13" s="72" t="s" ph="1">
        <v>242</v>
      </c>
      <c r="AS13" s="72" t="s" ph="1">
        <v>243</v>
      </c>
      <c r="AT13" s="72" t="s" ph="1">
        <v>244</v>
      </c>
      <c r="AU13" s="72" t="s" ph="1">
        <v>245</v>
      </c>
      <c r="AV13" s="72" t="s" ph="1">
        <v>246</v>
      </c>
      <c r="AW13" s="72" t="s" ph="1">
        <v>247</v>
      </c>
      <c r="AX13" s="72" t="s" ph="1">
        <v>248</v>
      </c>
      <c r="AY13" s="72" t="s" ph="1">
        <v>370</v>
      </c>
      <c r="AZ13" s="72" t="s" ph="1">
        <v>249</v>
      </c>
      <c r="BA13" s="72" t="s" ph="1">
        <v>250</v>
      </c>
      <c r="BB13" s="72" t="s" ph="1">
        <v>635</v>
      </c>
      <c r="BC13" s="72" t="s" ph="1">
        <v>251</v>
      </c>
      <c r="BD13" s="72" t="s" ph="1">
        <v>371</v>
      </c>
      <c r="BE13" s="72" t="s" ph="1">
        <v>372</v>
      </c>
      <c r="BF13" s="72" t="s" ph="1">
        <v>373</v>
      </c>
      <c r="BG13" s="72" t="s" ph="1">
        <v>374</v>
      </c>
      <c r="BH13" s="72" t="s" ph="1">
        <v>375</v>
      </c>
    </row>
    <row r="14" spans="1:99" s="72" customFormat="1" ht="24" ph="1">
      <c r="B14" s="213" ph="1"/>
      <c r="C14" s="67" t="s" ph="1">
        <v>36</v>
      </c>
      <c r="D14" s="77" t="s" ph="1">
        <v>131</v>
      </c>
      <c r="E14" s="77" t="s" ph="1">
        <v>131</v>
      </c>
      <c r="F14" s="153" t="s" ph="1">
        <v>656</v>
      </c>
      <c r="G14" s="77" t="s" ph="1">
        <v>220</v>
      </c>
      <c r="H14" s="77" t="s" ph="1">
        <v>648</v>
      </c>
      <c r="I14" s="77" t="s" ph="1">
        <v>65</v>
      </c>
      <c r="J14" s="77" t="s" ph="1">
        <v>230</v>
      </c>
      <c r="K14" s="77" t="s" ph="1">
        <v>226</v>
      </c>
      <c r="L14" s="77" t="s" ph="1">
        <v>41</v>
      </c>
      <c r="M14" s="104" t="s" ph="1">
        <v>225</v>
      </c>
      <c r="N14" s="104" t="s" ph="1">
        <v>221</v>
      </c>
      <c r="O14" s="104" t="s" ph="1">
        <v>229</v>
      </c>
      <c r="P14" s="77" t="s" ph="1">
        <v>82</v>
      </c>
      <c r="Q14" s="77" t="s" ph="1">
        <v>82</v>
      </c>
      <c r="R14" s="88" t="s" ph="1">
        <v>7</v>
      </c>
      <c r="S14" s="77" t="s" ph="1">
        <v>82</v>
      </c>
      <c r="T14" s="77" t="s" ph="1">
        <v>98</v>
      </c>
      <c r="U14" s="77" t="s" ph="1">
        <v>659</v>
      </c>
      <c r="V14" s="77" t="s" ph="1">
        <v>649</v>
      </c>
      <c r="W14" s="77" t="s" ph="1">
        <v>223</v>
      </c>
      <c r="X14" s="77" t="s" ph="1">
        <v>78</v>
      </c>
      <c r="Y14" s="144" t="s" ph="1">
        <v>0</v>
      </c>
      <c r="Z14" s="77" t="s" ph="1">
        <v>62</v>
      </c>
      <c r="AA14" s="77" t="s" ph="1">
        <v>88</v>
      </c>
      <c r="AB14" s="77" t="s" ph="1">
        <v>653</v>
      </c>
      <c r="AC14" s="77" t="s" ph="1">
        <v>653</v>
      </c>
      <c r="AD14" s="77" t="s" ph="1">
        <v>136</v>
      </c>
      <c r="AE14" s="77" t="s" ph="1">
        <v>136</v>
      </c>
      <c r="AG14" s="72" t="s" ph="1">
        <v>252</v>
      </c>
      <c r="AI14" s="72" t="s" ph="1">
        <v>253</v>
      </c>
      <c r="AJ14" s="72" t="s" ph="1">
        <v>376</v>
      </c>
      <c r="AK14" s="72" t="s" ph="1">
        <v>254</v>
      </c>
      <c r="AM14" s="72" t="s" ph="1">
        <v>256</v>
      </c>
      <c r="AN14" s="72" t="s" ph="1">
        <v>254</v>
      </c>
      <c r="AO14" s="72" t="s" ph="1">
        <v>255</v>
      </c>
      <c r="AP14" s="72" t="s" ph="1">
        <v>256</v>
      </c>
      <c r="AQ14" s="72" t="s" ph="1">
        <v>254</v>
      </c>
      <c r="AR14" s="72" t="s" ph="1">
        <v>255</v>
      </c>
      <c r="AS14" s="72" t="s" ph="1">
        <v>256</v>
      </c>
      <c r="AT14" s="72" t="s" ph="1">
        <v>254</v>
      </c>
      <c r="AU14" s="72" t="s" ph="1">
        <v>255</v>
      </c>
      <c r="AV14" s="72" t="s" ph="1">
        <v>256</v>
      </c>
      <c r="AW14" s="72" t="s" ph="1">
        <v>254</v>
      </c>
      <c r="AX14" s="72" t="s" ph="1">
        <v>255</v>
      </c>
      <c r="AY14" s="72" t="s" ph="1">
        <v>256</v>
      </c>
      <c r="AZ14" s="72" t="s" ph="1">
        <v>255</v>
      </c>
    </row>
    <row r="15" spans="1:99" ph="1">
      <c r="B15" s="214" ph="1">
        <v>0.33333333333333331</v>
      </c>
      <c r="C15" s="157" t="s" ph="1">
        <v>211</v>
      </c>
      <c r="D15" s="78">
        <v>1970</v>
      </c>
      <c r="E15" s="78">
        <v>73</v>
      </c>
      <c r="F15" s="78">
        <v>1770</v>
      </c>
      <c r="G15" s="78">
        <v>2576</v>
      </c>
      <c r="H15" s="78">
        <v>2870</v>
      </c>
      <c r="I15" s="78">
        <v>6</v>
      </c>
      <c r="J15" s="78">
        <v>392</v>
      </c>
      <c r="K15" s="78">
        <v>1408</v>
      </c>
      <c r="L15" s="78">
        <v>6527</v>
      </c>
      <c r="M15" s="78">
        <v>3147</v>
      </c>
      <c r="N15" s="78">
        <v>1585</v>
      </c>
      <c r="O15" s="78">
        <v>233</v>
      </c>
      <c r="P15" s="78">
        <v>1100</v>
      </c>
      <c r="Q15" s="78">
        <v>2713</v>
      </c>
      <c r="R15" s="78">
        <v>3495</v>
      </c>
      <c r="S15" s="78">
        <v>5613</v>
      </c>
      <c r="T15" s="78">
        <v>3386</v>
      </c>
      <c r="U15" s="78">
        <v>4389</v>
      </c>
      <c r="V15" s="78">
        <v>-1640</v>
      </c>
      <c r="W15" s="78">
        <v>-595</v>
      </c>
      <c r="X15" s="78">
        <v>940</v>
      </c>
      <c r="Y15" s="106">
        <v>-9901</v>
      </c>
      <c r="Z15" s="78">
        <v>0</v>
      </c>
      <c r="AA15" s="78">
        <v>25</v>
      </c>
      <c r="AB15" s="78" ph="1">
        <v>746</v>
      </c>
      <c r="AC15" s="78" ph="1">
        <v>6504</v>
      </c>
      <c r="AD15" s="78">
        <v>63.82</v>
      </c>
      <c r="AE15" s="78">
        <v>5.41</v>
      </c>
      <c r="AG15" s="64" t="s" ph="1">
        <v>258</v>
      </c>
      <c r="AH15" s="64" ph="1">
        <v>1</v>
      </c>
      <c r="AI15" s="64" t="s" ph="1">
        <v>377</v>
      </c>
      <c r="AK15" s="64" t="s" ph="1">
        <v>631</v>
      </c>
      <c r="AM15" s="64" t="s" ph="1">
        <v>379</v>
      </c>
      <c r="AZ15" s="64" t="s" ph="1">
        <v>260</v>
      </c>
      <c r="BA15" s="64" ph="1">
        <v>0</v>
      </c>
    </row>
    <row r="16" spans="1:99" s="72" customFormat="1" ht="22.5" ph="1">
      <c r="B16" s="215" ph="1"/>
      <c r="C16" s="157" t="s" ph="1">
        <v>212</v>
      </c>
      <c r="D16" s="73" ph="1">
        <f>D15*7.0686*LOOKUP(D17,密度!$A$2:$A$50,密度!$L$2:$L$50)</f>
        <v>13173.184331999999</v>
      </c>
      <c r="E16" s="73" ph="1">
        <f>E15*7.0686*LOOKUP(E17,密度!$A$2:$A$50,密度!$L$2:$L$50)</f>
        <v>488.14337879999994</v>
      </c>
      <c r="F16" s="73" ph="1">
        <f>F15*9.0746*LOOKUP(F17,密度!$A$2:$A$50,密度!$L$2:$L$50)</f>
        <v>15194.691732000001</v>
      </c>
      <c r="G16" s="73" ph="1">
        <f>G15*9.0746*LOOKUP(G17,密度!$A$2:$A$50,密度!$B$2:$B$50)</f>
        <v>18401.72070912</v>
      </c>
      <c r="H16" s="73" ph="1">
        <f>H15*9.0746*LOOKUP(H17,密度!$A$2:$A$50,密度!$L$2:$L$50)</f>
        <v>24715.852797999996</v>
      </c>
      <c r="I16" s="73" ph="1">
        <f>I15*9.0746*LOOKUP(I17,密度!$A$2:$A$50,密度!$U$2:$U$50)</f>
        <v>55.972132800000004</v>
      </c>
      <c r="J16" s="73" ph="1">
        <f>J15*9.0746*LOOKUP(J17,密度!$A$2:$A$50,密度!$L$2:$L$50)</f>
        <v>3361.5948239999998</v>
      </c>
      <c r="K16" s="73" ph="1">
        <f>K15*9.0746*LOOKUP(K17,密度!$A$2:$A$50,密度!$C$2:$C$50)</f>
        <v>14223.39736576</v>
      </c>
      <c r="L16" s="73" ph="1">
        <f>L15*9.0746*LOOKUP(L17,密度!$A$2:$A$50,密度!$E$2:$E$50)</f>
        <v>46939.7070035</v>
      </c>
      <c r="M16" s="73" ph="1">
        <f>M15*9.0746*LOOKUP(M17,密度!$A$2:$A$50,密度!$M$2:$M$50)</f>
        <v>25139.40158586</v>
      </c>
      <c r="N16" s="73" ph="1">
        <f>N15*9.0746*LOOKUP(N17,密度!$A$2:$A$50,密度!$M$2:$M$50)</f>
        <v>12661.567052299999</v>
      </c>
      <c r="O16" s="73" ph="1">
        <f>O15*9.0746*LOOKUP(O17,密度!$A$2:$A$50,密度!$G$2:$G$50)</f>
        <v>2046.7215824</v>
      </c>
      <c r="P16" s="73" ph="1">
        <f ca="1">P15*9.0746*LOOKUP(P17,密度!$A$2:$A$51,密度!$Q$2:$Q$50)</f>
        <v>9518.8924159999988</v>
      </c>
      <c r="Q16" s="73" ph="1">
        <f>Q15*9.0746*LOOKUP(Q17,密度!$A$2:$A$50,密度!$Q$2:$Q$50)</f>
        <v>23477.050113280002</v>
      </c>
      <c r="R16" s="73" ph="1">
        <f>MAX(R15*9.0746*LOOKUP(R17,密度!$A$2:$A$50,密度!$B$2:$B$50),0)</f>
        <v>24893.674122300003</v>
      </c>
      <c r="S16" s="73" ph="1">
        <f>S15*9.0746*LOOKUP(S17,密度!$A$2:$A$50,密度!$Q$2:$Q$50)</f>
        <v>48572.311937279999</v>
      </c>
      <c r="T16" s="73" ph="1">
        <f>T15*9.0746*LOOKUP(T17,密度!$A$2:$A$50,密度!$O$2:$O$50)</f>
        <v>28698.640290400002</v>
      </c>
      <c r="U16" s="73" ph="1">
        <f>U15*9.0746*LOOKUP(U17,密度!$A$2:$A$50,密度!$H$2:$H$50)</f>
        <v>36829.339419179996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206.8278181200003</v>
      </c>
      <c r="X16" s="73" ph="1">
        <f>MAX(5600*LOOKUP(X17,密度!$A$2:$A$50,密度!$I$2:$I$50)+X15*9.0476*LOOKUP(X17,密度!$A$2:$A$50,密度!$I$2:$I$50),0)</f>
        <v>14542.978396079998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178.97379850000002</v>
      </c>
      <c r="AB16" s="73" ph="1">
        <f>AB15*9.0746*LOOKUP(AB17,密度!$A$2:$A$50,密度!$L$2:$L$50)</f>
        <v>6397.3207619999994</v>
      </c>
      <c r="AC16" s="73" ph="1">
        <f>AC15*9.0746*LOOKUP(AC17,密度!$A$2:$A$50,密度!$L$2:$L$50)</f>
        <v>55893.0748848</v>
      </c>
      <c r="AD16" s="73" ph="1">
        <f>AD15*268.68*LOOKUP(AD17,密度!$A$2:$A$50,密度!B2:B50)+IF(AD15&lt;=0,0,1566*LOOKUP(AD17,密度!$A$2:$A$50,密度!B2:B50))</f>
        <v>14588.777664960002</v>
      </c>
      <c r="AE16" s="73" ph="1">
        <f>AE15*268.68*LOOKUP(AE17,密度!$A$2:$A$50,密度!B2:B50)+IF(AE15&lt;=0,0,1566*LOOKUP(AE17,密度!$A$2:$A$50,密度!B2:B50))</f>
        <v>2354.0480404800001</v>
      </c>
      <c r="AH16" s="72" ph="1">
        <v>2</v>
      </c>
      <c r="AI16" s="72" t="s" ph="1">
        <v>381</v>
      </c>
      <c r="AZ16" s="72" t="s" ph="1">
        <v>260</v>
      </c>
      <c r="BA16" s="72" ph="1">
        <v>0</v>
      </c>
    </row>
    <row r="17" spans="1:57" ph="1">
      <c r="A17" s="64" t="s" ph="1">
        <v>85</v>
      </c>
      <c r="B17" s="216" ph="1"/>
      <c r="C17" s="79" t="s" ph="1">
        <v>213</v>
      </c>
      <c r="D17" s="74">
        <v>16</v>
      </c>
      <c r="E17" s="74">
        <v>16</v>
      </c>
      <c r="F17" s="74">
        <v>16</v>
      </c>
      <c r="G17" s="74">
        <v>16</v>
      </c>
      <c r="H17" s="74">
        <v>13</v>
      </c>
      <c r="I17" s="74">
        <v>15</v>
      </c>
      <c r="J17" s="74">
        <v>17</v>
      </c>
      <c r="K17" s="74">
        <v>19</v>
      </c>
      <c r="L17" s="74">
        <v>17</v>
      </c>
      <c r="M17" s="74">
        <v>18</v>
      </c>
      <c r="N17" s="74">
        <v>15</v>
      </c>
      <c r="O17" s="74">
        <v>18</v>
      </c>
      <c r="P17" s="74">
        <v>16</v>
      </c>
      <c r="Q17" s="74">
        <v>16</v>
      </c>
      <c r="R17" s="74">
        <v>19</v>
      </c>
      <c r="S17" s="74">
        <v>16</v>
      </c>
      <c r="T17" s="74">
        <v>17</v>
      </c>
      <c r="U17" s="74">
        <v>15</v>
      </c>
      <c r="V17" s="74">
        <v>17</v>
      </c>
      <c r="W17" s="74">
        <v>15</v>
      </c>
      <c r="X17" s="74">
        <v>35</v>
      </c>
      <c r="Y17" s="108">
        <v>35</v>
      </c>
      <c r="Z17" s="74">
        <v>17</v>
      </c>
      <c r="AA17" s="74">
        <v>14</v>
      </c>
      <c r="AB17" s="74">
        <v>17</v>
      </c>
      <c r="AC17" s="74">
        <v>15</v>
      </c>
      <c r="AD17" s="74">
        <v>25</v>
      </c>
      <c r="AE17" s="74">
        <v>25</v>
      </c>
      <c r="AH17" s="64" ph="1">
        <v>3</v>
      </c>
      <c r="AI17" s="64" t="s" ph="1">
        <v>382</v>
      </c>
      <c r="AK17" s="64" t="s" ph="1">
        <v>614</v>
      </c>
      <c r="AL17" s="64" ph="1">
        <v>80</v>
      </c>
      <c r="AM17" s="64" t="s" ph="1">
        <v>379</v>
      </c>
      <c r="AZ17" s="64" t="s" ph="1">
        <v>260</v>
      </c>
      <c r="BA17" s="64" ph="1">
        <v>80</v>
      </c>
      <c r="BD17" s="64" t="s" ph="1">
        <v>258</v>
      </c>
      <c r="BE17" s="64" ph="1">
        <v>2270</v>
      </c>
    </row>
    <row r="18" spans="1:57" ph="1">
      <c r="B18" s="214" ph="1">
        <v>0.66666666666666663</v>
      </c>
      <c r="C18" s="79" t="s" ph="1">
        <v>214</v>
      </c>
      <c r="D18" s="71">
        <v>3100</v>
      </c>
      <c r="E18" s="71">
        <v>73</v>
      </c>
      <c r="F18" s="71">
        <v>1770</v>
      </c>
      <c r="G18" s="71">
        <v>2617</v>
      </c>
      <c r="H18" s="71">
        <v>2871</v>
      </c>
      <c r="I18" s="71">
        <v>13</v>
      </c>
      <c r="J18" s="71">
        <v>391</v>
      </c>
      <c r="K18" s="71">
        <v>1407</v>
      </c>
      <c r="L18" s="71">
        <v>6536</v>
      </c>
      <c r="M18" s="71">
        <v>203</v>
      </c>
      <c r="N18" s="71">
        <v>2319</v>
      </c>
      <c r="O18" s="71">
        <v>231</v>
      </c>
      <c r="P18" s="71">
        <v>1100</v>
      </c>
      <c r="Q18" s="71">
        <v>2718</v>
      </c>
      <c r="R18" s="71">
        <v>3496</v>
      </c>
      <c r="S18" s="71">
        <v>5618</v>
      </c>
      <c r="T18" s="71">
        <v>3391</v>
      </c>
      <c r="U18" s="71">
        <v>6156</v>
      </c>
      <c r="V18" s="71">
        <v>-1643</v>
      </c>
      <c r="W18" s="71">
        <v>-595</v>
      </c>
      <c r="X18" s="71">
        <v>938</v>
      </c>
      <c r="Y18" s="109">
        <v>-9901</v>
      </c>
      <c r="Z18" s="71">
        <v>0</v>
      </c>
      <c r="AA18" s="71">
        <v>25</v>
      </c>
      <c r="AB18" s="71">
        <v>744</v>
      </c>
      <c r="AC18" s="71">
        <v>6510</v>
      </c>
      <c r="AD18" s="71">
        <v>84.65</v>
      </c>
      <c r="AE18" s="71">
        <v>8.81</v>
      </c>
      <c r="AH18" s="64" ph="1">
        <v>4</v>
      </c>
      <c r="AI18" s="64" t="s" ph="1">
        <v>384</v>
      </c>
      <c r="AJ18" s="64" t="s" ph="1">
        <v>632</v>
      </c>
      <c r="AK18" s="64" t="s" ph="1">
        <v>631</v>
      </c>
      <c r="AL18" s="64" ph="1">
        <v>740</v>
      </c>
      <c r="AM18" s="64" t="s" ph="1">
        <v>383</v>
      </c>
      <c r="AZ18" s="64" t="s" ph="1">
        <v>260</v>
      </c>
      <c r="BA18" s="64" ph="1">
        <v>740</v>
      </c>
    </row>
    <row r="19" spans="1:57" s="72" customFormat="1" ht="22.5" ph="1">
      <c r="B19" s="215" ph="1"/>
      <c r="C19" s="157" t="s" ph="1">
        <v>212</v>
      </c>
      <c r="D19" s="73" ph="1">
        <f>D18*7.0686*LOOKUP(D20,密度!$A$2:$A$50,密度!$L$2:$L$50)</f>
        <v>20707.4637</v>
      </c>
      <c r="E19" s="73" ph="1">
        <f>E18*7.0686*LOOKUP(E20,密度!$A$2:$A$50,密度!$L$2:$L$50)</f>
        <v>487.62737099999993</v>
      </c>
      <c r="F19" s="73" ph="1">
        <f>F18*9.0746*LOOKUP(F20,密度!$A$2:$A$50,密度!$L$2:$L$50)</f>
        <v>15162.567648</v>
      </c>
      <c r="G19" s="73" ph="1">
        <f>G18*9.0746*LOOKUP(G20,密度!$A$2:$A$50,密度!$B$2:$B$50)</f>
        <v>18658.982896739999</v>
      </c>
      <c r="H19" s="73" ph="1">
        <f>H18*9.0746*LOOKUP(H20,密度!$A$2:$A$50,密度!$L$2:$L$50)</f>
        <v>24672.358240199999</v>
      </c>
      <c r="I19" s="73" ph="1">
        <f>I18*9.0746*LOOKUP(I20,密度!$A$2:$A$50,密度!$U$2:$U$50)</f>
        <v>121.2729544</v>
      </c>
      <c r="J19" s="73" ph="1">
        <f>J18*9.0746*LOOKUP(J20,密度!$A$2:$A$50,密度!$L$2:$L$50)</f>
        <v>3342.3748211999996</v>
      </c>
      <c r="K19" s="73" ph="1">
        <f>K18*9.0746*LOOKUP(K20,密度!$A$2:$A$50,密度!$C$2:$C$50)</f>
        <v>14213.29552104</v>
      </c>
      <c r="L19" s="73" ph="1">
        <f>L18*9.0746*LOOKUP(L20,密度!$A$2:$A$50,密度!$E$2:$E$50)</f>
        <v>46939.188843839998</v>
      </c>
      <c r="M19" s="73" ph="1">
        <f>M18*9.0746*LOOKUP(M20,密度!$A$2:$A$50,密度!$M$2:$M$50)</f>
        <v>1619.4286145799999</v>
      </c>
      <c r="N19" s="73" ph="1">
        <f>N18*9.0746*LOOKUP(N20,密度!$A$2:$A$50,密度!$M$2:$M$50)</f>
        <v>18525.030911220001</v>
      </c>
      <c r="O19" s="73" ph="1">
        <f>O18*9.0746*LOOKUP(O20,密度!$A$2:$A$50,密度!$G$2:$G$50)</f>
        <v>2024.7510683400003</v>
      </c>
      <c r="P19" s="73" ph="1">
        <f ca="1">P18*9.0746*LOOKUP(P20,密度!$A$2:$A$51,密度!$Q$2:$Q$50)</f>
        <v>9473.8733253999999</v>
      </c>
      <c r="Q19" s="73" ph="1">
        <f>Q18*9.0746*LOOKUP(Q20,密度!$A$2:$A$50,密度!$Q$2:$Q$50)</f>
        <v>23500.58599584</v>
      </c>
      <c r="R19" s="73" ph="1">
        <f>MAX(R18*9.0746*LOOKUP(R20,密度!$A$2:$A$50,密度!$B$2:$B$50),0)</f>
        <v>24846.864613120004</v>
      </c>
      <c r="S19" s="73" ph="1">
        <f>S18*9.0746*LOOKUP(S20,密度!$A$2:$A$50,密度!$Q$2:$Q$50)</f>
        <v>48534.519676627999</v>
      </c>
      <c r="T19" s="73" ph="1">
        <f>T18*9.0746*LOOKUP(T20,密度!$A$2:$A$50,密度!$O$2:$O$50)</f>
        <v>28741.018672400001</v>
      </c>
      <c r="U19" s="73" ph="1">
        <f>U18*9.0746*LOOKUP(U20,密度!$A$2:$A$50,密度!$H$2:$H$50)</f>
        <v>51545.00933352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206.27962278000086</v>
      </c>
      <c r="X19" s="73" ph="1">
        <f>MAX(5600*LOOKUP(X20,密度!$A$2:$A$50,密度!$I$2:$I$50)+X18*9.0476*LOOKUP(X20,密度!$A$2:$A$50,密度!$I$2:$I$50),0)</f>
        <v>14571.22951872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178.40663599999999</v>
      </c>
      <c r="AB19" s="73" ph="1">
        <f>AB18*9.0746*LOOKUP(AB20,密度!$A$2:$A$50,密度!$L$2:$L$50)</f>
        <v>6353.1637584</v>
      </c>
      <c r="AC19" s="73" ph="1">
        <f>AC18*9.0746*LOOKUP(AC20,密度!$A$2:$A$50,密度!$L$2:$L$50)</f>
        <v>55826.48547</v>
      </c>
      <c r="AD19" s="73" ph="1">
        <f>AD18*268.68*LOOKUP(AD20,密度!$A$2:$A$50,密度!B5:B53)+IF(AD18&lt;=0,0,1566*LOOKUP(AD20,密度!$A$2:$A$50,密度!B5:B53))</f>
        <v>18888.685074000001</v>
      </c>
      <c r="AE19" s="73" ph="1">
        <f>AE18*268.68*LOOKUP(AE20,密度!$A$2:$A$50,密度!B5:B53)+IF(AE18&lt;=0,0,1566*LOOKUP(AE20,密度!$A$2:$A$50,密度!B5:B53))</f>
        <v>3055.9960116000002</v>
      </c>
      <c r="AH19" s="72" ph="1">
        <v>5</v>
      </c>
      <c r="AI19" s="72" t="s" ph="1">
        <v>385</v>
      </c>
      <c r="AZ19" s="72" t="s" ph="1">
        <v>260</v>
      </c>
      <c r="BA19" s="72" ph="1">
        <v>0</v>
      </c>
      <c r="BD19" s="72" t="s" ph="1">
        <v>386</v>
      </c>
      <c r="BE19" s="72" ph="1">
        <v>1440</v>
      </c>
    </row>
    <row r="20" spans="1:57" ph="1">
      <c r="A20" s="72" ph="1"/>
      <c r="B20" s="215" ph="1"/>
      <c r="C20" s="80" t="s" ph="1">
        <v>213</v>
      </c>
      <c r="D20" s="81">
        <v>17</v>
      </c>
      <c r="E20" s="81">
        <v>17</v>
      </c>
      <c r="F20" s="81">
        <v>18</v>
      </c>
      <c r="G20" s="81">
        <v>18</v>
      </c>
      <c r="H20" s="81">
        <v>15</v>
      </c>
      <c r="I20" s="81">
        <v>19</v>
      </c>
      <c r="J20" s="81">
        <v>20</v>
      </c>
      <c r="K20" s="81">
        <v>19</v>
      </c>
      <c r="L20" s="81">
        <v>18</v>
      </c>
      <c r="M20" s="81">
        <v>21</v>
      </c>
      <c r="N20" s="81">
        <v>17</v>
      </c>
      <c r="O20" s="81">
        <v>20</v>
      </c>
      <c r="P20" s="81">
        <v>22</v>
      </c>
      <c r="Q20" s="81">
        <v>17</v>
      </c>
      <c r="R20" s="81">
        <v>21</v>
      </c>
      <c r="S20" s="81">
        <v>18</v>
      </c>
      <c r="T20" s="81">
        <v>19</v>
      </c>
      <c r="U20" s="81">
        <v>17</v>
      </c>
      <c r="V20" s="81">
        <v>17</v>
      </c>
      <c r="W20" s="81">
        <v>18</v>
      </c>
      <c r="X20" s="81">
        <v>32</v>
      </c>
      <c r="Y20" s="110">
        <v>32</v>
      </c>
      <c r="Z20" s="81">
        <v>22</v>
      </c>
      <c r="AA20" s="81">
        <v>17</v>
      </c>
      <c r="AB20" s="81">
        <v>21</v>
      </c>
      <c r="AC20" s="81">
        <v>17</v>
      </c>
      <c r="AD20" s="81">
        <v>25</v>
      </c>
      <c r="AE20" s="81">
        <v>25</v>
      </c>
      <c r="AH20" s="64" ph="1">
        <v>6</v>
      </c>
      <c r="AI20" s="64" t="s" ph="1">
        <v>387</v>
      </c>
      <c r="AZ20" s="64" t="s" ph="1">
        <v>260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388</v>
      </c>
      <c r="AZ21" s="64" t="s" ph="1">
        <v>260</v>
      </c>
      <c r="BA21" s="64" ph="1">
        <v>0</v>
      </c>
      <c r="BD21" s="64" t="s" ph="1">
        <v>276</v>
      </c>
      <c r="BE21" s="64" ph="1">
        <v>730</v>
      </c>
    </row>
    <row r="22" spans="1:57" ph="1">
      <c r="A22" s="72" ph="1"/>
      <c r="B22" s="213" t="s" ph="1">
        <v>37</v>
      </c>
      <c r="C22" s="85" t="s" ph="1">
        <v>210</v>
      </c>
      <c r="D22" s="86" t="s" ph="1">
        <v>104</v>
      </c>
      <c r="E22" s="86" t="s" ph="1">
        <v>105</v>
      </c>
      <c r="F22" s="86" t="s" ph="1">
        <v>106</v>
      </c>
      <c r="G22" s="86" t="s" ph="1">
        <v>107</v>
      </c>
      <c r="H22" s="86" t="s" ph="1">
        <v>108</v>
      </c>
      <c r="I22" s="86" t="s" ph="1">
        <v>109</v>
      </c>
      <c r="J22" s="86" t="s" ph="1">
        <v>110</v>
      </c>
      <c r="K22" s="86" t="s" ph="1">
        <v>111</v>
      </c>
      <c r="L22" s="86" t="s" ph="1">
        <v>112</v>
      </c>
      <c r="M22" s="86" t="s" ph="1">
        <v>113</v>
      </c>
      <c r="N22" s="86" t="s" ph="1">
        <v>114</v>
      </c>
      <c r="O22" s="86" t="s" ph="1">
        <v>115</v>
      </c>
      <c r="P22" s="86" t="s" ph="1">
        <v>116</v>
      </c>
      <c r="Q22" s="87" t="s" ph="1">
        <v>117</v>
      </c>
      <c r="R22" s="86" t="s" ph="1">
        <v>118</v>
      </c>
      <c r="S22" s="86" t="s" ph="1">
        <v>119</v>
      </c>
      <c r="T22" s="86" t="s" ph="1">
        <v>120</v>
      </c>
      <c r="U22" s="86" t="s" ph="1">
        <v>121</v>
      </c>
      <c r="V22" s="86" t="s" ph="1">
        <v>122</v>
      </c>
      <c r="W22" s="86" t="s" ph="1">
        <v>123</v>
      </c>
      <c r="X22" s="86" t="s" ph="1">
        <v>124</v>
      </c>
      <c r="Y22" s="86" t="s" ph="1">
        <v>126</v>
      </c>
      <c r="Z22" s="223" t="s" ph="1">
        <v>79</v>
      </c>
      <c r="AA22" s="224"/>
      <c r="AB22" s="224"/>
      <c r="AC22" s="224"/>
      <c r="AD22" s="224"/>
      <c r="AE22" s="225"/>
      <c r="AH22" s="64" ph="1">
        <v>8</v>
      </c>
      <c r="AI22" s="64" t="s" ph="1">
        <v>389</v>
      </c>
      <c r="AZ22" s="64" t="s" ph="1">
        <v>260</v>
      </c>
      <c r="BA22" s="64" ph="1">
        <v>0</v>
      </c>
    </row>
    <row r="23" spans="1:57" ph="1">
      <c r="A23" s="72" ph="1"/>
      <c r="B23" s="217" ph="1"/>
      <c r="C23" s="67" t="s" ph="1">
        <v>36</v>
      </c>
      <c r="D23" s="88" t="s" ph="1">
        <v>128</v>
      </c>
      <c r="E23" s="88" t="s" ph="1">
        <v>125</v>
      </c>
      <c r="F23" s="88" t="s" ph="1">
        <v>224</v>
      </c>
      <c r="G23" s="88" t="s" ph="1">
        <v>165</v>
      </c>
      <c r="H23" s="88" t="s" ph="1">
        <v>165</v>
      </c>
      <c r="I23" s="88" t="s" ph="1">
        <v>166</v>
      </c>
      <c r="J23" s="88" t="s" ph="1">
        <v>167</v>
      </c>
      <c r="K23" s="88" t="s" ph="1">
        <v>129</v>
      </c>
      <c r="L23" s="88" t="s" ph="1">
        <v>129</v>
      </c>
      <c r="M23" s="88" t="s" ph="1">
        <v>167</v>
      </c>
      <c r="N23" s="88" t="s" ph="1">
        <v>167</v>
      </c>
      <c r="O23" s="88" t="s" ph="1">
        <v>132</v>
      </c>
      <c r="P23" s="88" t="s" ph="1">
        <v>168</v>
      </c>
      <c r="Q23" s="89" t="s" ph="1">
        <v>168</v>
      </c>
      <c r="R23" s="88" t="s" ph="1">
        <v>169</v>
      </c>
      <c r="S23" s="88" t="s" ph="1">
        <v>170</v>
      </c>
      <c r="T23" s="88" t="s" ph="1">
        <v>651</v>
      </c>
      <c r="U23" s="88" t="s" ph="1">
        <v>660</v>
      </c>
      <c r="V23" s="88" t="s" ph="1">
        <v>172</v>
      </c>
      <c r="W23" s="88" t="s" ph="1">
        <v>170</v>
      </c>
      <c r="X23" s="88" t="s" ph="1">
        <v>231</v>
      </c>
      <c r="Y23" s="88" t="s" ph="1">
        <v>97</v>
      </c>
      <c r="Z23" s="226" t="s" ph="1">
        <v>654</v>
      </c>
      <c r="AA23" s="227"/>
      <c r="AB23" s="227"/>
      <c r="AC23" s="227"/>
      <c r="AD23" s="227"/>
      <c r="AE23" s="228"/>
      <c r="AH23" s="64" ph="1">
        <v>9</v>
      </c>
      <c r="AI23" s="64" t="s" ph="1">
        <v>390</v>
      </c>
      <c r="AZ23" s="64" t="s" ph="1">
        <v>260</v>
      </c>
      <c r="BA23" s="64" ph="1">
        <v>0</v>
      </c>
      <c r="BD23" s="64" t="s" ph="1">
        <v>282</v>
      </c>
      <c r="BE23" s="64" ph="1">
        <v>890</v>
      </c>
    </row>
    <row r="24" spans="1:57" ph="1">
      <c r="A24" s="72" ph="1"/>
      <c r="B24" s="235" ph="1">
        <v>0.33333333333333331</v>
      </c>
      <c r="C24" s="157" t="s" ph="1">
        <v>211</v>
      </c>
      <c r="D24" s="71">
        <v>44.23</v>
      </c>
      <c r="E24" s="71">
        <v>90.92</v>
      </c>
      <c r="F24" s="71">
        <v>2151</v>
      </c>
      <c r="G24" s="71">
        <v>2321</v>
      </c>
      <c r="H24" s="71">
        <v>1666</v>
      </c>
      <c r="I24" s="71">
        <v>1730</v>
      </c>
      <c r="J24" s="71">
        <v>2450</v>
      </c>
      <c r="K24" s="71">
        <v>5612</v>
      </c>
      <c r="L24" s="71">
        <v>5584</v>
      </c>
      <c r="M24" s="71">
        <v>4803</v>
      </c>
      <c r="N24" s="71">
        <v>5286</v>
      </c>
      <c r="O24" s="71">
        <v>2061</v>
      </c>
      <c r="P24" s="71">
        <v>443</v>
      </c>
      <c r="Q24" s="90">
        <v>2766</v>
      </c>
      <c r="R24" s="71">
        <v>3375</v>
      </c>
      <c r="S24" s="71">
        <v>2646</v>
      </c>
      <c r="T24" s="71">
        <v>6391</v>
      </c>
      <c r="U24" s="71">
        <v>5070</v>
      </c>
      <c r="V24" s="71">
        <v>397</v>
      </c>
      <c r="W24" s="71">
        <v>4669</v>
      </c>
      <c r="X24" s="71">
        <v>10559</v>
      </c>
      <c r="Y24" s="71">
        <v>436</v>
      </c>
      <c r="Z24" s="229"/>
      <c r="AA24" s="230"/>
      <c r="AB24" s="230"/>
      <c r="AC24" s="230"/>
      <c r="AD24" s="230"/>
      <c r="AE24" s="231"/>
      <c r="AH24" s="64" ph="1">
        <v>10</v>
      </c>
      <c r="AI24" s="64" t="s" ph="1">
        <v>391</v>
      </c>
      <c r="AZ24" s="64" t="s" ph="1">
        <v>260</v>
      </c>
      <c r="BA24" s="64" ph="1">
        <v>0</v>
      </c>
    </row>
    <row r="25" spans="1:57" ph="1">
      <c r="A25" s="72" ph="1"/>
      <c r="B25" s="235" ph="1"/>
      <c r="C25" s="68" t="s" ph="1">
        <v>212</v>
      </c>
      <c r="D25" s="91" ph="1">
        <f>D24*268.68*LOOKUP(D26,密度!$A$2:$A$50,密度!$Q$2:$Q$50)+IF(D24&lt;=0,0,1566*LOOKUP(D26,密度!$A$2:$A$50,密度!$Q$2:$Q$50))</f>
        <v>12733.384504535999</v>
      </c>
      <c r="E25" s="91" ph="1">
        <f>E24*268.68*LOOKUP(E26,密度!$A$2:$A$50,密度!$C$2:$C$50)+IF(E24&lt;=0,0,1566*LOOKUP(E26,密度!$A$2:$A$50,密度!$C$2:$C$50))</f>
        <v>28825.174191840004</v>
      </c>
      <c r="F25" s="91" ph="1">
        <f>F24*11.702*LOOKUP(F26,密度!$A$2:$A$50,密度!$Q$2:$Q$50)</f>
        <v>24003.067507200001</v>
      </c>
      <c r="G25" s="91" ph="1">
        <f>G24*18.322*LOOKUP(G26,密度!$A$2:$A$50,密度!$B$2:$B$50)</f>
        <v>33509.985256</v>
      </c>
      <c r="H25" s="91" ph="1">
        <f>H24*18.322*LOOKUP(H26,密度!$A$2:$A$50,密度!$B$2:$B$50)</f>
        <v>24053.268175999998</v>
      </c>
      <c r="I25" s="91" ph="1">
        <f>I24*18.322*LOOKUP(I26,密度!$A$2:$A$50,密度!$Q$2:$Q$50)</f>
        <v>30226.316415999998</v>
      </c>
      <c r="J25" s="91" ph="1">
        <f>J24*18.322*LOOKUP(J26,密度!$A$2:$A$50,密度!$Q$2:$Q$50)</f>
        <v>42848.250606000001</v>
      </c>
      <c r="K25" s="91" ph="1">
        <f>K24*18.322*LOOKUP(K26,密度!$A$2:$A$50,密度!$Q$2:$Q$50)</f>
        <v>98052.073830399997</v>
      </c>
      <c r="L25" s="91" ph="1">
        <f>L24*18.322*LOOKUP(L26,密度!$A$2:$A$50,密度!$Q$2:$Q$50)</f>
        <v>97562.861772799995</v>
      </c>
      <c r="M25" s="91" ph="1">
        <f>M24*18.322*LOOKUP(M26,密度!$A$2:$A$50,密度!$Q$2:$Q$50)</f>
        <v>84000.060269640002</v>
      </c>
      <c r="N25" s="91" ph="1">
        <f>N24*18.322*LOOKUP(N26,密度!$A$2:$A$50,密度!$Q$2:$Q$50)</f>
        <v>92447.286817679997</v>
      </c>
      <c r="O25" s="91" ph="1">
        <f>O24*18.322*LOOKUP(O26,密度!$A$2:$A$50,密度!$C$2:$C$50)</f>
        <v>42111.783158400001</v>
      </c>
      <c r="P25" s="91" ph="1">
        <f>P24*11.702*LOOKUP(P26,密度!$A$2:$A$50,密度!$B$2:$B$50)</f>
        <v>4076.6865903999997</v>
      </c>
      <c r="Q25" s="92" ph="1">
        <f>Q24*18.322*LOOKUP(Q26,密度!$A$2:$A$50,密度!$B$2:$B$50)</f>
        <v>39894.234854399998</v>
      </c>
      <c r="R25" s="91" ph="1">
        <f>R24*35.891*LOOKUP(R26,密度!$A$2:$A$50,密度!$C$2:$C$50)</f>
        <v>135086.54579999999</v>
      </c>
      <c r="S25" s="91" ph="1">
        <f>S24*35.891*LOOKUP(S26,密度!$A$2:$A$50,密度!$B$2:$B$50)</f>
        <v>74682.509630399989</v>
      </c>
      <c r="T25" s="91" ph="1">
        <f>T24*35.891*LOOKUP(T26,密度!$A$2:$A$50,密度!$Q$2:$Q$50)</f>
        <v>218736.17772159999</v>
      </c>
      <c r="U25" s="91" ph="1">
        <f>U24*35.891</f>
        <v>181967.37</v>
      </c>
      <c r="V25" s="91" ph="1">
        <f>V24*47.051*LOOKUP(V26,密度!$A$2:$A$50,密度!$B$2:$B$50)</f>
        <v>14689.3598408</v>
      </c>
      <c r="W25" s="91" ph="1">
        <f>W24*47.051*LOOKUP(W26,密度!$A$2:$A$50,密度!$B$2:$B$50)</f>
        <v>172757.23198159999</v>
      </c>
      <c r="X25" s="91" ph="1">
        <f>X24*47.051*LOOKUP(X26,密度!$A$2:$A$50,密度!$I$2:$I$50)</f>
        <v>514517.87118075998</v>
      </c>
      <c r="Y25" s="91" ph="1">
        <f>Y24*47.051*LOOKUP(Y26,密度!$A$2:$A$50,密度!$L$2:$L$50)</f>
        <v>19406.467256</v>
      </c>
      <c r="Z25" s="229"/>
      <c r="AA25" s="230"/>
      <c r="AB25" s="230"/>
      <c r="AC25" s="230"/>
      <c r="AD25" s="230"/>
      <c r="AE25" s="231"/>
      <c r="AH25" s="64" ph="1">
        <v>11</v>
      </c>
      <c r="AI25" s="64" t="s" ph="1">
        <v>392</v>
      </c>
      <c r="AZ25" s="64" t="s" ph="1">
        <v>260</v>
      </c>
      <c r="BA25" s="64" ph="1">
        <v>0</v>
      </c>
      <c r="BD25" s="64" t="s" ph="1">
        <v>285</v>
      </c>
      <c r="BE25" s="64" ph="1">
        <v>8920</v>
      </c>
    </row>
    <row r="26" spans="1:57" ph="1">
      <c r="A26" s="72" ph="1"/>
      <c r="B26" s="235" ph="1"/>
      <c r="C26" s="68" t="s" ph="1">
        <v>213</v>
      </c>
      <c r="D26" s="74">
        <v>25</v>
      </c>
      <c r="E26" s="74">
        <v>25</v>
      </c>
      <c r="F26" s="74">
        <v>16</v>
      </c>
      <c r="G26" s="74">
        <v>15</v>
      </c>
      <c r="H26" s="74">
        <v>15</v>
      </c>
      <c r="I26" s="74">
        <v>16</v>
      </c>
      <c r="J26" s="74">
        <v>15</v>
      </c>
      <c r="K26" s="74">
        <v>16</v>
      </c>
      <c r="L26" s="74">
        <v>16</v>
      </c>
      <c r="M26" s="74">
        <v>15</v>
      </c>
      <c r="N26" s="74">
        <v>15</v>
      </c>
      <c r="O26" s="74">
        <v>16</v>
      </c>
      <c r="P26" s="74">
        <v>17</v>
      </c>
      <c r="Q26" s="93">
        <v>16</v>
      </c>
      <c r="R26" s="74">
        <v>16</v>
      </c>
      <c r="S26" s="74">
        <v>17</v>
      </c>
      <c r="T26" s="74">
        <v>16</v>
      </c>
      <c r="U26" s="74">
        <v>16</v>
      </c>
      <c r="V26" s="74">
        <v>17</v>
      </c>
      <c r="W26" s="74">
        <v>17</v>
      </c>
      <c r="X26" s="74">
        <v>55</v>
      </c>
      <c r="Y26" s="74">
        <v>16</v>
      </c>
      <c r="Z26" s="229"/>
      <c r="AA26" s="230"/>
      <c r="AB26" s="230"/>
      <c r="AC26" s="230"/>
      <c r="AD26" s="230"/>
      <c r="AE26" s="231"/>
      <c r="AH26" s="64" ph="1">
        <v>12</v>
      </c>
      <c r="AI26" s="64" t="s" ph="1">
        <v>393</v>
      </c>
      <c r="AZ26" s="64" t="s" ph="1">
        <v>260</v>
      </c>
      <c r="BA26" s="64" ph="1">
        <v>0</v>
      </c>
    </row>
    <row r="27" spans="1:57" ph="1">
      <c r="A27" s="72" ph="1"/>
      <c r="B27" s="235" ph="1">
        <v>0.66666666666666663</v>
      </c>
      <c r="C27" s="157" t="s" ph="1">
        <v>214</v>
      </c>
      <c r="D27" s="71">
        <v>44.23</v>
      </c>
      <c r="E27" s="71">
        <v>90.92</v>
      </c>
      <c r="F27" s="71">
        <v>2150</v>
      </c>
      <c r="G27" s="71">
        <v>1879</v>
      </c>
      <c r="H27" s="71">
        <v>1623</v>
      </c>
      <c r="I27" s="71">
        <v>1728</v>
      </c>
      <c r="J27" s="71">
        <v>2449</v>
      </c>
      <c r="K27" s="71">
        <v>5612</v>
      </c>
      <c r="L27" s="71">
        <v>5583</v>
      </c>
      <c r="M27" s="71">
        <v>4803</v>
      </c>
      <c r="N27" s="71">
        <v>5283</v>
      </c>
      <c r="O27" s="71">
        <v>2059</v>
      </c>
      <c r="P27" s="71">
        <v>439</v>
      </c>
      <c r="Q27" s="90">
        <v>2966</v>
      </c>
      <c r="R27" s="71">
        <v>3373</v>
      </c>
      <c r="S27" s="71">
        <v>2644</v>
      </c>
      <c r="T27" s="71">
        <v>6392</v>
      </c>
      <c r="U27" s="71">
        <v>5158</v>
      </c>
      <c r="V27" s="71">
        <v>393</v>
      </c>
      <c r="W27" s="71">
        <v>4420</v>
      </c>
      <c r="X27" s="71">
        <v>10558</v>
      </c>
      <c r="Y27" s="71">
        <v>702</v>
      </c>
      <c r="Z27" s="229"/>
      <c r="AA27" s="230"/>
      <c r="AB27" s="230"/>
      <c r="AC27" s="230"/>
      <c r="AD27" s="230"/>
      <c r="AE27" s="231"/>
      <c r="AH27" s="64" ph="1">
        <v>13</v>
      </c>
      <c r="AI27" s="64" t="s" ph="1">
        <v>394</v>
      </c>
      <c r="AZ27" s="64" t="s" ph="1">
        <v>260</v>
      </c>
      <c r="BA27" s="64" ph="1">
        <v>0</v>
      </c>
      <c r="BD27" s="64" t="s" ph="1">
        <v>339</v>
      </c>
      <c r="BE27" s="64" ph="1">
        <v>7100</v>
      </c>
    </row>
    <row r="28" spans="1:57" ph="1">
      <c r="A28" s="72" ph="1"/>
      <c r="B28" s="235" ph="1"/>
      <c r="C28" s="157" t="s" ph="1">
        <v>212</v>
      </c>
      <c r="D28" s="91" ph="1">
        <f>D27*268.68*LOOKUP(D29,密度!$A$2:$A$50,密度!$Q$2:$Q$50)+IF(D27&lt;=0,0,1566*LOOKUP(D29,密度!$A$2:$A$50,密度!$Q$2:$Q$50))</f>
        <v>12733.384504535999</v>
      </c>
      <c r="E28" s="91" ph="1">
        <f>E27*268.68*LOOKUP(E29,密度!$A$2:$A$50,密度!$C$2:$C$50)+IF(E27&lt;=0,0,1566*LOOKUP(E29,密度!$A$2:$A$50,密度!$C$2:$C$50))</f>
        <v>28825.174191840004</v>
      </c>
      <c r="F28" s="91" ph="1">
        <f>F27*11.702*LOOKUP(F29,密度!$A$2:$A$50,密度!$Q$2:$Q$50)</f>
        <v>23951.905192999999</v>
      </c>
      <c r="G28" s="91" ph="1">
        <f>G27*18.322*LOOKUP(G29,密度!$A$2:$A$50,密度!$B$2:$B$50)</f>
        <v>27049.323756599999</v>
      </c>
      <c r="H28" s="91" ph="1">
        <f>H27*18.322*LOOKUP(H29,密度!$A$2:$A$50,密度!$B$2:$B$50)</f>
        <v>23408.656243199999</v>
      </c>
      <c r="I28" s="91" ph="1">
        <f>I27*18.322*LOOKUP(I29,密度!$A$2:$A$50,密度!$Q$2:$Q$50)</f>
        <v>30166.044364799996</v>
      </c>
      <c r="J28" s="91" ph="1">
        <f>J27*18.322*LOOKUP(J29,密度!$A$2:$A$50,密度!$Q$2:$Q$50)</f>
        <v>42788.5831808</v>
      </c>
      <c r="K28" s="91" ph="1">
        <f>K27*18.322*LOOKUP(K29,密度!$A$2:$A$50,密度!$Q$2:$Q$50)</f>
        <v>97969.815379199994</v>
      </c>
      <c r="L28" s="91" ph="1">
        <f>L27*18.322*LOOKUP(L29,密度!$A$2:$A$50,密度!$Q$2:$Q$50)</f>
        <v>97463.556532799994</v>
      </c>
      <c r="M28" s="91" ph="1">
        <f>M27*18.322*LOOKUP(M29,密度!$A$2:$A$50,密度!$Q$2:$Q$50)</f>
        <v>83917.339737599992</v>
      </c>
      <c r="N28" s="91" ph="1">
        <f>N27*18.322*LOOKUP(N29,密度!$A$2:$A$50,密度!$Q$2:$Q$50)</f>
        <v>92303.832153599986</v>
      </c>
      <c r="O28" s="91" ph="1">
        <f>O27*18.322*LOOKUP(O29,密度!$A$2:$A$50,密度!$C$2:$C$50)</f>
        <v>42070.917769599997</v>
      </c>
      <c r="P28" s="91" ph="1">
        <f>P27*11.702*LOOKUP(P29,密度!$A$2:$A$50,密度!$B$2:$B$50)</f>
        <v>4018.8143494000001</v>
      </c>
      <c r="Q28" s="92" ph="1">
        <f>Q27*18.322*LOOKUP(Q29,密度!$A$2:$A$50,密度!$B$2:$B$50)</f>
        <v>42697.335956399991</v>
      </c>
      <c r="R28" s="91" ph="1">
        <f>R27*35.891*LOOKUP(R29,密度!$A$2:$A$50,密度!$C$2:$C$50)</f>
        <v>134849.11606769997</v>
      </c>
      <c r="S28" s="91" ph="1">
        <f>S27*35.891*LOOKUP(S29,密度!$A$2:$A$50,密度!$B$2:$B$50)</f>
        <v>74626.060265599997</v>
      </c>
      <c r="T28" s="91" ph="1">
        <f>T27*35.891*LOOKUP(T29,密度!$A$2:$A$50,密度!$Q$2:$Q$50)</f>
        <v>218586.87116159999</v>
      </c>
      <c r="U28" s="91" ph="1">
        <f>U27*35.891</f>
        <v>185125.77799999999</v>
      </c>
      <c r="V28" s="91" ph="1">
        <f>V27*47.051*LOOKUP(V29,密度!$A$2:$A$50,密度!$B$2:$B$50)</f>
        <v>14528.4124851</v>
      </c>
      <c r="W28" s="91" ph="1">
        <f>W27*47.051*LOOKUP(W29,密度!$A$2:$A$50,密度!$B$2:$B$50)</f>
        <v>163398.430494</v>
      </c>
      <c r="X28" s="91" ph="1">
        <f>X27*47.051*LOOKUP(X29,密度!$A$2:$A$50,密度!$I$2:$I$50)</f>
        <v>514469.14328312001</v>
      </c>
      <c r="Y28" s="91" ph="1">
        <f>Y27*47.051*LOOKUP(Y29,密度!$A$2:$A$50,密度!$L$2:$L$50)</f>
        <v>31114.073484</v>
      </c>
      <c r="Z28" s="229"/>
      <c r="AA28" s="230"/>
      <c r="AB28" s="230"/>
      <c r="AC28" s="230"/>
      <c r="AD28" s="230"/>
      <c r="AE28" s="231"/>
      <c r="AH28" s="64" ph="1">
        <v>14</v>
      </c>
      <c r="AI28" s="64" t="s" ph="1">
        <v>395</v>
      </c>
      <c r="AZ28" s="64" t="s" ph="1">
        <v>260</v>
      </c>
      <c r="BA28" s="64" ph="1">
        <v>0</v>
      </c>
    </row>
    <row r="29" spans="1:57" ph="1">
      <c r="A29" s="72" ph="1"/>
      <c r="B29" s="235" ph="1"/>
      <c r="C29" s="157" t="s" ph="1">
        <v>213</v>
      </c>
      <c r="D29" s="74">
        <v>25</v>
      </c>
      <c r="E29" s="74">
        <v>25</v>
      </c>
      <c r="F29" s="74">
        <v>18</v>
      </c>
      <c r="G29" s="74">
        <v>18</v>
      </c>
      <c r="H29" s="74">
        <v>16</v>
      </c>
      <c r="I29" s="74">
        <v>17</v>
      </c>
      <c r="J29" s="74">
        <v>16</v>
      </c>
      <c r="K29" s="74">
        <v>17</v>
      </c>
      <c r="L29" s="74">
        <v>17</v>
      </c>
      <c r="M29" s="74">
        <v>16</v>
      </c>
      <c r="N29" s="74">
        <v>16</v>
      </c>
      <c r="O29" s="74">
        <v>16</v>
      </c>
      <c r="P29" s="74">
        <v>22</v>
      </c>
      <c r="Q29" s="93">
        <v>18</v>
      </c>
      <c r="R29" s="74">
        <v>18</v>
      </c>
      <c r="S29" s="74">
        <v>17</v>
      </c>
      <c r="T29" s="74">
        <v>17</v>
      </c>
      <c r="U29" s="74">
        <v>17</v>
      </c>
      <c r="V29" s="74">
        <v>18</v>
      </c>
      <c r="W29" s="74">
        <v>18</v>
      </c>
      <c r="X29" s="74">
        <v>53</v>
      </c>
      <c r="Y29" s="74">
        <v>20</v>
      </c>
      <c r="Z29" s="232"/>
      <c r="AA29" s="233"/>
      <c r="AB29" s="233"/>
      <c r="AC29" s="233"/>
      <c r="AD29" s="233"/>
      <c r="AE29" s="234"/>
      <c r="AH29" s="64" ph="1">
        <v>15</v>
      </c>
      <c r="AI29" s="64" t="s" ph="1">
        <v>396</v>
      </c>
      <c r="AZ29" s="64" t="s" ph="1">
        <v>260</v>
      </c>
      <c r="BA29" s="64" ph="1">
        <v>0</v>
      </c>
      <c r="BD29" s="64" t="s" ph="1">
        <v>397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398</v>
      </c>
      <c r="AZ30" s="64" t="s" ph="1">
        <v>260</v>
      </c>
      <c r="BA30" s="64" ph="1">
        <v>0</v>
      </c>
    </row>
    <row r="31" spans="1:57" ht="28.5" ph="1">
      <c r="A31" s="64"/>
      <c r="B31" s="218" t="s" ph="1">
        <v>35</v>
      </c>
      <c r="C31" s="219" ph="1"/>
      <c r="D31" s="222" t="s" ph="1">
        <v>9</v>
      </c>
      <c r="E31" s="197" ph="1"/>
      <c r="F31" s="198" ph="1"/>
      <c r="G31" s="222" t="s" ph="1">
        <v>18</v>
      </c>
      <c r="H31" s="197" ph="1"/>
      <c r="I31" s="198" ph="1"/>
      <c r="J31" s="196" t="s" ph="1">
        <v>1</v>
      </c>
      <c r="K31" s="197" ph="1"/>
      <c r="L31" s="198" ph="1"/>
      <c r="M31" s="196" t="s" ph="1">
        <v>7</v>
      </c>
      <c r="N31" s="197" ph="1"/>
      <c r="O31" s="198" ph="1"/>
      <c r="P31" s="196" t="s" ph="1">
        <v>42</v>
      </c>
      <c r="Q31" s="197"/>
      <c r="R31" s="198"/>
      <c r="S31" s="196" t="s" ph="1">
        <v>2</v>
      </c>
      <c r="T31" s="197"/>
      <c r="U31" s="198"/>
      <c r="V31" s="196" t="s" ph="1">
        <v>81</v>
      </c>
      <c r="W31" s="197" ph="1"/>
      <c r="X31" s="198" ph="1"/>
      <c r="Y31" s="196" t="s" ph="1">
        <v>3</v>
      </c>
      <c r="Z31" s="197" ph="1"/>
      <c r="AA31" s="198" ph="1"/>
      <c r="AB31" s="199" t="s">
        <v>43</v>
      </c>
      <c r="AC31" s="200"/>
      <c r="AD31" s="200"/>
      <c r="AE31" s="201"/>
      <c r="AH31" s="64" ph="1">
        <v>17</v>
      </c>
      <c r="AI31" s="64" t="s" ph="1">
        <v>399</v>
      </c>
      <c r="AZ31" s="64" t="s" ph="1">
        <v>260</v>
      </c>
      <c r="BA31" s="64" ph="1">
        <v>0</v>
      </c>
      <c r="BD31" s="64" t="s" ph="1">
        <v>400</v>
      </c>
      <c r="BE31" s="64" ph="1">
        <v>9310</v>
      </c>
    </row>
    <row r="32" spans="1:57" ph="1">
      <c r="A32" s="64"/>
      <c r="B32" s="220" ph="1"/>
      <c r="C32" s="221" ph="1"/>
      <c r="D32" s="96" t="s" ph="1">
        <v>4</v>
      </c>
      <c r="E32" s="157" t="s" ph="1">
        <v>5</v>
      </c>
      <c r="F32" s="158" t="s" ph="1">
        <v>44</v>
      </c>
      <c r="G32" s="97" t="s" ph="1">
        <v>4</v>
      </c>
      <c r="H32" s="157" t="s" ph="1">
        <v>5</v>
      </c>
      <c r="I32" s="158" t="s" ph="1">
        <v>44</v>
      </c>
      <c r="J32" s="97" t="s" ph="1">
        <v>4</v>
      </c>
      <c r="K32" s="157" t="s" ph="1">
        <v>5</v>
      </c>
      <c r="L32" s="158" t="s" ph="1">
        <v>44</v>
      </c>
      <c r="M32" s="97" t="s" ph="1">
        <v>4</v>
      </c>
      <c r="N32" s="157" t="s" ph="1">
        <v>5</v>
      </c>
      <c r="O32" s="158" t="s" ph="1">
        <v>44</v>
      </c>
      <c r="P32" s="97" t="s" ph="1">
        <v>4</v>
      </c>
      <c r="Q32" s="98" t="s" ph="1">
        <v>5</v>
      </c>
      <c r="R32" s="99" t="s" ph="1">
        <v>44</v>
      </c>
      <c r="S32" s="97" t="s" ph="1">
        <v>4</v>
      </c>
      <c r="T32" s="157" t="s" ph="1">
        <v>5</v>
      </c>
      <c r="U32" s="99" t="s" ph="1">
        <v>44</v>
      </c>
      <c r="V32" s="97" t="s" ph="1">
        <v>4</v>
      </c>
      <c r="W32" s="157" t="s" ph="1">
        <v>5</v>
      </c>
      <c r="X32" s="99" t="s" ph="1">
        <v>44</v>
      </c>
      <c r="Y32" s="100" t="s" ph="1">
        <v>4</v>
      </c>
      <c r="Z32" s="157" t="s" ph="1">
        <v>5</v>
      </c>
      <c r="AA32" s="158" t="s" ph="1">
        <v>44</v>
      </c>
      <c r="AB32" s="97" t="s" ph="1">
        <v>102</v>
      </c>
      <c r="AC32" s="157" t="s" ph="1">
        <v>101</v>
      </c>
      <c r="AD32" s="202" t="s" ph="1">
        <v>100</v>
      </c>
      <c r="AE32" s="203"/>
      <c r="AH32" s="64" ph="1">
        <v>18</v>
      </c>
      <c r="AI32" s="64" t="s" ph="1">
        <v>401</v>
      </c>
      <c r="AZ32" s="64" t="s" ph="1">
        <v>260</v>
      </c>
      <c r="BA32" s="64" ph="1">
        <v>0</v>
      </c>
    </row>
    <row r="33" spans="1:57" ph="1">
      <c r="A33" s="64"/>
      <c r="B33" s="204" t="s" ph="1">
        <v>215</v>
      </c>
      <c r="C33" s="205" ph="1"/>
      <c r="D33" s="184" ph="1">
        <f>AA10+AB10+Z19</f>
        <v>127115.678377</v>
      </c>
      <c r="E33" s="184" ph="1">
        <f>M10+I10</f>
        <v>182846.65476209999</v>
      </c>
      <c r="F33" s="208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[[#This Row],[F25]]</f>
        <v>3880</v>
      </c>
      <c r="G33" s="210" ph="1">
        <v>0</v>
      </c>
      <c r="H33" s="184" ph="1">
        <f>N19</f>
        <v>18525.030911220001</v>
      </c>
      <c r="I33" s="188" ph="1">
        <v>0</v>
      </c>
      <c r="J33" s="192" ph="1">
        <f>F10+O28</f>
        <v>305743.7525224</v>
      </c>
      <c r="K33" s="184" ph="1">
        <f>O10+K10+E28+R28</f>
        <v>263536.55017713999</v>
      </c>
      <c r="L33" s="194" ph="1">
        <f>BE27</f>
        <v>7100</v>
      </c>
      <c r="M33" s="192" ph="1">
        <f>G10+H10+W28+S28</f>
        <v>729226.85727559996</v>
      </c>
      <c r="N33" s="184" ph="1">
        <f>L10+P10++G28+H28+V28</f>
        <v>332939.22664090001</v>
      </c>
      <c r="O33" s="188" ph="1">
        <f>BE17</f>
        <v>2270</v>
      </c>
      <c r="P33" s="192" ph="1">
        <f>L19</f>
        <v>46939.188843839998</v>
      </c>
      <c r="Q33" s="184" ph="1">
        <f>J10+N10</f>
        <v>155942.74395879998</v>
      </c>
      <c r="R33" s="188" ph="1">
        <f>BE23</f>
        <v>890</v>
      </c>
      <c r="S33" s="192" ph="1">
        <f>E10+X28</f>
        <v>514469.14328312001</v>
      </c>
      <c r="T33" s="184" ph="1">
        <f>X19</f>
        <v>14571.22951872</v>
      </c>
      <c r="U33" s="173" ph="1">
        <f>BE21</f>
        <v>730</v>
      </c>
      <c r="V33" s="186" ph="1">
        <f ca="1">P19+Q19+S19+M28+N28+J28</f>
        <v>300518.73406986799</v>
      </c>
      <c r="W33" s="186" ph="1">
        <f>D28+F28+V19+T28</f>
        <v>255272.160859136</v>
      </c>
      <c r="X33" s="188" ph="1">
        <f>BE29+BE31</f>
        <v>10200</v>
      </c>
      <c r="Y33" s="190" ph="1">
        <f>+Q10+R10+S10+T10+U10+V10+W10+X10+Y10</f>
        <v>87938.897507999995</v>
      </c>
      <c r="Z33" s="171" ph="1">
        <f>D10+T19+U19+Y28+Z10</f>
        <v>391512.93593792</v>
      </c>
      <c r="AA33" s="173" ph="1">
        <f>BE19</f>
        <v>1440</v>
      </c>
      <c r="AB33" s="175" ph="1">
        <f>I19</f>
        <v>121.2729544</v>
      </c>
      <c r="AC33" s="177" ph="1">
        <f>AD10</f>
        <v>4745.9146719999999</v>
      </c>
      <c r="AD33" s="179" ph="1">
        <v>0</v>
      </c>
      <c r="AE33" s="180"/>
      <c r="AH33" s="64" ph="1">
        <v>19</v>
      </c>
      <c r="AI33" s="64" t="s" ph="1">
        <v>402</v>
      </c>
      <c r="AJ33" s="64" t="s" ph="1">
        <v>636</v>
      </c>
      <c r="AK33" s="64" t="s" ph="1">
        <v>633</v>
      </c>
      <c r="AL33" s="64" ph="1">
        <v>730</v>
      </c>
      <c r="AM33" s="64" t="s" ph="1">
        <v>383</v>
      </c>
      <c r="AZ33" s="64" t="s" ph="1">
        <v>260</v>
      </c>
      <c r="BA33" s="64" ph="1">
        <v>730</v>
      </c>
      <c r="BD33" s="64" t="s" ph="1">
        <v>334</v>
      </c>
      <c r="BE33" s="64" ph="1">
        <v>3880</v>
      </c>
    </row>
    <row r="34" spans="1:57" ph="1">
      <c r="A34" s="64"/>
      <c r="B34" s="206" ph="1"/>
      <c r="C34" s="207" ph="1"/>
      <c r="D34" s="185" ph="1"/>
      <c r="E34" s="185" ph="1"/>
      <c r="F34" s="209" ph="1"/>
      <c r="G34" s="211" ph="1"/>
      <c r="H34" s="185" ph="1"/>
      <c r="I34" s="189" ph="1"/>
      <c r="J34" s="193" ph="1"/>
      <c r="K34" s="185" ph="1"/>
      <c r="L34" s="195" ph="1"/>
      <c r="M34" s="193" ph="1"/>
      <c r="N34" s="185" ph="1"/>
      <c r="O34" s="189" ph="1"/>
      <c r="P34" s="193" ph="1"/>
      <c r="Q34" s="185" ph="1"/>
      <c r="R34" s="189" ph="1"/>
      <c r="S34" s="193" ph="1"/>
      <c r="T34" s="185"/>
      <c r="U34" s="174"/>
      <c r="V34" s="187" ph="1"/>
      <c r="W34" s="187" ph="1"/>
      <c r="X34" s="189" ph="1"/>
      <c r="Y34" s="191" ph="1"/>
      <c r="Z34" s="172" ph="1"/>
      <c r="AA34" s="174" ph="1"/>
      <c r="AB34" s="176"/>
      <c r="AC34" s="178"/>
      <c r="AD34" s="181"/>
      <c r="AE34" s="182"/>
      <c r="AH34" s="64" ph="1">
        <v>20</v>
      </c>
      <c r="AI34" s="64" t="s" ph="1">
        <v>403</v>
      </c>
      <c r="AJ34" s="64" t="s" ph="1">
        <v>637</v>
      </c>
      <c r="AK34" s="64" t="s" ph="1">
        <v>633</v>
      </c>
      <c r="AL34" s="64" ph="1">
        <v>720</v>
      </c>
      <c r="AM34" s="64" t="s" ph="1">
        <v>383</v>
      </c>
      <c r="AZ34" s="64" t="s" ph="1">
        <v>260</v>
      </c>
      <c r="BA34" s="64" ph="1">
        <v>720</v>
      </c>
    </row>
    <row r="35" spans="1:57" ph="1">
      <c r="A35" s="64"/>
      <c r="AC35" s="183" t="s" ph="1">
        <v>84</v>
      </c>
      <c r="AD35" s="183"/>
      <c r="AE35" s="183"/>
      <c r="AH35" s="64" ph="1">
        <v>21</v>
      </c>
      <c r="AI35" s="64" t="s" ph="1">
        <v>404</v>
      </c>
      <c r="AZ35" s="64" t="s" ph="1">
        <v>260</v>
      </c>
      <c r="BA35" s="64" ph="1">
        <v>0</v>
      </c>
      <c r="BD35" s="64" t="s" ph="1">
        <v>405</v>
      </c>
      <c r="BE35" s="64" ph="1">
        <v>2030</v>
      </c>
    </row>
    <row r="36" spans="1:57" ht="28.5" ph="1">
      <c r="A36" s="64"/>
      <c r="B36" s="103" t="s" ph="1">
        <v>216</v>
      </c>
      <c r="I36" s="169" t="s" ph="1">
        <v>217</v>
      </c>
      <c r="J36" s="169" ph="1"/>
      <c r="K36" s="101" ph="1"/>
      <c r="P36" s="101" ph="1"/>
      <c r="R36" s="169" t="s" ph="1">
        <v>218</v>
      </c>
      <c r="S36" s="169" ph="1"/>
      <c r="Y36" s="102" ph="1"/>
      <c r="Z36" s="159" t="s" ph="1">
        <v>219</v>
      </c>
      <c r="AA36" s="159" ph="1"/>
      <c r="AB36" s="170" t="s" ph="1">
        <v>655</v>
      </c>
      <c r="AC36" s="170" ph="1"/>
      <c r="AD36" s="170" ph="1"/>
      <c r="AE36" s="170" ph="1"/>
      <c r="BA36" s="64" ph="1">
        <v>2270</v>
      </c>
    </row>
    <row r="37" spans="1:57" s="15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9" t="s" ph="1">
        <v>386</v>
      </c>
      <c r="AI37" s="159" t="s" ph="1">
        <v>253</v>
      </c>
      <c r="AJ37" s="159" t="s" ph="1">
        <v>254</v>
      </c>
      <c r="AK37" s="159" t="s" ph="1">
        <v>255</v>
      </c>
      <c r="AM37" s="159" t="s" ph="1">
        <v>254</v>
      </c>
      <c r="AN37" s="159" t="s" ph="1">
        <v>255</v>
      </c>
      <c r="AO37" s="159" t="s" ph="1">
        <v>256</v>
      </c>
      <c r="AP37" s="159" t="s" ph="1">
        <v>254</v>
      </c>
      <c r="AQ37" s="159" t="s" ph="1">
        <v>255</v>
      </c>
      <c r="AR37" s="159" t="s" ph="1">
        <v>256</v>
      </c>
      <c r="AS37" s="159" t="s" ph="1">
        <v>254</v>
      </c>
      <c r="AT37" s="159" t="s" ph="1">
        <v>255</v>
      </c>
      <c r="AU37" s="159" t="s" ph="1">
        <v>256</v>
      </c>
      <c r="AV37" s="159" t="s" ph="1">
        <v>254</v>
      </c>
      <c r="AW37" s="159" t="s" ph="1">
        <v>255</v>
      </c>
      <c r="AX37" s="159" t="s" ph="1">
        <v>256</v>
      </c>
      <c r="AY37" s="159" t="s" ph="1">
        <v>255</v>
      </c>
      <c r="AZ37" s="159" t="s" ph="1">
        <v>257</v>
      </c>
      <c r="BD37" s="159" t="s" ph="1">
        <v>349</v>
      </c>
      <c r="BE37" s="159" ph="1">
        <v>0</v>
      </c>
    </row>
    <row r="38" spans="1:57" ph="1">
      <c r="AE38" s="64" ph="1"/>
      <c r="AH38" s="64" ph="1">
        <v>1</v>
      </c>
      <c r="AI38" s="64" t="s" ph="1">
        <v>406</v>
      </c>
      <c r="AY38" s="64" t="s" ph="1">
        <v>260</v>
      </c>
      <c r="AZ38" s="64" t="s" ph="1">
        <v>411</v>
      </c>
    </row>
    <row r="39" spans="1:57" ph="1">
      <c r="AH39" s="64" ph="1">
        <v>2</v>
      </c>
      <c r="AI39" s="64" t="s" ph="1">
        <v>408</v>
      </c>
      <c r="AJ39" s="64" t="s" ph="1">
        <v>380</v>
      </c>
      <c r="AK39" s="64" t="s" ph="1">
        <v>409</v>
      </c>
      <c r="AM39" s="64" t="s" ph="1">
        <v>614</v>
      </c>
      <c r="AN39" s="64" t="s" ph="1">
        <v>272</v>
      </c>
      <c r="AO39" s="64" t="s" ph="1">
        <v>407</v>
      </c>
      <c r="AY39" s="64" t="s" ph="1">
        <v>260</v>
      </c>
      <c r="AZ39" s="64" t="s" ph="1">
        <v>543</v>
      </c>
    </row>
    <row r="40" spans="1:57" ph="1">
      <c r="AH40" s="64" ph="1">
        <v>3</v>
      </c>
      <c r="AI40" s="64" t="s" ph="1">
        <v>410</v>
      </c>
      <c r="AJ40" s="64" t="s" ph="1">
        <v>614</v>
      </c>
      <c r="AK40" s="64" t="s" ph="1">
        <v>615</v>
      </c>
      <c r="AY40" s="64" t="s" ph="1">
        <v>260</v>
      </c>
      <c r="AZ40" s="64" t="s" ph="1">
        <v>615</v>
      </c>
    </row>
    <row r="41" spans="1:57" ph="1">
      <c r="AH41" s="64" ph="1">
        <v>4</v>
      </c>
      <c r="AI41" s="64" t="s" ph="1">
        <v>412</v>
      </c>
      <c r="AJ41" s="64" t="s" ph="1">
        <v>616</v>
      </c>
      <c r="AK41" s="64" t="s" ph="1">
        <v>617</v>
      </c>
      <c r="AM41" s="64" t="s" ph="1">
        <v>618</v>
      </c>
      <c r="AY41" s="64" t="s" ph="1">
        <v>260</v>
      </c>
      <c r="AZ41" s="64" t="s" ph="1">
        <v>617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413</v>
      </c>
      <c r="AY42" s="64" t="s" ph="1">
        <v>260</v>
      </c>
      <c r="AZ42" s="64" t="s" ph="1">
        <v>411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414</v>
      </c>
      <c r="AY43" s="64" t="s" ph="1">
        <v>260</v>
      </c>
      <c r="AZ43" s="64" t="s" ph="1">
        <v>411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415</v>
      </c>
      <c r="AV44" s="64" t="s" ph="1">
        <v>261</v>
      </c>
      <c r="AY44" s="64" t="s" ph="1">
        <v>260</v>
      </c>
      <c r="AZ44" s="64" t="s" ph="1">
        <v>411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416</v>
      </c>
      <c r="AV45" s="64" t="s" ph="1">
        <v>261</v>
      </c>
      <c r="AY45" s="64" t="s" ph="1">
        <v>260</v>
      </c>
      <c r="AZ45" s="64" t="s" ph="1">
        <v>411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417</v>
      </c>
      <c r="AV46" s="64" t="s" ph="1">
        <v>261</v>
      </c>
      <c r="AY46" s="64" t="s" ph="1">
        <v>260</v>
      </c>
      <c r="AZ46" s="64" t="s" ph="1">
        <v>411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418</v>
      </c>
      <c r="AV47" s="64" t="s" ph="1">
        <v>261</v>
      </c>
      <c r="AY47" s="64" t="s" ph="1">
        <v>260</v>
      </c>
      <c r="AZ47" s="64" t="s" ph="1">
        <v>411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619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276</v>
      </c>
      <c r="AI49" s="64" t="s" ph="1">
        <v>253</v>
      </c>
      <c r="AJ49" s="64" t="s" ph="1">
        <v>254</v>
      </c>
      <c r="AK49" s="64" t="s" ph="1">
        <v>255</v>
      </c>
      <c r="AM49" s="64" t="s" ph="1">
        <v>254</v>
      </c>
      <c r="AN49" s="64" t="s" ph="1">
        <v>255</v>
      </c>
      <c r="AO49" s="64" t="s" ph="1">
        <v>256</v>
      </c>
      <c r="AP49" s="64" t="s" ph="1">
        <v>254</v>
      </c>
      <c r="AQ49" s="64" t="s" ph="1">
        <v>255</v>
      </c>
      <c r="AR49" s="64" t="s" ph="1">
        <v>256</v>
      </c>
      <c r="AS49" s="64" t="s" ph="1">
        <v>254</v>
      </c>
      <c r="AT49" s="64" t="s" ph="1">
        <v>255</v>
      </c>
      <c r="AU49" s="64" t="s" ph="1">
        <v>256</v>
      </c>
      <c r="AV49" s="64" t="s" ph="1">
        <v>254</v>
      </c>
      <c r="AW49" s="64" t="s" ph="1">
        <v>255</v>
      </c>
      <c r="AX49" s="64" t="s" ph="1">
        <v>256</v>
      </c>
      <c r="AY49" s="64" t="s" ph="1">
        <v>255</v>
      </c>
      <c r="AZ49" s="64" t="s" ph="1">
        <v>257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419</v>
      </c>
      <c r="AY50" s="64" t="s" ph="1">
        <v>260</v>
      </c>
      <c r="AZ50" s="64" t="s" ph="1">
        <v>411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420</v>
      </c>
      <c r="AY51" s="64" t="s" ph="1">
        <v>260</v>
      </c>
      <c r="AZ51" s="64" t="s" ph="1">
        <v>411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421</v>
      </c>
      <c r="AJ52" s="64" t="s" ph="1">
        <v>378</v>
      </c>
      <c r="AK52" s="64" t="s" ph="1">
        <v>272</v>
      </c>
      <c r="AM52" s="64" t="s" ph="1">
        <v>380</v>
      </c>
      <c r="AN52" s="64" t="s" ph="1">
        <v>344</v>
      </c>
      <c r="AO52" s="64" t="s" ph="1">
        <v>277</v>
      </c>
      <c r="AP52" s="64" t="s" ph="1">
        <v>614</v>
      </c>
      <c r="AQ52" s="64" t="s" ph="1">
        <v>326</v>
      </c>
      <c r="AR52" s="64" t="s" ph="1">
        <v>277</v>
      </c>
      <c r="AY52" s="64" t="s" ph="1">
        <v>260</v>
      </c>
      <c r="AZ52" s="64" t="s" ph="1">
        <v>620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422</v>
      </c>
      <c r="AY53" s="64" t="s" ph="1">
        <v>260</v>
      </c>
      <c r="AZ53" s="64" t="s" ph="1">
        <v>411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423</v>
      </c>
      <c r="AJ54" s="64" t="s" ph="1">
        <v>378</v>
      </c>
      <c r="AK54" s="64" t="s" ph="1">
        <v>263</v>
      </c>
      <c r="AM54" s="64" t="s" ph="1">
        <v>380</v>
      </c>
      <c r="AN54" s="64" t="s" ph="1">
        <v>268</v>
      </c>
      <c r="AO54" s="64" t="s" ph="1">
        <v>277</v>
      </c>
      <c r="AP54" s="64" t="s" ph="1">
        <v>614</v>
      </c>
      <c r="AQ54" s="64" t="s" ph="1">
        <v>284</v>
      </c>
      <c r="AR54" s="64" t="s" ph="1">
        <v>277</v>
      </c>
      <c r="AY54" s="64" t="s" ph="1">
        <v>260</v>
      </c>
      <c r="AZ54" s="64" t="s" ph="1">
        <v>278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424</v>
      </c>
      <c r="AY55" s="64" t="s" ph="1">
        <v>260</v>
      </c>
      <c r="AZ55" s="64" t="s" ph="1">
        <v>411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425</v>
      </c>
      <c r="AY56" s="64" t="s" ph="1">
        <v>260</v>
      </c>
      <c r="AZ56" s="64" t="s" ph="1">
        <v>411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426</v>
      </c>
      <c r="AY57" s="64" t="s" ph="1">
        <v>260</v>
      </c>
      <c r="AZ57" s="64" t="s" ph="1">
        <v>411</v>
      </c>
    </row>
    <row r="58" spans="16:52" ph="1">
      <c r="P58" s="64"/>
      <c r="AN58" s="64" t="s" ph="1">
        <v>261</v>
      </c>
      <c r="AZ58" s="64" t="s" ph="1">
        <v>621</v>
      </c>
    </row>
    <row r="59" spans="16:52" ph="1">
      <c r="V59" s="64"/>
      <c r="AG59" s="64" t="s" ph="1">
        <v>279</v>
      </c>
      <c r="AI59" s="64" t="s" ph="1">
        <v>253</v>
      </c>
      <c r="AJ59" s="64" t="s" ph="1">
        <v>254</v>
      </c>
      <c r="AK59" s="64" t="s" ph="1">
        <v>255</v>
      </c>
      <c r="AM59" s="64" t="s" ph="1">
        <v>254</v>
      </c>
      <c r="AN59" s="64" t="s" ph="1">
        <v>255</v>
      </c>
      <c r="AO59" s="64" t="s" ph="1">
        <v>256</v>
      </c>
      <c r="AP59" s="64" t="s" ph="1">
        <v>254</v>
      </c>
      <c r="AQ59" s="64" t="s" ph="1">
        <v>255</v>
      </c>
      <c r="AR59" s="64" t="s" ph="1">
        <v>256</v>
      </c>
      <c r="AS59" s="64" t="s" ph="1">
        <v>254</v>
      </c>
      <c r="AT59" s="64" t="s" ph="1">
        <v>255</v>
      </c>
      <c r="AU59" s="64" t="s" ph="1">
        <v>256</v>
      </c>
      <c r="AV59" s="64" t="s" ph="1">
        <v>254</v>
      </c>
      <c r="AW59" s="64" t="s" ph="1">
        <v>255</v>
      </c>
      <c r="AX59" s="64" t="s" ph="1">
        <v>256</v>
      </c>
      <c r="AY59" s="64" t="s" ph="1">
        <v>255</v>
      </c>
      <c r="AZ59" s="64" t="s" ph="1">
        <v>257</v>
      </c>
    </row>
    <row r="60" spans="16:52" ph="1">
      <c r="R60" s="64"/>
      <c r="S60" s="64"/>
      <c r="T60" s="64"/>
      <c r="AH60" s="64" ph="1">
        <v>1</v>
      </c>
      <c r="AI60" s="64" t="s" ph="1">
        <v>427</v>
      </c>
      <c r="AY60" s="64" t="s" ph="1">
        <v>260</v>
      </c>
      <c r="AZ60" s="64" t="s" ph="1">
        <v>411</v>
      </c>
    </row>
    <row r="61" spans="16:52" ph="1">
      <c r="AH61" s="64" ph="1">
        <v>2</v>
      </c>
      <c r="AI61" s="64" t="s" ph="1">
        <v>428</v>
      </c>
      <c r="AS61" s="64" t="s" ph="1">
        <v>261</v>
      </c>
      <c r="AY61" s="64" t="s" ph="1">
        <v>260</v>
      </c>
      <c r="AZ61" s="64" t="s" ph="1">
        <v>411</v>
      </c>
    </row>
    <row r="62" spans="16:52" ph="1">
      <c r="AZ62" s="64" t="s" ph="1">
        <v>429</v>
      </c>
    </row>
    <row r="63" spans="16:52" ph="1">
      <c r="AG63" s="64" t="s" ph="1">
        <v>282</v>
      </c>
      <c r="AI63" s="64" t="s" ph="1">
        <v>253</v>
      </c>
      <c r="AJ63" s="64" t="s" ph="1">
        <v>254</v>
      </c>
      <c r="AK63" s="64" t="s" ph="1">
        <v>255</v>
      </c>
      <c r="AM63" s="64" t="s" ph="1">
        <v>254</v>
      </c>
      <c r="AN63" s="64" t="s" ph="1">
        <v>255</v>
      </c>
      <c r="AO63" s="64" t="s" ph="1">
        <v>256</v>
      </c>
      <c r="AP63" s="64" t="s" ph="1">
        <v>254</v>
      </c>
      <c r="AQ63" s="64" t="s" ph="1">
        <v>255</v>
      </c>
      <c r="AR63" s="64" t="s" ph="1">
        <v>256</v>
      </c>
      <c r="AS63" s="64" t="s" ph="1">
        <v>254</v>
      </c>
      <c r="AT63" s="64" t="s" ph="1">
        <v>255</v>
      </c>
      <c r="AU63" s="64" t="s" ph="1">
        <v>256</v>
      </c>
      <c r="AV63" s="64" t="s" ph="1">
        <v>254</v>
      </c>
      <c r="AW63" s="64" t="s" ph="1">
        <v>255</v>
      </c>
      <c r="AX63" s="64" t="s" ph="1">
        <v>256</v>
      </c>
      <c r="AY63" s="64" t="s" ph="1">
        <v>255</v>
      </c>
      <c r="AZ63" s="64" t="s" ph="1">
        <v>257</v>
      </c>
    </row>
    <row r="64" spans="16:52" ph="1">
      <c r="AH64" s="64" ph="1">
        <v>1</v>
      </c>
      <c r="AI64" s="64" t="s" ph="1">
        <v>430</v>
      </c>
      <c r="AJ64" s="64" t="s" ph="1">
        <v>431</v>
      </c>
      <c r="AK64" s="64" t="s" ph="1">
        <v>432</v>
      </c>
      <c r="AY64" s="64" t="s" ph="1">
        <v>260</v>
      </c>
      <c r="AZ64" s="64" t="s" ph="1">
        <v>432</v>
      </c>
    </row>
    <row r="65" spans="33:52" ph="1">
      <c r="AH65" s="64" ph="1">
        <v>2</v>
      </c>
      <c r="AI65" s="64" t="s" ph="1">
        <v>433</v>
      </c>
      <c r="AY65" s="64" t="s" ph="1">
        <v>260</v>
      </c>
      <c r="AZ65" s="64" t="s" ph="1">
        <v>411</v>
      </c>
    </row>
    <row r="66" spans="33:52" ph="1">
      <c r="AH66" s="64" ph="1">
        <v>3</v>
      </c>
      <c r="AI66" s="64" t="s" ph="1">
        <v>434</v>
      </c>
      <c r="AY66" s="64" t="s" ph="1">
        <v>260</v>
      </c>
      <c r="AZ66" s="64" t="s" ph="1">
        <v>411</v>
      </c>
    </row>
    <row r="67" spans="33:52" ph="1">
      <c r="AH67" s="64" ph="1">
        <v>4</v>
      </c>
      <c r="AI67" s="64" t="s" ph="1">
        <v>435</v>
      </c>
      <c r="AY67" s="64" t="s" ph="1">
        <v>260</v>
      </c>
      <c r="AZ67" s="64" t="s" ph="1">
        <v>411</v>
      </c>
    </row>
    <row r="68" spans="33:52" ph="1">
      <c r="AH68" s="64" ph="1">
        <v>5</v>
      </c>
      <c r="AI68" s="64" t="s" ph="1">
        <v>436</v>
      </c>
      <c r="AY68" s="64" t="s" ph="1">
        <v>260</v>
      </c>
      <c r="AZ68" s="64" t="s" ph="1">
        <v>411</v>
      </c>
    </row>
    <row r="69" spans="33:52" ph="1">
      <c r="AH69" s="64" ph="1">
        <v>6</v>
      </c>
      <c r="AI69" s="64" t="s" ph="1">
        <v>437</v>
      </c>
      <c r="AY69" s="64" t="s" ph="1">
        <v>260</v>
      </c>
      <c r="AZ69" s="64" t="s" ph="1">
        <v>411</v>
      </c>
    </row>
    <row r="70" spans="33:52" ph="1">
      <c r="AI70" s="64" t="s" ph="1">
        <v>438</v>
      </c>
      <c r="AY70" s="64" t="s" ph="1">
        <v>260</v>
      </c>
      <c r="AZ70" s="64" t="s" ph="1">
        <v>411</v>
      </c>
    </row>
    <row r="71" spans="33:52" ph="1">
      <c r="AH71" s="64" ph="1">
        <v>7</v>
      </c>
      <c r="AI71" s="64" t="s" ph="1">
        <v>439</v>
      </c>
      <c r="AJ71" s="64" t="s" ph="1">
        <v>378</v>
      </c>
      <c r="AK71" s="64" t="s" ph="1">
        <v>272</v>
      </c>
      <c r="AM71" s="64" t="s" ph="1">
        <v>380</v>
      </c>
      <c r="AN71" s="64" t="s" ph="1">
        <v>272</v>
      </c>
      <c r="AO71" s="64" t="s" ph="1">
        <v>440</v>
      </c>
      <c r="AP71" s="64" t="s" ph="1">
        <v>614</v>
      </c>
      <c r="AQ71" s="64" t="s" ph="1">
        <v>263</v>
      </c>
      <c r="AR71" s="64" t="s" ph="1">
        <v>440</v>
      </c>
      <c r="AY71" s="64" t="s" ph="1">
        <v>260</v>
      </c>
      <c r="AZ71" s="64" t="s" ph="1">
        <v>622</v>
      </c>
    </row>
    <row r="72" spans="33:52" ph="1">
      <c r="AZ72" s="64" t="s" ph="1">
        <v>623</v>
      </c>
    </row>
    <row r="73" spans="33:52" ph="1">
      <c r="AG73" s="64" t="s" ph="1">
        <v>285</v>
      </c>
      <c r="AI73" s="64" t="s" ph="1">
        <v>253</v>
      </c>
      <c r="AJ73" s="64" t="s" ph="1">
        <v>254</v>
      </c>
      <c r="AK73" s="64" t="s" ph="1">
        <v>255</v>
      </c>
      <c r="AM73" s="64" t="s" ph="1">
        <v>254</v>
      </c>
      <c r="AN73" s="64" t="s" ph="1">
        <v>255</v>
      </c>
      <c r="AO73" s="64" t="s" ph="1">
        <v>256</v>
      </c>
      <c r="AP73" s="64" t="s" ph="1">
        <v>254</v>
      </c>
      <c r="AQ73" s="64" t="s" ph="1">
        <v>255</v>
      </c>
      <c r="AR73" s="64" t="s" ph="1">
        <v>256</v>
      </c>
      <c r="AS73" s="64" t="s" ph="1">
        <v>254</v>
      </c>
      <c r="AT73" s="64" t="s" ph="1">
        <v>255</v>
      </c>
      <c r="AU73" s="64" t="s" ph="1">
        <v>256</v>
      </c>
      <c r="AV73" s="64" t="s" ph="1">
        <v>254</v>
      </c>
      <c r="AW73" s="64" t="s" ph="1">
        <v>255</v>
      </c>
      <c r="AX73" s="64" t="s" ph="1">
        <v>256</v>
      </c>
      <c r="AY73" s="64" t="s" ph="1">
        <v>255</v>
      </c>
      <c r="AZ73" s="64" t="s" ph="1">
        <v>257</v>
      </c>
    </row>
    <row r="74" spans="33:52" ph="1">
      <c r="AH74" s="64" ph="1">
        <v>1</v>
      </c>
      <c r="AI74" s="64" t="s" ph="1">
        <v>441</v>
      </c>
      <c r="AJ74" s="64" t="s" ph="1">
        <v>286</v>
      </c>
      <c r="AK74" s="64" t="s" ph="1">
        <v>268</v>
      </c>
      <c r="AM74" s="64" t="s" ph="1">
        <v>288</v>
      </c>
      <c r="AN74" s="64" t="s" ph="1">
        <v>298</v>
      </c>
      <c r="AO74" s="64" t="s" ph="1">
        <v>287</v>
      </c>
      <c r="AP74" s="64" t="s" ph="1">
        <v>289</v>
      </c>
      <c r="AQ74" s="64" t="s" ph="1">
        <v>266</v>
      </c>
      <c r="AR74" s="64" t="s" ph="1">
        <v>287</v>
      </c>
      <c r="AS74" s="64" t="s" ph="1">
        <v>259</v>
      </c>
      <c r="AT74" s="64" t="s" ph="1">
        <v>261</v>
      </c>
      <c r="AV74" s="64" t="s" ph="1">
        <v>442</v>
      </c>
      <c r="AW74" s="64" t="s" ph="1">
        <v>443</v>
      </c>
      <c r="AX74" s="64" t="s" ph="1">
        <v>444</v>
      </c>
      <c r="AY74" s="64" t="s" ph="1">
        <v>260</v>
      </c>
      <c r="AZ74" s="64" t="s" ph="1">
        <v>445</v>
      </c>
    </row>
    <row r="75" spans="33:52" ph="1">
      <c r="AJ75" s="64" t="s" ph="1">
        <v>291</v>
      </c>
      <c r="AK75" s="64" t="s" ph="1">
        <v>344</v>
      </c>
      <c r="AM75" s="64" t="s" ph="1">
        <v>289</v>
      </c>
      <c r="AN75" s="64" t="s" ph="1">
        <v>269</v>
      </c>
      <c r="AO75" s="64" t="s" ph="1">
        <v>287</v>
      </c>
      <c r="AS75" s="64" t="s" ph="1">
        <v>259</v>
      </c>
      <c r="AT75" s="64" t="s" ph="1">
        <v>290</v>
      </c>
    </row>
    <row r="76" spans="33:52" ph="1">
      <c r="AJ76" s="64" t="s" ph="1">
        <v>291</v>
      </c>
      <c r="AK76" s="64" t="s" ph="1">
        <v>284</v>
      </c>
      <c r="AM76" s="64" t="s" ph="1">
        <v>289</v>
      </c>
      <c r="AN76" s="64" t="s" ph="1">
        <v>272</v>
      </c>
      <c r="AO76" s="64" t="s" ph="1">
        <v>287</v>
      </c>
      <c r="AS76" s="64" t="s" ph="1">
        <v>259</v>
      </c>
      <c r="AT76" s="64" t="s" ph="1">
        <v>290</v>
      </c>
    </row>
    <row r="77" spans="33:52" ph="1">
      <c r="AJ77" s="64" t="s" ph="1">
        <v>327</v>
      </c>
      <c r="AK77" s="64" t="s" ph="1">
        <v>284</v>
      </c>
      <c r="AM77" s="64" t="s" ph="1">
        <v>328</v>
      </c>
      <c r="AN77" s="64" t="s" ph="1">
        <v>267</v>
      </c>
      <c r="AO77" s="64" t="s" ph="1">
        <v>287</v>
      </c>
      <c r="AS77" s="64" t="s" ph="1">
        <v>259</v>
      </c>
      <c r="AT77" s="64" t="s" ph="1">
        <v>329</v>
      </c>
    </row>
    <row r="78" spans="33:52" ph="1">
      <c r="AH78" s="64" ph="1">
        <v>2</v>
      </c>
      <c r="AI78" s="64" t="s" ph="1">
        <v>293</v>
      </c>
      <c r="AJ78" s="64" t="s" ph="1">
        <v>294</v>
      </c>
      <c r="AK78" s="64" t="s" ph="1">
        <v>263</v>
      </c>
      <c r="AM78" s="64" t="s" ph="1">
        <v>295</v>
      </c>
      <c r="AN78" s="64" t="s" ph="1">
        <v>298</v>
      </c>
      <c r="AO78" s="64" t="s" ph="1">
        <v>287</v>
      </c>
      <c r="AP78" s="64" t="s" ph="1">
        <v>296</v>
      </c>
      <c r="AQ78" s="64" t="s" ph="1">
        <v>342</v>
      </c>
      <c r="AR78" s="64" t="s" ph="1">
        <v>287</v>
      </c>
      <c r="AS78" s="64" t="s" ph="1">
        <v>297</v>
      </c>
      <c r="AT78" s="64" t="s" ph="1">
        <v>298</v>
      </c>
      <c r="AU78" s="64" t="s" ph="1">
        <v>287</v>
      </c>
      <c r="AV78" s="64" t="s" ph="1">
        <v>299</v>
      </c>
      <c r="AW78" s="64" t="s" ph="1">
        <v>287</v>
      </c>
      <c r="AY78" s="64" t="s" ph="1">
        <v>260</v>
      </c>
      <c r="AZ78" s="64" t="s" ph="1">
        <v>446</v>
      </c>
    </row>
    <row r="79" spans="33:52" ph="1">
      <c r="AJ79" s="64" t="s" ph="1">
        <v>289</v>
      </c>
      <c r="AK79" s="64" t="s" ph="1">
        <v>300</v>
      </c>
      <c r="AM79" s="64" t="s" ph="1">
        <v>301</v>
      </c>
      <c r="AN79" s="64" t="s" ph="1">
        <v>269</v>
      </c>
      <c r="AO79" s="64" t="s" ph="1">
        <v>287</v>
      </c>
      <c r="AP79" s="64" t="s" ph="1">
        <v>302</v>
      </c>
      <c r="AQ79" s="64" t="s" ph="1">
        <v>267</v>
      </c>
      <c r="AR79" s="64" t="s" ph="1">
        <v>303</v>
      </c>
      <c r="AS79" s="64" t="s" ph="1">
        <v>259</v>
      </c>
      <c r="AT79" s="64" t="s" ph="1">
        <v>304</v>
      </c>
      <c r="AV79" s="64" t="s" ph="1">
        <v>447</v>
      </c>
      <c r="AW79" s="64" t="s" ph="1">
        <v>346</v>
      </c>
      <c r="AX79" s="64" t="s" ph="1">
        <v>444</v>
      </c>
    </row>
    <row r="80" spans="33:52" ph="1">
      <c r="AH80" s="64" ph="1">
        <v>3</v>
      </c>
      <c r="AI80" s="64" t="s" ph="1">
        <v>305</v>
      </c>
      <c r="AJ80" s="64" t="s" ph="1">
        <v>306</v>
      </c>
      <c r="AK80" s="64" t="s" ph="1">
        <v>307</v>
      </c>
      <c r="AM80" s="64" t="s" ph="1">
        <v>308</v>
      </c>
      <c r="AN80" s="64" t="s" ph="1">
        <v>298</v>
      </c>
      <c r="AO80" s="64" t="s" ph="1">
        <v>287</v>
      </c>
      <c r="AP80" s="64" t="s" ph="1">
        <v>309</v>
      </c>
      <c r="AQ80" s="64" t="s" ph="1">
        <v>272</v>
      </c>
      <c r="AR80" s="64" t="s" ph="1">
        <v>287</v>
      </c>
      <c r="AS80" s="64" t="s" ph="1">
        <v>310</v>
      </c>
      <c r="AT80" s="64" t="s" ph="1">
        <v>271</v>
      </c>
      <c r="AU80" s="64" t="s" ph="1">
        <v>287</v>
      </c>
      <c r="AV80" s="64" t="s" ph="1">
        <v>311</v>
      </c>
      <c r="AW80" s="64" t="s" ph="1">
        <v>287</v>
      </c>
      <c r="AY80" s="64" t="s" ph="1">
        <v>260</v>
      </c>
      <c r="AZ80" s="64" t="s" ph="1">
        <v>448</v>
      </c>
    </row>
    <row r="81" spans="34:52" ph="1">
      <c r="AJ81" s="64" t="s" ph="1">
        <v>312</v>
      </c>
      <c r="AK81" s="64" t="s" ph="1">
        <v>266</v>
      </c>
      <c r="AM81" s="64" t="s" ph="1">
        <v>313</v>
      </c>
      <c r="AN81" s="64" t="s" ph="1">
        <v>269</v>
      </c>
      <c r="AO81" s="64" t="s" ph="1">
        <v>287</v>
      </c>
      <c r="AP81" s="64" t="s" ph="1">
        <v>314</v>
      </c>
      <c r="AQ81" s="64" t="s" ph="1">
        <v>298</v>
      </c>
      <c r="AR81" s="64" t="s" ph="1">
        <v>287</v>
      </c>
      <c r="AS81" s="64" t="s" ph="1">
        <v>315</v>
      </c>
      <c r="AT81" s="64" t="s" ph="1">
        <v>316</v>
      </c>
      <c r="AU81" s="64" t="s" ph="1">
        <v>287</v>
      </c>
      <c r="AV81" s="64" t="s" ph="1">
        <v>317</v>
      </c>
    </row>
    <row r="82" spans="34:52" ph="1">
      <c r="AJ82" s="64" t="s" ph="1">
        <v>318</v>
      </c>
      <c r="AK82" s="64" t="s" ph="1">
        <v>266</v>
      </c>
      <c r="AM82" s="64" t="s" ph="1">
        <v>319</v>
      </c>
      <c r="AN82" s="64" t="s" ph="1">
        <v>316</v>
      </c>
      <c r="AO82" s="64" t="s" ph="1">
        <v>320</v>
      </c>
      <c r="AP82" s="64" t="s" ph="1">
        <v>321</v>
      </c>
      <c r="AQ82" s="64" t="s" ph="1">
        <v>298</v>
      </c>
      <c r="AR82" s="64" t="s" ph="1">
        <v>287</v>
      </c>
      <c r="AS82" s="64" t="s" ph="1">
        <v>322</v>
      </c>
      <c r="AT82" s="64" t="s" ph="1">
        <v>273</v>
      </c>
      <c r="AU82" s="64" t="s" ph="1">
        <v>287</v>
      </c>
      <c r="AV82" s="64" t="s" ph="1">
        <v>447</v>
      </c>
      <c r="AW82" s="64" t="s" ph="1">
        <v>347</v>
      </c>
      <c r="AX82" s="64" t="s" ph="1">
        <v>444</v>
      </c>
    </row>
    <row r="83" spans="34:52" ph="1">
      <c r="AJ83" s="64" t="s" ph="1">
        <v>323</v>
      </c>
      <c r="AK83" s="64" t="s" ph="1">
        <v>340</v>
      </c>
      <c r="AM83" s="64" t="s" ph="1">
        <v>324</v>
      </c>
      <c r="AN83" s="64" t="s" ph="1">
        <v>272</v>
      </c>
      <c r="AO83" s="64" t="s" ph="1">
        <v>303</v>
      </c>
      <c r="AP83" s="64" t="s" ph="1">
        <v>325</v>
      </c>
      <c r="AQ83" s="64" t="s" ph="1">
        <v>326</v>
      </c>
      <c r="AR83" s="64" t="s" ph="1">
        <v>303</v>
      </c>
      <c r="AS83" s="64" t="s" ph="1">
        <v>449</v>
      </c>
      <c r="AT83" s="64" t="s" ph="1">
        <v>298</v>
      </c>
      <c r="AU83" s="64" t="s" ph="1">
        <v>303</v>
      </c>
      <c r="AV83" s="64" t="s" ph="1">
        <v>450</v>
      </c>
      <c r="AW83" s="64" t="s" ph="1">
        <v>347</v>
      </c>
      <c r="AX83" s="64" t="s" ph="1">
        <v>451</v>
      </c>
    </row>
    <row r="84" spans="34:52" ph="1">
      <c r="AH84" s="64" ph="1">
        <v>4</v>
      </c>
      <c r="AI84" s="64" t="s" ph="1">
        <v>330</v>
      </c>
      <c r="AJ84" s="64" t="s" ph="1">
        <v>270</v>
      </c>
      <c r="AK84" s="64" t="s" ph="1">
        <v>273</v>
      </c>
      <c r="AM84" s="64" t="s" ph="1">
        <v>274</v>
      </c>
      <c r="AN84" s="64" t="s" ph="1">
        <v>267</v>
      </c>
      <c r="AO84" s="64" t="s" ph="1">
        <v>303</v>
      </c>
      <c r="AP84" s="64" t="s" ph="1">
        <v>332</v>
      </c>
      <c r="AQ84" s="64" t="s" ph="1">
        <v>266</v>
      </c>
      <c r="AR84" s="64" t="s" ph="1">
        <v>303</v>
      </c>
      <c r="AS84" s="64" t="s" ph="1">
        <v>332</v>
      </c>
      <c r="AT84" s="64" t="s" ph="1">
        <v>268</v>
      </c>
      <c r="AU84" s="64" t="s" ph="1">
        <v>303</v>
      </c>
      <c r="AY84" s="64" t="s" ph="1">
        <v>260</v>
      </c>
      <c r="AZ84" s="64" t="s" ph="1">
        <v>452</v>
      </c>
    </row>
    <row r="85" spans="34:52" ph="1">
      <c r="AJ85" s="64" t="s" ph="1">
        <v>262</v>
      </c>
      <c r="AK85" s="64" t="s" ph="1">
        <v>266</v>
      </c>
      <c r="AM85" s="64" t="s" ph="1">
        <v>453</v>
      </c>
      <c r="AN85" s="64" t="s" ph="1">
        <v>273</v>
      </c>
      <c r="AO85" s="64" t="s" ph="1">
        <v>303</v>
      </c>
      <c r="AP85" s="64" t="s" ph="1">
        <v>454</v>
      </c>
      <c r="AQ85" s="64" t="s" ph="1">
        <v>269</v>
      </c>
      <c r="AR85" s="64" t="s" ph="1">
        <v>303</v>
      </c>
      <c r="AS85" s="64" t="s" ph="1">
        <v>455</v>
      </c>
      <c r="AT85" s="64" t="s" ph="1">
        <v>269</v>
      </c>
      <c r="AU85" s="64" t="s" ph="1">
        <v>303</v>
      </c>
    </row>
    <row r="86" spans="34:52" ph="1">
      <c r="AJ86" s="64" t="s" ph="1">
        <v>456</v>
      </c>
      <c r="AK86" s="64" t="s" ph="1">
        <v>275</v>
      </c>
      <c r="AM86" s="64" t="s" ph="1">
        <v>457</v>
      </c>
      <c r="AN86" s="64" t="s" ph="1">
        <v>316</v>
      </c>
      <c r="AO86" s="64" t="s" ph="1">
        <v>303</v>
      </c>
      <c r="AP86" s="64" t="s" ph="1">
        <v>458</v>
      </c>
      <c r="AQ86" s="64" t="s" ph="1">
        <v>263</v>
      </c>
      <c r="AR86" s="64" t="s" ph="1">
        <v>303</v>
      </c>
      <c r="AS86" s="64" t="s" ph="1">
        <v>459</v>
      </c>
      <c r="AT86" s="64" t="s" ph="1">
        <v>281</v>
      </c>
      <c r="AU86" s="64" t="s" ph="1">
        <v>303</v>
      </c>
    </row>
    <row r="87" spans="34:52" ph="1">
      <c r="AJ87" s="64" t="s" ph="1">
        <v>460</v>
      </c>
      <c r="AK87" s="64" t="s" ph="1">
        <v>316</v>
      </c>
      <c r="AM87" s="64" t="s" ph="1">
        <v>447</v>
      </c>
      <c r="AN87" s="64" t="s" ph="1">
        <v>461</v>
      </c>
      <c r="AO87" s="64" t="s" ph="1">
        <v>444</v>
      </c>
    </row>
    <row r="88" spans="34:52" ph="1">
      <c r="AH88" s="64" ph="1">
        <v>5</v>
      </c>
      <c r="AI88" s="64" t="s" ph="1">
        <v>333</v>
      </c>
      <c r="AJ88" s="64" t="s" ph="1">
        <v>462</v>
      </c>
      <c r="AK88" s="64" t="s" ph="1">
        <v>316</v>
      </c>
      <c r="AM88" s="64" t="s" ph="1">
        <v>463</v>
      </c>
      <c r="AN88" s="64" t="s" ph="1">
        <v>316</v>
      </c>
      <c r="AO88" s="64" t="s" ph="1">
        <v>303</v>
      </c>
      <c r="AP88" s="64" t="s" ph="1">
        <v>464</v>
      </c>
      <c r="AQ88" s="64" t="s" ph="1">
        <v>266</v>
      </c>
      <c r="AR88" s="64" t="s" ph="1">
        <v>303</v>
      </c>
      <c r="AS88" s="64" t="s" ph="1">
        <v>465</v>
      </c>
      <c r="AT88" s="64" t="s" ph="1">
        <v>316</v>
      </c>
      <c r="AU88" s="64" t="s" ph="1">
        <v>303</v>
      </c>
      <c r="AV88" s="64" t="s" ph="1">
        <v>466</v>
      </c>
      <c r="AW88" s="64" t="s" ph="1">
        <v>271</v>
      </c>
      <c r="AX88" s="64" t="s" ph="1">
        <v>303</v>
      </c>
      <c r="AY88" s="64" t="s" ph="1">
        <v>260</v>
      </c>
      <c r="AZ88" s="64" t="s" ph="1">
        <v>467</v>
      </c>
    </row>
    <row r="89" spans="34:52" ph="1">
      <c r="AJ89" s="64" t="s" ph="1">
        <v>468</v>
      </c>
      <c r="AK89" s="64" t="s" ph="1">
        <v>269</v>
      </c>
      <c r="AM89" s="64" t="s" ph="1">
        <v>469</v>
      </c>
      <c r="AN89" s="64" t="s" ph="1">
        <v>272</v>
      </c>
      <c r="AO89" s="64" t="s" ph="1">
        <v>303</v>
      </c>
      <c r="AP89" s="64" t="s" ph="1">
        <v>470</v>
      </c>
      <c r="AQ89" s="64" t="s" ph="1">
        <v>281</v>
      </c>
      <c r="AR89" s="64" t="s" ph="1">
        <v>303</v>
      </c>
      <c r="AS89" s="64" t="s" ph="1">
        <v>471</v>
      </c>
      <c r="AT89" s="64" t="s" ph="1">
        <v>316</v>
      </c>
      <c r="AU89" s="64" t="s" ph="1">
        <v>303</v>
      </c>
      <c r="AV89" s="64" t="s" ph="1">
        <v>472</v>
      </c>
      <c r="AW89" s="64" t="s" ph="1">
        <v>298</v>
      </c>
      <c r="AX89" s="64" t="s" ph="1">
        <v>331</v>
      </c>
    </row>
    <row r="90" spans="34:52" ph="1">
      <c r="AJ90" s="64" t="s" ph="1">
        <v>473</v>
      </c>
      <c r="AK90" s="64" t="s" ph="1">
        <v>272</v>
      </c>
      <c r="AM90" s="64" t="s" ph="1">
        <v>474</v>
      </c>
      <c r="AN90" s="64" t="s" ph="1">
        <v>269</v>
      </c>
      <c r="AO90" s="64" t="s" ph="1">
        <v>303</v>
      </c>
      <c r="AP90" s="64" t="s" ph="1">
        <v>475</v>
      </c>
      <c r="AQ90" s="64" t="s" ph="1">
        <v>338</v>
      </c>
      <c r="AR90" s="64" t="s" ph="1">
        <v>303</v>
      </c>
      <c r="AS90" s="64" t="s" ph="1">
        <v>476</v>
      </c>
      <c r="AT90" s="64" t="s" ph="1">
        <v>326</v>
      </c>
      <c r="AU90" s="64" t="s" ph="1">
        <v>303</v>
      </c>
      <c r="AV90" s="64" t="s" ph="1">
        <v>477</v>
      </c>
      <c r="AW90" s="64" t="s" ph="1">
        <v>263</v>
      </c>
      <c r="AX90" s="64" t="s" ph="1">
        <v>303</v>
      </c>
    </row>
    <row r="91" spans="34:52" ph="1">
      <c r="AJ91" s="64" t="s" ph="1">
        <v>478</v>
      </c>
      <c r="AK91" s="64" t="s" ph="1">
        <v>316</v>
      </c>
      <c r="AM91" s="64" t="s" ph="1">
        <v>479</v>
      </c>
      <c r="AN91" s="64" t="s" ph="1">
        <v>283</v>
      </c>
      <c r="AO91" s="64" t="s" ph="1">
        <v>303</v>
      </c>
      <c r="AP91" s="64" t="s" ph="1">
        <v>480</v>
      </c>
      <c r="AQ91" s="64" t="s" ph="1">
        <v>263</v>
      </c>
      <c r="AS91" s="64" t="s" ph="1">
        <v>447</v>
      </c>
      <c r="AT91" s="64" t="s" ph="1">
        <v>443</v>
      </c>
      <c r="AU91" s="64" t="s" ph="1">
        <v>444</v>
      </c>
    </row>
    <row r="92" spans="34:52" ph="1">
      <c r="AH92" s="64" ph="1">
        <v>6</v>
      </c>
      <c r="AI92" s="64" t="s" ph="1">
        <v>481</v>
      </c>
      <c r="AJ92" s="64" t="s" ph="1">
        <v>482</v>
      </c>
      <c r="AK92" s="64" t="s" ph="1">
        <v>411</v>
      </c>
      <c r="AM92" s="64" t="s" ph="1">
        <v>483</v>
      </c>
      <c r="AN92" s="64" t="s" ph="1">
        <v>271</v>
      </c>
      <c r="AO92" s="64" t="s" ph="1">
        <v>303</v>
      </c>
      <c r="AP92" s="64" t="s" ph="1">
        <v>484</v>
      </c>
      <c r="AQ92" s="64" t="s" ph="1">
        <v>343</v>
      </c>
      <c r="AR92" s="64" t="s" ph="1">
        <v>303</v>
      </c>
      <c r="AS92" s="64" t="s" ph="1">
        <v>485</v>
      </c>
      <c r="AT92" s="64" t="s" ph="1">
        <v>316</v>
      </c>
      <c r="AU92" s="64" t="s" ph="1">
        <v>303</v>
      </c>
      <c r="AV92" s="64" t="s" ph="1">
        <v>486</v>
      </c>
      <c r="AW92" s="64" t="s" ph="1">
        <v>272</v>
      </c>
      <c r="AX92" s="64" t="s" ph="1">
        <v>303</v>
      </c>
      <c r="AY92" s="64" t="s" ph="1">
        <v>260</v>
      </c>
      <c r="AZ92" s="64" t="s" ph="1">
        <v>467</v>
      </c>
    </row>
    <row r="93" spans="34:52" ph="1">
      <c r="AJ93" s="64" t="s" ph="1">
        <v>487</v>
      </c>
      <c r="AK93" s="64" t="s" ph="1">
        <v>266</v>
      </c>
      <c r="AM93" s="64" t="s" ph="1">
        <v>488</v>
      </c>
      <c r="AN93" s="64" t="s" ph="1">
        <v>271</v>
      </c>
      <c r="AO93" s="64" t="s" ph="1">
        <v>303</v>
      </c>
      <c r="AP93" s="64" t="s" ph="1">
        <v>489</v>
      </c>
      <c r="AQ93" s="64" t="s" ph="1">
        <v>275</v>
      </c>
      <c r="AR93" s="64" t="s" ph="1">
        <v>303</v>
      </c>
      <c r="AS93" s="64" t="s" ph="1">
        <v>490</v>
      </c>
      <c r="AT93" s="64" t="s" ph="1">
        <v>281</v>
      </c>
      <c r="AU93" s="64" t="s" ph="1">
        <v>303</v>
      </c>
      <c r="AV93" s="64" t="s" ph="1">
        <v>491</v>
      </c>
      <c r="AW93" s="64" t="s" ph="1">
        <v>275</v>
      </c>
      <c r="AX93" s="64" t="s" ph="1">
        <v>303</v>
      </c>
    </row>
    <row r="94" spans="34:52" ph="1">
      <c r="AJ94" s="64" t="s" ph="1">
        <v>492</v>
      </c>
      <c r="AK94" s="64" t="s" ph="1">
        <v>338</v>
      </c>
      <c r="AM94" s="64" t="s" ph="1">
        <v>493</v>
      </c>
      <c r="AN94" s="64" t="s" ph="1">
        <v>275</v>
      </c>
      <c r="AO94" s="64" t="s" ph="1">
        <v>303</v>
      </c>
      <c r="AP94" s="64" t="s" ph="1">
        <v>494</v>
      </c>
      <c r="AQ94" s="64" t="s" ph="1">
        <v>283</v>
      </c>
      <c r="AR94" s="64" t="s" ph="1">
        <v>303</v>
      </c>
      <c r="AS94" s="64" t="s" ph="1">
        <v>495</v>
      </c>
      <c r="AT94" s="64" t="s" ph="1">
        <v>269</v>
      </c>
      <c r="AU94" s="64" t="s" ph="1">
        <v>303</v>
      </c>
      <c r="AV94" s="64" t="s" ph="1">
        <v>496</v>
      </c>
      <c r="AW94" s="64" t="s" ph="1">
        <v>269</v>
      </c>
      <c r="AX94" s="64" t="s" ph="1">
        <v>303</v>
      </c>
    </row>
    <row r="95" spans="34:52" ph="1">
      <c r="AJ95" s="64" t="s" ph="1">
        <v>497</v>
      </c>
      <c r="AK95" s="64" t="s" ph="1">
        <v>343</v>
      </c>
    </row>
    <row r="96" spans="34:52" ph="1">
      <c r="AH96" s="64" ph="1">
        <v>7</v>
      </c>
      <c r="AI96" s="64" t="s" ph="1">
        <v>498</v>
      </c>
      <c r="AJ96" s="64" t="s" ph="1">
        <v>497</v>
      </c>
      <c r="AK96" s="64" t="s" ph="1">
        <v>298</v>
      </c>
      <c r="AM96" s="64" t="s" ph="1">
        <v>499</v>
      </c>
      <c r="AN96" s="64" t="s" ph="1">
        <v>272</v>
      </c>
      <c r="AO96" s="64" t="s" ph="1">
        <v>303</v>
      </c>
      <c r="AP96" s="64" t="s" ph="1">
        <v>500</v>
      </c>
      <c r="AQ96" s="64" t="s" ph="1">
        <v>316</v>
      </c>
      <c r="AR96" s="64" t="s" ph="1">
        <v>331</v>
      </c>
      <c r="AS96" s="64" t="s" ph="1">
        <v>501</v>
      </c>
      <c r="AT96" s="64" t="s" ph="1">
        <v>275</v>
      </c>
      <c r="AU96" s="64" t="s" ph="1">
        <v>331</v>
      </c>
      <c r="AV96" s="64" t="s" ph="1">
        <v>502</v>
      </c>
      <c r="AW96" s="64" t="s" ph="1">
        <v>271</v>
      </c>
      <c r="AX96" s="64" t="s" ph="1">
        <v>331</v>
      </c>
      <c r="AY96" s="64" t="s" ph="1">
        <v>260</v>
      </c>
      <c r="AZ96" s="64" t="s" ph="1">
        <v>503</v>
      </c>
    </row>
    <row r="97" spans="33:52" ph="1">
      <c r="AJ97" s="64" t="s" ph="1">
        <v>504</v>
      </c>
      <c r="AK97" s="64" t="s" ph="1">
        <v>326</v>
      </c>
      <c r="AM97" s="64" t="s" ph="1">
        <v>505</v>
      </c>
      <c r="AN97" s="64" t="s" ph="1">
        <v>269</v>
      </c>
      <c r="AO97" s="64" t="s" ph="1">
        <v>303</v>
      </c>
      <c r="AP97" s="64" t="s" ph="1">
        <v>506</v>
      </c>
      <c r="AQ97" s="64" t="s" ph="1">
        <v>263</v>
      </c>
      <c r="AR97" s="64" t="s" ph="1">
        <v>331</v>
      </c>
      <c r="AS97" s="64" t="s" ph="1">
        <v>507</v>
      </c>
      <c r="AT97" s="64" t="s" ph="1">
        <v>266</v>
      </c>
      <c r="AU97" s="64" t="s" ph="1">
        <v>331</v>
      </c>
      <c r="AV97" s="64" t="s" ph="1">
        <v>508</v>
      </c>
      <c r="AW97" s="64" t="s" ph="1">
        <v>272</v>
      </c>
      <c r="AX97" s="64" t="s" ph="1">
        <v>331</v>
      </c>
    </row>
    <row r="98" spans="33:52" ph="1">
      <c r="AJ98" s="64" t="s" ph="1">
        <v>509</v>
      </c>
      <c r="AK98" s="64" t="s" ph="1">
        <v>275</v>
      </c>
      <c r="AM98" s="64" t="s" ph="1">
        <v>510</v>
      </c>
      <c r="AN98" s="64" t="s" ph="1">
        <v>283</v>
      </c>
      <c r="AO98" s="64" t="s" ph="1">
        <v>303</v>
      </c>
      <c r="AP98" s="64" t="s" ph="1">
        <v>511</v>
      </c>
      <c r="AQ98" s="64" t="s" ph="1">
        <v>263</v>
      </c>
      <c r="AR98" s="64" t="s" ph="1">
        <v>331</v>
      </c>
      <c r="AS98" s="64" t="s" ph="1">
        <v>512</v>
      </c>
      <c r="AT98" s="64" t="s" ph="1">
        <v>343</v>
      </c>
      <c r="AU98" s="64" t="s" ph="1">
        <v>331</v>
      </c>
      <c r="AV98" s="64" t="s" ph="1">
        <v>513</v>
      </c>
      <c r="AW98" s="64" t="s" ph="1">
        <v>266</v>
      </c>
      <c r="AX98" s="64" t="s" ph="1">
        <v>331</v>
      </c>
    </row>
    <row r="99" spans="33:52" ph="1">
      <c r="AH99" s="64" ph="1">
        <v>8</v>
      </c>
      <c r="AI99" s="64" t="s" ph="1">
        <v>514</v>
      </c>
      <c r="AJ99" s="64" t="s" ph="1">
        <v>515</v>
      </c>
      <c r="AK99" s="64" t="s" ph="1">
        <v>411</v>
      </c>
      <c r="AM99" s="64" t="s" ph="1">
        <v>516</v>
      </c>
      <c r="AN99" s="64" t="s" ph="1">
        <v>298</v>
      </c>
      <c r="AO99" s="64" t="s" ph="1">
        <v>303</v>
      </c>
      <c r="AP99" s="64" t="s" ph="1">
        <v>517</v>
      </c>
      <c r="AQ99" s="64" t="s" ph="1">
        <v>268</v>
      </c>
      <c r="AR99" s="64" t="s" ph="1">
        <v>331</v>
      </c>
      <c r="AS99" s="64" t="s" ph="1">
        <v>518</v>
      </c>
      <c r="AT99" s="64" t="s" ph="1">
        <v>283</v>
      </c>
      <c r="AU99" s="64" t="s" ph="1">
        <v>331</v>
      </c>
      <c r="AV99" s="64" t="s" ph="1">
        <v>519</v>
      </c>
      <c r="AW99" s="64" t="s" ph="1">
        <v>268</v>
      </c>
      <c r="AX99" s="64" t="s" ph="1">
        <v>331</v>
      </c>
      <c r="AY99" s="64" t="s" ph="1">
        <v>260</v>
      </c>
      <c r="AZ99" s="64" t="s" ph="1">
        <v>520</v>
      </c>
    </row>
    <row r="100" spans="33:52" ph="1">
      <c r="AJ100" s="64" t="s" ph="1">
        <v>521</v>
      </c>
      <c r="AK100" s="64" t="s" ph="1">
        <v>266</v>
      </c>
      <c r="AM100" s="64" t="s" ph="1">
        <v>522</v>
      </c>
      <c r="AN100" s="64" t="s" ph="1">
        <v>338</v>
      </c>
      <c r="AO100" s="64" t="s" ph="1">
        <v>303</v>
      </c>
      <c r="AP100" s="64" t="s" ph="1">
        <v>523</v>
      </c>
      <c r="AQ100" s="64" t="s" ph="1">
        <v>344</v>
      </c>
      <c r="AR100" s="64" t="s" ph="1">
        <v>331</v>
      </c>
      <c r="AS100" s="64" t="s" ph="1">
        <v>524</v>
      </c>
      <c r="AT100" s="64" t="s" ph="1">
        <v>411</v>
      </c>
      <c r="AU100" s="64" t="s" ph="1">
        <v>303</v>
      </c>
      <c r="AV100" s="64" t="s" ph="1">
        <v>525</v>
      </c>
      <c r="AW100" s="64" t="s" ph="1">
        <v>411</v>
      </c>
      <c r="AX100" s="64" t="s" ph="1">
        <v>303</v>
      </c>
    </row>
    <row r="101" spans="33:52" ph="1">
      <c r="AJ101" s="64" t="s" ph="1">
        <v>526</v>
      </c>
      <c r="AK101" s="64" t="s" ph="1">
        <v>411</v>
      </c>
      <c r="AM101" s="64" t="s" ph="1">
        <v>527</v>
      </c>
      <c r="AN101" s="64" t="s" ph="1">
        <v>269</v>
      </c>
      <c r="AO101" s="64" t="s" ph="1">
        <v>303</v>
      </c>
      <c r="AP101" s="64" t="s" ph="1">
        <v>528</v>
      </c>
      <c r="AQ101" s="64" t="s" ph="1">
        <v>281</v>
      </c>
      <c r="AR101" s="64" t="s" ph="1">
        <v>331</v>
      </c>
      <c r="AS101" s="64" t="s" ph="1">
        <v>529</v>
      </c>
      <c r="AT101" s="64" t="s" ph="1">
        <v>338</v>
      </c>
      <c r="AU101" s="64" t="s" ph="1">
        <v>331</v>
      </c>
      <c r="AV101" s="64" t="s" ph="1">
        <v>530</v>
      </c>
      <c r="AW101" s="64" t="s" ph="1">
        <v>269</v>
      </c>
      <c r="AX101" s="64" t="s" ph="1">
        <v>303</v>
      </c>
    </row>
    <row r="102" spans="33:52" ph="1">
      <c r="AJ102" s="64" t="s" ph="1">
        <v>531</v>
      </c>
      <c r="AK102" s="64" t="s" ph="1">
        <v>266</v>
      </c>
      <c r="AM102" s="64" t="s" ph="1">
        <v>532</v>
      </c>
      <c r="AN102" s="64" t="s" ph="1">
        <v>275</v>
      </c>
      <c r="AO102" s="64" t="s" ph="1">
        <v>303</v>
      </c>
      <c r="AP102" s="64" t="s" ph="1">
        <v>533</v>
      </c>
      <c r="AQ102" s="64" t="s" ph="1">
        <v>281</v>
      </c>
      <c r="AR102" s="64" t="s" ph="1">
        <v>303</v>
      </c>
      <c r="AS102" s="64" t="s" ph="1">
        <v>534</v>
      </c>
      <c r="AT102" s="64" t="s" ph="1">
        <v>298</v>
      </c>
      <c r="AU102" s="64" t="s" ph="1">
        <v>303</v>
      </c>
      <c r="AV102" s="64" t="s" ph="1">
        <v>535</v>
      </c>
      <c r="AW102" s="64" t="s" ph="1">
        <v>316</v>
      </c>
      <c r="AX102" s="64" t="s" ph="1">
        <v>303</v>
      </c>
    </row>
    <row r="103" spans="33:52" ph="1">
      <c r="AH103" s="64" ph="1">
        <v>9</v>
      </c>
      <c r="AI103" s="64" t="s" ph="1">
        <v>536</v>
      </c>
      <c r="AJ103" s="64" t="s" ph="1">
        <v>537</v>
      </c>
      <c r="AK103" s="64" t="s" ph="1">
        <v>411</v>
      </c>
      <c r="AM103" s="64" t="s" ph="1">
        <v>538</v>
      </c>
      <c r="AN103" s="64" t="s" ph="1">
        <v>326</v>
      </c>
      <c r="AO103" s="64" t="s" ph="1">
        <v>303</v>
      </c>
      <c r="AP103" s="64" t="s" ph="1">
        <v>380</v>
      </c>
      <c r="AQ103" s="64" t="s" ph="1">
        <v>269</v>
      </c>
      <c r="AR103" s="64" t="s" ph="1">
        <v>303</v>
      </c>
      <c r="AS103" s="64" t="s" ph="1">
        <v>614</v>
      </c>
      <c r="AT103" s="64" t="s" ph="1">
        <v>411</v>
      </c>
      <c r="AU103" s="64" t="s" ph="1">
        <v>303</v>
      </c>
      <c r="AY103" s="64" t="s" ph="1">
        <v>260</v>
      </c>
      <c r="AZ103" s="64" t="s" ph="1">
        <v>268</v>
      </c>
    </row>
    <row r="104" spans="33:52" ph="1">
      <c r="AZ104" s="64" t="s" ph="1">
        <v>539</v>
      </c>
    </row>
    <row r="105" spans="33:52" ph="1">
      <c r="AG105" s="64" t="s" ph="1">
        <v>339</v>
      </c>
      <c r="AI105" s="64" t="s" ph="1">
        <v>253</v>
      </c>
      <c r="AJ105" s="64" t="s" ph="1">
        <v>254</v>
      </c>
      <c r="AK105" s="64" t="s" ph="1">
        <v>255</v>
      </c>
      <c r="AM105" s="64" t="s" ph="1">
        <v>254</v>
      </c>
      <c r="AN105" s="64" t="s" ph="1">
        <v>255</v>
      </c>
      <c r="AO105" s="64" t="s" ph="1">
        <v>256</v>
      </c>
      <c r="AP105" s="64" t="s" ph="1">
        <v>254</v>
      </c>
      <c r="AQ105" s="64" t="s" ph="1">
        <v>255</v>
      </c>
      <c r="AR105" s="64" t="s" ph="1">
        <v>256</v>
      </c>
      <c r="AS105" s="64" t="s" ph="1">
        <v>254</v>
      </c>
      <c r="AT105" s="64" t="s" ph="1">
        <v>255</v>
      </c>
      <c r="AU105" s="64" t="s" ph="1">
        <v>256</v>
      </c>
      <c r="AV105" s="64" t="s" ph="1">
        <v>254</v>
      </c>
      <c r="AW105" s="64" t="s" ph="1">
        <v>255</v>
      </c>
      <c r="AX105" s="64" t="s" ph="1">
        <v>256</v>
      </c>
      <c r="AZ105" s="64" t="s" ph="1">
        <v>257</v>
      </c>
    </row>
    <row r="106" spans="33:52" ph="1">
      <c r="AH106" s="64" ph="1">
        <v>1</v>
      </c>
      <c r="AI106" s="64" t="s" ph="1">
        <v>540</v>
      </c>
      <c r="AJ106" s="64" t="s" ph="1">
        <v>614</v>
      </c>
      <c r="AK106" s="64" t="s" ph="1">
        <v>275</v>
      </c>
      <c r="AZ106" s="64" t="s" ph="1">
        <v>275</v>
      </c>
    </row>
    <row r="107" spans="33:52" ph="1">
      <c r="AH107" s="64" ph="1">
        <v>2</v>
      </c>
      <c r="AI107" s="64" t="s" ph="1">
        <v>541</v>
      </c>
      <c r="AJ107" s="64" t="s" ph="1">
        <v>542</v>
      </c>
      <c r="AK107" s="64" t="s" ph="1">
        <v>272</v>
      </c>
      <c r="AM107" s="64" t="s" ph="1">
        <v>378</v>
      </c>
      <c r="AN107" s="64" t="s" ph="1">
        <v>543</v>
      </c>
      <c r="AO107" s="64" t="s" ph="1">
        <v>544</v>
      </c>
      <c r="AP107" s="64" t="s" ph="1">
        <v>380</v>
      </c>
      <c r="AQ107" s="64" t="s" ph="1">
        <v>348</v>
      </c>
      <c r="AR107" s="64" t="s" ph="1">
        <v>544</v>
      </c>
      <c r="AS107" s="64" t="s" ph="1">
        <v>614</v>
      </c>
      <c r="AT107" s="64" t="s" ph="1">
        <v>543</v>
      </c>
      <c r="AU107" s="64" t="s" ph="1">
        <v>544</v>
      </c>
      <c r="AY107" s="64" t="s" ph="1">
        <v>260</v>
      </c>
      <c r="AZ107" s="64" t="s" ph="1">
        <v>624</v>
      </c>
    </row>
    <row r="108" spans="33:52" ph="1">
      <c r="AH108" s="64" ph="1">
        <v>3</v>
      </c>
      <c r="AI108" s="64" t="s" ph="1">
        <v>545</v>
      </c>
      <c r="AY108" s="64" t="s" ph="1">
        <v>260</v>
      </c>
      <c r="AZ108" s="64" t="s" ph="1">
        <v>411</v>
      </c>
    </row>
    <row r="109" spans="33:52" ph="1">
      <c r="AH109" s="64" ph="1">
        <v>4</v>
      </c>
      <c r="AI109" s="64" t="s" ph="1">
        <v>546</v>
      </c>
      <c r="AY109" s="64" t="s" ph="1">
        <v>260</v>
      </c>
      <c r="AZ109" s="64" t="s" ph="1">
        <v>411</v>
      </c>
    </row>
    <row r="110" spans="33:52" ph="1">
      <c r="AH110" s="64" ph="1">
        <v>5</v>
      </c>
      <c r="AI110" s="64" t="s" ph="1">
        <v>547</v>
      </c>
      <c r="AY110" s="64" t="s" ph="1">
        <v>260</v>
      </c>
      <c r="AZ110" s="64" t="s" ph="1">
        <v>411</v>
      </c>
    </row>
    <row r="111" spans="33:52" ph="1">
      <c r="AH111" s="64" ph="1">
        <v>6</v>
      </c>
      <c r="AI111" s="64" t="s" ph="1">
        <v>625</v>
      </c>
      <c r="AJ111" s="64" t="s" ph="1">
        <v>530</v>
      </c>
      <c r="AK111" s="64" t="s" ph="1">
        <v>269</v>
      </c>
      <c r="AM111" s="64" t="s" ph="1">
        <v>531</v>
      </c>
      <c r="AN111" s="64" t="s" ph="1">
        <v>263</v>
      </c>
      <c r="AO111" s="64" t="s" ph="1">
        <v>544</v>
      </c>
      <c r="AP111" s="64" t="s" ph="1">
        <v>532</v>
      </c>
      <c r="AQ111" s="64" t="s" ph="1">
        <v>272</v>
      </c>
      <c r="AR111" s="64" t="s" ph="1">
        <v>544</v>
      </c>
      <c r="AS111" s="64" t="s" ph="1">
        <v>533</v>
      </c>
      <c r="AT111" s="64" t="s" ph="1">
        <v>281</v>
      </c>
      <c r="AU111" s="64" t="s" ph="1">
        <v>544</v>
      </c>
      <c r="AV111" s="64" t="s" ph="1">
        <v>534</v>
      </c>
      <c r="AW111" s="64" t="s" ph="1">
        <v>271</v>
      </c>
      <c r="AX111" s="64" t="s" ph="1">
        <v>544</v>
      </c>
      <c r="AY111" s="64" t="s" ph="1">
        <v>260</v>
      </c>
      <c r="AZ111" s="64" t="s" ph="1">
        <v>548</v>
      </c>
    </row>
    <row r="112" spans="33:52" ph="1">
      <c r="AJ112" s="64" t="s" ph="1">
        <v>535</v>
      </c>
      <c r="AK112" s="64" t="s" ph="1">
        <v>316</v>
      </c>
      <c r="AM112" s="64" t="s" ph="1">
        <v>537</v>
      </c>
      <c r="AN112" s="64" t="s" ph="1">
        <v>340</v>
      </c>
      <c r="AO112" s="64" t="s" ph="1">
        <v>544</v>
      </c>
      <c r="AP112" s="64" t="s" ph="1">
        <v>538</v>
      </c>
      <c r="AQ112" s="64" t="s" ph="1">
        <v>549</v>
      </c>
      <c r="AR112" s="64" t="s" ph="1">
        <v>544</v>
      </c>
      <c r="AS112" s="64" t="s" ph="1">
        <v>550</v>
      </c>
      <c r="AT112" s="64" t="s" ph="1">
        <v>292</v>
      </c>
      <c r="AU112" s="64" t="s" ph="1">
        <v>544</v>
      </c>
      <c r="AV112" s="64" t="s" ph="1">
        <v>551</v>
      </c>
      <c r="AW112" s="64" t="s" ph="1">
        <v>338</v>
      </c>
      <c r="AX112" s="64" t="s" ph="1">
        <v>544</v>
      </c>
    </row>
    <row r="113" spans="33:52" ph="1">
      <c r="AH113" s="64" ph="1">
        <v>7</v>
      </c>
      <c r="AI113" s="64" t="s" ph="1">
        <v>552</v>
      </c>
      <c r="AJ113" s="64" t="s" ph="1">
        <v>633</v>
      </c>
      <c r="AK113" s="64" t="s" ph="1">
        <v>638</v>
      </c>
      <c r="AY113" s="64" t="s" ph="1">
        <v>260</v>
      </c>
      <c r="AZ113" s="64" t="s" ph="1">
        <v>638</v>
      </c>
    </row>
    <row r="114" spans="33:52" ph="1">
      <c r="AH114" s="64" ph="1">
        <v>8</v>
      </c>
      <c r="AI114" s="64" t="s" ph="1">
        <v>553</v>
      </c>
      <c r="AJ114" s="64" t="s" ph="1">
        <v>633</v>
      </c>
      <c r="AK114" s="64" t="s" ph="1">
        <v>639</v>
      </c>
      <c r="AY114" s="64" t="s" ph="1">
        <v>260</v>
      </c>
      <c r="AZ114" s="64" t="s" ph="1">
        <v>639</v>
      </c>
    </row>
    <row r="115" spans="33:52" ph="1">
      <c r="AH115" s="64" ph="1">
        <v>9</v>
      </c>
      <c r="AI115" s="64" t="s" ph="1">
        <v>554</v>
      </c>
      <c r="AJ115" s="64" t="s" ph="1">
        <v>633</v>
      </c>
      <c r="AK115" s="64" t="s" ph="1">
        <v>639</v>
      </c>
      <c r="AY115" s="64" t="s" ph="1">
        <v>260</v>
      </c>
      <c r="AZ115" s="64" t="s" ph="1">
        <v>639</v>
      </c>
    </row>
    <row r="116" spans="33:52" ph="1">
      <c r="AH116" s="64" ph="1">
        <v>10</v>
      </c>
      <c r="AI116" s="64" t="s" ph="1">
        <v>555</v>
      </c>
      <c r="AJ116" s="64" t="s" ph="1">
        <v>633</v>
      </c>
      <c r="AK116" s="64" t="s" ph="1">
        <v>639</v>
      </c>
      <c r="AY116" s="64" t="s" ph="1">
        <v>260</v>
      </c>
      <c r="AZ116" s="64" t="s" ph="1">
        <v>639</v>
      </c>
    </row>
    <row r="117" spans="33:52" ph="1">
      <c r="AH117" s="64" ph="1">
        <v>11</v>
      </c>
      <c r="AI117" s="64" t="s" ph="1">
        <v>556</v>
      </c>
      <c r="AJ117" s="64" t="s" ph="1">
        <v>633</v>
      </c>
      <c r="AK117" s="64" t="s" ph="1">
        <v>639</v>
      </c>
      <c r="AY117" s="64" t="s" ph="1">
        <v>260</v>
      </c>
      <c r="AZ117" s="64" t="s" ph="1">
        <v>639</v>
      </c>
    </row>
    <row r="118" spans="33:52" ph="1">
      <c r="AZ118" s="64" t="s" ph="1">
        <v>640</v>
      </c>
    </row>
    <row r="119" spans="33:52" ph="1">
      <c r="AI119" s="64" t="s" ph="1">
        <v>253</v>
      </c>
      <c r="AJ119" s="64" t="s" ph="1">
        <v>254</v>
      </c>
      <c r="AK119" s="64" t="s" ph="1">
        <v>255</v>
      </c>
      <c r="AM119" s="64" t="s" ph="1">
        <v>254</v>
      </c>
      <c r="AN119" s="64" t="s" ph="1">
        <v>255</v>
      </c>
      <c r="AO119" s="64" t="s" ph="1">
        <v>256</v>
      </c>
      <c r="AP119" s="64" t="s" ph="1">
        <v>254</v>
      </c>
      <c r="AQ119" s="64" t="s" ph="1">
        <v>255</v>
      </c>
      <c r="AR119" s="64" t="s" ph="1">
        <v>256</v>
      </c>
      <c r="AS119" s="64" t="s" ph="1">
        <v>254</v>
      </c>
      <c r="AT119" s="64" t="s" ph="1">
        <v>255</v>
      </c>
      <c r="AU119" s="64" t="s" ph="1">
        <v>256</v>
      </c>
      <c r="AV119" s="64" t="s" ph="1">
        <v>254</v>
      </c>
      <c r="AW119" s="64" t="s" ph="1">
        <v>255</v>
      </c>
      <c r="AX119" s="64" t="s" ph="1">
        <v>256</v>
      </c>
      <c r="AY119" s="64" t="s" ph="1">
        <v>255</v>
      </c>
      <c r="AZ119" s="64" t="s" ph="1">
        <v>257</v>
      </c>
    </row>
    <row r="120" spans="33:52" ph="1">
      <c r="AG120" s="64" t="s" ph="1">
        <v>397</v>
      </c>
      <c r="AH120" s="64" ph="1">
        <v>1</v>
      </c>
      <c r="AI120" s="64" t="s" ph="1">
        <v>557</v>
      </c>
      <c r="AJ120" s="64" t="s" ph="1">
        <v>631</v>
      </c>
      <c r="AK120" s="64" t="s" ph="1">
        <v>411</v>
      </c>
      <c r="AY120" s="64" t="s" ph="1">
        <v>260</v>
      </c>
      <c r="AZ120" s="64" t="s" ph="1">
        <v>411</v>
      </c>
    </row>
    <row r="121" spans="33:52" ph="1">
      <c r="AH121" s="64" ph="1">
        <v>2</v>
      </c>
      <c r="AI121" s="64" t="s" ph="1">
        <v>558</v>
      </c>
      <c r="AY121" s="64" t="s" ph="1">
        <v>260</v>
      </c>
      <c r="AZ121" s="64" t="s" ph="1">
        <v>411</v>
      </c>
    </row>
    <row r="122" spans="33:52" ph="1">
      <c r="AH122" s="64" ph="1">
        <v>3</v>
      </c>
      <c r="AI122" s="64" t="s" ph="1">
        <v>559</v>
      </c>
      <c r="AJ122" s="64" t="s" ph="1">
        <v>614</v>
      </c>
      <c r="AK122" s="64" t="s" ph="1">
        <v>626</v>
      </c>
      <c r="AM122" s="64" t="s" ph="1">
        <v>641</v>
      </c>
      <c r="AN122" s="64" t="s" ph="1">
        <v>634</v>
      </c>
      <c r="AO122" s="64" t="s" ph="1">
        <v>109</v>
      </c>
      <c r="AY122" s="64" t="s" ph="1">
        <v>260</v>
      </c>
      <c r="AZ122" s="64" t="s" ph="1">
        <v>623</v>
      </c>
    </row>
    <row r="123" spans="33:52" ph="1">
      <c r="AY123" s="64" t="s" ph="1">
        <v>260</v>
      </c>
      <c r="AZ123" s="64" t="s" ph="1">
        <v>623</v>
      </c>
    </row>
    <row r="124" spans="33:52" ph="1">
      <c r="AG124" s="64" t="s" ph="1">
        <v>400</v>
      </c>
      <c r="AH124" s="64" ph="1">
        <v>4</v>
      </c>
      <c r="AI124" s="64" t="s" ph="1">
        <v>560</v>
      </c>
      <c r="AJ124" s="64" t="s" ph="1">
        <v>561</v>
      </c>
      <c r="AK124" s="64" t="s" ph="1">
        <v>562</v>
      </c>
      <c r="AY124" s="64" t="s" ph="1">
        <v>260</v>
      </c>
      <c r="AZ124" s="64" t="s" ph="1">
        <v>562</v>
      </c>
    </row>
    <row r="125" spans="33:52" ph="1">
      <c r="AH125" s="64" ph="1">
        <v>5</v>
      </c>
      <c r="AI125" s="64" t="s" ph="1">
        <v>563</v>
      </c>
      <c r="AJ125" s="64" t="s" ph="1">
        <v>561</v>
      </c>
      <c r="AK125" s="64" t="s" ph="1">
        <v>562</v>
      </c>
      <c r="AY125" s="64" t="s" ph="1">
        <v>260</v>
      </c>
      <c r="AZ125" s="64" t="s" ph="1">
        <v>562</v>
      </c>
    </row>
    <row r="126" spans="33:52" ph="1">
      <c r="AH126" s="64" ph="1">
        <v>6</v>
      </c>
      <c r="AI126" s="64" t="s" ph="1">
        <v>564</v>
      </c>
      <c r="AJ126" s="64" t="s" ph="1">
        <v>633</v>
      </c>
      <c r="AK126" s="64" t="s" ph="1">
        <v>642</v>
      </c>
      <c r="AY126" s="64" t="s" ph="1">
        <v>260</v>
      </c>
      <c r="AZ126" s="64" t="s" ph="1">
        <v>642</v>
      </c>
    </row>
    <row r="127" spans="33:52" ph="1">
      <c r="AH127" s="64" ph="1">
        <v>7</v>
      </c>
      <c r="AI127" s="64" t="s" ph="1">
        <v>565</v>
      </c>
      <c r="AJ127" s="64" t="s" ph="1">
        <v>633</v>
      </c>
      <c r="AK127" s="64" t="s" ph="1">
        <v>643</v>
      </c>
      <c r="AY127" s="64" t="s" ph="1">
        <v>260</v>
      </c>
      <c r="AZ127" s="64" t="s" ph="1">
        <v>643</v>
      </c>
    </row>
    <row r="128" spans="33:52" ph="1">
      <c r="AH128" s="64" ph="1">
        <v>8</v>
      </c>
      <c r="AI128" s="64" t="s" ph="1">
        <v>566</v>
      </c>
      <c r="AY128" s="64" t="s" ph="1">
        <v>260</v>
      </c>
      <c r="AZ128" s="64" t="s" ph="1">
        <v>411</v>
      </c>
    </row>
    <row r="129" spans="33:52" ph="1">
      <c r="AH129" s="64" ph="1">
        <v>9</v>
      </c>
      <c r="AI129" s="64" t="s" ph="1">
        <v>567</v>
      </c>
      <c r="AY129" s="64" t="s" ph="1">
        <v>260</v>
      </c>
      <c r="AZ129" s="64" t="s" ph="1">
        <v>411</v>
      </c>
    </row>
    <row r="130" spans="33:52" ph="1">
      <c r="AH130" s="64" ph="1">
        <v>10</v>
      </c>
      <c r="AI130" s="64" t="s" ph="1">
        <v>568</v>
      </c>
      <c r="AY130" s="64" t="s" ph="1">
        <v>260</v>
      </c>
      <c r="AZ130" s="64" t="s" ph="1">
        <v>411</v>
      </c>
    </row>
    <row r="131" spans="33:52" ph="1">
      <c r="AH131" s="64" ph="1">
        <v>11</v>
      </c>
      <c r="AI131" s="64" t="s" ph="1">
        <v>569</v>
      </c>
      <c r="AJ131" s="64" t="s" ph="1">
        <v>627</v>
      </c>
      <c r="AK131" s="64" t="s" ph="1">
        <v>623</v>
      </c>
      <c r="AY131" s="64" t="s" ph="1">
        <v>260</v>
      </c>
      <c r="AZ131" s="64" t="s" ph="1">
        <v>623</v>
      </c>
    </row>
    <row r="132" spans="33:52" ph="1">
      <c r="AH132" s="64" ph="1">
        <v>12</v>
      </c>
      <c r="AI132" s="64" t="s" ph="1">
        <v>570</v>
      </c>
      <c r="AJ132" s="64" t="s" ph="1">
        <v>627</v>
      </c>
      <c r="AK132" s="64" t="s" ph="1">
        <v>562</v>
      </c>
      <c r="AY132" s="64" t="s" ph="1">
        <v>260</v>
      </c>
      <c r="AZ132" s="64" t="s" ph="1">
        <v>562</v>
      </c>
    </row>
    <row r="133" spans="33:52" ph="1">
      <c r="AH133" s="64" ph="1">
        <v>13</v>
      </c>
      <c r="AI133" s="64" t="s" ph="1">
        <v>571</v>
      </c>
      <c r="AJ133" s="64" t="s" ph="1">
        <v>627</v>
      </c>
      <c r="AK133" s="64" t="s" ph="1">
        <v>628</v>
      </c>
      <c r="AY133" s="64" t="s" ph="1">
        <v>260</v>
      </c>
      <c r="AZ133" s="64" t="s" ph="1">
        <v>628</v>
      </c>
    </row>
    <row r="134" spans="33:52" ph="1">
      <c r="AH134" s="64" ph="1">
        <v>14</v>
      </c>
      <c r="AI134" s="64" t="s" ph="1">
        <v>572</v>
      </c>
      <c r="AJ134" s="64" t="s" ph="1">
        <v>627</v>
      </c>
      <c r="AK134" s="64" t="s" ph="1">
        <v>629</v>
      </c>
      <c r="AY134" s="64" t="s" ph="1">
        <v>260</v>
      </c>
      <c r="AZ134" s="64" t="s" ph="1">
        <v>629</v>
      </c>
    </row>
    <row r="135" spans="33:52" ph="1">
      <c r="AH135" s="64" ph="1">
        <v>15</v>
      </c>
      <c r="AI135" s="64" t="s" ph="1">
        <v>573</v>
      </c>
      <c r="AJ135" s="64" t="s" ph="1">
        <v>627</v>
      </c>
      <c r="AK135" s="64" t="s" ph="1">
        <v>630</v>
      </c>
      <c r="AY135" s="64" t="s" ph="1">
        <v>260</v>
      </c>
      <c r="AZ135" s="64" t="s" ph="1">
        <v>630</v>
      </c>
    </row>
    <row r="136" spans="33:52" ph="1">
      <c r="AZ136" s="64" t="s" ph="1">
        <v>644</v>
      </c>
    </row>
    <row r="137" spans="33:52" ph="1">
      <c r="AG137" s="64" t="s" ph="1">
        <v>334</v>
      </c>
      <c r="AI137" s="64" t="s" ph="1">
        <v>253</v>
      </c>
      <c r="AJ137" s="64" t="s" ph="1">
        <v>254</v>
      </c>
      <c r="AK137" s="64" t="s" ph="1">
        <v>255</v>
      </c>
      <c r="AM137" s="64" t="s" ph="1">
        <v>254</v>
      </c>
      <c r="AN137" s="64" t="s" ph="1">
        <v>255</v>
      </c>
      <c r="AO137" s="64" t="s" ph="1">
        <v>256</v>
      </c>
      <c r="AP137" s="64" t="s" ph="1">
        <v>254</v>
      </c>
      <c r="AQ137" s="64" t="s" ph="1">
        <v>255</v>
      </c>
      <c r="AR137" s="64" t="s" ph="1">
        <v>256</v>
      </c>
      <c r="AS137" s="64" t="s" ph="1">
        <v>254</v>
      </c>
      <c r="AT137" s="64" t="s" ph="1">
        <v>255</v>
      </c>
      <c r="AU137" s="64" t="s" ph="1">
        <v>256</v>
      </c>
      <c r="AV137" s="64" t="s" ph="1">
        <v>254</v>
      </c>
      <c r="AW137" s="64" t="s" ph="1">
        <v>255</v>
      </c>
      <c r="AX137" s="64" t="s" ph="1">
        <v>256</v>
      </c>
      <c r="AY137" s="64" t="s" ph="1">
        <v>255</v>
      </c>
      <c r="AZ137" s="64" t="s" ph="1">
        <v>257</v>
      </c>
    </row>
    <row r="138" spans="33:52" ph="1">
      <c r="AH138" s="64" ph="1">
        <v>1</v>
      </c>
      <c r="AI138" s="64" t="s" ph="1">
        <v>574</v>
      </c>
      <c r="AJ138" s="64" t="s" ph="1">
        <v>575</v>
      </c>
      <c r="AK138" s="64" t="s" ph="1">
        <v>576</v>
      </c>
      <c r="AY138" s="64" t="s" ph="1">
        <v>260</v>
      </c>
      <c r="AZ138" s="64" t="s" ph="1">
        <v>576</v>
      </c>
    </row>
    <row r="139" spans="33:52" ph="1">
      <c r="AH139" s="64" ph="1">
        <v>2</v>
      </c>
      <c r="AI139" s="64" t="s" ph="1">
        <v>577</v>
      </c>
      <c r="AJ139" s="64" t="s" ph="1">
        <v>633</v>
      </c>
      <c r="AK139" s="64" t="s" ph="1">
        <v>645</v>
      </c>
      <c r="AY139" s="64" t="s" ph="1">
        <v>260</v>
      </c>
      <c r="AZ139" s="64" t="s" ph="1">
        <v>645</v>
      </c>
    </row>
    <row r="140" spans="33:52" ph="1">
      <c r="AH140" s="64" ph="1">
        <v>3</v>
      </c>
      <c r="AI140" s="64" t="s" ph="1">
        <v>578</v>
      </c>
      <c r="AJ140" s="64" t="s" ph="1">
        <v>531</v>
      </c>
      <c r="AK140" s="64" t="s" ph="1">
        <v>343</v>
      </c>
      <c r="AM140" s="64" t="s" ph="1">
        <v>532</v>
      </c>
      <c r="AN140" s="64" t="s" ph="1">
        <v>263</v>
      </c>
      <c r="AO140" s="64" t="s" ph="1">
        <v>579</v>
      </c>
      <c r="AP140" s="64" t="s" ph="1">
        <v>533</v>
      </c>
      <c r="AQ140" s="64" t="s" ph="1">
        <v>280</v>
      </c>
      <c r="AR140" s="64" t="s" ph="1">
        <v>579</v>
      </c>
      <c r="AS140" s="64" t="s" ph="1">
        <v>534</v>
      </c>
      <c r="AT140" s="64" t="s" ph="1">
        <v>273</v>
      </c>
      <c r="AU140" s="64" t="s" ph="1">
        <v>579</v>
      </c>
      <c r="AV140" s="64" t="s" ph="1">
        <v>535</v>
      </c>
      <c r="AW140" s="64" t="s" ph="1">
        <v>266</v>
      </c>
      <c r="AX140" s="64" t="s" ph="1">
        <v>579</v>
      </c>
      <c r="AY140" s="64" t="s" ph="1">
        <v>260</v>
      </c>
      <c r="AZ140" s="64" t="s" ph="1">
        <v>335</v>
      </c>
    </row>
    <row r="141" spans="33:52" ph="1">
      <c r="AJ141" s="64" t="s" ph="1">
        <v>537</v>
      </c>
      <c r="AK141" s="64" t="s" ph="1">
        <v>266</v>
      </c>
      <c r="AM141" s="64" t="s" ph="1">
        <v>538</v>
      </c>
      <c r="AN141" s="64" t="s" ph="1">
        <v>269</v>
      </c>
      <c r="AO141" s="64" t="s" ph="1">
        <v>579</v>
      </c>
      <c r="AP141" s="64" t="s" ph="1">
        <v>550</v>
      </c>
      <c r="AQ141" s="64" t="s" ph="1">
        <v>338</v>
      </c>
      <c r="AR141" s="64" t="s" ph="1">
        <v>579</v>
      </c>
      <c r="AS141" s="64" t="s" ph="1">
        <v>542</v>
      </c>
      <c r="AT141" s="64" t="s" ph="1">
        <v>266</v>
      </c>
      <c r="AU141" s="64" t="s" ph="1">
        <v>579</v>
      </c>
      <c r="AV141" s="64" t="s" ph="1">
        <v>378</v>
      </c>
      <c r="AW141" s="64" t="s" ph="1">
        <v>272</v>
      </c>
      <c r="AX141" s="64" t="s" ph="1">
        <v>579</v>
      </c>
    </row>
    <row r="142" spans="33:52" ph="1">
      <c r="AJ142" s="64" t="s" ph="1">
        <v>580</v>
      </c>
      <c r="AK142" s="64" t="s" ph="1">
        <v>283</v>
      </c>
    </row>
    <row r="143" spans="33:52" ph="1">
      <c r="AH143" s="64" ph="1">
        <v>4</v>
      </c>
      <c r="AI143" s="64" t="s" ph="1">
        <v>581</v>
      </c>
      <c r="AJ143" s="64" t="s" ph="1">
        <v>561</v>
      </c>
      <c r="AK143" s="64" t="s" ph="1">
        <v>582</v>
      </c>
      <c r="AY143" s="64" t="s" ph="1">
        <v>260</v>
      </c>
      <c r="AZ143" s="64" t="s" ph="1">
        <v>582</v>
      </c>
    </row>
    <row r="144" spans="33:52" ph="1">
      <c r="AH144" s="64" ph="1">
        <v>5</v>
      </c>
      <c r="AI144" s="64" t="s" ph="1">
        <v>583</v>
      </c>
      <c r="AY144" s="64" t="s" ph="1">
        <v>260</v>
      </c>
      <c r="AZ144" s="64" t="s" ph="1">
        <v>411</v>
      </c>
    </row>
    <row r="145" spans="33:52" ph="1">
      <c r="AH145" s="64" ph="1">
        <v>6</v>
      </c>
      <c r="AI145" s="64" t="s" ph="1">
        <v>584</v>
      </c>
      <c r="AY145" s="64" t="s" ph="1">
        <v>260</v>
      </c>
      <c r="AZ145" s="64" t="s" ph="1">
        <v>411</v>
      </c>
    </row>
    <row r="146" spans="33:52" ph="1">
      <c r="AH146" s="64" ph="1">
        <v>7</v>
      </c>
      <c r="AI146" s="64" t="s" ph="1">
        <v>585</v>
      </c>
      <c r="AY146" s="64" t="s" ph="1">
        <v>260</v>
      </c>
      <c r="AZ146" s="64" t="s" ph="1">
        <v>411</v>
      </c>
    </row>
    <row r="147" spans="33:52" ph="1">
      <c r="AH147" s="64" ph="1">
        <v>8</v>
      </c>
      <c r="AI147" s="64" t="s" ph="1">
        <v>586</v>
      </c>
      <c r="AY147" s="64" t="s" ph="1">
        <v>260</v>
      </c>
      <c r="AZ147" s="64" t="s" ph="1">
        <v>411</v>
      </c>
    </row>
    <row r="148" spans="33:52" ph="1">
      <c r="AH148" s="64" ph="1">
        <v>9</v>
      </c>
      <c r="AI148" s="64" t="s" ph="1">
        <v>587</v>
      </c>
      <c r="AY148" s="64" t="s" ph="1">
        <v>260</v>
      </c>
      <c r="AZ148" s="64" t="s" ph="1">
        <v>411</v>
      </c>
    </row>
    <row r="149" spans="33:52" ph="1">
      <c r="AH149" s="64" ph="1">
        <v>10</v>
      </c>
      <c r="AI149" s="64" t="s" ph="1">
        <v>588</v>
      </c>
      <c r="AY149" s="64" t="s" ph="1">
        <v>260</v>
      </c>
      <c r="AZ149" s="64" t="s" ph="1">
        <v>411</v>
      </c>
    </row>
    <row r="150" spans="33:52" ph="1">
      <c r="AH150" s="64" ph="1">
        <v>11</v>
      </c>
      <c r="AI150" s="64" t="s" ph="1">
        <v>589</v>
      </c>
      <c r="AY150" s="64" t="s" ph="1">
        <v>260</v>
      </c>
      <c r="AZ150" s="64" t="s" ph="1">
        <v>411</v>
      </c>
    </row>
    <row r="151" spans="33:52" ph="1">
      <c r="AH151" s="64" ph="1">
        <v>12</v>
      </c>
      <c r="AI151" s="64" t="s" ph="1">
        <v>590</v>
      </c>
      <c r="AY151" s="64" t="s" ph="1">
        <v>260</v>
      </c>
      <c r="AZ151" s="64" t="s" ph="1">
        <v>411</v>
      </c>
    </row>
    <row r="152" spans="33:52" ph="1">
      <c r="AH152" s="64" ph="1">
        <v>13</v>
      </c>
      <c r="AI152" s="64" t="s" ph="1">
        <v>591</v>
      </c>
      <c r="AY152" s="64" t="s" ph="1">
        <v>260</v>
      </c>
      <c r="AZ152" s="64" t="s" ph="1">
        <v>411</v>
      </c>
    </row>
    <row r="153" spans="33:52" ph="1">
      <c r="AH153" s="64" ph="1">
        <v>14</v>
      </c>
      <c r="AI153" s="64" t="s" ph="1">
        <v>592</v>
      </c>
      <c r="AY153" s="64" t="s" ph="1">
        <v>260</v>
      </c>
      <c r="AZ153" s="64" t="s" ph="1">
        <v>411</v>
      </c>
    </row>
    <row r="154" spans="33:52" ph="1">
      <c r="AH154" s="64" ph="1">
        <v>15</v>
      </c>
      <c r="AI154" s="64" t="s" ph="1">
        <v>593</v>
      </c>
      <c r="AY154" s="64" t="s" ph="1">
        <v>260</v>
      </c>
      <c r="AZ154" s="64" t="s" ph="1">
        <v>411</v>
      </c>
    </row>
    <row r="155" spans="33:52" ph="1">
      <c r="AH155" s="64" ph="1">
        <v>16</v>
      </c>
      <c r="AI155" s="64" t="s" ph="1">
        <v>594</v>
      </c>
      <c r="AJ155" s="64" t="s" ph="1">
        <v>380</v>
      </c>
      <c r="AK155" s="64" t="s" ph="1">
        <v>275</v>
      </c>
      <c r="AM155" s="64" t="s" ph="1">
        <v>614</v>
      </c>
      <c r="AN155" s="64" t="s" ph="1">
        <v>326</v>
      </c>
      <c r="AO155" s="64" t="s" ph="1">
        <v>579</v>
      </c>
      <c r="AY155" s="64" t="s" ph="1">
        <v>260</v>
      </c>
      <c r="AZ155" s="64" t="s" ph="1">
        <v>267</v>
      </c>
    </row>
    <row r="156" spans="33:52" ph="1">
      <c r="AZ156" s="64" t="s" ph="1">
        <v>646</v>
      </c>
    </row>
    <row r="157" spans="33:52" ph="1">
      <c r="AG157" s="64" t="s" ph="1">
        <v>595</v>
      </c>
      <c r="AI157" s="64" t="s" ph="1">
        <v>253</v>
      </c>
      <c r="AJ157" s="64" t="s" ph="1">
        <v>254</v>
      </c>
      <c r="AK157" s="64" t="s" ph="1">
        <v>255</v>
      </c>
      <c r="AM157" s="64" t="s" ph="1">
        <v>254</v>
      </c>
      <c r="AN157" s="64" t="s" ph="1">
        <v>255</v>
      </c>
      <c r="AO157" s="64" t="s" ph="1">
        <v>256</v>
      </c>
      <c r="AP157" s="64" t="s" ph="1">
        <v>254</v>
      </c>
      <c r="AQ157" s="64" t="s" ph="1">
        <v>255</v>
      </c>
      <c r="AR157" s="64" t="s" ph="1">
        <v>256</v>
      </c>
      <c r="AS157" s="64" t="s" ph="1">
        <v>254</v>
      </c>
      <c r="AT157" s="64" t="s" ph="1">
        <v>255</v>
      </c>
      <c r="AU157" s="64" t="s" ph="1">
        <v>256</v>
      </c>
      <c r="AV157" s="64" t="s" ph="1">
        <v>254</v>
      </c>
      <c r="AW157" s="64" t="s" ph="1">
        <v>255</v>
      </c>
      <c r="AX157" s="64" t="s" ph="1">
        <v>256</v>
      </c>
      <c r="AY157" s="64" t="s" ph="1">
        <v>255</v>
      </c>
      <c r="AZ157" s="64" t="s" ph="1">
        <v>257</v>
      </c>
    </row>
    <row r="158" spans="33:52" ph="1">
      <c r="AH158" s="64" ph="1">
        <v>1</v>
      </c>
      <c r="AI158" s="64" t="s" ph="1">
        <v>596</v>
      </c>
      <c r="AY158" s="64" t="s" ph="1">
        <v>260</v>
      </c>
      <c r="AZ158" s="64" t="s" ph="1">
        <v>411</v>
      </c>
    </row>
    <row r="159" spans="33:52" ph="1">
      <c r="AH159" s="64" ph="1">
        <v>2</v>
      </c>
      <c r="AI159" s="64" t="s" ph="1">
        <v>597</v>
      </c>
      <c r="AY159" s="64" t="s" ph="1">
        <v>260</v>
      </c>
      <c r="AZ159" s="64" t="s" ph="1">
        <v>411</v>
      </c>
    </row>
    <row r="160" spans="33:52" ph="1">
      <c r="AZ160" s="64" t="s" ph="1">
        <v>429</v>
      </c>
    </row>
    <row r="161" spans="33:52" ph="1">
      <c r="AG161" s="64" t="s" ph="1">
        <v>405</v>
      </c>
      <c r="AI161" s="64" t="s" ph="1">
        <v>253</v>
      </c>
      <c r="AJ161" s="64" t="s" ph="1">
        <v>254</v>
      </c>
      <c r="AK161" s="64" t="s" ph="1">
        <v>255</v>
      </c>
      <c r="AM161" s="64" t="s" ph="1">
        <v>254</v>
      </c>
      <c r="AN161" s="64" t="s" ph="1">
        <v>255</v>
      </c>
      <c r="AO161" s="64" t="s" ph="1">
        <v>256</v>
      </c>
      <c r="AP161" s="64" t="s" ph="1">
        <v>254</v>
      </c>
      <c r="AQ161" s="64" t="s" ph="1">
        <v>255</v>
      </c>
      <c r="AR161" s="64" t="s" ph="1">
        <v>256</v>
      </c>
      <c r="AS161" s="64" t="s" ph="1">
        <v>254</v>
      </c>
      <c r="AT161" s="64" t="s" ph="1">
        <v>255</v>
      </c>
      <c r="AU161" s="64" t="s" ph="1">
        <v>256</v>
      </c>
      <c r="AV161" s="64" t="s" ph="1">
        <v>254</v>
      </c>
      <c r="AW161" s="64" t="s" ph="1">
        <v>255</v>
      </c>
      <c r="AX161" s="64" t="s" ph="1">
        <v>256</v>
      </c>
      <c r="AY161" s="64" t="s" ph="1">
        <v>255</v>
      </c>
      <c r="AZ161" s="64" t="s" ph="1">
        <v>257</v>
      </c>
    </row>
    <row r="162" spans="33:52" ph="1">
      <c r="AH162" s="64" ph="1">
        <v>1</v>
      </c>
      <c r="AI162" s="64" t="s" ph="1">
        <v>598</v>
      </c>
      <c r="AJ162" s="64" t="s" ph="1">
        <v>599</v>
      </c>
      <c r="AK162" s="64" t="s" ph="1">
        <v>543</v>
      </c>
      <c r="AM162" s="64" t="s" ph="1">
        <v>600</v>
      </c>
      <c r="AN162" s="64" t="s" ph="1">
        <v>264</v>
      </c>
      <c r="AO162" s="64" t="s" ph="1">
        <v>601</v>
      </c>
      <c r="AY162" s="64" t="s" ph="1">
        <v>260</v>
      </c>
      <c r="AZ162" s="64" t="s" ph="1">
        <v>336</v>
      </c>
    </row>
    <row r="163" spans="33:52" ph="1">
      <c r="AH163" s="64" ph="1">
        <v>2</v>
      </c>
      <c r="AI163" s="64" t="s" ph="1">
        <v>602</v>
      </c>
      <c r="AJ163" s="64" t="s" ph="1">
        <v>599</v>
      </c>
      <c r="AK163" s="64" t="s" ph="1">
        <v>432</v>
      </c>
      <c r="AY163" s="64" t="s" ph="1">
        <v>260</v>
      </c>
      <c r="AZ163" s="64" t="s" ph="1">
        <v>432</v>
      </c>
    </row>
    <row r="164" spans="33:52" ph="1">
      <c r="AH164" s="64" ph="1">
        <v>3</v>
      </c>
      <c r="AI164" s="64" t="s" ph="1">
        <v>603</v>
      </c>
      <c r="AJ164" s="64" t="s" ph="1">
        <v>599</v>
      </c>
      <c r="AK164" s="64" t="s" ph="1">
        <v>336</v>
      </c>
      <c r="AY164" s="64" t="s" ph="1">
        <v>260</v>
      </c>
      <c r="AZ164" s="64" t="s" ph="1">
        <v>336</v>
      </c>
    </row>
    <row r="165" spans="33:52" ph="1">
      <c r="AH165" s="64" ph="1">
        <v>4</v>
      </c>
      <c r="AI165" s="64" t="s" ph="1">
        <v>604</v>
      </c>
      <c r="AY165" s="64" t="s" ph="1">
        <v>260</v>
      </c>
      <c r="AZ165" s="64" t="s" ph="1">
        <v>411</v>
      </c>
    </row>
    <row r="166" spans="33:52" ph="1">
      <c r="AH166" s="64" ph="1">
        <v>5</v>
      </c>
      <c r="AI166" s="64" t="s" ph="1">
        <v>605</v>
      </c>
      <c r="AY166" s="64" t="s" ph="1">
        <v>260</v>
      </c>
      <c r="AZ166" s="64" t="s" ph="1">
        <v>411</v>
      </c>
    </row>
    <row r="167" spans="33:52" ph="1">
      <c r="AZ167" s="64" t="s" ph="1">
        <v>606</v>
      </c>
    </row>
    <row r="168" spans="33:52" ph="1">
      <c r="AG168" s="64" t="s" ph="1">
        <v>349</v>
      </c>
      <c r="AI168" s="64" t="s" ph="1">
        <v>253</v>
      </c>
      <c r="AJ168" s="64" t="s" ph="1">
        <v>254</v>
      </c>
      <c r="AK168" s="64" t="s" ph="1">
        <v>255</v>
      </c>
      <c r="AM168" s="64" t="s" ph="1">
        <v>254</v>
      </c>
      <c r="AN168" s="64" t="s" ph="1">
        <v>255</v>
      </c>
      <c r="AO168" s="64" t="s" ph="1">
        <v>256</v>
      </c>
      <c r="AP168" s="64" t="s" ph="1">
        <v>254</v>
      </c>
      <c r="AQ168" s="64" t="s" ph="1">
        <v>255</v>
      </c>
      <c r="AR168" s="64" t="s" ph="1">
        <v>256</v>
      </c>
      <c r="AS168" s="64" t="s" ph="1">
        <v>254</v>
      </c>
      <c r="AT168" s="64" t="s" ph="1">
        <v>255</v>
      </c>
      <c r="AU168" s="64" t="s" ph="1">
        <v>256</v>
      </c>
      <c r="AV168" s="64" t="s" ph="1">
        <v>254</v>
      </c>
      <c r="AW168" s="64" t="s" ph="1">
        <v>255</v>
      </c>
      <c r="AX168" s="64" t="s" ph="1">
        <v>256</v>
      </c>
      <c r="AY168" s="64" t="s" ph="1">
        <v>255</v>
      </c>
      <c r="AZ168" s="64" t="s" ph="1">
        <v>257</v>
      </c>
    </row>
    <row r="169" spans="33:52" ph="1">
      <c r="AH169" s="64" ph="1">
        <v>1</v>
      </c>
      <c r="AI169" s="64" t="s" ph="1">
        <v>607</v>
      </c>
      <c r="AY169" s="64" t="s" ph="1">
        <v>260</v>
      </c>
      <c r="AZ169" s="64" t="s" ph="1">
        <v>411</v>
      </c>
    </row>
    <row r="170" spans="33:52" ph="1">
      <c r="AH170" s="64" ph="1">
        <v>2</v>
      </c>
      <c r="AI170" s="64" t="s" ph="1">
        <v>608</v>
      </c>
      <c r="AY170" s="64" t="s" ph="1">
        <v>260</v>
      </c>
      <c r="AZ170" s="64" t="s" ph="1">
        <v>411</v>
      </c>
    </row>
    <row r="171" spans="33:52" ph="1">
      <c r="AH171" s="64" ph="1">
        <v>3</v>
      </c>
      <c r="AI171" s="64" t="s" ph="1">
        <v>609</v>
      </c>
      <c r="AY171" s="64" t="s" ph="1">
        <v>260</v>
      </c>
      <c r="AZ171" s="64" t="s" ph="1">
        <v>411</v>
      </c>
    </row>
    <row r="172" spans="33:52" ph="1">
      <c r="AH172" s="64" ph="1">
        <v>4</v>
      </c>
      <c r="AI172" s="64" t="s" ph="1">
        <v>610</v>
      </c>
      <c r="AY172" s="64" t="s" ph="1">
        <v>260</v>
      </c>
      <c r="AZ172" s="64" t="s" ph="1">
        <v>411</v>
      </c>
    </row>
    <row r="173" spans="33:52" ph="1">
      <c r="AH173" s="64" ph="1">
        <v>5</v>
      </c>
      <c r="AI173" s="64" t="s" ph="1">
        <v>611</v>
      </c>
      <c r="AY173" s="64" t="s" ph="1">
        <v>260</v>
      </c>
      <c r="AZ173" s="64" t="s" ph="1">
        <v>411</v>
      </c>
    </row>
    <row r="174" spans="33:52" ph="1">
      <c r="AZ174" s="64" t="s" ph="1">
        <v>429</v>
      </c>
    </row>
    <row r="175" spans="33:52" ph="1">
      <c r="AJ175" s="64" t="s" ph="1">
        <v>350</v>
      </c>
    </row>
    <row r="176" spans="33:52" ph="1">
      <c r="AJ176" s="64" t="s" ph="1">
        <v>351</v>
      </c>
      <c r="AK176" s="64" t="s" ph="1">
        <v>352</v>
      </c>
      <c r="AM176" s="64" t="s" ph="1">
        <v>353</v>
      </c>
      <c r="AO176" s="64" t="s" ph="1">
        <v>354</v>
      </c>
      <c r="AP176" s="64" t="s" ph="1">
        <v>355</v>
      </c>
      <c r="AQ176" s="64" t="s" ph="1">
        <v>345</v>
      </c>
      <c r="AR176" s="64" t="s" ph="1">
        <v>265</v>
      </c>
    </row>
    <row r="177" spans="36:56" ph="1">
      <c r="AJ177" s="64" t="s" ph="1">
        <v>647</v>
      </c>
      <c r="AK177" s="64" t="s" ph="1">
        <v>356</v>
      </c>
      <c r="AO177" s="64" t="s" ph="1">
        <v>356</v>
      </c>
      <c r="AP177" s="64" t="s" ph="1">
        <v>356</v>
      </c>
      <c r="AQ177" s="64" t="s" ph="1">
        <v>357</v>
      </c>
      <c r="AR177" s="64" t="s" ph="1">
        <v>358</v>
      </c>
    </row>
    <row r="179" spans="36:56" ph="1">
      <c r="AJ179" s="64" t="s" ph="1">
        <v>359</v>
      </c>
      <c r="AK179" s="64" t="s" ph="1">
        <v>360</v>
      </c>
      <c r="AM179" s="64" t="s" ph="1">
        <v>361</v>
      </c>
      <c r="AN179" s="64" t="s" ph="1">
        <v>337</v>
      </c>
      <c r="AO179" s="64" t="s" ph="1">
        <v>362</v>
      </c>
      <c r="AP179" s="64" t="s" ph="1">
        <v>341</v>
      </c>
      <c r="AQ179" s="64" t="s" ph="1">
        <v>363</v>
      </c>
      <c r="AR179" s="64" t="s" ph="1">
        <v>364</v>
      </c>
    </row>
    <row r="180" spans="36:56" ph="1">
      <c r="AJ180" s="64" t="s" ph="1">
        <v>356</v>
      </c>
      <c r="AK180" s="64" t="s" ph="1">
        <v>356</v>
      </c>
      <c r="AL180" s="64" ph="1">
        <v>116</v>
      </c>
      <c r="AM180" s="64" t="s" ph="1">
        <v>356</v>
      </c>
      <c r="AN180" s="64" t="s" ph="1">
        <v>365</v>
      </c>
      <c r="AO180" s="64" t="s" ph="1">
        <v>356</v>
      </c>
      <c r="AP180" s="64" t="s" ph="1">
        <v>366</v>
      </c>
      <c r="AQ180" s="64" t="s" ph="1">
        <v>367</v>
      </c>
      <c r="AR180" s="64" t="s" ph="1">
        <v>368</v>
      </c>
    </row>
    <row r="189" spans="36:56" ph="1">
      <c r="BD189" s="64" t="s" ph="1">
        <v>612</v>
      </c>
    </row>
    <row r="223" spans="18:18" ph="1">
      <c r="R223" s="138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21" priority="92">
      <formula>ABS(D$7-D$10)&gt;=1000</formula>
    </cfRule>
  </conditionalFormatting>
  <conditionalFormatting sqref="E4 E6:E11">
    <cfRule type="expression" dxfId="120" priority="91">
      <formula>ABS(E$7-E$10)&gt;=1000</formula>
    </cfRule>
  </conditionalFormatting>
  <conditionalFormatting sqref="F4:F11">
    <cfRule type="expression" dxfId="119" priority="90">
      <formula>ABS(F$7-F$10)&gt;=1000</formula>
    </cfRule>
  </conditionalFormatting>
  <conditionalFormatting sqref="G4:G11">
    <cfRule type="expression" dxfId="118" priority="89">
      <formula>ABS(G$7-G$10)&gt;=1000</formula>
    </cfRule>
  </conditionalFormatting>
  <conditionalFormatting sqref="H4:H11">
    <cfRule type="expression" dxfId="117" priority="88">
      <formula>ABS(H$7-H$10)&gt;=1000</formula>
    </cfRule>
  </conditionalFormatting>
  <conditionalFormatting sqref="I4:I11">
    <cfRule type="expression" dxfId="116" priority="87">
      <formula>ABS(I$7-I$10)&gt;=1000</formula>
    </cfRule>
  </conditionalFormatting>
  <conditionalFormatting sqref="J4:J11">
    <cfRule type="expression" dxfId="115" priority="86">
      <formula>ABS(J$7-J$10)&gt;=1000</formula>
    </cfRule>
  </conditionalFormatting>
  <conditionalFormatting sqref="K4:K11">
    <cfRule type="expression" dxfId="114" priority="85">
      <formula>ABS(K$7-K$10)&gt;=1000</formula>
    </cfRule>
  </conditionalFormatting>
  <conditionalFormatting sqref="L4:L11">
    <cfRule type="expression" dxfId="113" priority="84">
      <formula>ABS(L$7-L$10)&gt;=1000</formula>
    </cfRule>
  </conditionalFormatting>
  <conditionalFormatting sqref="M4:M11">
    <cfRule type="expression" dxfId="112" priority="83">
      <formula>ABS(M$7-M$10)&gt;=1000</formula>
    </cfRule>
  </conditionalFormatting>
  <conditionalFormatting sqref="N4:N11">
    <cfRule type="expression" dxfId="111" priority="82">
      <formula>ABS(N$7-N$10)&gt;=1000</formula>
    </cfRule>
  </conditionalFormatting>
  <conditionalFormatting sqref="O4:O11">
    <cfRule type="expression" dxfId="110" priority="81">
      <formula>ABS(O$7-O$10)&gt;=1000</formula>
    </cfRule>
  </conditionalFormatting>
  <conditionalFormatting sqref="P4:P11">
    <cfRule type="expression" dxfId="109" priority="80">
      <formula>ABS(P$7-P$10)&gt;=1000</formula>
    </cfRule>
  </conditionalFormatting>
  <conditionalFormatting sqref="Q4:Q11">
    <cfRule type="expression" dxfId="108" priority="79">
      <formula>ABS(Q$7-Q$10)&gt;=1000</formula>
    </cfRule>
  </conditionalFormatting>
  <conditionalFormatting sqref="R4:R11">
    <cfRule type="expression" dxfId="107" priority="78">
      <formula>ABS(R$7-R$10)&gt;=1000</formula>
    </cfRule>
  </conditionalFormatting>
  <conditionalFormatting sqref="S4:S11">
    <cfRule type="expression" dxfId="106" priority="77">
      <formula>ABS(S$7-S$10)&gt;=1000</formula>
    </cfRule>
  </conditionalFormatting>
  <conditionalFormatting sqref="T4:T9 T11">
    <cfRule type="expression" dxfId="105" priority="76">
      <formula>ABS(T$7-T$10)&gt;=1000</formula>
    </cfRule>
  </conditionalFormatting>
  <conditionalFormatting sqref="U4:U9 U11">
    <cfRule type="expression" dxfId="104" priority="75">
      <formula>ABS(U$7-U$10)&gt;=1000</formula>
    </cfRule>
  </conditionalFormatting>
  <conditionalFormatting sqref="V4:V9 V11">
    <cfRule type="expression" dxfId="103" priority="74">
      <formula>ABS(V$7-V$10)&gt;=1000</formula>
    </cfRule>
  </conditionalFormatting>
  <conditionalFormatting sqref="W4:W9 W11">
    <cfRule type="expression" dxfId="102" priority="73">
      <formula>ABS(W$7-W$10)&gt;=1000</formula>
    </cfRule>
  </conditionalFormatting>
  <conditionalFormatting sqref="X4:X9 X11">
    <cfRule type="expression" dxfId="101" priority="72">
      <formula>ABS(X$7-X$10)&gt;=1000</formula>
    </cfRule>
  </conditionalFormatting>
  <conditionalFormatting sqref="Y4:Y9 Y11">
    <cfRule type="expression" dxfId="100" priority="71">
      <formula>ABS(Y$7-Y$10)&gt;=1000</formula>
    </cfRule>
  </conditionalFormatting>
  <conditionalFormatting sqref="Z4:Z11">
    <cfRule type="expression" dxfId="99" priority="70">
      <formula>ABS(Z$7-Z$10)&gt;=1000</formula>
    </cfRule>
  </conditionalFormatting>
  <conditionalFormatting sqref="AA4:AA11">
    <cfRule type="expression" dxfId="98" priority="69">
      <formula>ABS(AA$7-AA$10)&gt;=1000</formula>
    </cfRule>
  </conditionalFormatting>
  <conditionalFormatting sqref="AB4:AB11">
    <cfRule type="expression" dxfId="97" priority="68">
      <formula>ABS(AB$7-AB$10)&gt;=1000</formula>
    </cfRule>
  </conditionalFormatting>
  <conditionalFormatting sqref="AC4 AC6:AC11">
    <cfRule type="expression" dxfId="96" priority="67">
      <formula>ABS(AC$7-AC$10)&gt;=1000</formula>
    </cfRule>
  </conditionalFormatting>
  <conditionalFormatting sqref="AD4:AD11">
    <cfRule type="expression" dxfId="95" priority="66">
      <formula>ABS(AD$7-AD$10)&gt;=1000</formula>
    </cfRule>
  </conditionalFormatting>
  <conditionalFormatting sqref="AE4:AE11">
    <cfRule type="expression" dxfId="94" priority="65">
      <formula>ABS(AE$7-AE$10)&gt;=1000</formula>
    </cfRule>
  </conditionalFormatting>
  <conditionalFormatting sqref="D13:D20">
    <cfRule type="expression" dxfId="93" priority="64">
      <formula>ABS(D$16-D$19)&gt;=1000</formula>
    </cfRule>
  </conditionalFormatting>
  <conditionalFormatting sqref="E13:E20">
    <cfRule type="expression" dxfId="92" priority="63">
      <formula>ABS(E$16-E$19)&gt;=1000</formula>
    </cfRule>
  </conditionalFormatting>
  <conditionalFormatting sqref="F13 F15:F20">
    <cfRule type="expression" dxfId="91" priority="62">
      <formula>ABS(F$16-F$19)&gt;=1000</formula>
    </cfRule>
  </conditionalFormatting>
  <conditionalFormatting sqref="G13:G20">
    <cfRule type="expression" dxfId="90" priority="61">
      <formula>ABS(G$16-G$19)&gt;=1000</formula>
    </cfRule>
  </conditionalFormatting>
  <conditionalFormatting sqref="H13:H20">
    <cfRule type="expression" dxfId="89" priority="60">
      <formula>ABS(H$16-H$19)&gt;=1000</formula>
    </cfRule>
  </conditionalFormatting>
  <conditionalFormatting sqref="I13:I20">
    <cfRule type="expression" dxfId="88" priority="59">
      <formula>ABS(I$16-I$19)&gt;=1000</formula>
    </cfRule>
  </conditionalFormatting>
  <conditionalFormatting sqref="J13:J20">
    <cfRule type="expression" dxfId="87" priority="58">
      <formula>ABS(J$16-J$19)&gt;=1000</formula>
    </cfRule>
  </conditionalFormatting>
  <conditionalFormatting sqref="L13:L20">
    <cfRule type="expression" dxfId="86" priority="57">
      <formula>ABS(L$16-L$19)&gt;=1000</formula>
    </cfRule>
  </conditionalFormatting>
  <conditionalFormatting sqref="M13 M15 M17:M18 M20">
    <cfRule type="expression" dxfId="85" priority="56">
      <formula>ABS(M$16-M$19)&gt;=1000</formula>
    </cfRule>
  </conditionalFormatting>
  <conditionalFormatting sqref="N13:N20">
    <cfRule type="expression" dxfId="84" priority="55">
      <formula>ABS(N$16-N$19)&gt;=1000</formula>
    </cfRule>
  </conditionalFormatting>
  <conditionalFormatting sqref="O13:O20">
    <cfRule type="expression" dxfId="83" priority="54">
      <formula>ABS(O$16-O$19)&gt;=1000</formula>
    </cfRule>
  </conditionalFormatting>
  <conditionalFormatting sqref="P13:P20">
    <cfRule type="expression" dxfId="82" priority="53">
      <formula>ABS(P$16-P$19)&gt;=1000</formula>
    </cfRule>
  </conditionalFormatting>
  <conditionalFormatting sqref="Q13 Q15:Q20">
    <cfRule type="expression" dxfId="81" priority="52">
      <formula>ABS(Q$16-Q$19)&gt;=1000</formula>
    </cfRule>
  </conditionalFormatting>
  <conditionalFormatting sqref="R13:R20">
    <cfRule type="expression" dxfId="80" priority="51">
      <formula>ABS(R$16-R$19)&gt;=1000</formula>
    </cfRule>
  </conditionalFormatting>
  <conditionalFormatting sqref="S13:S20">
    <cfRule type="expression" dxfId="79" priority="50">
      <formula>ABS(S$16-S$19)&gt;=1000</formula>
    </cfRule>
  </conditionalFormatting>
  <conditionalFormatting sqref="T13:T20">
    <cfRule type="expression" dxfId="78" priority="49">
      <formula>ABS(T$16-T$19)&gt;=1000</formula>
    </cfRule>
  </conditionalFormatting>
  <conditionalFormatting sqref="U13:U20">
    <cfRule type="expression" dxfId="77" priority="48">
      <formula>ABS(U$16-U$19)&gt;=1000</formula>
    </cfRule>
  </conditionalFormatting>
  <conditionalFormatting sqref="V13:V20">
    <cfRule type="expression" dxfId="76" priority="47">
      <formula>ABS(V$16-V$19)&gt;=1000</formula>
    </cfRule>
  </conditionalFormatting>
  <conditionalFormatting sqref="W13 W15:W18 W20">
    <cfRule type="expression" dxfId="75" priority="46">
      <formula>ABS(W$16-W$19)&gt;=1000</formula>
    </cfRule>
  </conditionalFormatting>
  <conditionalFormatting sqref="X13 X15:X20 Y19">
    <cfRule type="expression" dxfId="74" priority="45">
      <formula>ABS(X$16-X$19)&gt;=1000</formula>
    </cfRule>
  </conditionalFormatting>
  <conditionalFormatting sqref="Y13 Y15:Y18 Y20">
    <cfRule type="expression" dxfId="73" priority="44">
      <formula>ABS(Y$16-Y$19)&gt;=1000</formula>
    </cfRule>
  </conditionalFormatting>
  <conditionalFormatting sqref="Z13:Z20">
    <cfRule type="expression" dxfId="72" priority="43">
      <formula>ABS(Z$16-Z$19)&gt;=1000</formula>
    </cfRule>
  </conditionalFormatting>
  <conditionalFormatting sqref="AA13:AA20">
    <cfRule type="expression" dxfId="71" priority="42">
      <formula>ABS(AA$16-AA$19)&gt;=1000</formula>
    </cfRule>
  </conditionalFormatting>
  <conditionalFormatting sqref="AB13 AB15:AB20">
    <cfRule type="expression" dxfId="70" priority="41">
      <formula>ABS(AB$16-AB$19)&gt;=1000</formula>
    </cfRule>
  </conditionalFormatting>
  <conditionalFormatting sqref="AC13 AC15:AC20">
    <cfRule type="expression" dxfId="69" priority="40">
      <formula>ABS(AC$16-AC$19)&gt;=1000</formula>
    </cfRule>
  </conditionalFormatting>
  <conditionalFormatting sqref="AD13:AD20">
    <cfRule type="expression" dxfId="68" priority="39">
      <formula>ABS(AD$16-AD$19)&gt;=1000</formula>
    </cfRule>
  </conditionalFormatting>
  <conditionalFormatting sqref="AE13:AE20">
    <cfRule type="expression" dxfId="67" priority="38">
      <formula>ABS(AE$16-AE$19)&gt;=1000</formula>
    </cfRule>
  </conditionalFormatting>
  <conditionalFormatting sqref="D22:D29">
    <cfRule type="expression" dxfId="66" priority="37">
      <formula>ABS(D$25-D$28)&gt;=1000</formula>
    </cfRule>
  </conditionalFormatting>
  <conditionalFormatting sqref="E22:E29">
    <cfRule type="expression" dxfId="65" priority="36">
      <formula>ABS(E$25-E$28)&gt;=1000</formula>
    </cfRule>
  </conditionalFormatting>
  <conditionalFormatting sqref="F22:F29">
    <cfRule type="expression" dxfId="64" priority="35">
      <formula>ABS(F$25-F$28)&gt;=1000</formula>
    </cfRule>
  </conditionalFormatting>
  <conditionalFormatting sqref="G22:G29">
    <cfRule type="expression" dxfId="63" priority="34">
      <formula>ABS(G$25-G$28)&gt;=1000</formula>
    </cfRule>
  </conditionalFormatting>
  <conditionalFormatting sqref="H22:H29">
    <cfRule type="expression" dxfId="62" priority="33">
      <formula>ABS(H$25-H$28)&gt;=1000</formula>
    </cfRule>
  </conditionalFormatting>
  <conditionalFormatting sqref="I22 I24:I29">
    <cfRule type="expression" dxfId="61" priority="32">
      <formula>ABS(I$25-I$28)&gt;=1000</formula>
    </cfRule>
  </conditionalFormatting>
  <conditionalFormatting sqref="J22:J29 K22">
    <cfRule type="expression" dxfId="60" priority="31">
      <formula>ABS(J$25-J$28)&gt;=1000</formula>
    </cfRule>
  </conditionalFormatting>
  <conditionalFormatting sqref="K23:K29 L25 L28">
    <cfRule type="expression" dxfId="59" priority="30">
      <formula>ABS(K$25-K$28)&gt;=1000</formula>
    </cfRule>
  </conditionalFormatting>
  <conditionalFormatting sqref="L22:L24 L26:L27 L29">
    <cfRule type="expression" dxfId="58" priority="29">
      <formula>ABS(L$25-L$28)&gt;=1000</formula>
    </cfRule>
  </conditionalFormatting>
  <conditionalFormatting sqref="M22:M29">
    <cfRule type="expression" dxfId="57" priority="28">
      <formula>ABS(M$25-M$28)&gt;=1000</formula>
    </cfRule>
  </conditionalFormatting>
  <conditionalFormatting sqref="N22:N29">
    <cfRule type="expression" dxfId="56" priority="27">
      <formula>ABS(N$25-N$28)&gt;=1000</formula>
    </cfRule>
  </conditionalFormatting>
  <conditionalFormatting sqref="O22:O29">
    <cfRule type="expression" dxfId="55" priority="26">
      <formula>ABS(O$25-O$28)&gt;=1000</formula>
    </cfRule>
  </conditionalFormatting>
  <conditionalFormatting sqref="P22:P29">
    <cfRule type="expression" dxfId="54" priority="25">
      <formula>ABS(P$25-P$28)&gt;=1000</formula>
    </cfRule>
  </conditionalFormatting>
  <conditionalFormatting sqref="Q22:Q29">
    <cfRule type="expression" dxfId="53" priority="24">
      <formula>ABS(Q$25-Q$28)&gt;=1000</formula>
    </cfRule>
  </conditionalFormatting>
  <conditionalFormatting sqref="R22:R29">
    <cfRule type="expression" dxfId="52" priority="23">
      <formula>ABS(R$25-R$28)&gt;=1000</formula>
    </cfRule>
  </conditionalFormatting>
  <conditionalFormatting sqref="S22:S29">
    <cfRule type="expression" dxfId="51" priority="22">
      <formula>ABS(S$25-S$28)&gt;=1000</formula>
    </cfRule>
  </conditionalFormatting>
  <conditionalFormatting sqref="T22:T29">
    <cfRule type="expression" dxfId="50" priority="21">
      <formula>ABS(T$25-T$28)&gt;=1000</formula>
    </cfRule>
  </conditionalFormatting>
  <conditionalFormatting sqref="U22:U29">
    <cfRule type="expression" dxfId="49" priority="20">
      <formula>ABS(U$25-U$28)&gt;=1000</formula>
    </cfRule>
  </conditionalFormatting>
  <conditionalFormatting sqref="V22:V29">
    <cfRule type="expression" dxfId="48" priority="19">
      <formula>ABS(V$25-V$28)&gt;=1000</formula>
    </cfRule>
  </conditionalFormatting>
  <conditionalFormatting sqref="W22:W29">
    <cfRule type="expression" dxfId="47" priority="18">
      <formula>ABS(W$25-W$28)&gt;=1000</formula>
    </cfRule>
  </conditionalFormatting>
  <conditionalFormatting sqref="X22:X29">
    <cfRule type="expression" dxfId="46" priority="17">
      <formula>ABS(X$25-X$28)&gt;=1000</formula>
    </cfRule>
  </conditionalFormatting>
  <conditionalFormatting sqref="Y22:Y29">
    <cfRule type="expression" dxfId="45" priority="16">
      <formula>ABS(Y$25-Y$28)&gt;=1000</formula>
    </cfRule>
  </conditionalFormatting>
  <conditionalFormatting sqref="I23">
    <cfRule type="expression" dxfId="44" priority="15">
      <formula>ABS(I$25-I$28)&gt;=1000</formula>
    </cfRule>
  </conditionalFormatting>
  <conditionalFormatting sqref="F14">
    <cfRule type="expression" dxfId="43" priority="14">
      <formula>ABS(F$16-F$19)&gt;=1000</formula>
    </cfRule>
  </conditionalFormatting>
  <conditionalFormatting sqref="Q14">
    <cfRule type="expression" dxfId="42" priority="13">
      <formula>ABS(Q$16-Q$19)&gt;=1000</formula>
    </cfRule>
  </conditionalFormatting>
  <conditionalFormatting sqref="W14">
    <cfRule type="expression" dxfId="41" priority="12">
      <formula>ABS(W$16-W$19)&gt;=1000</formula>
    </cfRule>
  </conditionalFormatting>
  <conditionalFormatting sqref="Y14">
    <cfRule type="expression" dxfId="40" priority="11">
      <formula>ABS(Y$16-Y$19)&gt;=1000</formula>
    </cfRule>
  </conditionalFormatting>
  <conditionalFormatting sqref="X14">
    <cfRule type="expression" dxfId="39" priority="10">
      <formula>ABS(X$16-X$19)&gt;=1000</formula>
    </cfRule>
  </conditionalFormatting>
  <conditionalFormatting sqref="T10:Y10">
    <cfRule type="expression" dxfId="38" priority="9">
      <formula>ABS(T$7-T$10)&gt;=1000</formula>
    </cfRule>
  </conditionalFormatting>
  <conditionalFormatting sqref="W19">
    <cfRule type="expression" dxfId="37" priority="8">
      <formula>ABS(W$16-W$19)&gt;=1000</formula>
    </cfRule>
  </conditionalFormatting>
  <conditionalFormatting sqref="AC5">
    <cfRule type="expression" dxfId="36" priority="7">
      <formula>ABS(AC$7-AC$10)&gt;=1000</formula>
    </cfRule>
  </conditionalFormatting>
  <conditionalFormatting sqref="M14">
    <cfRule type="expression" dxfId="35" priority="6">
      <formula>ABS(M$16-M$19)&gt;=1000</formula>
    </cfRule>
  </conditionalFormatting>
  <conditionalFormatting sqref="M16">
    <cfRule type="expression" dxfId="34" priority="5">
      <formula>ABS(M$16-M$19)&gt;=1000</formula>
    </cfRule>
  </conditionalFormatting>
  <conditionalFormatting sqref="M19">
    <cfRule type="expression" dxfId="33" priority="4">
      <formula>ABS(M$16-M$19)&gt;=1000</formula>
    </cfRule>
  </conditionalFormatting>
  <conditionalFormatting sqref="K13:K20">
    <cfRule type="expression" dxfId="32" priority="3">
      <formula>ABS(K$16-K$19)&gt;=1000</formula>
    </cfRule>
  </conditionalFormatting>
  <conditionalFormatting sqref="E5">
    <cfRule type="expression" dxfId="31" priority="2">
      <formula>ABS(E$7-E$10)&gt;=1000</formula>
    </cfRule>
  </conditionalFormatting>
  <conditionalFormatting sqref="AB14:AC14">
    <cfRule type="expression" dxfId="30" priority="1">
      <formula>ABS(AB$16-AB$19)&gt;=1000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080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21</vt:i4>
      </vt:variant>
      <vt:variant>
        <vt:lpstr>已命名的範圍</vt:lpstr>
      </vt:variant>
      <vt:variant>
        <vt:i4>21</vt:i4>
      </vt:variant>
    </vt:vector>
  </HeadingPairs>
  <TitlesOfParts>
    <vt:vector size="42" baseType="lpstr">
      <vt:lpstr>新增</vt:lpstr>
      <vt:lpstr>密度</vt:lpstr>
      <vt:lpstr>12.31</vt:lpstr>
      <vt:lpstr>1.1</vt:lpstr>
      <vt:lpstr>1.2</vt:lpstr>
      <vt:lpstr>1.3</vt:lpstr>
      <vt:lpstr>1.6</vt:lpstr>
      <vt:lpstr>1.7</vt:lpstr>
      <vt:lpstr>1.8</vt:lpstr>
      <vt:lpstr>1.9</vt:lpstr>
      <vt:lpstr>1.10</vt:lpstr>
      <vt:lpstr>1.13</vt:lpstr>
      <vt:lpstr>1.14</vt:lpstr>
      <vt:lpstr>1.15</vt:lpstr>
      <vt:lpstr>1.16</vt:lpstr>
      <vt:lpstr>1.17</vt:lpstr>
      <vt:lpstr>1.20</vt:lpstr>
      <vt:lpstr>1.21</vt:lpstr>
      <vt:lpstr>1.22</vt:lpstr>
      <vt:lpstr>1.23</vt:lpstr>
      <vt:lpstr>1.24</vt:lpstr>
      <vt:lpstr>'1.1'!Print_Area</vt:lpstr>
      <vt:lpstr>'1.10'!Print_Area</vt:lpstr>
      <vt:lpstr>'1.13'!Print_Area</vt:lpstr>
      <vt:lpstr>'1.14'!Print_Area</vt:lpstr>
      <vt:lpstr>'1.15'!Print_Area</vt:lpstr>
      <vt:lpstr>'1.16'!Print_Area</vt:lpstr>
      <vt:lpstr>'1.17'!Print_Area</vt:lpstr>
      <vt:lpstr>'1.2'!Print_Area</vt:lpstr>
      <vt:lpstr>'1.20'!Print_Area</vt:lpstr>
      <vt:lpstr>'1.21'!Print_Area</vt:lpstr>
      <vt:lpstr>'1.22'!Print_Area</vt:lpstr>
      <vt:lpstr>'1.23'!Print_Area</vt:lpstr>
      <vt:lpstr>'1.24'!Print_Area</vt:lpstr>
      <vt:lpstr>'1.3'!Print_Area</vt:lpstr>
      <vt:lpstr>'1.6'!Print_Area</vt:lpstr>
      <vt:lpstr>'1.7'!Print_Area</vt:lpstr>
      <vt:lpstr>'1.8'!Print_Area</vt:lpstr>
      <vt:lpstr>'1.9'!Print_Area</vt:lpstr>
      <vt:lpstr>'12.31'!Print_Area</vt:lpstr>
      <vt:lpstr>密度!Print_Area</vt:lpstr>
      <vt:lpstr>新增!Print_Area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C663</dc:creator>
  <cp:lastModifiedBy>C712-PC</cp:lastModifiedBy>
  <cp:lastPrinted>2025-01-24T06:55:11Z</cp:lastPrinted>
  <dcterms:created xsi:type="dcterms:W3CDTF">2006-09-16T00:00:00Z</dcterms:created>
  <dcterms:modified xsi:type="dcterms:W3CDTF">2025-01-24T07:19:00Z</dcterms:modified>
</cp:coreProperties>
</file>